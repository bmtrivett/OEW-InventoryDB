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Default Extension="emf" ContentType="image/x-emf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1395" yWindow="-180" windowWidth="17400" windowHeight="12045" tabRatio="625"/>
  </bookViews>
  <sheets>
    <sheet name="Customer Selection" sheetId="31" r:id="rId1"/>
    <sheet name="Summary" sheetId="42" r:id="rId2"/>
    <sheet name="Load Summary" sheetId="44" r:id="rId3"/>
    <sheet name="Year To Date" sheetId="26" r:id="rId4"/>
    <sheet name="Receipt-Invoice" sheetId="41" r:id="rId5"/>
    <sheet name="Link To Database" sheetId="48" state="hidden" r:id="rId6"/>
    <sheet name="Link To Database 2" sheetId="27" state="hidden" r:id="rId7"/>
  </sheets>
  <definedNames>
    <definedName name="Customer_select">'Customer Selection'!$C$7</definedName>
    <definedName name="EndDate">'Customer Selection'!$C$12</definedName>
    <definedName name="_xlnm.Print_Area" localSheetId="4">'Receipt-Invoice'!$A$1:$F$45</definedName>
    <definedName name="StartDate">'Customer Selection'!$B$12</definedName>
  </definedNames>
  <calcPr calcId="125725"/>
  <pivotCaches>
    <pivotCache cacheId="718" r:id="rId8"/>
    <pivotCache cacheId="721" r:id="rId9"/>
  </pivotCaches>
</workbook>
</file>

<file path=xl/calcChain.xml><?xml version="1.0" encoding="utf-8"?>
<calcChain xmlns="http://schemas.openxmlformats.org/spreadsheetml/2006/main">
  <c r="B1" i="42"/>
  <c r="B1" i="44"/>
  <c r="G1"/>
  <c r="G1" i="42"/>
  <c r="T1357" i="48"/>
  <c r="T1358"/>
  <c r="T1359"/>
  <c r="T1360"/>
  <c r="T1361"/>
  <c r="T1362"/>
  <c r="T1363"/>
  <c r="T1364"/>
  <c r="T1365"/>
  <c r="T1366"/>
  <c r="T1367"/>
  <c r="T1368"/>
  <c r="T1369"/>
  <c r="T1370"/>
  <c r="T1371"/>
  <c r="T1372"/>
  <c r="T1373"/>
  <c r="T1374"/>
  <c r="T1375"/>
  <c r="T1376"/>
  <c r="T1377"/>
  <c r="T1378"/>
  <c r="T1379"/>
  <c r="T1380"/>
  <c r="T1381"/>
  <c r="T1382"/>
  <c r="T1383"/>
  <c r="T1384"/>
  <c r="T1385"/>
  <c r="T1386"/>
  <c r="T1387"/>
  <c r="T1388"/>
  <c r="T1389"/>
  <c r="T1390"/>
  <c r="T1391"/>
  <c r="T1392"/>
  <c r="T1393"/>
  <c r="T1394"/>
  <c r="T1395"/>
  <c r="T1396"/>
  <c r="T1397"/>
  <c r="T1398"/>
  <c r="T1399"/>
  <c r="T1400"/>
  <c r="T1401"/>
  <c r="T1402"/>
  <c r="T1403"/>
  <c r="T1404"/>
  <c r="T1405"/>
  <c r="T1406"/>
  <c r="T1407"/>
  <c r="T1408"/>
  <c r="T1409"/>
  <c r="T1410"/>
  <c r="T1411"/>
  <c r="T1412"/>
  <c r="T1413"/>
  <c r="T1414"/>
  <c r="T1415"/>
  <c r="T1416"/>
  <c r="T1417"/>
  <c r="T1418"/>
  <c r="T1419"/>
  <c r="T1420"/>
  <c r="T1421"/>
  <c r="T1422"/>
  <c r="U1357"/>
  <c r="U1358"/>
  <c r="U1359"/>
  <c r="U1360"/>
  <c r="U1361"/>
  <c r="U1362"/>
  <c r="U1363"/>
  <c r="U1364"/>
  <c r="U1365"/>
  <c r="U1366"/>
  <c r="U1367"/>
  <c r="U1368"/>
  <c r="U1369"/>
  <c r="U1370"/>
  <c r="U1371"/>
  <c r="U1372"/>
  <c r="U1373"/>
  <c r="U1374"/>
  <c r="U1375"/>
  <c r="U1376"/>
  <c r="U1377"/>
  <c r="U1378"/>
  <c r="U1379"/>
  <c r="U1380"/>
  <c r="U1381"/>
  <c r="U1382"/>
  <c r="U1383"/>
  <c r="U1384"/>
  <c r="U1385"/>
  <c r="U1386"/>
  <c r="U1387"/>
  <c r="U1388"/>
  <c r="U1389"/>
  <c r="U1390"/>
  <c r="U1391"/>
  <c r="U1392"/>
  <c r="U1393"/>
  <c r="U1394"/>
  <c r="U1395"/>
  <c r="U1396"/>
  <c r="U1397"/>
  <c r="U1398"/>
  <c r="U1399"/>
  <c r="U1400"/>
  <c r="U1401"/>
  <c r="U1402"/>
  <c r="U1403"/>
  <c r="U1404"/>
  <c r="U1405"/>
  <c r="U1406"/>
  <c r="U1407"/>
  <c r="U1408"/>
  <c r="U1409"/>
  <c r="U1410"/>
  <c r="U1411"/>
  <c r="U1412"/>
  <c r="U1413"/>
  <c r="U1414"/>
  <c r="U1415"/>
  <c r="U1416"/>
  <c r="U1417"/>
  <c r="U1418"/>
  <c r="U1419"/>
  <c r="U1420"/>
  <c r="U1421"/>
  <c r="U1422"/>
  <c r="X1357"/>
  <c r="X1358"/>
  <c r="X1359"/>
  <c r="X1360"/>
  <c r="X1361"/>
  <c r="X1362"/>
  <c r="X1363"/>
  <c r="X1364"/>
  <c r="X1365"/>
  <c r="X1366"/>
  <c r="X1367"/>
  <c r="X1368"/>
  <c r="X1369"/>
  <c r="X1370"/>
  <c r="X1371"/>
  <c r="X1372"/>
  <c r="X1373"/>
  <c r="X1374"/>
  <c r="X1375"/>
  <c r="X1376"/>
  <c r="X1377"/>
  <c r="X1378"/>
  <c r="X1379"/>
  <c r="X1380"/>
  <c r="X1381"/>
  <c r="X1382"/>
  <c r="X1383"/>
  <c r="X1384"/>
  <c r="X1385"/>
  <c r="X1386"/>
  <c r="X1387"/>
  <c r="X1388"/>
  <c r="X1389"/>
  <c r="X1390"/>
  <c r="X1391"/>
  <c r="X1392"/>
  <c r="X1393"/>
  <c r="X1394"/>
  <c r="X1395"/>
  <c r="X1396"/>
  <c r="X1397"/>
  <c r="X1398"/>
  <c r="X1399"/>
  <c r="X1400"/>
  <c r="X1401"/>
  <c r="X1402"/>
  <c r="X1403"/>
  <c r="X1404"/>
  <c r="X1405"/>
  <c r="X1406"/>
  <c r="X1407"/>
  <c r="X1408"/>
  <c r="X1409"/>
  <c r="X1410"/>
  <c r="X1411"/>
  <c r="X1412"/>
  <c r="X1413"/>
  <c r="X1414"/>
  <c r="X1415"/>
  <c r="X1416"/>
  <c r="X1417"/>
  <c r="X1418"/>
  <c r="X1419"/>
  <c r="X1420"/>
  <c r="X1421"/>
  <c r="X1422"/>
  <c r="Y1357"/>
  <c r="W1357" s="1"/>
  <c r="Y1358"/>
  <c r="W1358" s="1"/>
  <c r="Y1359"/>
  <c r="W1359" s="1"/>
  <c r="Y1360"/>
  <c r="W1360" s="1"/>
  <c r="Y1361"/>
  <c r="W1361" s="1"/>
  <c r="Y1362"/>
  <c r="W1362" s="1"/>
  <c r="Y1363"/>
  <c r="W1363" s="1"/>
  <c r="Y1364"/>
  <c r="W1364" s="1"/>
  <c r="Y1365"/>
  <c r="W1365" s="1"/>
  <c r="Y1366"/>
  <c r="W1366" s="1"/>
  <c r="Y1367"/>
  <c r="W1367" s="1"/>
  <c r="Y1368"/>
  <c r="W1368" s="1"/>
  <c r="Y1369"/>
  <c r="W1369" s="1"/>
  <c r="Y1370"/>
  <c r="W1370" s="1"/>
  <c r="Y1371"/>
  <c r="W1371" s="1"/>
  <c r="Y1372"/>
  <c r="W1372" s="1"/>
  <c r="Y1373"/>
  <c r="W1373" s="1"/>
  <c r="Y1374"/>
  <c r="W1374" s="1"/>
  <c r="Y1375"/>
  <c r="W1375" s="1"/>
  <c r="Y1376"/>
  <c r="W1376" s="1"/>
  <c r="Y1377"/>
  <c r="W1377" s="1"/>
  <c r="Y1378"/>
  <c r="W1378" s="1"/>
  <c r="Y1379"/>
  <c r="W1379" s="1"/>
  <c r="Y1380"/>
  <c r="W1380" s="1"/>
  <c r="Y1381"/>
  <c r="W1381" s="1"/>
  <c r="Y1382"/>
  <c r="W1382" s="1"/>
  <c r="Y1383"/>
  <c r="W1383" s="1"/>
  <c r="Y1384"/>
  <c r="W1384" s="1"/>
  <c r="Y1385"/>
  <c r="W1385" s="1"/>
  <c r="Y1386"/>
  <c r="W1386" s="1"/>
  <c r="Y1387"/>
  <c r="W1387" s="1"/>
  <c r="Y1388"/>
  <c r="W1388" s="1"/>
  <c r="Y1389"/>
  <c r="W1389" s="1"/>
  <c r="Y1390"/>
  <c r="W1390" s="1"/>
  <c r="Y1391"/>
  <c r="W1391" s="1"/>
  <c r="Y1392"/>
  <c r="W1392" s="1"/>
  <c r="Y1393"/>
  <c r="W1393" s="1"/>
  <c r="Y1394"/>
  <c r="W1394" s="1"/>
  <c r="Y1395"/>
  <c r="W1395" s="1"/>
  <c r="Y1396"/>
  <c r="W1396" s="1"/>
  <c r="Y1397"/>
  <c r="W1397" s="1"/>
  <c r="Y1398"/>
  <c r="W1398" s="1"/>
  <c r="Y1399"/>
  <c r="W1399" s="1"/>
  <c r="Y1400"/>
  <c r="W1400" s="1"/>
  <c r="Y1401"/>
  <c r="W1401" s="1"/>
  <c r="Y1402"/>
  <c r="W1402" s="1"/>
  <c r="Y1403"/>
  <c r="W1403" s="1"/>
  <c r="Y1404"/>
  <c r="W1404" s="1"/>
  <c r="Y1405"/>
  <c r="W1405" s="1"/>
  <c r="Y1406"/>
  <c r="W1406" s="1"/>
  <c r="Y1407"/>
  <c r="W1407" s="1"/>
  <c r="Y1408"/>
  <c r="W1408" s="1"/>
  <c r="Y1409"/>
  <c r="W1409" s="1"/>
  <c r="Y1410"/>
  <c r="W1410" s="1"/>
  <c r="Y1411"/>
  <c r="W1411" s="1"/>
  <c r="Y1412"/>
  <c r="W1412" s="1"/>
  <c r="Y1413"/>
  <c r="W1413" s="1"/>
  <c r="Y1414"/>
  <c r="W1414" s="1"/>
  <c r="Y1415"/>
  <c r="W1415" s="1"/>
  <c r="Y1416"/>
  <c r="W1416" s="1"/>
  <c r="Y1417"/>
  <c r="W1417" s="1"/>
  <c r="Y1418"/>
  <c r="W1418" s="1"/>
  <c r="Y1419"/>
  <c r="W1419" s="1"/>
  <c r="Y1420"/>
  <c r="W1420" s="1"/>
  <c r="Y1421"/>
  <c r="W1421" s="1"/>
  <c r="Y1422"/>
  <c r="W1422" s="1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T1254"/>
  <c r="T1255"/>
  <c r="T1256"/>
  <c r="T1257"/>
  <c r="T1258"/>
  <c r="T1259"/>
  <c r="T1260"/>
  <c r="T1261"/>
  <c r="T1262"/>
  <c r="T1263"/>
  <c r="T1264"/>
  <c r="T1265"/>
  <c r="T1266"/>
  <c r="T1267"/>
  <c r="T1268"/>
  <c r="T1269"/>
  <c r="T1270"/>
  <c r="T1271"/>
  <c r="T1272"/>
  <c r="T1273"/>
  <c r="T1274"/>
  <c r="T1275"/>
  <c r="T1276"/>
  <c r="T1277"/>
  <c r="T1278"/>
  <c r="T1279"/>
  <c r="T1280"/>
  <c r="T1281"/>
  <c r="T1282"/>
  <c r="T1283"/>
  <c r="T1284"/>
  <c r="T1285"/>
  <c r="T1286"/>
  <c r="T1287"/>
  <c r="T1288"/>
  <c r="T1289"/>
  <c r="T1290"/>
  <c r="T1291"/>
  <c r="T1292"/>
  <c r="T1293"/>
  <c r="T1294"/>
  <c r="T1295"/>
  <c r="T1296"/>
  <c r="T1297"/>
  <c r="T1298"/>
  <c r="T1299"/>
  <c r="T1300"/>
  <c r="T1301"/>
  <c r="T1302"/>
  <c r="T1303"/>
  <c r="T1304"/>
  <c r="T1305"/>
  <c r="T1306"/>
  <c r="T1307"/>
  <c r="T1308"/>
  <c r="T1309"/>
  <c r="T1310"/>
  <c r="T1311"/>
  <c r="T1312"/>
  <c r="T1313"/>
  <c r="T1314"/>
  <c r="T1315"/>
  <c r="T1316"/>
  <c r="T1317"/>
  <c r="T1318"/>
  <c r="T1319"/>
  <c r="T1320"/>
  <c r="T1321"/>
  <c r="T1322"/>
  <c r="T1323"/>
  <c r="T1324"/>
  <c r="T1325"/>
  <c r="T1326"/>
  <c r="T1327"/>
  <c r="T1328"/>
  <c r="T1329"/>
  <c r="T1330"/>
  <c r="T1331"/>
  <c r="T1332"/>
  <c r="T1333"/>
  <c r="T1334"/>
  <c r="T1335"/>
  <c r="T1336"/>
  <c r="T1337"/>
  <c r="T1338"/>
  <c r="T1339"/>
  <c r="T1340"/>
  <c r="T1341"/>
  <c r="T1342"/>
  <c r="T1343"/>
  <c r="T1344"/>
  <c r="T1345"/>
  <c r="T1346"/>
  <c r="T1347"/>
  <c r="T1348"/>
  <c r="T1349"/>
  <c r="T1350"/>
  <c r="T1351"/>
  <c r="T1352"/>
  <c r="T1353"/>
  <c r="T1354"/>
  <c r="T1355"/>
  <c r="T1356"/>
  <c r="U776"/>
  <c r="U777"/>
  <c r="U778"/>
  <c r="U779"/>
  <c r="U780"/>
  <c r="U781"/>
  <c r="U782"/>
  <c r="U783"/>
  <c r="U784"/>
  <c r="U785"/>
  <c r="U786"/>
  <c r="U787"/>
  <c r="U788"/>
  <c r="U789"/>
  <c r="U790"/>
  <c r="U791"/>
  <c r="U792"/>
  <c r="U793"/>
  <c r="U794"/>
  <c r="U795"/>
  <c r="U796"/>
  <c r="U797"/>
  <c r="U798"/>
  <c r="U799"/>
  <c r="U800"/>
  <c r="U801"/>
  <c r="U802"/>
  <c r="U803"/>
  <c r="U804"/>
  <c r="U805"/>
  <c r="U806"/>
  <c r="U807"/>
  <c r="U808"/>
  <c r="U809"/>
  <c r="U810"/>
  <c r="U811"/>
  <c r="U812"/>
  <c r="U813"/>
  <c r="U814"/>
  <c r="U815"/>
  <c r="U816"/>
  <c r="U817"/>
  <c r="U818"/>
  <c r="U819"/>
  <c r="U820"/>
  <c r="U821"/>
  <c r="U822"/>
  <c r="U823"/>
  <c r="U824"/>
  <c r="U825"/>
  <c r="U826"/>
  <c r="U827"/>
  <c r="U828"/>
  <c r="U829"/>
  <c r="U830"/>
  <c r="U831"/>
  <c r="U832"/>
  <c r="U833"/>
  <c r="U834"/>
  <c r="U835"/>
  <c r="U836"/>
  <c r="U837"/>
  <c r="U838"/>
  <c r="U839"/>
  <c r="U840"/>
  <c r="U841"/>
  <c r="U842"/>
  <c r="U843"/>
  <c r="U844"/>
  <c r="U845"/>
  <c r="U846"/>
  <c r="U847"/>
  <c r="U848"/>
  <c r="U849"/>
  <c r="U850"/>
  <c r="U851"/>
  <c r="U852"/>
  <c r="U853"/>
  <c r="U854"/>
  <c r="U855"/>
  <c r="U856"/>
  <c r="U857"/>
  <c r="U858"/>
  <c r="U859"/>
  <c r="U860"/>
  <c r="U861"/>
  <c r="U862"/>
  <c r="U863"/>
  <c r="U864"/>
  <c r="U865"/>
  <c r="U866"/>
  <c r="U867"/>
  <c r="U868"/>
  <c r="U869"/>
  <c r="U870"/>
  <c r="U871"/>
  <c r="U872"/>
  <c r="U873"/>
  <c r="U874"/>
  <c r="U875"/>
  <c r="U876"/>
  <c r="U877"/>
  <c r="U878"/>
  <c r="U879"/>
  <c r="U880"/>
  <c r="U881"/>
  <c r="U882"/>
  <c r="U883"/>
  <c r="U884"/>
  <c r="U885"/>
  <c r="U886"/>
  <c r="U887"/>
  <c r="U888"/>
  <c r="U889"/>
  <c r="U890"/>
  <c r="U891"/>
  <c r="U892"/>
  <c r="U893"/>
  <c r="U894"/>
  <c r="U895"/>
  <c r="U896"/>
  <c r="U897"/>
  <c r="U898"/>
  <c r="U899"/>
  <c r="U900"/>
  <c r="U901"/>
  <c r="U902"/>
  <c r="U903"/>
  <c r="U904"/>
  <c r="U905"/>
  <c r="U906"/>
  <c r="U907"/>
  <c r="U908"/>
  <c r="U909"/>
  <c r="U910"/>
  <c r="U911"/>
  <c r="U912"/>
  <c r="U913"/>
  <c r="U914"/>
  <c r="U915"/>
  <c r="U916"/>
  <c r="U917"/>
  <c r="U918"/>
  <c r="U919"/>
  <c r="U920"/>
  <c r="U921"/>
  <c r="U922"/>
  <c r="U923"/>
  <c r="U924"/>
  <c r="U925"/>
  <c r="U926"/>
  <c r="U927"/>
  <c r="U928"/>
  <c r="U929"/>
  <c r="U930"/>
  <c r="U931"/>
  <c r="U932"/>
  <c r="U933"/>
  <c r="U934"/>
  <c r="U935"/>
  <c r="U936"/>
  <c r="U937"/>
  <c r="U938"/>
  <c r="U939"/>
  <c r="U940"/>
  <c r="U941"/>
  <c r="U942"/>
  <c r="U943"/>
  <c r="U944"/>
  <c r="U945"/>
  <c r="U946"/>
  <c r="U947"/>
  <c r="U948"/>
  <c r="U949"/>
  <c r="U950"/>
  <c r="U951"/>
  <c r="U952"/>
  <c r="U953"/>
  <c r="U954"/>
  <c r="U955"/>
  <c r="U956"/>
  <c r="U957"/>
  <c r="U958"/>
  <c r="U959"/>
  <c r="U960"/>
  <c r="U961"/>
  <c r="U962"/>
  <c r="U963"/>
  <c r="U964"/>
  <c r="U965"/>
  <c r="U966"/>
  <c r="U967"/>
  <c r="U968"/>
  <c r="U969"/>
  <c r="U970"/>
  <c r="U971"/>
  <c r="U972"/>
  <c r="U973"/>
  <c r="U974"/>
  <c r="U975"/>
  <c r="U976"/>
  <c r="U977"/>
  <c r="U978"/>
  <c r="U979"/>
  <c r="U980"/>
  <c r="U981"/>
  <c r="U982"/>
  <c r="U983"/>
  <c r="U984"/>
  <c r="U985"/>
  <c r="U986"/>
  <c r="U987"/>
  <c r="U988"/>
  <c r="U989"/>
  <c r="U990"/>
  <c r="U991"/>
  <c r="U992"/>
  <c r="U993"/>
  <c r="U994"/>
  <c r="U995"/>
  <c r="U996"/>
  <c r="U997"/>
  <c r="U998"/>
  <c r="U999"/>
  <c r="U1000"/>
  <c r="U1001"/>
  <c r="U1002"/>
  <c r="U1003"/>
  <c r="U1004"/>
  <c r="U1005"/>
  <c r="U1006"/>
  <c r="U1007"/>
  <c r="U1008"/>
  <c r="U1009"/>
  <c r="U1010"/>
  <c r="U1011"/>
  <c r="U1012"/>
  <c r="U1013"/>
  <c r="U1014"/>
  <c r="U1015"/>
  <c r="U1016"/>
  <c r="U1017"/>
  <c r="U1018"/>
  <c r="U1019"/>
  <c r="U1020"/>
  <c r="U1021"/>
  <c r="U1022"/>
  <c r="U1023"/>
  <c r="U1024"/>
  <c r="U1025"/>
  <c r="U1026"/>
  <c r="U1027"/>
  <c r="U1028"/>
  <c r="U1029"/>
  <c r="U1030"/>
  <c r="U1031"/>
  <c r="U1032"/>
  <c r="U1033"/>
  <c r="U1034"/>
  <c r="U1035"/>
  <c r="U1036"/>
  <c r="U1037"/>
  <c r="U1038"/>
  <c r="U1039"/>
  <c r="U1040"/>
  <c r="U1041"/>
  <c r="U1042"/>
  <c r="U1043"/>
  <c r="U1044"/>
  <c r="U1045"/>
  <c r="U1046"/>
  <c r="U1047"/>
  <c r="U1048"/>
  <c r="U1049"/>
  <c r="U1050"/>
  <c r="U1051"/>
  <c r="U1052"/>
  <c r="U1053"/>
  <c r="U1054"/>
  <c r="U1055"/>
  <c r="U1056"/>
  <c r="U1057"/>
  <c r="U1058"/>
  <c r="U1059"/>
  <c r="U1060"/>
  <c r="U1061"/>
  <c r="U1062"/>
  <c r="U1063"/>
  <c r="U1064"/>
  <c r="U1065"/>
  <c r="U1066"/>
  <c r="U1067"/>
  <c r="U1068"/>
  <c r="U1069"/>
  <c r="U1070"/>
  <c r="U1071"/>
  <c r="U1072"/>
  <c r="U1073"/>
  <c r="U1074"/>
  <c r="U1075"/>
  <c r="U1076"/>
  <c r="U1077"/>
  <c r="U1078"/>
  <c r="U1079"/>
  <c r="U1080"/>
  <c r="U1081"/>
  <c r="U1082"/>
  <c r="U1083"/>
  <c r="U1084"/>
  <c r="U1085"/>
  <c r="U1086"/>
  <c r="U1087"/>
  <c r="U1088"/>
  <c r="U1089"/>
  <c r="U1090"/>
  <c r="U1091"/>
  <c r="U1092"/>
  <c r="U1093"/>
  <c r="U1094"/>
  <c r="U1095"/>
  <c r="U1096"/>
  <c r="U1097"/>
  <c r="U1098"/>
  <c r="U1099"/>
  <c r="U1100"/>
  <c r="U1101"/>
  <c r="U1102"/>
  <c r="U1103"/>
  <c r="U1104"/>
  <c r="U1105"/>
  <c r="U1106"/>
  <c r="U1107"/>
  <c r="U1108"/>
  <c r="U1109"/>
  <c r="U1110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U1129"/>
  <c r="U1130"/>
  <c r="U1131"/>
  <c r="U1132"/>
  <c r="U1133"/>
  <c r="U1134"/>
  <c r="U1135"/>
  <c r="U1136"/>
  <c r="U1137"/>
  <c r="U1138"/>
  <c r="U1139"/>
  <c r="U1140"/>
  <c r="U1141"/>
  <c r="U1142"/>
  <c r="U1143"/>
  <c r="U1144"/>
  <c r="U1145"/>
  <c r="U1146"/>
  <c r="U1147"/>
  <c r="U1148"/>
  <c r="U1149"/>
  <c r="U1150"/>
  <c r="U1151"/>
  <c r="U1152"/>
  <c r="U1153"/>
  <c r="U1154"/>
  <c r="U1155"/>
  <c r="U1156"/>
  <c r="U1157"/>
  <c r="U1158"/>
  <c r="U1159"/>
  <c r="U1160"/>
  <c r="U1161"/>
  <c r="U1162"/>
  <c r="U1163"/>
  <c r="U1164"/>
  <c r="U1165"/>
  <c r="U1166"/>
  <c r="U1167"/>
  <c r="U1168"/>
  <c r="U1169"/>
  <c r="U1170"/>
  <c r="U1171"/>
  <c r="U1172"/>
  <c r="U1173"/>
  <c r="U1174"/>
  <c r="U1175"/>
  <c r="U1176"/>
  <c r="U1177"/>
  <c r="U1178"/>
  <c r="U1179"/>
  <c r="U1180"/>
  <c r="U1181"/>
  <c r="U1182"/>
  <c r="U1183"/>
  <c r="U1184"/>
  <c r="U1185"/>
  <c r="U1186"/>
  <c r="U1187"/>
  <c r="U1188"/>
  <c r="U1189"/>
  <c r="U1190"/>
  <c r="U1191"/>
  <c r="U1192"/>
  <c r="U1193"/>
  <c r="U1194"/>
  <c r="U1195"/>
  <c r="U1196"/>
  <c r="U1197"/>
  <c r="U1198"/>
  <c r="U1199"/>
  <c r="U1200"/>
  <c r="U1201"/>
  <c r="U1202"/>
  <c r="U1203"/>
  <c r="U1204"/>
  <c r="U1205"/>
  <c r="U1206"/>
  <c r="U1207"/>
  <c r="U1208"/>
  <c r="U1209"/>
  <c r="U1210"/>
  <c r="U1211"/>
  <c r="U1212"/>
  <c r="U1213"/>
  <c r="U1214"/>
  <c r="U1215"/>
  <c r="U1216"/>
  <c r="U1217"/>
  <c r="U1218"/>
  <c r="U1219"/>
  <c r="U1220"/>
  <c r="U1221"/>
  <c r="U1222"/>
  <c r="U1223"/>
  <c r="U1224"/>
  <c r="U1225"/>
  <c r="U1226"/>
  <c r="U1227"/>
  <c r="U1228"/>
  <c r="U1229"/>
  <c r="U1230"/>
  <c r="U1231"/>
  <c r="U1232"/>
  <c r="U1233"/>
  <c r="U1234"/>
  <c r="U1235"/>
  <c r="U1236"/>
  <c r="U1237"/>
  <c r="U1238"/>
  <c r="U1239"/>
  <c r="U1240"/>
  <c r="U1241"/>
  <c r="U1242"/>
  <c r="U1243"/>
  <c r="U1244"/>
  <c r="U1245"/>
  <c r="U1246"/>
  <c r="U1247"/>
  <c r="U1248"/>
  <c r="U1249"/>
  <c r="U1250"/>
  <c r="U1251"/>
  <c r="U1252"/>
  <c r="U1253"/>
  <c r="U1254"/>
  <c r="U1255"/>
  <c r="U1256"/>
  <c r="U1257"/>
  <c r="U1258"/>
  <c r="U1259"/>
  <c r="U1260"/>
  <c r="U1261"/>
  <c r="U1262"/>
  <c r="U1263"/>
  <c r="U1264"/>
  <c r="U1265"/>
  <c r="U1266"/>
  <c r="U1267"/>
  <c r="U1268"/>
  <c r="U1269"/>
  <c r="U1270"/>
  <c r="U1271"/>
  <c r="U1272"/>
  <c r="U1273"/>
  <c r="U1274"/>
  <c r="U1275"/>
  <c r="U1276"/>
  <c r="U1277"/>
  <c r="U1278"/>
  <c r="U1279"/>
  <c r="U1280"/>
  <c r="U1281"/>
  <c r="U1282"/>
  <c r="U1283"/>
  <c r="U1284"/>
  <c r="U1285"/>
  <c r="U1286"/>
  <c r="U1287"/>
  <c r="U1288"/>
  <c r="U1289"/>
  <c r="U1290"/>
  <c r="U1291"/>
  <c r="U1292"/>
  <c r="U1293"/>
  <c r="U1294"/>
  <c r="U1295"/>
  <c r="U1296"/>
  <c r="U1297"/>
  <c r="U1298"/>
  <c r="U1299"/>
  <c r="U1300"/>
  <c r="U1301"/>
  <c r="U1302"/>
  <c r="U1303"/>
  <c r="U1304"/>
  <c r="U1305"/>
  <c r="U1306"/>
  <c r="U1307"/>
  <c r="U1308"/>
  <c r="U1309"/>
  <c r="U1310"/>
  <c r="U1311"/>
  <c r="U1312"/>
  <c r="U1313"/>
  <c r="U1314"/>
  <c r="U1315"/>
  <c r="U1316"/>
  <c r="U1317"/>
  <c r="U1318"/>
  <c r="U1319"/>
  <c r="U1320"/>
  <c r="U1321"/>
  <c r="U1322"/>
  <c r="U1323"/>
  <c r="U1324"/>
  <c r="U1325"/>
  <c r="U1326"/>
  <c r="U1327"/>
  <c r="U1328"/>
  <c r="U1329"/>
  <c r="U1330"/>
  <c r="U1331"/>
  <c r="U1332"/>
  <c r="U1333"/>
  <c r="U1334"/>
  <c r="U1335"/>
  <c r="U1336"/>
  <c r="U1337"/>
  <c r="U1338"/>
  <c r="U1339"/>
  <c r="U1340"/>
  <c r="U1341"/>
  <c r="U1342"/>
  <c r="U1343"/>
  <c r="U1344"/>
  <c r="U1345"/>
  <c r="U1346"/>
  <c r="U1347"/>
  <c r="U1348"/>
  <c r="U1349"/>
  <c r="U1350"/>
  <c r="U1351"/>
  <c r="U1352"/>
  <c r="U1353"/>
  <c r="U1354"/>
  <c r="U1355"/>
  <c r="U1356"/>
  <c r="B11" i="41"/>
  <c r="B16" s="1"/>
  <c r="H2"/>
  <c r="U2" i="48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601"/>
  <c r="U602"/>
  <c r="U603"/>
  <c r="U604"/>
  <c r="U605"/>
  <c r="U606"/>
  <c r="U607"/>
  <c r="U608"/>
  <c r="U609"/>
  <c r="U610"/>
  <c r="U611"/>
  <c r="U612"/>
  <c r="U613"/>
  <c r="U614"/>
  <c r="U615"/>
  <c r="U616"/>
  <c r="U617"/>
  <c r="U618"/>
  <c r="U619"/>
  <c r="U620"/>
  <c r="U621"/>
  <c r="U622"/>
  <c r="U623"/>
  <c r="U624"/>
  <c r="U625"/>
  <c r="U626"/>
  <c r="U627"/>
  <c r="U628"/>
  <c r="U629"/>
  <c r="U630"/>
  <c r="U631"/>
  <c r="U632"/>
  <c r="U633"/>
  <c r="U634"/>
  <c r="U635"/>
  <c r="U636"/>
  <c r="U637"/>
  <c r="U638"/>
  <c r="U639"/>
  <c r="U640"/>
  <c r="U641"/>
  <c r="U642"/>
  <c r="U643"/>
  <c r="U644"/>
  <c r="U645"/>
  <c r="U646"/>
  <c r="U647"/>
  <c r="U648"/>
  <c r="U649"/>
  <c r="U650"/>
  <c r="U651"/>
  <c r="U652"/>
  <c r="U653"/>
  <c r="U654"/>
  <c r="U655"/>
  <c r="U656"/>
  <c r="U657"/>
  <c r="U658"/>
  <c r="U659"/>
  <c r="U660"/>
  <c r="U661"/>
  <c r="U662"/>
  <c r="U663"/>
  <c r="U664"/>
  <c r="U665"/>
  <c r="U666"/>
  <c r="U667"/>
  <c r="U668"/>
  <c r="U669"/>
  <c r="U670"/>
  <c r="U671"/>
  <c r="U672"/>
  <c r="U673"/>
  <c r="U674"/>
  <c r="U675"/>
  <c r="U676"/>
  <c r="U677"/>
  <c r="U678"/>
  <c r="U679"/>
  <c r="U680"/>
  <c r="U681"/>
  <c r="U682"/>
  <c r="U683"/>
  <c r="U684"/>
  <c r="U685"/>
  <c r="U686"/>
  <c r="U687"/>
  <c r="U688"/>
  <c r="U689"/>
  <c r="U690"/>
  <c r="U691"/>
  <c r="U692"/>
  <c r="U693"/>
  <c r="U694"/>
  <c r="U695"/>
  <c r="U696"/>
  <c r="U697"/>
  <c r="U698"/>
  <c r="U699"/>
  <c r="U700"/>
  <c r="U701"/>
  <c r="U702"/>
  <c r="U703"/>
  <c r="U704"/>
  <c r="U705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U760"/>
  <c r="U761"/>
  <c r="U762"/>
  <c r="U763"/>
  <c r="U764"/>
  <c r="U765"/>
  <c r="U766"/>
  <c r="U767"/>
  <c r="U768"/>
  <c r="U769"/>
  <c r="U770"/>
  <c r="U771"/>
  <c r="U772"/>
  <c r="U773"/>
  <c r="U774"/>
  <c r="U775"/>
  <c r="T2"/>
  <c r="S2" s="1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X515"/>
  <c r="X516"/>
  <c r="X517"/>
  <c r="X518"/>
  <c r="X519"/>
  <c r="X520"/>
  <c r="X521"/>
  <c r="X522"/>
  <c r="X523"/>
  <c r="X524"/>
  <c r="X525"/>
  <c r="X526"/>
  <c r="X527"/>
  <c r="X528"/>
  <c r="X529"/>
  <c r="X530"/>
  <c r="X531"/>
  <c r="X532"/>
  <c r="X533"/>
  <c r="X534"/>
  <c r="X535"/>
  <c r="X536"/>
  <c r="X537"/>
  <c r="X538"/>
  <c r="X539"/>
  <c r="X540"/>
  <c r="X541"/>
  <c r="X542"/>
  <c r="X543"/>
  <c r="X544"/>
  <c r="X545"/>
  <c r="X546"/>
  <c r="X547"/>
  <c r="X548"/>
  <c r="X549"/>
  <c r="X550"/>
  <c r="X551"/>
  <c r="X552"/>
  <c r="X553"/>
  <c r="X554"/>
  <c r="X555"/>
  <c r="X556"/>
  <c r="X557"/>
  <c r="X558"/>
  <c r="X559"/>
  <c r="X560"/>
  <c r="X561"/>
  <c r="X562"/>
  <c r="X563"/>
  <c r="X564"/>
  <c r="X565"/>
  <c r="X566"/>
  <c r="X567"/>
  <c r="X568"/>
  <c r="X569"/>
  <c r="X570"/>
  <c r="X571"/>
  <c r="X572"/>
  <c r="X573"/>
  <c r="X574"/>
  <c r="X575"/>
  <c r="X576"/>
  <c r="X577"/>
  <c r="X578"/>
  <c r="X579"/>
  <c r="X580"/>
  <c r="X581"/>
  <c r="X582"/>
  <c r="X583"/>
  <c r="X584"/>
  <c r="X585"/>
  <c r="X586"/>
  <c r="X587"/>
  <c r="X588"/>
  <c r="X589"/>
  <c r="X590"/>
  <c r="X591"/>
  <c r="X592"/>
  <c r="X593"/>
  <c r="X594"/>
  <c r="X595"/>
  <c r="X596"/>
  <c r="X597"/>
  <c r="X598"/>
  <c r="X599"/>
  <c r="X600"/>
  <c r="X601"/>
  <c r="X602"/>
  <c r="X603"/>
  <c r="X604"/>
  <c r="X605"/>
  <c r="X606"/>
  <c r="X607"/>
  <c r="X608"/>
  <c r="X609"/>
  <c r="X610"/>
  <c r="X611"/>
  <c r="X612"/>
  <c r="X613"/>
  <c r="X614"/>
  <c r="X615"/>
  <c r="X616"/>
  <c r="X617"/>
  <c r="X618"/>
  <c r="X619"/>
  <c r="X620"/>
  <c r="X621"/>
  <c r="X622"/>
  <c r="X623"/>
  <c r="X624"/>
  <c r="X625"/>
  <c r="X626"/>
  <c r="X627"/>
  <c r="X628"/>
  <c r="X629"/>
  <c r="X630"/>
  <c r="X631"/>
  <c r="X632"/>
  <c r="X633"/>
  <c r="X634"/>
  <c r="X635"/>
  <c r="X636"/>
  <c r="X637"/>
  <c r="X638"/>
  <c r="X639"/>
  <c r="X640"/>
  <c r="X641"/>
  <c r="X642"/>
  <c r="X643"/>
  <c r="X644"/>
  <c r="X645"/>
  <c r="X646"/>
  <c r="X647"/>
  <c r="X648"/>
  <c r="X649"/>
  <c r="X650"/>
  <c r="X651"/>
  <c r="X652"/>
  <c r="X653"/>
  <c r="X654"/>
  <c r="X655"/>
  <c r="X656"/>
  <c r="X657"/>
  <c r="X658"/>
  <c r="X659"/>
  <c r="X660"/>
  <c r="X661"/>
  <c r="X662"/>
  <c r="X663"/>
  <c r="X664"/>
  <c r="X665"/>
  <c r="X666"/>
  <c r="X667"/>
  <c r="X668"/>
  <c r="X669"/>
  <c r="X670"/>
  <c r="X671"/>
  <c r="X672"/>
  <c r="X673"/>
  <c r="X674"/>
  <c r="X675"/>
  <c r="X676"/>
  <c r="X677"/>
  <c r="X678"/>
  <c r="X679"/>
  <c r="X680"/>
  <c r="X681"/>
  <c r="X682"/>
  <c r="X683"/>
  <c r="X684"/>
  <c r="X685"/>
  <c r="X686"/>
  <c r="X687"/>
  <c r="X688"/>
  <c r="X689"/>
  <c r="X690"/>
  <c r="X691"/>
  <c r="X692"/>
  <c r="X693"/>
  <c r="X694"/>
  <c r="X695"/>
  <c r="X696"/>
  <c r="X697"/>
  <c r="X698"/>
  <c r="X699"/>
  <c r="X700"/>
  <c r="X701"/>
  <c r="X702"/>
  <c r="X703"/>
  <c r="X704"/>
  <c r="X705"/>
  <c r="X706"/>
  <c r="X707"/>
  <c r="X708"/>
  <c r="X709"/>
  <c r="X710"/>
  <c r="X711"/>
  <c r="X712"/>
  <c r="X713"/>
  <c r="X714"/>
  <c r="X715"/>
  <c r="X716"/>
  <c r="X717"/>
  <c r="X718"/>
  <c r="X719"/>
  <c r="X720"/>
  <c r="X721"/>
  <c r="X722"/>
  <c r="X723"/>
  <c r="X724"/>
  <c r="X725"/>
  <c r="X726"/>
  <c r="X727"/>
  <c r="X728"/>
  <c r="X729"/>
  <c r="X730"/>
  <c r="X731"/>
  <c r="X732"/>
  <c r="X733"/>
  <c r="X734"/>
  <c r="X735"/>
  <c r="X736"/>
  <c r="X737"/>
  <c r="X738"/>
  <c r="X739"/>
  <c r="X740"/>
  <c r="X741"/>
  <c r="X742"/>
  <c r="X743"/>
  <c r="X744"/>
  <c r="X745"/>
  <c r="X746"/>
  <c r="X747"/>
  <c r="X748"/>
  <c r="X749"/>
  <c r="X750"/>
  <c r="X751"/>
  <c r="X752"/>
  <c r="X753"/>
  <c r="X754"/>
  <c r="X755"/>
  <c r="X756"/>
  <c r="X757"/>
  <c r="X758"/>
  <c r="X759"/>
  <c r="X760"/>
  <c r="X761"/>
  <c r="X762"/>
  <c r="X763"/>
  <c r="X764"/>
  <c r="X765"/>
  <c r="X766"/>
  <c r="X767"/>
  <c r="X768"/>
  <c r="X769"/>
  <c r="X770"/>
  <c r="X771"/>
  <c r="X772"/>
  <c r="X773"/>
  <c r="X774"/>
  <c r="X775"/>
  <c r="X776"/>
  <c r="X777"/>
  <c r="X778"/>
  <c r="X779"/>
  <c r="X780"/>
  <c r="X781"/>
  <c r="X782"/>
  <c r="X783"/>
  <c r="X784"/>
  <c r="X785"/>
  <c r="X786"/>
  <c r="X787"/>
  <c r="X788"/>
  <c r="X789"/>
  <c r="X790"/>
  <c r="X791"/>
  <c r="X792"/>
  <c r="X793"/>
  <c r="X794"/>
  <c r="X795"/>
  <c r="X796"/>
  <c r="X797"/>
  <c r="X798"/>
  <c r="X799"/>
  <c r="X800"/>
  <c r="X801"/>
  <c r="X802"/>
  <c r="X803"/>
  <c r="X804"/>
  <c r="X805"/>
  <c r="X806"/>
  <c r="X807"/>
  <c r="X808"/>
  <c r="X809"/>
  <c r="X810"/>
  <c r="X811"/>
  <c r="X812"/>
  <c r="X813"/>
  <c r="X814"/>
  <c r="X815"/>
  <c r="X816"/>
  <c r="X817"/>
  <c r="X818"/>
  <c r="X819"/>
  <c r="X820"/>
  <c r="X821"/>
  <c r="X822"/>
  <c r="X823"/>
  <c r="X824"/>
  <c r="X825"/>
  <c r="X826"/>
  <c r="X827"/>
  <c r="X828"/>
  <c r="X829"/>
  <c r="X830"/>
  <c r="X831"/>
  <c r="X832"/>
  <c r="X833"/>
  <c r="X834"/>
  <c r="X835"/>
  <c r="X836"/>
  <c r="X837"/>
  <c r="X838"/>
  <c r="X839"/>
  <c r="X840"/>
  <c r="X841"/>
  <c r="X842"/>
  <c r="X843"/>
  <c r="X844"/>
  <c r="X845"/>
  <c r="X846"/>
  <c r="X847"/>
  <c r="X848"/>
  <c r="X849"/>
  <c r="X850"/>
  <c r="X851"/>
  <c r="X852"/>
  <c r="X853"/>
  <c r="X854"/>
  <c r="X855"/>
  <c r="X856"/>
  <c r="X857"/>
  <c r="X858"/>
  <c r="X859"/>
  <c r="X860"/>
  <c r="X861"/>
  <c r="X862"/>
  <c r="X863"/>
  <c r="X864"/>
  <c r="X865"/>
  <c r="X866"/>
  <c r="X867"/>
  <c r="X868"/>
  <c r="X869"/>
  <c r="X870"/>
  <c r="X871"/>
  <c r="X872"/>
  <c r="X873"/>
  <c r="X874"/>
  <c r="X875"/>
  <c r="X876"/>
  <c r="X877"/>
  <c r="X878"/>
  <c r="X879"/>
  <c r="X880"/>
  <c r="X881"/>
  <c r="X882"/>
  <c r="X883"/>
  <c r="X884"/>
  <c r="X885"/>
  <c r="X886"/>
  <c r="X887"/>
  <c r="X888"/>
  <c r="X889"/>
  <c r="X890"/>
  <c r="X891"/>
  <c r="X892"/>
  <c r="X893"/>
  <c r="X894"/>
  <c r="X895"/>
  <c r="X896"/>
  <c r="X897"/>
  <c r="X898"/>
  <c r="X899"/>
  <c r="X900"/>
  <c r="X901"/>
  <c r="X902"/>
  <c r="X903"/>
  <c r="X904"/>
  <c r="X905"/>
  <c r="X906"/>
  <c r="X907"/>
  <c r="X908"/>
  <c r="X909"/>
  <c r="X910"/>
  <c r="X911"/>
  <c r="X912"/>
  <c r="X913"/>
  <c r="X914"/>
  <c r="X915"/>
  <c r="X916"/>
  <c r="X917"/>
  <c r="X918"/>
  <c r="X919"/>
  <c r="X920"/>
  <c r="X921"/>
  <c r="X922"/>
  <c r="X923"/>
  <c r="X924"/>
  <c r="X925"/>
  <c r="X926"/>
  <c r="X927"/>
  <c r="X928"/>
  <c r="X929"/>
  <c r="X930"/>
  <c r="X931"/>
  <c r="X932"/>
  <c r="X933"/>
  <c r="X934"/>
  <c r="X935"/>
  <c r="X936"/>
  <c r="X937"/>
  <c r="X938"/>
  <c r="X939"/>
  <c r="X940"/>
  <c r="X941"/>
  <c r="X942"/>
  <c r="X943"/>
  <c r="X944"/>
  <c r="X945"/>
  <c r="X946"/>
  <c r="X947"/>
  <c r="X948"/>
  <c r="X949"/>
  <c r="X950"/>
  <c r="X951"/>
  <c r="X952"/>
  <c r="X953"/>
  <c r="X954"/>
  <c r="X955"/>
  <c r="X956"/>
  <c r="X957"/>
  <c r="X958"/>
  <c r="X959"/>
  <c r="X960"/>
  <c r="X961"/>
  <c r="X962"/>
  <c r="X963"/>
  <c r="X964"/>
  <c r="X965"/>
  <c r="X966"/>
  <c r="X967"/>
  <c r="X968"/>
  <c r="X969"/>
  <c r="X970"/>
  <c r="X971"/>
  <c r="X972"/>
  <c r="X973"/>
  <c r="X974"/>
  <c r="X975"/>
  <c r="X976"/>
  <c r="X977"/>
  <c r="X978"/>
  <c r="X979"/>
  <c r="X980"/>
  <c r="X981"/>
  <c r="X982"/>
  <c r="X983"/>
  <c r="X984"/>
  <c r="X985"/>
  <c r="X986"/>
  <c r="X987"/>
  <c r="X988"/>
  <c r="X989"/>
  <c r="X990"/>
  <c r="X991"/>
  <c r="X992"/>
  <c r="X993"/>
  <c r="X994"/>
  <c r="X995"/>
  <c r="X996"/>
  <c r="X997"/>
  <c r="X998"/>
  <c r="X999"/>
  <c r="X1000"/>
  <c r="X1001"/>
  <c r="X1002"/>
  <c r="X1003"/>
  <c r="X1004"/>
  <c r="X1005"/>
  <c r="X1006"/>
  <c r="X1007"/>
  <c r="X1008"/>
  <c r="X1009"/>
  <c r="X1010"/>
  <c r="X1011"/>
  <c r="X1012"/>
  <c r="X1013"/>
  <c r="X1014"/>
  <c r="X1015"/>
  <c r="X1016"/>
  <c r="X1017"/>
  <c r="X1018"/>
  <c r="X1019"/>
  <c r="X1020"/>
  <c r="X1021"/>
  <c r="X1022"/>
  <c r="X1023"/>
  <c r="X1024"/>
  <c r="X1025"/>
  <c r="X1026"/>
  <c r="X1027"/>
  <c r="X1028"/>
  <c r="X1029"/>
  <c r="X1030"/>
  <c r="X1031"/>
  <c r="X1032"/>
  <c r="X1033"/>
  <c r="X1034"/>
  <c r="X1035"/>
  <c r="X1036"/>
  <c r="X1037"/>
  <c r="X1038"/>
  <c r="X1039"/>
  <c r="X1040"/>
  <c r="X1041"/>
  <c r="X1042"/>
  <c r="X1043"/>
  <c r="X1044"/>
  <c r="X1045"/>
  <c r="X1046"/>
  <c r="X1047"/>
  <c r="X1048"/>
  <c r="X1049"/>
  <c r="X1050"/>
  <c r="X1051"/>
  <c r="X1052"/>
  <c r="X1053"/>
  <c r="X1054"/>
  <c r="X1055"/>
  <c r="X1056"/>
  <c r="X1057"/>
  <c r="X1058"/>
  <c r="X1059"/>
  <c r="X1060"/>
  <c r="X1061"/>
  <c r="X1062"/>
  <c r="X1063"/>
  <c r="X1064"/>
  <c r="X1065"/>
  <c r="X1066"/>
  <c r="X1067"/>
  <c r="X1068"/>
  <c r="X1069"/>
  <c r="X1070"/>
  <c r="X1071"/>
  <c r="X1072"/>
  <c r="X1073"/>
  <c r="X1074"/>
  <c r="X1075"/>
  <c r="X1076"/>
  <c r="X1077"/>
  <c r="X1078"/>
  <c r="X1079"/>
  <c r="X1080"/>
  <c r="X1081"/>
  <c r="X1082"/>
  <c r="X1083"/>
  <c r="X1084"/>
  <c r="X1085"/>
  <c r="X1086"/>
  <c r="X1087"/>
  <c r="X1088"/>
  <c r="X1089"/>
  <c r="X1090"/>
  <c r="X1091"/>
  <c r="X1092"/>
  <c r="X1093"/>
  <c r="X1094"/>
  <c r="X1095"/>
  <c r="X1096"/>
  <c r="X1097"/>
  <c r="X1098"/>
  <c r="X1099"/>
  <c r="X1100"/>
  <c r="X1101"/>
  <c r="X1102"/>
  <c r="X1103"/>
  <c r="X1104"/>
  <c r="X1105"/>
  <c r="X1106"/>
  <c r="X1107"/>
  <c r="X1108"/>
  <c r="X1109"/>
  <c r="X1110"/>
  <c r="X1111"/>
  <c r="X1112"/>
  <c r="X1113"/>
  <c r="X1114"/>
  <c r="X1115"/>
  <c r="X1116"/>
  <c r="X1117"/>
  <c r="X1118"/>
  <c r="X1119"/>
  <c r="X1120"/>
  <c r="X1121"/>
  <c r="X1122"/>
  <c r="X1123"/>
  <c r="X1124"/>
  <c r="X1125"/>
  <c r="X1126"/>
  <c r="X1127"/>
  <c r="X1128"/>
  <c r="X1129"/>
  <c r="X1130"/>
  <c r="X1131"/>
  <c r="X1132"/>
  <c r="X1133"/>
  <c r="X1134"/>
  <c r="X1135"/>
  <c r="X1136"/>
  <c r="X1137"/>
  <c r="X1138"/>
  <c r="X1139"/>
  <c r="X1140"/>
  <c r="X1141"/>
  <c r="X1142"/>
  <c r="X1143"/>
  <c r="X1144"/>
  <c r="X1145"/>
  <c r="X1146"/>
  <c r="X1147"/>
  <c r="X1148"/>
  <c r="X1149"/>
  <c r="X1150"/>
  <c r="X1151"/>
  <c r="X1152"/>
  <c r="X1153"/>
  <c r="X1154"/>
  <c r="X1155"/>
  <c r="X1156"/>
  <c r="X1157"/>
  <c r="X1158"/>
  <c r="X1159"/>
  <c r="X1160"/>
  <c r="X1161"/>
  <c r="X1162"/>
  <c r="X1163"/>
  <c r="X1164"/>
  <c r="X1165"/>
  <c r="X1166"/>
  <c r="X1167"/>
  <c r="X1168"/>
  <c r="X1169"/>
  <c r="X1170"/>
  <c r="X1171"/>
  <c r="X1172"/>
  <c r="X1173"/>
  <c r="X1174"/>
  <c r="X1175"/>
  <c r="X1176"/>
  <c r="X1177"/>
  <c r="X1178"/>
  <c r="X1179"/>
  <c r="X1180"/>
  <c r="X1181"/>
  <c r="X1182"/>
  <c r="X1183"/>
  <c r="X1184"/>
  <c r="X1185"/>
  <c r="X1186"/>
  <c r="X1187"/>
  <c r="X1188"/>
  <c r="X1189"/>
  <c r="X1190"/>
  <c r="X1191"/>
  <c r="X1192"/>
  <c r="X1193"/>
  <c r="X1194"/>
  <c r="X1195"/>
  <c r="X1196"/>
  <c r="X1197"/>
  <c r="X1198"/>
  <c r="X1199"/>
  <c r="X1200"/>
  <c r="X1201"/>
  <c r="X1202"/>
  <c r="X1203"/>
  <c r="X1204"/>
  <c r="X1205"/>
  <c r="X1206"/>
  <c r="X1207"/>
  <c r="X1208"/>
  <c r="X1209"/>
  <c r="X1210"/>
  <c r="X1211"/>
  <c r="X1212"/>
  <c r="X1213"/>
  <c r="X1214"/>
  <c r="X1215"/>
  <c r="X1216"/>
  <c r="X1217"/>
  <c r="X1218"/>
  <c r="X1219"/>
  <c r="X1220"/>
  <c r="X1221"/>
  <c r="X1222"/>
  <c r="X1223"/>
  <c r="X1224"/>
  <c r="X1225"/>
  <c r="X1226"/>
  <c r="X1227"/>
  <c r="X1228"/>
  <c r="X1229"/>
  <c r="X1230"/>
  <c r="X1231"/>
  <c r="X1232"/>
  <c r="X1233"/>
  <c r="X1234"/>
  <c r="X1235"/>
  <c r="X1236"/>
  <c r="X1237"/>
  <c r="X1238"/>
  <c r="X1239"/>
  <c r="X1240"/>
  <c r="X1241"/>
  <c r="X1242"/>
  <c r="X1243"/>
  <c r="X1244"/>
  <c r="X1245"/>
  <c r="X1246"/>
  <c r="X1247"/>
  <c r="X1248"/>
  <c r="X1249"/>
  <c r="X1250"/>
  <c r="X1251"/>
  <c r="X1252"/>
  <c r="X1253"/>
  <c r="X1254"/>
  <c r="X1255"/>
  <c r="X1256"/>
  <c r="X1257"/>
  <c r="X1258"/>
  <c r="X1259"/>
  <c r="X1260"/>
  <c r="X1261"/>
  <c r="X1262"/>
  <c r="X1263"/>
  <c r="X1264"/>
  <c r="X1265"/>
  <c r="X1266"/>
  <c r="X1267"/>
  <c r="X1268"/>
  <c r="X1269"/>
  <c r="X1270"/>
  <c r="X1271"/>
  <c r="X1272"/>
  <c r="X1273"/>
  <c r="X1274"/>
  <c r="X1275"/>
  <c r="X1276"/>
  <c r="X1277"/>
  <c r="X1278"/>
  <c r="X1279"/>
  <c r="X1280"/>
  <c r="X1281"/>
  <c r="X1282"/>
  <c r="X1283"/>
  <c r="X1284"/>
  <c r="X1285"/>
  <c r="X1286"/>
  <c r="X1287"/>
  <c r="X1288"/>
  <c r="X1289"/>
  <c r="X1290"/>
  <c r="X1291"/>
  <c r="X1292"/>
  <c r="X1293"/>
  <c r="X1294"/>
  <c r="X1295"/>
  <c r="X1296"/>
  <c r="X1297"/>
  <c r="X1298"/>
  <c r="X1299"/>
  <c r="X1300"/>
  <c r="X1301"/>
  <c r="X1302"/>
  <c r="X1303"/>
  <c r="X1304"/>
  <c r="X1305"/>
  <c r="X1306"/>
  <c r="X1307"/>
  <c r="X1308"/>
  <c r="X1309"/>
  <c r="X1310"/>
  <c r="X1311"/>
  <c r="X1312"/>
  <c r="X1313"/>
  <c r="X1314"/>
  <c r="X1315"/>
  <c r="X1316"/>
  <c r="X1317"/>
  <c r="X1318"/>
  <c r="X1319"/>
  <c r="X1320"/>
  <c r="X1321"/>
  <c r="X1322"/>
  <c r="X1323"/>
  <c r="X1324"/>
  <c r="X1325"/>
  <c r="X1326"/>
  <c r="X1327"/>
  <c r="X1328"/>
  <c r="X1329"/>
  <c r="X1330"/>
  <c r="X1331"/>
  <c r="X1332"/>
  <c r="X1333"/>
  <c r="X1334"/>
  <c r="X1335"/>
  <c r="X1336"/>
  <c r="X1337"/>
  <c r="X1338"/>
  <c r="X1339"/>
  <c r="X1340"/>
  <c r="X1341"/>
  <c r="X1342"/>
  <c r="X1343"/>
  <c r="X1344"/>
  <c r="X1345"/>
  <c r="X1346"/>
  <c r="X1347"/>
  <c r="X1348"/>
  <c r="X1349"/>
  <c r="X1350"/>
  <c r="X1351"/>
  <c r="X1352"/>
  <c r="X1353"/>
  <c r="X1354"/>
  <c r="X1355"/>
  <c r="X1356"/>
  <c r="Y133"/>
  <c r="W133" s="1"/>
  <c r="Y134"/>
  <c r="W134" s="1"/>
  <c r="Y135"/>
  <c r="W135" s="1"/>
  <c r="Y136"/>
  <c r="W136" s="1"/>
  <c r="Y137"/>
  <c r="W137" s="1"/>
  <c r="Y138"/>
  <c r="W138" s="1"/>
  <c r="Y139"/>
  <c r="W139" s="1"/>
  <c r="Y140"/>
  <c r="W140" s="1"/>
  <c r="Y141"/>
  <c r="W141" s="1"/>
  <c r="Y142"/>
  <c r="W142" s="1"/>
  <c r="Y143"/>
  <c r="W143" s="1"/>
  <c r="Y144"/>
  <c r="W144" s="1"/>
  <c r="Y145"/>
  <c r="W145" s="1"/>
  <c r="Y146"/>
  <c r="W146" s="1"/>
  <c r="Y147"/>
  <c r="W147" s="1"/>
  <c r="Y148"/>
  <c r="W148" s="1"/>
  <c r="Y149"/>
  <c r="W149" s="1"/>
  <c r="Y150"/>
  <c r="W150" s="1"/>
  <c r="Y151"/>
  <c r="W151" s="1"/>
  <c r="Y152"/>
  <c r="W152" s="1"/>
  <c r="Y153"/>
  <c r="W153" s="1"/>
  <c r="Y154"/>
  <c r="W154" s="1"/>
  <c r="Y155"/>
  <c r="W155" s="1"/>
  <c r="Y156"/>
  <c r="W156" s="1"/>
  <c r="Y157"/>
  <c r="W157" s="1"/>
  <c r="Y158"/>
  <c r="W158" s="1"/>
  <c r="Y159"/>
  <c r="W159" s="1"/>
  <c r="Y160"/>
  <c r="W160" s="1"/>
  <c r="Y161"/>
  <c r="W161" s="1"/>
  <c r="Y162"/>
  <c r="W162" s="1"/>
  <c r="Y163"/>
  <c r="W163" s="1"/>
  <c r="Y164"/>
  <c r="W164" s="1"/>
  <c r="Y165"/>
  <c r="W165" s="1"/>
  <c r="Y166"/>
  <c r="W166" s="1"/>
  <c r="Y167"/>
  <c r="W167" s="1"/>
  <c r="Y168"/>
  <c r="W168" s="1"/>
  <c r="Y169"/>
  <c r="W169" s="1"/>
  <c r="Y170"/>
  <c r="W170" s="1"/>
  <c r="Y171"/>
  <c r="W171" s="1"/>
  <c r="Y172"/>
  <c r="W172" s="1"/>
  <c r="Y173"/>
  <c r="W173" s="1"/>
  <c r="Y174"/>
  <c r="W174" s="1"/>
  <c r="Y175"/>
  <c r="W175" s="1"/>
  <c r="Y176"/>
  <c r="W176" s="1"/>
  <c r="Y177"/>
  <c r="W177" s="1"/>
  <c r="Y178"/>
  <c r="W178" s="1"/>
  <c r="Y179"/>
  <c r="W179" s="1"/>
  <c r="Y180"/>
  <c r="W180" s="1"/>
  <c r="Y181"/>
  <c r="W181" s="1"/>
  <c r="Y182"/>
  <c r="W182" s="1"/>
  <c r="Y183"/>
  <c r="W183" s="1"/>
  <c r="Y184"/>
  <c r="W184" s="1"/>
  <c r="Y185"/>
  <c r="W185" s="1"/>
  <c r="Y186"/>
  <c r="W186" s="1"/>
  <c r="Y187"/>
  <c r="W187" s="1"/>
  <c r="Y188"/>
  <c r="W188" s="1"/>
  <c r="Y189"/>
  <c r="W189" s="1"/>
  <c r="Y190"/>
  <c r="W190" s="1"/>
  <c r="Y191"/>
  <c r="W191" s="1"/>
  <c r="Y192"/>
  <c r="W192" s="1"/>
  <c r="Y193"/>
  <c r="W193" s="1"/>
  <c r="Y194"/>
  <c r="W194" s="1"/>
  <c r="Y195"/>
  <c r="W195" s="1"/>
  <c r="Y196"/>
  <c r="W196" s="1"/>
  <c r="Y197"/>
  <c r="W197" s="1"/>
  <c r="Y198"/>
  <c r="W198" s="1"/>
  <c r="Y199"/>
  <c r="W199" s="1"/>
  <c r="Y200"/>
  <c r="W200" s="1"/>
  <c r="Y201"/>
  <c r="W201" s="1"/>
  <c r="Y202"/>
  <c r="W202" s="1"/>
  <c r="Y203"/>
  <c r="W203" s="1"/>
  <c r="Y204"/>
  <c r="W204" s="1"/>
  <c r="Y205"/>
  <c r="W205" s="1"/>
  <c r="Y206"/>
  <c r="W206" s="1"/>
  <c r="Y207"/>
  <c r="W207" s="1"/>
  <c r="Y208"/>
  <c r="W208" s="1"/>
  <c r="Y209"/>
  <c r="W209" s="1"/>
  <c r="Y210"/>
  <c r="W210" s="1"/>
  <c r="Y211"/>
  <c r="W211" s="1"/>
  <c r="Y212"/>
  <c r="W212" s="1"/>
  <c r="Y213"/>
  <c r="W213" s="1"/>
  <c r="Y214"/>
  <c r="W214" s="1"/>
  <c r="Y215"/>
  <c r="W215" s="1"/>
  <c r="Y216"/>
  <c r="W216" s="1"/>
  <c r="Y217"/>
  <c r="W217" s="1"/>
  <c r="Y218"/>
  <c r="W218" s="1"/>
  <c r="Y219"/>
  <c r="W219" s="1"/>
  <c r="Y220"/>
  <c r="W220" s="1"/>
  <c r="Y221"/>
  <c r="W221" s="1"/>
  <c r="Y222"/>
  <c r="W222" s="1"/>
  <c r="Y223"/>
  <c r="W223" s="1"/>
  <c r="Y224"/>
  <c r="W224" s="1"/>
  <c r="Y225"/>
  <c r="W225" s="1"/>
  <c r="Y226"/>
  <c r="W226" s="1"/>
  <c r="Y227"/>
  <c r="W227" s="1"/>
  <c r="Y228"/>
  <c r="W228" s="1"/>
  <c r="Y229"/>
  <c r="W229" s="1"/>
  <c r="Y230"/>
  <c r="W230" s="1"/>
  <c r="Y231"/>
  <c r="W231" s="1"/>
  <c r="Y232"/>
  <c r="W232" s="1"/>
  <c r="Y233"/>
  <c r="W233" s="1"/>
  <c r="Y234"/>
  <c r="W234" s="1"/>
  <c r="Y235"/>
  <c r="W235" s="1"/>
  <c r="Y236"/>
  <c r="W236" s="1"/>
  <c r="Y237"/>
  <c r="W237" s="1"/>
  <c r="Y238"/>
  <c r="W238" s="1"/>
  <c r="Y239"/>
  <c r="W239" s="1"/>
  <c r="Y240"/>
  <c r="W240" s="1"/>
  <c r="Y241"/>
  <c r="W241" s="1"/>
  <c r="Y242"/>
  <c r="W242" s="1"/>
  <c r="Y243"/>
  <c r="W243" s="1"/>
  <c r="Y244"/>
  <c r="W244" s="1"/>
  <c r="Y245"/>
  <c r="W245" s="1"/>
  <c r="Y246"/>
  <c r="W246" s="1"/>
  <c r="Y247"/>
  <c r="W247" s="1"/>
  <c r="Y248"/>
  <c r="W248" s="1"/>
  <c r="Y249"/>
  <c r="W249" s="1"/>
  <c r="Y250"/>
  <c r="W250" s="1"/>
  <c r="Y251"/>
  <c r="W251" s="1"/>
  <c r="Y252"/>
  <c r="W252" s="1"/>
  <c r="Y253"/>
  <c r="W253" s="1"/>
  <c r="Y254"/>
  <c r="W254" s="1"/>
  <c r="Y255"/>
  <c r="W255" s="1"/>
  <c r="Y256"/>
  <c r="W256" s="1"/>
  <c r="Y257"/>
  <c r="W257" s="1"/>
  <c r="Y258"/>
  <c r="W258" s="1"/>
  <c r="Y259"/>
  <c r="W259" s="1"/>
  <c r="Y260"/>
  <c r="W260" s="1"/>
  <c r="Y261"/>
  <c r="W261" s="1"/>
  <c r="Y262"/>
  <c r="W262" s="1"/>
  <c r="Y263"/>
  <c r="W263" s="1"/>
  <c r="Y264"/>
  <c r="W264" s="1"/>
  <c r="Y265"/>
  <c r="W265" s="1"/>
  <c r="Y266"/>
  <c r="W266" s="1"/>
  <c r="Y267"/>
  <c r="W267" s="1"/>
  <c r="Y268"/>
  <c r="W268" s="1"/>
  <c r="Y269"/>
  <c r="W269" s="1"/>
  <c r="Y270"/>
  <c r="W270" s="1"/>
  <c r="Y271"/>
  <c r="W271" s="1"/>
  <c r="Y272"/>
  <c r="W272" s="1"/>
  <c r="Y273"/>
  <c r="W273" s="1"/>
  <c r="Y274"/>
  <c r="W274" s="1"/>
  <c r="Y275"/>
  <c r="W275" s="1"/>
  <c r="Y276"/>
  <c r="W276" s="1"/>
  <c r="Y277"/>
  <c r="W277" s="1"/>
  <c r="Y278"/>
  <c r="W278" s="1"/>
  <c r="Y279"/>
  <c r="W279" s="1"/>
  <c r="Y280"/>
  <c r="W280" s="1"/>
  <c r="Y281"/>
  <c r="W281" s="1"/>
  <c r="Y282"/>
  <c r="W282" s="1"/>
  <c r="Y283"/>
  <c r="W283" s="1"/>
  <c r="Y284"/>
  <c r="W284" s="1"/>
  <c r="Y285"/>
  <c r="W285" s="1"/>
  <c r="Y286"/>
  <c r="W286" s="1"/>
  <c r="Y287"/>
  <c r="W287" s="1"/>
  <c r="Y288"/>
  <c r="W288" s="1"/>
  <c r="Y289"/>
  <c r="W289" s="1"/>
  <c r="Y290"/>
  <c r="W290" s="1"/>
  <c r="Y291"/>
  <c r="W291" s="1"/>
  <c r="Y292"/>
  <c r="W292" s="1"/>
  <c r="Y293"/>
  <c r="W293" s="1"/>
  <c r="Y294"/>
  <c r="W294" s="1"/>
  <c r="Y295"/>
  <c r="W295" s="1"/>
  <c r="Y296"/>
  <c r="W296" s="1"/>
  <c r="Y297"/>
  <c r="W297" s="1"/>
  <c r="Y298"/>
  <c r="W298" s="1"/>
  <c r="Y299"/>
  <c r="W299" s="1"/>
  <c r="Y300"/>
  <c r="W300" s="1"/>
  <c r="Y301"/>
  <c r="W301" s="1"/>
  <c r="Y302"/>
  <c r="W302" s="1"/>
  <c r="Y303"/>
  <c r="W303" s="1"/>
  <c r="Y304"/>
  <c r="W304" s="1"/>
  <c r="Y305"/>
  <c r="W305" s="1"/>
  <c r="Y306"/>
  <c r="W306" s="1"/>
  <c r="Y307"/>
  <c r="W307" s="1"/>
  <c r="Y308"/>
  <c r="W308" s="1"/>
  <c r="Y309"/>
  <c r="W309" s="1"/>
  <c r="Y310"/>
  <c r="W310" s="1"/>
  <c r="Y311"/>
  <c r="W311" s="1"/>
  <c r="Y312"/>
  <c r="W312" s="1"/>
  <c r="Y313"/>
  <c r="W313" s="1"/>
  <c r="Y314"/>
  <c r="W314" s="1"/>
  <c r="Y315"/>
  <c r="W315" s="1"/>
  <c r="Y316"/>
  <c r="W316" s="1"/>
  <c r="Y317"/>
  <c r="W317" s="1"/>
  <c r="Y318"/>
  <c r="W318" s="1"/>
  <c r="Y319"/>
  <c r="W319" s="1"/>
  <c r="Y320"/>
  <c r="W320" s="1"/>
  <c r="Y321"/>
  <c r="W321" s="1"/>
  <c r="Y322"/>
  <c r="W322" s="1"/>
  <c r="Y323"/>
  <c r="W323" s="1"/>
  <c r="Y324"/>
  <c r="W324" s="1"/>
  <c r="Y325"/>
  <c r="W325" s="1"/>
  <c r="Y326"/>
  <c r="W326" s="1"/>
  <c r="Y327"/>
  <c r="W327" s="1"/>
  <c r="Y328"/>
  <c r="W328" s="1"/>
  <c r="Y329"/>
  <c r="W329" s="1"/>
  <c r="Y330"/>
  <c r="W330" s="1"/>
  <c r="Y331"/>
  <c r="W331" s="1"/>
  <c r="Y332"/>
  <c r="W332" s="1"/>
  <c r="Y333"/>
  <c r="W333" s="1"/>
  <c r="Y334"/>
  <c r="W334" s="1"/>
  <c r="Y335"/>
  <c r="W335" s="1"/>
  <c r="Y336"/>
  <c r="W336" s="1"/>
  <c r="Y337"/>
  <c r="W337" s="1"/>
  <c r="Y338"/>
  <c r="W338" s="1"/>
  <c r="Y339"/>
  <c r="W339" s="1"/>
  <c r="Y340"/>
  <c r="W340" s="1"/>
  <c r="Y341"/>
  <c r="W341" s="1"/>
  <c r="Y342"/>
  <c r="W342" s="1"/>
  <c r="Y343"/>
  <c r="W343" s="1"/>
  <c r="Y344"/>
  <c r="W344" s="1"/>
  <c r="Y345"/>
  <c r="W345" s="1"/>
  <c r="Y346"/>
  <c r="W346" s="1"/>
  <c r="Y347"/>
  <c r="W347" s="1"/>
  <c r="Y348"/>
  <c r="W348" s="1"/>
  <c r="Y349"/>
  <c r="W349" s="1"/>
  <c r="Y350"/>
  <c r="W350" s="1"/>
  <c r="Y351"/>
  <c r="W351" s="1"/>
  <c r="Y352"/>
  <c r="W352" s="1"/>
  <c r="Y353"/>
  <c r="W353" s="1"/>
  <c r="Y354"/>
  <c r="W354" s="1"/>
  <c r="Y355"/>
  <c r="W355" s="1"/>
  <c r="Y356"/>
  <c r="W356" s="1"/>
  <c r="Y357"/>
  <c r="W357" s="1"/>
  <c r="Y358"/>
  <c r="W358" s="1"/>
  <c r="Y359"/>
  <c r="W359" s="1"/>
  <c r="Y360"/>
  <c r="W360" s="1"/>
  <c r="Y361"/>
  <c r="W361" s="1"/>
  <c r="Y362"/>
  <c r="W362" s="1"/>
  <c r="Y363"/>
  <c r="W363" s="1"/>
  <c r="Y364"/>
  <c r="W364" s="1"/>
  <c r="Y365"/>
  <c r="W365" s="1"/>
  <c r="Y366"/>
  <c r="W366" s="1"/>
  <c r="Y367"/>
  <c r="W367" s="1"/>
  <c r="Y368"/>
  <c r="W368" s="1"/>
  <c r="Y369"/>
  <c r="W369" s="1"/>
  <c r="Y370"/>
  <c r="W370" s="1"/>
  <c r="Y371"/>
  <c r="W371" s="1"/>
  <c r="Y372"/>
  <c r="W372" s="1"/>
  <c r="Y373"/>
  <c r="W373" s="1"/>
  <c r="Y374"/>
  <c r="W374" s="1"/>
  <c r="Y375"/>
  <c r="W375" s="1"/>
  <c r="Y376"/>
  <c r="W376" s="1"/>
  <c r="Y377"/>
  <c r="W377" s="1"/>
  <c r="Y378"/>
  <c r="W378" s="1"/>
  <c r="Y379"/>
  <c r="W379" s="1"/>
  <c r="Y380"/>
  <c r="W380" s="1"/>
  <c r="Y381"/>
  <c r="W381" s="1"/>
  <c r="Y382"/>
  <c r="W382" s="1"/>
  <c r="Y383"/>
  <c r="W383" s="1"/>
  <c r="Y384"/>
  <c r="W384" s="1"/>
  <c r="Y385"/>
  <c r="W385" s="1"/>
  <c r="Y386"/>
  <c r="W386" s="1"/>
  <c r="Y387"/>
  <c r="W387" s="1"/>
  <c r="Y388"/>
  <c r="W388" s="1"/>
  <c r="Y389"/>
  <c r="W389" s="1"/>
  <c r="Y390"/>
  <c r="W390" s="1"/>
  <c r="Y391"/>
  <c r="W391" s="1"/>
  <c r="Y392"/>
  <c r="W392" s="1"/>
  <c r="Y393"/>
  <c r="W393" s="1"/>
  <c r="Y394"/>
  <c r="W394" s="1"/>
  <c r="Y395"/>
  <c r="W395" s="1"/>
  <c r="Y396"/>
  <c r="W396" s="1"/>
  <c r="Y397"/>
  <c r="W397" s="1"/>
  <c r="Y398"/>
  <c r="W398" s="1"/>
  <c r="Y399"/>
  <c r="W399" s="1"/>
  <c r="Y400"/>
  <c r="W400" s="1"/>
  <c r="Y401"/>
  <c r="W401" s="1"/>
  <c r="Y402"/>
  <c r="W402" s="1"/>
  <c r="Y403"/>
  <c r="W403" s="1"/>
  <c r="Y404"/>
  <c r="W404" s="1"/>
  <c r="Y405"/>
  <c r="W405" s="1"/>
  <c r="Y406"/>
  <c r="W406" s="1"/>
  <c r="Y407"/>
  <c r="W407" s="1"/>
  <c r="Y408"/>
  <c r="W408" s="1"/>
  <c r="Y409"/>
  <c r="W409" s="1"/>
  <c r="Y410"/>
  <c r="W410" s="1"/>
  <c r="Y411"/>
  <c r="W411" s="1"/>
  <c r="Y412"/>
  <c r="W412" s="1"/>
  <c r="Y413"/>
  <c r="W413" s="1"/>
  <c r="Y414"/>
  <c r="W414" s="1"/>
  <c r="Y415"/>
  <c r="W415" s="1"/>
  <c r="Y416"/>
  <c r="W416" s="1"/>
  <c r="Y417"/>
  <c r="W417" s="1"/>
  <c r="Y418"/>
  <c r="W418" s="1"/>
  <c r="Y419"/>
  <c r="W419" s="1"/>
  <c r="Y420"/>
  <c r="W420" s="1"/>
  <c r="Y421"/>
  <c r="W421" s="1"/>
  <c r="Y422"/>
  <c r="W422" s="1"/>
  <c r="Y423"/>
  <c r="W423" s="1"/>
  <c r="Y424"/>
  <c r="W424" s="1"/>
  <c r="Y425"/>
  <c r="W425" s="1"/>
  <c r="Y426"/>
  <c r="W426" s="1"/>
  <c r="Y427"/>
  <c r="W427" s="1"/>
  <c r="Y428"/>
  <c r="W428" s="1"/>
  <c r="Y429"/>
  <c r="W429" s="1"/>
  <c r="Y430"/>
  <c r="W430" s="1"/>
  <c r="Y431"/>
  <c r="W431" s="1"/>
  <c r="Y432"/>
  <c r="W432" s="1"/>
  <c r="Y433"/>
  <c r="W433" s="1"/>
  <c r="Y434"/>
  <c r="W434" s="1"/>
  <c r="Y435"/>
  <c r="W435" s="1"/>
  <c r="Y436"/>
  <c r="W436" s="1"/>
  <c r="Y437"/>
  <c r="W437" s="1"/>
  <c r="Y438"/>
  <c r="W438" s="1"/>
  <c r="Y439"/>
  <c r="W439" s="1"/>
  <c r="Y440"/>
  <c r="W440" s="1"/>
  <c r="Y441"/>
  <c r="W441" s="1"/>
  <c r="Y442"/>
  <c r="W442" s="1"/>
  <c r="Y443"/>
  <c r="W443" s="1"/>
  <c r="Y444"/>
  <c r="W444" s="1"/>
  <c r="Y445"/>
  <c r="W445" s="1"/>
  <c r="Y446"/>
  <c r="W446" s="1"/>
  <c r="Y447"/>
  <c r="W447" s="1"/>
  <c r="Y448"/>
  <c r="W448" s="1"/>
  <c r="Y449"/>
  <c r="W449" s="1"/>
  <c r="Y450"/>
  <c r="W450" s="1"/>
  <c r="Y451"/>
  <c r="W451" s="1"/>
  <c r="Y452"/>
  <c r="W452" s="1"/>
  <c r="Y453"/>
  <c r="W453" s="1"/>
  <c r="Y454"/>
  <c r="W454" s="1"/>
  <c r="Y455"/>
  <c r="W455" s="1"/>
  <c r="Y456"/>
  <c r="W456" s="1"/>
  <c r="Y457"/>
  <c r="W457" s="1"/>
  <c r="Y458"/>
  <c r="W458" s="1"/>
  <c r="Y459"/>
  <c r="W459" s="1"/>
  <c r="Y460"/>
  <c r="W460" s="1"/>
  <c r="Y461"/>
  <c r="W461" s="1"/>
  <c r="Y462"/>
  <c r="W462" s="1"/>
  <c r="Y463"/>
  <c r="W463" s="1"/>
  <c r="Y464"/>
  <c r="W464" s="1"/>
  <c r="Y465"/>
  <c r="W465" s="1"/>
  <c r="Y466"/>
  <c r="W466" s="1"/>
  <c r="Y467"/>
  <c r="W467" s="1"/>
  <c r="Y468"/>
  <c r="W468" s="1"/>
  <c r="Y469"/>
  <c r="W469" s="1"/>
  <c r="Y470"/>
  <c r="W470" s="1"/>
  <c r="Y471"/>
  <c r="W471" s="1"/>
  <c r="Y472"/>
  <c r="W472" s="1"/>
  <c r="Y473"/>
  <c r="W473" s="1"/>
  <c r="Y474"/>
  <c r="W474" s="1"/>
  <c r="Y475"/>
  <c r="W475" s="1"/>
  <c r="Y476"/>
  <c r="W476" s="1"/>
  <c r="Y477"/>
  <c r="W477" s="1"/>
  <c r="Y478"/>
  <c r="W478" s="1"/>
  <c r="Y479"/>
  <c r="W479" s="1"/>
  <c r="Y480"/>
  <c r="W480" s="1"/>
  <c r="Y481"/>
  <c r="W481" s="1"/>
  <c r="Y482"/>
  <c r="W482" s="1"/>
  <c r="Y483"/>
  <c r="W483" s="1"/>
  <c r="Y484"/>
  <c r="W484" s="1"/>
  <c r="Y485"/>
  <c r="W485" s="1"/>
  <c r="Y486"/>
  <c r="W486" s="1"/>
  <c r="Y487"/>
  <c r="W487" s="1"/>
  <c r="Y488"/>
  <c r="W488" s="1"/>
  <c r="Y489"/>
  <c r="W489" s="1"/>
  <c r="Y490"/>
  <c r="W490" s="1"/>
  <c r="Y491"/>
  <c r="W491" s="1"/>
  <c r="Y492"/>
  <c r="W492" s="1"/>
  <c r="Y493"/>
  <c r="W493" s="1"/>
  <c r="Y494"/>
  <c r="W494" s="1"/>
  <c r="Y495"/>
  <c r="W495" s="1"/>
  <c r="Y496"/>
  <c r="W496" s="1"/>
  <c r="Y497"/>
  <c r="W497" s="1"/>
  <c r="Y498"/>
  <c r="W498" s="1"/>
  <c r="Y499"/>
  <c r="W499" s="1"/>
  <c r="Y500"/>
  <c r="W500" s="1"/>
  <c r="Y501"/>
  <c r="W501" s="1"/>
  <c r="Y502"/>
  <c r="W502" s="1"/>
  <c r="Y503"/>
  <c r="W503" s="1"/>
  <c r="Y504"/>
  <c r="W504" s="1"/>
  <c r="Y505"/>
  <c r="W505" s="1"/>
  <c r="Y506"/>
  <c r="W506" s="1"/>
  <c r="Y507"/>
  <c r="W507" s="1"/>
  <c r="Y508"/>
  <c r="W508" s="1"/>
  <c r="Y509"/>
  <c r="W509" s="1"/>
  <c r="Y510"/>
  <c r="W510" s="1"/>
  <c r="Y511"/>
  <c r="W511" s="1"/>
  <c r="Y512"/>
  <c r="W512" s="1"/>
  <c r="Y513"/>
  <c r="W513" s="1"/>
  <c r="Y514"/>
  <c r="W514" s="1"/>
  <c r="Y515"/>
  <c r="W515" s="1"/>
  <c r="Y516"/>
  <c r="W516" s="1"/>
  <c r="Y517"/>
  <c r="W517" s="1"/>
  <c r="Y518"/>
  <c r="W518" s="1"/>
  <c r="Y519"/>
  <c r="W519" s="1"/>
  <c r="Y520"/>
  <c r="W520" s="1"/>
  <c r="Y521"/>
  <c r="W521" s="1"/>
  <c r="Y522"/>
  <c r="W522" s="1"/>
  <c r="Y523"/>
  <c r="W523" s="1"/>
  <c r="Y524"/>
  <c r="W524" s="1"/>
  <c r="Y525"/>
  <c r="W525" s="1"/>
  <c r="Y526"/>
  <c r="W526" s="1"/>
  <c r="Y527"/>
  <c r="W527" s="1"/>
  <c r="Y528"/>
  <c r="W528" s="1"/>
  <c r="Y529"/>
  <c r="W529" s="1"/>
  <c r="Y530"/>
  <c r="W530" s="1"/>
  <c r="Y531"/>
  <c r="W531" s="1"/>
  <c r="Y532"/>
  <c r="W532" s="1"/>
  <c r="Y533"/>
  <c r="W533" s="1"/>
  <c r="Y534"/>
  <c r="W534" s="1"/>
  <c r="Y535"/>
  <c r="W535" s="1"/>
  <c r="Y536"/>
  <c r="W536" s="1"/>
  <c r="Y537"/>
  <c r="W537" s="1"/>
  <c r="Y538"/>
  <c r="W538" s="1"/>
  <c r="Y539"/>
  <c r="W539" s="1"/>
  <c r="Y540"/>
  <c r="W540" s="1"/>
  <c r="Y541"/>
  <c r="W541" s="1"/>
  <c r="Y542"/>
  <c r="W542" s="1"/>
  <c r="Y543"/>
  <c r="W543" s="1"/>
  <c r="Y544"/>
  <c r="W544" s="1"/>
  <c r="Y545"/>
  <c r="W545" s="1"/>
  <c r="Y546"/>
  <c r="W546" s="1"/>
  <c r="Y547"/>
  <c r="W547" s="1"/>
  <c r="Y548"/>
  <c r="W548" s="1"/>
  <c r="Y549"/>
  <c r="W549" s="1"/>
  <c r="Y550"/>
  <c r="W550" s="1"/>
  <c r="Y551"/>
  <c r="W551" s="1"/>
  <c r="Y552"/>
  <c r="W552" s="1"/>
  <c r="Y553"/>
  <c r="W553" s="1"/>
  <c r="Y554"/>
  <c r="W554" s="1"/>
  <c r="Y555"/>
  <c r="W555" s="1"/>
  <c r="Y556"/>
  <c r="W556" s="1"/>
  <c r="Y557"/>
  <c r="W557" s="1"/>
  <c r="Y558"/>
  <c r="W558" s="1"/>
  <c r="Y559"/>
  <c r="W559" s="1"/>
  <c r="Y560"/>
  <c r="W560" s="1"/>
  <c r="Y561"/>
  <c r="W561" s="1"/>
  <c r="Y562"/>
  <c r="W562" s="1"/>
  <c r="Y563"/>
  <c r="W563" s="1"/>
  <c r="Y564"/>
  <c r="W564" s="1"/>
  <c r="Y565"/>
  <c r="W565" s="1"/>
  <c r="Y566"/>
  <c r="W566" s="1"/>
  <c r="Y567"/>
  <c r="W567" s="1"/>
  <c r="Y568"/>
  <c r="W568" s="1"/>
  <c r="Y569"/>
  <c r="W569" s="1"/>
  <c r="Y570"/>
  <c r="W570" s="1"/>
  <c r="Y571"/>
  <c r="W571" s="1"/>
  <c r="Y572"/>
  <c r="W572" s="1"/>
  <c r="Y573"/>
  <c r="W573" s="1"/>
  <c r="Y574"/>
  <c r="W574" s="1"/>
  <c r="Y575"/>
  <c r="W575" s="1"/>
  <c r="Y576"/>
  <c r="W576" s="1"/>
  <c r="Y577"/>
  <c r="W577" s="1"/>
  <c r="Y578"/>
  <c r="W578" s="1"/>
  <c r="Y579"/>
  <c r="W579" s="1"/>
  <c r="Y580"/>
  <c r="W580" s="1"/>
  <c r="Y581"/>
  <c r="W581" s="1"/>
  <c r="Y582"/>
  <c r="W582" s="1"/>
  <c r="Y583"/>
  <c r="W583" s="1"/>
  <c r="Y584"/>
  <c r="W584" s="1"/>
  <c r="Y585"/>
  <c r="W585" s="1"/>
  <c r="Y586"/>
  <c r="W586" s="1"/>
  <c r="Y587"/>
  <c r="W587" s="1"/>
  <c r="Y588"/>
  <c r="W588" s="1"/>
  <c r="Y589"/>
  <c r="W589" s="1"/>
  <c r="Y590"/>
  <c r="W590" s="1"/>
  <c r="Y591"/>
  <c r="W591" s="1"/>
  <c r="Y592"/>
  <c r="W592" s="1"/>
  <c r="Y593"/>
  <c r="W593" s="1"/>
  <c r="Y594"/>
  <c r="W594" s="1"/>
  <c r="Y595"/>
  <c r="W595" s="1"/>
  <c r="Y596"/>
  <c r="W596" s="1"/>
  <c r="Y597"/>
  <c r="W597" s="1"/>
  <c r="Y598"/>
  <c r="W598" s="1"/>
  <c r="Y599"/>
  <c r="W599" s="1"/>
  <c r="Y600"/>
  <c r="W600" s="1"/>
  <c r="Y601"/>
  <c r="W601" s="1"/>
  <c r="Y602"/>
  <c r="W602" s="1"/>
  <c r="Y603"/>
  <c r="W603" s="1"/>
  <c r="Y604"/>
  <c r="W604" s="1"/>
  <c r="Y605"/>
  <c r="W605" s="1"/>
  <c r="Y606"/>
  <c r="W606" s="1"/>
  <c r="Y607"/>
  <c r="W607" s="1"/>
  <c r="Y608"/>
  <c r="W608" s="1"/>
  <c r="Y609"/>
  <c r="W609" s="1"/>
  <c r="Y610"/>
  <c r="W610" s="1"/>
  <c r="Y611"/>
  <c r="W611" s="1"/>
  <c r="Y612"/>
  <c r="W612" s="1"/>
  <c r="Y613"/>
  <c r="W613" s="1"/>
  <c r="Y614"/>
  <c r="W614" s="1"/>
  <c r="Y615"/>
  <c r="W615" s="1"/>
  <c r="Y616"/>
  <c r="W616" s="1"/>
  <c r="Y617"/>
  <c r="W617" s="1"/>
  <c r="Y618"/>
  <c r="W618" s="1"/>
  <c r="Y619"/>
  <c r="W619" s="1"/>
  <c r="Y620"/>
  <c r="W620" s="1"/>
  <c r="Y621"/>
  <c r="W621" s="1"/>
  <c r="Y622"/>
  <c r="W622" s="1"/>
  <c r="Y623"/>
  <c r="W623" s="1"/>
  <c r="Y624"/>
  <c r="W624" s="1"/>
  <c r="Y625"/>
  <c r="W625" s="1"/>
  <c r="Y626"/>
  <c r="W626" s="1"/>
  <c r="Y627"/>
  <c r="W627" s="1"/>
  <c r="Y628"/>
  <c r="W628" s="1"/>
  <c r="Y629"/>
  <c r="W629" s="1"/>
  <c r="Y630"/>
  <c r="W630" s="1"/>
  <c r="Y631"/>
  <c r="W631" s="1"/>
  <c r="Y632"/>
  <c r="W632" s="1"/>
  <c r="Y633"/>
  <c r="W633" s="1"/>
  <c r="Y634"/>
  <c r="W634" s="1"/>
  <c r="Y635"/>
  <c r="W635" s="1"/>
  <c r="Y636"/>
  <c r="W636" s="1"/>
  <c r="Y637"/>
  <c r="W637" s="1"/>
  <c r="Y638"/>
  <c r="W638" s="1"/>
  <c r="Y639"/>
  <c r="W639" s="1"/>
  <c r="Y640"/>
  <c r="W640" s="1"/>
  <c r="Y641"/>
  <c r="W641" s="1"/>
  <c r="Y642"/>
  <c r="W642" s="1"/>
  <c r="Y643"/>
  <c r="W643" s="1"/>
  <c r="Y644"/>
  <c r="W644" s="1"/>
  <c r="Y645"/>
  <c r="W645" s="1"/>
  <c r="Y646"/>
  <c r="W646" s="1"/>
  <c r="Y647"/>
  <c r="W647" s="1"/>
  <c r="Y648"/>
  <c r="W648" s="1"/>
  <c r="Y649"/>
  <c r="W649" s="1"/>
  <c r="Y650"/>
  <c r="W650" s="1"/>
  <c r="Y651"/>
  <c r="W651" s="1"/>
  <c r="Y652"/>
  <c r="W652" s="1"/>
  <c r="Y653"/>
  <c r="W653" s="1"/>
  <c r="Y654"/>
  <c r="W654" s="1"/>
  <c r="Y655"/>
  <c r="W655" s="1"/>
  <c r="Y656"/>
  <c r="W656" s="1"/>
  <c r="Y657"/>
  <c r="W657" s="1"/>
  <c r="Y658"/>
  <c r="W658" s="1"/>
  <c r="Y659"/>
  <c r="W659" s="1"/>
  <c r="Y660"/>
  <c r="W660" s="1"/>
  <c r="Y661"/>
  <c r="W661" s="1"/>
  <c r="Y662"/>
  <c r="W662" s="1"/>
  <c r="Y663"/>
  <c r="W663" s="1"/>
  <c r="Y664"/>
  <c r="W664" s="1"/>
  <c r="Y665"/>
  <c r="W665" s="1"/>
  <c r="Y666"/>
  <c r="W666" s="1"/>
  <c r="Y667"/>
  <c r="W667" s="1"/>
  <c r="Y668"/>
  <c r="W668" s="1"/>
  <c r="Y669"/>
  <c r="W669" s="1"/>
  <c r="Y670"/>
  <c r="W670" s="1"/>
  <c r="Y671"/>
  <c r="W671" s="1"/>
  <c r="Y672"/>
  <c r="W672" s="1"/>
  <c r="Y673"/>
  <c r="W673" s="1"/>
  <c r="Y674"/>
  <c r="W674" s="1"/>
  <c r="Y675"/>
  <c r="W675" s="1"/>
  <c r="Y676"/>
  <c r="W676" s="1"/>
  <c r="Y677"/>
  <c r="W677" s="1"/>
  <c r="Y678"/>
  <c r="W678" s="1"/>
  <c r="Y679"/>
  <c r="W679" s="1"/>
  <c r="Y680"/>
  <c r="W680" s="1"/>
  <c r="Y681"/>
  <c r="W681" s="1"/>
  <c r="Y682"/>
  <c r="W682" s="1"/>
  <c r="Y683"/>
  <c r="W683" s="1"/>
  <c r="Y684"/>
  <c r="W684" s="1"/>
  <c r="Y685"/>
  <c r="W685" s="1"/>
  <c r="Y686"/>
  <c r="W686" s="1"/>
  <c r="Y687"/>
  <c r="W687" s="1"/>
  <c r="Y688"/>
  <c r="W688" s="1"/>
  <c r="Y689"/>
  <c r="W689" s="1"/>
  <c r="Y690"/>
  <c r="W690" s="1"/>
  <c r="Y691"/>
  <c r="W691" s="1"/>
  <c r="Y692"/>
  <c r="W692" s="1"/>
  <c r="Y693"/>
  <c r="W693" s="1"/>
  <c r="Y694"/>
  <c r="W694" s="1"/>
  <c r="Y695"/>
  <c r="W695" s="1"/>
  <c r="Y696"/>
  <c r="W696" s="1"/>
  <c r="Y697"/>
  <c r="W697" s="1"/>
  <c r="Y698"/>
  <c r="W698" s="1"/>
  <c r="Y699"/>
  <c r="W699" s="1"/>
  <c r="Y700"/>
  <c r="W700" s="1"/>
  <c r="Y701"/>
  <c r="W701" s="1"/>
  <c r="Y702"/>
  <c r="W702" s="1"/>
  <c r="Y703"/>
  <c r="W703" s="1"/>
  <c r="Y704"/>
  <c r="W704" s="1"/>
  <c r="Y705"/>
  <c r="W705" s="1"/>
  <c r="Y706"/>
  <c r="W706" s="1"/>
  <c r="Y707"/>
  <c r="W707" s="1"/>
  <c r="Y708"/>
  <c r="W708" s="1"/>
  <c r="Y709"/>
  <c r="W709" s="1"/>
  <c r="Y710"/>
  <c r="W710" s="1"/>
  <c r="Y711"/>
  <c r="W711" s="1"/>
  <c r="Y712"/>
  <c r="W712" s="1"/>
  <c r="Y713"/>
  <c r="W713" s="1"/>
  <c r="Y714"/>
  <c r="W714" s="1"/>
  <c r="Y715"/>
  <c r="W715" s="1"/>
  <c r="Y716"/>
  <c r="W716" s="1"/>
  <c r="Y717"/>
  <c r="W717" s="1"/>
  <c r="Y718"/>
  <c r="W718" s="1"/>
  <c r="Y719"/>
  <c r="W719" s="1"/>
  <c r="Y720"/>
  <c r="W720" s="1"/>
  <c r="Y721"/>
  <c r="W721" s="1"/>
  <c r="Y722"/>
  <c r="W722" s="1"/>
  <c r="Y723"/>
  <c r="W723" s="1"/>
  <c r="Y724"/>
  <c r="W724" s="1"/>
  <c r="Y725"/>
  <c r="W725" s="1"/>
  <c r="Y726"/>
  <c r="W726" s="1"/>
  <c r="Y727"/>
  <c r="W727" s="1"/>
  <c r="Y728"/>
  <c r="W728" s="1"/>
  <c r="Y729"/>
  <c r="W729" s="1"/>
  <c r="Y730"/>
  <c r="W730" s="1"/>
  <c r="Y731"/>
  <c r="W731" s="1"/>
  <c r="Y732"/>
  <c r="W732" s="1"/>
  <c r="Y733"/>
  <c r="W733" s="1"/>
  <c r="Y734"/>
  <c r="W734" s="1"/>
  <c r="Y735"/>
  <c r="W735" s="1"/>
  <c r="Y736"/>
  <c r="W736" s="1"/>
  <c r="Y737"/>
  <c r="W737" s="1"/>
  <c r="Y738"/>
  <c r="W738" s="1"/>
  <c r="Y739"/>
  <c r="W739" s="1"/>
  <c r="Y740"/>
  <c r="W740" s="1"/>
  <c r="Y741"/>
  <c r="W741" s="1"/>
  <c r="Y742"/>
  <c r="W742" s="1"/>
  <c r="Y743"/>
  <c r="W743" s="1"/>
  <c r="Y744"/>
  <c r="W744" s="1"/>
  <c r="Y745"/>
  <c r="W745" s="1"/>
  <c r="Y746"/>
  <c r="W746" s="1"/>
  <c r="Y747"/>
  <c r="W747" s="1"/>
  <c r="Y748"/>
  <c r="W748" s="1"/>
  <c r="Y749"/>
  <c r="W749" s="1"/>
  <c r="Y750"/>
  <c r="W750" s="1"/>
  <c r="Y751"/>
  <c r="W751" s="1"/>
  <c r="Y752"/>
  <c r="W752" s="1"/>
  <c r="Y753"/>
  <c r="W753" s="1"/>
  <c r="Y754"/>
  <c r="W754" s="1"/>
  <c r="Y755"/>
  <c r="W755" s="1"/>
  <c r="Y756"/>
  <c r="W756" s="1"/>
  <c r="Y757"/>
  <c r="W757" s="1"/>
  <c r="Y758"/>
  <c r="W758" s="1"/>
  <c r="Y759"/>
  <c r="W759" s="1"/>
  <c r="Y760"/>
  <c r="W760" s="1"/>
  <c r="Y761"/>
  <c r="W761" s="1"/>
  <c r="Y762"/>
  <c r="W762" s="1"/>
  <c r="Y763"/>
  <c r="W763" s="1"/>
  <c r="Y764"/>
  <c r="W764" s="1"/>
  <c r="Y765"/>
  <c r="W765" s="1"/>
  <c r="Y766"/>
  <c r="W766" s="1"/>
  <c r="Y767"/>
  <c r="W767" s="1"/>
  <c r="Y768"/>
  <c r="W768" s="1"/>
  <c r="Y769"/>
  <c r="W769" s="1"/>
  <c r="Y770"/>
  <c r="W770" s="1"/>
  <c r="Y771"/>
  <c r="W771" s="1"/>
  <c r="Y772"/>
  <c r="W772" s="1"/>
  <c r="Y773"/>
  <c r="W773" s="1"/>
  <c r="Y774"/>
  <c r="W774" s="1"/>
  <c r="Y775"/>
  <c r="W775" s="1"/>
  <c r="Y776"/>
  <c r="W776" s="1"/>
  <c r="Y777"/>
  <c r="W777" s="1"/>
  <c r="Y778"/>
  <c r="W778" s="1"/>
  <c r="Y779"/>
  <c r="W779" s="1"/>
  <c r="Y780"/>
  <c r="W780" s="1"/>
  <c r="Y781"/>
  <c r="W781" s="1"/>
  <c r="Y782"/>
  <c r="W782" s="1"/>
  <c r="Y783"/>
  <c r="W783" s="1"/>
  <c r="Y784"/>
  <c r="W784" s="1"/>
  <c r="Y785"/>
  <c r="W785" s="1"/>
  <c r="Y786"/>
  <c r="W786" s="1"/>
  <c r="Y787"/>
  <c r="W787" s="1"/>
  <c r="Y788"/>
  <c r="W788" s="1"/>
  <c r="Y789"/>
  <c r="W789" s="1"/>
  <c r="Y790"/>
  <c r="W790" s="1"/>
  <c r="Y791"/>
  <c r="W791" s="1"/>
  <c r="Y792"/>
  <c r="W792" s="1"/>
  <c r="Y793"/>
  <c r="W793" s="1"/>
  <c r="Y794"/>
  <c r="W794" s="1"/>
  <c r="Y795"/>
  <c r="W795" s="1"/>
  <c r="Y796"/>
  <c r="W796" s="1"/>
  <c r="Y797"/>
  <c r="W797" s="1"/>
  <c r="Y798"/>
  <c r="W798" s="1"/>
  <c r="Y799"/>
  <c r="W799" s="1"/>
  <c r="Y800"/>
  <c r="W800" s="1"/>
  <c r="Y801"/>
  <c r="W801" s="1"/>
  <c r="Y802"/>
  <c r="W802" s="1"/>
  <c r="Y803"/>
  <c r="W803" s="1"/>
  <c r="Y804"/>
  <c r="W804" s="1"/>
  <c r="Y805"/>
  <c r="W805" s="1"/>
  <c r="Y806"/>
  <c r="W806" s="1"/>
  <c r="Y807"/>
  <c r="W807" s="1"/>
  <c r="Y808"/>
  <c r="W808" s="1"/>
  <c r="Y809"/>
  <c r="W809" s="1"/>
  <c r="Y810"/>
  <c r="W810" s="1"/>
  <c r="Y811"/>
  <c r="W811" s="1"/>
  <c r="Y812"/>
  <c r="W812" s="1"/>
  <c r="Y813"/>
  <c r="W813" s="1"/>
  <c r="Y814"/>
  <c r="W814" s="1"/>
  <c r="Y815"/>
  <c r="W815" s="1"/>
  <c r="Y816"/>
  <c r="W816" s="1"/>
  <c r="Y817"/>
  <c r="W817" s="1"/>
  <c r="Y818"/>
  <c r="W818" s="1"/>
  <c r="Y819"/>
  <c r="W819" s="1"/>
  <c r="Y820"/>
  <c r="W820" s="1"/>
  <c r="Y821"/>
  <c r="W821" s="1"/>
  <c r="Y822"/>
  <c r="W822" s="1"/>
  <c r="Y823"/>
  <c r="W823" s="1"/>
  <c r="Y824"/>
  <c r="W824" s="1"/>
  <c r="Y825"/>
  <c r="W825" s="1"/>
  <c r="Y826"/>
  <c r="W826" s="1"/>
  <c r="Y827"/>
  <c r="W827" s="1"/>
  <c r="Y828"/>
  <c r="W828" s="1"/>
  <c r="Y829"/>
  <c r="W829" s="1"/>
  <c r="Y830"/>
  <c r="W830" s="1"/>
  <c r="Y831"/>
  <c r="W831" s="1"/>
  <c r="Y832"/>
  <c r="W832" s="1"/>
  <c r="Y833"/>
  <c r="W833" s="1"/>
  <c r="Y834"/>
  <c r="W834" s="1"/>
  <c r="Y835"/>
  <c r="W835" s="1"/>
  <c r="Y836"/>
  <c r="W836" s="1"/>
  <c r="Y837"/>
  <c r="W837" s="1"/>
  <c r="Y838"/>
  <c r="W838" s="1"/>
  <c r="Y839"/>
  <c r="W839" s="1"/>
  <c r="Y840"/>
  <c r="W840" s="1"/>
  <c r="Y841"/>
  <c r="W841" s="1"/>
  <c r="Y842"/>
  <c r="W842" s="1"/>
  <c r="Y843"/>
  <c r="W843" s="1"/>
  <c r="Y844"/>
  <c r="W844" s="1"/>
  <c r="Y845"/>
  <c r="W845" s="1"/>
  <c r="Y846"/>
  <c r="W846" s="1"/>
  <c r="Y847"/>
  <c r="W847" s="1"/>
  <c r="Y848"/>
  <c r="W848" s="1"/>
  <c r="Y849"/>
  <c r="W849" s="1"/>
  <c r="Y850"/>
  <c r="W850" s="1"/>
  <c r="Y851"/>
  <c r="W851" s="1"/>
  <c r="Y852"/>
  <c r="W852" s="1"/>
  <c r="Y853"/>
  <c r="W853" s="1"/>
  <c r="Y854"/>
  <c r="W854" s="1"/>
  <c r="Y855"/>
  <c r="W855" s="1"/>
  <c r="Y856"/>
  <c r="W856" s="1"/>
  <c r="Y857"/>
  <c r="W857" s="1"/>
  <c r="Y858"/>
  <c r="W858" s="1"/>
  <c r="Y859"/>
  <c r="W859" s="1"/>
  <c r="Y860"/>
  <c r="W860" s="1"/>
  <c r="Y861"/>
  <c r="W861" s="1"/>
  <c r="Y862"/>
  <c r="W862" s="1"/>
  <c r="Y863"/>
  <c r="W863" s="1"/>
  <c r="Y864"/>
  <c r="W864" s="1"/>
  <c r="Y865"/>
  <c r="W865" s="1"/>
  <c r="Y866"/>
  <c r="W866" s="1"/>
  <c r="Y867"/>
  <c r="W867" s="1"/>
  <c r="Y868"/>
  <c r="W868" s="1"/>
  <c r="Y869"/>
  <c r="W869" s="1"/>
  <c r="Y870"/>
  <c r="W870" s="1"/>
  <c r="Y871"/>
  <c r="W871" s="1"/>
  <c r="Y872"/>
  <c r="W872" s="1"/>
  <c r="Y873"/>
  <c r="W873" s="1"/>
  <c r="Y874"/>
  <c r="W874" s="1"/>
  <c r="Y875"/>
  <c r="W875" s="1"/>
  <c r="Y876"/>
  <c r="W876" s="1"/>
  <c r="Y877"/>
  <c r="W877" s="1"/>
  <c r="Y878"/>
  <c r="W878" s="1"/>
  <c r="Y879"/>
  <c r="W879" s="1"/>
  <c r="Y880"/>
  <c r="W880" s="1"/>
  <c r="Y881"/>
  <c r="W881" s="1"/>
  <c r="Y882"/>
  <c r="W882" s="1"/>
  <c r="Y883"/>
  <c r="W883" s="1"/>
  <c r="Y884"/>
  <c r="W884" s="1"/>
  <c r="Y885"/>
  <c r="W885" s="1"/>
  <c r="Y886"/>
  <c r="W886" s="1"/>
  <c r="Y887"/>
  <c r="W887" s="1"/>
  <c r="Y888"/>
  <c r="W888" s="1"/>
  <c r="Y889"/>
  <c r="W889" s="1"/>
  <c r="Y890"/>
  <c r="W890" s="1"/>
  <c r="Y891"/>
  <c r="W891" s="1"/>
  <c r="Y892"/>
  <c r="W892" s="1"/>
  <c r="Y893"/>
  <c r="W893" s="1"/>
  <c r="Y894"/>
  <c r="W894" s="1"/>
  <c r="Y895"/>
  <c r="W895" s="1"/>
  <c r="Y896"/>
  <c r="W896" s="1"/>
  <c r="Y897"/>
  <c r="W897" s="1"/>
  <c r="Y898"/>
  <c r="W898" s="1"/>
  <c r="Y899"/>
  <c r="W899" s="1"/>
  <c r="Y900"/>
  <c r="W900" s="1"/>
  <c r="Y901"/>
  <c r="W901" s="1"/>
  <c r="Y902"/>
  <c r="W902" s="1"/>
  <c r="Y903"/>
  <c r="W903" s="1"/>
  <c r="Y904"/>
  <c r="W904" s="1"/>
  <c r="Y905"/>
  <c r="W905" s="1"/>
  <c r="Y906"/>
  <c r="W906" s="1"/>
  <c r="Y907"/>
  <c r="W907" s="1"/>
  <c r="Y908"/>
  <c r="W908" s="1"/>
  <c r="Y909"/>
  <c r="W909" s="1"/>
  <c r="Y910"/>
  <c r="W910" s="1"/>
  <c r="Y911"/>
  <c r="W911" s="1"/>
  <c r="Y912"/>
  <c r="W912" s="1"/>
  <c r="Y913"/>
  <c r="W913" s="1"/>
  <c r="Y914"/>
  <c r="W914" s="1"/>
  <c r="Y915"/>
  <c r="W915" s="1"/>
  <c r="Y916"/>
  <c r="W916" s="1"/>
  <c r="Y917"/>
  <c r="W917" s="1"/>
  <c r="Y918"/>
  <c r="W918" s="1"/>
  <c r="Y919"/>
  <c r="W919" s="1"/>
  <c r="Y920"/>
  <c r="W920" s="1"/>
  <c r="Y921"/>
  <c r="W921" s="1"/>
  <c r="Y922"/>
  <c r="W922" s="1"/>
  <c r="Y923"/>
  <c r="W923" s="1"/>
  <c r="Y924"/>
  <c r="W924" s="1"/>
  <c r="Y925"/>
  <c r="W925" s="1"/>
  <c r="Y926"/>
  <c r="W926" s="1"/>
  <c r="Y927"/>
  <c r="W927" s="1"/>
  <c r="Y928"/>
  <c r="W928" s="1"/>
  <c r="Y929"/>
  <c r="W929" s="1"/>
  <c r="Y930"/>
  <c r="W930" s="1"/>
  <c r="Y931"/>
  <c r="W931" s="1"/>
  <c r="Y932"/>
  <c r="W932" s="1"/>
  <c r="Y933"/>
  <c r="W933" s="1"/>
  <c r="Y934"/>
  <c r="W934" s="1"/>
  <c r="Y935"/>
  <c r="W935" s="1"/>
  <c r="Y936"/>
  <c r="W936" s="1"/>
  <c r="Y937"/>
  <c r="W937" s="1"/>
  <c r="Y938"/>
  <c r="W938" s="1"/>
  <c r="Y939"/>
  <c r="W939" s="1"/>
  <c r="Y940"/>
  <c r="W940" s="1"/>
  <c r="Y941"/>
  <c r="W941" s="1"/>
  <c r="Y942"/>
  <c r="W942" s="1"/>
  <c r="Y943"/>
  <c r="W943" s="1"/>
  <c r="Y944"/>
  <c r="W944" s="1"/>
  <c r="Y945"/>
  <c r="W945" s="1"/>
  <c r="Y946"/>
  <c r="W946" s="1"/>
  <c r="Y947"/>
  <c r="W947" s="1"/>
  <c r="Y948"/>
  <c r="W948" s="1"/>
  <c r="Y949"/>
  <c r="W949" s="1"/>
  <c r="Y950"/>
  <c r="W950" s="1"/>
  <c r="Y951"/>
  <c r="W951" s="1"/>
  <c r="Y952"/>
  <c r="W952" s="1"/>
  <c r="Y953"/>
  <c r="W953" s="1"/>
  <c r="Y954"/>
  <c r="W954" s="1"/>
  <c r="Y955"/>
  <c r="W955" s="1"/>
  <c r="Y956"/>
  <c r="W956" s="1"/>
  <c r="Y957"/>
  <c r="W957" s="1"/>
  <c r="Y958"/>
  <c r="W958" s="1"/>
  <c r="Y959"/>
  <c r="W959" s="1"/>
  <c r="Y960"/>
  <c r="W960" s="1"/>
  <c r="Y961"/>
  <c r="W961" s="1"/>
  <c r="Y962"/>
  <c r="W962" s="1"/>
  <c r="Y963"/>
  <c r="W963" s="1"/>
  <c r="Y964"/>
  <c r="W964" s="1"/>
  <c r="Y965"/>
  <c r="W965" s="1"/>
  <c r="Y966"/>
  <c r="W966" s="1"/>
  <c r="Y967"/>
  <c r="W967" s="1"/>
  <c r="Y968"/>
  <c r="W968" s="1"/>
  <c r="Y969"/>
  <c r="W969" s="1"/>
  <c r="Y970"/>
  <c r="W970" s="1"/>
  <c r="Y971"/>
  <c r="W971" s="1"/>
  <c r="Y972"/>
  <c r="W972" s="1"/>
  <c r="Y973"/>
  <c r="W973" s="1"/>
  <c r="Y974"/>
  <c r="W974" s="1"/>
  <c r="Y975"/>
  <c r="W975" s="1"/>
  <c r="Y976"/>
  <c r="W976" s="1"/>
  <c r="Y977"/>
  <c r="W977" s="1"/>
  <c r="Y978"/>
  <c r="W978" s="1"/>
  <c r="Y979"/>
  <c r="W979" s="1"/>
  <c r="Y980"/>
  <c r="W980" s="1"/>
  <c r="Y981"/>
  <c r="W981" s="1"/>
  <c r="Y982"/>
  <c r="W982" s="1"/>
  <c r="Y983"/>
  <c r="W983" s="1"/>
  <c r="Y984"/>
  <c r="W984" s="1"/>
  <c r="Y985"/>
  <c r="W985" s="1"/>
  <c r="Y986"/>
  <c r="W986" s="1"/>
  <c r="Y987"/>
  <c r="W987" s="1"/>
  <c r="Y988"/>
  <c r="W988" s="1"/>
  <c r="Y989"/>
  <c r="W989" s="1"/>
  <c r="Y990"/>
  <c r="W990" s="1"/>
  <c r="Y991"/>
  <c r="W991" s="1"/>
  <c r="Y992"/>
  <c r="W992" s="1"/>
  <c r="Y993"/>
  <c r="W993" s="1"/>
  <c r="Y994"/>
  <c r="W994" s="1"/>
  <c r="Y995"/>
  <c r="W995" s="1"/>
  <c r="Y996"/>
  <c r="W996" s="1"/>
  <c r="Y997"/>
  <c r="W997" s="1"/>
  <c r="Y998"/>
  <c r="W998" s="1"/>
  <c r="Y999"/>
  <c r="W999" s="1"/>
  <c r="Y1000"/>
  <c r="W1000" s="1"/>
  <c r="Y1001"/>
  <c r="W1001" s="1"/>
  <c r="Y1002"/>
  <c r="W1002" s="1"/>
  <c r="Y1003"/>
  <c r="W1003" s="1"/>
  <c r="Y1004"/>
  <c r="W1004" s="1"/>
  <c r="Y1005"/>
  <c r="W1005" s="1"/>
  <c r="Y1006"/>
  <c r="W1006" s="1"/>
  <c r="Y1007"/>
  <c r="W1007" s="1"/>
  <c r="Y1008"/>
  <c r="W1008" s="1"/>
  <c r="Y1009"/>
  <c r="W1009" s="1"/>
  <c r="Y1010"/>
  <c r="W1010" s="1"/>
  <c r="Y1011"/>
  <c r="W1011" s="1"/>
  <c r="Y1012"/>
  <c r="W1012" s="1"/>
  <c r="Y1013"/>
  <c r="W1013" s="1"/>
  <c r="Y1014"/>
  <c r="W1014" s="1"/>
  <c r="Y1015"/>
  <c r="W1015" s="1"/>
  <c r="Y1016"/>
  <c r="W1016" s="1"/>
  <c r="Y1017"/>
  <c r="W1017" s="1"/>
  <c r="Y1018"/>
  <c r="W1018" s="1"/>
  <c r="Y1019"/>
  <c r="W1019" s="1"/>
  <c r="Y1020"/>
  <c r="W1020" s="1"/>
  <c r="Y1021"/>
  <c r="W1021" s="1"/>
  <c r="Y1022"/>
  <c r="W1022" s="1"/>
  <c r="Y1023"/>
  <c r="W1023" s="1"/>
  <c r="Y1024"/>
  <c r="W1024" s="1"/>
  <c r="Y1025"/>
  <c r="W1025" s="1"/>
  <c r="Y1026"/>
  <c r="W1026" s="1"/>
  <c r="Y1027"/>
  <c r="W1027" s="1"/>
  <c r="Y1028"/>
  <c r="W1028" s="1"/>
  <c r="Y1029"/>
  <c r="W1029" s="1"/>
  <c r="Y1030"/>
  <c r="W1030" s="1"/>
  <c r="Y1031"/>
  <c r="W1031" s="1"/>
  <c r="Y1032"/>
  <c r="W1032" s="1"/>
  <c r="Y1033"/>
  <c r="W1033" s="1"/>
  <c r="Y1034"/>
  <c r="W1034" s="1"/>
  <c r="Y1035"/>
  <c r="W1035" s="1"/>
  <c r="Y1036"/>
  <c r="W1036" s="1"/>
  <c r="Y1037"/>
  <c r="W1037" s="1"/>
  <c r="Y1038"/>
  <c r="W1038" s="1"/>
  <c r="Y1039"/>
  <c r="W1039" s="1"/>
  <c r="Y1040"/>
  <c r="W1040" s="1"/>
  <c r="Y1041"/>
  <c r="W1041" s="1"/>
  <c r="Y1042"/>
  <c r="W1042" s="1"/>
  <c r="Y1043"/>
  <c r="W1043" s="1"/>
  <c r="Y1044"/>
  <c r="W1044" s="1"/>
  <c r="Y1045"/>
  <c r="W1045" s="1"/>
  <c r="Y1046"/>
  <c r="W1046" s="1"/>
  <c r="Y1047"/>
  <c r="W1047" s="1"/>
  <c r="Y1048"/>
  <c r="W1048" s="1"/>
  <c r="Y1049"/>
  <c r="W1049" s="1"/>
  <c r="Y1050"/>
  <c r="W1050" s="1"/>
  <c r="Y1051"/>
  <c r="W1051" s="1"/>
  <c r="Y1052"/>
  <c r="W1052" s="1"/>
  <c r="Y1053"/>
  <c r="W1053" s="1"/>
  <c r="Y1054"/>
  <c r="W1054" s="1"/>
  <c r="Y1055"/>
  <c r="W1055" s="1"/>
  <c r="Y1056"/>
  <c r="W1056" s="1"/>
  <c r="Y1057"/>
  <c r="W1057" s="1"/>
  <c r="Y1058"/>
  <c r="W1058" s="1"/>
  <c r="Y1059"/>
  <c r="W1059" s="1"/>
  <c r="Y1060"/>
  <c r="W1060" s="1"/>
  <c r="Y1061"/>
  <c r="W1061" s="1"/>
  <c r="Y1062"/>
  <c r="W1062" s="1"/>
  <c r="Y1063"/>
  <c r="W1063" s="1"/>
  <c r="Y1064"/>
  <c r="W1064" s="1"/>
  <c r="Y1065"/>
  <c r="W1065" s="1"/>
  <c r="Y1066"/>
  <c r="W1066" s="1"/>
  <c r="Y1067"/>
  <c r="W1067" s="1"/>
  <c r="Y1068"/>
  <c r="W1068" s="1"/>
  <c r="Y1069"/>
  <c r="W1069" s="1"/>
  <c r="Y1070"/>
  <c r="W1070" s="1"/>
  <c r="Y1071"/>
  <c r="W1071" s="1"/>
  <c r="Y1072"/>
  <c r="W1072" s="1"/>
  <c r="Y1073"/>
  <c r="W1073" s="1"/>
  <c r="Y1074"/>
  <c r="W1074" s="1"/>
  <c r="Y1075"/>
  <c r="W1075" s="1"/>
  <c r="Y1076"/>
  <c r="W1076" s="1"/>
  <c r="Y1077"/>
  <c r="W1077" s="1"/>
  <c r="Y1078"/>
  <c r="W1078" s="1"/>
  <c r="Y1079"/>
  <c r="W1079" s="1"/>
  <c r="Y1080"/>
  <c r="W1080" s="1"/>
  <c r="Y1081"/>
  <c r="W1081" s="1"/>
  <c r="Y1082"/>
  <c r="W1082" s="1"/>
  <c r="Y1083"/>
  <c r="W1083" s="1"/>
  <c r="Y1084"/>
  <c r="W1084" s="1"/>
  <c r="Y1085"/>
  <c r="W1085" s="1"/>
  <c r="Y1086"/>
  <c r="W1086" s="1"/>
  <c r="Y1087"/>
  <c r="W1087" s="1"/>
  <c r="Y1088"/>
  <c r="W1088" s="1"/>
  <c r="Y1089"/>
  <c r="W1089" s="1"/>
  <c r="Y1090"/>
  <c r="W1090" s="1"/>
  <c r="Y1091"/>
  <c r="W1091" s="1"/>
  <c r="Y1092"/>
  <c r="W1092" s="1"/>
  <c r="Y1093"/>
  <c r="W1093" s="1"/>
  <c r="Y1094"/>
  <c r="W1094" s="1"/>
  <c r="Y1095"/>
  <c r="W1095" s="1"/>
  <c r="Y1096"/>
  <c r="W1096" s="1"/>
  <c r="Y1097"/>
  <c r="W1097" s="1"/>
  <c r="Y1098"/>
  <c r="W1098" s="1"/>
  <c r="Y1099"/>
  <c r="W1099" s="1"/>
  <c r="Y1100"/>
  <c r="W1100" s="1"/>
  <c r="Y1101"/>
  <c r="W1101" s="1"/>
  <c r="Y1102"/>
  <c r="W1102" s="1"/>
  <c r="Y1103"/>
  <c r="W1103" s="1"/>
  <c r="Y1104"/>
  <c r="W1104" s="1"/>
  <c r="Y1105"/>
  <c r="W1105" s="1"/>
  <c r="Y1106"/>
  <c r="W1106" s="1"/>
  <c r="Y1107"/>
  <c r="W1107" s="1"/>
  <c r="Y1108"/>
  <c r="W1108" s="1"/>
  <c r="Y1109"/>
  <c r="W1109" s="1"/>
  <c r="Y1110"/>
  <c r="W1110" s="1"/>
  <c r="Y1111"/>
  <c r="W1111" s="1"/>
  <c r="Y1112"/>
  <c r="W1112" s="1"/>
  <c r="Y1113"/>
  <c r="W1113" s="1"/>
  <c r="Y1114"/>
  <c r="W1114" s="1"/>
  <c r="Y1115"/>
  <c r="W1115" s="1"/>
  <c r="Y1116"/>
  <c r="W1116" s="1"/>
  <c r="Y1117"/>
  <c r="W1117" s="1"/>
  <c r="Y1118"/>
  <c r="W1118" s="1"/>
  <c r="Y1119"/>
  <c r="W1119" s="1"/>
  <c r="Y1120"/>
  <c r="W1120" s="1"/>
  <c r="Y1121"/>
  <c r="W1121" s="1"/>
  <c r="Y1122"/>
  <c r="W1122" s="1"/>
  <c r="Y1123"/>
  <c r="W1123" s="1"/>
  <c r="Y1124"/>
  <c r="W1124" s="1"/>
  <c r="Y1125"/>
  <c r="W1125" s="1"/>
  <c r="Y1126"/>
  <c r="W1126" s="1"/>
  <c r="Y1127"/>
  <c r="W1127" s="1"/>
  <c r="Y1128"/>
  <c r="W1128" s="1"/>
  <c r="Y1129"/>
  <c r="W1129" s="1"/>
  <c r="Y1130"/>
  <c r="W1130" s="1"/>
  <c r="Y1131"/>
  <c r="W1131" s="1"/>
  <c r="Y1132"/>
  <c r="W1132" s="1"/>
  <c r="Y1133"/>
  <c r="W1133" s="1"/>
  <c r="Y1134"/>
  <c r="W1134" s="1"/>
  <c r="Y1135"/>
  <c r="W1135" s="1"/>
  <c r="Y1136"/>
  <c r="W1136" s="1"/>
  <c r="Y1137"/>
  <c r="W1137" s="1"/>
  <c r="Y1138"/>
  <c r="W1138" s="1"/>
  <c r="Y1139"/>
  <c r="W1139" s="1"/>
  <c r="Y1140"/>
  <c r="W1140" s="1"/>
  <c r="Y1141"/>
  <c r="W1141" s="1"/>
  <c r="Y1142"/>
  <c r="W1142" s="1"/>
  <c r="Y1143"/>
  <c r="W1143" s="1"/>
  <c r="Y1144"/>
  <c r="W1144" s="1"/>
  <c r="Y1145"/>
  <c r="W1145" s="1"/>
  <c r="Y1146"/>
  <c r="W1146" s="1"/>
  <c r="Y1147"/>
  <c r="W1147" s="1"/>
  <c r="Y1148"/>
  <c r="W1148" s="1"/>
  <c r="Y1149"/>
  <c r="W1149" s="1"/>
  <c r="Y1150"/>
  <c r="W1150" s="1"/>
  <c r="Y1151"/>
  <c r="W1151" s="1"/>
  <c r="Y1152"/>
  <c r="W1152" s="1"/>
  <c r="Y1153"/>
  <c r="W1153" s="1"/>
  <c r="Y1154"/>
  <c r="W1154" s="1"/>
  <c r="Y1155"/>
  <c r="W1155" s="1"/>
  <c r="Y1156"/>
  <c r="W1156" s="1"/>
  <c r="Y1157"/>
  <c r="W1157" s="1"/>
  <c r="Y1158"/>
  <c r="W1158" s="1"/>
  <c r="Y1159"/>
  <c r="W1159" s="1"/>
  <c r="Y1160"/>
  <c r="W1160" s="1"/>
  <c r="Y1161"/>
  <c r="W1161" s="1"/>
  <c r="Y1162"/>
  <c r="W1162" s="1"/>
  <c r="Y1163"/>
  <c r="W1163" s="1"/>
  <c r="Y1164"/>
  <c r="W1164" s="1"/>
  <c r="Y1165"/>
  <c r="W1165" s="1"/>
  <c r="Y1166"/>
  <c r="W1166" s="1"/>
  <c r="Y1167"/>
  <c r="W1167" s="1"/>
  <c r="Y1168"/>
  <c r="W1168" s="1"/>
  <c r="Y1169"/>
  <c r="W1169" s="1"/>
  <c r="Y1170"/>
  <c r="W1170" s="1"/>
  <c r="Y1171"/>
  <c r="W1171" s="1"/>
  <c r="Y1172"/>
  <c r="W1172" s="1"/>
  <c r="Y1173"/>
  <c r="W1173" s="1"/>
  <c r="Y1174"/>
  <c r="W1174" s="1"/>
  <c r="Y1175"/>
  <c r="W1175" s="1"/>
  <c r="Y1176"/>
  <c r="W1176" s="1"/>
  <c r="Y1177"/>
  <c r="W1177" s="1"/>
  <c r="Y1178"/>
  <c r="W1178" s="1"/>
  <c r="Y1179"/>
  <c r="W1179" s="1"/>
  <c r="Y1180"/>
  <c r="W1180" s="1"/>
  <c r="Y1181"/>
  <c r="W1181" s="1"/>
  <c r="Y1182"/>
  <c r="W1182" s="1"/>
  <c r="Y1183"/>
  <c r="W1183" s="1"/>
  <c r="Y1184"/>
  <c r="W1184" s="1"/>
  <c r="Y1185"/>
  <c r="W1185" s="1"/>
  <c r="Y1186"/>
  <c r="W1186" s="1"/>
  <c r="Y1187"/>
  <c r="W1187" s="1"/>
  <c r="Y1188"/>
  <c r="W1188" s="1"/>
  <c r="Y1189"/>
  <c r="W1189" s="1"/>
  <c r="Y1190"/>
  <c r="W1190" s="1"/>
  <c r="Y1191"/>
  <c r="W1191" s="1"/>
  <c r="Y1192"/>
  <c r="W1192" s="1"/>
  <c r="Y1193"/>
  <c r="W1193" s="1"/>
  <c r="Y1194"/>
  <c r="W1194" s="1"/>
  <c r="Y1195"/>
  <c r="W1195" s="1"/>
  <c r="Y1196"/>
  <c r="W1196" s="1"/>
  <c r="Y1197"/>
  <c r="W1197" s="1"/>
  <c r="Y1198"/>
  <c r="W1198" s="1"/>
  <c r="Y1199"/>
  <c r="W1199" s="1"/>
  <c r="Y1200"/>
  <c r="W1200" s="1"/>
  <c r="Y1201"/>
  <c r="W1201" s="1"/>
  <c r="Y1202"/>
  <c r="W1202" s="1"/>
  <c r="Y1203"/>
  <c r="W1203" s="1"/>
  <c r="Y1204"/>
  <c r="W1204" s="1"/>
  <c r="Y1205"/>
  <c r="W1205" s="1"/>
  <c r="Y1206"/>
  <c r="W1206" s="1"/>
  <c r="Y1207"/>
  <c r="W1207" s="1"/>
  <c r="Y1208"/>
  <c r="W1208" s="1"/>
  <c r="Y1209"/>
  <c r="W1209" s="1"/>
  <c r="Y1210"/>
  <c r="W1210" s="1"/>
  <c r="Y1211"/>
  <c r="W1211" s="1"/>
  <c r="Y1212"/>
  <c r="W1212" s="1"/>
  <c r="Y1213"/>
  <c r="W1213" s="1"/>
  <c r="Y1214"/>
  <c r="W1214" s="1"/>
  <c r="Y1215"/>
  <c r="W1215" s="1"/>
  <c r="Y1216"/>
  <c r="W1216" s="1"/>
  <c r="Y1217"/>
  <c r="W1217" s="1"/>
  <c r="Y1218"/>
  <c r="W1218" s="1"/>
  <c r="Y1219"/>
  <c r="W1219" s="1"/>
  <c r="Y1220"/>
  <c r="W1220" s="1"/>
  <c r="Y1221"/>
  <c r="W1221" s="1"/>
  <c r="Y1222"/>
  <c r="W1222" s="1"/>
  <c r="Y1223"/>
  <c r="W1223" s="1"/>
  <c r="Y1224"/>
  <c r="W1224" s="1"/>
  <c r="Y1225"/>
  <c r="W1225" s="1"/>
  <c r="Y1226"/>
  <c r="W1226" s="1"/>
  <c r="Y1227"/>
  <c r="W1227" s="1"/>
  <c r="Y1228"/>
  <c r="W1228" s="1"/>
  <c r="Y1229"/>
  <c r="W1229" s="1"/>
  <c r="Y1230"/>
  <c r="W1230" s="1"/>
  <c r="Y1231"/>
  <c r="W1231" s="1"/>
  <c r="Y1232"/>
  <c r="W1232" s="1"/>
  <c r="Y1233"/>
  <c r="W1233" s="1"/>
  <c r="Y1234"/>
  <c r="W1234" s="1"/>
  <c r="Y1235"/>
  <c r="W1235" s="1"/>
  <c r="Y1236"/>
  <c r="W1236" s="1"/>
  <c r="Y1237"/>
  <c r="W1237" s="1"/>
  <c r="Y1238"/>
  <c r="W1238" s="1"/>
  <c r="Y1239"/>
  <c r="W1239" s="1"/>
  <c r="Y1240"/>
  <c r="W1240" s="1"/>
  <c r="Y1241"/>
  <c r="W1241" s="1"/>
  <c r="Y1242"/>
  <c r="W1242" s="1"/>
  <c r="Y1243"/>
  <c r="W1243" s="1"/>
  <c r="Y1244"/>
  <c r="W1244" s="1"/>
  <c r="Y1245"/>
  <c r="W1245" s="1"/>
  <c r="Y1246"/>
  <c r="W1246" s="1"/>
  <c r="Y1247"/>
  <c r="W1247" s="1"/>
  <c r="Y1248"/>
  <c r="W1248" s="1"/>
  <c r="Y1249"/>
  <c r="W1249" s="1"/>
  <c r="Y1250"/>
  <c r="W1250" s="1"/>
  <c r="Y1251"/>
  <c r="W1251" s="1"/>
  <c r="Y1252"/>
  <c r="W1252" s="1"/>
  <c r="Y1253"/>
  <c r="W1253" s="1"/>
  <c r="Y1254"/>
  <c r="W1254" s="1"/>
  <c r="Y1255"/>
  <c r="W1255" s="1"/>
  <c r="Y1256"/>
  <c r="W1256" s="1"/>
  <c r="Y1257"/>
  <c r="W1257" s="1"/>
  <c r="Y1258"/>
  <c r="W1258" s="1"/>
  <c r="Y1259"/>
  <c r="W1259" s="1"/>
  <c r="Y1260"/>
  <c r="W1260" s="1"/>
  <c r="Y1261"/>
  <c r="W1261" s="1"/>
  <c r="Y1262"/>
  <c r="W1262" s="1"/>
  <c r="Y1263"/>
  <c r="W1263" s="1"/>
  <c r="Y1264"/>
  <c r="W1264" s="1"/>
  <c r="Y1265"/>
  <c r="W1265" s="1"/>
  <c r="Y1266"/>
  <c r="W1266" s="1"/>
  <c r="Y1267"/>
  <c r="W1267" s="1"/>
  <c r="Y1268"/>
  <c r="W1268" s="1"/>
  <c r="Y1269"/>
  <c r="W1269" s="1"/>
  <c r="Y1270"/>
  <c r="W1270" s="1"/>
  <c r="Y1271"/>
  <c r="W1271" s="1"/>
  <c r="Y1272"/>
  <c r="W1272" s="1"/>
  <c r="Y1273"/>
  <c r="W1273" s="1"/>
  <c r="Y1274"/>
  <c r="W1274" s="1"/>
  <c r="Y1275"/>
  <c r="W1275" s="1"/>
  <c r="Y1276"/>
  <c r="W1276" s="1"/>
  <c r="Y1277"/>
  <c r="W1277" s="1"/>
  <c r="Y1278"/>
  <c r="W1278" s="1"/>
  <c r="Y1279"/>
  <c r="W1279" s="1"/>
  <c r="Y1280"/>
  <c r="W1280" s="1"/>
  <c r="Y1281"/>
  <c r="W1281" s="1"/>
  <c r="Y1282"/>
  <c r="W1282" s="1"/>
  <c r="Y1283"/>
  <c r="W1283" s="1"/>
  <c r="Y1284"/>
  <c r="W1284" s="1"/>
  <c r="Y1285"/>
  <c r="W1285" s="1"/>
  <c r="Y1286"/>
  <c r="W1286" s="1"/>
  <c r="Y1287"/>
  <c r="W1287" s="1"/>
  <c r="Y1288"/>
  <c r="W1288" s="1"/>
  <c r="Y1289"/>
  <c r="W1289" s="1"/>
  <c r="Y1290"/>
  <c r="W1290" s="1"/>
  <c r="Y1291"/>
  <c r="W1291" s="1"/>
  <c r="Y1292"/>
  <c r="W1292" s="1"/>
  <c r="Y1293"/>
  <c r="W1293" s="1"/>
  <c r="Y1294"/>
  <c r="W1294" s="1"/>
  <c r="Y1295"/>
  <c r="W1295" s="1"/>
  <c r="Y1296"/>
  <c r="W1296" s="1"/>
  <c r="Y1297"/>
  <c r="W1297" s="1"/>
  <c r="Y1298"/>
  <c r="W1298" s="1"/>
  <c r="Y1299"/>
  <c r="W1299" s="1"/>
  <c r="Y1300"/>
  <c r="W1300" s="1"/>
  <c r="Y1301"/>
  <c r="W1301" s="1"/>
  <c r="Y1302"/>
  <c r="W1302" s="1"/>
  <c r="Y1303"/>
  <c r="W1303" s="1"/>
  <c r="Y1304"/>
  <c r="W1304" s="1"/>
  <c r="Y1305"/>
  <c r="W1305" s="1"/>
  <c r="Y1306"/>
  <c r="W1306" s="1"/>
  <c r="Y1307"/>
  <c r="W1307" s="1"/>
  <c r="Y1308"/>
  <c r="W1308" s="1"/>
  <c r="Y1309"/>
  <c r="W1309" s="1"/>
  <c r="Y1310"/>
  <c r="W1310" s="1"/>
  <c r="Y1311"/>
  <c r="W1311" s="1"/>
  <c r="Y1312"/>
  <c r="W1312" s="1"/>
  <c r="Y1313"/>
  <c r="W1313" s="1"/>
  <c r="Y1314"/>
  <c r="W1314" s="1"/>
  <c r="Y1315"/>
  <c r="W1315" s="1"/>
  <c r="Y1316"/>
  <c r="W1316" s="1"/>
  <c r="Y1317"/>
  <c r="W1317" s="1"/>
  <c r="Y1318"/>
  <c r="W1318" s="1"/>
  <c r="Y1319"/>
  <c r="W1319" s="1"/>
  <c r="Y1320"/>
  <c r="W1320" s="1"/>
  <c r="Y1321"/>
  <c r="W1321" s="1"/>
  <c r="Y1322"/>
  <c r="W1322" s="1"/>
  <c r="Y1323"/>
  <c r="W1323" s="1"/>
  <c r="Y1324"/>
  <c r="W1324" s="1"/>
  <c r="Y1325"/>
  <c r="W1325" s="1"/>
  <c r="Y1326"/>
  <c r="W1326" s="1"/>
  <c r="Y1327"/>
  <c r="W1327" s="1"/>
  <c r="Y1328"/>
  <c r="W1328" s="1"/>
  <c r="Y1329"/>
  <c r="W1329" s="1"/>
  <c r="Y1330"/>
  <c r="W1330" s="1"/>
  <c r="Y1331"/>
  <c r="W1331" s="1"/>
  <c r="Y1332"/>
  <c r="W1332" s="1"/>
  <c r="Y1333"/>
  <c r="W1333" s="1"/>
  <c r="Y1334"/>
  <c r="W1334" s="1"/>
  <c r="Y1335"/>
  <c r="W1335" s="1"/>
  <c r="Y1336"/>
  <c r="W1336" s="1"/>
  <c r="Y1337"/>
  <c r="W1337" s="1"/>
  <c r="Y1338"/>
  <c r="W1338" s="1"/>
  <c r="Y1339"/>
  <c r="W1339" s="1"/>
  <c r="Y1340"/>
  <c r="W1340" s="1"/>
  <c r="Y1341"/>
  <c r="W1341" s="1"/>
  <c r="Y1342"/>
  <c r="W1342" s="1"/>
  <c r="Y1343"/>
  <c r="W1343" s="1"/>
  <c r="Y1344"/>
  <c r="W1344" s="1"/>
  <c r="Y1345"/>
  <c r="W1345" s="1"/>
  <c r="Y1346"/>
  <c r="W1346" s="1"/>
  <c r="Y1347"/>
  <c r="W1347" s="1"/>
  <c r="Y1348"/>
  <c r="W1348" s="1"/>
  <c r="Y1349"/>
  <c r="W1349" s="1"/>
  <c r="Y1350"/>
  <c r="W1350" s="1"/>
  <c r="Y1351"/>
  <c r="W1351" s="1"/>
  <c r="Y1352"/>
  <c r="W1352" s="1"/>
  <c r="Y1353"/>
  <c r="W1353" s="1"/>
  <c r="Y1354"/>
  <c r="W1354" s="1"/>
  <c r="Y1355"/>
  <c r="W1355" s="1"/>
  <c r="Y1356"/>
  <c r="W1356" s="1"/>
  <c r="X2"/>
  <c r="X3"/>
  <c r="X4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Y2"/>
  <c r="W2" s="1"/>
  <c r="V2" s="1"/>
  <c r="Y3"/>
  <c r="W3" s="1"/>
  <c r="Y4"/>
  <c r="W4" s="1"/>
  <c r="Y5"/>
  <c r="W5" s="1"/>
  <c r="Y6"/>
  <c r="W6" s="1"/>
  <c r="Y7"/>
  <c r="W7" s="1"/>
  <c r="Y8"/>
  <c r="W8" s="1"/>
  <c r="Y9"/>
  <c r="W9" s="1"/>
  <c r="Y10"/>
  <c r="W10" s="1"/>
  <c r="Y11"/>
  <c r="W11" s="1"/>
  <c r="Y12"/>
  <c r="W12" s="1"/>
  <c r="Y13"/>
  <c r="W13" s="1"/>
  <c r="Y14"/>
  <c r="W14" s="1"/>
  <c r="Y15"/>
  <c r="W15" s="1"/>
  <c r="Y16"/>
  <c r="W16" s="1"/>
  <c r="Y17"/>
  <c r="W17" s="1"/>
  <c r="Y18"/>
  <c r="W18" s="1"/>
  <c r="Y19"/>
  <c r="W19" s="1"/>
  <c r="Y20"/>
  <c r="W20" s="1"/>
  <c r="Y21"/>
  <c r="W21" s="1"/>
  <c r="Y22"/>
  <c r="W22" s="1"/>
  <c r="Y23"/>
  <c r="W23" s="1"/>
  <c r="Y24"/>
  <c r="W24" s="1"/>
  <c r="Y25"/>
  <c r="W25" s="1"/>
  <c r="Y26"/>
  <c r="W26" s="1"/>
  <c r="Y27"/>
  <c r="W27" s="1"/>
  <c r="Y28"/>
  <c r="W28" s="1"/>
  <c r="Y29"/>
  <c r="W29" s="1"/>
  <c r="Y30"/>
  <c r="W30" s="1"/>
  <c r="Y31"/>
  <c r="W31" s="1"/>
  <c r="Y32"/>
  <c r="W32" s="1"/>
  <c r="Y33"/>
  <c r="W33" s="1"/>
  <c r="Y34"/>
  <c r="W34" s="1"/>
  <c r="Y35"/>
  <c r="W35" s="1"/>
  <c r="Y36"/>
  <c r="W36" s="1"/>
  <c r="Y37"/>
  <c r="W37" s="1"/>
  <c r="Y38"/>
  <c r="W38" s="1"/>
  <c r="Y39"/>
  <c r="W39" s="1"/>
  <c r="Y40"/>
  <c r="W40" s="1"/>
  <c r="Y41"/>
  <c r="W41" s="1"/>
  <c r="Y42"/>
  <c r="W42" s="1"/>
  <c r="Y43"/>
  <c r="W43" s="1"/>
  <c r="Y44"/>
  <c r="W44" s="1"/>
  <c r="Y45"/>
  <c r="W45" s="1"/>
  <c r="Y46"/>
  <c r="W46" s="1"/>
  <c r="Y47"/>
  <c r="W47" s="1"/>
  <c r="Y48"/>
  <c r="W48" s="1"/>
  <c r="Y49"/>
  <c r="W49" s="1"/>
  <c r="Y50"/>
  <c r="W50" s="1"/>
  <c r="Y51"/>
  <c r="W51" s="1"/>
  <c r="Y52"/>
  <c r="W52" s="1"/>
  <c r="Y53"/>
  <c r="W53" s="1"/>
  <c r="Y54"/>
  <c r="W54" s="1"/>
  <c r="Y55"/>
  <c r="W55" s="1"/>
  <c r="Y56"/>
  <c r="W56" s="1"/>
  <c r="Y57"/>
  <c r="W57" s="1"/>
  <c r="Y58"/>
  <c r="W58" s="1"/>
  <c r="Y59"/>
  <c r="W59" s="1"/>
  <c r="Y60"/>
  <c r="W60" s="1"/>
  <c r="Y61"/>
  <c r="W61" s="1"/>
  <c r="Y62"/>
  <c r="W62" s="1"/>
  <c r="Y63"/>
  <c r="W63" s="1"/>
  <c r="Y64"/>
  <c r="W64" s="1"/>
  <c r="Y65"/>
  <c r="W65" s="1"/>
  <c r="Y66"/>
  <c r="W66" s="1"/>
  <c r="Y67"/>
  <c r="W67" s="1"/>
  <c r="Y68"/>
  <c r="W68" s="1"/>
  <c r="Y69"/>
  <c r="W69" s="1"/>
  <c r="Y70"/>
  <c r="W70" s="1"/>
  <c r="Y71"/>
  <c r="W71" s="1"/>
  <c r="Y72"/>
  <c r="W72" s="1"/>
  <c r="Y73"/>
  <c r="W73" s="1"/>
  <c r="Y74"/>
  <c r="W74" s="1"/>
  <c r="Y75"/>
  <c r="W75" s="1"/>
  <c r="Y76"/>
  <c r="W76" s="1"/>
  <c r="Y77"/>
  <c r="W77" s="1"/>
  <c r="Y78"/>
  <c r="W78" s="1"/>
  <c r="Y79"/>
  <c r="W79" s="1"/>
  <c r="Y80"/>
  <c r="W80" s="1"/>
  <c r="Y81"/>
  <c r="W81" s="1"/>
  <c r="Y82"/>
  <c r="W82" s="1"/>
  <c r="Y83"/>
  <c r="W83" s="1"/>
  <c r="Y84"/>
  <c r="W84" s="1"/>
  <c r="Y85"/>
  <c r="W85" s="1"/>
  <c r="Y86"/>
  <c r="W86" s="1"/>
  <c r="Y87"/>
  <c r="W87" s="1"/>
  <c r="Y88"/>
  <c r="W88" s="1"/>
  <c r="Y89"/>
  <c r="W89" s="1"/>
  <c r="Y90"/>
  <c r="W90" s="1"/>
  <c r="Y91"/>
  <c r="W91" s="1"/>
  <c r="Y92"/>
  <c r="W92" s="1"/>
  <c r="Y93"/>
  <c r="W93" s="1"/>
  <c r="Y94"/>
  <c r="W94" s="1"/>
  <c r="Y95"/>
  <c r="W95" s="1"/>
  <c r="Y96"/>
  <c r="W96" s="1"/>
  <c r="Y97"/>
  <c r="W97" s="1"/>
  <c r="Y98"/>
  <c r="W98" s="1"/>
  <c r="Y99"/>
  <c r="W99" s="1"/>
  <c r="Y100"/>
  <c r="W100" s="1"/>
  <c r="Y101"/>
  <c r="W101" s="1"/>
  <c r="Y102"/>
  <c r="W102" s="1"/>
  <c r="Y103"/>
  <c r="W103" s="1"/>
  <c r="Y104"/>
  <c r="W104" s="1"/>
  <c r="Y105"/>
  <c r="W105" s="1"/>
  <c r="Y106"/>
  <c r="W106" s="1"/>
  <c r="Y107"/>
  <c r="W107" s="1"/>
  <c r="Y108"/>
  <c r="W108" s="1"/>
  <c r="Y109"/>
  <c r="W109" s="1"/>
  <c r="Y110"/>
  <c r="W110" s="1"/>
  <c r="Y111"/>
  <c r="W111" s="1"/>
  <c r="Y112"/>
  <c r="W112" s="1"/>
  <c r="Y113"/>
  <c r="W113" s="1"/>
  <c r="Y114"/>
  <c r="W114" s="1"/>
  <c r="Y115"/>
  <c r="W115" s="1"/>
  <c r="Y116"/>
  <c r="W116" s="1"/>
  <c r="Y117"/>
  <c r="W117" s="1"/>
  <c r="Y118"/>
  <c r="W118" s="1"/>
  <c r="Y119"/>
  <c r="W119" s="1"/>
  <c r="Y120"/>
  <c r="W120" s="1"/>
  <c r="Y121"/>
  <c r="W121" s="1"/>
  <c r="Y122"/>
  <c r="W122" s="1"/>
  <c r="Y123"/>
  <c r="W123" s="1"/>
  <c r="Y124"/>
  <c r="W124" s="1"/>
  <c r="Y125"/>
  <c r="W125" s="1"/>
  <c r="Y126"/>
  <c r="W126" s="1"/>
  <c r="Y127"/>
  <c r="W127" s="1"/>
  <c r="Y128"/>
  <c r="W128" s="1"/>
  <c r="Y129"/>
  <c r="W129" s="1"/>
  <c r="Y130"/>
  <c r="W130" s="1"/>
  <c r="Y131"/>
  <c r="W131" s="1"/>
  <c r="Y132"/>
  <c r="W132" s="1"/>
  <c r="V1368" l="1"/>
  <c r="V1422"/>
  <c r="V806"/>
  <c r="V458"/>
  <c r="V151"/>
  <c r="S317"/>
  <c r="S313"/>
  <c r="S309"/>
  <c r="S305"/>
  <c r="S301"/>
  <c r="S297"/>
  <c r="S293"/>
  <c r="S289"/>
  <c r="S285"/>
  <c r="S281"/>
  <c r="S277"/>
  <c r="S273"/>
  <c r="S269"/>
  <c r="S265"/>
  <c r="S261"/>
  <c r="S257"/>
  <c r="S253"/>
  <c r="S249"/>
  <c r="S245"/>
  <c r="S241"/>
  <c r="S237"/>
  <c r="S233"/>
  <c r="S229"/>
  <c r="S225"/>
  <c r="S221"/>
  <c r="S217"/>
  <c r="S213"/>
  <c r="S209"/>
  <c r="S205"/>
  <c r="S201"/>
  <c r="S197"/>
  <c r="S193"/>
  <c r="S189"/>
  <c r="S185"/>
  <c r="S181"/>
  <c r="S177"/>
  <c r="S173"/>
  <c r="S169"/>
  <c r="S165"/>
  <c r="S161"/>
  <c r="S157"/>
  <c r="S153"/>
  <c r="S149"/>
  <c r="S145"/>
  <c r="S141"/>
  <c r="S137"/>
  <c r="S133"/>
  <c r="S129"/>
  <c r="S125"/>
  <c r="S121"/>
  <c r="S117"/>
  <c r="S113"/>
  <c r="S109"/>
  <c r="S105"/>
  <c r="S101"/>
  <c r="S97"/>
  <c r="S93"/>
  <c r="S89"/>
  <c r="S85"/>
  <c r="S81"/>
  <c r="S77"/>
  <c r="S73"/>
  <c r="S69"/>
  <c r="S65"/>
  <c r="S61"/>
  <c r="S57"/>
  <c r="S53"/>
  <c r="S49"/>
  <c r="S45"/>
  <c r="S41"/>
  <c r="S37"/>
  <c r="S33"/>
  <c r="S29"/>
  <c r="S25"/>
  <c r="S21"/>
  <c r="S17"/>
  <c r="S13"/>
  <c r="S9"/>
  <c r="S5"/>
  <c r="S1421"/>
  <c r="S1417"/>
  <c r="S1413"/>
  <c r="S1409"/>
  <c r="S1405"/>
  <c r="S1401"/>
  <c r="S1397"/>
  <c r="S1393"/>
  <c r="S1389"/>
  <c r="S1385"/>
  <c r="S1381"/>
  <c r="S1377"/>
  <c r="S1373"/>
  <c r="S1369"/>
  <c r="S1365"/>
  <c r="S1361"/>
  <c r="S1357"/>
  <c r="S1422"/>
  <c r="S1418"/>
  <c r="S1414"/>
  <c r="S1410"/>
  <c r="S1406"/>
  <c r="S1402"/>
  <c r="S1398"/>
  <c r="S1394"/>
  <c r="S1390"/>
  <c r="S1386"/>
  <c r="S1382"/>
  <c r="S1378"/>
  <c r="S1374"/>
  <c r="S1370"/>
  <c r="S1366"/>
  <c r="S1362"/>
  <c r="S1358"/>
  <c r="S1419"/>
  <c r="S1415"/>
  <c r="S1411"/>
  <c r="S1407"/>
  <c r="S1403"/>
  <c r="S1399"/>
  <c r="S1395"/>
  <c r="S1391"/>
  <c r="S1387"/>
  <c r="S1383"/>
  <c r="S1379"/>
  <c r="S1375"/>
  <c r="S1371"/>
  <c r="S1367"/>
  <c r="S1363"/>
  <c r="S1359"/>
  <c r="S1420"/>
  <c r="S1416"/>
  <c r="S1412"/>
  <c r="S1408"/>
  <c r="S1404"/>
  <c r="S1400"/>
  <c r="S1396"/>
  <c r="S1392"/>
  <c r="S1388"/>
  <c r="S1384"/>
  <c r="S1380"/>
  <c r="S1376"/>
  <c r="S1372"/>
  <c r="S1368"/>
  <c r="S1364"/>
  <c r="S1360"/>
  <c r="V1419"/>
  <c r="V1415"/>
  <c r="V1411"/>
  <c r="V1407"/>
  <c r="V1403"/>
  <c r="V1399"/>
  <c r="V1395"/>
  <c r="V1391"/>
  <c r="V1387"/>
  <c r="V1383"/>
  <c r="V1379"/>
  <c r="V1375"/>
  <c r="V1371"/>
  <c r="V1367"/>
  <c r="V1363"/>
  <c r="V1359"/>
  <c r="V1420"/>
  <c r="V1416"/>
  <c r="V1412"/>
  <c r="V1408"/>
  <c r="V1404"/>
  <c r="V1400"/>
  <c r="V1396"/>
  <c r="V1392"/>
  <c r="V1388"/>
  <c r="V1384"/>
  <c r="V1380"/>
  <c r="V1376"/>
  <c r="V1372"/>
  <c r="V1364"/>
  <c r="V1360"/>
  <c r="V1421"/>
  <c r="V1417"/>
  <c r="V1413"/>
  <c r="V1409"/>
  <c r="V1405"/>
  <c r="V1401"/>
  <c r="V1397"/>
  <c r="V1393"/>
  <c r="V1389"/>
  <c r="V1385"/>
  <c r="V1381"/>
  <c r="V1377"/>
  <c r="V1373"/>
  <c r="V1369"/>
  <c r="V1365"/>
  <c r="V1361"/>
  <c r="V1357"/>
  <c r="V1418"/>
  <c r="V1414"/>
  <c r="V1410"/>
  <c r="V1406"/>
  <c r="V1402"/>
  <c r="V1398"/>
  <c r="V1394"/>
  <c r="V1390"/>
  <c r="V1386"/>
  <c r="V1382"/>
  <c r="V1378"/>
  <c r="V1374"/>
  <c r="V1370"/>
  <c r="V1366"/>
  <c r="V1362"/>
  <c r="V1358"/>
  <c r="S775"/>
  <c r="S767"/>
  <c r="S759"/>
  <c r="S751"/>
  <c r="S743"/>
  <c r="S735"/>
  <c r="S727"/>
  <c r="S719"/>
  <c r="S711"/>
  <c r="S703"/>
  <c r="S695"/>
  <c r="S683"/>
  <c r="S675"/>
  <c r="S667"/>
  <c r="S659"/>
  <c r="S651"/>
  <c r="S643"/>
  <c r="S635"/>
  <c r="S631"/>
  <c r="S623"/>
  <c r="S615"/>
  <c r="S603"/>
  <c r="S599"/>
  <c r="S591"/>
  <c r="S583"/>
  <c r="S571"/>
  <c r="S563"/>
  <c r="S559"/>
  <c r="S551"/>
  <c r="S543"/>
  <c r="S535"/>
  <c r="S527"/>
  <c r="S519"/>
  <c r="S507"/>
  <c r="S499"/>
  <c r="S491"/>
  <c r="S487"/>
  <c r="S475"/>
  <c r="S467"/>
  <c r="S459"/>
  <c r="S451"/>
  <c r="S447"/>
  <c r="S435"/>
  <c r="S427"/>
  <c r="S419"/>
  <c r="S411"/>
  <c r="S403"/>
  <c r="S395"/>
  <c r="S387"/>
  <c r="S379"/>
  <c r="S371"/>
  <c r="S363"/>
  <c r="S355"/>
  <c r="S347"/>
  <c r="S339"/>
  <c r="S331"/>
  <c r="S323"/>
  <c r="S315"/>
  <c r="S307"/>
  <c r="S295"/>
  <c r="S287"/>
  <c r="S279"/>
  <c r="S271"/>
  <c r="S263"/>
  <c r="S255"/>
  <c r="S771"/>
  <c r="S763"/>
  <c r="S755"/>
  <c r="S747"/>
  <c r="S739"/>
  <c r="S731"/>
  <c r="S723"/>
  <c r="S715"/>
  <c r="S707"/>
  <c r="S699"/>
  <c r="S691"/>
  <c r="S687"/>
  <c r="S679"/>
  <c r="S671"/>
  <c r="S663"/>
  <c r="S655"/>
  <c r="S647"/>
  <c r="S639"/>
  <c r="S627"/>
  <c r="S619"/>
  <c r="S611"/>
  <c r="S607"/>
  <c r="S595"/>
  <c r="S587"/>
  <c r="S579"/>
  <c r="S575"/>
  <c r="S567"/>
  <c r="S555"/>
  <c r="S547"/>
  <c r="S539"/>
  <c r="S531"/>
  <c r="S523"/>
  <c r="S515"/>
  <c r="S511"/>
  <c r="S503"/>
  <c r="S495"/>
  <c r="S483"/>
  <c r="S479"/>
  <c r="S471"/>
  <c r="S463"/>
  <c r="S455"/>
  <c r="S443"/>
  <c r="S439"/>
  <c r="S431"/>
  <c r="S423"/>
  <c r="S415"/>
  <c r="S407"/>
  <c r="S399"/>
  <c r="S391"/>
  <c r="S383"/>
  <c r="S375"/>
  <c r="S367"/>
  <c r="S359"/>
  <c r="S351"/>
  <c r="S343"/>
  <c r="S335"/>
  <c r="S327"/>
  <c r="S319"/>
  <c r="S311"/>
  <c r="S303"/>
  <c r="S299"/>
  <c r="S291"/>
  <c r="S283"/>
  <c r="S275"/>
  <c r="S267"/>
  <c r="S259"/>
  <c r="S251"/>
  <c r="S247"/>
  <c r="S243"/>
  <c r="S239"/>
  <c r="S235"/>
  <c r="S231"/>
  <c r="S227"/>
  <c r="S223"/>
  <c r="S219"/>
  <c r="S215"/>
  <c r="S211"/>
  <c r="S207"/>
  <c r="S203"/>
  <c r="S199"/>
  <c r="S195"/>
  <c r="S191"/>
  <c r="S187"/>
  <c r="S183"/>
  <c r="S179"/>
  <c r="S175"/>
  <c r="S171"/>
  <c r="S167"/>
  <c r="S163"/>
  <c r="S159"/>
  <c r="S155"/>
  <c r="S151"/>
  <c r="S147"/>
  <c r="S143"/>
  <c r="S139"/>
  <c r="S135"/>
  <c r="S131"/>
  <c r="S127"/>
  <c r="S123"/>
  <c r="S119"/>
  <c r="S115"/>
  <c r="S111"/>
  <c r="S107"/>
  <c r="S103"/>
  <c r="S99"/>
  <c r="S95"/>
  <c r="S91"/>
  <c r="S87"/>
  <c r="S83"/>
  <c r="S79"/>
  <c r="S75"/>
  <c r="S71"/>
  <c r="S67"/>
  <c r="S63"/>
  <c r="S59"/>
  <c r="S55"/>
  <c r="S51"/>
  <c r="S47"/>
  <c r="S43"/>
  <c r="S39"/>
  <c r="S35"/>
  <c r="S31"/>
  <c r="S27"/>
  <c r="S23"/>
  <c r="S19"/>
  <c r="S15"/>
  <c r="S11"/>
  <c r="S7"/>
  <c r="S3"/>
  <c r="S772"/>
  <c r="S768"/>
  <c r="S764"/>
  <c r="S760"/>
  <c r="S756"/>
  <c r="S752"/>
  <c r="S748"/>
  <c r="S744"/>
  <c r="S740"/>
  <c r="S736"/>
  <c r="S732"/>
  <c r="S728"/>
  <c r="S724"/>
  <c r="S720"/>
  <c r="S716"/>
  <c r="S712"/>
  <c r="S708"/>
  <c r="S704"/>
  <c r="S700"/>
  <c r="S696"/>
  <c r="S692"/>
  <c r="S688"/>
  <c r="S684"/>
  <c r="S680"/>
  <c r="S676"/>
  <c r="S672"/>
  <c r="S668"/>
  <c r="S664"/>
  <c r="S660"/>
  <c r="S656"/>
  <c r="S652"/>
  <c r="S648"/>
  <c r="S644"/>
  <c r="S640"/>
  <c r="S636"/>
  <c r="S632"/>
  <c r="S628"/>
  <c r="S624"/>
  <c r="S620"/>
  <c r="S616"/>
  <c r="S612"/>
  <c r="S608"/>
  <c r="S604"/>
  <c r="S600"/>
  <c r="S596"/>
  <c r="S592"/>
  <c r="S588"/>
  <c r="S584"/>
  <c r="S580"/>
  <c r="S576"/>
  <c r="S572"/>
  <c r="S568"/>
  <c r="S564"/>
  <c r="S560"/>
  <c r="S556"/>
  <c r="S552"/>
  <c r="S548"/>
  <c r="S544"/>
  <c r="S540"/>
  <c r="S536"/>
  <c r="S532"/>
  <c r="S528"/>
  <c r="S524"/>
  <c r="S520"/>
  <c r="S516"/>
  <c r="S512"/>
  <c r="S508"/>
  <c r="S504"/>
  <c r="S500"/>
  <c r="S496"/>
  <c r="S492"/>
  <c r="S488"/>
  <c r="S484"/>
  <c r="S480"/>
  <c r="S476"/>
  <c r="S472"/>
  <c r="S468"/>
  <c r="S464"/>
  <c r="S460"/>
  <c r="S456"/>
  <c r="S452"/>
  <c r="S448"/>
  <c r="S444"/>
  <c r="S440"/>
  <c r="S436"/>
  <c r="S432"/>
  <c r="S428"/>
  <c r="S424"/>
  <c r="S420"/>
  <c r="S416"/>
  <c r="S412"/>
  <c r="S408"/>
  <c r="S404"/>
  <c r="S400"/>
  <c r="S396"/>
  <c r="S392"/>
  <c r="S388"/>
  <c r="S384"/>
  <c r="S380"/>
  <c r="S376"/>
  <c r="S372"/>
  <c r="S368"/>
  <c r="S364"/>
  <c r="S360"/>
  <c r="S356"/>
  <c r="S352"/>
  <c r="S348"/>
  <c r="S344"/>
  <c r="S340"/>
  <c r="S336"/>
  <c r="S332"/>
  <c r="S328"/>
  <c r="S324"/>
  <c r="S320"/>
  <c r="S316"/>
  <c r="S312"/>
  <c r="S308"/>
  <c r="S304"/>
  <c r="S300"/>
  <c r="S296"/>
  <c r="S292"/>
  <c r="S288"/>
  <c r="S284"/>
  <c r="S280"/>
  <c r="S276"/>
  <c r="S272"/>
  <c r="S268"/>
  <c r="S264"/>
  <c r="S260"/>
  <c r="S256"/>
  <c r="S252"/>
  <c r="S248"/>
  <c r="S244"/>
  <c r="S240"/>
  <c r="S236"/>
  <c r="S232"/>
  <c r="S228"/>
  <c r="S224"/>
  <c r="S220"/>
  <c r="S216"/>
  <c r="S212"/>
  <c r="S208"/>
  <c r="S204"/>
  <c r="S200"/>
  <c r="S196"/>
  <c r="S192"/>
  <c r="S188"/>
  <c r="S184"/>
  <c r="S180"/>
  <c r="S176"/>
  <c r="S172"/>
  <c r="S168"/>
  <c r="S164"/>
  <c r="S160"/>
  <c r="S156"/>
  <c r="S152"/>
  <c r="S148"/>
  <c r="S144"/>
  <c r="S140"/>
  <c r="S136"/>
  <c r="S132"/>
  <c r="S128"/>
  <c r="S124"/>
  <c r="S120"/>
  <c r="S116"/>
  <c r="S112"/>
  <c r="S108"/>
  <c r="S104"/>
  <c r="S100"/>
  <c r="S96"/>
  <c r="S92"/>
  <c r="S88"/>
  <c r="S84"/>
  <c r="S80"/>
  <c r="S76"/>
  <c r="S72"/>
  <c r="S68"/>
  <c r="S64"/>
  <c r="S60"/>
  <c r="S56"/>
  <c r="S52"/>
  <c r="S48"/>
  <c r="S44"/>
  <c r="S40"/>
  <c r="S36"/>
  <c r="S32"/>
  <c r="S28"/>
  <c r="S24"/>
  <c r="S20"/>
  <c r="S16"/>
  <c r="S12"/>
  <c r="S8"/>
  <c r="S4"/>
  <c r="S773"/>
  <c r="S769"/>
  <c r="S765"/>
  <c r="S761"/>
  <c r="S757"/>
  <c r="S753"/>
  <c r="S749"/>
  <c r="S745"/>
  <c r="S741"/>
  <c r="S737"/>
  <c r="S733"/>
  <c r="S729"/>
  <c r="S725"/>
  <c r="S721"/>
  <c r="S717"/>
  <c r="S713"/>
  <c r="S709"/>
  <c r="S705"/>
  <c r="S701"/>
  <c r="S697"/>
  <c r="S693"/>
  <c r="S689"/>
  <c r="S685"/>
  <c r="S681"/>
  <c r="S677"/>
  <c r="S673"/>
  <c r="S669"/>
  <c r="S665"/>
  <c r="S661"/>
  <c r="S657"/>
  <c r="S653"/>
  <c r="S649"/>
  <c r="S645"/>
  <c r="S641"/>
  <c r="S637"/>
  <c r="S633"/>
  <c r="S629"/>
  <c r="S625"/>
  <c r="S621"/>
  <c r="S617"/>
  <c r="S613"/>
  <c r="S609"/>
  <c r="S605"/>
  <c r="S601"/>
  <c r="S597"/>
  <c r="S593"/>
  <c r="S589"/>
  <c r="S585"/>
  <c r="S581"/>
  <c r="S577"/>
  <c r="S573"/>
  <c r="S569"/>
  <c r="S565"/>
  <c r="S561"/>
  <c r="S557"/>
  <c r="S553"/>
  <c r="S549"/>
  <c r="S545"/>
  <c r="S541"/>
  <c r="S537"/>
  <c r="S533"/>
  <c r="S529"/>
  <c r="S525"/>
  <c r="S521"/>
  <c r="S517"/>
  <c r="S513"/>
  <c r="S509"/>
  <c r="S505"/>
  <c r="S501"/>
  <c r="S497"/>
  <c r="S493"/>
  <c r="S489"/>
  <c r="S485"/>
  <c r="S481"/>
  <c r="S477"/>
  <c r="S473"/>
  <c r="S469"/>
  <c r="S465"/>
  <c r="S461"/>
  <c r="S457"/>
  <c r="S453"/>
  <c r="S449"/>
  <c r="S445"/>
  <c r="S441"/>
  <c r="S437"/>
  <c r="S433"/>
  <c r="S429"/>
  <c r="S425"/>
  <c r="S421"/>
  <c r="S417"/>
  <c r="S413"/>
  <c r="S409"/>
  <c r="S405"/>
  <c r="S401"/>
  <c r="S397"/>
  <c r="S393"/>
  <c r="S389"/>
  <c r="S385"/>
  <c r="S381"/>
  <c r="S377"/>
  <c r="S373"/>
  <c r="S369"/>
  <c r="S365"/>
  <c r="S361"/>
  <c r="S357"/>
  <c r="S353"/>
  <c r="S349"/>
  <c r="S345"/>
  <c r="S341"/>
  <c r="S337"/>
  <c r="S333"/>
  <c r="S329"/>
  <c r="S325"/>
  <c r="S321"/>
  <c r="S1356"/>
  <c r="S1352"/>
  <c r="S1348"/>
  <c r="S1344"/>
  <c r="S1340"/>
  <c r="S1336"/>
  <c r="S1332"/>
  <c r="S1328"/>
  <c r="S1324"/>
  <c r="S1320"/>
  <c r="S1316"/>
  <c r="S1312"/>
  <c r="S1308"/>
  <c r="S1304"/>
  <c r="S1300"/>
  <c r="S1296"/>
  <c r="S1292"/>
  <c r="S1288"/>
  <c r="S1284"/>
  <c r="S1353"/>
  <c r="S1349"/>
  <c r="S1345"/>
  <c r="S1341"/>
  <c r="S1337"/>
  <c r="S1333"/>
  <c r="S1329"/>
  <c r="S1325"/>
  <c r="S1321"/>
  <c r="S1317"/>
  <c r="S1313"/>
  <c r="S1309"/>
  <c r="S1305"/>
  <c r="S1301"/>
  <c r="S1297"/>
  <c r="S1293"/>
  <c r="S1289"/>
  <c r="S1285"/>
  <c r="S1354"/>
  <c r="S1350"/>
  <c r="S1346"/>
  <c r="S1342"/>
  <c r="S1338"/>
  <c r="S1334"/>
  <c r="S1330"/>
  <c r="S1326"/>
  <c r="S1322"/>
  <c r="S1318"/>
  <c r="S1314"/>
  <c r="S1310"/>
  <c r="S1306"/>
  <c r="S1302"/>
  <c r="S1298"/>
  <c r="S1294"/>
  <c r="S1290"/>
  <c r="S1286"/>
  <c r="S1282"/>
  <c r="S1355"/>
  <c r="S1351"/>
  <c r="S1347"/>
  <c r="S1343"/>
  <c r="S1339"/>
  <c r="S1335"/>
  <c r="S1331"/>
  <c r="S1327"/>
  <c r="S1323"/>
  <c r="S1319"/>
  <c r="S1315"/>
  <c r="S1311"/>
  <c r="S1307"/>
  <c r="S1303"/>
  <c r="S1299"/>
  <c r="S1295"/>
  <c r="S1291"/>
  <c r="S1287"/>
  <c r="S1283"/>
  <c r="S1280"/>
  <c r="S1276"/>
  <c r="S1272"/>
  <c r="S1268"/>
  <c r="S1264"/>
  <c r="S1260"/>
  <c r="S1256"/>
  <c r="S1252"/>
  <c r="S1248"/>
  <c r="S1244"/>
  <c r="S1240"/>
  <c r="S1236"/>
  <c r="S1232"/>
  <c r="S1228"/>
  <c r="S1224"/>
  <c r="S1220"/>
  <c r="S1216"/>
  <c r="S1212"/>
  <c r="S1208"/>
  <c r="S1204"/>
  <c r="S1200"/>
  <c r="S1196"/>
  <c r="S1192"/>
  <c r="S1188"/>
  <c r="S1184"/>
  <c r="S1180"/>
  <c r="S1176"/>
  <c r="S1172"/>
  <c r="S1168"/>
  <c r="S1164"/>
  <c r="S1160"/>
  <c r="S1156"/>
  <c r="S1152"/>
  <c r="S1148"/>
  <c r="S1144"/>
  <c r="S1140"/>
  <c r="S1136"/>
  <c r="S1132"/>
  <c r="S1128"/>
  <c r="S1124"/>
  <c r="S1120"/>
  <c r="S1116"/>
  <c r="S1112"/>
  <c r="S1108"/>
  <c r="S1104"/>
  <c r="S1100"/>
  <c r="S1096"/>
  <c r="S1092"/>
  <c r="S1088"/>
  <c r="S1084"/>
  <c r="S1080"/>
  <c r="S1076"/>
  <c r="S1072"/>
  <c r="S1068"/>
  <c r="S1064"/>
  <c r="S1060"/>
  <c r="S1056"/>
  <c r="S1052"/>
  <c r="S1048"/>
  <c r="S1044"/>
  <c r="S1040"/>
  <c r="S1036"/>
  <c r="S1032"/>
  <c r="S1028"/>
  <c r="S1281"/>
  <c r="S1277"/>
  <c r="S1273"/>
  <c r="S1269"/>
  <c r="S1265"/>
  <c r="S1261"/>
  <c r="S1257"/>
  <c r="S1253"/>
  <c r="S1249"/>
  <c r="S1245"/>
  <c r="S1241"/>
  <c r="S1237"/>
  <c r="S1233"/>
  <c r="S1229"/>
  <c r="S1225"/>
  <c r="S1221"/>
  <c r="S1217"/>
  <c r="S1213"/>
  <c r="S1209"/>
  <c r="S1205"/>
  <c r="S1201"/>
  <c r="S1197"/>
  <c r="S1193"/>
  <c r="S1189"/>
  <c r="S1185"/>
  <c r="S1181"/>
  <c r="S1177"/>
  <c r="S1173"/>
  <c r="S1169"/>
  <c r="S1165"/>
  <c r="S1161"/>
  <c r="S1157"/>
  <c r="S1153"/>
  <c r="S1149"/>
  <c r="S1145"/>
  <c r="S1141"/>
  <c r="S1137"/>
  <c r="S1133"/>
  <c r="S1129"/>
  <c r="S1125"/>
  <c r="S1121"/>
  <c r="S1117"/>
  <c r="S1113"/>
  <c r="S1109"/>
  <c r="S1105"/>
  <c r="S1101"/>
  <c r="S1097"/>
  <c r="S1093"/>
  <c r="S1089"/>
  <c r="S1085"/>
  <c r="S1081"/>
  <c r="S1077"/>
  <c r="S1073"/>
  <c r="S1069"/>
  <c r="S1065"/>
  <c r="S1061"/>
  <c r="S1057"/>
  <c r="S1053"/>
  <c r="S1049"/>
  <c r="S1045"/>
  <c r="S1041"/>
  <c r="S1037"/>
  <c r="S1033"/>
  <c r="S1029"/>
  <c r="S1278"/>
  <c r="S1274"/>
  <c r="S1270"/>
  <c r="S1266"/>
  <c r="S1262"/>
  <c r="S1258"/>
  <c r="S1254"/>
  <c r="S1250"/>
  <c r="S1246"/>
  <c r="S1242"/>
  <c r="S1238"/>
  <c r="S1234"/>
  <c r="S1230"/>
  <c r="S1226"/>
  <c r="S1222"/>
  <c r="S1218"/>
  <c r="S1214"/>
  <c r="S1210"/>
  <c r="S1206"/>
  <c r="S1202"/>
  <c r="S1198"/>
  <c r="S1194"/>
  <c r="S1190"/>
  <c r="S1186"/>
  <c r="S1182"/>
  <c r="S1178"/>
  <c r="S1174"/>
  <c r="S1170"/>
  <c r="S1166"/>
  <c r="S1162"/>
  <c r="S1158"/>
  <c r="S1154"/>
  <c r="S1150"/>
  <c r="S1146"/>
  <c r="S1142"/>
  <c r="S1138"/>
  <c r="S1134"/>
  <c r="S1130"/>
  <c r="S1126"/>
  <c r="S1122"/>
  <c r="S1118"/>
  <c r="S1114"/>
  <c r="S1110"/>
  <c r="S1106"/>
  <c r="S1102"/>
  <c r="S1098"/>
  <c r="S1094"/>
  <c r="S1090"/>
  <c r="S1086"/>
  <c r="S1082"/>
  <c r="S1078"/>
  <c r="S1074"/>
  <c r="S1070"/>
  <c r="S1066"/>
  <c r="S1062"/>
  <c r="S1058"/>
  <c r="S1054"/>
  <c r="S1050"/>
  <c r="S1046"/>
  <c r="S1042"/>
  <c r="S1038"/>
  <c r="S1034"/>
  <c r="S1030"/>
  <c r="S1026"/>
  <c r="S1279"/>
  <c r="S1275"/>
  <c r="S1271"/>
  <c r="S1267"/>
  <c r="S1263"/>
  <c r="S1259"/>
  <c r="S1255"/>
  <c r="S1251"/>
  <c r="S1247"/>
  <c r="S1243"/>
  <c r="S1239"/>
  <c r="S1235"/>
  <c r="S1231"/>
  <c r="S1227"/>
  <c r="S1223"/>
  <c r="S1219"/>
  <c r="S1215"/>
  <c r="S1211"/>
  <c r="S1207"/>
  <c r="S1203"/>
  <c r="S1199"/>
  <c r="S1195"/>
  <c r="S1191"/>
  <c r="S1187"/>
  <c r="S1183"/>
  <c r="S1179"/>
  <c r="S1175"/>
  <c r="S1171"/>
  <c r="S1167"/>
  <c r="S1163"/>
  <c r="S1159"/>
  <c r="S1155"/>
  <c r="S1151"/>
  <c r="S1147"/>
  <c r="S1143"/>
  <c r="S1139"/>
  <c r="S1135"/>
  <c r="S1131"/>
  <c r="S1127"/>
  <c r="S1123"/>
  <c r="S1119"/>
  <c r="S1115"/>
  <c r="S1111"/>
  <c r="S1107"/>
  <c r="S1103"/>
  <c r="S1099"/>
  <c r="S1095"/>
  <c r="S1091"/>
  <c r="S1087"/>
  <c r="S1083"/>
  <c r="S1079"/>
  <c r="S1075"/>
  <c r="S1071"/>
  <c r="S1067"/>
  <c r="S1063"/>
  <c r="S1059"/>
  <c r="S1055"/>
  <c r="S1051"/>
  <c r="S1047"/>
  <c r="S1043"/>
  <c r="S1039"/>
  <c r="S1035"/>
  <c r="S1031"/>
  <c r="S1027"/>
  <c r="S1024"/>
  <c r="S1020"/>
  <c r="S1016"/>
  <c r="S1012"/>
  <c r="S1008"/>
  <c r="S1004"/>
  <c r="S1000"/>
  <c r="S996"/>
  <c r="S992"/>
  <c r="S988"/>
  <c r="S984"/>
  <c r="S980"/>
  <c r="S976"/>
  <c r="S972"/>
  <c r="S968"/>
  <c r="S964"/>
  <c r="S960"/>
  <c r="S956"/>
  <c r="S952"/>
  <c r="S948"/>
  <c r="S944"/>
  <c r="S940"/>
  <c r="S936"/>
  <c r="S932"/>
  <c r="S928"/>
  <c r="S924"/>
  <c r="S920"/>
  <c r="S916"/>
  <c r="S912"/>
  <c r="S908"/>
  <c r="S904"/>
  <c r="S900"/>
  <c r="S896"/>
  <c r="S892"/>
  <c r="S888"/>
  <c r="S884"/>
  <c r="S880"/>
  <c r="S876"/>
  <c r="S872"/>
  <c r="S868"/>
  <c r="S864"/>
  <c r="S860"/>
  <c r="S856"/>
  <c r="S852"/>
  <c r="S848"/>
  <c r="S844"/>
  <c r="S840"/>
  <c r="S836"/>
  <c r="S832"/>
  <c r="S828"/>
  <c r="S824"/>
  <c r="S820"/>
  <c r="S816"/>
  <c r="S812"/>
  <c r="S808"/>
  <c r="S804"/>
  <c r="S800"/>
  <c r="S796"/>
  <c r="S792"/>
  <c r="S788"/>
  <c r="S784"/>
  <c r="S780"/>
  <c r="S776"/>
  <c r="S1025"/>
  <c r="S1021"/>
  <c r="S1017"/>
  <c r="S1013"/>
  <c r="S1009"/>
  <c r="S1005"/>
  <c r="S1001"/>
  <c r="S997"/>
  <c r="S993"/>
  <c r="S989"/>
  <c r="S985"/>
  <c r="S981"/>
  <c r="S977"/>
  <c r="S973"/>
  <c r="S969"/>
  <c r="S965"/>
  <c r="S961"/>
  <c r="S957"/>
  <c r="S953"/>
  <c r="S949"/>
  <c r="S945"/>
  <c r="S941"/>
  <c r="S937"/>
  <c r="S933"/>
  <c r="S929"/>
  <c r="S925"/>
  <c r="S921"/>
  <c r="S917"/>
  <c r="S913"/>
  <c r="S909"/>
  <c r="S905"/>
  <c r="S901"/>
  <c r="S897"/>
  <c r="S893"/>
  <c r="S889"/>
  <c r="S885"/>
  <c r="S881"/>
  <c r="S877"/>
  <c r="S873"/>
  <c r="S869"/>
  <c r="S865"/>
  <c r="S861"/>
  <c r="S857"/>
  <c r="S853"/>
  <c r="S849"/>
  <c r="S845"/>
  <c r="S841"/>
  <c r="S837"/>
  <c r="S833"/>
  <c r="S829"/>
  <c r="S825"/>
  <c r="S821"/>
  <c r="S817"/>
  <c r="S813"/>
  <c r="S809"/>
  <c r="S805"/>
  <c r="S801"/>
  <c r="S797"/>
  <c r="S793"/>
  <c r="S789"/>
  <c r="S785"/>
  <c r="S781"/>
  <c r="S777"/>
  <c r="S1022"/>
  <c r="S1018"/>
  <c r="S1014"/>
  <c r="S1010"/>
  <c r="S1006"/>
  <c r="S1002"/>
  <c r="S998"/>
  <c r="S994"/>
  <c r="S990"/>
  <c r="S986"/>
  <c r="S982"/>
  <c r="S978"/>
  <c r="S974"/>
  <c r="S970"/>
  <c r="S966"/>
  <c r="S962"/>
  <c r="S958"/>
  <c r="S954"/>
  <c r="S950"/>
  <c r="S946"/>
  <c r="S942"/>
  <c r="S938"/>
  <c r="S934"/>
  <c r="S930"/>
  <c r="S926"/>
  <c r="S922"/>
  <c r="S918"/>
  <c r="S914"/>
  <c r="S910"/>
  <c r="S906"/>
  <c r="S902"/>
  <c r="S898"/>
  <c r="S894"/>
  <c r="S890"/>
  <c r="S886"/>
  <c r="S882"/>
  <c r="S878"/>
  <c r="S874"/>
  <c r="S870"/>
  <c r="S866"/>
  <c r="S862"/>
  <c r="S858"/>
  <c r="S854"/>
  <c r="S850"/>
  <c r="S846"/>
  <c r="S842"/>
  <c r="S838"/>
  <c r="S834"/>
  <c r="S830"/>
  <c r="S826"/>
  <c r="S822"/>
  <c r="S818"/>
  <c r="S814"/>
  <c r="S810"/>
  <c r="S806"/>
  <c r="S802"/>
  <c r="S798"/>
  <c r="S794"/>
  <c r="S790"/>
  <c r="S786"/>
  <c r="S782"/>
  <c r="S778"/>
  <c r="S1023"/>
  <c r="S1019"/>
  <c r="S1015"/>
  <c r="S1011"/>
  <c r="S1007"/>
  <c r="S1003"/>
  <c r="S999"/>
  <c r="S995"/>
  <c r="S991"/>
  <c r="S987"/>
  <c r="S983"/>
  <c r="S979"/>
  <c r="S975"/>
  <c r="S971"/>
  <c r="S967"/>
  <c r="S963"/>
  <c r="S959"/>
  <c r="S955"/>
  <c r="S951"/>
  <c r="S947"/>
  <c r="S943"/>
  <c r="S939"/>
  <c r="S935"/>
  <c r="S931"/>
  <c r="S927"/>
  <c r="S923"/>
  <c r="S919"/>
  <c r="S915"/>
  <c r="S911"/>
  <c r="S907"/>
  <c r="S903"/>
  <c r="S899"/>
  <c r="S895"/>
  <c r="S891"/>
  <c r="S887"/>
  <c r="S883"/>
  <c r="S879"/>
  <c r="S875"/>
  <c r="S871"/>
  <c r="S867"/>
  <c r="S863"/>
  <c r="S859"/>
  <c r="S855"/>
  <c r="S851"/>
  <c r="S847"/>
  <c r="S843"/>
  <c r="S839"/>
  <c r="S835"/>
  <c r="S831"/>
  <c r="S827"/>
  <c r="S823"/>
  <c r="S819"/>
  <c r="S815"/>
  <c r="S811"/>
  <c r="S807"/>
  <c r="S803"/>
  <c r="S799"/>
  <c r="S795"/>
  <c r="S791"/>
  <c r="S787"/>
  <c r="S783"/>
  <c r="S779"/>
  <c r="V775"/>
  <c r="V1356"/>
  <c r="S774"/>
  <c r="S770"/>
  <c r="S766"/>
  <c r="S762"/>
  <c r="S758"/>
  <c r="S754"/>
  <c r="S750"/>
  <c r="S746"/>
  <c r="S742"/>
  <c r="S738"/>
  <c r="S734"/>
  <c r="S730"/>
  <c r="S726"/>
  <c r="S722"/>
  <c r="S718"/>
  <c r="S714"/>
  <c r="S710"/>
  <c r="S706"/>
  <c r="S702"/>
  <c r="S698"/>
  <c r="S694"/>
  <c r="S690"/>
  <c r="S686"/>
  <c r="S682"/>
  <c r="S678"/>
  <c r="S674"/>
  <c r="S670"/>
  <c r="S666"/>
  <c r="S662"/>
  <c r="S658"/>
  <c r="S654"/>
  <c r="S650"/>
  <c r="S646"/>
  <c r="S642"/>
  <c r="S638"/>
  <c r="S634"/>
  <c r="S630"/>
  <c r="S626"/>
  <c r="S622"/>
  <c r="S618"/>
  <c r="S614"/>
  <c r="S610"/>
  <c r="S606"/>
  <c r="S602"/>
  <c r="S598"/>
  <c r="S594"/>
  <c r="S590"/>
  <c r="S586"/>
  <c r="S582"/>
  <c r="S578"/>
  <c r="S574"/>
  <c r="S570"/>
  <c r="S566"/>
  <c r="S562"/>
  <c r="S558"/>
  <c r="S554"/>
  <c r="S550"/>
  <c r="S546"/>
  <c r="S542"/>
  <c r="S538"/>
  <c r="S534"/>
  <c r="S530"/>
  <c r="S526"/>
  <c r="S522"/>
  <c r="S518"/>
  <c r="S514"/>
  <c r="S510"/>
  <c r="S506"/>
  <c r="S502"/>
  <c r="S498"/>
  <c r="S494"/>
  <c r="S490"/>
  <c r="S486"/>
  <c r="S482"/>
  <c r="S478"/>
  <c r="S474"/>
  <c r="S470"/>
  <c r="S466"/>
  <c r="S462"/>
  <c r="S458"/>
  <c r="S454"/>
  <c r="S450"/>
  <c r="S446"/>
  <c r="S442"/>
  <c r="S438"/>
  <c r="S434"/>
  <c r="S430"/>
  <c r="S426"/>
  <c r="S422"/>
  <c r="S418"/>
  <c r="S414"/>
  <c r="S410"/>
  <c r="S406"/>
  <c r="S402"/>
  <c r="S398"/>
  <c r="S394"/>
  <c r="S390"/>
  <c r="S386"/>
  <c r="S382"/>
  <c r="S378"/>
  <c r="S374"/>
  <c r="S370"/>
  <c r="S366"/>
  <c r="S362"/>
  <c r="S358"/>
  <c r="S354"/>
  <c r="S350"/>
  <c r="S346"/>
  <c r="S342"/>
  <c r="S338"/>
  <c r="S334"/>
  <c r="S330"/>
  <c r="S326"/>
  <c r="S322"/>
  <c r="S318"/>
  <c r="S314"/>
  <c r="S310"/>
  <c r="S306"/>
  <c r="S302"/>
  <c r="S298"/>
  <c r="S294"/>
  <c r="S290"/>
  <c r="S286"/>
  <c r="S282"/>
  <c r="S278"/>
  <c r="S274"/>
  <c r="S270"/>
  <c r="S266"/>
  <c r="S262"/>
  <c r="S258"/>
  <c r="S254"/>
  <c r="S250"/>
  <c r="S246"/>
  <c r="S242"/>
  <c r="S238"/>
  <c r="S234"/>
  <c r="S230"/>
  <c r="S226"/>
  <c r="S222"/>
  <c r="S218"/>
  <c r="S214"/>
  <c r="S210"/>
  <c r="S206"/>
  <c r="S202"/>
  <c r="S198"/>
  <c r="S194"/>
  <c r="S190"/>
  <c r="S186"/>
  <c r="S182"/>
  <c r="S178"/>
  <c r="S174"/>
  <c r="S170"/>
  <c r="S166"/>
  <c r="S162"/>
  <c r="S158"/>
  <c r="S154"/>
  <c r="S150"/>
  <c r="S146"/>
  <c r="S142"/>
  <c r="S138"/>
  <c r="S134"/>
  <c r="S130"/>
  <c r="S126"/>
  <c r="S122"/>
  <c r="S118"/>
  <c r="S114"/>
  <c r="S110"/>
  <c r="S106"/>
  <c r="S102"/>
  <c r="S98"/>
  <c r="S94"/>
  <c r="S90"/>
  <c r="S86"/>
  <c r="S82"/>
  <c r="S78"/>
  <c r="S74"/>
  <c r="S70"/>
  <c r="S66"/>
  <c r="S62"/>
  <c r="S58"/>
  <c r="S54"/>
  <c r="S50"/>
  <c r="S46"/>
  <c r="S42"/>
  <c r="S38"/>
  <c r="S34"/>
  <c r="S30"/>
  <c r="S26"/>
  <c r="S22"/>
  <c r="S18"/>
  <c r="S14"/>
  <c r="S10"/>
  <c r="S6"/>
  <c r="V1354"/>
  <c r="V1350"/>
  <c r="V1346"/>
  <c r="V1342"/>
  <c r="V1338"/>
  <c r="V1334"/>
  <c r="V1330"/>
  <c r="V1326"/>
  <c r="V1322"/>
  <c r="V1318"/>
  <c r="V1314"/>
  <c r="V1310"/>
  <c r="V1306"/>
  <c r="V1302"/>
  <c r="V1298"/>
  <c r="V1294"/>
  <c r="V1290"/>
  <c r="V1286"/>
  <c r="V1282"/>
  <c r="V1278"/>
  <c r="V1274"/>
  <c r="V1270"/>
  <c r="V1266"/>
  <c r="V1262"/>
  <c r="V1258"/>
  <c r="V1254"/>
  <c r="V1250"/>
  <c r="V1246"/>
  <c r="V1242"/>
  <c r="V1238"/>
  <c r="V1234"/>
  <c r="V1230"/>
  <c r="V609"/>
  <c r="V605"/>
  <c r="V601"/>
  <c r="V597"/>
  <c r="V593"/>
  <c r="V589"/>
  <c r="V585"/>
  <c r="V581"/>
  <c r="V577"/>
  <c r="V573"/>
  <c r="V569"/>
  <c r="V565"/>
  <c r="V561"/>
  <c r="V557"/>
  <c r="V553"/>
  <c r="V549"/>
  <c r="V545"/>
  <c r="V541"/>
  <c r="V537"/>
  <c r="V533"/>
  <c r="V529"/>
  <c r="V525"/>
  <c r="V521"/>
  <c r="V517"/>
  <c r="V513"/>
  <c r="V509"/>
  <c r="V505"/>
  <c r="V501"/>
  <c r="V497"/>
  <c r="V493"/>
  <c r="V489"/>
  <c r="V485"/>
  <c r="V481"/>
  <c r="V477"/>
  <c r="V473"/>
  <c r="V469"/>
  <c r="V465"/>
  <c r="V461"/>
  <c r="V457"/>
  <c r="V453"/>
  <c r="V449"/>
  <c r="V445"/>
  <c r="V441"/>
  <c r="V437"/>
  <c r="V433"/>
  <c r="V429"/>
  <c r="V425"/>
  <c r="V421"/>
  <c r="V417"/>
  <c r="V413"/>
  <c r="V409"/>
  <c r="V405"/>
  <c r="V401"/>
  <c r="V397"/>
  <c r="V393"/>
  <c r="V389"/>
  <c r="V385"/>
  <c r="V381"/>
  <c r="V377"/>
  <c r="V373"/>
  <c r="V369"/>
  <c r="V365"/>
  <c r="V361"/>
  <c r="V357"/>
  <c r="V353"/>
  <c r="V349"/>
  <c r="V345"/>
  <c r="V341"/>
  <c r="V337"/>
  <c r="V333"/>
  <c r="V329"/>
  <c r="V325"/>
  <c r="V321"/>
  <c r="V317"/>
  <c r="V313"/>
  <c r="V309"/>
  <c r="V305"/>
  <c r="V301"/>
  <c r="V297"/>
  <c r="V293"/>
  <c r="V289"/>
  <c r="V285"/>
  <c r="V281"/>
  <c r="V277"/>
  <c r="V273"/>
  <c r="V269"/>
  <c r="V265"/>
  <c r="V261"/>
  <c r="V257"/>
  <c r="V253"/>
  <c r="V249"/>
  <c r="V245"/>
  <c r="V241"/>
  <c r="V237"/>
  <c r="V233"/>
  <c r="V229"/>
  <c r="V225"/>
  <c r="V221"/>
  <c r="V217"/>
  <c r="V213"/>
  <c r="V209"/>
  <c r="V205"/>
  <c r="V201"/>
  <c r="V197"/>
  <c r="V193"/>
  <c r="V189"/>
  <c r="V185"/>
  <c r="V181"/>
  <c r="V177"/>
  <c r="V173"/>
  <c r="V169"/>
  <c r="V165"/>
  <c r="V161"/>
  <c r="V157"/>
  <c r="V153"/>
  <c r="V149"/>
  <c r="V145"/>
  <c r="V141"/>
  <c r="V137"/>
  <c r="V133"/>
  <c r="V1226"/>
  <c r="V1222"/>
  <c r="V1218"/>
  <c r="V1214"/>
  <c r="V1210"/>
  <c r="V1206"/>
  <c r="V1202"/>
  <c r="V1198"/>
  <c r="V1194"/>
  <c r="V1190"/>
  <c r="V1186"/>
  <c r="V1182"/>
  <c r="V1178"/>
  <c r="V1174"/>
  <c r="V1170"/>
  <c r="V1166"/>
  <c r="V1162"/>
  <c r="V1158"/>
  <c r="V1154"/>
  <c r="V1150"/>
  <c r="V1146"/>
  <c r="V1142"/>
  <c r="V1138"/>
  <c r="V1134"/>
  <c r="V1130"/>
  <c r="V1126"/>
  <c r="V1122"/>
  <c r="V1118"/>
  <c r="V1114"/>
  <c r="V1110"/>
  <c r="V1106"/>
  <c r="V1102"/>
  <c r="V1098"/>
  <c r="V1094"/>
  <c r="V1090"/>
  <c r="V1086"/>
  <c r="V1082"/>
  <c r="V1078"/>
  <c r="V1074"/>
  <c r="V1070"/>
  <c r="V1066"/>
  <c r="V1062"/>
  <c r="V1058"/>
  <c r="V1054"/>
  <c r="V1050"/>
  <c r="V1046"/>
  <c r="V1042"/>
  <c r="V1038"/>
  <c r="V1034"/>
  <c r="V1030"/>
  <c r="V1026"/>
  <c r="V1022"/>
  <c r="V1018"/>
  <c r="V1014"/>
  <c r="V1010"/>
  <c r="V1006"/>
  <c r="V1002"/>
  <c r="V998"/>
  <c r="V994"/>
  <c r="V990"/>
  <c r="V986"/>
  <c r="V982"/>
  <c r="V978"/>
  <c r="V974"/>
  <c r="V970"/>
  <c r="V966"/>
  <c r="V962"/>
  <c r="V958"/>
  <c r="V954"/>
  <c r="V950"/>
  <c r="V946"/>
  <c r="V942"/>
  <c r="V938"/>
  <c r="V934"/>
  <c r="V930"/>
  <c r="V926"/>
  <c r="V922"/>
  <c r="V918"/>
  <c r="V914"/>
  <c r="V910"/>
  <c r="V906"/>
  <c r="V902"/>
  <c r="V898"/>
  <c r="V894"/>
  <c r="V890"/>
  <c r="V886"/>
  <c r="V882"/>
  <c r="V878"/>
  <c r="V874"/>
  <c r="V870"/>
  <c r="V866"/>
  <c r="V862"/>
  <c r="V858"/>
  <c r="V854"/>
  <c r="V850"/>
  <c r="V846"/>
  <c r="V842"/>
  <c r="V838"/>
  <c r="V834"/>
  <c r="V830"/>
  <c r="V826"/>
  <c r="V822"/>
  <c r="V818"/>
  <c r="V814"/>
  <c r="V810"/>
  <c r="V802"/>
  <c r="V798"/>
  <c r="V794"/>
  <c r="V790"/>
  <c r="V786"/>
  <c r="V782"/>
  <c r="V778"/>
  <c r="V774"/>
  <c r="V770"/>
  <c r="V766"/>
  <c r="V762"/>
  <c r="V758"/>
  <c r="V754"/>
  <c r="V750"/>
  <c r="V746"/>
  <c r="V742"/>
  <c r="V738"/>
  <c r="V734"/>
  <c r="V730"/>
  <c r="V726"/>
  <c r="V722"/>
  <c r="V718"/>
  <c r="V714"/>
  <c r="V710"/>
  <c r="V706"/>
  <c r="V702"/>
  <c r="V698"/>
  <c r="V694"/>
  <c r="V690"/>
  <c r="V686"/>
  <c r="V682"/>
  <c r="V678"/>
  <c r="V674"/>
  <c r="V670"/>
  <c r="V666"/>
  <c r="V662"/>
  <c r="V658"/>
  <c r="V654"/>
  <c r="V650"/>
  <c r="V646"/>
  <c r="V642"/>
  <c r="V638"/>
  <c r="V634"/>
  <c r="V630"/>
  <c r="V626"/>
  <c r="V622"/>
  <c r="V618"/>
  <c r="V614"/>
  <c r="V610"/>
  <c r="V606"/>
  <c r="V602"/>
  <c r="V598"/>
  <c r="V594"/>
  <c r="V590"/>
  <c r="V586"/>
  <c r="V582"/>
  <c r="V578"/>
  <c r="V574"/>
  <c r="V570"/>
  <c r="V566"/>
  <c r="V562"/>
  <c r="V558"/>
  <c r="V554"/>
  <c r="V550"/>
  <c r="V546"/>
  <c r="V470"/>
  <c r="V466"/>
  <c r="V462"/>
  <c r="V454"/>
  <c r="V450"/>
  <c r="V446"/>
  <c r="V442"/>
  <c r="V438"/>
  <c r="V434"/>
  <c r="V430"/>
  <c r="V426"/>
  <c r="V422"/>
  <c r="V418"/>
  <c r="V414"/>
  <c r="V410"/>
  <c r="V406"/>
  <c r="V402"/>
  <c r="V398"/>
  <c r="V394"/>
  <c r="V390"/>
  <c r="V386"/>
  <c r="V382"/>
  <c r="V378"/>
  <c r="V374"/>
  <c r="V370"/>
  <c r="V366"/>
  <c r="V362"/>
  <c r="V358"/>
  <c r="V354"/>
  <c r="V350"/>
  <c r="V346"/>
  <c r="V342"/>
  <c r="V338"/>
  <c r="V334"/>
  <c r="V330"/>
  <c r="V326"/>
  <c r="V322"/>
  <c r="V318"/>
  <c r="V314"/>
  <c r="V310"/>
  <c r="V306"/>
  <c r="V302"/>
  <c r="V298"/>
  <c r="V294"/>
  <c r="V290"/>
  <c r="V286"/>
  <c r="V282"/>
  <c r="V278"/>
  <c r="V274"/>
  <c r="V270"/>
  <c r="V266"/>
  <c r="V262"/>
  <c r="V258"/>
  <c r="V254"/>
  <c r="V250"/>
  <c r="V246"/>
  <c r="V242"/>
  <c r="V238"/>
  <c r="V234"/>
  <c r="V230"/>
  <c r="V226"/>
  <c r="V222"/>
  <c r="V218"/>
  <c r="V214"/>
  <c r="V210"/>
  <c r="V206"/>
  <c r="V202"/>
  <c r="V198"/>
  <c r="V194"/>
  <c r="V190"/>
  <c r="V186"/>
  <c r="V182"/>
  <c r="V178"/>
  <c r="V174"/>
  <c r="V170"/>
  <c r="V166"/>
  <c r="V162"/>
  <c r="V158"/>
  <c r="V154"/>
  <c r="V150"/>
  <c r="V146"/>
  <c r="V142"/>
  <c r="V138"/>
  <c r="V134"/>
  <c r="V471"/>
  <c r="V467"/>
  <c r="V463"/>
  <c r="V459"/>
  <c r="V455"/>
  <c r="V451"/>
  <c r="V447"/>
  <c r="V443"/>
  <c r="V439"/>
  <c r="V435"/>
  <c r="V431"/>
  <c r="V427"/>
  <c r="V423"/>
  <c r="V419"/>
  <c r="V415"/>
  <c r="V411"/>
  <c r="V407"/>
  <c r="V403"/>
  <c r="V399"/>
  <c r="V395"/>
  <c r="V391"/>
  <c r="V387"/>
  <c r="V383"/>
  <c r="V379"/>
  <c r="V375"/>
  <c r="V371"/>
  <c r="V367"/>
  <c r="V363"/>
  <c r="V359"/>
  <c r="V355"/>
  <c r="V351"/>
  <c r="V347"/>
  <c r="V343"/>
  <c r="V339"/>
  <c r="V335"/>
  <c r="V331"/>
  <c r="V327"/>
  <c r="V323"/>
  <c r="V319"/>
  <c r="V315"/>
  <c r="V311"/>
  <c r="V307"/>
  <c r="V303"/>
  <c r="V299"/>
  <c r="V295"/>
  <c r="V291"/>
  <c r="V287"/>
  <c r="V283"/>
  <c r="V279"/>
  <c r="V275"/>
  <c r="V271"/>
  <c r="V267"/>
  <c r="V263"/>
  <c r="V259"/>
  <c r="V255"/>
  <c r="V251"/>
  <c r="V247"/>
  <c r="V243"/>
  <c r="V239"/>
  <c r="V235"/>
  <c r="V231"/>
  <c r="V227"/>
  <c r="V223"/>
  <c r="V219"/>
  <c r="V215"/>
  <c r="V211"/>
  <c r="V207"/>
  <c r="V203"/>
  <c r="V199"/>
  <c r="V195"/>
  <c r="V191"/>
  <c r="V187"/>
  <c r="V183"/>
  <c r="V179"/>
  <c r="V175"/>
  <c r="V171"/>
  <c r="V167"/>
  <c r="V163"/>
  <c r="V159"/>
  <c r="V155"/>
  <c r="V147"/>
  <c r="V143"/>
  <c r="V139"/>
  <c r="V135"/>
  <c r="V472"/>
  <c r="V468"/>
  <c r="V464"/>
  <c r="V460"/>
  <c r="V456"/>
  <c r="V452"/>
  <c r="V448"/>
  <c r="V444"/>
  <c r="V440"/>
  <c r="V436"/>
  <c r="V432"/>
  <c r="V428"/>
  <c r="V424"/>
  <c r="V420"/>
  <c r="V416"/>
  <c r="V412"/>
  <c r="V408"/>
  <c r="V404"/>
  <c r="V400"/>
  <c r="V396"/>
  <c r="V392"/>
  <c r="V388"/>
  <c r="V384"/>
  <c r="V380"/>
  <c r="V376"/>
  <c r="V372"/>
  <c r="V368"/>
  <c r="V364"/>
  <c r="V360"/>
  <c r="V356"/>
  <c r="V352"/>
  <c r="V348"/>
  <c r="V344"/>
  <c r="V340"/>
  <c r="V336"/>
  <c r="V332"/>
  <c r="V328"/>
  <c r="V324"/>
  <c r="V320"/>
  <c r="V316"/>
  <c r="V312"/>
  <c r="V308"/>
  <c r="V304"/>
  <c r="V300"/>
  <c r="V296"/>
  <c r="V292"/>
  <c r="V288"/>
  <c r="V284"/>
  <c r="V280"/>
  <c r="V276"/>
  <c r="V272"/>
  <c r="V268"/>
  <c r="V264"/>
  <c r="V260"/>
  <c r="V256"/>
  <c r="V252"/>
  <c r="V248"/>
  <c r="V244"/>
  <c r="V240"/>
  <c r="V236"/>
  <c r="V232"/>
  <c r="V228"/>
  <c r="V224"/>
  <c r="V220"/>
  <c r="V216"/>
  <c r="V212"/>
  <c r="V208"/>
  <c r="V204"/>
  <c r="V200"/>
  <c r="V196"/>
  <c r="V192"/>
  <c r="V188"/>
  <c r="V184"/>
  <c r="V180"/>
  <c r="V176"/>
  <c r="V172"/>
  <c r="V168"/>
  <c r="V164"/>
  <c r="V160"/>
  <c r="V156"/>
  <c r="V152"/>
  <c r="V148"/>
  <c r="V144"/>
  <c r="V140"/>
  <c r="V136"/>
  <c r="V1351"/>
  <c r="V1339"/>
  <c r="V1327"/>
  <c r="V1315"/>
  <c r="V1303"/>
  <c r="V1291"/>
  <c r="V1279"/>
  <c r="V1267"/>
  <c r="V1255"/>
  <c r="V1243"/>
  <c r="V1235"/>
  <c r="V1219"/>
  <c r="V1211"/>
  <c r="V1199"/>
  <c r="V1159"/>
  <c r="V1352"/>
  <c r="V1348"/>
  <c r="V1344"/>
  <c r="V1353"/>
  <c r="V1349"/>
  <c r="V1345"/>
  <c r="V1341"/>
  <c r="V1337"/>
  <c r="V1333"/>
  <c r="V1329"/>
  <c r="V1325"/>
  <c r="V1321"/>
  <c r="V1317"/>
  <c r="V1313"/>
  <c r="V1309"/>
  <c r="V1305"/>
  <c r="V1301"/>
  <c r="V1297"/>
  <c r="V1293"/>
  <c r="V1289"/>
  <c r="V1285"/>
  <c r="V1281"/>
  <c r="V1277"/>
  <c r="V1273"/>
  <c r="V1269"/>
  <c r="V1265"/>
  <c r="V1261"/>
  <c r="V1257"/>
  <c r="V1253"/>
  <c r="V1249"/>
  <c r="V1245"/>
  <c r="V1241"/>
  <c r="V1237"/>
  <c r="V1233"/>
  <c r="V1229"/>
  <c r="V1225"/>
  <c r="V1221"/>
  <c r="V1217"/>
  <c r="V1213"/>
  <c r="V1209"/>
  <c r="V1205"/>
  <c r="V1201"/>
  <c r="V1197"/>
  <c r="V1193"/>
  <c r="V1189"/>
  <c r="V1185"/>
  <c r="V1181"/>
  <c r="V1177"/>
  <c r="V1173"/>
  <c r="V1169"/>
  <c r="V1165"/>
  <c r="V1161"/>
  <c r="V1157"/>
  <c r="V1153"/>
  <c r="V1149"/>
  <c r="V1145"/>
  <c r="V1141"/>
  <c r="V1137"/>
  <c r="V1133"/>
  <c r="V1129"/>
  <c r="V1125"/>
  <c r="V1121"/>
  <c r="V1117"/>
  <c r="V1113"/>
  <c r="V1109"/>
  <c r="V1105"/>
  <c r="V1101"/>
  <c r="V1097"/>
  <c r="V1093"/>
  <c r="V1089"/>
  <c r="V1085"/>
  <c r="V1081"/>
  <c r="V1077"/>
  <c r="V1073"/>
  <c r="V1069"/>
  <c r="V1065"/>
  <c r="V1061"/>
  <c r="V1057"/>
  <c r="V1053"/>
  <c r="V1049"/>
  <c r="V1045"/>
  <c r="V1041"/>
  <c r="V1037"/>
  <c r="V1033"/>
  <c r="V1029"/>
  <c r="V1025"/>
  <c r="V1021"/>
  <c r="V1017"/>
  <c r="V1013"/>
  <c r="V1009"/>
  <c r="V1005"/>
  <c r="V1001"/>
  <c r="V997"/>
  <c r="V993"/>
  <c r="V989"/>
  <c r="V985"/>
  <c r="V981"/>
  <c r="V977"/>
  <c r="V973"/>
  <c r="V969"/>
  <c r="V965"/>
  <c r="V961"/>
  <c r="V957"/>
  <c r="V953"/>
  <c r="V949"/>
  <c r="V945"/>
  <c r="V941"/>
  <c r="V937"/>
  <c r="V933"/>
  <c r="V929"/>
  <c r="V925"/>
  <c r="V921"/>
  <c r="V917"/>
  <c r="V913"/>
  <c r="V909"/>
  <c r="V905"/>
  <c r="V901"/>
  <c r="V897"/>
  <c r="V893"/>
  <c r="V889"/>
  <c r="V885"/>
  <c r="V881"/>
  <c r="V877"/>
  <c r="V873"/>
  <c r="V869"/>
  <c r="V865"/>
  <c r="V861"/>
  <c r="V857"/>
  <c r="V853"/>
  <c r="V849"/>
  <c r="V845"/>
  <c r="V841"/>
  <c r="V837"/>
  <c r="V833"/>
  <c r="V829"/>
  <c r="V825"/>
  <c r="V821"/>
  <c r="V817"/>
  <c r="V813"/>
  <c r="V809"/>
  <c r="V805"/>
  <c r="V801"/>
  <c r="V797"/>
  <c r="V793"/>
  <c r="V789"/>
  <c r="V785"/>
  <c r="V781"/>
  <c r="V777"/>
  <c r="V773"/>
  <c r="V769"/>
  <c r="V765"/>
  <c r="V761"/>
  <c r="V757"/>
  <c r="V753"/>
  <c r="V749"/>
  <c r="V745"/>
  <c r="V741"/>
  <c r="V737"/>
  <c r="V733"/>
  <c r="V729"/>
  <c r="V725"/>
  <c r="V721"/>
  <c r="V717"/>
  <c r="V713"/>
  <c r="V709"/>
  <c r="V705"/>
  <c r="V701"/>
  <c r="V697"/>
  <c r="V693"/>
  <c r="V689"/>
  <c r="V685"/>
  <c r="V681"/>
  <c r="V677"/>
  <c r="V673"/>
  <c r="V669"/>
  <c r="V665"/>
  <c r="V661"/>
  <c r="V657"/>
  <c r="V653"/>
  <c r="V649"/>
  <c r="V645"/>
  <c r="V641"/>
  <c r="V637"/>
  <c r="V633"/>
  <c r="V629"/>
  <c r="V625"/>
  <c r="V621"/>
  <c r="V617"/>
  <c r="V613"/>
  <c r="V542"/>
  <c r="V538"/>
  <c r="V534"/>
  <c r="V530"/>
  <c r="V526"/>
  <c r="V522"/>
  <c r="V518"/>
  <c r="V514"/>
  <c r="V510"/>
  <c r="V506"/>
  <c r="V502"/>
  <c r="V498"/>
  <c r="V494"/>
  <c r="V490"/>
  <c r="V486"/>
  <c r="V482"/>
  <c r="V478"/>
  <c r="V474"/>
  <c r="V1347"/>
  <c r="V1335"/>
  <c r="V1323"/>
  <c r="V1311"/>
  <c r="V1299"/>
  <c r="V1287"/>
  <c r="V1275"/>
  <c r="V1263"/>
  <c r="V1251"/>
  <c r="V1239"/>
  <c r="V1227"/>
  <c r="V1215"/>
  <c r="V1203"/>
  <c r="V1191"/>
  <c r="V1187"/>
  <c r="V1183"/>
  <c r="V1179"/>
  <c r="V1175"/>
  <c r="V1171"/>
  <c r="V1163"/>
  <c r="V1155"/>
  <c r="V1151"/>
  <c r="V1147"/>
  <c r="V1143"/>
  <c r="V1139"/>
  <c r="V1135"/>
  <c r="V1131"/>
  <c r="V1127"/>
  <c r="V1123"/>
  <c r="V1119"/>
  <c r="V1115"/>
  <c r="V1111"/>
  <c r="V1107"/>
  <c r="V1103"/>
  <c r="V1099"/>
  <c r="V1095"/>
  <c r="V1091"/>
  <c r="V1087"/>
  <c r="V1083"/>
  <c r="V1079"/>
  <c r="V1075"/>
  <c r="V1071"/>
  <c r="V1067"/>
  <c r="V1063"/>
  <c r="V1059"/>
  <c r="V1055"/>
  <c r="V1051"/>
  <c r="V1047"/>
  <c r="V1043"/>
  <c r="V1039"/>
  <c r="V1035"/>
  <c r="V1031"/>
  <c r="V1027"/>
  <c r="V1023"/>
  <c r="V1019"/>
  <c r="V1015"/>
  <c r="V1011"/>
  <c r="V1007"/>
  <c r="V1003"/>
  <c r="V999"/>
  <c r="V995"/>
  <c r="V991"/>
  <c r="V987"/>
  <c r="V983"/>
  <c r="V979"/>
  <c r="V975"/>
  <c r="V971"/>
  <c r="V967"/>
  <c r="V963"/>
  <c r="V959"/>
  <c r="V955"/>
  <c r="V951"/>
  <c r="V947"/>
  <c r="V943"/>
  <c r="V939"/>
  <c r="V935"/>
  <c r="V931"/>
  <c r="V927"/>
  <c r="V923"/>
  <c r="V919"/>
  <c r="V915"/>
  <c r="V911"/>
  <c r="V907"/>
  <c r="V903"/>
  <c r="V899"/>
  <c r="V895"/>
  <c r="V891"/>
  <c r="V887"/>
  <c r="V883"/>
  <c r="V879"/>
  <c r="V875"/>
  <c r="V871"/>
  <c r="V867"/>
  <c r="V863"/>
  <c r="V859"/>
  <c r="V855"/>
  <c r="V851"/>
  <c r="V847"/>
  <c r="V843"/>
  <c r="V839"/>
  <c r="V835"/>
  <c r="V831"/>
  <c r="V827"/>
  <c r="V823"/>
  <c r="V819"/>
  <c r="V815"/>
  <c r="V811"/>
  <c r="V807"/>
  <c r="V803"/>
  <c r="V799"/>
  <c r="V795"/>
  <c r="V791"/>
  <c r="V787"/>
  <c r="V783"/>
  <c r="V779"/>
  <c r="V771"/>
  <c r="V767"/>
  <c r="V763"/>
  <c r="V759"/>
  <c r="V755"/>
  <c r="V751"/>
  <c r="V747"/>
  <c r="V743"/>
  <c r="V739"/>
  <c r="V735"/>
  <c r="V731"/>
  <c r="V727"/>
  <c r="V723"/>
  <c r="V719"/>
  <c r="V715"/>
  <c r="V711"/>
  <c r="V707"/>
  <c r="V703"/>
  <c r="V699"/>
  <c r="V695"/>
  <c r="V691"/>
  <c r="V687"/>
  <c r="V683"/>
  <c r="V679"/>
  <c r="V675"/>
  <c r="V671"/>
  <c r="V667"/>
  <c r="V663"/>
  <c r="V659"/>
  <c r="V655"/>
  <c r="V651"/>
  <c r="V647"/>
  <c r="V643"/>
  <c r="V639"/>
  <c r="V635"/>
  <c r="V631"/>
  <c r="V627"/>
  <c r="V623"/>
  <c r="V619"/>
  <c r="V615"/>
  <c r="V611"/>
  <c r="V607"/>
  <c r="V603"/>
  <c r="V599"/>
  <c r="V595"/>
  <c r="V591"/>
  <c r="V587"/>
  <c r="V583"/>
  <c r="V579"/>
  <c r="V575"/>
  <c r="V571"/>
  <c r="V567"/>
  <c r="V563"/>
  <c r="V559"/>
  <c r="V555"/>
  <c r="V551"/>
  <c r="V547"/>
  <c r="V543"/>
  <c r="V539"/>
  <c r="V535"/>
  <c r="V531"/>
  <c r="V527"/>
  <c r="V523"/>
  <c r="V519"/>
  <c r="V515"/>
  <c r="V511"/>
  <c r="V507"/>
  <c r="V503"/>
  <c r="V499"/>
  <c r="V495"/>
  <c r="V491"/>
  <c r="V487"/>
  <c r="V483"/>
  <c r="V479"/>
  <c r="V475"/>
  <c r="V1355"/>
  <c r="V1343"/>
  <c r="V1331"/>
  <c r="V1319"/>
  <c r="V1307"/>
  <c r="V1295"/>
  <c r="V1283"/>
  <c r="V1271"/>
  <c r="V1259"/>
  <c r="V1247"/>
  <c r="V1231"/>
  <c r="V1223"/>
  <c r="V1207"/>
  <c r="V1195"/>
  <c r="V1167"/>
  <c r="V1340"/>
  <c r="V1336"/>
  <c r="V1332"/>
  <c r="V1328"/>
  <c r="V1324"/>
  <c r="V1320"/>
  <c r="V1316"/>
  <c r="V1312"/>
  <c r="V1308"/>
  <c r="V1304"/>
  <c r="V1300"/>
  <c r="V1296"/>
  <c r="V1292"/>
  <c r="V1288"/>
  <c r="V1284"/>
  <c r="V1280"/>
  <c r="V1276"/>
  <c r="V1272"/>
  <c r="V1268"/>
  <c r="V1264"/>
  <c r="V1260"/>
  <c r="V1256"/>
  <c r="V1252"/>
  <c r="V1248"/>
  <c r="V1244"/>
  <c r="V1240"/>
  <c r="V1236"/>
  <c r="V1232"/>
  <c r="V1228"/>
  <c r="V1224"/>
  <c r="V1220"/>
  <c r="V1216"/>
  <c r="V1212"/>
  <c r="V1208"/>
  <c r="V1204"/>
  <c r="V1200"/>
  <c r="V1196"/>
  <c r="V1192"/>
  <c r="V1188"/>
  <c r="V1184"/>
  <c r="V1180"/>
  <c r="V1176"/>
  <c r="V1172"/>
  <c r="V1168"/>
  <c r="V1164"/>
  <c r="V1160"/>
  <c r="V1156"/>
  <c r="V1152"/>
  <c r="V1148"/>
  <c r="V1144"/>
  <c r="V1140"/>
  <c r="V1136"/>
  <c r="V1132"/>
  <c r="V1128"/>
  <c r="V1124"/>
  <c r="V1120"/>
  <c r="V1116"/>
  <c r="V1112"/>
  <c r="V1108"/>
  <c r="V1104"/>
  <c r="V1100"/>
  <c r="V1096"/>
  <c r="V1092"/>
  <c r="V1088"/>
  <c r="V1084"/>
  <c r="V1080"/>
  <c r="V1076"/>
  <c r="V1072"/>
  <c r="V1068"/>
  <c r="V1064"/>
  <c r="V1060"/>
  <c r="V1056"/>
  <c r="V1052"/>
  <c r="V1048"/>
  <c r="V1044"/>
  <c r="V1040"/>
  <c r="V1036"/>
  <c r="V1032"/>
  <c r="V1028"/>
  <c r="V1024"/>
  <c r="V1020"/>
  <c r="V1016"/>
  <c r="V1012"/>
  <c r="V1008"/>
  <c r="V1004"/>
  <c r="V1000"/>
  <c r="V996"/>
  <c r="V992"/>
  <c r="V988"/>
  <c r="V984"/>
  <c r="V980"/>
  <c r="V976"/>
  <c r="V972"/>
  <c r="V968"/>
  <c r="V964"/>
  <c r="V960"/>
  <c r="V956"/>
  <c r="V952"/>
  <c r="V948"/>
  <c r="V944"/>
  <c r="V940"/>
  <c r="V936"/>
  <c r="V932"/>
  <c r="V928"/>
  <c r="V924"/>
  <c r="V920"/>
  <c r="V916"/>
  <c r="V912"/>
  <c r="V908"/>
  <c r="V904"/>
  <c r="V900"/>
  <c r="V896"/>
  <c r="V892"/>
  <c r="V888"/>
  <c r="V884"/>
  <c r="V880"/>
  <c r="V876"/>
  <c r="V872"/>
  <c r="V868"/>
  <c r="V864"/>
  <c r="V860"/>
  <c r="V856"/>
  <c r="V852"/>
  <c r="V848"/>
  <c r="V844"/>
  <c r="V840"/>
  <c r="V836"/>
  <c r="V832"/>
  <c r="V828"/>
  <c r="V824"/>
  <c r="V820"/>
  <c r="V816"/>
  <c r="V812"/>
  <c r="V808"/>
  <c r="V804"/>
  <c r="V800"/>
  <c r="V796"/>
  <c r="V792"/>
  <c r="V788"/>
  <c r="V784"/>
  <c r="V780"/>
  <c r="V776"/>
  <c r="V772"/>
  <c r="V768"/>
  <c r="V764"/>
  <c r="V760"/>
  <c r="V756"/>
  <c r="V752"/>
  <c r="V748"/>
  <c r="V744"/>
  <c r="V740"/>
  <c r="V736"/>
  <c r="V732"/>
  <c r="V728"/>
  <c r="V724"/>
  <c r="V720"/>
  <c r="V716"/>
  <c r="V712"/>
  <c r="V708"/>
  <c r="V704"/>
  <c r="V700"/>
  <c r="V696"/>
  <c r="V692"/>
  <c r="V688"/>
  <c r="V684"/>
  <c r="V680"/>
  <c r="V676"/>
  <c r="V672"/>
  <c r="V668"/>
  <c r="V664"/>
  <c r="V660"/>
  <c r="V656"/>
  <c r="V652"/>
  <c r="V648"/>
  <c r="V644"/>
  <c r="V640"/>
  <c r="V636"/>
  <c r="V632"/>
  <c r="V628"/>
  <c r="V624"/>
  <c r="V620"/>
  <c r="V616"/>
  <c r="V612"/>
  <c r="V608"/>
  <c r="V604"/>
  <c r="V600"/>
  <c r="V596"/>
  <c r="V592"/>
  <c r="V588"/>
  <c r="V584"/>
  <c r="V580"/>
  <c r="V576"/>
  <c r="V572"/>
  <c r="V568"/>
  <c r="V564"/>
  <c r="V560"/>
  <c r="V556"/>
  <c r="V552"/>
  <c r="V548"/>
  <c r="V544"/>
  <c r="V540"/>
  <c r="V536"/>
  <c r="V532"/>
  <c r="V528"/>
  <c r="V524"/>
  <c r="V520"/>
  <c r="V516"/>
  <c r="V512"/>
  <c r="V508"/>
  <c r="V504"/>
  <c r="V500"/>
  <c r="V496"/>
  <c r="V492"/>
  <c r="V488"/>
  <c r="V484"/>
  <c r="V480"/>
  <c r="V476"/>
  <c r="V130"/>
  <c r="V126"/>
  <c r="V122"/>
  <c r="V118"/>
  <c r="V114"/>
  <c r="V110"/>
  <c r="V106"/>
  <c r="V102"/>
  <c r="V98"/>
  <c r="V94"/>
  <c r="V90"/>
  <c r="V86"/>
  <c r="V82"/>
  <c r="V78"/>
  <c r="V74"/>
  <c r="V70"/>
  <c r="V66"/>
  <c r="V62"/>
  <c r="V58"/>
  <c r="V54"/>
  <c r="V50"/>
  <c r="V46"/>
  <c r="V42"/>
  <c r="V38"/>
  <c r="V34"/>
  <c r="V30"/>
  <c r="V26"/>
  <c r="V22"/>
  <c r="V18"/>
  <c r="V14"/>
  <c r="V10"/>
  <c r="V6"/>
  <c r="V131"/>
  <c r="V127"/>
  <c r="V123"/>
  <c r="V119"/>
  <c r="V115"/>
  <c r="V111"/>
  <c r="V107"/>
  <c r="V103"/>
  <c r="V99"/>
  <c r="V95"/>
  <c r="V91"/>
  <c r="V87"/>
  <c r="V83"/>
  <c r="V79"/>
  <c r="V75"/>
  <c r="V71"/>
  <c r="V67"/>
  <c r="V63"/>
  <c r="V59"/>
  <c r="V55"/>
  <c r="V51"/>
  <c r="V47"/>
  <c r="V43"/>
  <c r="V39"/>
  <c r="V35"/>
  <c r="V31"/>
  <c r="V27"/>
  <c r="V23"/>
  <c r="V19"/>
  <c r="V15"/>
  <c r="V11"/>
  <c r="V7"/>
  <c r="V3"/>
  <c r="V132"/>
  <c r="V128"/>
  <c r="V124"/>
  <c r="V120"/>
  <c r="V116"/>
  <c r="V112"/>
  <c r="V108"/>
  <c r="V104"/>
  <c r="V100"/>
  <c r="V96"/>
  <c r="V92"/>
  <c r="V88"/>
  <c r="V84"/>
  <c r="V80"/>
  <c r="V76"/>
  <c r="V72"/>
  <c r="V68"/>
  <c r="V64"/>
  <c r="V60"/>
  <c r="V56"/>
  <c r="V52"/>
  <c r="V48"/>
  <c r="V44"/>
  <c r="V40"/>
  <c r="V36"/>
  <c r="V32"/>
  <c r="V28"/>
  <c r="V24"/>
  <c r="V20"/>
  <c r="V16"/>
  <c r="V12"/>
  <c r="V8"/>
  <c r="V4"/>
  <c r="V129"/>
  <c r="V125"/>
  <c r="V121"/>
  <c r="V117"/>
  <c r="V113"/>
  <c r="V109"/>
  <c r="V105"/>
  <c r="V101"/>
  <c r="V97"/>
  <c r="V93"/>
  <c r="V89"/>
  <c r="V85"/>
  <c r="V81"/>
  <c r="V77"/>
  <c r="V73"/>
  <c r="V69"/>
  <c r="V65"/>
  <c r="V61"/>
  <c r="V57"/>
  <c r="V53"/>
  <c r="V49"/>
  <c r="V45"/>
  <c r="V41"/>
  <c r="V37"/>
  <c r="V33"/>
  <c r="V29"/>
  <c r="V25"/>
  <c r="V21"/>
  <c r="V17"/>
  <c r="V13"/>
  <c r="V9"/>
  <c r="V5"/>
  <c r="G1" i="26"/>
  <c r="H1"/>
  <c r="I3" i="41"/>
  <c r="B12"/>
  <c r="I2"/>
  <c r="B1" i="26"/>
  <c r="F6" i="44"/>
  <c r="F7"/>
  <c r="G3"/>
  <c r="F4"/>
  <c r="G3" i="42"/>
  <c r="F4"/>
  <c r="F7"/>
  <c r="B20" i="41"/>
  <c r="B13" l="1"/>
  <c r="G3" i="26"/>
  <c r="F6" i="42" l="1"/>
  <c r="B9" i="41"/>
  <c r="B31"/>
  <c r="B35"/>
  <c r="B29"/>
  <c r="B33"/>
  <c r="B32"/>
  <c r="B28"/>
  <c r="B26"/>
  <c r="B24"/>
  <c r="B36"/>
  <c r="B27"/>
  <c r="B34"/>
  <c r="B30"/>
  <c r="B23"/>
  <c r="B25"/>
  <c r="F7" i="26"/>
  <c r="A32" i="41"/>
  <c r="F35"/>
  <c r="F33"/>
  <c r="E36"/>
  <c r="A35"/>
  <c r="B21"/>
  <c r="A36"/>
  <c r="F20"/>
  <c r="E31"/>
  <c r="B22"/>
  <c r="A31"/>
  <c r="A34"/>
  <c r="E34"/>
  <c r="E20"/>
  <c r="A20"/>
  <c r="H3" i="26" l="1"/>
  <c r="F6"/>
  <c r="F4"/>
  <c r="E24" i="41"/>
  <c r="F22"/>
  <c r="E26"/>
  <c r="F34"/>
  <c r="F26"/>
  <c r="F25"/>
  <c r="A30"/>
  <c r="F29"/>
  <c r="E28"/>
  <c r="F30"/>
  <c r="A33"/>
  <c r="A28"/>
  <c r="E29"/>
  <c r="F21"/>
  <c r="A23"/>
  <c r="A21"/>
  <c r="E25"/>
  <c r="E30"/>
  <c r="A22"/>
  <c r="A24"/>
  <c r="A25"/>
  <c r="A29"/>
  <c r="E22"/>
  <c r="F36"/>
  <c r="F27"/>
  <c r="A27"/>
  <c r="E33"/>
  <c r="E32"/>
  <c r="E23"/>
  <c r="F28"/>
  <c r="A26"/>
  <c r="E35"/>
  <c r="E21"/>
  <c r="F23"/>
  <c r="F32"/>
  <c r="F31"/>
  <c r="F24"/>
  <c r="E27"/>
  <c r="E37" l="1"/>
  <c r="F37"/>
  <c r="E41" l="1"/>
  <c r="A11"/>
  <c r="F41"/>
  <c r="F1"/>
  <c r="E2"/>
</calcChain>
</file>

<file path=xl/sharedStrings.xml><?xml version="1.0" encoding="utf-8"?>
<sst xmlns="http://schemas.openxmlformats.org/spreadsheetml/2006/main" count="4214" uniqueCount="1563">
  <si>
    <t>Charge</t>
  </si>
  <si>
    <t>All Locations</t>
  </si>
  <si>
    <t>*Note: All weight is in pounds</t>
  </si>
  <si>
    <t>Total Charge</t>
  </si>
  <si>
    <t>BILLING</t>
  </si>
  <si>
    <t>RECYCLING CENTER</t>
  </si>
  <si>
    <t>3663 ALUM CREEK DR</t>
  </si>
  <si>
    <t>2050 E. WILLIAMS RD</t>
  </si>
  <si>
    <t>COLUMBUS, OH 43207</t>
  </si>
  <si>
    <t>Comments or Special Instructions:</t>
  </si>
  <si>
    <t>DESCRIPTION</t>
  </si>
  <si>
    <t>SUBTOTAL</t>
  </si>
  <si>
    <t>Bill of Lading #:</t>
  </si>
  <si>
    <t>PH: 614-497-0497</t>
  </si>
  <si>
    <t>PH: 614-497-9299</t>
  </si>
  <si>
    <t>TAX</t>
  </si>
  <si>
    <t>Grand Total</t>
  </si>
  <si>
    <t>Customer</t>
  </si>
  <si>
    <t>Material Types</t>
  </si>
  <si>
    <t>Trailer Count</t>
  </si>
  <si>
    <t>Total Number of Loads</t>
  </si>
  <si>
    <t>Total Credit</t>
  </si>
  <si>
    <t>Credit</t>
  </si>
  <si>
    <t>Load Id</t>
  </si>
  <si>
    <t>DATE:</t>
  </si>
  <si>
    <t>DATE SHIPPED:</t>
  </si>
  <si>
    <t>Attention:</t>
  </si>
  <si>
    <t>CUSTOMER SIGNATURE:</t>
  </si>
  <si>
    <t>Customer Report Generator</t>
  </si>
  <si>
    <t>Month</t>
  </si>
  <si>
    <t>CREDIT</t>
  </si>
  <si>
    <t>CHARGE</t>
  </si>
  <si>
    <t>Day Received</t>
  </si>
  <si>
    <t>Start Date</t>
  </si>
  <si>
    <t>End Date</t>
  </si>
  <si>
    <t>Type</t>
  </si>
  <si>
    <t>Description</t>
  </si>
  <si>
    <t>Location</t>
  </si>
  <si>
    <t>Date Received</t>
  </si>
  <si>
    <t>Trailer Number</t>
  </si>
  <si>
    <t>Weight</t>
  </si>
  <si>
    <t>Price/lb</t>
  </si>
  <si>
    <t>Cost</t>
  </si>
  <si>
    <t>Cardboard - Corrugated</t>
  </si>
  <si>
    <t>Paper</t>
  </si>
  <si>
    <t>Plastic - Shrink Wrap</t>
  </si>
  <si>
    <t>Steel</t>
  </si>
  <si>
    <t>Trash</t>
  </si>
  <si>
    <t>Wood - Pallets</t>
  </si>
  <si>
    <t>ID</t>
  </si>
  <si>
    <t>Company</t>
  </si>
  <si>
    <t>Address</t>
  </si>
  <si>
    <t>Contact Person Last</t>
  </si>
  <si>
    <t>Contact Person First</t>
  </si>
  <si>
    <t>Direct Number</t>
  </si>
  <si>
    <t>Cell Number</t>
  </si>
  <si>
    <t>Email Address</t>
  </si>
  <si>
    <t>Delivery</t>
  </si>
  <si>
    <t>Equipment / Process</t>
  </si>
  <si>
    <t>Contact Details</t>
  </si>
  <si>
    <t>Credit App?</t>
  </si>
  <si>
    <t>Row Labels</t>
  </si>
  <si>
    <t>Total Weight</t>
  </si>
  <si>
    <t>QUANTITY (LBS)</t>
  </si>
  <si>
    <t>Total Weights Year To Date</t>
  </si>
  <si>
    <t>Total Charges and Credits Year To Date</t>
  </si>
  <si>
    <t>Cardboard - Barrels</t>
  </si>
  <si>
    <t>Date Processed</t>
  </si>
  <si>
    <t>Processed</t>
  </si>
  <si>
    <t>Barcode</t>
  </si>
  <si>
    <t>Notes</t>
  </si>
  <si>
    <t>Attachments</t>
  </si>
  <si>
    <t>Alter</t>
  </si>
  <si>
    <t>Date Added</t>
  </si>
  <si>
    <t>Man-Hours to Process</t>
  </si>
  <si>
    <t>UNPM_ID</t>
  </si>
  <si>
    <t>Load_ID</t>
  </si>
  <si>
    <t>Sum of Cost</t>
  </si>
  <si>
    <t>Step 1: Select a customer to be in report</t>
  </si>
  <si>
    <t>Step 3: Generate</t>
  </si>
  <si>
    <t>Step 2: Select the date range for the report</t>
  </si>
  <si>
    <t>THANK YOU FOR RECYCLING!</t>
  </si>
  <si>
    <t>Company102</t>
  </si>
  <si>
    <t>[Address of Company102]</t>
  </si>
  <si>
    <t>[Contact Person Last of Company102]</t>
  </si>
  <si>
    <t>[Contact Person First of Company102]</t>
  </si>
  <si>
    <t>[Direct Number of Company102]</t>
  </si>
  <si>
    <t>[Cell Number of Company102]</t>
  </si>
  <si>
    <t>[Email Address of Company102]</t>
  </si>
  <si>
    <t>[Delivery of Company102]</t>
  </si>
  <si>
    <t>[Equipment / Process of Company102]</t>
  </si>
  <si>
    <t>[Contact Details of Company102]</t>
  </si>
  <si>
    <t>[Credit App? of Company102]</t>
  </si>
  <si>
    <t>Company2</t>
  </si>
  <si>
    <t>[Address of Company2]</t>
  </si>
  <si>
    <t>[Contact Person Last of Company2]</t>
  </si>
  <si>
    <t>[Contact Person First of Company2]</t>
  </si>
  <si>
    <t>[Direct Number of Company2]</t>
  </si>
  <si>
    <t>[Cell Number of Company2]</t>
  </si>
  <si>
    <t>[Email Address of Company2]</t>
  </si>
  <si>
    <t>[Delivery of Company2]</t>
  </si>
  <si>
    <t>[Equipment / Process of Company2]</t>
  </si>
  <si>
    <t>[Contact Details of Company2]</t>
  </si>
  <si>
    <t>[Credit App? of Company2]</t>
  </si>
  <si>
    <t>Company3</t>
  </si>
  <si>
    <t>[Address of Company3]</t>
  </si>
  <si>
    <t>[Contact Person Last of Company3]</t>
  </si>
  <si>
    <t>[Contact Person First of Company3]</t>
  </si>
  <si>
    <t>[Direct Number of Company3]</t>
  </si>
  <si>
    <t>[Cell Number of Company3]</t>
  </si>
  <si>
    <t>[Email Address of Company3]</t>
  </si>
  <si>
    <t>[Delivery of Company3]</t>
  </si>
  <si>
    <t>[Equipment / Process of Company3]</t>
  </si>
  <si>
    <t>[Contact Details of Company3]</t>
  </si>
  <si>
    <t>[Credit App? of Company3]</t>
  </si>
  <si>
    <t>Company4</t>
  </si>
  <si>
    <t>[Address of Company4]</t>
  </si>
  <si>
    <t>[Contact Person Last of Company4]</t>
  </si>
  <si>
    <t>[Contact Person First of Company4]</t>
  </si>
  <si>
    <t>[Direct Number of Company4]</t>
  </si>
  <si>
    <t>[Cell Number of Company4]</t>
  </si>
  <si>
    <t>[Email Address of Company4]</t>
  </si>
  <si>
    <t>[Delivery of Company4]</t>
  </si>
  <si>
    <t>[Equipment / Process of Company4]</t>
  </si>
  <si>
    <t>[Contact Details of Company4]</t>
  </si>
  <si>
    <t>[Credit App? of Company4]</t>
  </si>
  <si>
    <t>Company5</t>
  </si>
  <si>
    <t>[Address of Company5]</t>
  </si>
  <si>
    <t>[Contact Person Last of Company5]</t>
  </si>
  <si>
    <t>[Contact Person First of Company5]</t>
  </si>
  <si>
    <t>[Direct Number of Company5]</t>
  </si>
  <si>
    <t>[Cell Number of Company5]</t>
  </si>
  <si>
    <t>[Email Address of Company5]</t>
  </si>
  <si>
    <t>[Delivery of Company5]</t>
  </si>
  <si>
    <t>[Equipment / Process of Company5]</t>
  </si>
  <si>
    <t>[Contact Details of Company5]</t>
  </si>
  <si>
    <t>[Credit App? of Company5]</t>
  </si>
  <si>
    <t>Company6</t>
  </si>
  <si>
    <t>[Address of Company6]</t>
  </si>
  <si>
    <t>[Contact Person Last of Company6]</t>
  </si>
  <si>
    <t>[Contact Person First of Company6]</t>
  </si>
  <si>
    <t>[Direct Number of Company6]</t>
  </si>
  <si>
    <t>[Cell Number of Company6]</t>
  </si>
  <si>
    <t>[Email Address of Company6]</t>
  </si>
  <si>
    <t>[Delivery of Company6]</t>
  </si>
  <si>
    <t>[Equipment / Process of Company6]</t>
  </si>
  <si>
    <t>[Contact Details of Company6]</t>
  </si>
  <si>
    <t>[Credit App? of Company6]</t>
  </si>
  <si>
    <t>Company7</t>
  </si>
  <si>
    <t>[Address of Company7]</t>
  </si>
  <si>
    <t>[Contact Person Last of Company7]</t>
  </si>
  <si>
    <t>[Contact Person First of Company7]</t>
  </si>
  <si>
    <t>[Direct Number of Company7]</t>
  </si>
  <si>
    <t>[Cell Number of Company7]</t>
  </si>
  <si>
    <t>[Email Address of Company7]</t>
  </si>
  <si>
    <t>[Delivery of Company7]</t>
  </si>
  <si>
    <t>[Equipment / Process of Company7]</t>
  </si>
  <si>
    <t>[Contact Details of Company7]</t>
  </si>
  <si>
    <t>[Credit App? of Company7]</t>
  </si>
  <si>
    <t>Company8</t>
  </si>
  <si>
    <t>[Address of Company8]</t>
  </si>
  <si>
    <t>[Contact Person Last of Company8]</t>
  </si>
  <si>
    <t>[Contact Person First of Company8]</t>
  </si>
  <si>
    <t>[Direct Number of Company8]</t>
  </si>
  <si>
    <t>[Cell Number of Company8]</t>
  </si>
  <si>
    <t>[Email Address of Company8]</t>
  </si>
  <si>
    <t>[Delivery of Company8]</t>
  </si>
  <si>
    <t>[Equipment / Process of Company8]</t>
  </si>
  <si>
    <t>[Contact Details of Company8]</t>
  </si>
  <si>
    <t>[Credit App? of Company8]</t>
  </si>
  <si>
    <t>Company10</t>
  </si>
  <si>
    <t>[Address of Company10]</t>
  </si>
  <si>
    <t>[Contact Person Last of Company10]</t>
  </si>
  <si>
    <t>[Contact Person First of Company10]</t>
  </si>
  <si>
    <t>[Direct Number of Company10]</t>
  </si>
  <si>
    <t>[Cell Number of Company10]</t>
  </si>
  <si>
    <t>[Email Address of Company10]</t>
  </si>
  <si>
    <t>[Delivery of Company10]</t>
  </si>
  <si>
    <t>[Equipment / Process of Company10]</t>
  </si>
  <si>
    <t>[Contact Details of Company10]</t>
  </si>
  <si>
    <t>[Credit App? of Company10]</t>
  </si>
  <si>
    <t>Company11</t>
  </si>
  <si>
    <t>[Address of Company11]</t>
  </si>
  <si>
    <t>[Contact Person Last of Company11]</t>
  </si>
  <si>
    <t>[Contact Person First of Company11]</t>
  </si>
  <si>
    <t>[Direct Number of Company11]</t>
  </si>
  <si>
    <t>[Cell Number of Company11]</t>
  </si>
  <si>
    <t>[Email Address of Company11]</t>
  </si>
  <si>
    <t>[Delivery of Company11]</t>
  </si>
  <si>
    <t>[Equipment / Process of Company11]</t>
  </si>
  <si>
    <t>[Contact Details of Company11]</t>
  </si>
  <si>
    <t>[Credit App? of Company11]</t>
  </si>
  <si>
    <t>Company14</t>
  </si>
  <si>
    <t>[Address of Company14]</t>
  </si>
  <si>
    <t>[Contact Person Last of Company14]</t>
  </si>
  <si>
    <t>[Contact Person First of Company14]</t>
  </si>
  <si>
    <t>[Direct Number of Company14]</t>
  </si>
  <si>
    <t>[Cell Number of Company14]</t>
  </si>
  <si>
    <t>[Email Address of Company14]</t>
  </si>
  <si>
    <t>[Delivery of Company14]</t>
  </si>
  <si>
    <t>[Equipment / Process of Company14]</t>
  </si>
  <si>
    <t>[Contact Details of Company14]</t>
  </si>
  <si>
    <t>[Credit App? of Company14]</t>
  </si>
  <si>
    <t>Company15</t>
  </si>
  <si>
    <t>[Address of Company15]</t>
  </si>
  <si>
    <t>[Contact Person Last of Company15]</t>
  </si>
  <si>
    <t>[Contact Person First of Company15]</t>
  </si>
  <si>
    <t>[Direct Number of Company15]</t>
  </si>
  <si>
    <t>[Cell Number of Company15]</t>
  </si>
  <si>
    <t>[Email Address of Company15]</t>
  </si>
  <si>
    <t>[Delivery of Company15]</t>
  </si>
  <si>
    <t>[Equipment / Process of Company15]</t>
  </si>
  <si>
    <t>[Contact Details of Company15]</t>
  </si>
  <si>
    <t>[Credit App? of Company15]</t>
  </si>
  <si>
    <t>Company16</t>
  </si>
  <si>
    <t>[Address of Company16]</t>
  </si>
  <si>
    <t>[Contact Person Last of Company16]</t>
  </si>
  <si>
    <t>[Contact Person First of Company16]</t>
  </si>
  <si>
    <t>[Direct Number of Company16]</t>
  </si>
  <si>
    <t>[Cell Number of Company16]</t>
  </si>
  <si>
    <t>[Email Address of Company16]</t>
  </si>
  <si>
    <t>[Delivery of Company16]</t>
  </si>
  <si>
    <t>[Equipment / Process of Company16]</t>
  </si>
  <si>
    <t>[Contact Details of Company16]</t>
  </si>
  <si>
    <t>[Credit App? of Company16]</t>
  </si>
  <si>
    <t>Company17</t>
  </si>
  <si>
    <t>[Address of Company17]</t>
  </si>
  <si>
    <t>[Contact Person Last of Company17]</t>
  </si>
  <si>
    <t>[Contact Person First of Company17]</t>
  </si>
  <si>
    <t>[Direct Number of Company17]</t>
  </si>
  <si>
    <t>[Cell Number of Company17]</t>
  </si>
  <si>
    <t>[Email Address of Company17]</t>
  </si>
  <si>
    <t>[Delivery of Company17]</t>
  </si>
  <si>
    <t>[Equipment / Process of Company17]</t>
  </si>
  <si>
    <t>[Contact Details of Company17]</t>
  </si>
  <si>
    <t>[Credit App? of Company17]</t>
  </si>
  <si>
    <t>Company18</t>
  </si>
  <si>
    <t>[Address of Company18]</t>
  </si>
  <si>
    <t>[Contact Person Last of Company18]</t>
  </si>
  <si>
    <t>[Contact Person First of Company18]</t>
  </si>
  <si>
    <t>[Direct Number of Company18]</t>
  </si>
  <si>
    <t>[Cell Number of Company18]</t>
  </si>
  <si>
    <t>[Email Address of Company18]</t>
  </si>
  <si>
    <t>[Delivery of Company18]</t>
  </si>
  <si>
    <t>[Equipment / Process of Company18]</t>
  </si>
  <si>
    <t>[Contact Details of Company18]</t>
  </si>
  <si>
    <t>[Credit App? of Company18]</t>
  </si>
  <si>
    <t>Company19</t>
  </si>
  <si>
    <t>[Address of Company19]</t>
  </si>
  <si>
    <t>[Contact Person Last of Company19]</t>
  </si>
  <si>
    <t>[Contact Person First of Company19]</t>
  </si>
  <si>
    <t>[Direct Number of Company19]</t>
  </si>
  <si>
    <t>[Cell Number of Company19]</t>
  </si>
  <si>
    <t>[Email Address of Company19]</t>
  </si>
  <si>
    <t>[Delivery of Company19]</t>
  </si>
  <si>
    <t>[Equipment / Process of Company19]</t>
  </si>
  <si>
    <t>[Contact Details of Company19]</t>
  </si>
  <si>
    <t>[Credit App? of Company19]</t>
  </si>
  <si>
    <t>Company20</t>
  </si>
  <si>
    <t>[Address of Company20]</t>
  </si>
  <si>
    <t>[Contact Person Last of Company20]</t>
  </si>
  <si>
    <t>[Contact Person First of Company20]</t>
  </si>
  <si>
    <t>[Direct Number of Company20]</t>
  </si>
  <si>
    <t>[Cell Number of Company20]</t>
  </si>
  <si>
    <t>[Email Address of Company20]</t>
  </si>
  <si>
    <t>[Delivery of Company20]</t>
  </si>
  <si>
    <t>[Equipment / Process of Company20]</t>
  </si>
  <si>
    <t>[Contact Details of Company20]</t>
  </si>
  <si>
    <t>[Credit App? of Company20]</t>
  </si>
  <si>
    <t>Company21</t>
  </si>
  <si>
    <t>[Address of Company21]</t>
  </si>
  <si>
    <t>[Contact Person Last of Company21]</t>
  </si>
  <si>
    <t>[Contact Person First of Company21]</t>
  </si>
  <si>
    <t>[Direct Number of Company21]</t>
  </si>
  <si>
    <t>[Cell Number of Company21]</t>
  </si>
  <si>
    <t>[Email Address of Company21]</t>
  </si>
  <si>
    <t>[Delivery of Company21]</t>
  </si>
  <si>
    <t>[Equipment / Process of Company21]</t>
  </si>
  <si>
    <t>[Contact Details of Company21]</t>
  </si>
  <si>
    <t>[Credit App? of Company21]</t>
  </si>
  <si>
    <t>Company24</t>
  </si>
  <si>
    <t>[Address of Company24]</t>
  </si>
  <si>
    <t>[Contact Person Last of Company24]</t>
  </si>
  <si>
    <t>[Contact Person First of Company24]</t>
  </si>
  <si>
    <t>[Direct Number of Company24]</t>
  </si>
  <si>
    <t>[Cell Number of Company24]</t>
  </si>
  <si>
    <t>[Email Address of Company24]</t>
  </si>
  <si>
    <t>[Delivery of Company24]</t>
  </si>
  <si>
    <t>[Equipment / Process of Company24]</t>
  </si>
  <si>
    <t>[Contact Details of Company24]</t>
  </si>
  <si>
    <t>[Credit App? of Company24]</t>
  </si>
  <si>
    <t>Company1</t>
  </si>
  <si>
    <t>[Address of Company1]</t>
  </si>
  <si>
    <t>[Contact Person Last of Company1]</t>
  </si>
  <si>
    <t>[Contact Person First of Company1]</t>
  </si>
  <si>
    <t>[Direct Number of Company1]</t>
  </si>
  <si>
    <t>[Cell Number of Company1]</t>
  </si>
  <si>
    <t>[Email Address of Company1]</t>
  </si>
  <si>
    <t>[Delivery of Company1]</t>
  </si>
  <si>
    <t>[Equipment / Process of Company1]</t>
  </si>
  <si>
    <t>[Contact Details of Company1]</t>
  </si>
  <si>
    <t>[Credit App? of Company1]</t>
  </si>
  <si>
    <t>Company27</t>
  </si>
  <si>
    <t>[Address of Company27]</t>
  </si>
  <si>
    <t>[Contact Person Last of Company27]</t>
  </si>
  <si>
    <t>[Contact Person First of Company27]</t>
  </si>
  <si>
    <t>[Direct Number of Company27]</t>
  </si>
  <si>
    <t>[Cell Number of Company27]</t>
  </si>
  <si>
    <t>[Email Address of Company27]</t>
  </si>
  <si>
    <t>[Delivery of Company27]</t>
  </si>
  <si>
    <t>[Equipment / Process of Company27]</t>
  </si>
  <si>
    <t>[Contact Details of Company27]</t>
  </si>
  <si>
    <t>[Credit App? of Company27]</t>
  </si>
  <si>
    <t>Company28</t>
  </si>
  <si>
    <t>[Address of Company28]</t>
  </si>
  <si>
    <t>[Contact Person Last of Company28]</t>
  </si>
  <si>
    <t>[Contact Person First of Company28]</t>
  </si>
  <si>
    <t>[Direct Number of Company28]</t>
  </si>
  <si>
    <t>[Cell Number of Company28]</t>
  </si>
  <si>
    <t>[Email Address of Company28]</t>
  </si>
  <si>
    <t>[Delivery of Company28]</t>
  </si>
  <si>
    <t>[Equipment / Process of Company28]</t>
  </si>
  <si>
    <t>[Contact Details of Company28]</t>
  </si>
  <si>
    <t>[Credit App? of Company28]</t>
  </si>
  <si>
    <t>Company29</t>
  </si>
  <si>
    <t>[Address of Company29]</t>
  </si>
  <si>
    <t>[Contact Person Last of Company29]</t>
  </si>
  <si>
    <t>[Contact Person First of Company29]</t>
  </si>
  <si>
    <t>[Direct Number of Company29]</t>
  </si>
  <si>
    <t>[Cell Number of Company29]</t>
  </si>
  <si>
    <t>[Email Address of Company29]</t>
  </si>
  <si>
    <t>[Delivery of Company29]</t>
  </si>
  <si>
    <t>[Equipment / Process of Company29]</t>
  </si>
  <si>
    <t>[Contact Details of Company29]</t>
  </si>
  <si>
    <t>[Credit App? of Company29]</t>
  </si>
  <si>
    <t>Company30</t>
  </si>
  <si>
    <t>[Address of Company30]</t>
  </si>
  <si>
    <t>[Contact Person Last of Company30]</t>
  </si>
  <si>
    <t>[Contact Person First of Company30]</t>
  </si>
  <si>
    <t>[Direct Number of Company30]</t>
  </si>
  <si>
    <t>[Cell Number of Company30]</t>
  </si>
  <si>
    <t>[Email Address of Company30]</t>
  </si>
  <si>
    <t>[Delivery of Company30]</t>
  </si>
  <si>
    <t>[Equipment / Process of Company30]</t>
  </si>
  <si>
    <t>[Contact Details of Company30]</t>
  </si>
  <si>
    <t>[Credit App? of Company30]</t>
  </si>
  <si>
    <t>Company31</t>
  </si>
  <si>
    <t>[Address of Company31]</t>
  </si>
  <si>
    <t>[Contact Person Last of Company31]</t>
  </si>
  <si>
    <t>[Contact Person First of Company31]</t>
  </si>
  <si>
    <t>[Direct Number of Company31]</t>
  </si>
  <si>
    <t>[Cell Number of Company31]</t>
  </si>
  <si>
    <t>[Email Address of Company31]</t>
  </si>
  <si>
    <t>[Delivery of Company31]</t>
  </si>
  <si>
    <t>[Equipment / Process of Company31]</t>
  </si>
  <si>
    <t>[Contact Details of Company31]</t>
  </si>
  <si>
    <t>[Credit App? of Company31]</t>
  </si>
  <si>
    <t>Company36</t>
  </si>
  <si>
    <t>[Address of Company36]</t>
  </si>
  <si>
    <t>[Contact Person Last of Company36]</t>
  </si>
  <si>
    <t>[Contact Person First of Company36]</t>
  </si>
  <si>
    <t>[Direct Number of Company36]</t>
  </si>
  <si>
    <t>[Cell Number of Company36]</t>
  </si>
  <si>
    <t>[Email Address of Company36]</t>
  </si>
  <si>
    <t>[Delivery of Company36]</t>
  </si>
  <si>
    <t>[Equipment / Process of Company36]</t>
  </si>
  <si>
    <t>[Contact Details of Company36]</t>
  </si>
  <si>
    <t>[Credit App? of Company36]</t>
  </si>
  <si>
    <t>Company37</t>
  </si>
  <si>
    <t>[Address of Company37]</t>
  </si>
  <si>
    <t>[Contact Person Last of Company37]</t>
  </si>
  <si>
    <t>[Contact Person First of Company37]</t>
  </si>
  <si>
    <t>[Direct Number of Company37]</t>
  </si>
  <si>
    <t>[Cell Number of Company37]</t>
  </si>
  <si>
    <t>[Email Address of Company37]</t>
  </si>
  <si>
    <t>[Delivery of Company37]</t>
  </si>
  <si>
    <t>[Equipment / Process of Company37]</t>
  </si>
  <si>
    <t>[Contact Details of Company37]</t>
  </si>
  <si>
    <t>[Credit App? of Company37]</t>
  </si>
  <si>
    <t>Company38</t>
  </si>
  <si>
    <t>[Address of Company38]</t>
  </si>
  <si>
    <t>[Contact Person Last of Company38]</t>
  </si>
  <si>
    <t>[Contact Person First of Company38]</t>
  </si>
  <si>
    <t>[Direct Number of Company38]</t>
  </si>
  <si>
    <t>[Cell Number of Company38]</t>
  </si>
  <si>
    <t>[Email Address of Company38]</t>
  </si>
  <si>
    <t>[Delivery of Company38]</t>
  </si>
  <si>
    <t>[Equipment / Process of Company38]</t>
  </si>
  <si>
    <t>[Contact Details of Company38]</t>
  </si>
  <si>
    <t>[Credit App? of Company38]</t>
  </si>
  <si>
    <t>Company39</t>
  </si>
  <si>
    <t>[Address of Company39]</t>
  </si>
  <si>
    <t>[Contact Person Last of Company39]</t>
  </si>
  <si>
    <t>[Contact Person First of Company39]</t>
  </si>
  <si>
    <t>[Direct Number of Company39]</t>
  </si>
  <si>
    <t>[Cell Number of Company39]</t>
  </si>
  <si>
    <t>[Email Address of Company39]</t>
  </si>
  <si>
    <t>[Delivery of Company39]</t>
  </si>
  <si>
    <t>[Equipment / Process of Company39]</t>
  </si>
  <si>
    <t>[Contact Details of Company39]</t>
  </si>
  <si>
    <t>[Credit App? of Company39]</t>
  </si>
  <si>
    <t>Company42</t>
  </si>
  <si>
    <t>[Address of Company42]</t>
  </si>
  <si>
    <t>[Contact Person Last of Company42]</t>
  </si>
  <si>
    <t>[Contact Person First of Company42]</t>
  </si>
  <si>
    <t>[Direct Number of Company42]</t>
  </si>
  <si>
    <t>[Cell Number of Company42]</t>
  </si>
  <si>
    <t>[Email Address of Company42]</t>
  </si>
  <si>
    <t>[Delivery of Company42]</t>
  </si>
  <si>
    <t>[Equipment / Process of Company42]</t>
  </si>
  <si>
    <t>[Contact Details of Company42]</t>
  </si>
  <si>
    <t>[Credit App? of Company42]</t>
  </si>
  <si>
    <t>Company45</t>
  </si>
  <si>
    <t>[Address of Company45]</t>
  </si>
  <si>
    <t>[Contact Person Last of Company45]</t>
  </si>
  <si>
    <t>[Contact Person First of Company45]</t>
  </si>
  <si>
    <t>[Direct Number of Company45]</t>
  </si>
  <si>
    <t>[Cell Number of Company45]</t>
  </si>
  <si>
    <t>[Email Address of Company45]</t>
  </si>
  <si>
    <t>[Delivery of Company45]</t>
  </si>
  <si>
    <t>[Equipment / Process of Company45]</t>
  </si>
  <si>
    <t>[Contact Details of Company45]</t>
  </si>
  <si>
    <t>[Credit App? of Company45]</t>
  </si>
  <si>
    <t>Company46</t>
  </si>
  <si>
    <t>[Address of Company46]</t>
  </si>
  <si>
    <t>[Contact Person Last of Company46]</t>
  </si>
  <si>
    <t>[Contact Person First of Company46]</t>
  </si>
  <si>
    <t>[Direct Number of Company46]</t>
  </si>
  <si>
    <t>[Cell Number of Company46]</t>
  </si>
  <si>
    <t>[Email Address of Company46]</t>
  </si>
  <si>
    <t>[Delivery of Company46]</t>
  </si>
  <si>
    <t>[Equipment / Process of Company46]</t>
  </si>
  <si>
    <t>[Contact Details of Company46]</t>
  </si>
  <si>
    <t>[Credit App? of Company46]</t>
  </si>
  <si>
    <t>Company48</t>
  </si>
  <si>
    <t>[Address of Company48]</t>
  </si>
  <si>
    <t>[Contact Person Last of Company48]</t>
  </si>
  <si>
    <t>[Contact Person First of Company48]</t>
  </si>
  <si>
    <t>[Direct Number of Company48]</t>
  </si>
  <si>
    <t>[Cell Number of Company48]</t>
  </si>
  <si>
    <t>[Email Address of Company48]</t>
  </si>
  <si>
    <t>[Delivery of Company48]</t>
  </si>
  <si>
    <t>[Equipment / Process of Company48]</t>
  </si>
  <si>
    <t>[Contact Details of Company48]</t>
  </si>
  <si>
    <t>[Credit App? of Company48]</t>
  </si>
  <si>
    <t>Company49</t>
  </si>
  <si>
    <t>[Address of Company49]</t>
  </si>
  <si>
    <t>[Contact Person Last of Company49]</t>
  </si>
  <si>
    <t>[Contact Person First of Company49]</t>
  </si>
  <si>
    <t>[Direct Number of Company49]</t>
  </si>
  <si>
    <t>[Cell Number of Company49]</t>
  </si>
  <si>
    <t>[Email Address of Company49]</t>
  </si>
  <si>
    <t>[Delivery of Company49]</t>
  </si>
  <si>
    <t>[Equipment / Process of Company49]</t>
  </si>
  <si>
    <t>[Contact Details of Company49]</t>
  </si>
  <si>
    <t>[Credit App? of Company49]</t>
  </si>
  <si>
    <t>Company51</t>
  </si>
  <si>
    <t>[Address of Company51]</t>
  </si>
  <si>
    <t>[Contact Person Last of Company51]</t>
  </si>
  <si>
    <t>[Contact Person First of Company51]</t>
  </si>
  <si>
    <t>[Direct Number of Company51]</t>
  </si>
  <si>
    <t>[Cell Number of Company51]</t>
  </si>
  <si>
    <t>[Email Address of Company51]</t>
  </si>
  <si>
    <t>[Delivery of Company51]</t>
  </si>
  <si>
    <t>[Equipment / Process of Company51]</t>
  </si>
  <si>
    <t>[Contact Details of Company51]</t>
  </si>
  <si>
    <t>[Credit App? of Company51]</t>
  </si>
  <si>
    <t>Company52</t>
  </si>
  <si>
    <t>[Address of Company52]</t>
  </si>
  <si>
    <t>[Contact Person Last of Company52]</t>
  </si>
  <si>
    <t>[Contact Person First of Company52]</t>
  </si>
  <si>
    <t>[Direct Number of Company52]</t>
  </si>
  <si>
    <t>[Cell Number of Company52]</t>
  </si>
  <si>
    <t>[Email Address of Company52]</t>
  </si>
  <si>
    <t>[Delivery of Company52]</t>
  </si>
  <si>
    <t>[Equipment / Process of Company52]</t>
  </si>
  <si>
    <t>[Contact Details of Company52]</t>
  </si>
  <si>
    <t>[Credit App? of Company52]</t>
  </si>
  <si>
    <t>Company50</t>
  </si>
  <si>
    <t>[Address of Company50]</t>
  </si>
  <si>
    <t>[Contact Person Last of Company50]</t>
  </si>
  <si>
    <t>[Contact Person First of Company50]</t>
  </si>
  <si>
    <t>[Direct Number of Company50]</t>
  </si>
  <si>
    <t>[Cell Number of Company50]</t>
  </si>
  <si>
    <t>[Email Address of Company50]</t>
  </si>
  <si>
    <t>[Delivery of Company50]</t>
  </si>
  <si>
    <t>[Equipment / Process of Company50]</t>
  </si>
  <si>
    <t>[Contact Details of Company50]</t>
  </si>
  <si>
    <t>[Credit App? of Company50]</t>
  </si>
  <si>
    <t>Company53</t>
  </si>
  <si>
    <t>[Address of Company53]</t>
  </si>
  <si>
    <t>[Contact Person Last of Company53]</t>
  </si>
  <si>
    <t>[Contact Person First of Company53]</t>
  </si>
  <si>
    <t>[Direct Number of Company53]</t>
  </si>
  <si>
    <t>[Cell Number of Company53]</t>
  </si>
  <si>
    <t>[Email Address of Company53]</t>
  </si>
  <si>
    <t>[Delivery of Company53]</t>
  </si>
  <si>
    <t>[Equipment / Process of Company53]</t>
  </si>
  <si>
    <t>[Contact Details of Company53]</t>
  </si>
  <si>
    <t>[Credit App? of Company53]</t>
  </si>
  <si>
    <t>Company54</t>
  </si>
  <si>
    <t>[Address of Company54]</t>
  </si>
  <si>
    <t>[Contact Person Last of Company54]</t>
  </si>
  <si>
    <t>[Contact Person First of Company54]</t>
  </si>
  <si>
    <t>[Direct Number of Company54]</t>
  </si>
  <si>
    <t>[Cell Number of Company54]</t>
  </si>
  <si>
    <t>[Email Address of Company54]</t>
  </si>
  <si>
    <t>[Delivery of Company54]</t>
  </si>
  <si>
    <t>[Equipment / Process of Company54]</t>
  </si>
  <si>
    <t>[Contact Details of Company54]</t>
  </si>
  <si>
    <t>[Credit App? of Company54]</t>
  </si>
  <si>
    <t>Company55</t>
  </si>
  <si>
    <t>[Address of Company55]</t>
  </si>
  <si>
    <t>[Contact Person Last of Company55]</t>
  </si>
  <si>
    <t>[Contact Person First of Company55]</t>
  </si>
  <si>
    <t>[Direct Number of Company55]</t>
  </si>
  <si>
    <t>[Cell Number of Company55]</t>
  </si>
  <si>
    <t>[Email Address of Company55]</t>
  </si>
  <si>
    <t>[Delivery of Company55]</t>
  </si>
  <si>
    <t>[Equipment / Process of Company55]</t>
  </si>
  <si>
    <t>[Contact Details of Company55]</t>
  </si>
  <si>
    <t>[Credit App? of Company55]</t>
  </si>
  <si>
    <t>Company56</t>
  </si>
  <si>
    <t>[Address of Company56]</t>
  </si>
  <si>
    <t>[Contact Person Last of Company56]</t>
  </si>
  <si>
    <t>[Contact Person First of Company56]</t>
  </si>
  <si>
    <t>[Direct Number of Company56]</t>
  </si>
  <si>
    <t>[Cell Number of Company56]</t>
  </si>
  <si>
    <t>[Email Address of Company56]</t>
  </si>
  <si>
    <t>[Delivery of Company56]</t>
  </si>
  <si>
    <t>[Equipment / Process of Company56]</t>
  </si>
  <si>
    <t>[Contact Details of Company56]</t>
  </si>
  <si>
    <t>[Credit App? of Company56]</t>
  </si>
  <si>
    <t>Company57</t>
  </si>
  <si>
    <t>[Address of Company57]</t>
  </si>
  <si>
    <t>[Contact Person Last of Company57]</t>
  </si>
  <si>
    <t>[Contact Person First of Company57]</t>
  </si>
  <si>
    <t>[Direct Number of Company57]</t>
  </si>
  <si>
    <t>[Cell Number of Company57]</t>
  </si>
  <si>
    <t>[Email Address of Company57]</t>
  </si>
  <si>
    <t>[Delivery of Company57]</t>
  </si>
  <si>
    <t>[Equipment / Process of Company57]</t>
  </si>
  <si>
    <t>[Contact Details of Company57]</t>
  </si>
  <si>
    <t>[Credit App? of Company57]</t>
  </si>
  <si>
    <t>Company59</t>
  </si>
  <si>
    <t>[Address of Company59]</t>
  </si>
  <si>
    <t>[Contact Person Last of Company59]</t>
  </si>
  <si>
    <t>[Contact Person First of Company59]</t>
  </si>
  <si>
    <t>[Direct Number of Company59]</t>
  </si>
  <si>
    <t>[Cell Number of Company59]</t>
  </si>
  <si>
    <t>[Email Address of Company59]</t>
  </si>
  <si>
    <t>[Delivery of Company59]</t>
  </si>
  <si>
    <t>[Equipment / Process of Company59]</t>
  </si>
  <si>
    <t>[Contact Details of Company59]</t>
  </si>
  <si>
    <t>[Credit App? of Company59]</t>
  </si>
  <si>
    <t>Company60</t>
  </si>
  <si>
    <t>[Address of Company60]</t>
  </si>
  <si>
    <t>[Contact Person Last of Company60]</t>
  </si>
  <si>
    <t>[Contact Person First of Company60]</t>
  </si>
  <si>
    <t>[Direct Number of Company60]</t>
  </si>
  <si>
    <t>[Cell Number of Company60]</t>
  </si>
  <si>
    <t>[Email Address of Company60]</t>
  </si>
  <si>
    <t>[Delivery of Company60]</t>
  </si>
  <si>
    <t>[Equipment / Process of Company60]</t>
  </si>
  <si>
    <t>[Contact Details of Company60]</t>
  </si>
  <si>
    <t>[Credit App? of Company60]</t>
  </si>
  <si>
    <t>Company63</t>
  </si>
  <si>
    <t>[Address of Company63]</t>
  </si>
  <si>
    <t>[Contact Person Last of Company63]</t>
  </si>
  <si>
    <t>[Contact Person First of Company63]</t>
  </si>
  <si>
    <t>[Direct Number of Company63]</t>
  </si>
  <si>
    <t>[Cell Number of Company63]</t>
  </si>
  <si>
    <t>[Email Address of Company63]</t>
  </si>
  <si>
    <t>[Delivery of Company63]</t>
  </si>
  <si>
    <t>[Equipment / Process of Company63]</t>
  </si>
  <si>
    <t>[Contact Details of Company63]</t>
  </si>
  <si>
    <t>[Credit App? of Company63]</t>
  </si>
  <si>
    <t>Company64</t>
  </si>
  <si>
    <t>[Address of Company64]</t>
  </si>
  <si>
    <t>[Contact Person Last of Company64]</t>
  </si>
  <si>
    <t>[Contact Person First of Company64]</t>
  </si>
  <si>
    <t>[Direct Number of Company64]</t>
  </si>
  <si>
    <t>[Cell Number of Company64]</t>
  </si>
  <si>
    <t>[Email Address of Company64]</t>
  </si>
  <si>
    <t>[Delivery of Company64]</t>
  </si>
  <si>
    <t>[Equipment / Process of Company64]</t>
  </si>
  <si>
    <t>[Contact Details of Company64]</t>
  </si>
  <si>
    <t>[Credit App? of Company64]</t>
  </si>
  <si>
    <t>Company65</t>
  </si>
  <si>
    <t>[Address of Company65]</t>
  </si>
  <si>
    <t>[Contact Person Last of Company65]</t>
  </si>
  <si>
    <t>[Contact Person First of Company65]</t>
  </si>
  <si>
    <t>[Direct Number of Company65]</t>
  </si>
  <si>
    <t>[Cell Number of Company65]</t>
  </si>
  <si>
    <t>[Email Address of Company65]</t>
  </si>
  <si>
    <t>[Delivery of Company65]</t>
  </si>
  <si>
    <t>[Equipment / Process of Company65]</t>
  </si>
  <si>
    <t>[Contact Details of Company65]</t>
  </si>
  <si>
    <t>[Credit App? of Company65]</t>
  </si>
  <si>
    <t>Company66</t>
  </si>
  <si>
    <t>[Address of Company66]</t>
  </si>
  <si>
    <t>[Contact Person Last of Company66]</t>
  </si>
  <si>
    <t>[Contact Person First of Company66]</t>
  </si>
  <si>
    <t>[Direct Number of Company66]</t>
  </si>
  <si>
    <t>[Cell Number of Company66]</t>
  </si>
  <si>
    <t>[Email Address of Company66]</t>
  </si>
  <si>
    <t>[Delivery of Company66]</t>
  </si>
  <si>
    <t>[Equipment / Process of Company66]</t>
  </si>
  <si>
    <t>[Contact Details of Company66]</t>
  </si>
  <si>
    <t>[Credit App? of Company66]</t>
  </si>
  <si>
    <t>Company67</t>
  </si>
  <si>
    <t>[Address of Company67]</t>
  </si>
  <si>
    <t>[Contact Person Last of Company67]</t>
  </si>
  <si>
    <t>[Contact Person First of Company67]</t>
  </si>
  <si>
    <t>[Direct Number of Company67]</t>
  </si>
  <si>
    <t>[Cell Number of Company67]</t>
  </si>
  <si>
    <t>[Email Address of Company67]</t>
  </si>
  <si>
    <t>[Delivery of Company67]</t>
  </si>
  <si>
    <t>[Equipment / Process of Company67]</t>
  </si>
  <si>
    <t>[Contact Details of Company67]</t>
  </si>
  <si>
    <t>[Credit App? of Company67]</t>
  </si>
  <si>
    <t>Company69</t>
  </si>
  <si>
    <t>[Address of Company69]</t>
  </si>
  <si>
    <t>[Contact Person Last of Company69]</t>
  </si>
  <si>
    <t>[Contact Person First of Company69]</t>
  </si>
  <si>
    <t>[Direct Number of Company69]</t>
  </si>
  <si>
    <t>[Cell Number of Company69]</t>
  </si>
  <si>
    <t>[Email Address of Company69]</t>
  </si>
  <si>
    <t>[Delivery of Company69]</t>
  </si>
  <si>
    <t>[Equipment / Process of Company69]</t>
  </si>
  <si>
    <t>[Contact Details of Company69]</t>
  </si>
  <si>
    <t>[Credit App? of Company69]</t>
  </si>
  <si>
    <t>Company70</t>
  </si>
  <si>
    <t>[Address of Company70]</t>
  </si>
  <si>
    <t>[Contact Person Last of Company70]</t>
  </si>
  <si>
    <t>[Contact Person First of Company70]</t>
  </si>
  <si>
    <t>[Direct Number of Company70]</t>
  </si>
  <si>
    <t>[Cell Number of Company70]</t>
  </si>
  <si>
    <t>[Email Address of Company70]</t>
  </si>
  <si>
    <t>[Delivery of Company70]</t>
  </si>
  <si>
    <t>[Equipment / Process of Company70]</t>
  </si>
  <si>
    <t>[Contact Details of Company70]</t>
  </si>
  <si>
    <t>[Credit App? of Company70]</t>
  </si>
  <si>
    <t>Company72</t>
  </si>
  <si>
    <t>[Address of Company72]</t>
  </si>
  <si>
    <t>[Contact Person Last of Company72]</t>
  </si>
  <si>
    <t>[Contact Person First of Company72]</t>
  </si>
  <si>
    <t>[Direct Number of Company72]</t>
  </si>
  <si>
    <t>[Cell Number of Company72]</t>
  </si>
  <si>
    <t>[Email Address of Company72]</t>
  </si>
  <si>
    <t>[Delivery of Company72]</t>
  </si>
  <si>
    <t>[Equipment / Process of Company72]</t>
  </si>
  <si>
    <t>[Contact Details of Company72]</t>
  </si>
  <si>
    <t>[Credit App? of Company72]</t>
  </si>
  <si>
    <t>Company73</t>
  </si>
  <si>
    <t>[Address of Company73]</t>
  </si>
  <si>
    <t>[Contact Person Last of Company73]</t>
  </si>
  <si>
    <t>[Contact Person First of Company73]</t>
  </si>
  <si>
    <t>[Direct Number of Company73]</t>
  </si>
  <si>
    <t>[Cell Number of Company73]</t>
  </si>
  <si>
    <t>[Email Address of Company73]</t>
  </si>
  <si>
    <t>[Delivery of Company73]</t>
  </si>
  <si>
    <t>[Equipment / Process of Company73]</t>
  </si>
  <si>
    <t>[Contact Details of Company73]</t>
  </si>
  <si>
    <t>[Credit App? of Company73]</t>
  </si>
  <si>
    <t>Company74</t>
  </si>
  <si>
    <t>[Address of Company74]</t>
  </si>
  <si>
    <t>[Contact Person Last of Company74]</t>
  </si>
  <si>
    <t>[Contact Person First of Company74]</t>
  </si>
  <si>
    <t>[Direct Number of Company74]</t>
  </si>
  <si>
    <t>[Cell Number of Company74]</t>
  </si>
  <si>
    <t>[Email Address of Company74]</t>
  </si>
  <si>
    <t>[Delivery of Company74]</t>
  </si>
  <si>
    <t>[Equipment / Process of Company74]</t>
  </si>
  <si>
    <t>[Contact Details of Company74]</t>
  </si>
  <si>
    <t>[Credit App? of Company74]</t>
  </si>
  <si>
    <t>Company75</t>
  </si>
  <si>
    <t>[Address of Company75]</t>
  </si>
  <si>
    <t>[Contact Person Last of Company75]</t>
  </si>
  <si>
    <t>[Contact Person First of Company75]</t>
  </si>
  <si>
    <t>[Direct Number of Company75]</t>
  </si>
  <si>
    <t>[Cell Number of Company75]</t>
  </si>
  <si>
    <t>[Email Address of Company75]</t>
  </si>
  <si>
    <t>[Delivery of Company75]</t>
  </si>
  <si>
    <t>[Equipment / Process of Company75]</t>
  </si>
  <si>
    <t>[Contact Details of Company75]</t>
  </si>
  <si>
    <t>[Credit App? of Company75]</t>
  </si>
  <si>
    <t>Company76</t>
  </si>
  <si>
    <t>[Address of Company76]</t>
  </si>
  <si>
    <t>[Contact Person Last of Company76]</t>
  </si>
  <si>
    <t>[Contact Person First of Company76]</t>
  </si>
  <si>
    <t>[Direct Number of Company76]</t>
  </si>
  <si>
    <t>[Cell Number of Company76]</t>
  </si>
  <si>
    <t>[Email Address of Company76]</t>
  </si>
  <si>
    <t>[Delivery of Company76]</t>
  </si>
  <si>
    <t>[Equipment / Process of Company76]</t>
  </si>
  <si>
    <t>[Contact Details of Company76]</t>
  </si>
  <si>
    <t>[Credit App? of Company76]</t>
  </si>
  <si>
    <t>Company77</t>
  </si>
  <si>
    <t>[Address of Company77]</t>
  </si>
  <si>
    <t>[Contact Person Last of Company77]</t>
  </si>
  <si>
    <t>[Contact Person First of Company77]</t>
  </si>
  <si>
    <t>[Direct Number of Company77]</t>
  </si>
  <si>
    <t>[Cell Number of Company77]</t>
  </si>
  <si>
    <t>[Email Address of Company77]</t>
  </si>
  <si>
    <t>[Delivery of Company77]</t>
  </si>
  <si>
    <t>[Equipment / Process of Company77]</t>
  </si>
  <si>
    <t>[Contact Details of Company77]</t>
  </si>
  <si>
    <t>[Credit App? of Company77]</t>
  </si>
  <si>
    <t>Company78</t>
  </si>
  <si>
    <t>[Address of Company78]</t>
  </si>
  <si>
    <t>[Contact Person Last of Company78]</t>
  </si>
  <si>
    <t>[Contact Person First of Company78]</t>
  </si>
  <si>
    <t>[Direct Number of Company78]</t>
  </si>
  <si>
    <t>[Cell Number of Company78]</t>
  </si>
  <si>
    <t>[Email Address of Company78]</t>
  </si>
  <si>
    <t>[Delivery of Company78]</t>
  </si>
  <si>
    <t>[Equipment / Process of Company78]</t>
  </si>
  <si>
    <t>[Contact Details of Company78]</t>
  </si>
  <si>
    <t>[Credit App? of Company78]</t>
  </si>
  <si>
    <t>Company79</t>
  </si>
  <si>
    <t>[Address of Company79]</t>
  </si>
  <si>
    <t>[Contact Person Last of Company79]</t>
  </si>
  <si>
    <t>[Contact Person First of Company79]</t>
  </si>
  <si>
    <t>[Direct Number of Company79]</t>
  </si>
  <si>
    <t>[Cell Number of Company79]</t>
  </si>
  <si>
    <t>[Email Address of Company79]</t>
  </si>
  <si>
    <t>[Delivery of Company79]</t>
  </si>
  <si>
    <t>[Equipment / Process of Company79]</t>
  </si>
  <si>
    <t>[Contact Details of Company79]</t>
  </si>
  <si>
    <t>[Credit App? of Company79]</t>
  </si>
  <si>
    <t>Company80</t>
  </si>
  <si>
    <t>[Address of Company80]</t>
  </si>
  <si>
    <t>[Contact Person Last of Company80]</t>
  </si>
  <si>
    <t>[Contact Person First of Company80]</t>
  </si>
  <si>
    <t>[Direct Number of Company80]</t>
  </si>
  <si>
    <t>[Cell Number of Company80]</t>
  </si>
  <si>
    <t>[Email Address of Company80]</t>
  </si>
  <si>
    <t>[Delivery of Company80]</t>
  </si>
  <si>
    <t>[Equipment / Process of Company80]</t>
  </si>
  <si>
    <t>[Contact Details of Company80]</t>
  </si>
  <si>
    <t>[Credit App? of Company80]</t>
  </si>
  <si>
    <t>Company81</t>
  </si>
  <si>
    <t>[Address of Company81]</t>
  </si>
  <si>
    <t>[Contact Person Last of Company81]</t>
  </si>
  <si>
    <t>[Contact Person First of Company81]</t>
  </si>
  <si>
    <t>[Direct Number of Company81]</t>
  </si>
  <si>
    <t>[Cell Number of Company81]</t>
  </si>
  <si>
    <t>[Email Address of Company81]</t>
  </si>
  <si>
    <t>[Delivery of Company81]</t>
  </si>
  <si>
    <t>[Equipment / Process of Company81]</t>
  </si>
  <si>
    <t>[Contact Details of Company81]</t>
  </si>
  <si>
    <t>[Credit App? of Company81]</t>
  </si>
  <si>
    <t>Company82</t>
  </si>
  <si>
    <t>[Address of Company82]</t>
  </si>
  <si>
    <t>[Contact Person Last of Company82]</t>
  </si>
  <si>
    <t>[Contact Person First of Company82]</t>
  </si>
  <si>
    <t>[Direct Number of Company82]</t>
  </si>
  <si>
    <t>[Cell Number of Company82]</t>
  </si>
  <si>
    <t>[Email Address of Company82]</t>
  </si>
  <si>
    <t>[Delivery of Company82]</t>
  </si>
  <si>
    <t>[Equipment / Process of Company82]</t>
  </si>
  <si>
    <t>[Contact Details of Company82]</t>
  </si>
  <si>
    <t>[Credit App? of Company82]</t>
  </si>
  <si>
    <t>Company84</t>
  </si>
  <si>
    <t>[Address of Company84]</t>
  </si>
  <si>
    <t>[Contact Person Last of Company84]</t>
  </si>
  <si>
    <t>[Contact Person First of Company84]</t>
  </si>
  <si>
    <t>[Direct Number of Company84]</t>
  </si>
  <si>
    <t>[Cell Number of Company84]</t>
  </si>
  <si>
    <t>[Email Address of Company84]</t>
  </si>
  <si>
    <t>[Delivery of Company84]</t>
  </si>
  <si>
    <t>[Equipment / Process of Company84]</t>
  </si>
  <si>
    <t>[Contact Details of Company84]</t>
  </si>
  <si>
    <t>[Credit App? of Company84]</t>
  </si>
  <si>
    <t>Company85</t>
  </si>
  <si>
    <t>[Address of Company85]</t>
  </si>
  <si>
    <t>[Contact Person Last of Company85]</t>
  </si>
  <si>
    <t>[Contact Person First of Company85]</t>
  </si>
  <si>
    <t>[Direct Number of Company85]</t>
  </si>
  <si>
    <t>[Cell Number of Company85]</t>
  </si>
  <si>
    <t>[Email Address of Company85]</t>
  </si>
  <si>
    <t>[Delivery of Company85]</t>
  </si>
  <si>
    <t>[Equipment / Process of Company85]</t>
  </si>
  <si>
    <t>[Contact Details of Company85]</t>
  </si>
  <si>
    <t>[Credit App? of Company85]</t>
  </si>
  <si>
    <t>Company86</t>
  </si>
  <si>
    <t>[Address of Company86]</t>
  </si>
  <si>
    <t>[Contact Person Last of Company86]</t>
  </si>
  <si>
    <t>[Contact Person First of Company86]</t>
  </si>
  <si>
    <t>[Direct Number of Company86]</t>
  </si>
  <si>
    <t>[Cell Number of Company86]</t>
  </si>
  <si>
    <t>[Email Address of Company86]</t>
  </si>
  <si>
    <t>[Delivery of Company86]</t>
  </si>
  <si>
    <t>[Equipment / Process of Company86]</t>
  </si>
  <si>
    <t>[Contact Details of Company86]</t>
  </si>
  <si>
    <t>[Credit App? of Company86]</t>
  </si>
  <si>
    <t>Company87</t>
  </si>
  <si>
    <t>[Address of Company87]</t>
  </si>
  <si>
    <t>[Contact Person Last of Company87]</t>
  </si>
  <si>
    <t>[Contact Person First of Company87]</t>
  </si>
  <si>
    <t>[Direct Number of Company87]</t>
  </si>
  <si>
    <t>[Cell Number of Company87]</t>
  </si>
  <si>
    <t>[Email Address of Company87]</t>
  </si>
  <si>
    <t>[Delivery of Company87]</t>
  </si>
  <si>
    <t>[Equipment / Process of Company87]</t>
  </si>
  <si>
    <t>[Contact Details of Company87]</t>
  </si>
  <si>
    <t>[Credit App? of Company87]</t>
  </si>
  <si>
    <t>Company88</t>
  </si>
  <si>
    <t>[Address of Company88]</t>
  </si>
  <si>
    <t>[Contact Person Last of Company88]</t>
  </si>
  <si>
    <t>[Contact Person First of Company88]</t>
  </si>
  <si>
    <t>[Direct Number of Company88]</t>
  </si>
  <si>
    <t>[Cell Number of Company88]</t>
  </si>
  <si>
    <t>[Email Address of Company88]</t>
  </si>
  <si>
    <t>[Delivery of Company88]</t>
  </si>
  <si>
    <t>[Equipment / Process of Company88]</t>
  </si>
  <si>
    <t>[Contact Details of Company88]</t>
  </si>
  <si>
    <t>[Credit App? of Company88]</t>
  </si>
  <si>
    <t>Company89</t>
  </si>
  <si>
    <t>[Address of Company89]</t>
  </si>
  <si>
    <t>[Contact Person Last of Company89]</t>
  </si>
  <si>
    <t>[Contact Person First of Company89]</t>
  </si>
  <si>
    <t>[Direct Number of Company89]</t>
  </si>
  <si>
    <t>[Cell Number of Company89]</t>
  </si>
  <si>
    <t>[Email Address of Company89]</t>
  </si>
  <si>
    <t>[Delivery of Company89]</t>
  </si>
  <si>
    <t>[Equipment / Process of Company89]</t>
  </si>
  <si>
    <t>[Contact Details of Company89]</t>
  </si>
  <si>
    <t>[Credit App? of Company89]</t>
  </si>
  <si>
    <t>Company90</t>
  </si>
  <si>
    <t>[Address of Company90]</t>
  </si>
  <si>
    <t>[Contact Person Last of Company90]</t>
  </si>
  <si>
    <t>[Contact Person First of Company90]</t>
  </si>
  <si>
    <t>[Direct Number of Company90]</t>
  </si>
  <si>
    <t>[Cell Number of Company90]</t>
  </si>
  <si>
    <t>[Email Address of Company90]</t>
  </si>
  <si>
    <t>[Delivery of Company90]</t>
  </si>
  <si>
    <t>[Equipment / Process of Company90]</t>
  </si>
  <si>
    <t>[Contact Details of Company90]</t>
  </si>
  <si>
    <t>[Credit App? of Company90]</t>
  </si>
  <si>
    <t>Company91</t>
  </si>
  <si>
    <t>[Address of Company91]</t>
  </si>
  <si>
    <t>[Contact Person Last of Company91]</t>
  </si>
  <si>
    <t>[Contact Person First of Company91]</t>
  </si>
  <si>
    <t>[Direct Number of Company91]</t>
  </si>
  <si>
    <t>[Cell Number of Company91]</t>
  </si>
  <si>
    <t>[Email Address of Company91]</t>
  </si>
  <si>
    <t>[Delivery of Company91]</t>
  </si>
  <si>
    <t>[Equipment / Process of Company91]</t>
  </si>
  <si>
    <t>[Contact Details of Company91]</t>
  </si>
  <si>
    <t>[Credit App? of Company91]</t>
  </si>
  <si>
    <t>Company92</t>
  </si>
  <si>
    <t>[Address of Company92]</t>
  </si>
  <si>
    <t>[Contact Person Last of Company92]</t>
  </si>
  <si>
    <t>[Contact Person First of Company92]</t>
  </si>
  <si>
    <t>[Direct Number of Company92]</t>
  </si>
  <si>
    <t>[Cell Number of Company92]</t>
  </si>
  <si>
    <t>[Email Address of Company92]</t>
  </si>
  <si>
    <t>[Delivery of Company92]</t>
  </si>
  <si>
    <t>[Equipment / Process of Company92]</t>
  </si>
  <si>
    <t>[Contact Details of Company92]</t>
  </si>
  <si>
    <t>[Credit App? of Company92]</t>
  </si>
  <si>
    <t>Company93</t>
  </si>
  <si>
    <t>[Address of Company93]</t>
  </si>
  <si>
    <t>[Contact Person Last of Company93]</t>
  </si>
  <si>
    <t>[Contact Person First of Company93]</t>
  </si>
  <si>
    <t>[Direct Number of Company93]</t>
  </si>
  <si>
    <t>[Cell Number of Company93]</t>
  </si>
  <si>
    <t>[Email Address of Company93]</t>
  </si>
  <si>
    <t>[Delivery of Company93]</t>
  </si>
  <si>
    <t>[Equipment / Process of Company93]</t>
  </si>
  <si>
    <t>[Contact Details of Company93]</t>
  </si>
  <si>
    <t>[Credit App? of Company93]</t>
  </si>
  <si>
    <t>Company94</t>
  </si>
  <si>
    <t>[Address of Company94]</t>
  </si>
  <si>
    <t>[Contact Person Last of Company94]</t>
  </si>
  <si>
    <t>[Contact Person First of Company94]</t>
  </si>
  <si>
    <t>[Direct Number of Company94]</t>
  </si>
  <si>
    <t>[Cell Number of Company94]</t>
  </si>
  <si>
    <t>[Email Address of Company94]</t>
  </si>
  <si>
    <t>[Delivery of Company94]</t>
  </si>
  <si>
    <t>[Equipment / Process of Company94]</t>
  </si>
  <si>
    <t>[Contact Details of Company94]</t>
  </si>
  <si>
    <t>[Credit App? of Company94]</t>
  </si>
  <si>
    <t>Company95</t>
  </si>
  <si>
    <t>[Address of Company95]</t>
  </si>
  <si>
    <t>[Contact Person Last of Company95]</t>
  </si>
  <si>
    <t>[Contact Person First of Company95]</t>
  </si>
  <si>
    <t>[Direct Number of Company95]</t>
  </si>
  <si>
    <t>[Cell Number of Company95]</t>
  </si>
  <si>
    <t>[Email Address of Company95]</t>
  </si>
  <si>
    <t>[Delivery of Company95]</t>
  </si>
  <si>
    <t>[Equipment / Process of Company95]</t>
  </si>
  <si>
    <t>[Contact Details of Company95]</t>
  </si>
  <si>
    <t>[Credit App? of Company95]</t>
  </si>
  <si>
    <t>Company96</t>
  </si>
  <si>
    <t>[Address of Company96]</t>
  </si>
  <si>
    <t>[Contact Person Last of Company96]</t>
  </si>
  <si>
    <t>[Contact Person First of Company96]</t>
  </si>
  <si>
    <t>[Direct Number of Company96]</t>
  </si>
  <si>
    <t>[Cell Number of Company96]</t>
  </si>
  <si>
    <t>[Email Address of Company96]</t>
  </si>
  <si>
    <t>[Delivery of Company96]</t>
  </si>
  <si>
    <t>[Equipment / Process of Company96]</t>
  </si>
  <si>
    <t>[Contact Details of Company96]</t>
  </si>
  <si>
    <t>[Credit App? of Company96]</t>
  </si>
  <si>
    <t>Company97</t>
  </si>
  <si>
    <t>[Address of Company97]</t>
  </si>
  <si>
    <t>[Contact Person Last of Company97]</t>
  </si>
  <si>
    <t>[Contact Person First of Company97]</t>
  </si>
  <si>
    <t>[Direct Number of Company97]</t>
  </si>
  <si>
    <t>[Cell Number of Company97]</t>
  </si>
  <si>
    <t>[Email Address of Company97]</t>
  </si>
  <si>
    <t>[Delivery of Company97]</t>
  </si>
  <si>
    <t>[Equipment / Process of Company97]</t>
  </si>
  <si>
    <t>[Contact Details of Company97]</t>
  </si>
  <si>
    <t>[Credit App? of Company97]</t>
  </si>
  <si>
    <t>Company99</t>
  </si>
  <si>
    <t>[Address of Company99]</t>
  </si>
  <si>
    <t>[Contact Person Last of Company99]</t>
  </si>
  <si>
    <t>[Contact Person First of Company99]</t>
  </si>
  <si>
    <t>[Direct Number of Company99]</t>
  </si>
  <si>
    <t>[Cell Number of Company99]</t>
  </si>
  <si>
    <t>[Email Address of Company99]</t>
  </si>
  <si>
    <t>[Delivery of Company99]</t>
  </si>
  <si>
    <t>[Equipment / Process of Company99]</t>
  </si>
  <si>
    <t>[Contact Details of Company99]</t>
  </si>
  <si>
    <t>[Credit App? of Company99]</t>
  </si>
  <si>
    <t>Company100</t>
  </si>
  <si>
    <t>[Address of Company100]</t>
  </si>
  <si>
    <t>[Contact Person Last of Company100]</t>
  </si>
  <si>
    <t>[Contact Person First of Company100]</t>
  </si>
  <si>
    <t>[Direct Number of Company100]</t>
  </si>
  <si>
    <t>[Cell Number of Company100]</t>
  </si>
  <si>
    <t>[Email Address of Company100]</t>
  </si>
  <si>
    <t>[Delivery of Company100]</t>
  </si>
  <si>
    <t>[Equipment / Process of Company100]</t>
  </si>
  <si>
    <t>[Contact Details of Company100]</t>
  </si>
  <si>
    <t>[Credit App? of Company100]</t>
  </si>
  <si>
    <t>Company101</t>
  </si>
  <si>
    <t>[Address of Company101]</t>
  </si>
  <si>
    <t>[Contact Person Last of Company101]</t>
  </si>
  <si>
    <t>[Contact Person First of Company101]</t>
  </si>
  <si>
    <t>[Direct Number of Company101]</t>
  </si>
  <si>
    <t>[Cell Number of Company101]</t>
  </si>
  <si>
    <t>[Email Address of Company101]</t>
  </si>
  <si>
    <t>[Delivery of Company101]</t>
  </si>
  <si>
    <t>[Equipment / Process of Company101]</t>
  </si>
  <si>
    <t>[Contact Details of Company101]</t>
  </si>
  <si>
    <t>[Credit App? of Company101]</t>
  </si>
  <si>
    <t>Company103</t>
  </si>
  <si>
    <t>[Address of Company103]</t>
  </si>
  <si>
    <t>[Contact Person Last of Company103]</t>
  </si>
  <si>
    <t>[Contact Person First of Company103]</t>
  </si>
  <si>
    <t>[Direct Number of Company103]</t>
  </si>
  <si>
    <t>[Cell Number of Company103]</t>
  </si>
  <si>
    <t>[Email Address of Company103]</t>
  </si>
  <si>
    <t>[Delivery of Company103]</t>
  </si>
  <si>
    <t>[Equipment / Process of Company103]</t>
  </si>
  <si>
    <t>[Contact Details of Company103]</t>
  </si>
  <si>
    <t>[Credit App? of Company103]</t>
  </si>
  <si>
    <t>Company105</t>
  </si>
  <si>
    <t>[Address of Company105]</t>
  </si>
  <si>
    <t>[Contact Person Last of Company105]</t>
  </si>
  <si>
    <t>[Contact Person First of Company105]</t>
  </si>
  <si>
    <t>[Direct Number of Company105]</t>
  </si>
  <si>
    <t>[Cell Number of Company105]</t>
  </si>
  <si>
    <t>[Email Address of Company105]</t>
  </si>
  <si>
    <t>[Delivery of Company105]</t>
  </si>
  <si>
    <t>[Equipment / Process of Company105]</t>
  </si>
  <si>
    <t>[Contact Details of Company105]</t>
  </si>
  <si>
    <t>[Credit App? of Company105]</t>
  </si>
  <si>
    <t>Company106</t>
  </si>
  <si>
    <t>[Address of Company106]</t>
  </si>
  <si>
    <t>[Contact Person Last of Company106]</t>
  </si>
  <si>
    <t>[Contact Person First of Company106]</t>
  </si>
  <si>
    <t>[Direct Number of Company106]</t>
  </si>
  <si>
    <t>[Cell Number of Company106]</t>
  </si>
  <si>
    <t>[Email Address of Company106]</t>
  </si>
  <si>
    <t>[Delivery of Company106]</t>
  </si>
  <si>
    <t>[Equipment / Process of Company106]</t>
  </si>
  <si>
    <t>[Contact Details of Company106]</t>
  </si>
  <si>
    <t>[Credit App? of Company106]</t>
  </si>
  <si>
    <t>Company109</t>
  </si>
  <si>
    <t>[Address of Company109]</t>
  </si>
  <si>
    <t>[Contact Person Last of Company109]</t>
  </si>
  <si>
    <t>[Contact Person First of Company109]</t>
  </si>
  <si>
    <t>[Direct Number of Company109]</t>
  </si>
  <si>
    <t>[Cell Number of Company109]</t>
  </si>
  <si>
    <t>[Email Address of Company109]</t>
  </si>
  <si>
    <t>[Delivery of Company109]</t>
  </si>
  <si>
    <t>[Equipment / Process of Company109]</t>
  </si>
  <si>
    <t>[Contact Details of Company109]</t>
  </si>
  <si>
    <t>[Credit App? of Company109]</t>
  </si>
  <si>
    <t>Company110</t>
  </si>
  <si>
    <t>[Address of Company110]</t>
  </si>
  <si>
    <t>[Contact Person Last of Company110]</t>
  </si>
  <si>
    <t>[Contact Person First of Company110]</t>
  </si>
  <si>
    <t>[Direct Number of Company110]</t>
  </si>
  <si>
    <t>[Cell Number of Company110]</t>
  </si>
  <si>
    <t>[Email Address of Company110]</t>
  </si>
  <si>
    <t>[Delivery of Company110]</t>
  </si>
  <si>
    <t>[Equipment / Process of Company110]</t>
  </si>
  <si>
    <t>[Contact Details of Company110]</t>
  </si>
  <si>
    <t>[Credit App? of Company110]</t>
  </si>
  <si>
    <t>Company112</t>
  </si>
  <si>
    <t>[Address of Company112]</t>
  </si>
  <si>
    <t>[Contact Person Last of Company112]</t>
  </si>
  <si>
    <t>[Contact Person First of Company112]</t>
  </si>
  <si>
    <t>[Direct Number of Company112]</t>
  </si>
  <si>
    <t>[Cell Number of Company112]</t>
  </si>
  <si>
    <t>[Email Address of Company112]</t>
  </si>
  <si>
    <t>[Delivery of Company112]</t>
  </si>
  <si>
    <t>[Equipment / Process of Company112]</t>
  </si>
  <si>
    <t>[Contact Details of Company112]</t>
  </si>
  <si>
    <t>[Credit App? of Company112]</t>
  </si>
  <si>
    <t>Company113</t>
  </si>
  <si>
    <t>[Address of Company113]</t>
  </si>
  <si>
    <t>[Contact Person Last of Company113]</t>
  </si>
  <si>
    <t>[Contact Person First of Company113]</t>
  </si>
  <si>
    <t>[Direct Number of Company113]</t>
  </si>
  <si>
    <t>[Cell Number of Company113]</t>
  </si>
  <si>
    <t>[Email Address of Company113]</t>
  </si>
  <si>
    <t>[Delivery of Company113]</t>
  </si>
  <si>
    <t>[Equipment / Process of Company113]</t>
  </si>
  <si>
    <t>[Contact Details of Company113]</t>
  </si>
  <si>
    <t>[Credit App? of Company113]</t>
  </si>
  <si>
    <t>Company114</t>
  </si>
  <si>
    <t>[Address of Company114]</t>
  </si>
  <si>
    <t>[Contact Person Last of Company114]</t>
  </si>
  <si>
    <t>[Contact Person First of Company114]</t>
  </si>
  <si>
    <t>[Direct Number of Company114]</t>
  </si>
  <si>
    <t>[Cell Number of Company114]</t>
  </si>
  <si>
    <t>[Email Address of Company114]</t>
  </si>
  <si>
    <t>[Delivery of Company114]</t>
  </si>
  <si>
    <t>[Equipment / Process of Company114]</t>
  </si>
  <si>
    <t>[Contact Details of Company114]</t>
  </si>
  <si>
    <t>[Credit App? of Company114]</t>
  </si>
  <si>
    <t>Company115</t>
  </si>
  <si>
    <t>[Address of Company115]</t>
  </si>
  <si>
    <t>[Contact Person Last of Company115]</t>
  </si>
  <si>
    <t>[Contact Person First of Company115]</t>
  </si>
  <si>
    <t>[Direct Number of Company115]</t>
  </si>
  <si>
    <t>[Cell Number of Company115]</t>
  </si>
  <si>
    <t>[Email Address of Company115]</t>
  </si>
  <si>
    <t>[Delivery of Company115]</t>
  </si>
  <si>
    <t>[Equipment / Process of Company115]</t>
  </si>
  <si>
    <t>[Contact Details of Company115]</t>
  </si>
  <si>
    <t>[Credit App? of Company115]</t>
  </si>
  <si>
    <t>Company116</t>
  </si>
  <si>
    <t>[Address of Company116]</t>
  </si>
  <si>
    <t>[Contact Person Last of Company116]</t>
  </si>
  <si>
    <t>[Contact Person First of Company116]</t>
  </si>
  <si>
    <t>[Direct Number of Company116]</t>
  </si>
  <si>
    <t>[Cell Number of Company116]</t>
  </si>
  <si>
    <t>[Email Address of Company116]</t>
  </si>
  <si>
    <t>[Delivery of Company116]</t>
  </si>
  <si>
    <t>[Equipment / Process of Company116]</t>
  </si>
  <si>
    <t>[Contact Details of Company116]</t>
  </si>
  <si>
    <t>[Credit App? of Company116]</t>
  </si>
  <si>
    <t>Company118</t>
  </si>
  <si>
    <t>[Address of Company118]</t>
  </si>
  <si>
    <t>[Contact Person Last of Company118]</t>
  </si>
  <si>
    <t>[Contact Person First of Company118]</t>
  </si>
  <si>
    <t>[Direct Number of Company118]</t>
  </si>
  <si>
    <t>[Cell Number of Company118]</t>
  </si>
  <si>
    <t>[Email Address of Company118]</t>
  </si>
  <si>
    <t>[Delivery of Company118]</t>
  </si>
  <si>
    <t>[Equipment / Process of Company118]</t>
  </si>
  <si>
    <t>[Contact Details of Company118]</t>
  </si>
  <si>
    <t>[Credit App? of Company118]</t>
  </si>
  <si>
    <t>Company117</t>
  </si>
  <si>
    <t>[Address of Company117]</t>
  </si>
  <si>
    <t>[Contact Person Last of Company117]</t>
  </si>
  <si>
    <t>[Contact Person First of Company117]</t>
  </si>
  <si>
    <t>[Direct Number of Company117]</t>
  </si>
  <si>
    <t>[Cell Number of Company117]</t>
  </si>
  <si>
    <t>[Email Address of Company117]</t>
  </si>
  <si>
    <t>[Delivery of Company117]</t>
  </si>
  <si>
    <t>[Equipment / Process of Company117]</t>
  </si>
  <si>
    <t>[Contact Details of Company117]</t>
  </si>
  <si>
    <t>[Credit App? of Company117]</t>
  </si>
  <si>
    <t>Company119</t>
  </si>
  <si>
    <t>[Address of Company119]</t>
  </si>
  <si>
    <t>[Contact Person Last of Company119]</t>
  </si>
  <si>
    <t>[Contact Person First of Company119]</t>
  </si>
  <si>
    <t>[Direct Number of Company119]</t>
  </si>
  <si>
    <t>[Cell Number of Company119]</t>
  </si>
  <si>
    <t>[Email Address of Company119]</t>
  </si>
  <si>
    <t>[Delivery of Company119]</t>
  </si>
  <si>
    <t>[Equipment / Process of Company119]</t>
  </si>
  <si>
    <t>[Contact Details of Company119]</t>
  </si>
  <si>
    <t>[Credit App? of Company119]</t>
  </si>
  <si>
    <t>Company120</t>
  </si>
  <si>
    <t>[Address of Company120]</t>
  </si>
  <si>
    <t>[Contact Person Last of Company120]</t>
  </si>
  <si>
    <t>[Contact Person First of Company120]</t>
  </si>
  <si>
    <t>[Direct Number of Company120]</t>
  </si>
  <si>
    <t>[Cell Number of Company120]</t>
  </si>
  <si>
    <t>[Email Address of Company120]</t>
  </si>
  <si>
    <t>[Delivery of Company120]</t>
  </si>
  <si>
    <t>[Equipment / Process of Company120]</t>
  </si>
  <si>
    <t>[Contact Details of Company120]</t>
  </si>
  <si>
    <t>[Credit App? of Company120]</t>
  </si>
  <si>
    <t>Company121</t>
  </si>
  <si>
    <t>[Address of Company121]</t>
  </si>
  <si>
    <t>[Contact Person Last of Company121]</t>
  </si>
  <si>
    <t>[Contact Person First of Company121]</t>
  </si>
  <si>
    <t>[Direct Number of Company121]</t>
  </si>
  <si>
    <t>[Cell Number of Company121]</t>
  </si>
  <si>
    <t>[Email Address of Company121]</t>
  </si>
  <si>
    <t>[Delivery of Company121]</t>
  </si>
  <si>
    <t>[Equipment / Process of Company121]</t>
  </si>
  <si>
    <t>[Contact Details of Company121]</t>
  </si>
  <si>
    <t>[Credit App? of Company121]</t>
  </si>
  <si>
    <t>Company122</t>
  </si>
  <si>
    <t>[Address of Company122]</t>
  </si>
  <si>
    <t>[Contact Person Last of Company122]</t>
  </si>
  <si>
    <t>[Contact Person First of Company122]</t>
  </si>
  <si>
    <t>[Direct Number of Company122]</t>
  </si>
  <si>
    <t>[Cell Number of Company122]</t>
  </si>
  <si>
    <t>[Email Address of Company122]</t>
  </si>
  <si>
    <t>[Delivery of Company122]</t>
  </si>
  <si>
    <t>[Equipment / Process of Company122]</t>
  </si>
  <si>
    <t>[Contact Details of Company122]</t>
  </si>
  <si>
    <t>[Credit App? of Company122]</t>
  </si>
  <si>
    <t>Company123</t>
  </si>
  <si>
    <t>[Address of Company123]</t>
  </si>
  <si>
    <t>[Contact Person Last of Company123]</t>
  </si>
  <si>
    <t>[Contact Person First of Company123]</t>
  </si>
  <si>
    <t>[Direct Number of Company123]</t>
  </si>
  <si>
    <t>[Cell Number of Company123]</t>
  </si>
  <si>
    <t>[Email Address of Company123]</t>
  </si>
  <si>
    <t>[Delivery of Company123]</t>
  </si>
  <si>
    <t>[Equipment / Process of Company123]</t>
  </si>
  <si>
    <t>[Contact Details of Company123]</t>
  </si>
  <si>
    <t>[Credit App? of Company123]</t>
  </si>
  <si>
    <t>Company124</t>
  </si>
  <si>
    <t>[Address of Company124]</t>
  </si>
  <si>
    <t>[Contact Person Last of Company124]</t>
  </si>
  <si>
    <t>[Contact Person First of Company124]</t>
  </si>
  <si>
    <t>[Direct Number of Company124]</t>
  </si>
  <si>
    <t>[Cell Number of Company124]</t>
  </si>
  <si>
    <t>[Email Address of Company124]</t>
  </si>
  <si>
    <t>[Delivery of Company124]</t>
  </si>
  <si>
    <t>[Equipment / Process of Company124]</t>
  </si>
  <si>
    <t>[Contact Details of Company124]</t>
  </si>
  <si>
    <t>[Credit App? of Company124]</t>
  </si>
  <si>
    <t>Company128</t>
  </si>
  <si>
    <t>[Address of Company128]</t>
  </si>
  <si>
    <t>[Contact Person Last of Company128]</t>
  </si>
  <si>
    <t>[Contact Person First of Company128]</t>
  </si>
  <si>
    <t>[Direct Number of Company128]</t>
  </si>
  <si>
    <t>[Cell Number of Company128]</t>
  </si>
  <si>
    <t>[Email Address of Company128]</t>
  </si>
  <si>
    <t>[Delivery of Company128]</t>
  </si>
  <si>
    <t>[Equipment / Process of Company128]</t>
  </si>
  <si>
    <t>[Contact Details of Company128]</t>
  </si>
  <si>
    <t>[Credit App? of Company128]</t>
  </si>
  <si>
    <t>Company129</t>
  </si>
  <si>
    <t>[Address of Company129]</t>
  </si>
  <si>
    <t>[Contact Person Last of Company129]</t>
  </si>
  <si>
    <t>[Contact Person First of Company129]</t>
  </si>
  <si>
    <t>[Direct Number of Company129]</t>
  </si>
  <si>
    <t>[Cell Number of Company129]</t>
  </si>
  <si>
    <t>[Email Address of Company129]</t>
  </si>
  <si>
    <t>[Delivery of Company129]</t>
  </si>
  <si>
    <t>[Equipment / Process of Company129]</t>
  </si>
  <si>
    <t>[Contact Details of Company129]</t>
  </si>
  <si>
    <t>[Credit App? of Company129]</t>
  </si>
  <si>
    <t>Company9</t>
  </si>
  <si>
    <t>[Address of Company9]</t>
  </si>
  <si>
    <t>[Contact Person Last of Company9]</t>
  </si>
  <si>
    <t>[Contact Person First of Company9]</t>
  </si>
  <si>
    <t>[Direct Number of Company9]</t>
  </si>
  <si>
    <t>[Cell Number of Company9]</t>
  </si>
  <si>
    <t>[Email Address of Company9]</t>
  </si>
  <si>
    <t>[Delivery of Company9]</t>
  </si>
  <si>
    <t>[Equipment / Process of Company9]</t>
  </si>
  <si>
    <t>[Contact Details of Company9]</t>
  </si>
  <si>
    <t>[Credit App? of Company9]</t>
  </si>
  <si>
    <t>Company12</t>
  </si>
  <si>
    <t>[Address of Company12]</t>
  </si>
  <si>
    <t>[Contact Person Last of Company12]</t>
  </si>
  <si>
    <t>[Contact Person First of Company12]</t>
  </si>
  <si>
    <t>[Direct Number of Company12]</t>
  </si>
  <si>
    <t>[Cell Number of Company12]</t>
  </si>
  <si>
    <t>[Email Address of Company12]</t>
  </si>
  <si>
    <t>[Delivery of Company12]</t>
  </si>
  <si>
    <t>[Equipment / Process of Company12]</t>
  </si>
  <si>
    <t>[Contact Details of Company12]</t>
  </si>
  <si>
    <t>[Credit App? of Company12]</t>
  </si>
  <si>
    <t>Company13</t>
  </si>
  <si>
    <t>[Address of Company13]</t>
  </si>
  <si>
    <t>[Contact Person Last of Company13]</t>
  </si>
  <si>
    <t>[Contact Person First of Company13]</t>
  </si>
  <si>
    <t>[Direct Number of Company13]</t>
  </si>
  <si>
    <t>[Cell Number of Company13]</t>
  </si>
  <si>
    <t>[Email Address of Company13]</t>
  </si>
  <si>
    <t>[Delivery of Company13]</t>
  </si>
  <si>
    <t>[Equipment / Process of Company13]</t>
  </si>
  <si>
    <t>[Contact Details of Company13]</t>
  </si>
  <si>
    <t>[Credit App? of Company13]</t>
  </si>
  <si>
    <t>Company61</t>
  </si>
  <si>
    <t>[Address of Company61]</t>
  </si>
  <si>
    <t>[Contact Person Last of Company61]</t>
  </si>
  <si>
    <t>[Contact Person First of Company61]</t>
  </si>
  <si>
    <t>[Direct Number of Company61]</t>
  </si>
  <si>
    <t>[Cell Number of Company61]</t>
  </si>
  <si>
    <t>[Email Address of Company61]</t>
  </si>
  <si>
    <t>[Delivery of Company61]</t>
  </si>
  <si>
    <t>[Equipment / Process of Company61]</t>
  </si>
  <si>
    <t>[Contact Details of Company61]</t>
  </si>
  <si>
    <t>[Credit App? of Company61]</t>
  </si>
  <si>
    <t>Company35</t>
  </si>
  <si>
    <t>[Address of Company35]</t>
  </si>
  <si>
    <t>[Contact Person Last of Company35]</t>
  </si>
  <si>
    <t>[Contact Person First of Company35]</t>
  </si>
  <si>
    <t>[Direct Number of Company35]</t>
  </si>
  <si>
    <t>[Cell Number of Company35]</t>
  </si>
  <si>
    <t>[Email Address of Company35]</t>
  </si>
  <si>
    <t>[Delivery of Company35]</t>
  </si>
  <si>
    <t>[Equipment / Process of Company35]</t>
  </si>
  <si>
    <t>[Contact Details of Company35]</t>
  </si>
  <si>
    <t>[Credit App? of Company35]</t>
  </si>
  <si>
    <t>Company98</t>
  </si>
  <si>
    <t>[Address of Company98]</t>
  </si>
  <si>
    <t>[Contact Person Last of Company98]</t>
  </si>
  <si>
    <t>[Contact Person First of Company98]</t>
  </si>
  <si>
    <t>[Direct Number of Company98]</t>
  </si>
  <si>
    <t>[Cell Number of Company98]</t>
  </si>
  <si>
    <t>[Email Address of Company98]</t>
  </si>
  <si>
    <t>[Delivery of Company98]</t>
  </si>
  <si>
    <t>[Equipment / Process of Company98]</t>
  </si>
  <si>
    <t>[Contact Details of Company98]</t>
  </si>
  <si>
    <t>[Credit App? of Company98]</t>
  </si>
  <si>
    <t>Company62</t>
  </si>
  <si>
    <t>[Address of Company62]</t>
  </si>
  <si>
    <t>[Contact Person Last of Company62]</t>
  </si>
  <si>
    <t>[Contact Person First of Company62]</t>
  </si>
  <si>
    <t>[Direct Number of Company62]</t>
  </si>
  <si>
    <t>[Cell Number of Company62]</t>
  </si>
  <si>
    <t>[Email Address of Company62]</t>
  </si>
  <si>
    <t>[Delivery of Company62]</t>
  </si>
  <si>
    <t>[Equipment / Process of Company62]</t>
  </si>
  <si>
    <t>[Contact Details of Company62]</t>
  </si>
  <si>
    <t>[Credit App? of Company62]</t>
  </si>
  <si>
    <t>Company44</t>
  </si>
  <si>
    <t>[Address of Company44]</t>
  </si>
  <si>
    <t>[Contact Person Last of Company44]</t>
  </si>
  <si>
    <t>[Contact Person First of Company44]</t>
  </si>
  <si>
    <t>[Direct Number of Company44]</t>
  </si>
  <si>
    <t>[Cell Number of Company44]</t>
  </si>
  <si>
    <t>[Email Address of Company44]</t>
  </si>
  <si>
    <t>[Delivery of Company44]</t>
  </si>
  <si>
    <t>[Equipment / Process of Company44]</t>
  </si>
  <si>
    <t>[Contact Details of Company44]</t>
  </si>
  <si>
    <t>[Credit App? of Company44]</t>
  </si>
  <si>
    <t>Company68</t>
  </si>
  <si>
    <t>[Address of Company68]</t>
  </si>
  <si>
    <t>[Contact Person Last of Company68]</t>
  </si>
  <si>
    <t>[Contact Person First of Company68]</t>
  </si>
  <si>
    <t>[Direct Number of Company68]</t>
  </si>
  <si>
    <t>[Cell Number of Company68]</t>
  </si>
  <si>
    <t>[Email Address of Company68]</t>
  </si>
  <si>
    <t>[Delivery of Company68]</t>
  </si>
  <si>
    <t>[Equipment / Process of Company68]</t>
  </si>
  <si>
    <t>[Contact Details of Company68]</t>
  </si>
  <si>
    <t>[Credit App? of Company68]</t>
  </si>
  <si>
    <t>Company83</t>
  </si>
  <si>
    <t>[Address of Company83]</t>
  </si>
  <si>
    <t>[Contact Person Last of Company83]</t>
  </si>
  <si>
    <t>[Contact Person First of Company83]</t>
  </si>
  <si>
    <t>[Direct Number of Company83]</t>
  </si>
  <si>
    <t>[Cell Number of Company83]</t>
  </si>
  <si>
    <t>[Email Address of Company83]</t>
  </si>
  <si>
    <t>[Delivery of Company83]</t>
  </si>
  <si>
    <t>[Equipment / Process of Company83]</t>
  </si>
  <si>
    <t>[Contact Details of Company83]</t>
  </si>
  <si>
    <t>[Credit App? of Company83]</t>
  </si>
  <si>
    <t>Company40</t>
  </si>
  <si>
    <t>[Address of Company40]</t>
  </si>
  <si>
    <t>[Contact Person Last of Company40]</t>
  </si>
  <si>
    <t>[Contact Person First of Company40]</t>
  </si>
  <si>
    <t>[Direct Number of Company40]</t>
  </si>
  <si>
    <t>[Cell Number of Company40]</t>
  </si>
  <si>
    <t>[Email Address of Company40]</t>
  </si>
  <si>
    <t>[Delivery of Company40]</t>
  </si>
  <si>
    <t>[Equipment / Process of Company40]</t>
  </si>
  <si>
    <t>[Contact Details of Company40]</t>
  </si>
  <si>
    <t>[Credit App? of Company40]</t>
  </si>
  <si>
    <t>Company71</t>
  </si>
  <si>
    <t>[Address of Company71]</t>
  </si>
  <si>
    <t>[Contact Person Last of Company71]</t>
  </si>
  <si>
    <t>[Contact Person First of Company71]</t>
  </si>
  <si>
    <t>[Direct Number of Company71]</t>
  </si>
  <si>
    <t>[Cell Number of Company71]</t>
  </si>
  <si>
    <t>[Email Address of Company71]</t>
  </si>
  <si>
    <t>[Delivery of Company71]</t>
  </si>
  <si>
    <t>[Equipment / Process of Company71]</t>
  </si>
  <si>
    <t>[Contact Details of Company71]</t>
  </si>
  <si>
    <t>[Credit App? of Company71]</t>
  </si>
  <si>
    <t>Company32</t>
  </si>
  <si>
    <t>[Address of Company32]</t>
  </si>
  <si>
    <t>[Contact Person Last of Company32]</t>
  </si>
  <si>
    <t>[Contact Person First of Company32]</t>
  </si>
  <si>
    <t>[Direct Number of Company32]</t>
  </si>
  <si>
    <t>[Cell Number of Company32]</t>
  </si>
  <si>
    <t>[Email Address of Company32]</t>
  </si>
  <si>
    <t>[Delivery of Company32]</t>
  </si>
  <si>
    <t>[Equipment / Process of Company32]</t>
  </si>
  <si>
    <t>[Contact Details of Company32]</t>
  </si>
  <si>
    <t>[Credit App? of Company32]</t>
  </si>
  <si>
    <t>Company127</t>
  </si>
  <si>
    <t>[Address of Company127]</t>
  </si>
  <si>
    <t>[Contact Person Last of Company127]</t>
  </si>
  <si>
    <t>[Contact Person First of Company127]</t>
  </si>
  <si>
    <t>[Direct Number of Company127]</t>
  </si>
  <si>
    <t>[Cell Number of Company127]</t>
  </si>
  <si>
    <t>[Email Address of Company127]</t>
  </si>
  <si>
    <t>[Delivery of Company127]</t>
  </si>
  <si>
    <t>[Equipment / Process of Company127]</t>
  </si>
  <si>
    <t>[Contact Details of Company127]</t>
  </si>
  <si>
    <t>[Credit App? of Company127]</t>
  </si>
  <si>
    <t>Company33</t>
  </si>
  <si>
    <t>[Address of Company33]</t>
  </si>
  <si>
    <t>[Contact Person Last of Company33]</t>
  </si>
  <si>
    <t>[Contact Person First of Company33]</t>
  </si>
  <si>
    <t>[Direct Number of Company33]</t>
  </si>
  <si>
    <t>[Cell Number of Company33]</t>
  </si>
  <si>
    <t>[Email Address of Company33]</t>
  </si>
  <si>
    <t>[Delivery of Company33]</t>
  </si>
  <si>
    <t>[Equipment / Process of Company33]</t>
  </si>
  <si>
    <t>[Contact Details of Company33]</t>
  </si>
  <si>
    <t>[Credit App? of Company33]</t>
  </si>
  <si>
    <t>Company22</t>
  </si>
  <si>
    <t>[Address of Company22]</t>
  </si>
  <si>
    <t>[Contact Person Last of Company22]</t>
  </si>
  <si>
    <t>[Contact Person First of Company22]</t>
  </si>
  <si>
    <t>[Direct Number of Company22]</t>
  </si>
  <si>
    <t>[Cell Number of Company22]</t>
  </si>
  <si>
    <t>[Email Address of Company22]</t>
  </si>
  <si>
    <t>[Delivery of Company22]</t>
  </si>
  <si>
    <t>[Equipment / Process of Company22]</t>
  </si>
  <si>
    <t>[Contact Details of Company22]</t>
  </si>
  <si>
    <t>[Credit App? of Company22]</t>
  </si>
  <si>
    <t>Company23</t>
  </si>
  <si>
    <t>[Address of Company23]</t>
  </si>
  <si>
    <t>[Contact Person Last of Company23]</t>
  </si>
  <si>
    <t>[Contact Person First of Company23]</t>
  </si>
  <si>
    <t>[Direct Number of Company23]</t>
  </si>
  <si>
    <t>[Cell Number of Company23]</t>
  </si>
  <si>
    <t>[Email Address of Company23]</t>
  </si>
  <si>
    <t>[Delivery of Company23]</t>
  </si>
  <si>
    <t>[Equipment / Process of Company23]</t>
  </si>
  <si>
    <t>[Contact Details of Company23]</t>
  </si>
  <si>
    <t>[Credit App? of Company23]</t>
  </si>
  <si>
    <t>Company47</t>
  </si>
  <si>
    <t>[Address of Company47]</t>
  </si>
  <si>
    <t>[Contact Person Last of Company47]</t>
  </si>
  <si>
    <t>[Contact Person First of Company47]</t>
  </si>
  <si>
    <t>[Direct Number of Company47]</t>
  </si>
  <si>
    <t>[Cell Number of Company47]</t>
  </si>
  <si>
    <t>[Email Address of Company47]</t>
  </si>
  <si>
    <t>[Delivery of Company47]</t>
  </si>
  <si>
    <t>[Equipment / Process of Company47]</t>
  </si>
  <si>
    <t>[Contact Details of Company47]</t>
  </si>
  <si>
    <t>[Credit App? of Company47]</t>
  </si>
  <si>
    <t>Company108</t>
  </si>
  <si>
    <t>[Address of Company108]</t>
  </si>
  <si>
    <t>[Contact Person Last of Company108]</t>
  </si>
  <si>
    <t>[Contact Person First of Company108]</t>
  </si>
  <si>
    <t>[Direct Number of Company108]</t>
  </si>
  <si>
    <t>[Cell Number of Company108]</t>
  </si>
  <si>
    <t>[Email Address of Company108]</t>
  </si>
  <si>
    <t>[Delivery of Company108]</t>
  </si>
  <si>
    <t>[Equipment / Process of Company108]</t>
  </si>
  <si>
    <t>[Contact Details of Company108]</t>
  </si>
  <si>
    <t>[Credit App? of Company108]</t>
  </si>
  <si>
    <t>Company34</t>
  </si>
  <si>
    <t>[Address of Company34]</t>
  </si>
  <si>
    <t>[Contact Person Last of Company34]</t>
  </si>
  <si>
    <t>[Contact Person First of Company34]</t>
  </si>
  <si>
    <t>[Direct Number of Company34]</t>
  </si>
  <si>
    <t>[Cell Number of Company34]</t>
  </si>
  <si>
    <t>[Email Address of Company34]</t>
  </si>
  <si>
    <t>[Delivery of Company34]</t>
  </si>
  <si>
    <t>[Equipment / Process of Company34]</t>
  </si>
  <si>
    <t>[Contact Details of Company34]</t>
  </si>
  <si>
    <t>[Credit App? of Company34]</t>
  </si>
  <si>
    <t>Company25</t>
  </si>
  <si>
    <t>[Address of Company25]</t>
  </si>
  <si>
    <t>[Contact Person Last of Company25]</t>
  </si>
  <si>
    <t>[Contact Person First of Company25]</t>
  </si>
  <si>
    <t>[Direct Number of Company25]</t>
  </si>
  <si>
    <t>[Cell Number of Company25]</t>
  </si>
  <si>
    <t>[Email Address of Company25]</t>
  </si>
  <si>
    <t>[Delivery of Company25]</t>
  </si>
  <si>
    <t>[Equipment / Process of Company25]</t>
  </si>
  <si>
    <t>[Contact Details of Company25]</t>
  </si>
  <si>
    <t>[Credit App? of Company25]</t>
  </si>
  <si>
    <t>Company111</t>
  </si>
  <si>
    <t>[Address of Company111]</t>
  </si>
  <si>
    <t>[Contact Person Last of Company111]</t>
  </si>
  <si>
    <t>[Contact Person First of Company111]</t>
  </si>
  <si>
    <t>[Direct Number of Company111]</t>
  </si>
  <si>
    <t>[Cell Number of Company111]</t>
  </si>
  <si>
    <t>[Email Address of Company111]</t>
  </si>
  <si>
    <t>[Delivery of Company111]</t>
  </si>
  <si>
    <t>[Equipment / Process of Company111]</t>
  </si>
  <si>
    <t>[Contact Details of Company111]</t>
  </si>
  <si>
    <t>[Credit App? of Company111]</t>
  </si>
  <si>
    <t>Company107</t>
  </si>
  <si>
    <t>[Address of Company107]</t>
  </si>
  <si>
    <t>[Contact Person Last of Company107]</t>
  </si>
  <si>
    <t>[Contact Person First of Company107]</t>
  </si>
  <si>
    <t>[Direct Number of Company107]</t>
  </si>
  <si>
    <t>[Cell Number of Company107]</t>
  </si>
  <si>
    <t>[Email Address of Company107]</t>
  </si>
  <si>
    <t>[Delivery of Company107]</t>
  </si>
  <si>
    <t>[Equipment / Process of Company107]</t>
  </si>
  <si>
    <t>[Contact Details of Company107]</t>
  </si>
  <si>
    <t>[Credit App? of Company107]</t>
  </si>
  <si>
    <t>Company104</t>
  </si>
  <si>
    <t>[Address of Company104]</t>
  </si>
  <si>
    <t>[Contact Person Last of Company104]</t>
  </si>
  <si>
    <t>[Contact Person First of Company104]</t>
  </si>
  <si>
    <t>[Direct Number of Company104]</t>
  </si>
  <si>
    <t>[Cell Number of Company104]</t>
  </si>
  <si>
    <t>[Email Address of Company104]</t>
  </si>
  <si>
    <t>[Delivery of Company104]</t>
  </si>
  <si>
    <t>[Equipment / Process of Company104]</t>
  </si>
  <si>
    <t>[Contact Details of Company104]</t>
  </si>
  <si>
    <t>[Credit App? of Company104]</t>
  </si>
  <si>
    <t>Company26</t>
  </si>
  <si>
    <t>[Address of Company26]</t>
  </si>
  <si>
    <t>[Contact Person Last of Company26]</t>
  </si>
  <si>
    <t>[Contact Person First of Company26]</t>
  </si>
  <si>
    <t>[Direct Number of Company26]</t>
  </si>
  <si>
    <t>[Cell Number of Company26]</t>
  </si>
  <si>
    <t>[Email Address of Company26]</t>
  </si>
  <si>
    <t>[Delivery of Company26]</t>
  </si>
  <si>
    <t>[Equipment / Process of Company26]</t>
  </si>
  <si>
    <t>[Contact Details of Company26]</t>
  </si>
  <si>
    <t>[Credit App? of Company26]</t>
  </si>
  <si>
    <t>Company126</t>
  </si>
  <si>
    <t>[Address of Company126]</t>
  </si>
  <si>
    <t>[Contact Person Last of Company126]</t>
  </si>
  <si>
    <t>[Contact Person First of Company126]</t>
  </si>
  <si>
    <t>[Direct Number of Company126]</t>
  </si>
  <si>
    <t>[Cell Number of Company126]</t>
  </si>
  <si>
    <t>[Email Address of Company126]</t>
  </si>
  <si>
    <t>[Delivery of Company126]</t>
  </si>
  <si>
    <t>[Equipment / Process of Company126]</t>
  </si>
  <si>
    <t>[Contact Details of Company126]</t>
  </si>
  <si>
    <t>[Credit App? of Company126]</t>
  </si>
  <si>
    <t>Company41</t>
  </si>
  <si>
    <t>[Address of Company41]</t>
  </si>
  <si>
    <t>[Contact Person Last of Company41]</t>
  </si>
  <si>
    <t>[Contact Person First of Company41]</t>
  </si>
  <si>
    <t>[Direct Number of Company41]</t>
  </si>
  <si>
    <t>[Cell Number of Company41]</t>
  </si>
  <si>
    <t>[Email Address of Company41]</t>
  </si>
  <si>
    <t>[Delivery of Company41]</t>
  </si>
  <si>
    <t>[Equipment / Process of Company41]</t>
  </si>
  <si>
    <t>[Contact Details of Company41]</t>
  </si>
  <si>
    <t>[Credit App? of Company41]</t>
  </si>
  <si>
    <t>Company43</t>
  </si>
  <si>
    <t>[Address of Company43]</t>
  </si>
  <si>
    <t>[Contact Person Last of Company43]</t>
  </si>
  <si>
    <t>[Contact Person First of Company43]</t>
  </si>
  <si>
    <t>[Direct Number of Company43]</t>
  </si>
  <si>
    <t>[Cell Number of Company43]</t>
  </si>
  <si>
    <t>[Email Address of Company43]</t>
  </si>
  <si>
    <t>[Delivery of Company43]</t>
  </si>
  <si>
    <t>[Equipment / Process of Company43]</t>
  </si>
  <si>
    <t>[Contact Details of Company43]</t>
  </si>
  <si>
    <t>[Credit App? of Company43]</t>
  </si>
  <si>
    <t>Company58</t>
  </si>
  <si>
    <t>[Address of Company58]</t>
  </si>
  <si>
    <t>[Contact Person Last of Company58]</t>
  </si>
  <si>
    <t>[Contact Person First of Company58]</t>
  </si>
  <si>
    <t>[Direct Number of Company58]</t>
  </si>
  <si>
    <t>[Cell Number of Company58]</t>
  </si>
  <si>
    <t>[Email Address of Company58]</t>
  </si>
  <si>
    <t>[Delivery of Company58]</t>
  </si>
  <si>
    <t>[Equipment / Process of Company58]</t>
  </si>
  <si>
    <t>[Contact Details of Company58]</t>
  </si>
  <si>
    <t>[Credit App? of Company58]</t>
  </si>
  <si>
    <t>Company125</t>
  </si>
  <si>
    <t>[Address of Company125]</t>
  </si>
  <si>
    <t>[Contact Person Last of Company125]</t>
  </si>
  <si>
    <t>[Contact Person First of Company125]</t>
  </si>
  <si>
    <t>[Direct Number of Company125]</t>
  </si>
  <si>
    <t>[Cell Number of Company125]</t>
  </si>
  <si>
    <t>[Email Address of Company125]</t>
  </si>
  <si>
    <t>[Delivery of Company125]</t>
  </si>
  <si>
    <t>[Equipment / Process of Company125]</t>
  </si>
  <si>
    <t>[Contact Details of Company125]</t>
  </si>
  <si>
    <t>[Credit App? of Company125]</t>
  </si>
  <si>
    <t>Location6</t>
  </si>
  <si>
    <t>Wood</t>
  </si>
  <si>
    <t>Plastic - HDPE Bottles</t>
  </si>
  <si>
    <t>Location3</t>
  </si>
  <si>
    <t>Electronics</t>
  </si>
  <si>
    <t>Plastic - Unmarked</t>
  </si>
  <si>
    <t>Plastic - Pallets</t>
  </si>
  <si>
    <t>Plastic</t>
  </si>
  <si>
    <t>Plastic - Totes</t>
  </si>
  <si>
    <t>Styrofoam</t>
  </si>
  <si>
    <t>167</t>
  </si>
  <si>
    <t>343</t>
  </si>
  <si>
    <t>1615</t>
  </si>
  <si>
    <t>Miscellaneous</t>
  </si>
  <si>
    <t>340</t>
  </si>
  <si>
    <t>192</t>
  </si>
  <si>
    <t>Refridgerator (Count)</t>
  </si>
  <si>
    <t>Steel - Cabinets</t>
  </si>
  <si>
    <t>Location9</t>
  </si>
  <si>
    <t>387</t>
  </si>
  <si>
    <t>386</t>
  </si>
  <si>
    <t>clear</t>
  </si>
  <si>
    <t>Aluminum</t>
  </si>
  <si>
    <t>TA934601</t>
  </si>
  <si>
    <t>144</t>
  </si>
  <si>
    <t>Location13</t>
  </si>
  <si>
    <t>Steel - Straps</t>
  </si>
  <si>
    <t>Racks</t>
  </si>
  <si>
    <t>dv48502</t>
  </si>
  <si>
    <t>Plastic - Straps</t>
  </si>
  <si>
    <t>wheels</t>
  </si>
  <si>
    <t>342</t>
  </si>
  <si>
    <t>IGEL LIVE LOAD</t>
  </si>
  <si>
    <t>8001</t>
  </si>
  <si>
    <t>8002</t>
  </si>
  <si>
    <t>214</t>
  </si>
  <si>
    <t>TA986863</t>
  </si>
  <si>
    <t>TA936863</t>
  </si>
  <si>
    <t>Fixtures and Display</t>
  </si>
  <si>
    <t>Dolls</t>
  </si>
  <si>
    <t>boxes</t>
  </si>
  <si>
    <t>display signs</t>
  </si>
  <si>
    <t>wood dowels with metal</t>
  </si>
  <si>
    <t>PVC pipe</t>
  </si>
  <si>
    <t>painted</t>
  </si>
  <si>
    <t>DOLLS</t>
  </si>
  <si>
    <t>760</t>
  </si>
  <si>
    <t>binders</t>
  </si>
  <si>
    <t>cloth bags</t>
  </si>
  <si>
    <t>paper back books</t>
  </si>
  <si>
    <t>mol</t>
  </si>
  <si>
    <t>casters</t>
  </si>
  <si>
    <t>kkfu906443-1</t>
  </si>
  <si>
    <t>Clear</t>
  </si>
  <si>
    <t>340vc</t>
  </si>
  <si>
    <t>Aluminum Flashlight</t>
  </si>
  <si>
    <t>klfu107703-5</t>
  </si>
  <si>
    <t>Wrap</t>
  </si>
  <si>
    <t>450271</t>
  </si>
  <si>
    <t>107703</t>
  </si>
  <si>
    <t>klfu190151</t>
  </si>
  <si>
    <t>Aluminum - Cans</t>
  </si>
</sst>
</file>

<file path=xl/styles.xml><?xml version="1.0" encoding="utf-8"?>
<styleSheet xmlns="http://schemas.openxmlformats.org/spreadsheetml/2006/main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@\ \ "/>
    <numFmt numFmtId="166" formatCode="m/d/yy;@"/>
    <numFmt numFmtId="167" formatCode="mmmm\ yyyy"/>
  </numFmts>
  <fonts count="27">
    <font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28"/>
      <color rgb="FF339966"/>
      <name val="Arial Black"/>
      <family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6100"/>
      <name val="Calibri"/>
      <family val="2"/>
      <scheme val="minor"/>
    </font>
    <font>
      <sz val="12"/>
      <color rgb="FF006100"/>
      <name val="Calibri"/>
      <family val="2"/>
      <scheme val="minor"/>
    </font>
    <font>
      <sz val="9"/>
      <color rgb="FF006100"/>
      <name val="Calibri"/>
      <family val="2"/>
      <scheme val="minor"/>
    </font>
    <font>
      <sz val="10"/>
      <color theme="1"/>
      <name val="Arial"/>
      <family val="2"/>
    </font>
    <font>
      <sz val="36"/>
      <color theme="1"/>
      <name val="Calibri"/>
      <family val="2"/>
      <scheme val="minor"/>
    </font>
    <font>
      <sz val="10"/>
      <color rgb="FF00B050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/>
    <xf numFmtId="14" fontId="0" fillId="0" borderId="0" xfId="0" applyNumberFormat="1"/>
    <xf numFmtId="0" fontId="0" fillId="0" borderId="0" xfId="0" applyNumberFormat="1"/>
    <xf numFmtId="44" fontId="0" fillId="0" borderId="0" xfId="1" applyFont="1"/>
    <xf numFmtId="0" fontId="0" fillId="0" borderId="0" xfId="0" applyAlignment="1">
      <alignment horizontal="center" vertical="center" wrapText="1"/>
    </xf>
    <xf numFmtId="44" fontId="8" fillId="0" borderId="0" xfId="1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0" fillId="0" borderId="0" xfId="0" applyFont="1" applyAlignment="1">
      <alignment horizontal="center" vertical="center" wrapText="1"/>
    </xf>
    <xf numFmtId="0" fontId="7" fillId="3" borderId="3" xfId="0" applyFont="1" applyFill="1" applyBorder="1" applyAlignment="1">
      <alignment horizontal="center"/>
    </xf>
    <xf numFmtId="0" fontId="9" fillId="4" borderId="3" xfId="0" applyNumberFormat="1" applyFont="1" applyFill="1" applyBorder="1" applyAlignment="1">
      <alignment horizontal="center"/>
    </xf>
    <xf numFmtId="0" fontId="15" fillId="3" borderId="3" xfId="0" applyFont="1" applyFill="1" applyBorder="1" applyAlignment="1">
      <alignment horizontal="left"/>
    </xf>
    <xf numFmtId="44" fontId="13" fillId="0" borderId="0" xfId="1" applyFont="1"/>
    <xf numFmtId="0" fontId="16" fillId="0" borderId="0" xfId="0" applyFont="1" applyAlignment="1">
      <alignment horizontal="left"/>
    </xf>
    <xf numFmtId="0" fontId="17" fillId="0" borderId="0" xfId="0" pivotButton="1" applyFont="1" applyAlignment="1">
      <alignment horizontal="center"/>
    </xf>
    <xf numFmtId="0" fontId="4" fillId="2" borderId="3" xfId="0" applyFont="1" applyFill="1" applyBorder="1" applyAlignment="1">
      <alignment horizontal="center" vertical="center"/>
    </xf>
    <xf numFmtId="43" fontId="18" fillId="5" borderId="5" xfId="0" applyNumberFormat="1" applyFont="1" applyFill="1" applyBorder="1" applyAlignment="1">
      <alignment horizontal="left" vertical="center"/>
    </xf>
    <xf numFmtId="44" fontId="4" fillId="5" borderId="3" xfId="1" applyFont="1" applyFill="1" applyBorder="1" applyAlignment="1">
      <alignment horizontal="right" vertical="center"/>
    </xf>
    <xf numFmtId="0" fontId="0" fillId="0" borderId="0" xfId="0" pivotButton="1" applyAlignment="1">
      <alignment horizontal="center"/>
    </xf>
    <xf numFmtId="0" fontId="0" fillId="0" borderId="1" xfId="0" applyBorder="1"/>
    <xf numFmtId="0" fontId="0" fillId="0" borderId="12" xfId="0" applyBorder="1"/>
    <xf numFmtId="44" fontId="0" fillId="0" borderId="0" xfId="0" applyNumberFormat="1"/>
    <xf numFmtId="0" fontId="1" fillId="3" borderId="0" xfId="0" applyFont="1" applyFill="1"/>
    <xf numFmtId="0" fontId="0" fillId="3" borderId="0" xfId="0" applyFill="1"/>
    <xf numFmtId="0" fontId="11" fillId="3" borderId="0" xfId="0" applyFont="1" applyFill="1" applyAlignment="1">
      <alignment horizontal="left"/>
    </xf>
    <xf numFmtId="0" fontId="11" fillId="3" borderId="0" xfId="0" applyFont="1" applyFill="1" applyAlignment="1">
      <alignment horizontal="right"/>
    </xf>
    <xf numFmtId="0" fontId="2" fillId="3" borderId="0" xfId="0" applyFont="1" applyFill="1"/>
    <xf numFmtId="0" fontId="0" fillId="3" borderId="0" xfId="0" applyFill="1" applyProtection="1"/>
    <xf numFmtId="0" fontId="3" fillId="3" borderId="0" xfId="0" applyFont="1" applyFill="1" applyAlignment="1" applyProtection="1">
      <alignment horizontal="left"/>
    </xf>
    <xf numFmtId="0" fontId="3" fillId="3" borderId="3" xfId="0" applyNumberFormat="1" applyFont="1" applyFill="1" applyBorder="1" applyAlignment="1" applyProtection="1">
      <alignment horizontal="center"/>
    </xf>
    <xf numFmtId="0" fontId="4" fillId="3" borderId="0" xfId="0" applyFont="1" applyFill="1" applyAlignment="1" applyProtection="1"/>
    <xf numFmtId="0" fontId="3" fillId="3" borderId="0" xfId="0" applyNumberFormat="1" applyFont="1" applyFill="1" applyBorder="1" applyAlignment="1" applyProtection="1">
      <alignment horizontal="center"/>
    </xf>
    <xf numFmtId="0" fontId="4" fillId="3" borderId="0" xfId="0" applyFont="1" applyFill="1"/>
    <xf numFmtId="0" fontId="18" fillId="3" borderId="0" xfId="0" applyFont="1" applyFill="1" applyProtection="1"/>
    <xf numFmtId="0" fontId="4" fillId="3" borderId="0" xfId="0" applyFont="1" applyFill="1" applyProtection="1"/>
    <xf numFmtId="14" fontId="4" fillId="3" borderId="0" xfId="0" applyNumberFormat="1" applyFont="1" applyFill="1" applyProtection="1"/>
    <xf numFmtId="0" fontId="18" fillId="3" borderId="0" xfId="0" applyFont="1" applyFill="1" applyAlignment="1" applyProtection="1">
      <alignment horizontal="left"/>
    </xf>
    <xf numFmtId="0" fontId="18" fillId="3" borderId="0" xfId="0" applyFont="1" applyFill="1"/>
    <xf numFmtId="0" fontId="5" fillId="3" borderId="0" xfId="0" applyFont="1" applyFill="1" applyProtection="1"/>
    <xf numFmtId="0" fontId="4" fillId="3" borderId="0" xfId="0" applyFont="1" applyFill="1" applyAlignment="1"/>
    <xf numFmtId="166" fontId="18" fillId="3" borderId="0" xfId="0" applyNumberFormat="1" applyFont="1" applyFill="1" applyAlignment="1" applyProtection="1">
      <alignment horizontal="left"/>
    </xf>
    <xf numFmtId="14" fontId="18" fillId="3" borderId="0" xfId="0" applyNumberFormat="1" applyFont="1" applyFill="1" applyProtection="1"/>
    <xf numFmtId="0" fontId="10" fillId="3" borderId="0" xfId="0" applyFont="1" applyFill="1"/>
    <xf numFmtId="0" fontId="5" fillId="3" borderId="0" xfId="0" applyNumberFormat="1" applyFont="1" applyFill="1" applyProtection="1"/>
    <xf numFmtId="0" fontId="4" fillId="3" borderId="0" xfId="0" applyFont="1" applyFill="1" applyAlignment="1">
      <alignment vertical="top"/>
    </xf>
    <xf numFmtId="0" fontId="18" fillId="3" borderId="0" xfId="0" applyFont="1" applyFill="1" applyAlignment="1">
      <alignment vertical="center"/>
    </xf>
    <xf numFmtId="0" fontId="18" fillId="3" borderId="0" xfId="0" applyFont="1" applyFill="1" applyBorder="1" applyAlignment="1">
      <alignment horizontal="left" vertical="center"/>
    </xf>
    <xf numFmtId="165" fontId="5" fillId="3" borderId="0" xfId="0" applyNumberFormat="1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165" fontId="18" fillId="3" borderId="0" xfId="0" applyNumberFormat="1" applyFont="1" applyFill="1" applyBorder="1" applyAlignment="1">
      <alignment horizontal="right" vertical="center"/>
    </xf>
    <xf numFmtId="164" fontId="18" fillId="3" borderId="5" xfId="0" applyNumberFormat="1" applyFont="1" applyFill="1" applyBorder="1" applyAlignment="1">
      <alignment horizontal="right" vertical="center"/>
    </xf>
    <xf numFmtId="0" fontId="18" fillId="3" borderId="10" xfId="0" applyFont="1" applyFill="1" applyBorder="1" applyAlignment="1">
      <alignment horizontal="left" vertical="center"/>
    </xf>
    <xf numFmtId="0" fontId="18" fillId="3" borderId="10" xfId="0" applyFont="1" applyFill="1" applyBorder="1" applyAlignment="1">
      <alignment vertical="center"/>
    </xf>
    <xf numFmtId="43" fontId="18" fillId="3" borderId="6" xfId="0" applyNumberFormat="1" applyFont="1" applyFill="1" applyBorder="1" applyAlignment="1">
      <alignment horizontal="left" vertical="center"/>
    </xf>
    <xf numFmtId="165" fontId="4" fillId="3" borderId="0" xfId="0" applyNumberFormat="1" applyFont="1" applyFill="1" applyAlignment="1">
      <alignment horizontal="right" vertical="center"/>
    </xf>
    <xf numFmtId="44" fontId="10" fillId="3" borderId="0" xfId="0" applyNumberFormat="1" applyFont="1" applyFill="1" applyBorder="1" applyAlignment="1">
      <alignment horizontal="left" vertical="center"/>
    </xf>
    <xf numFmtId="0" fontId="5" fillId="3" borderId="0" xfId="0" applyFont="1" applyFill="1"/>
    <xf numFmtId="0" fontId="18" fillId="3" borderId="0" xfId="0" applyFont="1" applyFill="1" applyAlignment="1"/>
    <xf numFmtId="0" fontId="4" fillId="2" borderId="7" xfId="0" applyFont="1" applyFill="1" applyBorder="1" applyAlignment="1">
      <alignment horizontal="center" vertical="center"/>
    </xf>
    <xf numFmtId="0" fontId="20" fillId="3" borderId="0" xfId="0" applyFont="1" applyFill="1"/>
    <xf numFmtId="44" fontId="4" fillId="5" borderId="1" xfId="0" applyNumberFormat="1" applyFont="1" applyFill="1" applyBorder="1" applyAlignment="1">
      <alignment horizontal="left" vertical="center"/>
    </xf>
    <xf numFmtId="44" fontId="4" fillId="5" borderId="5" xfId="0" applyNumberFormat="1" applyFont="1" applyFill="1" applyBorder="1" applyAlignment="1">
      <alignment horizontal="right" vertical="center"/>
    </xf>
    <xf numFmtId="0" fontId="0" fillId="0" borderId="14" xfId="0" applyBorder="1"/>
    <xf numFmtId="0" fontId="0" fillId="0" borderId="15" xfId="0" applyBorder="1"/>
    <xf numFmtId="0" fontId="0" fillId="3" borderId="0" xfId="0" applyFill="1" applyAlignment="1">
      <alignment horizontal="left"/>
    </xf>
    <xf numFmtId="0" fontId="4" fillId="2" borderId="4" xfId="0" applyFont="1" applyFill="1" applyBorder="1" applyAlignment="1">
      <alignment horizontal="center" vertical="center"/>
    </xf>
    <xf numFmtId="3" fontId="18" fillId="3" borderId="3" xfId="0" applyNumberFormat="1" applyFont="1" applyFill="1" applyBorder="1" applyAlignment="1">
      <alignment vertical="center"/>
    </xf>
    <xf numFmtId="0" fontId="0" fillId="0" borderId="0" xfId="0" applyAlignment="1">
      <alignment horizontal="left" indent="2"/>
    </xf>
    <xf numFmtId="3" fontId="0" fillId="0" borderId="0" xfId="0" applyNumberFormat="1"/>
    <xf numFmtId="0" fontId="23" fillId="3" borderId="3" xfId="0" applyFont="1" applyFill="1" applyBorder="1" applyAlignment="1">
      <alignment horizontal="left"/>
    </xf>
    <xf numFmtId="14" fontId="0" fillId="0" borderId="0" xfId="0" applyNumberFormat="1" applyAlignment="1">
      <alignment horizontal="left" indent="1"/>
    </xf>
    <xf numFmtId="0" fontId="12" fillId="0" borderId="0" xfId="0" applyFont="1" applyBorder="1" applyAlignment="1">
      <alignment wrapText="1"/>
    </xf>
    <xf numFmtId="0" fontId="12" fillId="0" borderId="1" xfId="0" applyFont="1" applyBorder="1" applyAlignment="1">
      <alignment horizontal="center" wrapText="1"/>
    </xf>
    <xf numFmtId="0" fontId="22" fillId="3" borderId="3" xfId="0" applyFont="1" applyFill="1" applyBorder="1" applyAlignment="1">
      <alignment horizontal="center" vertical="center" wrapText="1"/>
    </xf>
    <xf numFmtId="0" fontId="22" fillId="3" borderId="5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left" indent="1"/>
    </xf>
    <xf numFmtId="14" fontId="12" fillId="0" borderId="1" xfId="0" applyNumberFormat="1" applyFont="1" applyBorder="1" applyAlignment="1">
      <alignment horizontal="center" wrapText="1"/>
    </xf>
    <xf numFmtId="14" fontId="0" fillId="0" borderId="0" xfId="1" applyNumberFormat="1" applyFont="1"/>
    <xf numFmtId="0" fontId="13" fillId="6" borderId="12" xfId="0" applyFont="1" applyFill="1" applyBorder="1" applyAlignment="1">
      <alignment horizontal="center"/>
    </xf>
    <xf numFmtId="0" fontId="24" fillId="7" borderId="16" xfId="0" applyFont="1" applyFill="1" applyBorder="1"/>
    <xf numFmtId="14" fontId="24" fillId="7" borderId="16" xfId="0" applyNumberFormat="1" applyFont="1" applyFill="1" applyBorder="1"/>
    <xf numFmtId="0" fontId="24" fillId="7" borderId="16" xfId="0" applyNumberFormat="1" applyFont="1" applyFill="1" applyBorder="1"/>
    <xf numFmtId="49" fontId="24" fillId="7" borderId="16" xfId="0" applyNumberFormat="1" applyFont="1" applyFill="1" applyBorder="1"/>
    <xf numFmtId="49" fontId="0" fillId="0" borderId="0" xfId="0" applyNumberFormat="1"/>
    <xf numFmtId="0" fontId="13" fillId="6" borderId="1" xfId="0" applyFont="1" applyFill="1" applyBorder="1" applyAlignment="1"/>
    <xf numFmtId="0" fontId="24" fillId="7" borderId="18" xfId="0" applyFont="1" applyFill="1" applyBorder="1"/>
    <xf numFmtId="14" fontId="0" fillId="0" borderId="0" xfId="0" applyNumberFormat="1" applyBorder="1"/>
    <xf numFmtId="0" fontId="24" fillId="7" borderId="18" xfId="0" applyNumberFormat="1" applyFont="1" applyFill="1" applyBorder="1"/>
    <xf numFmtId="44" fontId="24" fillId="7" borderId="18" xfId="1" applyFont="1" applyFill="1" applyBorder="1"/>
    <xf numFmtId="44" fontId="24" fillId="7" borderId="17" xfId="1" applyFont="1" applyFill="1" applyBorder="1"/>
    <xf numFmtId="0" fontId="0" fillId="0" borderId="0" xfId="0" applyAlignment="1">
      <alignment horizontal="left" indent="1"/>
    </xf>
    <xf numFmtId="14" fontId="0" fillId="0" borderId="19" xfId="0" applyNumberFormat="1" applyBorder="1"/>
    <xf numFmtId="14" fontId="0" fillId="0" borderId="20" xfId="0" applyNumberFormat="1" applyBorder="1"/>
    <xf numFmtId="14" fontId="0" fillId="0" borderId="21" xfId="0" applyNumberFormat="1" applyBorder="1"/>
    <xf numFmtId="0" fontId="25" fillId="0" borderId="1" xfId="0" pivotButton="1" applyFont="1" applyBorder="1"/>
    <xf numFmtId="14" fontId="13" fillId="6" borderId="23" xfId="0" applyNumberFormat="1" applyFont="1" applyFill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4" fontId="0" fillId="0" borderId="0" xfId="1" applyNumberFormat="1" applyFont="1" applyBorder="1"/>
    <xf numFmtId="0" fontId="0" fillId="0" borderId="0" xfId="0" applyAlignment="1">
      <alignment wrapText="1"/>
    </xf>
    <xf numFmtId="0" fontId="24" fillId="7" borderId="16" xfId="0" applyFont="1" applyFill="1" applyBorder="1" applyAlignment="1">
      <alignment wrapText="1"/>
    </xf>
    <xf numFmtId="0" fontId="24" fillId="7" borderId="17" xfId="0" applyFont="1" applyFill="1" applyBorder="1" applyAlignment="1">
      <alignment wrapText="1"/>
    </xf>
    <xf numFmtId="0" fontId="22" fillId="0" borderId="1" xfId="0" applyFont="1" applyBorder="1" applyAlignment="1">
      <alignment horizontal="left"/>
    </xf>
    <xf numFmtId="0" fontId="19" fillId="0" borderId="0" xfId="0" applyFont="1" applyBorder="1" applyAlignment="1">
      <alignment horizontal="center"/>
    </xf>
    <xf numFmtId="0" fontId="22" fillId="0" borderId="12" xfId="0" applyFont="1" applyBorder="1" applyAlignment="1">
      <alignment horizontal="left"/>
    </xf>
    <xf numFmtId="14" fontId="22" fillId="0" borderId="9" xfId="0" applyNumberFormat="1" applyFont="1" applyBorder="1" applyAlignment="1">
      <alignment horizontal="left"/>
    </xf>
    <xf numFmtId="0" fontId="0" fillId="0" borderId="25" xfId="0" applyBorder="1"/>
    <xf numFmtId="14" fontId="0" fillId="0" borderId="22" xfId="0" applyNumberFormat="1" applyBorder="1" applyAlignment="1">
      <alignment horizontal="center"/>
    </xf>
    <xf numFmtId="0" fontId="4" fillId="3" borderId="0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22" fillId="0" borderId="12" xfId="0" applyFont="1" applyBorder="1" applyAlignment="1">
      <alignment horizontal="left"/>
    </xf>
    <xf numFmtId="0" fontId="22" fillId="0" borderId="9" xfId="0" applyFont="1" applyBorder="1" applyAlignment="1">
      <alignment horizontal="left"/>
    </xf>
    <xf numFmtId="0" fontId="12" fillId="0" borderId="12" xfId="0" applyFont="1" applyBorder="1" applyAlignment="1">
      <alignment horizontal="center" wrapText="1"/>
    </xf>
    <xf numFmtId="0" fontId="12" fillId="0" borderId="2" xfId="0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1" fontId="18" fillId="3" borderId="4" xfId="0" applyNumberFormat="1" applyFont="1" applyFill="1" applyBorder="1" applyAlignment="1">
      <alignment horizontal="center" vertical="center"/>
    </xf>
    <xf numFmtId="1" fontId="18" fillId="3" borderId="7" xfId="0" applyNumberFormat="1" applyFont="1" applyFill="1" applyBorder="1" applyAlignment="1">
      <alignment horizontal="center" vertical="center"/>
    </xf>
    <xf numFmtId="1" fontId="18" fillId="3" borderId="13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readingOrder="1"/>
    </xf>
    <xf numFmtId="0" fontId="5" fillId="3" borderId="0" xfId="0" applyFont="1" applyFill="1" applyBorder="1" applyAlignment="1" applyProtection="1">
      <alignment vertical="top" wrapText="1"/>
    </xf>
    <xf numFmtId="0" fontId="5" fillId="3" borderId="10" xfId="0" applyFont="1" applyFill="1" applyBorder="1" applyAlignment="1" applyProtection="1">
      <alignment vertical="top" wrapText="1"/>
    </xf>
    <xf numFmtId="0" fontId="4" fillId="2" borderId="4" xfId="0" applyFont="1" applyFill="1" applyBorder="1" applyAlignment="1">
      <alignment horizontal="center" vertical="center"/>
    </xf>
    <xf numFmtId="0" fontId="0" fillId="0" borderId="7" xfId="0" applyBorder="1"/>
    <xf numFmtId="0" fontId="0" fillId="0" borderId="13" xfId="0" applyBorder="1"/>
    <xf numFmtId="0" fontId="18" fillId="3" borderId="0" xfId="0" applyFont="1" applyFill="1" applyBorder="1" applyAlignment="1">
      <alignment horizontal="left" vertical="center"/>
    </xf>
    <xf numFmtId="0" fontId="18" fillId="3" borderId="0" xfId="0" applyFont="1" applyFill="1" applyBorder="1" applyAlignment="1">
      <alignment vertical="center"/>
    </xf>
    <xf numFmtId="0" fontId="18" fillId="3" borderId="11" xfId="0" applyFont="1" applyFill="1" applyBorder="1" applyAlignment="1">
      <alignment horizontal="left" vertical="center"/>
    </xf>
    <xf numFmtId="0" fontId="18" fillId="3" borderId="8" xfId="0" applyFont="1" applyFill="1" applyBorder="1" applyAlignment="1">
      <alignment vertical="center"/>
    </xf>
  </cellXfs>
  <cellStyles count="2">
    <cellStyle name="Currency" xfId="1" builtinId="4"/>
    <cellStyle name="Normal" xfId="0" builtinId="0"/>
  </cellStyles>
  <dxfs count="79">
    <dxf>
      <fill>
        <patternFill>
          <bgColor theme="0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sz val="9"/>
      </font>
    </dxf>
    <dxf>
      <font>
        <sz val="9"/>
      </font>
    </dxf>
    <dxf>
      <font>
        <sz val="9"/>
      </font>
    </dxf>
    <dxf>
      <font>
        <sz val="12"/>
      </font>
    </dxf>
    <dxf>
      <font>
        <sz val="11"/>
      </font>
    </dxf>
    <dxf>
      <font>
        <color rgb="FF006100"/>
      </font>
    </dxf>
    <dxf>
      <font>
        <color rgb="FF006100"/>
      </font>
    </dxf>
    <dxf>
      <numFmt numFmtId="3" formatCode="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sz val="9"/>
      </font>
    </dxf>
    <dxf>
      <font>
        <sz val="9"/>
      </font>
    </dxf>
    <dxf>
      <font>
        <sz val="9"/>
      </font>
    </dxf>
    <dxf>
      <font>
        <sz val="12"/>
      </font>
    </dxf>
    <dxf>
      <font>
        <sz val="11"/>
      </font>
    </dxf>
    <dxf>
      <font>
        <color rgb="FF006100"/>
      </font>
    </dxf>
    <dxf>
      <font>
        <color rgb="FF006100"/>
      </font>
    </dxf>
    <dxf>
      <numFmt numFmtId="3" formatCode="#,##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relativeIndent="255" justifyLastLine="0" shrinkToFit="0" mergeCell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34" formatCode="_(&quot;$&quot;* #,##0.00_);_(&quot;$&quot;* \(#,##0.00\);_(&quot;$&quot;* &quot;-&quot;??_);_(@_)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color rgb="FFFF0000"/>
      </font>
    </dxf>
    <dxf>
      <font>
        <color rgb="FF006100"/>
      </font>
    </dxf>
    <dxf>
      <font>
        <color rgb="FF006100"/>
      </font>
    </dxf>
    <dxf>
      <font>
        <sz val="12"/>
      </font>
    </dxf>
    <dxf>
      <font>
        <sz val="9"/>
      </font>
    </dxf>
    <dxf>
      <font>
        <sz val="9"/>
      </font>
    </dxf>
    <dxf>
      <font>
        <sz val="9"/>
      </font>
    </dxf>
    <dxf>
      <numFmt numFmtId="3" formatCode="#,##0"/>
    </dxf>
    <dxf>
      <font>
        <color rgb="FF006100"/>
      </font>
    </dxf>
    <dxf>
      <font>
        <color rgb="FF006100"/>
      </font>
    </dxf>
    <dxf>
      <font>
        <sz val="12"/>
      </font>
    </dxf>
    <dxf>
      <font>
        <sz val="9"/>
      </font>
    </dxf>
    <dxf>
      <font>
        <sz val="9"/>
      </font>
    </dxf>
    <dxf>
      <font>
        <sz val="9"/>
      </font>
    </dxf>
    <dxf>
      <numFmt numFmtId="3" formatCode="#,##0"/>
    </dxf>
    <dxf>
      <font>
        <color rgb="FF006100"/>
      </font>
    </dxf>
    <dxf>
      <font>
        <color rgb="FF006100"/>
      </font>
    </dxf>
    <dxf>
      <font>
        <sz val="11"/>
      </font>
    </dxf>
    <dxf>
      <font>
        <sz val="12"/>
      </font>
    </dxf>
    <dxf>
      <font>
        <sz val="9"/>
      </font>
    </dxf>
    <dxf>
      <font>
        <sz val="9"/>
      </font>
    </dxf>
    <dxf>
      <font>
        <sz val="9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border>
        <right style="medium">
          <color indexed="64"/>
        </right>
        <bottom style="medium">
          <color indexed="64"/>
        </bottom>
      </border>
    </dxf>
    <dxf>
      <border>
        <top style="medium">
          <color indexed="64"/>
        </top>
      </border>
    </dxf>
    <dxf>
      <font>
        <sz val="18"/>
      </font>
    </dxf>
    <dxf>
      <border>
        <left style="medium">
          <color indexed="64"/>
        </left>
        <bottom style="medium">
          <color indexed="64"/>
        </bottom>
      </border>
    </dxf>
    <dxf>
      <font>
        <sz val="14"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  <i val="0"/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</dxfs>
  <tableStyles count="1" defaultTableStyle="TableStyleMedium9" defaultPivotStyle="PivotStyleLight16">
    <tableStyle name="OEW Custom" table="0" count="5">
      <tableStyleElement type="wholeTable" dxfId="78"/>
      <tableStyleElement type="headerRow" dxfId="77"/>
      <tableStyleElement type="totalRow" dxfId="76"/>
      <tableStyleElement type="firstColumn" dxfId="75"/>
      <tableStyleElement type="lastColumn" dxfId="74"/>
    </tableStyle>
  </tableStyles>
  <colors>
    <mruColors>
      <color rgb="FF0061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932"/>
  <ax:ocxPr ax:name="_ExtentY" ax:value="4630"/>
  <ax:ocxPr ax:name="_StockProps" ax:value="1"/>
  <ax:ocxPr ax:name="BackColor" ax:value="-2147483633"/>
  <ax:ocxPr ax:name="Year" ax:value="2015"/>
  <ax:ocxPr ax:name="Month" ax:value="11"/>
  <ax:ocxPr ax:name="Day" ax:value="1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932"/>
  <ax:ocxPr ax:name="_ExtentY" ax:value="4657"/>
  <ax:ocxPr ax:name="_StockProps" ax:value="1"/>
  <ax:ocxPr ax:name="BackColor" ax:value="-2147483633"/>
  <ax:ocxPr ax:name="Year" ax:value="2015"/>
  <ax:ocxPr ax:name="Month" ax:value="11"/>
  <ax:ocxPr ax:name="Day" ax:value="30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[Customer Report Generator v2.xlsm]Summary!Summary</c:name>
    <c:fmtId val="2"/>
  </c:pivotSource>
  <c:chart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1"/>
        <c:spPr>
          <a:noFill/>
        </c:spPr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Summary!$B$2:$B$3</c:f>
              <c:strCache>
                <c:ptCount val="1"/>
                <c:pt idx="0">
                  <c:v>Total Weight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multiLvlStrRef>
              <c:f>Summary!$A$4:$A$9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Summary!$B$4:$B$9</c:f>
              <c:numCache>
                <c:formatCode>#,##0</c:formatCode>
                <c:ptCount val="4"/>
                <c:pt idx="0">
                  <c:v>10929</c:v>
                </c:pt>
                <c:pt idx="1">
                  <c:v>480</c:v>
                </c:pt>
                <c:pt idx="2">
                  <c:v>460</c:v>
                </c:pt>
                <c:pt idx="3">
                  <c:v>2630</c:v>
                </c:pt>
              </c:numCache>
            </c:numRef>
          </c:val>
        </c:ser>
        <c:ser>
          <c:idx val="1"/>
          <c:order val="1"/>
          <c:tx>
            <c:strRef>
              <c:f>Summary!$C$2:$C$3</c:f>
              <c:strCache>
                <c:ptCount val="1"/>
                <c:pt idx="0">
                  <c:v>Total Credit</c:v>
                </c:pt>
              </c:strCache>
            </c:strRef>
          </c:tx>
          <c:spPr>
            <a:noFill/>
          </c:spPr>
          <c:cat>
            <c:multiLvlStrRef>
              <c:f>Summary!$A$4:$A$9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Summary!$C$4:$C$9</c:f>
              <c:numCache>
                <c:formatCode>_("$"* #,##0.00_);_("$"* \(#,##0.00\);_("$"* "-"??_);_(@_)</c:formatCode>
                <c:ptCount val="4"/>
                <c:pt idx="0">
                  <c:v>54.645000000000003</c:v>
                </c:pt>
                <c:pt idx="1">
                  <c:v>7.2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Summary!$D$2:$D$3</c:f>
              <c:strCache>
                <c:ptCount val="1"/>
                <c:pt idx="0">
                  <c:v>Total Charge</c:v>
                </c:pt>
              </c:strCache>
            </c:strRef>
          </c:tx>
          <c:cat>
            <c:multiLvlStrRef>
              <c:f>Summary!$A$4:$A$9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Summary!$D$4:$D$9</c:f>
              <c:numCache>
                <c:formatCode>_("$"* #,##0.00_);_("$"* \(#,##0.00\);_("$"*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-32.200000000000003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Summary!$E$2:$E$3</c:f>
              <c:strCache>
                <c:ptCount val="1"/>
                <c:pt idx="0">
                  <c:v>Total Number of Loads</c:v>
                </c:pt>
              </c:strCache>
            </c:strRef>
          </c:tx>
          <c:cat>
            <c:multiLvlStrRef>
              <c:f>Summary!$A$4:$A$9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Summary!$E$4:$E$9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gapWidth val="0"/>
        <c:axId val="110875776"/>
        <c:axId val="110877312"/>
      </c:barChart>
      <c:catAx>
        <c:axId val="110875776"/>
        <c:scaling>
          <c:orientation val="maxMin"/>
        </c:scaling>
        <c:axPos val="l"/>
        <c:tickLblPos val="nextTo"/>
        <c:crossAx val="110877312"/>
        <c:crosses val="autoZero"/>
        <c:auto val="1"/>
        <c:lblAlgn val="ctr"/>
        <c:lblOffset val="100"/>
      </c:catAx>
      <c:valAx>
        <c:axId val="110877312"/>
        <c:scaling>
          <c:orientation val="minMax"/>
          <c:min val="0"/>
        </c:scaling>
        <c:delete val="1"/>
        <c:axPos val="t"/>
        <c:majorGridlines/>
        <c:numFmt formatCode="#,##0" sourceLinked="1"/>
        <c:tickLblPos val="none"/>
        <c:crossAx val="110875776"/>
        <c:crosses val="autoZero"/>
        <c:crossBetween val="between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[Customer Report Generator v2.xlsm]Load Summary!Load Summary</c:name>
    <c:fmtId val="2"/>
  </c:pivotSource>
  <c:chart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1"/>
        <c:spPr>
          <a:noFill/>
        </c:spPr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'Load Summary'!$B$2:$B$3</c:f>
              <c:strCache>
                <c:ptCount val="1"/>
                <c:pt idx="0">
                  <c:v>Total Weight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multiLvlStrRef>
              <c:f>'Load Summary'!$A$4:$A$10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11/18/2015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'Load Summary'!$B$4:$B$10</c:f>
              <c:numCache>
                <c:formatCode>#,##0</c:formatCode>
                <c:ptCount val="4"/>
                <c:pt idx="0">
                  <c:v>10929</c:v>
                </c:pt>
                <c:pt idx="1">
                  <c:v>480</c:v>
                </c:pt>
                <c:pt idx="2">
                  <c:v>460</c:v>
                </c:pt>
                <c:pt idx="3">
                  <c:v>2630</c:v>
                </c:pt>
              </c:numCache>
            </c:numRef>
          </c:val>
        </c:ser>
        <c:ser>
          <c:idx val="1"/>
          <c:order val="1"/>
          <c:tx>
            <c:strRef>
              <c:f>'Load Summary'!$C$2:$C$3</c:f>
              <c:strCache>
                <c:ptCount val="1"/>
                <c:pt idx="0">
                  <c:v>Total Credit</c:v>
                </c:pt>
              </c:strCache>
            </c:strRef>
          </c:tx>
          <c:spPr>
            <a:noFill/>
          </c:spPr>
          <c:cat>
            <c:multiLvlStrRef>
              <c:f>'Load Summary'!$A$4:$A$10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11/18/2015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'Load Summary'!$C$4:$C$10</c:f>
              <c:numCache>
                <c:formatCode>_("$"* #,##0.00_);_("$"* \(#,##0.00\);_("$"* "-"??_);_(@_)</c:formatCode>
                <c:ptCount val="4"/>
                <c:pt idx="0">
                  <c:v>54.645000000000003</c:v>
                </c:pt>
                <c:pt idx="1">
                  <c:v>7.2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'Load Summary'!$D$2:$D$3</c:f>
              <c:strCache>
                <c:ptCount val="1"/>
                <c:pt idx="0">
                  <c:v>Total Charge</c:v>
                </c:pt>
              </c:strCache>
            </c:strRef>
          </c:tx>
          <c:cat>
            <c:multiLvlStrRef>
              <c:f>'Load Summary'!$A$4:$A$10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11/18/2015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'Load Summary'!$D$4:$D$10</c:f>
              <c:numCache>
                <c:formatCode>_("$"* #,##0.00_);_("$"* \(#,##0.00\);_("$"*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-32.200000000000003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'Load Summary'!$E$2:$E$3</c:f>
              <c:strCache>
                <c:ptCount val="1"/>
                <c:pt idx="0">
                  <c:v>Total Number of Loads</c:v>
                </c:pt>
              </c:strCache>
            </c:strRef>
          </c:tx>
          <c:cat>
            <c:multiLvlStrRef>
              <c:f>'Load Summary'!$A$4:$A$10</c:f>
              <c:multiLvlStrCache>
                <c:ptCount val="4"/>
                <c:lvl>
                  <c:pt idx="0">
                    <c:v>Cardboard - Corrugated</c:v>
                  </c:pt>
                  <c:pt idx="1">
                    <c:v>Steel</c:v>
                  </c:pt>
                  <c:pt idx="2">
                    <c:v>Trash</c:v>
                  </c:pt>
                  <c:pt idx="3">
                    <c:v>Wood</c:v>
                  </c:pt>
                </c:lvl>
                <c:lvl>
                  <c:pt idx="0">
                    <c:v>11/18/2015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'Load Summary'!$E$4:$E$10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gapWidth val="0"/>
        <c:axId val="117808128"/>
        <c:axId val="117822208"/>
      </c:barChart>
      <c:catAx>
        <c:axId val="117808128"/>
        <c:scaling>
          <c:orientation val="maxMin"/>
        </c:scaling>
        <c:axPos val="l"/>
        <c:tickLblPos val="nextTo"/>
        <c:crossAx val="117822208"/>
        <c:crosses val="autoZero"/>
        <c:auto val="1"/>
        <c:lblAlgn val="ctr"/>
        <c:lblOffset val="100"/>
      </c:catAx>
      <c:valAx>
        <c:axId val="117822208"/>
        <c:scaling>
          <c:orientation val="minMax"/>
          <c:min val="0"/>
        </c:scaling>
        <c:delete val="1"/>
        <c:axPos val="t"/>
        <c:majorGridlines/>
        <c:numFmt formatCode="#,##0" sourceLinked="1"/>
        <c:tickLblPos val="none"/>
        <c:crossAx val="117808128"/>
        <c:crosses val="autoZero"/>
        <c:crossBetween val="between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[Customer Report Generator v2.xlsm]Year To Date!PivotTable1</c:name>
    <c:fmtId val="2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'Year To Date'!$J$3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multiLvlStrRef>
              <c:f>'Year To Date'!$I$4:$I$69</c:f>
              <c:multiLvlStrCache>
                <c:ptCount val="56"/>
                <c:lvl>
                  <c:pt idx="0">
                    <c:v>Plastic</c:v>
                  </c:pt>
                  <c:pt idx="1">
                    <c:v>Plastic - HDPE Bottles</c:v>
                  </c:pt>
                  <c:pt idx="2">
                    <c:v>Plastic - Shrink Wrap</c:v>
                  </c:pt>
                  <c:pt idx="3">
                    <c:v>Plastic - Unmarked</c:v>
                  </c:pt>
                  <c:pt idx="4">
                    <c:v>Wood</c:v>
                  </c:pt>
                  <c:pt idx="5">
                    <c:v>Wood - Pallets</c:v>
                  </c:pt>
                  <c:pt idx="6">
                    <c:v>Cardboard - Corrugated</c:v>
                  </c:pt>
                  <c:pt idx="7">
                    <c:v>Paper</c:v>
                  </c:pt>
                  <c:pt idx="8">
                    <c:v>Plastic - Shrink Wrap</c:v>
                  </c:pt>
                  <c:pt idx="9">
                    <c:v>Plastic - Straps</c:v>
                  </c:pt>
                  <c:pt idx="10">
                    <c:v>Steel</c:v>
                  </c:pt>
                  <c:pt idx="11">
                    <c:v>Trash</c:v>
                  </c:pt>
                  <c:pt idx="12">
                    <c:v>Wood - Pallets</c:v>
                  </c:pt>
                  <c:pt idx="13">
                    <c:v>Steel - Cabinets</c:v>
                  </c:pt>
                  <c:pt idx="14">
                    <c:v>Steel - Straps</c:v>
                  </c:pt>
                  <c:pt idx="15">
                    <c:v>Paper</c:v>
                  </c:pt>
                  <c:pt idx="16">
                    <c:v>Plastic - Shrink Wrap</c:v>
                  </c:pt>
                  <c:pt idx="17">
                    <c:v>Plastic - Unmarked</c:v>
                  </c:pt>
                  <c:pt idx="18">
                    <c:v>Steel</c:v>
                  </c:pt>
                  <c:pt idx="19">
                    <c:v>Wood</c:v>
                  </c:pt>
                  <c:pt idx="20">
                    <c:v>Cardboard - Corrugated</c:v>
                  </c:pt>
                  <c:pt idx="21">
                    <c:v>Electronics</c:v>
                  </c:pt>
                  <c:pt idx="22">
                    <c:v>Plastic - Unmarked</c:v>
                  </c:pt>
                  <c:pt idx="23">
                    <c:v>Steel</c:v>
                  </c:pt>
                  <c:pt idx="24">
                    <c:v>Aluminum</c:v>
                  </c:pt>
                  <c:pt idx="25">
                    <c:v>Cardboard - Barrels</c:v>
                  </c:pt>
                  <c:pt idx="26">
                    <c:v>Cardboard - Corrugated</c:v>
                  </c:pt>
                  <c:pt idx="27">
                    <c:v>Plastic</c:v>
                  </c:pt>
                  <c:pt idx="28">
                    <c:v>Plastic - Shrink Wrap</c:v>
                  </c:pt>
                  <c:pt idx="29">
                    <c:v>Plastic - Straps</c:v>
                  </c:pt>
                  <c:pt idx="30">
                    <c:v>Steel</c:v>
                  </c:pt>
                  <c:pt idx="31">
                    <c:v>Styrofoam</c:v>
                  </c:pt>
                  <c:pt idx="32">
                    <c:v>Trash</c:v>
                  </c:pt>
                  <c:pt idx="33">
                    <c:v>Wood</c:v>
                  </c:pt>
                  <c:pt idx="34">
                    <c:v>Wood - Pallets</c:v>
                  </c:pt>
                  <c:pt idx="35">
                    <c:v>Steel - Cabinets</c:v>
                  </c:pt>
                  <c:pt idx="36">
                    <c:v>Steel - Straps</c:v>
                  </c:pt>
                  <c:pt idx="37">
                    <c:v>Cardboard - Corrugated</c:v>
                  </c:pt>
                  <c:pt idx="38">
                    <c:v>Plastic</c:v>
                  </c:pt>
                  <c:pt idx="39">
                    <c:v>Plastic - Shrink Wrap</c:v>
                  </c:pt>
                  <c:pt idx="40">
                    <c:v>Steel</c:v>
                  </c:pt>
                  <c:pt idx="41">
                    <c:v>Wood</c:v>
                  </c:pt>
                  <c:pt idx="42">
                    <c:v>Cardboard - Corrugated</c:v>
                  </c:pt>
                  <c:pt idx="43">
                    <c:v>Plastic - Shrink Wrap</c:v>
                  </c:pt>
                  <c:pt idx="44">
                    <c:v>Plastic - Straps</c:v>
                  </c:pt>
                  <c:pt idx="45">
                    <c:v>Steel</c:v>
                  </c:pt>
                  <c:pt idx="46">
                    <c:v>Trash</c:v>
                  </c:pt>
                  <c:pt idx="47">
                    <c:v>Wood</c:v>
                  </c:pt>
                  <c:pt idx="48">
                    <c:v>Wood - Pallets</c:v>
                  </c:pt>
                  <c:pt idx="49">
                    <c:v>Plastic - Pallets</c:v>
                  </c:pt>
                  <c:pt idx="50">
                    <c:v>Aluminum - Cans</c:v>
                  </c:pt>
                  <c:pt idx="51">
                    <c:v>Steel - Straps</c:v>
                  </c:pt>
                  <c:pt idx="52">
                    <c:v>Cardboard - Corrugated</c:v>
                  </c:pt>
                  <c:pt idx="53">
                    <c:v>Steel</c:v>
                  </c:pt>
                  <c:pt idx="54">
                    <c:v>Trash</c:v>
                  </c:pt>
                  <c:pt idx="55">
                    <c:v>Wood</c:v>
                  </c:pt>
                </c:lvl>
                <c:lvl>
                  <c:pt idx="0">
                    <c:v>January 2015</c:v>
                  </c:pt>
                  <c:pt idx="6">
                    <c:v>March 2015</c:v>
                  </c:pt>
                  <c:pt idx="15">
                    <c:v>April 2015</c:v>
                  </c:pt>
                  <c:pt idx="20">
                    <c:v>May 2015</c:v>
                  </c:pt>
                  <c:pt idx="26">
                    <c:v>June 2015</c:v>
                  </c:pt>
                  <c:pt idx="37">
                    <c:v>July 2015</c:v>
                  </c:pt>
                  <c:pt idx="42">
                    <c:v>September 2015</c:v>
                  </c:pt>
                  <c:pt idx="52">
                    <c:v>November 2015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'Year To Date'!$J$4:$J$69</c:f>
              <c:numCache>
                <c:formatCode>#,##0</c:formatCode>
                <c:ptCount val="56"/>
                <c:pt idx="0">
                  <c:v>1258</c:v>
                </c:pt>
                <c:pt idx="1">
                  <c:v>10276</c:v>
                </c:pt>
                <c:pt idx="2">
                  <c:v>1060</c:v>
                </c:pt>
                <c:pt idx="3">
                  <c:v>1258</c:v>
                </c:pt>
                <c:pt idx="4">
                  <c:v>368</c:v>
                </c:pt>
                <c:pt idx="5">
                  <c:v>368</c:v>
                </c:pt>
                <c:pt idx="6">
                  <c:v>26195</c:v>
                </c:pt>
                <c:pt idx="7">
                  <c:v>12649</c:v>
                </c:pt>
                <c:pt idx="8">
                  <c:v>780</c:v>
                </c:pt>
                <c:pt idx="9">
                  <c:v>119</c:v>
                </c:pt>
                <c:pt idx="10">
                  <c:v>402</c:v>
                </c:pt>
                <c:pt idx="11">
                  <c:v>6225</c:v>
                </c:pt>
                <c:pt idx="12">
                  <c:v>3242</c:v>
                </c:pt>
                <c:pt idx="13">
                  <c:v>88</c:v>
                </c:pt>
                <c:pt idx="14">
                  <c:v>280</c:v>
                </c:pt>
                <c:pt idx="15">
                  <c:v>17588</c:v>
                </c:pt>
                <c:pt idx="16">
                  <c:v>816</c:v>
                </c:pt>
                <c:pt idx="17">
                  <c:v>4261</c:v>
                </c:pt>
                <c:pt idx="18">
                  <c:v>1269</c:v>
                </c:pt>
                <c:pt idx="19">
                  <c:v>1907</c:v>
                </c:pt>
                <c:pt idx="20">
                  <c:v>2390</c:v>
                </c:pt>
                <c:pt idx="21">
                  <c:v>430</c:v>
                </c:pt>
                <c:pt idx="22">
                  <c:v>30846</c:v>
                </c:pt>
                <c:pt idx="23">
                  <c:v>4012</c:v>
                </c:pt>
                <c:pt idx="24">
                  <c:v>2410</c:v>
                </c:pt>
                <c:pt idx="25">
                  <c:v>150</c:v>
                </c:pt>
                <c:pt idx="26">
                  <c:v>33197</c:v>
                </c:pt>
                <c:pt idx="27">
                  <c:v>175</c:v>
                </c:pt>
                <c:pt idx="28">
                  <c:v>431</c:v>
                </c:pt>
                <c:pt idx="29">
                  <c:v>152</c:v>
                </c:pt>
                <c:pt idx="30">
                  <c:v>3143</c:v>
                </c:pt>
                <c:pt idx="31">
                  <c:v>249</c:v>
                </c:pt>
                <c:pt idx="32">
                  <c:v>638</c:v>
                </c:pt>
                <c:pt idx="33">
                  <c:v>974</c:v>
                </c:pt>
                <c:pt idx="34">
                  <c:v>2198</c:v>
                </c:pt>
                <c:pt idx="35">
                  <c:v>252</c:v>
                </c:pt>
                <c:pt idx="36">
                  <c:v>161</c:v>
                </c:pt>
                <c:pt idx="37">
                  <c:v>4351</c:v>
                </c:pt>
                <c:pt idx="38">
                  <c:v>885</c:v>
                </c:pt>
                <c:pt idx="39">
                  <c:v>33</c:v>
                </c:pt>
                <c:pt idx="40">
                  <c:v>707</c:v>
                </c:pt>
                <c:pt idx="41">
                  <c:v>1621</c:v>
                </c:pt>
                <c:pt idx="42">
                  <c:v>3742</c:v>
                </c:pt>
                <c:pt idx="43">
                  <c:v>842</c:v>
                </c:pt>
                <c:pt idx="44">
                  <c:v>38</c:v>
                </c:pt>
                <c:pt idx="45">
                  <c:v>1687</c:v>
                </c:pt>
                <c:pt idx="46">
                  <c:v>360</c:v>
                </c:pt>
                <c:pt idx="47">
                  <c:v>7497</c:v>
                </c:pt>
                <c:pt idx="48">
                  <c:v>300</c:v>
                </c:pt>
                <c:pt idx="49">
                  <c:v>32</c:v>
                </c:pt>
                <c:pt idx="50">
                  <c:v>190</c:v>
                </c:pt>
                <c:pt idx="51">
                  <c:v>187</c:v>
                </c:pt>
                <c:pt idx="52">
                  <c:v>10929</c:v>
                </c:pt>
                <c:pt idx="53">
                  <c:v>480</c:v>
                </c:pt>
                <c:pt idx="54">
                  <c:v>460</c:v>
                </c:pt>
                <c:pt idx="55">
                  <c:v>2630</c:v>
                </c:pt>
              </c:numCache>
            </c:numRef>
          </c:val>
        </c:ser>
        <c:gapWidth val="20"/>
        <c:axId val="113088000"/>
        <c:axId val="113089536"/>
      </c:barChart>
      <c:catAx>
        <c:axId val="113088000"/>
        <c:scaling>
          <c:orientation val="maxMin"/>
        </c:scaling>
        <c:axPos val="l"/>
        <c:tickLblPos val="nextTo"/>
        <c:crossAx val="113089536"/>
        <c:crosses val="autoZero"/>
        <c:auto val="1"/>
        <c:lblAlgn val="ctr"/>
        <c:lblOffset val="100"/>
      </c:catAx>
      <c:valAx>
        <c:axId val="113089536"/>
        <c:scaling>
          <c:orientation val="minMax"/>
        </c:scaling>
        <c:delete val="1"/>
        <c:axPos val="t"/>
        <c:majorGridlines/>
        <c:numFmt formatCode="#,##0" sourceLinked="1"/>
        <c:tickLblPos val="none"/>
        <c:crossAx val="113088000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[Customer Report Generator v2.xlsm]Year To Date!PivotTable2</c:name>
    <c:fmtId val="3"/>
  </c:pivotSource>
  <c:chart>
    <c:autoTitleDeleted val="1"/>
    <c:pivotFmts>
      <c:pivotFmt>
        <c:idx val="0"/>
        <c:spPr>
          <a:solidFill>
            <a:srgbClr val="C00000"/>
          </a:solidFill>
        </c:spPr>
        <c:marker>
          <c:symbol val="none"/>
        </c:marker>
      </c:pivotFmt>
      <c:pivotFmt>
        <c:idx val="1"/>
        <c:spPr>
          <a:solidFill>
            <a:srgbClr val="0061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numFmt formatCode="&quot;$&quot;#,##0.00_);\(&quot;$&quot;#,##0.00\);" sourceLinked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Val val="1"/>
        </c:dLbl>
      </c:pivotFmt>
      <c:pivotFmt>
        <c:idx val="3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'Year To Date'!$L$3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'Year To Date'!$K$4:$K$69</c:f>
              <c:multiLvlStrCache>
                <c:ptCount val="56"/>
                <c:lvl>
                  <c:pt idx="0">
                    <c:v>Plastic</c:v>
                  </c:pt>
                  <c:pt idx="1">
                    <c:v>Plastic - HDPE Bottles</c:v>
                  </c:pt>
                  <c:pt idx="2">
                    <c:v>Plastic - Shrink Wrap</c:v>
                  </c:pt>
                  <c:pt idx="3">
                    <c:v>Plastic - Unmarked</c:v>
                  </c:pt>
                  <c:pt idx="4">
                    <c:v>Wood</c:v>
                  </c:pt>
                  <c:pt idx="5">
                    <c:v>Wood - Pallets</c:v>
                  </c:pt>
                  <c:pt idx="6">
                    <c:v>Cardboard - Corrugated</c:v>
                  </c:pt>
                  <c:pt idx="7">
                    <c:v>Paper</c:v>
                  </c:pt>
                  <c:pt idx="8">
                    <c:v>Plastic - Shrink Wrap</c:v>
                  </c:pt>
                  <c:pt idx="9">
                    <c:v>Plastic - Straps</c:v>
                  </c:pt>
                  <c:pt idx="10">
                    <c:v>Steel</c:v>
                  </c:pt>
                  <c:pt idx="11">
                    <c:v>Trash</c:v>
                  </c:pt>
                  <c:pt idx="12">
                    <c:v>Wood - Pallets</c:v>
                  </c:pt>
                  <c:pt idx="13">
                    <c:v>Steel - Cabinets</c:v>
                  </c:pt>
                  <c:pt idx="14">
                    <c:v>Steel - Straps</c:v>
                  </c:pt>
                  <c:pt idx="15">
                    <c:v>Paper</c:v>
                  </c:pt>
                  <c:pt idx="16">
                    <c:v>Plastic - Shrink Wrap</c:v>
                  </c:pt>
                  <c:pt idx="17">
                    <c:v>Plastic - Unmarked</c:v>
                  </c:pt>
                  <c:pt idx="18">
                    <c:v>Steel</c:v>
                  </c:pt>
                  <c:pt idx="19">
                    <c:v>Wood</c:v>
                  </c:pt>
                  <c:pt idx="20">
                    <c:v>Cardboard - Corrugated</c:v>
                  </c:pt>
                  <c:pt idx="21">
                    <c:v>Electronics</c:v>
                  </c:pt>
                  <c:pt idx="22">
                    <c:v>Plastic - Unmarked</c:v>
                  </c:pt>
                  <c:pt idx="23">
                    <c:v>Steel</c:v>
                  </c:pt>
                  <c:pt idx="24">
                    <c:v>Aluminum</c:v>
                  </c:pt>
                  <c:pt idx="25">
                    <c:v>Cardboard - Barrels</c:v>
                  </c:pt>
                  <c:pt idx="26">
                    <c:v>Cardboard - Corrugated</c:v>
                  </c:pt>
                  <c:pt idx="27">
                    <c:v>Plastic</c:v>
                  </c:pt>
                  <c:pt idx="28">
                    <c:v>Plastic - Shrink Wrap</c:v>
                  </c:pt>
                  <c:pt idx="29">
                    <c:v>Plastic - Straps</c:v>
                  </c:pt>
                  <c:pt idx="30">
                    <c:v>Steel</c:v>
                  </c:pt>
                  <c:pt idx="31">
                    <c:v>Styrofoam</c:v>
                  </c:pt>
                  <c:pt idx="32">
                    <c:v>Trash</c:v>
                  </c:pt>
                  <c:pt idx="33">
                    <c:v>Wood</c:v>
                  </c:pt>
                  <c:pt idx="34">
                    <c:v>Wood - Pallets</c:v>
                  </c:pt>
                  <c:pt idx="35">
                    <c:v>Steel - Cabinets</c:v>
                  </c:pt>
                  <c:pt idx="36">
                    <c:v>Steel - Straps</c:v>
                  </c:pt>
                  <c:pt idx="37">
                    <c:v>Cardboard - Corrugated</c:v>
                  </c:pt>
                  <c:pt idx="38">
                    <c:v>Plastic</c:v>
                  </c:pt>
                  <c:pt idx="39">
                    <c:v>Plastic - Shrink Wrap</c:v>
                  </c:pt>
                  <c:pt idx="40">
                    <c:v>Steel</c:v>
                  </c:pt>
                  <c:pt idx="41">
                    <c:v>Wood</c:v>
                  </c:pt>
                  <c:pt idx="42">
                    <c:v>Cardboard - Corrugated</c:v>
                  </c:pt>
                  <c:pt idx="43">
                    <c:v>Plastic - Shrink Wrap</c:v>
                  </c:pt>
                  <c:pt idx="44">
                    <c:v>Plastic - Straps</c:v>
                  </c:pt>
                  <c:pt idx="45">
                    <c:v>Steel</c:v>
                  </c:pt>
                  <c:pt idx="46">
                    <c:v>Trash</c:v>
                  </c:pt>
                  <c:pt idx="47">
                    <c:v>Wood</c:v>
                  </c:pt>
                  <c:pt idx="48">
                    <c:v>Wood - Pallets</c:v>
                  </c:pt>
                  <c:pt idx="49">
                    <c:v>Plastic - Pallets</c:v>
                  </c:pt>
                  <c:pt idx="50">
                    <c:v>Aluminum - Cans</c:v>
                  </c:pt>
                  <c:pt idx="51">
                    <c:v>Steel - Straps</c:v>
                  </c:pt>
                  <c:pt idx="52">
                    <c:v>Cardboard - Corrugated</c:v>
                  </c:pt>
                  <c:pt idx="53">
                    <c:v>Steel</c:v>
                  </c:pt>
                  <c:pt idx="54">
                    <c:v>Trash</c:v>
                  </c:pt>
                  <c:pt idx="55">
                    <c:v>Wood</c:v>
                  </c:pt>
                </c:lvl>
                <c:lvl>
                  <c:pt idx="0">
                    <c:v>January 2015</c:v>
                  </c:pt>
                  <c:pt idx="6">
                    <c:v>March 2015</c:v>
                  </c:pt>
                  <c:pt idx="15">
                    <c:v>April 2015</c:v>
                  </c:pt>
                  <c:pt idx="20">
                    <c:v>May 2015</c:v>
                  </c:pt>
                  <c:pt idx="26">
                    <c:v>June 2015</c:v>
                  </c:pt>
                  <c:pt idx="37">
                    <c:v>July 2015</c:v>
                  </c:pt>
                  <c:pt idx="42">
                    <c:v>September 2015</c:v>
                  </c:pt>
                  <c:pt idx="52">
                    <c:v>November 2015</c:v>
                  </c:pt>
                </c:lvl>
                <c:lvl>
                  <c:pt idx="0">
                    <c:v>Company14</c:v>
                  </c:pt>
                </c:lvl>
              </c:multiLvlStrCache>
            </c:multiLvlStrRef>
          </c:cat>
          <c:val>
            <c:numRef>
              <c:f>'Year To Date'!$L$4:$L$69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21.754999999999999</c:v>
                </c:pt>
                <c:pt idx="38">
                  <c:v>0</c:v>
                </c:pt>
                <c:pt idx="39">
                  <c:v>0</c:v>
                </c:pt>
                <c:pt idx="40">
                  <c:v>10.605</c:v>
                </c:pt>
                <c:pt idx="41">
                  <c:v>0</c:v>
                </c:pt>
                <c:pt idx="42">
                  <c:v>18.71</c:v>
                </c:pt>
                <c:pt idx="43">
                  <c:v>0</c:v>
                </c:pt>
                <c:pt idx="44">
                  <c:v>0</c:v>
                </c:pt>
                <c:pt idx="45">
                  <c:v>25.305</c:v>
                </c:pt>
                <c:pt idx="46">
                  <c:v>-25.200000000000003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34.200000000000003</c:v>
                </c:pt>
                <c:pt idx="51">
                  <c:v>2.8050000000000002</c:v>
                </c:pt>
                <c:pt idx="52">
                  <c:v>54.645000000000003</c:v>
                </c:pt>
                <c:pt idx="53">
                  <c:v>7.2</c:v>
                </c:pt>
                <c:pt idx="54">
                  <c:v>-32.200000000000003</c:v>
                </c:pt>
                <c:pt idx="55">
                  <c:v>0</c:v>
                </c:pt>
              </c:numCache>
            </c:numRef>
          </c:val>
        </c:ser>
        <c:gapWidth val="20"/>
        <c:axId val="123231616"/>
        <c:axId val="123233408"/>
      </c:barChart>
      <c:catAx>
        <c:axId val="123231616"/>
        <c:scaling>
          <c:orientation val="maxMin"/>
        </c:scaling>
        <c:axPos val="l"/>
        <c:tickLblPos val="low"/>
        <c:crossAx val="123233408"/>
        <c:crosses val="autoZero"/>
        <c:auto val="1"/>
        <c:lblAlgn val="ctr"/>
        <c:lblOffset val="100"/>
      </c:catAx>
      <c:valAx>
        <c:axId val="123233408"/>
        <c:scaling>
          <c:orientation val="minMax"/>
        </c:scaling>
        <c:delete val="1"/>
        <c:axPos val="t"/>
        <c:majorGridlines/>
        <c:numFmt formatCode="General" sourceLinked="1"/>
        <c:tickLblPos val="none"/>
        <c:crossAx val="123231616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2676525</xdr:colOff>
      <xdr:row>2</xdr:row>
      <xdr:rowOff>0</xdr:rowOff>
    </xdr:to>
    <xdr:pic>
      <xdr:nvPicPr>
        <xdr:cNvPr id="2" name="Picture 1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76525" cy="666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228600</xdr:rowOff>
    </xdr:from>
    <xdr:to>
      <xdr:col>1</xdr:col>
      <xdr:colOff>9525</xdr:colOff>
      <xdr:row>0</xdr:row>
      <xdr:rowOff>685799</xdr:rowOff>
    </xdr:to>
    <xdr:pic>
      <xdr:nvPicPr>
        <xdr:cNvPr id="8" name="Picture 7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28600"/>
          <a:ext cx="1914525" cy="4571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13607</xdr:colOff>
      <xdr:row>3</xdr:row>
      <xdr:rowOff>0</xdr:rowOff>
    </xdr:from>
    <xdr:to>
      <xdr:col>6</xdr:col>
      <xdr:colOff>7606393</xdr:colOff>
      <xdr:row>26</xdr:row>
      <xdr:rowOff>11206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56029</xdr:colOff>
      <xdr:row>0</xdr:row>
      <xdr:rowOff>0</xdr:rowOff>
    </xdr:from>
    <xdr:to>
      <xdr:col>6</xdr:col>
      <xdr:colOff>1914525</xdr:colOff>
      <xdr:row>0</xdr:row>
      <xdr:rowOff>457199</xdr:rowOff>
    </xdr:to>
    <xdr:pic>
      <xdr:nvPicPr>
        <xdr:cNvPr id="4" name="Picture 3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88088" y="0"/>
          <a:ext cx="1858496" cy="4571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228600</xdr:rowOff>
    </xdr:from>
    <xdr:to>
      <xdr:col>0</xdr:col>
      <xdr:colOff>2510118</xdr:colOff>
      <xdr:row>0</xdr:row>
      <xdr:rowOff>685799</xdr:rowOff>
    </xdr:to>
    <xdr:pic>
      <xdr:nvPicPr>
        <xdr:cNvPr id="3" name="Picture 2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28600"/>
          <a:ext cx="2510118" cy="4571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6</xdr:col>
      <xdr:colOff>7608793</xdr:colOff>
      <xdr:row>68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44823</xdr:colOff>
      <xdr:row>0</xdr:row>
      <xdr:rowOff>0</xdr:rowOff>
    </xdr:from>
    <xdr:to>
      <xdr:col>6</xdr:col>
      <xdr:colOff>1701613</xdr:colOff>
      <xdr:row>0</xdr:row>
      <xdr:rowOff>457199</xdr:rowOff>
    </xdr:to>
    <xdr:pic>
      <xdr:nvPicPr>
        <xdr:cNvPr id="5" name="Picture 4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82117" y="0"/>
          <a:ext cx="1656790" cy="4571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219075</xdr:rowOff>
    </xdr:from>
    <xdr:to>
      <xdr:col>1</xdr:col>
      <xdr:colOff>9525</xdr:colOff>
      <xdr:row>0</xdr:row>
      <xdr:rowOff>685800</xdr:rowOff>
    </xdr:to>
    <xdr:pic>
      <xdr:nvPicPr>
        <xdr:cNvPr id="2" name="Picture 1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19075"/>
          <a:ext cx="2554061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1826079</xdr:colOff>
      <xdr:row>0</xdr:row>
      <xdr:rowOff>0</xdr:rowOff>
    </xdr:from>
    <xdr:to>
      <xdr:col>6</xdr:col>
      <xdr:colOff>2529568</xdr:colOff>
      <xdr:row>0</xdr:row>
      <xdr:rowOff>466725</xdr:rowOff>
    </xdr:to>
    <xdr:pic>
      <xdr:nvPicPr>
        <xdr:cNvPr id="4" name="Picture 3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35686" y="0"/>
          <a:ext cx="2554061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13607</xdr:colOff>
      <xdr:row>3</xdr:row>
      <xdr:rowOff>0</xdr:rowOff>
    </xdr:from>
    <xdr:to>
      <xdr:col>6</xdr:col>
      <xdr:colOff>7606391</xdr:colOff>
      <xdr:row>115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2721</xdr:colOff>
      <xdr:row>0</xdr:row>
      <xdr:rowOff>0</xdr:rowOff>
    </xdr:from>
    <xdr:to>
      <xdr:col>7</xdr:col>
      <xdr:colOff>2556782</xdr:colOff>
      <xdr:row>0</xdr:row>
      <xdr:rowOff>466725</xdr:rowOff>
    </xdr:to>
    <xdr:pic>
      <xdr:nvPicPr>
        <xdr:cNvPr id="6" name="Picture 5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82900" y="0"/>
          <a:ext cx="2554061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13606</xdr:colOff>
      <xdr:row>2</xdr:row>
      <xdr:rowOff>187777</xdr:rowOff>
    </xdr:from>
    <xdr:to>
      <xdr:col>7</xdr:col>
      <xdr:colOff>7606391</xdr:colOff>
      <xdr:row>115</xdr:row>
      <xdr:rowOff>-1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959373</xdr:colOff>
      <xdr:row>1</xdr:row>
      <xdr:rowOff>139276</xdr:rowOff>
    </xdr:to>
    <xdr:pic>
      <xdr:nvPicPr>
        <xdr:cNvPr id="7" name="Picture 6" descr="OEW_Full_cropp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959623" cy="68220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njamin Trivett" refreshedDate="42349.969083449076" createdVersion="3" refreshedVersion="3" minRefreshableVersion="3" recordCount="628">
  <cacheSource type="worksheet">
    <worksheetSource name="DbLinkTable[#All]"/>
  </cacheSource>
  <cacheFields count="25">
    <cacheField name="UNPM_ID" numFmtId="0">
      <sharedItems containsSemiMixedTypes="0" containsString="0" containsNumber="1" containsInteger="1" minValue="414" maxValue="13267"/>
    </cacheField>
    <cacheField name="Type" numFmtId="0">
      <sharedItems count="69">
        <s v="Plastic"/>
        <s v="Wood"/>
        <s v="Steel"/>
        <s v="Plastic - Shrink Wrap"/>
        <s v="Steel - Straps"/>
        <s v="Cardboard - Corrugated"/>
        <s v="Wood - Pallets"/>
        <s v="Trash"/>
        <s v="Paper"/>
        <s v="Refridgerator (Count)"/>
        <s v="Electronics"/>
        <s v="Plastic - Straps"/>
        <s v="Plastic - Pallets"/>
        <s v="Plastic - Totes"/>
        <s v="Miscellaneous"/>
        <s v="Plastic - HDPE Bottles"/>
        <s v="Plastic - Unmarked"/>
        <s v="Steel - Cabinets"/>
        <s v="Aluminum"/>
        <s v="Cardboard - Barrels"/>
        <s v="Styrofoam"/>
        <s v="Aluminum - Cans"/>
        <s v="Circuit Boards" u="1"/>
        <s v="Steel - Cast Iron" u="1"/>
        <s v="TV - CRT" u="1"/>
        <s v="Medical Pumps" u="1"/>
        <s v="Aluminum - Irony" u="1"/>
        <s v="Wilmington Pick Up Fee" u="1"/>
        <s v="Plastic - HDPE Black" u="1"/>
        <s v="Hard Drive Destruction" u="1"/>
        <s v="Machine" u="1"/>
        <s v="Cardboard - Corrugated #1 (Baled)" u="1"/>
        <s v="Motor Oil" u="1"/>
        <s v="Steel - Dies" u="1"/>
        <s v="Copper #2 Wire - Romex" u="1"/>
        <s v="Steel - Turnings" u="1"/>
        <s v="Chairs" u="1"/>
        <s v="HDPE" u="1"/>
        <s v="Steel Dies" u="1"/>
        <s v="Stainless Steel - Not Irony" u="1"/>
        <s v="Plastic - PETE" u="1"/>
        <s v="Transformers - Small" u="1"/>
        <s v="Plastic - Mixed with Trash" u="1"/>
        <s v="Batteries" u="1"/>
        <s v="Plastic - Foam" u="1"/>
        <s v="Electric Motors" u="1"/>
        <s v="Shredders" u="1"/>
        <s v="Vacuums" u="1"/>
        <s v="Ahresty Hauling Fee" u="1"/>
        <s v="Plastic - PP Bottles" u="1"/>
        <s v="Copper #2 Wire - Extension Cords" u="1"/>
        <s v="Certificate of Destruction" u="1"/>
        <s v="Flatscreen TV" u="1"/>
        <s v="Recyclables - Metal/Plastic" u="1"/>
        <s v="TV - LCD" u="1"/>
        <s v="Aluminum - Extrusion" u="1"/>
        <s v="Plastic - Corrugated" u="1"/>
        <s v="Plastic - Barrels" u="1"/>
        <s v="Copper #2 Wire - Computer" u="1"/>
        <s v="Copper #1" u="1"/>
        <s v="Steel - Barrels" u="1"/>
        <s v="Steel - Cans" u="1"/>
        <s v="Slurry - Metal Shavings and Oil" u="1"/>
        <s v="Ink Cartridges" u="1"/>
        <s v="Brass - With Misc." u="1"/>
        <s v="Plastic - Unmarked White Bottles" u="1"/>
        <s v="Copper #2 Pipe" u="1"/>
        <s v="Stainless Steel - Irony" u="1"/>
        <s v="Recyclables - Cans/Bottles" u="1"/>
      </sharedItems>
    </cacheField>
    <cacheField name="Description" numFmtId="0">
      <sharedItems containsBlank="1"/>
    </cacheField>
    <cacheField name="Weight" numFmtId="0">
      <sharedItems containsSemiMixedTypes="0" containsString="0" containsNumber="1" containsInteger="1" minValue="0" maxValue="28290"/>
    </cacheField>
    <cacheField name="Location" numFmtId="0">
      <sharedItems/>
    </cacheField>
    <cacheField name="Date Received" numFmtId="14">
      <sharedItems containsSemiMixedTypes="0" containsNonDate="0" containsDate="1" containsString="0" minDate="2013-07-18T00:00:00" maxDate="2015-11-19T00:00:00"/>
    </cacheField>
    <cacheField name="Customer" numFmtId="14">
      <sharedItems count="10">
        <s v="Company14"/>
        <s v="FUNAI CORP" u="1"/>
        <s v="ABBOTT STELZER" u="1"/>
        <s v="FRANKLIN COUNTY JAIL" u="1"/>
        <s v="YRC/REVERSE  LOGISTICS" u="1"/>
        <s v="ABBOTT CLEVELAND" u="1"/>
        <s v="Company2" u="1"/>
        <s v="AHRESTY WILMINGTON CORP" u="1"/>
        <s v="Company6" u="1"/>
        <s v="Company5" u="1"/>
      </sharedItems>
    </cacheField>
    <cacheField name="Trailer Number" numFmtId="14">
      <sharedItems containsBlank="1"/>
    </cacheField>
    <cacheField name="Processed" numFmtId="14">
      <sharedItems containsSemiMixedTypes="0" containsDate="1" containsString="0" containsMixedTypes="1" minDate="1899-12-31T04:03:11" maxDate="1899-12-31T00:00:00"/>
    </cacheField>
    <cacheField name="Date Processed" numFmtId="14">
      <sharedItems containsNonDate="0" containsDate="1" containsString="0" containsBlank="1" minDate="2013-07-29T00:00:00" maxDate="2013-07-30T00:00:00"/>
    </cacheField>
    <cacheField name="Man-Hours to Process" numFmtId="14">
      <sharedItems containsNonDate="0" containsDate="1" containsString="0" containsBlank="1" minDate="1899-12-30T00:00:00" maxDate="1899-12-31T00:00:00"/>
    </cacheField>
    <cacheField name="Barcode" numFmtId="14">
      <sharedItems containsNonDate="0" containsString="0" containsBlank="1"/>
    </cacheField>
    <cacheField name="Notes" numFmtId="14">
      <sharedItems containsNonDate="0" containsString="0" containsBlank="1"/>
    </cacheField>
    <cacheField name="Attachments" numFmtId="14">
      <sharedItems containsNonDate="0" containsString="0" containsBlank="1"/>
    </cacheField>
    <cacheField name="Alter" numFmtId="14">
      <sharedItems containsSemiMixedTypes="0" containsNonDate="0" containsDate="1" containsString="0" minDate="1899-12-30T00:00:00" maxDate="1899-12-31T00:00:00"/>
    </cacheField>
    <cacheField name="Date Added" numFmtId="14">
      <sharedItems containsSemiMixedTypes="0" containsNonDate="0" containsDate="1" containsString="0" minDate="2013-07-29T15:08:15" maxDate="2015-11-19T16:14:43"/>
    </cacheField>
    <cacheField name="Load_ID" numFmtId="14">
      <sharedItems containsNonDate="0" containsString="0" containsBlank="1"/>
    </cacheField>
    <cacheField name="Price/lb" numFmtId="14">
      <sharedItems containsDate="1" containsString="0" containsBlank="1" containsMixedTypes="1" minDate="1899-12-30T00:00:00" maxDate="1899-12-31T00:00:00"/>
    </cacheField>
    <cacheField name="Cost" numFmtId="14">
      <sharedItems containsSemiMixedTypes="0" containsDate="1" containsString="0" containsMixedTypes="1" minDate="1900-01-01T02:07:12" maxDate="1900-02-22T15:28:48"/>
    </cacheField>
    <cacheField name="Credit" numFmtId="14">
      <sharedItems containsSemiMixedTypes="0" containsNonDate="0" containsDate="1" containsString="0" minDate="1899-12-30T00:00:00" maxDate="1900-02-22T15:28:48"/>
    </cacheField>
    <cacheField name="Charge" numFmtId="14">
      <sharedItems containsSemiMixedTypes="0" containsDate="1" containsString="0" containsMixedTypes="1" minDate="1900-01-01T02:07:12" maxDate="1899-12-31T00:00:00"/>
    </cacheField>
    <cacheField name="Trailer Count" numFmtId="14">
      <sharedItems containsDate="1" containsMixedTypes="1" minDate="1899-12-31T00:00:00" maxDate="1900-01-01T00:00:00"/>
    </cacheField>
    <cacheField name="Load Id" numFmtId="14">
      <sharedItems/>
    </cacheField>
    <cacheField name="Month" numFmtId="14">
      <sharedItems containsSemiMixedTypes="0" containsNonDate="0" containsDate="1" containsString="0" minDate="2013-03-01T00:00:00" maxDate="2015-11-02T00:00:00" count="31">
        <d v="2013-07-01T00:00:00"/>
        <d v="2013-09-01T00:00:00"/>
        <d v="2013-10-01T00:00:00"/>
        <d v="2014-02-01T00:00:00"/>
        <d v="2014-05-01T00:00:00"/>
        <d v="2014-08-01T00:00:00"/>
        <d v="2014-09-01T00:00:00"/>
        <d v="2014-10-01T00:00:00"/>
        <d v="2014-11-01T00:00:00"/>
        <d v="2014-12-01T00:00:00"/>
        <d v="2015-01-01T00:00:00"/>
        <d v="2015-03-01T00:00:00"/>
        <d v="2015-04-01T00:00:00"/>
        <d v="2015-05-01T00:00:00"/>
        <d v="2015-06-01T00:00:00"/>
        <d v="2015-07-01T00:00:00"/>
        <d v="2015-09-01T00:00:00"/>
        <d v="2015-11-01T00:00:00"/>
        <d v="2015-08-01T00:00:00" u="1"/>
        <d v="2014-07-01T00:00:00" u="1"/>
        <d v="2013-06-01T00:00:00" u="1"/>
        <d v="2014-06-01T00:00:00" u="1"/>
        <d v="2014-04-01T00:00:00" u="1"/>
        <d v="2013-03-01T00:00:00" u="1"/>
        <d v="2014-03-01T00:00:00" u="1"/>
        <d v="2013-12-01T00:00:00" u="1"/>
        <d v="2015-02-01T00:00:00" u="1"/>
        <d v="2013-11-01T00:00:00" u="1"/>
        <d v="2014-01-01T00:00:00" u="1"/>
        <d v="2015-10-01T00:00:00" u="1"/>
        <d v="2013-08-01T00:00:00" u="1"/>
      </sharedItems>
    </cacheField>
    <cacheField name="Day Received" numFmtId="14">
      <sharedItems containsSemiMixedTypes="0" containsNonDate="0" containsDate="1" containsString="0" minDate="2013-03-13T00:00:00" maxDate="2015-12-01T00:00:00" count="381">
        <d v="2013-07-18T00:00:00"/>
        <d v="2013-09-25T00:00:00"/>
        <d v="2013-10-01T00:00:00"/>
        <d v="2014-02-24T00:00:00"/>
        <d v="2014-05-07T00:00:00"/>
        <d v="2014-08-15T00:00:00"/>
        <d v="2014-08-07T00:00:00"/>
        <d v="2014-09-10T00:00:00"/>
        <d v="2014-08-08T00:00:00"/>
        <d v="2014-08-18T00:00:00"/>
        <d v="2014-09-15T00:00:00"/>
        <d v="2014-09-23T00:00:00"/>
        <d v="2014-09-30T00:00:00"/>
        <d v="2014-10-23T00:00:00"/>
        <d v="2014-10-28T00:00:00"/>
        <d v="2014-10-20T00:00:00"/>
        <d v="2014-11-05T00:00:00"/>
        <d v="2014-10-08T00:00:00"/>
        <d v="2014-10-10T00:00:00"/>
        <d v="2014-10-15T00:00:00"/>
        <d v="2014-11-06T00:00:00"/>
        <d v="2014-11-14T00:00:00"/>
        <d v="2014-11-25T00:00:00"/>
        <d v="2014-12-10T00:00:00"/>
        <d v="2014-12-29T00:00:00"/>
        <d v="2015-01-07T00:00:00"/>
        <d v="2015-03-13T00:00:00"/>
        <d v="2015-03-25T00:00:00"/>
        <d v="2015-03-30T00:00:00"/>
        <d v="2015-04-17T00:00:00"/>
        <d v="2015-04-20T00:00:00"/>
        <d v="2015-05-29T00:00:00"/>
        <d v="2015-05-30T00:00:00"/>
        <d v="2015-06-11T00:00:00"/>
        <d v="2015-06-09T00:00:00"/>
        <d v="2015-06-15T00:00:00"/>
        <d v="2015-06-17T00:00:00"/>
        <d v="2015-06-30T00:00:00"/>
        <d v="2015-07-13T00:00:00"/>
        <d v="2015-09-03T00:00:00"/>
        <d v="2015-09-04T00:00:00"/>
        <d v="2015-11-18T00:00:00"/>
        <d v="2014-06-10T00:00:00" u="1"/>
        <d v="2014-08-01T00:00:00" u="1"/>
        <d v="2015-01-23T00:00:00" u="1"/>
        <d v="2015-05-05T00:00:00" u="1"/>
        <d v="2013-10-11T00:00:00" u="1"/>
        <d v="2014-07-15T00:00:00" u="1"/>
        <d v="2015-02-28T00:00:00" u="1"/>
        <d v="2015-06-10T00:00:00" u="1"/>
        <d v="2013-11-16T00:00:00" u="1"/>
        <d v="2014-01-16T00:00:00" u="1"/>
        <d v="2014-03-07T00:00:00" u="1"/>
        <d v="2014-08-20T00:00:00" u="1"/>
        <d v="2014-12-02T00:00:00" u="1"/>
        <d v="2015-02-02T00:00:00" u="1"/>
        <d v="2013-07-08T00:00:00" u="1"/>
        <d v="2013-10-30T00:00:00" u="1"/>
        <d v="2014-02-21T00:00:00" u="1"/>
        <d v="2014-06-03T00:00:00" u="1"/>
        <d v="2014-09-25T00:00:00" u="1"/>
        <d v="2015-01-16T00:00:00" u="1"/>
        <d v="2013-08-13T00:00:00" u="1"/>
        <d v="2013-10-04T00:00:00" u="1"/>
        <d v="2014-03-26T00:00:00" u="1"/>
        <d v="2014-07-08T00:00:00" u="1"/>
        <d v="2014-10-30T00:00:00" u="1"/>
        <d v="2013-09-18T00:00:00" u="1"/>
        <d v="2014-01-09T00:00:00" u="1"/>
        <d v="2014-08-13T00:00:00" u="1"/>
        <d v="2015-03-26T00:00:00" u="1"/>
        <d v="2015-07-08T00:00:00" u="1"/>
        <d v="2013-10-23T00:00:00" u="1"/>
        <d v="2014-09-18T00:00:00" u="1"/>
        <d v="2015-01-09T00:00:00" u="1"/>
        <d v="2015-08-13T00:00:00" u="1"/>
        <d v="2013-08-06T00:00:00" u="1"/>
        <d v="2014-03-19T00:00:00" u="1"/>
        <d v="2014-07-01T00:00:00" u="1"/>
        <d v="2013-09-11T00:00:00" u="1"/>
        <d v="2014-01-02T00:00:00" u="1"/>
        <d v="2014-04-24T00:00:00" u="1"/>
        <d v="2014-08-06T00:00:00" u="1"/>
        <d v="2015-03-19T00:00:00" u="1"/>
        <d v="2014-05-29T00:00:00" u="1"/>
        <d v="2014-09-11T00:00:00" u="1"/>
        <d v="2015-01-02T00:00:00" u="1"/>
        <d v="2015-08-06T00:00:00" u="1"/>
        <d v="2013-11-21T00:00:00" u="1"/>
        <d v="2014-03-12T00:00:00" u="1"/>
        <d v="2014-08-25T00:00:00" u="1"/>
        <d v="2014-10-16T00:00:00" u="1"/>
        <d v="2015-07-20T00:00:00" u="1"/>
        <d v="2015-11-02T00:00:00" u="1"/>
        <d v="2013-09-04T00:00:00" u="1"/>
        <d v="2013-12-26T00:00:00" u="1"/>
        <d v="2014-02-26T00:00:00" u="1"/>
        <d v="2014-04-17T00:00:00" u="1"/>
        <d v="2014-11-21T00:00:00" u="1"/>
        <d v="2014-09-04T00:00:00" u="1"/>
        <d v="2015-02-26T00:00:00" u="1"/>
        <d v="2013-09-23T00:00:00" u="1"/>
        <d v="2013-11-14T00:00:00" u="1"/>
        <d v="2014-01-14T00:00:00" u="1"/>
        <d v="2014-03-05T00:00:00" u="1"/>
        <d v="2014-06-27T00:00:00" u="1"/>
        <d v="2015-03-31T00:00:00" u="1"/>
        <d v="2015-05-22T00:00:00" u="1"/>
        <d v="2013-12-19T00:00:00" u="1"/>
        <d v="2014-04-10T00:00:00" u="1"/>
        <d v="2015-01-14T00:00:00" u="1"/>
        <d v="2015-03-05T00:00:00" u="1"/>
        <d v="2015-10-09T00:00:00" u="1"/>
        <d v="2013-10-02T00:00:00" u="1"/>
        <d v="2014-03-24T00:00:00" u="1"/>
        <d v="2014-05-15T00:00:00" u="1"/>
        <d v="2014-12-19T00:00:00" u="1"/>
        <d v="2013-07-25T00:00:00" u="1"/>
        <d v="2013-11-07T00:00:00" u="1"/>
        <d v="2014-04-29T00:00:00" u="1"/>
        <d v="2014-06-20T00:00:00" u="1"/>
        <d v="2014-10-02T00:00:00" u="1"/>
        <d v="2015-03-24T00:00:00" u="1"/>
        <d v="2015-05-15T00:00:00" u="1"/>
        <d v="2013-08-30T00:00:00" u="1"/>
        <d v="2013-10-21T00:00:00" u="1"/>
        <d v="2013-12-12T00:00:00" u="1"/>
        <d v="2014-02-12T00:00:00" u="1"/>
        <d v="2014-04-03T00:00:00" u="1"/>
        <d v="2014-07-25T00:00:00" u="1"/>
        <d v="2014-09-16T00:00:00" u="1"/>
        <d v="2015-04-29T00:00:00" u="1"/>
        <d v="2015-08-11T00:00:00" u="1"/>
        <d v="2014-05-08T00:00:00" u="1"/>
        <d v="2014-10-21T00:00:00" u="1"/>
        <d v="2014-12-12T00:00:00" u="1"/>
        <d v="2015-02-12T00:00:00" u="1"/>
        <d v="2013-09-09T00:00:00" u="1"/>
        <d v="2013-12-31T00:00:00" u="1"/>
        <d v="2014-04-22T00:00:00" u="1"/>
        <d v="2015-01-26T00:00:00" u="1"/>
        <d v="2015-05-08T00:00:00" u="1"/>
        <d v="2013-08-23T00:00:00" u="1"/>
        <d v="2013-10-14T00:00:00" u="1"/>
        <d v="2013-12-05T00:00:00" u="1"/>
        <d v="2014-05-27T00:00:00" u="1"/>
        <d v="2014-07-18T00:00:00" u="1"/>
        <d v="2014-09-09T00:00:00" u="1"/>
        <d v="2015-04-22T00:00:00" u="1"/>
        <d v="2014-03-10T00:00:00" u="1"/>
        <d v="2014-05-01T00:00:00" u="1"/>
        <d v="2014-10-14T00:00:00" u="1"/>
        <d v="2014-12-05T00:00:00" u="1"/>
        <d v="2015-02-05T00:00:00" u="1"/>
        <d v="2015-09-09T00:00:00" u="1"/>
        <d v="2013-07-11T00:00:00" u="1"/>
        <d v="2014-11-19T00:00:00" u="1"/>
        <d v="2015-01-19T00:00:00" u="1"/>
        <d v="2015-05-01T00:00:00" u="1"/>
        <d v="2014-05-20T00:00:00" u="1"/>
        <d v="2014-09-02T00:00:00" u="1"/>
        <d v="2015-02-24T00:00:00" u="1"/>
        <d v="2015-04-15T00:00:00" u="1"/>
        <d v="2015-11-19T00:00:00" u="1"/>
        <d v="2013-07-30T00:00:00" u="1"/>
        <d v="2013-11-12T00:00:00" u="1"/>
        <d v="2014-10-07T00:00:00" u="1"/>
        <d v="2015-05-20T00:00:00" u="1"/>
        <d v="2013-12-17T00:00:00" u="1"/>
        <d v="2014-02-17T00:00:00" u="1"/>
        <d v="2014-07-30T00:00:00" u="1"/>
        <d v="2014-11-12T00:00:00" u="1"/>
        <d v="2015-03-03T00:00:00" u="1"/>
        <d v="2013-08-09T00:00:00" u="1"/>
        <d v="2014-01-31T00:00:00" u="1"/>
        <d v="2014-05-13T00:00:00" u="1"/>
        <d v="2014-12-17T00:00:00" u="1"/>
        <d v="2015-04-08T00:00:00" u="1"/>
        <d v="2015-07-30T00:00:00" u="1"/>
        <d v="2015-09-21T00:00:00" u="1"/>
        <d v="2013-07-23T00:00:00" u="1"/>
        <d v="2013-09-14T00:00:00" u="1"/>
        <d v="2013-11-05T00:00:00" u="1"/>
        <d v="2014-06-18T00:00:00" u="1"/>
        <d v="2013-12-10T00:00:00" u="1"/>
        <d v="2014-04-01T00:00:00" u="1"/>
        <d v="2014-07-23T00:00:00" u="1"/>
        <d v="2015-06-18T00:00:00" u="1"/>
        <d v="2014-05-06T00:00:00" u="1"/>
        <d v="2014-08-28T00:00:00" u="1"/>
        <d v="2015-02-10T00:00:00" u="1"/>
        <d v="2015-04-01T00:00:00" u="1"/>
        <d v="2015-07-23T00:00:00" u="1"/>
        <d v="2014-06-11T00:00:00" u="1"/>
        <d v="2015-10-19T00:00:00" u="1"/>
        <d v="2013-06-30T00:00:00" u="1"/>
        <d v="2013-12-03T00:00:00" u="1"/>
        <d v="2014-02-03T00:00:00" u="1"/>
        <d v="2013-09-26T00:00:00" u="1"/>
        <d v="2014-01-17T00:00:00" u="1"/>
        <d v="2014-06-30T00:00:00" u="1"/>
        <d v="2015-02-03T00:00:00" u="1"/>
        <d v="2015-07-16T00:00:00" u="1"/>
        <d v="2013-07-09T00:00:00" u="1"/>
        <d v="2013-10-31T00:00:00" u="1"/>
        <d v="2014-09-26T00:00:00" u="1"/>
        <d v="2014-11-17T00:00:00" u="1"/>
        <d v="2013-10-05T00:00:00" u="1"/>
        <d v="2014-03-27T00:00:00" u="1"/>
        <d v="2014-07-09T00:00:00" u="1"/>
        <d v="2014-10-31T00:00:00" u="1"/>
        <d v="2014-12-22T00:00:00" u="1"/>
        <d v="2015-04-13T00:00:00" u="1"/>
        <d v="2015-06-04T00:00:00" u="1"/>
        <d v="2013-09-19T00:00:00" u="1"/>
        <d v="2014-06-23T00:00:00" u="1"/>
        <d v="2014-08-14T00:00:00" u="1"/>
        <d v="2015-03-27T00:00:00" u="1"/>
        <d v="2015-05-18T00:00:00" u="1"/>
        <d v="2015-07-09T00:00:00" u="1"/>
        <d v="2013-10-24T00:00:00" u="1"/>
        <d v="2014-09-19T00:00:00" u="1"/>
        <d v="2014-11-10T00:00:00" u="1"/>
        <d v="2013-08-07T00:00:00" u="1"/>
        <d v="2014-03-20T00:00:00" u="1"/>
        <d v="2014-07-02T00:00:00" u="1"/>
        <d v="2014-12-15T00:00:00" u="1"/>
        <d v="2015-07-28T00:00:00" u="1"/>
        <d v="2015-11-10T00:00:00" u="1"/>
        <d v="2013-09-12T00:00:00" u="1"/>
        <d v="2015-01-29T00:00:00" u="1"/>
        <d v="2015-03-20T00:00:00" u="1"/>
        <d v="2015-07-02T00:00:00" u="1"/>
        <d v="2013-03-13T00:00:00" u="1"/>
        <d v="2013-08-26T00:00:00" u="1"/>
        <d v="2013-10-17T00:00:00" u="1"/>
        <d v="2014-07-21T00:00:00" u="1"/>
        <d v="2014-09-12T00:00:00" u="1"/>
        <d v="2014-11-03T00:00:00" u="1"/>
        <d v="2015-06-16T00:00:00" u="1"/>
        <d v="2015-08-07T00:00:00" u="1"/>
        <d v="2013-11-22T00:00:00" u="1"/>
        <d v="2014-03-13T00:00:00" u="1"/>
        <d v="2014-08-26T00:00:00" u="1"/>
        <d v="2014-10-17T00:00:00" u="1"/>
        <d v="2013-09-05T00:00:00" u="1"/>
        <d v="2014-02-27T00:00:00" u="1"/>
        <d v="2014-04-18T00:00:00" u="1"/>
        <d v="2014-06-09T00:00:00" u="1"/>
        <d v="2015-05-04T00:00:00" u="1"/>
        <d v="2013-08-19T00:00:00" u="1"/>
        <d v="2014-02-01T00:00:00" u="1"/>
        <d v="2014-05-23T00:00:00" u="1"/>
        <d v="2014-07-14T00:00:00" u="1"/>
        <d v="2013-09-24T00:00:00" u="1"/>
        <d v="2014-01-15T00:00:00" u="1"/>
        <d v="2014-03-06T00:00:00" u="1"/>
        <d v="2014-12-01T00:00:00" u="1"/>
        <d v="2015-07-14T00:00:00" u="1"/>
        <d v="2013-10-29T00:00:00" u="1"/>
        <d v="2013-12-20T00:00:00" u="1"/>
        <d v="2014-03-25T00:00:00" u="1"/>
        <d v="2014-05-16T00:00:00" u="1"/>
        <d v="2013-09-17T00:00:00" u="1"/>
        <d v="2013-11-08T00:00:00" u="1"/>
        <d v="2014-04-30T00:00:00" u="1"/>
        <d v="2014-08-12T00:00:00" u="1"/>
        <d v="2014-10-03T00:00:00" u="1"/>
        <d v="2015-07-07T00:00:00" u="1"/>
        <d v="2015-10-29T00:00:00" u="1"/>
        <d v="2013-10-22T00:00:00" u="1"/>
        <d v="2013-12-13T00:00:00" u="1"/>
        <d v="2014-02-13T00:00:00" u="1"/>
        <d v="2014-04-04T00:00:00" u="1"/>
        <d v="2014-09-17T00:00:00" u="1"/>
        <d v="2015-01-08T00:00:00" u="1"/>
        <d v="2015-04-30T00:00:00" u="1"/>
        <d v="2015-08-12T00:00:00" u="1"/>
        <d v="2014-01-27T00:00:00" u="1"/>
        <d v="2014-03-18T00:00:00" u="1"/>
        <d v="2014-05-09T00:00:00" u="1"/>
        <d v="2015-02-13T00:00:00" u="1"/>
        <d v="2013-07-19T00:00:00" u="1"/>
        <d v="2013-11-01T00:00:00" u="1"/>
        <d v="2014-04-23T00:00:00" u="1"/>
        <d v="2015-03-18T00:00:00" u="1"/>
        <d v="2013-12-06T00:00:00" u="1"/>
        <d v="2014-02-06T00:00:00" u="1"/>
        <d v="2014-05-28T00:00:00" u="1"/>
        <d v="2015-01-01T00:00:00" u="1"/>
        <d v="2015-04-23T00:00:00" u="1"/>
        <d v="2014-03-11T00:00:00" u="1"/>
        <d v="2014-05-02T00:00:00" u="1"/>
        <d v="2015-05-28T00:00:00" u="1"/>
        <d v="2013-09-03T00:00:00" u="1"/>
        <d v="2014-02-25T00:00:00" u="1"/>
        <d v="2014-04-16T00:00:00" u="1"/>
        <d v="2014-09-29T00:00:00" u="1"/>
        <d v="2014-11-20T00:00:00" u="1"/>
        <d v="2013-08-17T00:00:00" u="1"/>
        <d v="2013-10-08T00:00:00" u="1"/>
        <d v="2014-05-21T00:00:00" u="1"/>
        <d v="2014-09-03T00:00:00" u="1"/>
        <d v="2015-04-16T00:00:00" u="1"/>
        <d v="2013-07-31T00:00:00" u="1"/>
        <d v="2014-03-04T00:00:00" u="1"/>
        <d v="2014-06-26T00:00:00" u="1"/>
        <d v="2015-05-21T00:00:00" u="1"/>
        <d v="2013-07-05T00:00:00" u="1"/>
        <d v="2014-02-18T00:00:00" u="1"/>
        <d v="2014-07-31T00:00:00" u="1"/>
        <d v="2014-09-22T00:00:00" u="1"/>
        <d v="2014-11-13T00:00:00" u="1"/>
        <d v="2015-06-26T00:00:00" u="1"/>
        <d v="2015-08-17T00:00:00" u="1"/>
        <d v="2015-10-08T00:00:00" u="1"/>
        <d v="2014-10-27T00:00:00" u="1"/>
        <d v="2014-12-18T00:00:00" u="1"/>
        <d v="2015-07-31T00:00:00" u="1"/>
        <d v="2013-07-24T00:00:00" u="1"/>
        <d v="2013-11-06T00:00:00" u="1"/>
        <d v="2014-01-06T00:00:00" u="1"/>
        <d v="2014-04-28T00:00:00" u="1"/>
        <d v="2014-10-01T00:00:00" u="1"/>
        <d v="2015-05-14T00:00:00" u="1"/>
        <d v="2013-08-29T00:00:00" u="1"/>
        <d v="2014-02-11T00:00:00" u="1"/>
        <d v="2014-07-24T00:00:00" u="1"/>
        <d v="2015-04-28T00:00:00" u="1"/>
        <d v="2013-11-25T00:00:00" u="1"/>
        <d v="2014-08-29T00:00:00" u="1"/>
        <d v="2014-12-11T00:00:00" u="1"/>
        <d v="2015-04-02T00:00:00" u="1"/>
        <d v="2013-12-30T00:00:00" u="1"/>
        <d v="2014-04-21T00:00:00" u="1"/>
        <d v="2014-06-12T00:00:00" u="1"/>
        <d v="2015-05-07T00:00:00" u="1"/>
        <d v="2013-08-22T00:00:00" u="1"/>
        <d v="2013-12-04T00:00:00" u="1"/>
        <d v="2014-02-04T00:00:00" u="1"/>
        <d v="2014-07-17T00:00:00" u="1"/>
        <d v="2013-09-27T00:00:00" u="1"/>
        <d v="2013-11-18T00:00:00" u="1"/>
        <d v="2014-08-22T00:00:00" u="1"/>
        <d v="2014-12-04T00:00:00" u="1"/>
        <d v="2015-02-04T00:00:00" u="1"/>
        <d v="2013-12-23T00:00:00" u="1"/>
        <d v="2014-04-14T00:00:00" u="1"/>
        <d v="2014-06-05T00:00:00" u="1"/>
        <d v="2014-11-18T00:00:00" u="1"/>
        <d v="2015-03-09T00:00:00" u="1"/>
        <d v="2014-03-28T00:00:00" u="1"/>
        <d v="2014-07-10T00:00:00" u="1"/>
        <d v="2014-12-23T00:00:00" u="1"/>
        <d v="2015-02-23T00:00:00" u="1"/>
        <d v="2015-04-14T00:00:00" u="1"/>
        <d v="2015-06-05T00:00:00" u="1"/>
        <d v="2013-09-20T00:00:00" u="1"/>
        <d v="2014-10-06T00:00:00" u="1"/>
        <d v="2015-07-10T00:00:00" u="1"/>
        <d v="2015-09-01T00:00:00" u="1"/>
        <d v="2013-07-03T00:00:00" u="1"/>
        <d v="2014-04-07T00:00:00" u="1"/>
        <d v="2014-07-29T00:00:00" u="1"/>
        <d v="2015-06-24T00:00:00" u="1"/>
        <d v="2013-08-08T00:00:00" u="1"/>
        <d v="2014-03-21T00:00:00" u="1"/>
        <d v="2014-05-12T00:00:00" u="1"/>
        <d v="2014-07-03T00:00:00" u="1"/>
        <d v="2015-02-16T00:00:00" u="1"/>
        <d v="2014-06-17T00:00:00" u="1"/>
        <d v="2013-08-27T00:00:00" u="1"/>
        <d v="2013-10-18T00:00:00" u="1"/>
        <d v="2013-12-09T00:00:00" u="1"/>
        <d v="2014-07-22T00:00:00" u="1"/>
        <d v="2015-08-08T00:00:00" u="1"/>
        <d v="2015-11-30T00:00:00" u="1"/>
        <d v="2013-08-01T00:00:00" u="1"/>
        <d v="2014-01-23T00:00:00" u="1"/>
        <d v="2014-03-14T00:00:00" u="1"/>
        <d v="2015-07-22T00:00:00" u="1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enjamin Trivett" refreshedDate="42349.969084143515" createdVersion="3" refreshedVersion="3" minRefreshableVersion="3" recordCount="129">
  <cacheSource type="worksheet">
    <worksheetSource name="DbCustomers[#All]"/>
  </cacheSource>
  <cacheFields count="12">
    <cacheField name="ID" numFmtId="0">
      <sharedItems containsSemiMixedTypes="0" containsString="0" containsNumber="1" containsInteger="1" minValue="227" maxValue="374"/>
    </cacheField>
    <cacheField name="Company" numFmtId="0">
      <sharedItems count="259">
        <s v="Company1"/>
        <s v="Company10"/>
        <s v="Company100"/>
        <s v="Company101"/>
        <s v="Company102"/>
        <s v="Company103"/>
        <s v="Company104"/>
        <s v="Company105"/>
        <s v="Company106"/>
        <s v="Company107"/>
        <s v="Company108"/>
        <s v="Company109"/>
        <s v="Company11"/>
        <s v="Company110"/>
        <s v="Company111"/>
        <s v="Company112"/>
        <s v="Company113"/>
        <s v="Company114"/>
        <s v="Company115"/>
        <s v="Company116"/>
        <s v="Company117"/>
        <s v="Company118"/>
        <s v="Company119"/>
        <s v="Company12"/>
        <s v="Company120"/>
        <s v="Company121"/>
        <s v="Company122"/>
        <s v="Company123"/>
        <s v="Company124"/>
        <s v="Company125"/>
        <s v="Company126"/>
        <s v="Company127"/>
        <s v="Company128"/>
        <s v="Company129"/>
        <s v="Company13"/>
        <s v="Company14"/>
        <s v="Company15"/>
        <s v="Company16"/>
        <s v="Company17"/>
        <s v="Company18"/>
        <s v="Company19"/>
        <s v="Company2"/>
        <s v="Company20"/>
        <s v="Company21"/>
        <s v="Company22"/>
        <s v="Company23"/>
        <s v="Company24"/>
        <s v="Company25"/>
        <s v="Company26"/>
        <s v="Company27"/>
        <s v="Company28"/>
        <s v="Company29"/>
        <s v="Company3"/>
        <s v="Company30"/>
        <s v="Company31"/>
        <s v="Company32"/>
        <s v="Company33"/>
        <s v="Company34"/>
        <s v="Company35"/>
        <s v="Company36"/>
        <s v="Company37"/>
        <s v="Company38"/>
        <s v="Company39"/>
        <s v="Company4"/>
        <s v="Company40"/>
        <s v="Company41"/>
        <s v="Company42"/>
        <s v="Company43"/>
        <s v="Company44"/>
        <s v="Company45"/>
        <s v="Company46"/>
        <s v="Company47"/>
        <s v="Company48"/>
        <s v="Company49"/>
        <s v="Company5"/>
        <s v="Company50"/>
        <s v="Company51"/>
        <s v="Company52"/>
        <s v="Company53"/>
        <s v="Company54"/>
        <s v="Company55"/>
        <s v="Company56"/>
        <s v="Company57"/>
        <s v="Company58"/>
        <s v="Company59"/>
        <s v="Company6"/>
        <s v="Company60"/>
        <s v="Company61"/>
        <s v="Company62"/>
        <s v="Company63"/>
        <s v="Company64"/>
        <s v="Company65"/>
        <s v="Company66"/>
        <s v="Company67"/>
        <s v="Company68"/>
        <s v="Company69"/>
        <s v="Company7"/>
        <s v="Company70"/>
        <s v="Company71"/>
        <s v="Company72"/>
        <s v="Company73"/>
        <s v="Company74"/>
        <s v="Company75"/>
        <s v="Company76"/>
        <s v="Company77"/>
        <s v="Company78"/>
        <s v="Company79"/>
        <s v="Company8"/>
        <s v="Company80"/>
        <s v="Company81"/>
        <s v="Company82"/>
        <s v="Company83"/>
        <s v="Company84"/>
        <s v="Company85"/>
        <s v="Company86"/>
        <s v="Company87"/>
        <s v="Company88"/>
        <s v="Company89"/>
        <s v="Company9"/>
        <s v="Company90"/>
        <s v="Company91"/>
        <s v="Company92"/>
        <s v="Company93"/>
        <s v="Company94"/>
        <s v="Company95"/>
        <s v="Company96"/>
        <s v="Company97"/>
        <s v="Company98"/>
        <s v="Company99"/>
        <s v="FRANKLIN COUNTY FLEET" u="1"/>
        <s v="ACCENT WIRE" u="1"/>
        <s v="CHEP WILLIAMS" u="1"/>
        <s v="EVER PLASTIC CO, LTD" u="1"/>
        <s v="HUNTER DOUGLAS METALS, INC." u="1"/>
        <s v="LIKING MEMORIAL HEALTH SYSTEMS" u="1"/>
        <s v="FUNAI CORP" u="1"/>
        <s v="ARES SPORTSWEAR" u="1"/>
        <s v="STRAUSS INDUSTRIES" u="1"/>
        <s v="GROTE" u="1"/>
        <s v="DW LIFT" u="1"/>
        <s v="CSX - SIGNAL DEPT" u="1"/>
        <s v="YOKOWO MFG. OF AMERICA" u="1"/>
        <s v="KENCO" u="1"/>
        <s v="MANGOAL INC" u="1"/>
        <s v="ACI GLOBAL RESOURCES, INC" u="1"/>
        <s v="ARROW RECOVERY-Asset Mgmt Group" u="1"/>
        <s v="CITY OF COLUMBUS DEPT OF PUBLIC UTILITIES" u="1"/>
        <s v="V.O.A." u="1"/>
        <s v="Public / Walk-in" u="1"/>
        <s v="KREYENBORG INDUSTRIES" u="1"/>
        <s v="INTERTEK" u="1"/>
        <s v="SHERWIN WILLIAMS" u="1"/>
        <s v="LENNOX" u="1"/>
        <s v="SHAKLEE" u="1"/>
        <s v="FREE LANCE" u="1"/>
        <s v="I2T INTEGRATED INDUSTRIAL TECHNOLOGIES, INC" u="1"/>
        <s v="E" u="1"/>
        <s v="McKINSEY&amp;COMPANY" u="1"/>
        <s v="E.T.M." u="1"/>
        <s v="Franklin Farms" u="1"/>
        <s v="ALLRITE LOGISTICS" u="1"/>
        <s v="ABBOTT CHECKREIN" u="1"/>
        <s v="COCA-COLA" u="1"/>
        <s v="COLUMBUS REGINAL AIRPORT AUTHORITY" u="1"/>
        <s v="CW Services" u="1"/>
        <s v="ABBOTT STELZER" u="1"/>
        <s v="CITY OF COLUMBUS " u="1"/>
        <s v="F.N.B CAPITAL CORP." u="1"/>
        <s v="GBB-GERSHMAN, BRICKNER &amp; BRATTON, INC" u="1"/>
        <s v="INTERSTATE BATTERIES" u="1"/>
        <s v="WHIRLPOOL" u="1"/>
        <s v="INSIDE OUTFITTERS INC." u="1"/>
        <s v="WHIRLPOOL PENSKE" u="1"/>
        <s v="MCT-METAL CONVERSION TECHNOLOGIES, LLC" u="1"/>
        <s v="Rocktenn" u="1"/>
        <s v="UPPER ARLINGTON" u="1"/>
        <s v="FRANKLIN COUNTY JAIL" u="1"/>
        <s v="YRC/REVERSE  LOGISTICS" u="1"/>
        <s v="Clean Sweep recycling" u="1"/>
        <s v="UNITED MCGILL GROVEPORT" u="1"/>
        <s v="FUNAI SERVICE CORP (FSC)" u="1"/>
        <s v="ROSS ENVIRONMETNAL SERVICES, INC." u="1"/>
        <s v="ABBOTT KINGSMILL" u="1"/>
        <s v="GARTNER" u="1"/>
        <s v="SBC LOGISTICS" u="1"/>
        <s v="AMTEKCO INDUSTRIES" u="1"/>
        <s v="ALCATEL LUCENT TECHNOLOGIES" u="1"/>
        <s v="PAGER &amp; CELLUAR COMMUNICATIONS" u="1"/>
        <s v="DSW" u="1"/>
        <s v="WHIRLPOOL NEW BREED" u="1"/>
        <s v="CLASSIC RESSURECTION" u="1"/>
        <s v="UNITED RENTAL " u="1"/>
        <s v="CONTAINER PORT GROUP" u="1"/>
        <s v="STANLEY BLACK &amp; DECKER" u="1"/>
        <s v="MOTORISTS INSURANCE" u="1"/>
        <s v="DAVIS INSTRUMENTSCONTAINER PORT" u="1"/>
        <s v="STONEMART" u="1"/>
        <s v="ABBOTT CLEVELAND" u="1"/>
        <s v="SYMSERVE" u="1"/>
        <s v="ART.COM" u="1"/>
        <s v="HOCKING COLLEGE" u="1"/>
        <s v="PARETO" u="1"/>
        <s v="DANNY WILSON" u="1"/>
        <s v="ALCOA RECYCLING" u="1"/>
        <s v="GREEN VANDERBILT" u="1"/>
        <s v="LIFECARE ALLIANCE" u="1"/>
        <s v="ATNI--ASSOCIATED TELE-NETWORKING. INC." u="1"/>
        <s v="CLOSED LOOP INC" u="1"/>
        <s v="A-Z RECYCLING, INC" u="1"/>
        <s v="BUCKEYE RANCH" u="1"/>
        <s v="U PART IT, LLC" u="1"/>
        <s v="AHRESTY WILMINGTON CORP" u="1"/>
        <s v="USED CARDBOARD BOXES.COM" u="1"/>
        <s v="LICKING COUNTY BOARD OF DD" u="1"/>
        <s v="EASTERN WIRE" u="1"/>
        <s v="KRC INDUSTRIES" u="1"/>
        <s v="UNITED MCGILL COLUMBUS" u="1"/>
        <s v="KANAWHA" u="1"/>
        <s v="ARCELORMITTAL" u="1"/>
        <s v="E-TAP MANAGEMENT" u="1"/>
        <s v="GEO-TECH POLYMERS" u="1"/>
        <s v="COLL MATERIALS, LLC" u="1"/>
        <s v="ASSOCIATION OF POSTCONSUMER PLASTIC RECYCLERS" u="1"/>
        <s v="UPI" u="1"/>
        <s v="MENTECH" u="1"/>
        <s v="INTERCO" u="1"/>
        <s v="ATM Partmart" u="1"/>
        <s v="ACCURATE LOGISTICS" u="1"/>
        <s v="ARAMCO, INC" u="1"/>
        <s v="METTLER TOLEDO" u="1"/>
        <s v="STAR PACKAGING" u="1"/>
        <s v="GOODWILL-SOUTHWESTERN PENNSYLVANIA" u="1"/>
        <s v="TRINITY METALS" u="1"/>
        <s v="UNIVERSAL LUBRICANTS, LLC" u="1"/>
        <s v="ABBOTT NEILSTON" u="1"/>
        <s v="FRANKLIN TRACTOR" u="1"/>
        <s v="ATM part mart.com" u="1"/>
        <s v="Whirlpool (Motors Link)" u="1"/>
        <s v="MODERN RECYCLING CORP" u="1"/>
        <s v="GANNON&amp;SCOTT" u="1"/>
        <s v="KINGSPAN" u="1"/>
        <s v="CTDI" u="1"/>
        <s v="NIFCO AMERICA" u="1"/>
        <s v="CAPITAL CITY CRANE" u="1"/>
        <s v="CUSHMAN &amp; WAKEFIELD" u="1"/>
        <s v="GABRIEL LOGAN" u="1"/>
        <s v="OHIO EPA" u="1"/>
        <s v="SYSTEM DESIGN ADVANTAGE" u="1"/>
        <s v="NATIONAL BEVERAGE" u="1"/>
        <s v="JENSEN SALES GROUP" u="1"/>
        <s v="DIE TOOLS" u="1"/>
        <s v="G&amp;J PEPSI-COLA BOTTLERS, INC" u="1"/>
        <s v="CHEP JANITROL" u="1"/>
        <s v="FRANKLIN COUNTY" u="1"/>
        <s v="CENTRAL OHIO OIL" u="1"/>
        <s v="CLOVERLEAF COLD STORAGE" u="1"/>
        <s v="ACE IRON &amp; METALS" u="1"/>
        <s v="RECYCLETECH CORP" u="1"/>
        <s v="MCS INDUSTRIES, INC." u="1"/>
      </sharedItems>
    </cacheField>
    <cacheField name="Address" numFmtId="0">
      <sharedItems/>
    </cacheField>
    <cacheField name="Contact Person Last" numFmtId="0">
      <sharedItems/>
    </cacheField>
    <cacheField name="Contact Person First" numFmtId="0">
      <sharedItems/>
    </cacheField>
    <cacheField name="Direct Number" numFmtId="0">
      <sharedItems/>
    </cacheField>
    <cacheField name="Cell Number" numFmtId="0">
      <sharedItems/>
    </cacheField>
    <cacheField name="Email Address" numFmtId="0">
      <sharedItems/>
    </cacheField>
    <cacheField name="Contact Details" numFmtId="0">
      <sharedItems/>
    </cacheField>
    <cacheField name="Credit App?" numFmtId="0">
      <sharedItems/>
    </cacheField>
    <cacheField name="Delivery" numFmtId="0">
      <sharedItems/>
    </cacheField>
    <cacheField name="Equipment / Process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8">
  <r>
    <n v="414"/>
    <x v="0"/>
    <m/>
    <n v="21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d v="1899-12-31T00:00:00"/>
    <s v="Company1441473"/>
    <x v="0"/>
    <x v="0"/>
  </r>
  <r>
    <n v="415"/>
    <x v="0"/>
    <m/>
    <n v="104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16"/>
    <x v="0"/>
    <m/>
    <n v="49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17"/>
    <x v="0"/>
    <m/>
    <n v="51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18"/>
    <x v="1"/>
    <m/>
    <n v="116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19"/>
    <x v="1"/>
    <m/>
    <n v="128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0"/>
    <x v="1"/>
    <m/>
    <n v="103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1"/>
    <x v="2"/>
    <m/>
    <n v="18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2"/>
    <x v="2"/>
    <m/>
    <n v="16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3"/>
    <x v="2"/>
    <m/>
    <n v="41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4"/>
    <x v="2"/>
    <m/>
    <n v="838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5"/>
    <x v="2"/>
    <m/>
    <n v="16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6"/>
    <x v="2"/>
    <m/>
    <n v="13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7"/>
    <x v="2"/>
    <m/>
    <n v="128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8"/>
    <x v="2"/>
    <m/>
    <n v="14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29"/>
    <x v="2"/>
    <m/>
    <n v="122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30"/>
    <x v="2"/>
    <m/>
    <n v="132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31"/>
    <x v="2"/>
    <m/>
    <n v="10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32"/>
    <x v="2"/>
    <m/>
    <n v="13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33"/>
    <x v="2"/>
    <m/>
    <n v="108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434"/>
    <x v="2"/>
    <m/>
    <n v="180"/>
    <s v="Location6"/>
    <d v="2013-07-18T00:00:00"/>
    <x v="0"/>
    <m/>
    <n v="-1"/>
    <d v="2013-07-29T00:00:00"/>
    <d v="1899-12-30T00:00:00"/>
    <m/>
    <m/>
    <m/>
    <d v="1899-12-30T00:00:00"/>
    <d v="2013-07-29T15:08:15"/>
    <m/>
    <m/>
    <d v="1899-12-30T00:00:00"/>
    <d v="1899-12-30T00:00:00"/>
    <d v="1899-12-30T00:00:00"/>
    <s v=""/>
    <s v="Company1441473"/>
    <x v="0"/>
    <x v="0"/>
  </r>
  <r>
    <n v="1822"/>
    <x v="3"/>
    <m/>
    <n v="106"/>
    <s v="Location3"/>
    <d v="2013-09-25T00:00:00"/>
    <x v="0"/>
    <s v="1615"/>
    <d v="1899-12-30T00:00:00"/>
    <m/>
    <m/>
    <m/>
    <m/>
    <m/>
    <d v="1899-12-30T00:00:00"/>
    <d v="2013-09-27T09:18:24"/>
    <m/>
    <m/>
    <d v="1899-12-30T00:00:00"/>
    <d v="1899-12-30T00:00:00"/>
    <d v="1899-12-30T00:00:00"/>
    <d v="1899-12-31T00:00:00"/>
    <s v="Company14161541542"/>
    <x v="1"/>
    <x v="1"/>
  </r>
  <r>
    <n v="1823"/>
    <x v="3"/>
    <m/>
    <n v="99"/>
    <s v="Location3"/>
    <d v="2013-09-25T00:00:00"/>
    <x v="0"/>
    <s v="1615"/>
    <d v="1899-12-30T00:00:00"/>
    <m/>
    <m/>
    <m/>
    <m/>
    <m/>
    <d v="1899-12-30T00:00:00"/>
    <d v="2013-09-27T09:30:14"/>
    <m/>
    <m/>
    <d v="1899-12-30T00:00:00"/>
    <d v="1899-12-30T00:00:00"/>
    <d v="1899-12-30T00:00:00"/>
    <s v=""/>
    <s v="Company14161541542"/>
    <x v="1"/>
    <x v="1"/>
  </r>
  <r>
    <n v="1824"/>
    <x v="3"/>
    <m/>
    <n v="104"/>
    <s v="Location3"/>
    <d v="2013-09-25T00:00:00"/>
    <x v="0"/>
    <s v="1615"/>
    <d v="1899-12-30T00:00:00"/>
    <m/>
    <m/>
    <m/>
    <m/>
    <m/>
    <d v="1899-12-30T00:00:00"/>
    <d v="2013-09-27T09:30:16"/>
    <m/>
    <m/>
    <d v="1899-12-30T00:00:00"/>
    <d v="1899-12-30T00:00:00"/>
    <d v="1899-12-30T00:00:00"/>
    <s v=""/>
    <s v="Company14161541542"/>
    <x v="1"/>
    <x v="1"/>
  </r>
  <r>
    <n v="1825"/>
    <x v="4"/>
    <m/>
    <n v="148"/>
    <s v="Location3"/>
    <d v="2013-09-25T00:00:00"/>
    <x v="0"/>
    <s v="1615"/>
    <d v="1899-12-30T00:00:00"/>
    <m/>
    <m/>
    <m/>
    <m/>
    <m/>
    <d v="1899-12-30T00:00:00"/>
    <d v="2013-09-27T10:16:58"/>
    <m/>
    <m/>
    <d v="1899-12-30T00:00:00"/>
    <d v="1899-12-30T00:00:00"/>
    <d v="1899-12-30T00:00:00"/>
    <s v=""/>
    <s v="Company14161541542"/>
    <x v="1"/>
    <x v="1"/>
  </r>
  <r>
    <n v="1826"/>
    <x v="4"/>
    <m/>
    <n v="214"/>
    <s v="Location3"/>
    <d v="2013-09-25T00:00:00"/>
    <x v="0"/>
    <s v="1615"/>
    <d v="1899-12-30T00:00:00"/>
    <m/>
    <m/>
    <m/>
    <m/>
    <m/>
    <d v="1899-12-30T00:00:00"/>
    <d v="2013-09-27T10:17:20"/>
    <m/>
    <m/>
    <d v="1899-12-30T00:00:00"/>
    <d v="1899-12-30T00:00:00"/>
    <d v="1899-12-30T00:00:00"/>
    <s v=""/>
    <s v="Company14161541542"/>
    <x v="1"/>
    <x v="1"/>
  </r>
  <r>
    <n v="1827"/>
    <x v="3"/>
    <m/>
    <n v="98"/>
    <s v="Location3"/>
    <d v="2013-09-25T00:00:00"/>
    <x v="0"/>
    <s v="1615"/>
    <d v="1899-12-30T00:00:00"/>
    <m/>
    <m/>
    <m/>
    <m/>
    <m/>
    <d v="1899-12-30T00:00:00"/>
    <d v="2013-09-27T11:00:26"/>
    <m/>
    <m/>
    <d v="1899-12-30T00:00:00"/>
    <d v="1899-12-30T00:00:00"/>
    <d v="1899-12-30T00:00:00"/>
    <s v=""/>
    <s v="Company14161541542"/>
    <x v="1"/>
    <x v="1"/>
  </r>
  <r>
    <n v="1828"/>
    <x v="3"/>
    <m/>
    <n v="94"/>
    <s v="Location3"/>
    <d v="2013-09-25T00:00:00"/>
    <x v="0"/>
    <s v="1615"/>
    <d v="1899-12-30T00:00:00"/>
    <m/>
    <m/>
    <m/>
    <m/>
    <m/>
    <d v="1899-12-30T00:00:00"/>
    <d v="2013-09-27T11:05:24"/>
    <m/>
    <m/>
    <d v="1899-12-30T00:00:00"/>
    <d v="1899-12-30T00:00:00"/>
    <d v="1899-12-30T00:00:00"/>
    <s v=""/>
    <s v="Company14161541542"/>
    <x v="1"/>
    <x v="1"/>
  </r>
  <r>
    <n v="1829"/>
    <x v="2"/>
    <m/>
    <n v="716"/>
    <s v="Location3"/>
    <d v="2013-09-25T00:00:00"/>
    <x v="0"/>
    <s v="1615"/>
    <d v="1899-12-30T00:00:00"/>
    <m/>
    <m/>
    <m/>
    <m/>
    <m/>
    <d v="1899-12-30T00:00:00"/>
    <d v="2013-09-27T11:18:17"/>
    <m/>
    <m/>
    <d v="1899-12-30T00:00:00"/>
    <d v="1899-12-30T00:00:00"/>
    <d v="1899-12-30T00:00:00"/>
    <s v=""/>
    <s v="Company14161541542"/>
    <x v="1"/>
    <x v="1"/>
  </r>
  <r>
    <n v="1830"/>
    <x v="1"/>
    <m/>
    <n v="126"/>
    <s v="Location3"/>
    <d v="2013-09-25T00:00:00"/>
    <x v="0"/>
    <s v="1615"/>
    <d v="1899-12-30T00:00:00"/>
    <m/>
    <m/>
    <m/>
    <m/>
    <m/>
    <d v="1899-12-30T00:00:00"/>
    <d v="2013-09-27T11:35:11"/>
    <m/>
    <m/>
    <d v="1899-12-30T00:00:00"/>
    <d v="1899-12-30T00:00:00"/>
    <d v="1899-12-30T00:00:00"/>
    <s v=""/>
    <s v="Company14161541542"/>
    <x v="1"/>
    <x v="1"/>
  </r>
  <r>
    <n v="1922"/>
    <x v="2"/>
    <m/>
    <n v="64"/>
    <s v="Location3"/>
    <d v="2013-10-01T00:00:00"/>
    <x v="0"/>
    <s v="1615"/>
    <d v="1899-12-30T00:00:00"/>
    <m/>
    <m/>
    <m/>
    <m/>
    <m/>
    <d v="1899-12-30T00:00:00"/>
    <d v="2013-10-01T15:02:24"/>
    <m/>
    <m/>
    <d v="1899-12-30T00:00:00"/>
    <d v="1899-12-30T00:00:00"/>
    <d v="1899-12-30T00:00:00"/>
    <d v="1899-12-31T00:00:00"/>
    <s v="Company14161541548"/>
    <x v="2"/>
    <x v="2"/>
  </r>
  <r>
    <n v="1923"/>
    <x v="1"/>
    <m/>
    <n v="168"/>
    <s v="Location3"/>
    <d v="2013-10-01T00:00:00"/>
    <x v="0"/>
    <s v="1615"/>
    <d v="1899-12-30T00:00:00"/>
    <m/>
    <m/>
    <m/>
    <m/>
    <m/>
    <d v="1899-12-30T00:00:00"/>
    <d v="2013-10-01T15:03:10"/>
    <m/>
    <m/>
    <d v="1899-12-30T00:00:00"/>
    <d v="1899-12-30T00:00:00"/>
    <d v="1899-12-30T00:00:00"/>
    <s v=""/>
    <s v="Company14161541548"/>
    <x v="2"/>
    <x v="2"/>
  </r>
  <r>
    <n v="1924"/>
    <x v="1"/>
    <m/>
    <n v="214"/>
    <s v="Location3"/>
    <d v="2013-10-01T00:00:00"/>
    <x v="0"/>
    <s v="1615"/>
    <d v="1899-12-30T00:00:00"/>
    <m/>
    <m/>
    <m/>
    <m/>
    <m/>
    <d v="1899-12-30T00:00:00"/>
    <d v="2013-10-01T15:07:53"/>
    <m/>
    <m/>
    <d v="1899-12-30T00:00:00"/>
    <d v="1899-12-30T00:00:00"/>
    <d v="1899-12-30T00:00:00"/>
    <s v=""/>
    <s v="Company14161541548"/>
    <x v="2"/>
    <x v="2"/>
  </r>
  <r>
    <n v="1925"/>
    <x v="5"/>
    <m/>
    <n v="48"/>
    <s v="Location3"/>
    <d v="2013-10-01T00:00:00"/>
    <x v="0"/>
    <s v="1615"/>
    <d v="1899-12-30T00:00:00"/>
    <m/>
    <m/>
    <m/>
    <m/>
    <m/>
    <d v="1899-12-30T00:00:00"/>
    <d v="2013-10-01T15:08:26"/>
    <m/>
    <m/>
    <d v="1899-12-30T00:00:00"/>
    <d v="1899-12-30T00:00:00"/>
    <d v="1899-12-30T00:00:00"/>
    <s v=""/>
    <s v="Company14161541548"/>
    <x v="2"/>
    <x v="2"/>
  </r>
  <r>
    <n v="1926"/>
    <x v="4"/>
    <m/>
    <n v="128"/>
    <s v="Location3"/>
    <d v="2013-10-01T00:00:00"/>
    <x v="0"/>
    <s v="1615"/>
    <d v="1899-12-30T00:00:00"/>
    <m/>
    <m/>
    <m/>
    <m/>
    <m/>
    <d v="1899-12-30T00:00:00"/>
    <d v="2013-10-01T15:08:56"/>
    <m/>
    <m/>
    <d v="1899-12-30T00:00:00"/>
    <d v="1899-12-30T00:00:00"/>
    <d v="1899-12-30T00:00:00"/>
    <s v=""/>
    <s v="Company14161541548"/>
    <x v="2"/>
    <x v="2"/>
  </r>
  <r>
    <n v="1927"/>
    <x v="4"/>
    <m/>
    <n v="130"/>
    <s v="Location3"/>
    <d v="2013-10-01T00:00:00"/>
    <x v="0"/>
    <s v="1615"/>
    <d v="1899-12-30T00:00:00"/>
    <m/>
    <m/>
    <m/>
    <m/>
    <m/>
    <d v="1899-12-30T00:00:00"/>
    <d v="2013-10-01T15:09:32"/>
    <m/>
    <m/>
    <d v="1899-12-30T00:00:00"/>
    <d v="1899-12-30T00:00:00"/>
    <d v="1899-12-30T00:00:00"/>
    <s v=""/>
    <s v="Company14161541548"/>
    <x v="2"/>
    <x v="2"/>
  </r>
  <r>
    <n v="1928"/>
    <x v="0"/>
    <m/>
    <n v="56"/>
    <s v="Location3"/>
    <d v="2013-10-01T00:00:00"/>
    <x v="0"/>
    <s v="1615"/>
    <d v="1899-12-30T00:00:00"/>
    <m/>
    <m/>
    <m/>
    <m/>
    <m/>
    <d v="1899-12-30T00:00:00"/>
    <d v="2013-10-01T15:10:13"/>
    <m/>
    <m/>
    <d v="1899-12-30T00:00:00"/>
    <d v="1899-12-30T00:00:00"/>
    <d v="1899-12-30T00:00:00"/>
    <s v=""/>
    <s v="Company14161541548"/>
    <x v="2"/>
    <x v="2"/>
  </r>
  <r>
    <n v="1929"/>
    <x v="2"/>
    <m/>
    <n v="138"/>
    <s v="Location3"/>
    <d v="2013-10-01T00:00:00"/>
    <x v="0"/>
    <s v="1615"/>
    <d v="1899-12-30T00:00:00"/>
    <m/>
    <m/>
    <m/>
    <m/>
    <m/>
    <d v="1899-12-30T00:00:00"/>
    <d v="2013-10-01T15:10:50"/>
    <m/>
    <m/>
    <d v="1899-12-30T00:00:00"/>
    <d v="1899-12-30T00:00:00"/>
    <d v="1899-12-30T00:00:00"/>
    <s v=""/>
    <s v="Company14161541548"/>
    <x v="2"/>
    <x v="2"/>
  </r>
  <r>
    <n v="1930"/>
    <x v="2"/>
    <m/>
    <n v="140"/>
    <s v="Location3"/>
    <d v="2013-10-01T00:00:00"/>
    <x v="0"/>
    <s v="1615"/>
    <d v="1899-12-30T00:00:00"/>
    <m/>
    <m/>
    <m/>
    <m/>
    <m/>
    <d v="1899-12-30T00:00:00"/>
    <d v="2013-10-01T15:11:14"/>
    <m/>
    <m/>
    <d v="1899-12-30T00:00:00"/>
    <d v="1899-12-30T00:00:00"/>
    <d v="1899-12-30T00:00:00"/>
    <s v=""/>
    <s v="Company14161541548"/>
    <x v="2"/>
    <x v="2"/>
  </r>
  <r>
    <n v="1931"/>
    <x v="2"/>
    <m/>
    <n v="138"/>
    <s v="Location3"/>
    <d v="2013-10-01T00:00:00"/>
    <x v="0"/>
    <s v="1615"/>
    <d v="1899-12-30T00:00:00"/>
    <m/>
    <m/>
    <m/>
    <m/>
    <m/>
    <d v="1899-12-30T00:00:00"/>
    <d v="2013-10-01T15:11:43"/>
    <m/>
    <m/>
    <d v="1899-12-30T00:00:00"/>
    <d v="1899-12-30T00:00:00"/>
    <d v="1899-12-30T00:00:00"/>
    <s v=""/>
    <s v="Company14161541548"/>
    <x v="2"/>
    <x v="2"/>
  </r>
  <r>
    <n v="1932"/>
    <x v="2"/>
    <m/>
    <n v="124"/>
    <s v="Location3"/>
    <d v="2013-10-01T00:00:00"/>
    <x v="0"/>
    <s v="1615"/>
    <d v="1899-12-30T00:00:00"/>
    <m/>
    <m/>
    <m/>
    <m/>
    <m/>
    <d v="1899-12-30T00:00:00"/>
    <d v="2013-10-01T15:12:07"/>
    <m/>
    <m/>
    <d v="1899-12-30T00:00:00"/>
    <d v="1899-12-30T00:00:00"/>
    <d v="1899-12-30T00:00:00"/>
    <s v=""/>
    <s v="Company14161541548"/>
    <x v="2"/>
    <x v="2"/>
  </r>
  <r>
    <n v="1933"/>
    <x v="2"/>
    <m/>
    <n v="124"/>
    <s v="Location3"/>
    <d v="2013-10-01T00:00:00"/>
    <x v="0"/>
    <s v="1615"/>
    <d v="1899-12-30T00:00:00"/>
    <m/>
    <m/>
    <m/>
    <m/>
    <m/>
    <d v="1899-12-30T00:00:00"/>
    <d v="2013-10-01T15:12:42"/>
    <m/>
    <m/>
    <d v="1899-12-30T00:00:00"/>
    <d v="1899-12-30T00:00:00"/>
    <d v="1899-12-30T00:00:00"/>
    <s v=""/>
    <s v="Company14161541548"/>
    <x v="2"/>
    <x v="2"/>
  </r>
  <r>
    <n v="1934"/>
    <x v="2"/>
    <m/>
    <n v="146"/>
    <s v="Location3"/>
    <d v="2013-10-01T00:00:00"/>
    <x v="0"/>
    <s v="1615"/>
    <d v="1899-12-30T00:00:00"/>
    <m/>
    <m/>
    <m/>
    <m/>
    <m/>
    <d v="1899-12-30T00:00:00"/>
    <d v="2013-10-01T15:13:11"/>
    <m/>
    <m/>
    <d v="1899-12-30T00:00:00"/>
    <d v="1899-12-30T00:00:00"/>
    <d v="1899-12-30T00:00:00"/>
    <s v=""/>
    <s v="Company14161541548"/>
    <x v="2"/>
    <x v="2"/>
  </r>
  <r>
    <n v="1935"/>
    <x v="2"/>
    <m/>
    <n v="140"/>
    <s v="Location3"/>
    <d v="2013-10-01T00:00:00"/>
    <x v="0"/>
    <s v="1615"/>
    <d v="1899-12-30T00:00:00"/>
    <m/>
    <m/>
    <m/>
    <m/>
    <m/>
    <d v="1899-12-30T00:00:00"/>
    <d v="2013-10-01T15:13:37"/>
    <m/>
    <m/>
    <d v="1899-12-30T00:00:00"/>
    <d v="1899-12-30T00:00:00"/>
    <d v="1899-12-30T00:00:00"/>
    <s v=""/>
    <s v="Company14161541548"/>
    <x v="2"/>
    <x v="2"/>
  </r>
  <r>
    <n v="1936"/>
    <x v="2"/>
    <m/>
    <n v="104"/>
    <s v="Location3"/>
    <d v="2013-10-01T00:00:00"/>
    <x v="0"/>
    <s v="1615"/>
    <d v="1899-12-30T00:00:00"/>
    <m/>
    <m/>
    <m/>
    <m/>
    <m/>
    <d v="1899-12-30T00:00:00"/>
    <d v="2013-10-01T15:14:01"/>
    <m/>
    <m/>
    <d v="1899-12-30T00:00:00"/>
    <d v="1899-12-30T00:00:00"/>
    <d v="1899-12-30T00:00:00"/>
    <s v=""/>
    <s v="Company14161541548"/>
    <x v="2"/>
    <x v="2"/>
  </r>
  <r>
    <n v="1937"/>
    <x v="2"/>
    <m/>
    <n v="148"/>
    <s v="Location3"/>
    <d v="2013-10-01T00:00:00"/>
    <x v="0"/>
    <s v="1615"/>
    <d v="1899-12-30T00:00:00"/>
    <m/>
    <m/>
    <m/>
    <m/>
    <m/>
    <d v="1899-12-30T00:00:00"/>
    <d v="2013-10-01T15:14:24"/>
    <m/>
    <m/>
    <d v="1899-12-30T00:00:00"/>
    <d v="1899-12-30T00:00:00"/>
    <d v="1899-12-30T00:00:00"/>
    <s v=""/>
    <s v="Company14161541548"/>
    <x v="2"/>
    <x v="2"/>
  </r>
  <r>
    <n v="1938"/>
    <x v="2"/>
    <m/>
    <n v="144"/>
    <s v="Location3"/>
    <d v="2013-10-01T00:00:00"/>
    <x v="0"/>
    <s v="1615"/>
    <d v="1899-12-30T00:00:00"/>
    <m/>
    <m/>
    <m/>
    <m/>
    <m/>
    <d v="1899-12-30T00:00:00"/>
    <d v="2013-10-01T15:14:52"/>
    <m/>
    <m/>
    <d v="1899-12-30T00:00:00"/>
    <d v="1899-12-30T00:00:00"/>
    <d v="1899-12-30T00:00:00"/>
    <s v=""/>
    <s v="Company14161541548"/>
    <x v="2"/>
    <x v="2"/>
  </r>
  <r>
    <n v="1939"/>
    <x v="2"/>
    <m/>
    <n v="242"/>
    <s v="Location3"/>
    <d v="2013-10-01T00:00:00"/>
    <x v="0"/>
    <s v="1615"/>
    <d v="1899-12-30T00:00:00"/>
    <m/>
    <m/>
    <m/>
    <m/>
    <m/>
    <d v="1899-12-30T00:00:00"/>
    <d v="2013-10-01T15:15:20"/>
    <m/>
    <m/>
    <d v="1899-12-30T00:00:00"/>
    <d v="1899-12-30T00:00:00"/>
    <d v="1899-12-30T00:00:00"/>
    <s v=""/>
    <s v="Company14161541548"/>
    <x v="2"/>
    <x v="2"/>
  </r>
  <r>
    <n v="1940"/>
    <x v="6"/>
    <m/>
    <n v="1124"/>
    <s v="Location3"/>
    <d v="2013-10-01T00:00:00"/>
    <x v="0"/>
    <s v="1615"/>
    <d v="1899-12-30T00:00:00"/>
    <m/>
    <m/>
    <m/>
    <m/>
    <m/>
    <d v="1899-12-30T00:00:00"/>
    <d v="2013-10-01T15:16:26"/>
    <m/>
    <m/>
    <d v="1899-12-30T00:00:00"/>
    <d v="1899-12-30T00:00:00"/>
    <d v="1899-12-30T00:00:00"/>
    <s v=""/>
    <s v="Company14161541548"/>
    <x v="2"/>
    <x v="2"/>
  </r>
  <r>
    <n v="1941"/>
    <x v="1"/>
    <m/>
    <n v="430"/>
    <s v="Location3"/>
    <d v="2013-10-01T00:00:00"/>
    <x v="0"/>
    <s v="1615"/>
    <d v="1899-12-30T00:00:00"/>
    <m/>
    <m/>
    <m/>
    <m/>
    <m/>
    <d v="1899-12-30T00:00:00"/>
    <d v="2013-10-01T15:16:51"/>
    <m/>
    <m/>
    <d v="1899-12-30T00:00:00"/>
    <d v="1899-12-30T00:00:00"/>
    <d v="1899-12-30T00:00:00"/>
    <s v=""/>
    <s v="Company14161541548"/>
    <x v="2"/>
    <x v="2"/>
  </r>
  <r>
    <n v="1942"/>
    <x v="2"/>
    <m/>
    <n v="1508"/>
    <s v="Location3"/>
    <d v="2013-10-01T00:00:00"/>
    <x v="0"/>
    <s v="1615"/>
    <d v="1899-12-30T00:00:00"/>
    <m/>
    <m/>
    <m/>
    <m/>
    <m/>
    <d v="1899-12-30T00:00:00"/>
    <d v="2013-10-01T15:19:37"/>
    <m/>
    <m/>
    <d v="1899-12-30T00:00:00"/>
    <d v="1899-12-30T00:00:00"/>
    <d v="1899-12-30T00:00:00"/>
    <s v=""/>
    <s v="Company14161541548"/>
    <x v="2"/>
    <x v="2"/>
  </r>
  <r>
    <n v="1943"/>
    <x v="3"/>
    <m/>
    <n v="54"/>
    <s v="Location3"/>
    <d v="2013-10-01T00:00:00"/>
    <x v="0"/>
    <s v="1615"/>
    <d v="1899-12-30T00:00:00"/>
    <m/>
    <m/>
    <m/>
    <m/>
    <m/>
    <d v="1899-12-30T00:00:00"/>
    <d v="2013-10-01T15:20:07"/>
    <m/>
    <m/>
    <d v="1899-12-30T00:00:00"/>
    <d v="1899-12-30T00:00:00"/>
    <d v="1899-12-30T00:00:00"/>
    <s v=""/>
    <s v="Company14161541548"/>
    <x v="2"/>
    <x v="2"/>
  </r>
  <r>
    <n v="1944"/>
    <x v="4"/>
    <m/>
    <n v="548"/>
    <s v="Location3"/>
    <d v="2013-10-01T00:00:00"/>
    <x v="0"/>
    <s v="1615"/>
    <d v="1899-12-30T00:00:00"/>
    <m/>
    <m/>
    <m/>
    <m/>
    <m/>
    <d v="1899-12-30T00:00:00"/>
    <d v="2013-10-01T15:25:14"/>
    <m/>
    <m/>
    <d v="1899-12-30T00:00:00"/>
    <d v="1899-12-30T00:00:00"/>
    <d v="1899-12-30T00:00:00"/>
    <s v=""/>
    <s v="Company14161541548"/>
    <x v="2"/>
    <x v="2"/>
  </r>
  <r>
    <n v="1946"/>
    <x v="2"/>
    <m/>
    <n v="150"/>
    <s v="Location3"/>
    <d v="2013-10-01T00:00:00"/>
    <x v="0"/>
    <s v="1615"/>
    <d v="1899-12-30T00:00:00"/>
    <m/>
    <m/>
    <m/>
    <m/>
    <m/>
    <d v="1899-12-30T00:00:00"/>
    <d v="2013-10-02T08:40:05"/>
    <m/>
    <m/>
    <d v="1899-12-30T00:00:00"/>
    <d v="1899-12-30T00:00:00"/>
    <d v="1899-12-30T00:00:00"/>
    <s v=""/>
    <s v="Company14161541548"/>
    <x v="2"/>
    <x v="2"/>
  </r>
  <r>
    <n v="1993"/>
    <x v="1"/>
    <m/>
    <n v="66"/>
    <s v="Location3"/>
    <d v="2013-10-01T00:00:00"/>
    <x v="0"/>
    <s v="1615"/>
    <d v="1899-12-30T00:00:00"/>
    <m/>
    <m/>
    <m/>
    <m/>
    <m/>
    <d v="1899-12-30T00:00:00"/>
    <d v="2013-10-02T09:36:28"/>
    <m/>
    <m/>
    <d v="1899-12-30T00:00:00"/>
    <d v="1899-12-30T00:00:00"/>
    <d v="1899-12-30T00:00:00"/>
    <s v=""/>
    <s v="Company14161541548"/>
    <x v="2"/>
    <x v="2"/>
  </r>
  <r>
    <n v="4572"/>
    <x v="7"/>
    <m/>
    <n v="300"/>
    <s v="Location3"/>
    <d v="2014-02-24T00:00:00"/>
    <x v="0"/>
    <m/>
    <d v="1899-12-30T00:00:00"/>
    <m/>
    <m/>
    <m/>
    <m/>
    <m/>
    <d v="1899-12-30T00:00:00"/>
    <d v="2014-03-07T12:41:41"/>
    <m/>
    <m/>
    <d v="1899-12-30T00:00:00"/>
    <d v="1899-12-30T00:00:00"/>
    <d v="1899-12-30T00:00:00"/>
    <d v="1899-12-31T00:00:00"/>
    <s v="Company1441694"/>
    <x v="3"/>
    <x v="3"/>
  </r>
  <r>
    <n v="4573"/>
    <x v="7"/>
    <m/>
    <n v="240"/>
    <s v="Location3"/>
    <d v="2014-02-24T00:00:00"/>
    <x v="0"/>
    <m/>
    <d v="1899-12-30T00:00:00"/>
    <m/>
    <m/>
    <m/>
    <m/>
    <m/>
    <d v="1899-12-30T00:00:00"/>
    <d v="2014-03-07T12:41:45"/>
    <m/>
    <m/>
    <d v="1899-12-30T00:00:00"/>
    <d v="1899-12-30T00:00:00"/>
    <d v="1899-12-30T00:00:00"/>
    <s v=""/>
    <s v="Company1441694"/>
    <x v="3"/>
    <x v="3"/>
  </r>
  <r>
    <n v="4574"/>
    <x v="7"/>
    <m/>
    <n v="200"/>
    <s v="Location3"/>
    <d v="2014-02-24T00:00:00"/>
    <x v="0"/>
    <m/>
    <d v="1899-12-30T00:00:00"/>
    <m/>
    <m/>
    <m/>
    <m/>
    <m/>
    <d v="1899-12-30T00:00:00"/>
    <d v="2014-03-07T12:41:49"/>
    <m/>
    <m/>
    <d v="1899-12-30T00:00:00"/>
    <d v="1899-12-30T00:00:00"/>
    <d v="1899-12-30T00:00:00"/>
    <s v=""/>
    <s v="Company1441694"/>
    <x v="3"/>
    <x v="3"/>
  </r>
  <r>
    <n v="4576"/>
    <x v="4"/>
    <m/>
    <n v="320"/>
    <s v="Location3"/>
    <d v="2014-02-24T00:00:00"/>
    <x v="0"/>
    <m/>
    <d v="1899-12-30T00:00:00"/>
    <m/>
    <m/>
    <m/>
    <m/>
    <m/>
    <d v="1899-12-30T00:00:00"/>
    <d v="2014-03-07T12:42:05"/>
    <m/>
    <m/>
    <d v="1899-12-30T00:00:00"/>
    <d v="1899-12-30T00:00:00"/>
    <d v="1899-12-30T00:00:00"/>
    <s v=""/>
    <s v="Company1441694"/>
    <x v="3"/>
    <x v="3"/>
  </r>
  <r>
    <n v="4578"/>
    <x v="2"/>
    <m/>
    <n v="160"/>
    <s v="Location3"/>
    <d v="2014-02-24T00:00:00"/>
    <x v="0"/>
    <m/>
    <d v="1899-12-30T00:00:00"/>
    <m/>
    <m/>
    <m/>
    <m/>
    <m/>
    <d v="1899-12-30T00:00:00"/>
    <d v="2014-03-07T12:42:13"/>
    <m/>
    <m/>
    <d v="1899-12-30T00:00:00"/>
    <d v="1899-12-30T00:00:00"/>
    <d v="1899-12-30T00:00:00"/>
    <s v=""/>
    <s v="Company1441694"/>
    <x v="3"/>
    <x v="3"/>
  </r>
  <r>
    <n v="4579"/>
    <x v="2"/>
    <m/>
    <n v="160"/>
    <s v="Location3"/>
    <d v="2014-02-24T00:00:00"/>
    <x v="0"/>
    <m/>
    <d v="1899-12-30T00:00:00"/>
    <m/>
    <m/>
    <m/>
    <m/>
    <m/>
    <d v="1899-12-30T00:00:00"/>
    <d v="2014-03-07T12:42:15"/>
    <m/>
    <m/>
    <d v="1899-12-30T00:00:00"/>
    <d v="1899-12-30T00:00:00"/>
    <d v="1899-12-30T00:00:00"/>
    <s v=""/>
    <s v="Company1441694"/>
    <x v="3"/>
    <x v="3"/>
  </r>
  <r>
    <n v="4580"/>
    <x v="2"/>
    <m/>
    <n v="160"/>
    <s v="Location3"/>
    <d v="2014-02-24T00:00:00"/>
    <x v="0"/>
    <m/>
    <d v="1899-12-30T00:00:00"/>
    <m/>
    <m/>
    <m/>
    <m/>
    <m/>
    <d v="1899-12-30T00:00:00"/>
    <d v="2014-03-07T12:42:17"/>
    <m/>
    <m/>
    <d v="1899-12-30T00:00:00"/>
    <d v="1899-12-30T00:00:00"/>
    <d v="1899-12-30T00:00:00"/>
    <s v=""/>
    <s v="Company1441694"/>
    <x v="3"/>
    <x v="3"/>
  </r>
  <r>
    <n v="4582"/>
    <x v="2"/>
    <m/>
    <n v="160"/>
    <s v="Location3"/>
    <d v="2014-02-24T00:00:00"/>
    <x v="0"/>
    <m/>
    <d v="1899-12-30T00:00:00"/>
    <m/>
    <m/>
    <m/>
    <m/>
    <m/>
    <d v="1899-12-30T00:00:00"/>
    <d v="2014-03-07T12:42:18"/>
    <m/>
    <m/>
    <d v="1899-12-30T00:00:00"/>
    <d v="1899-12-30T00:00:00"/>
    <d v="1899-12-30T00:00:00"/>
    <s v=""/>
    <s v="Company1441694"/>
    <x v="3"/>
    <x v="3"/>
  </r>
  <r>
    <n v="4583"/>
    <x v="2"/>
    <m/>
    <n v="160"/>
    <s v="Location3"/>
    <d v="2014-02-24T00:00:00"/>
    <x v="0"/>
    <m/>
    <d v="1899-12-30T00:00:00"/>
    <m/>
    <m/>
    <m/>
    <m/>
    <m/>
    <d v="1899-12-30T00:00:00"/>
    <d v="2014-03-07T12:42:24"/>
    <m/>
    <m/>
    <d v="1899-12-30T00:00:00"/>
    <d v="1899-12-30T00:00:00"/>
    <d v="1899-12-30T00:00:00"/>
    <s v=""/>
    <s v="Company1441694"/>
    <x v="3"/>
    <x v="3"/>
  </r>
  <r>
    <n v="4584"/>
    <x v="8"/>
    <m/>
    <n v="1060"/>
    <s v="Location3"/>
    <d v="2014-02-24T00:00:00"/>
    <x v="0"/>
    <m/>
    <d v="1899-12-30T00:00:00"/>
    <m/>
    <m/>
    <m/>
    <m/>
    <m/>
    <d v="1899-12-30T00:00:00"/>
    <d v="2014-03-07T12:42:32"/>
    <m/>
    <m/>
    <d v="1899-12-30T00:00:00"/>
    <d v="1899-12-30T00:00:00"/>
    <d v="1899-12-30T00:00:00"/>
    <s v=""/>
    <s v="Company1441694"/>
    <x v="3"/>
    <x v="3"/>
  </r>
  <r>
    <n v="4585"/>
    <x v="8"/>
    <m/>
    <n v="940"/>
    <s v="Location3"/>
    <d v="2014-02-24T00:00:00"/>
    <x v="0"/>
    <m/>
    <d v="1899-12-30T00:00:00"/>
    <m/>
    <m/>
    <m/>
    <m/>
    <m/>
    <d v="1899-12-30T00:00:00"/>
    <d v="2014-03-07T12:42:34"/>
    <m/>
    <m/>
    <d v="1899-12-30T00:00:00"/>
    <d v="1899-12-30T00:00:00"/>
    <d v="1899-12-30T00:00:00"/>
    <s v=""/>
    <s v="Company1441694"/>
    <x v="3"/>
    <x v="3"/>
  </r>
  <r>
    <n v="4586"/>
    <x v="8"/>
    <m/>
    <n v="1740"/>
    <s v="Location3"/>
    <d v="2014-02-24T00:00:00"/>
    <x v="0"/>
    <m/>
    <d v="1899-12-30T00:00:00"/>
    <m/>
    <m/>
    <m/>
    <m/>
    <m/>
    <d v="1899-12-30T00:00:00"/>
    <d v="2014-03-07T12:42:37"/>
    <m/>
    <m/>
    <d v="1899-12-30T00:00:00"/>
    <d v="1899-12-30T00:00:00"/>
    <d v="1899-12-30T00:00:00"/>
    <s v=""/>
    <s v="Company1441694"/>
    <x v="3"/>
    <x v="3"/>
  </r>
  <r>
    <n v="4587"/>
    <x v="8"/>
    <m/>
    <n v="300"/>
    <s v="Location3"/>
    <d v="2014-02-24T00:00:00"/>
    <x v="0"/>
    <m/>
    <d v="1899-12-30T00:00:00"/>
    <m/>
    <m/>
    <m/>
    <m/>
    <m/>
    <d v="1899-12-30T00:00:00"/>
    <d v="2014-03-07T12:42:39"/>
    <m/>
    <m/>
    <d v="1899-12-30T00:00:00"/>
    <d v="1899-12-30T00:00:00"/>
    <d v="1899-12-30T00:00:00"/>
    <s v=""/>
    <s v="Company1441694"/>
    <x v="3"/>
    <x v="3"/>
  </r>
  <r>
    <n v="4588"/>
    <x v="8"/>
    <m/>
    <n v="1040"/>
    <s v="Location3"/>
    <d v="2014-02-24T00:00:00"/>
    <x v="0"/>
    <m/>
    <d v="1899-12-30T00:00:00"/>
    <m/>
    <m/>
    <m/>
    <m/>
    <m/>
    <d v="1899-12-30T00:00:00"/>
    <d v="2014-03-07T12:42:42"/>
    <m/>
    <m/>
    <d v="1899-12-30T00:00:00"/>
    <d v="1899-12-30T00:00:00"/>
    <d v="1899-12-30T00:00:00"/>
    <s v=""/>
    <s v="Company1441694"/>
    <x v="3"/>
    <x v="3"/>
  </r>
  <r>
    <n v="4589"/>
    <x v="1"/>
    <m/>
    <n v="750"/>
    <s v="Location3"/>
    <d v="2014-02-24T00:00:00"/>
    <x v="0"/>
    <m/>
    <d v="1899-12-30T00:00:00"/>
    <m/>
    <m/>
    <m/>
    <m/>
    <m/>
    <d v="1899-12-30T00:00:00"/>
    <d v="2014-03-07T12:42:47"/>
    <m/>
    <m/>
    <d v="1899-12-30T00:00:00"/>
    <d v="1899-12-30T00:00:00"/>
    <d v="1899-12-30T00:00:00"/>
    <s v=""/>
    <s v="Company1441694"/>
    <x v="3"/>
    <x v="3"/>
  </r>
  <r>
    <n v="5818"/>
    <x v="9"/>
    <m/>
    <n v="1"/>
    <s v="Location9"/>
    <d v="2014-05-07T00:00:00"/>
    <x v="0"/>
    <s v="144"/>
    <d v="1899-12-30T00:00:00"/>
    <m/>
    <m/>
    <m/>
    <m/>
    <m/>
    <d v="1899-12-30T00:00:00"/>
    <d v="2014-05-29T12:19:08"/>
    <m/>
    <m/>
    <d v="1899-12-30T00:00:00"/>
    <d v="1899-12-30T00:00:00"/>
    <d v="1899-12-30T00:00:00"/>
    <d v="1899-12-31T00:00:00"/>
    <s v="Company1414441766"/>
    <x v="4"/>
    <x v="4"/>
  </r>
  <r>
    <n v="5819"/>
    <x v="2"/>
    <s v="Racks"/>
    <n v="332"/>
    <s v="Location9"/>
    <d v="2014-05-07T00:00:00"/>
    <x v="0"/>
    <s v="144"/>
    <d v="1899-12-30T00:00:00"/>
    <m/>
    <m/>
    <m/>
    <m/>
    <m/>
    <d v="1899-12-30T00:00:00"/>
    <d v="2014-05-29T12:32:55"/>
    <m/>
    <m/>
    <d v="1899-12-30T00:00:00"/>
    <d v="1899-12-30T00:00:00"/>
    <d v="1899-12-30T00:00:00"/>
    <s v=""/>
    <s v="Company1414441766"/>
    <x v="4"/>
    <x v="4"/>
  </r>
  <r>
    <n v="5820"/>
    <x v="2"/>
    <s v="Racks"/>
    <n v="100"/>
    <s v="Location9"/>
    <d v="2014-05-07T00:00:00"/>
    <x v="0"/>
    <s v="144"/>
    <d v="1899-12-30T00:00:00"/>
    <m/>
    <m/>
    <m/>
    <m/>
    <m/>
    <d v="1899-12-30T00:00:00"/>
    <d v="2014-05-29T12:32:58"/>
    <m/>
    <m/>
    <d v="1899-12-30T00:00:00"/>
    <d v="1899-12-30T00:00:00"/>
    <d v="1899-12-30T00:00:00"/>
    <s v=""/>
    <s v="Company1414441766"/>
    <x v="4"/>
    <x v="4"/>
  </r>
  <r>
    <n v="5821"/>
    <x v="2"/>
    <s v="Racks"/>
    <n v="101"/>
    <s v="Location9"/>
    <d v="2014-05-07T00:00:00"/>
    <x v="0"/>
    <s v="144"/>
    <d v="1899-12-30T00:00:00"/>
    <m/>
    <m/>
    <m/>
    <m/>
    <m/>
    <d v="1899-12-30T00:00:00"/>
    <d v="2014-05-29T12:33:00"/>
    <m/>
    <m/>
    <d v="1899-12-30T00:00:00"/>
    <d v="1899-12-30T00:00:00"/>
    <d v="1899-12-30T00:00:00"/>
    <s v=""/>
    <s v="Company1414441766"/>
    <x v="4"/>
    <x v="4"/>
  </r>
  <r>
    <n v="5822"/>
    <x v="2"/>
    <s v="Racks"/>
    <n v="51"/>
    <s v="Location9"/>
    <d v="2014-05-07T00:00:00"/>
    <x v="0"/>
    <s v="144"/>
    <d v="1899-12-30T00:00:00"/>
    <m/>
    <m/>
    <m/>
    <m/>
    <m/>
    <d v="1899-12-30T00:00:00"/>
    <d v="2014-05-29T12:33:02"/>
    <m/>
    <m/>
    <d v="1899-12-30T00:00:00"/>
    <d v="1899-12-30T00:00:00"/>
    <d v="1899-12-30T00:00:00"/>
    <s v=""/>
    <s v="Company1414441766"/>
    <x v="4"/>
    <x v="4"/>
  </r>
  <r>
    <n v="5823"/>
    <x v="2"/>
    <s v="Racks"/>
    <n v="104"/>
    <s v="Location9"/>
    <d v="2014-05-07T00:00:00"/>
    <x v="0"/>
    <s v="144"/>
    <d v="1899-12-30T00:00:00"/>
    <m/>
    <m/>
    <m/>
    <m/>
    <m/>
    <d v="1899-12-30T00:00:00"/>
    <d v="2014-05-29T12:33:04"/>
    <m/>
    <m/>
    <d v="1899-12-30T00:00:00"/>
    <d v="1899-12-30T00:00:00"/>
    <d v="1899-12-30T00:00:00"/>
    <s v=""/>
    <s v="Company1414441766"/>
    <x v="4"/>
    <x v="4"/>
  </r>
  <r>
    <n v="5824"/>
    <x v="2"/>
    <s v="Racks"/>
    <n v="150"/>
    <s v="Location9"/>
    <d v="2014-05-07T00:00:00"/>
    <x v="0"/>
    <s v="144"/>
    <d v="1899-12-30T00:00:00"/>
    <m/>
    <m/>
    <m/>
    <m/>
    <m/>
    <d v="1899-12-30T00:00:00"/>
    <d v="2014-05-29T12:33:08"/>
    <m/>
    <m/>
    <d v="1899-12-30T00:00:00"/>
    <d v="1899-12-30T00:00:00"/>
    <d v="1899-12-30T00:00:00"/>
    <s v=""/>
    <s v="Company1414441766"/>
    <x v="4"/>
    <x v="4"/>
  </r>
  <r>
    <n v="5825"/>
    <x v="2"/>
    <s v="Racks"/>
    <n v="102"/>
    <s v="Location9"/>
    <d v="2014-05-07T00:00:00"/>
    <x v="0"/>
    <s v="144"/>
    <d v="1899-12-30T00:00:00"/>
    <m/>
    <m/>
    <m/>
    <m/>
    <m/>
    <d v="1899-12-30T00:00:00"/>
    <d v="2014-05-29T12:33:13"/>
    <m/>
    <m/>
    <d v="1899-12-30T00:00:00"/>
    <d v="1899-12-30T00:00:00"/>
    <d v="1899-12-30T00:00:00"/>
    <s v=""/>
    <s v="Company1414441766"/>
    <x v="4"/>
    <x v="4"/>
  </r>
  <r>
    <n v="5826"/>
    <x v="2"/>
    <s v="Racks"/>
    <n v="103"/>
    <s v="Location9"/>
    <d v="2014-05-07T00:00:00"/>
    <x v="0"/>
    <s v="144"/>
    <d v="1899-12-30T00:00:00"/>
    <m/>
    <m/>
    <m/>
    <m/>
    <m/>
    <d v="1899-12-30T00:00:00"/>
    <d v="2014-05-29T12:33:16"/>
    <m/>
    <m/>
    <d v="1899-12-30T00:00:00"/>
    <d v="1899-12-30T00:00:00"/>
    <d v="1899-12-30T00:00:00"/>
    <s v=""/>
    <s v="Company1414441766"/>
    <x v="4"/>
    <x v="4"/>
  </r>
  <r>
    <n v="5827"/>
    <x v="2"/>
    <s v="Racks"/>
    <n v="156"/>
    <s v="Location9"/>
    <d v="2014-05-07T00:00:00"/>
    <x v="0"/>
    <s v="144"/>
    <d v="1899-12-30T00:00:00"/>
    <m/>
    <m/>
    <m/>
    <m/>
    <m/>
    <d v="1899-12-30T00:00:00"/>
    <d v="2014-05-29T12:33:20"/>
    <m/>
    <m/>
    <d v="1899-12-30T00:00:00"/>
    <d v="1899-12-30T00:00:00"/>
    <d v="1899-12-30T00:00:00"/>
    <s v=""/>
    <s v="Company1414441766"/>
    <x v="4"/>
    <x v="4"/>
  </r>
  <r>
    <n v="5828"/>
    <x v="2"/>
    <s v="Racks"/>
    <n v="101"/>
    <s v="Location9"/>
    <d v="2014-05-07T00:00:00"/>
    <x v="0"/>
    <s v="144"/>
    <d v="1899-12-30T00:00:00"/>
    <m/>
    <m/>
    <m/>
    <m/>
    <m/>
    <d v="1899-12-30T00:00:00"/>
    <d v="2014-05-29T12:33:23"/>
    <m/>
    <m/>
    <d v="1899-12-30T00:00:00"/>
    <d v="1899-12-30T00:00:00"/>
    <d v="1899-12-30T00:00:00"/>
    <s v=""/>
    <s v="Company1414441766"/>
    <x v="4"/>
    <x v="4"/>
  </r>
  <r>
    <n v="5829"/>
    <x v="2"/>
    <s v="Racks"/>
    <n v="153"/>
    <s v="Location9"/>
    <d v="2014-05-07T00:00:00"/>
    <x v="0"/>
    <s v="144"/>
    <d v="1899-12-30T00:00:00"/>
    <m/>
    <m/>
    <m/>
    <m/>
    <m/>
    <d v="1899-12-30T00:00:00"/>
    <d v="2014-05-29T12:33:27"/>
    <m/>
    <m/>
    <d v="1899-12-30T00:00:00"/>
    <d v="1899-12-30T00:00:00"/>
    <d v="1899-12-30T00:00:00"/>
    <s v=""/>
    <s v="Company1414441766"/>
    <x v="4"/>
    <x v="4"/>
  </r>
  <r>
    <n v="5830"/>
    <x v="2"/>
    <s v="Racks"/>
    <n v="101"/>
    <s v="Location9"/>
    <d v="2014-05-07T00:00:00"/>
    <x v="0"/>
    <s v="144"/>
    <d v="1899-12-30T00:00:00"/>
    <m/>
    <m/>
    <m/>
    <m/>
    <m/>
    <d v="1899-12-30T00:00:00"/>
    <d v="2014-05-29T12:33:30"/>
    <m/>
    <m/>
    <d v="1899-12-30T00:00:00"/>
    <d v="1899-12-30T00:00:00"/>
    <d v="1899-12-30T00:00:00"/>
    <s v=""/>
    <s v="Company1414441766"/>
    <x v="4"/>
    <x v="4"/>
  </r>
  <r>
    <n v="5831"/>
    <x v="2"/>
    <s v="Racks"/>
    <n v="100"/>
    <s v="Location9"/>
    <d v="2014-05-07T00:00:00"/>
    <x v="0"/>
    <s v="144"/>
    <d v="1899-12-30T00:00:00"/>
    <m/>
    <m/>
    <m/>
    <m/>
    <m/>
    <d v="1899-12-30T00:00:00"/>
    <d v="2014-05-29T12:33:34"/>
    <m/>
    <m/>
    <d v="1899-12-30T00:00:00"/>
    <d v="1899-12-30T00:00:00"/>
    <d v="1899-12-30T00:00:00"/>
    <s v=""/>
    <s v="Company1414441766"/>
    <x v="4"/>
    <x v="4"/>
  </r>
  <r>
    <n v="5832"/>
    <x v="2"/>
    <m/>
    <n v="65"/>
    <s v="Location9"/>
    <d v="2014-05-07T00:00:00"/>
    <x v="0"/>
    <s v="144"/>
    <d v="1899-12-30T00:00:00"/>
    <m/>
    <m/>
    <m/>
    <m/>
    <m/>
    <d v="1899-12-30T00:00:00"/>
    <d v="2014-05-29T12:34:40"/>
    <m/>
    <m/>
    <d v="1899-12-30T00:00:00"/>
    <d v="1899-12-30T00:00:00"/>
    <d v="1899-12-30T00:00:00"/>
    <s v=""/>
    <s v="Company1414441766"/>
    <x v="4"/>
    <x v="4"/>
  </r>
  <r>
    <n v="5833"/>
    <x v="2"/>
    <m/>
    <n v="95"/>
    <s v="Location9"/>
    <d v="2014-05-07T00:00:00"/>
    <x v="0"/>
    <s v="144"/>
    <d v="1899-12-30T00:00:00"/>
    <m/>
    <m/>
    <m/>
    <m/>
    <m/>
    <d v="1899-12-30T00:00:00"/>
    <d v="2014-05-29T12:34:42"/>
    <m/>
    <m/>
    <d v="1899-12-30T00:00:00"/>
    <d v="1899-12-30T00:00:00"/>
    <d v="1899-12-30T00:00:00"/>
    <s v=""/>
    <s v="Company1414441766"/>
    <x v="4"/>
    <x v="4"/>
  </r>
  <r>
    <n v="5834"/>
    <x v="2"/>
    <m/>
    <n v="70"/>
    <s v="Location9"/>
    <d v="2014-05-07T00:00:00"/>
    <x v="0"/>
    <s v="144"/>
    <d v="1899-12-30T00:00:00"/>
    <m/>
    <m/>
    <m/>
    <m/>
    <m/>
    <d v="1899-12-30T00:00:00"/>
    <d v="2014-05-29T12:34:50"/>
    <m/>
    <m/>
    <d v="1899-12-30T00:00:00"/>
    <d v="1899-12-30T00:00:00"/>
    <d v="1899-12-30T00:00:00"/>
    <s v=""/>
    <s v="Company1414441766"/>
    <x v="4"/>
    <x v="4"/>
  </r>
  <r>
    <n v="5835"/>
    <x v="2"/>
    <m/>
    <n v="100"/>
    <s v="Location9"/>
    <d v="2014-05-07T00:00:00"/>
    <x v="0"/>
    <s v="144"/>
    <d v="1899-12-30T00:00:00"/>
    <m/>
    <m/>
    <m/>
    <m/>
    <m/>
    <d v="1899-12-30T00:00:00"/>
    <d v="2014-05-29T12:34:52"/>
    <m/>
    <m/>
    <d v="1899-12-30T00:00:00"/>
    <d v="1899-12-30T00:00:00"/>
    <d v="1899-12-30T00:00:00"/>
    <s v=""/>
    <s v="Company1414441766"/>
    <x v="4"/>
    <x v="4"/>
  </r>
  <r>
    <n v="5836"/>
    <x v="2"/>
    <m/>
    <n v="104"/>
    <s v="Location9"/>
    <d v="2014-05-07T00:00:00"/>
    <x v="0"/>
    <s v="144"/>
    <d v="1899-12-30T00:00:00"/>
    <m/>
    <m/>
    <m/>
    <m/>
    <m/>
    <d v="1899-12-30T00:00:00"/>
    <d v="2014-05-29T12:36:49"/>
    <m/>
    <m/>
    <d v="1899-12-30T00:00:00"/>
    <d v="1899-12-30T00:00:00"/>
    <d v="1899-12-30T00:00:00"/>
    <s v=""/>
    <s v="Company1414441766"/>
    <x v="4"/>
    <x v="4"/>
  </r>
  <r>
    <n v="5837"/>
    <x v="1"/>
    <m/>
    <n v="584"/>
    <s v="Location9"/>
    <d v="2014-05-07T00:00:00"/>
    <x v="0"/>
    <s v="144"/>
    <d v="1899-12-30T00:00:00"/>
    <m/>
    <m/>
    <m/>
    <m/>
    <m/>
    <d v="1899-12-30T00:00:00"/>
    <d v="2014-05-29T12:36:54"/>
    <m/>
    <m/>
    <d v="1899-12-30T00:00:00"/>
    <d v="1899-12-30T00:00:00"/>
    <d v="1899-12-30T00:00:00"/>
    <s v=""/>
    <s v="Company1414441766"/>
    <x v="4"/>
    <x v="4"/>
  </r>
  <r>
    <n v="5838"/>
    <x v="1"/>
    <m/>
    <n v="465"/>
    <s v="Location9"/>
    <d v="2014-05-07T00:00:00"/>
    <x v="0"/>
    <s v="144"/>
    <d v="1899-12-30T00:00:00"/>
    <m/>
    <m/>
    <m/>
    <m/>
    <m/>
    <d v="1899-12-30T00:00:00"/>
    <d v="2014-05-29T12:36:57"/>
    <m/>
    <m/>
    <d v="1899-12-30T00:00:00"/>
    <d v="1899-12-30T00:00:00"/>
    <d v="1899-12-30T00:00:00"/>
    <s v=""/>
    <s v="Company1414441766"/>
    <x v="4"/>
    <x v="4"/>
  </r>
  <r>
    <n v="5839"/>
    <x v="1"/>
    <m/>
    <n v="20"/>
    <s v="Location9"/>
    <d v="2014-05-07T00:00:00"/>
    <x v="0"/>
    <s v="144"/>
    <d v="1899-12-30T00:00:00"/>
    <m/>
    <m/>
    <m/>
    <m/>
    <m/>
    <d v="1899-12-30T00:00:00"/>
    <d v="2014-05-29T12:37:03"/>
    <m/>
    <m/>
    <d v="1899-12-30T00:00:00"/>
    <d v="1899-12-30T00:00:00"/>
    <d v="1899-12-30T00:00:00"/>
    <s v=""/>
    <s v="Company1414441766"/>
    <x v="4"/>
    <x v="4"/>
  </r>
  <r>
    <n v="5840"/>
    <x v="0"/>
    <m/>
    <n v="250"/>
    <s v="Location9"/>
    <d v="2014-05-07T00:00:00"/>
    <x v="0"/>
    <s v="144"/>
    <d v="1899-12-30T00:00:00"/>
    <m/>
    <m/>
    <m/>
    <m/>
    <m/>
    <d v="1899-12-30T00:00:00"/>
    <d v="2014-05-29T12:37:09"/>
    <m/>
    <m/>
    <d v="1899-12-30T00:00:00"/>
    <d v="1899-12-30T00:00:00"/>
    <d v="1899-12-30T00:00:00"/>
    <s v=""/>
    <s v="Company1414441766"/>
    <x v="4"/>
    <x v="4"/>
  </r>
  <r>
    <n v="5841"/>
    <x v="0"/>
    <m/>
    <n v="171"/>
    <s v="Location9"/>
    <d v="2014-05-07T00:00:00"/>
    <x v="0"/>
    <s v="144"/>
    <d v="1899-12-30T00:00:00"/>
    <m/>
    <m/>
    <m/>
    <m/>
    <m/>
    <d v="1899-12-30T00:00:00"/>
    <d v="2014-05-29T12:37:13"/>
    <m/>
    <m/>
    <d v="1899-12-30T00:00:00"/>
    <d v="1899-12-30T00:00:00"/>
    <d v="1899-12-30T00:00:00"/>
    <s v=""/>
    <s v="Company1414441766"/>
    <x v="4"/>
    <x v="4"/>
  </r>
  <r>
    <n v="5842"/>
    <x v="0"/>
    <m/>
    <n v="490"/>
    <s v="Location9"/>
    <d v="2014-05-07T00:00:00"/>
    <x v="0"/>
    <s v="144"/>
    <d v="1899-12-30T00:00:00"/>
    <m/>
    <m/>
    <m/>
    <m/>
    <m/>
    <d v="1899-12-30T00:00:00"/>
    <d v="2014-05-29T12:37:17"/>
    <m/>
    <m/>
    <d v="1899-12-30T00:00:00"/>
    <d v="1899-12-30T00:00:00"/>
    <d v="1899-12-30T00:00:00"/>
    <s v=""/>
    <s v="Company1414441766"/>
    <x v="4"/>
    <x v="4"/>
  </r>
  <r>
    <n v="5843"/>
    <x v="8"/>
    <m/>
    <n v="2564"/>
    <s v="Location9"/>
    <d v="2014-05-07T00:00:00"/>
    <x v="0"/>
    <s v="144"/>
    <d v="1899-12-30T00:00:00"/>
    <m/>
    <m/>
    <m/>
    <m/>
    <m/>
    <d v="1899-12-30T00:00:00"/>
    <d v="2014-05-29T12:37:27"/>
    <m/>
    <m/>
    <d v="1899-12-30T00:00:00"/>
    <d v="1899-12-30T00:00:00"/>
    <d v="1899-12-30T00:00:00"/>
    <s v=""/>
    <s v="Company1414441766"/>
    <x v="4"/>
    <x v="4"/>
  </r>
  <r>
    <n v="7435"/>
    <x v="5"/>
    <m/>
    <n v="406"/>
    <s v="Location3"/>
    <d v="2014-08-15T00:00:00"/>
    <x v="0"/>
    <s v="343"/>
    <d v="1899-12-30T00:00:00"/>
    <m/>
    <m/>
    <m/>
    <m/>
    <m/>
    <d v="1899-12-30T00:00:00"/>
    <d v="2014-08-19T13:53:47"/>
    <m/>
    <m/>
    <d v="1899-12-30T00:00:00"/>
    <d v="1899-12-30T00:00:00"/>
    <d v="1899-12-30T00:00:00"/>
    <d v="1899-12-31T00:00:00"/>
    <s v="Company1434341866"/>
    <x v="5"/>
    <x v="5"/>
  </r>
  <r>
    <n v="7436"/>
    <x v="5"/>
    <m/>
    <n v="412"/>
    <s v="Location3"/>
    <d v="2014-08-15T00:00:00"/>
    <x v="0"/>
    <s v="343"/>
    <d v="1899-12-30T00:00:00"/>
    <m/>
    <m/>
    <m/>
    <m/>
    <m/>
    <d v="1899-12-30T00:00:00"/>
    <d v="2014-08-19T13:53:52"/>
    <m/>
    <m/>
    <d v="1899-12-30T00:00:00"/>
    <d v="1899-12-30T00:00:00"/>
    <d v="1899-12-30T00:00:00"/>
    <s v=""/>
    <s v="Company1434341866"/>
    <x v="5"/>
    <x v="5"/>
  </r>
  <r>
    <n v="7437"/>
    <x v="5"/>
    <m/>
    <n v="416"/>
    <s v="Location3"/>
    <d v="2014-08-15T00:00:00"/>
    <x v="0"/>
    <s v="343"/>
    <d v="1899-12-30T00:00:00"/>
    <m/>
    <m/>
    <m/>
    <m/>
    <m/>
    <d v="1899-12-30T00:00:00"/>
    <d v="2014-08-19T13:53:55"/>
    <m/>
    <m/>
    <d v="1899-12-30T00:00:00"/>
    <d v="1899-12-30T00:00:00"/>
    <d v="1899-12-30T00:00:00"/>
    <s v=""/>
    <s v="Company1434341866"/>
    <x v="5"/>
    <x v="5"/>
  </r>
  <r>
    <n v="7438"/>
    <x v="5"/>
    <m/>
    <n v="414"/>
    <s v="Location3"/>
    <d v="2014-08-15T00:00:00"/>
    <x v="0"/>
    <s v="343"/>
    <d v="1899-12-30T00:00:00"/>
    <m/>
    <m/>
    <m/>
    <m/>
    <m/>
    <d v="1899-12-30T00:00:00"/>
    <d v="2014-08-19T13:54:00"/>
    <m/>
    <m/>
    <d v="1899-12-30T00:00:00"/>
    <d v="1899-12-30T00:00:00"/>
    <d v="1899-12-30T00:00:00"/>
    <s v=""/>
    <s v="Company1434341866"/>
    <x v="5"/>
    <x v="5"/>
  </r>
  <r>
    <n v="7439"/>
    <x v="5"/>
    <m/>
    <n v="292"/>
    <s v="Location3"/>
    <d v="2014-08-15T00:00:00"/>
    <x v="0"/>
    <s v="343"/>
    <d v="1899-12-30T00:00:00"/>
    <m/>
    <m/>
    <m/>
    <m/>
    <m/>
    <d v="1899-12-30T00:00:00"/>
    <d v="2014-08-19T13:54:04"/>
    <m/>
    <m/>
    <d v="1899-12-30T00:00:00"/>
    <d v="1899-12-30T00:00:00"/>
    <d v="1899-12-30T00:00:00"/>
    <s v=""/>
    <s v="Company1434341866"/>
    <x v="5"/>
    <x v="5"/>
  </r>
  <r>
    <n v="7440"/>
    <x v="5"/>
    <m/>
    <n v="722"/>
    <s v="Location3"/>
    <d v="2014-08-15T00:00:00"/>
    <x v="0"/>
    <s v="343"/>
    <d v="1899-12-30T00:00:00"/>
    <m/>
    <m/>
    <m/>
    <m/>
    <m/>
    <d v="1899-12-30T00:00:00"/>
    <d v="2014-08-19T13:54:09"/>
    <m/>
    <m/>
    <d v="1899-12-30T00:00:00"/>
    <d v="1899-12-30T00:00:00"/>
    <d v="1899-12-30T00:00:00"/>
    <s v=""/>
    <s v="Company1434341866"/>
    <x v="5"/>
    <x v="5"/>
  </r>
  <r>
    <n v="7441"/>
    <x v="5"/>
    <m/>
    <n v="750"/>
    <s v="Location3"/>
    <d v="2014-08-15T00:00:00"/>
    <x v="0"/>
    <s v="343"/>
    <d v="1899-12-30T00:00:00"/>
    <m/>
    <m/>
    <m/>
    <m/>
    <m/>
    <d v="1899-12-30T00:00:00"/>
    <d v="2014-08-19T13:54:12"/>
    <m/>
    <m/>
    <d v="1899-12-30T00:00:00"/>
    <d v="1899-12-30T00:00:00"/>
    <d v="1899-12-30T00:00:00"/>
    <s v=""/>
    <s v="Company1434341866"/>
    <x v="5"/>
    <x v="5"/>
  </r>
  <r>
    <n v="7442"/>
    <x v="5"/>
    <m/>
    <n v="722"/>
    <s v="Location3"/>
    <d v="2014-08-15T00:00:00"/>
    <x v="0"/>
    <s v="343"/>
    <d v="1899-12-30T00:00:00"/>
    <m/>
    <m/>
    <m/>
    <m/>
    <m/>
    <d v="1899-12-30T00:00:00"/>
    <d v="2014-08-19T13:54:15"/>
    <m/>
    <m/>
    <d v="1899-12-30T00:00:00"/>
    <d v="1899-12-30T00:00:00"/>
    <d v="1899-12-30T00:00:00"/>
    <s v=""/>
    <s v="Company1434341866"/>
    <x v="5"/>
    <x v="5"/>
  </r>
  <r>
    <n v="7443"/>
    <x v="5"/>
    <m/>
    <n v="534"/>
    <s v="Location3"/>
    <d v="2014-08-15T00:00:00"/>
    <x v="0"/>
    <s v="343"/>
    <d v="1899-12-30T00:00:00"/>
    <m/>
    <m/>
    <m/>
    <m/>
    <m/>
    <d v="1899-12-30T00:00:00"/>
    <d v="2014-08-19T13:54:19"/>
    <m/>
    <m/>
    <d v="1899-12-30T00:00:00"/>
    <d v="1899-12-30T00:00:00"/>
    <d v="1899-12-30T00:00:00"/>
    <s v=""/>
    <s v="Company1434341866"/>
    <x v="5"/>
    <x v="5"/>
  </r>
  <r>
    <n v="7444"/>
    <x v="5"/>
    <m/>
    <n v="316"/>
    <s v="Location3"/>
    <d v="2014-08-15T00:00:00"/>
    <x v="0"/>
    <s v="343"/>
    <d v="1899-12-30T00:00:00"/>
    <m/>
    <m/>
    <m/>
    <m/>
    <m/>
    <d v="1899-12-30T00:00:00"/>
    <d v="2014-08-19T13:54:21"/>
    <m/>
    <m/>
    <d v="1899-12-30T00:00:00"/>
    <d v="1899-12-30T00:00:00"/>
    <d v="1899-12-30T00:00:00"/>
    <s v=""/>
    <s v="Company1434341866"/>
    <x v="5"/>
    <x v="5"/>
  </r>
  <r>
    <n v="7445"/>
    <x v="5"/>
    <m/>
    <n v="652"/>
    <s v="Location3"/>
    <d v="2014-08-15T00:00:00"/>
    <x v="0"/>
    <s v="343"/>
    <d v="1899-12-30T00:00:00"/>
    <m/>
    <m/>
    <m/>
    <m/>
    <m/>
    <d v="1899-12-30T00:00:00"/>
    <d v="2014-08-19T13:54:25"/>
    <m/>
    <m/>
    <d v="1899-12-30T00:00:00"/>
    <d v="1899-12-30T00:00:00"/>
    <d v="1899-12-30T00:00:00"/>
    <s v=""/>
    <s v="Company1434341866"/>
    <x v="5"/>
    <x v="5"/>
  </r>
  <r>
    <n v="7446"/>
    <x v="5"/>
    <m/>
    <n v="280"/>
    <s v="Location3"/>
    <d v="2014-08-15T00:00:00"/>
    <x v="0"/>
    <s v="343"/>
    <d v="1899-12-30T00:00:00"/>
    <m/>
    <m/>
    <m/>
    <m/>
    <m/>
    <d v="1899-12-30T00:00:00"/>
    <d v="2014-08-19T13:54:28"/>
    <m/>
    <m/>
    <d v="1899-12-30T00:00:00"/>
    <d v="1899-12-30T00:00:00"/>
    <d v="1899-12-30T00:00:00"/>
    <s v=""/>
    <s v="Company1434341866"/>
    <x v="5"/>
    <x v="5"/>
  </r>
  <r>
    <n v="7447"/>
    <x v="5"/>
    <m/>
    <n v="670"/>
    <s v="Location3"/>
    <d v="2014-08-15T00:00:00"/>
    <x v="0"/>
    <s v="343"/>
    <d v="1899-12-30T00:00:00"/>
    <m/>
    <m/>
    <m/>
    <m/>
    <m/>
    <d v="1899-12-30T00:00:00"/>
    <d v="2014-08-19T13:54:31"/>
    <m/>
    <m/>
    <d v="1899-12-30T00:00:00"/>
    <d v="1899-12-30T00:00:00"/>
    <d v="1899-12-30T00:00:00"/>
    <s v=""/>
    <s v="Company1434341866"/>
    <x v="5"/>
    <x v="5"/>
  </r>
  <r>
    <n v="7448"/>
    <x v="5"/>
    <m/>
    <n v="216"/>
    <s v="Location3"/>
    <d v="2014-08-15T00:00:00"/>
    <x v="0"/>
    <s v="343"/>
    <d v="1899-12-30T00:00:00"/>
    <m/>
    <m/>
    <m/>
    <m/>
    <m/>
    <d v="1899-12-30T00:00:00"/>
    <d v="2014-08-19T13:54:35"/>
    <m/>
    <m/>
    <d v="1899-12-30T00:00:00"/>
    <d v="1899-12-30T00:00:00"/>
    <d v="1899-12-30T00:00:00"/>
    <s v=""/>
    <s v="Company1434341866"/>
    <x v="5"/>
    <x v="5"/>
  </r>
  <r>
    <n v="7449"/>
    <x v="5"/>
    <m/>
    <n v="254"/>
    <s v="Location3"/>
    <d v="2014-08-15T00:00:00"/>
    <x v="0"/>
    <s v="343"/>
    <d v="1899-12-30T00:00:00"/>
    <m/>
    <m/>
    <m/>
    <m/>
    <m/>
    <d v="1899-12-30T00:00:00"/>
    <d v="2014-08-19T13:54:39"/>
    <m/>
    <m/>
    <d v="1899-12-30T00:00:00"/>
    <d v="1899-12-30T00:00:00"/>
    <d v="1899-12-30T00:00:00"/>
    <s v=""/>
    <s v="Company1434341866"/>
    <x v="5"/>
    <x v="5"/>
  </r>
  <r>
    <n v="7450"/>
    <x v="5"/>
    <m/>
    <n v="252"/>
    <s v="Location3"/>
    <d v="2014-08-15T00:00:00"/>
    <x v="0"/>
    <s v="343"/>
    <d v="1899-12-30T00:00:00"/>
    <m/>
    <m/>
    <m/>
    <m/>
    <m/>
    <d v="1899-12-30T00:00:00"/>
    <d v="2014-08-19T13:54:41"/>
    <m/>
    <m/>
    <d v="1899-12-30T00:00:00"/>
    <d v="1899-12-30T00:00:00"/>
    <d v="1899-12-30T00:00:00"/>
    <s v=""/>
    <s v="Company1434341866"/>
    <x v="5"/>
    <x v="5"/>
  </r>
  <r>
    <n v="7451"/>
    <x v="5"/>
    <m/>
    <n v="254"/>
    <s v="Location3"/>
    <d v="2014-08-15T00:00:00"/>
    <x v="0"/>
    <s v="343"/>
    <d v="1899-12-30T00:00:00"/>
    <m/>
    <m/>
    <m/>
    <m/>
    <m/>
    <d v="1899-12-30T00:00:00"/>
    <d v="2014-08-19T13:54:44"/>
    <m/>
    <m/>
    <d v="1899-12-30T00:00:00"/>
    <d v="1899-12-30T00:00:00"/>
    <d v="1899-12-30T00:00:00"/>
    <s v=""/>
    <s v="Company1434341866"/>
    <x v="5"/>
    <x v="5"/>
  </r>
  <r>
    <n v="7452"/>
    <x v="5"/>
    <m/>
    <n v="422"/>
    <s v="Location3"/>
    <d v="2014-08-15T00:00:00"/>
    <x v="0"/>
    <s v="343"/>
    <d v="1899-12-30T00:00:00"/>
    <m/>
    <m/>
    <m/>
    <m/>
    <m/>
    <d v="1899-12-30T00:00:00"/>
    <d v="2014-08-19T13:54:47"/>
    <m/>
    <m/>
    <d v="1899-12-30T00:00:00"/>
    <d v="1899-12-30T00:00:00"/>
    <d v="1899-12-30T00:00:00"/>
    <s v=""/>
    <s v="Company1434341866"/>
    <x v="5"/>
    <x v="5"/>
  </r>
  <r>
    <n v="7453"/>
    <x v="5"/>
    <m/>
    <n v="144"/>
    <s v="Location3"/>
    <d v="2014-08-15T00:00:00"/>
    <x v="0"/>
    <s v="343"/>
    <d v="1899-12-30T00:00:00"/>
    <m/>
    <m/>
    <m/>
    <m/>
    <m/>
    <d v="1899-12-30T00:00:00"/>
    <d v="2014-08-19T13:54:51"/>
    <m/>
    <m/>
    <d v="1899-12-30T00:00:00"/>
    <d v="1899-12-30T00:00:00"/>
    <d v="1899-12-30T00:00:00"/>
    <s v=""/>
    <s v="Company1434341866"/>
    <x v="5"/>
    <x v="5"/>
  </r>
  <r>
    <n v="7454"/>
    <x v="5"/>
    <m/>
    <n v="90"/>
    <s v="Location3"/>
    <d v="2014-08-15T00:00:00"/>
    <x v="0"/>
    <s v="343"/>
    <d v="1899-12-30T00:00:00"/>
    <m/>
    <m/>
    <m/>
    <m/>
    <m/>
    <d v="1899-12-30T00:00:00"/>
    <d v="2014-08-19T13:54:54"/>
    <m/>
    <m/>
    <d v="1899-12-30T00:00:00"/>
    <d v="1899-12-30T00:00:00"/>
    <d v="1899-12-30T00:00:00"/>
    <s v=""/>
    <s v="Company1434341866"/>
    <x v="5"/>
    <x v="5"/>
  </r>
  <r>
    <n v="7455"/>
    <x v="10"/>
    <m/>
    <n v="748"/>
    <s v="Location3"/>
    <d v="2014-08-15T00:00:00"/>
    <x v="0"/>
    <s v="343"/>
    <d v="1899-12-30T00:00:00"/>
    <m/>
    <m/>
    <m/>
    <m/>
    <m/>
    <d v="1899-12-30T00:00:00"/>
    <d v="2014-08-19T13:55:04"/>
    <m/>
    <m/>
    <d v="1899-12-30T00:00:00"/>
    <d v="1899-12-30T00:00:00"/>
    <d v="1899-12-30T00:00:00"/>
    <s v=""/>
    <s v="Company1434341866"/>
    <x v="5"/>
    <x v="5"/>
  </r>
  <r>
    <n v="7456"/>
    <x v="10"/>
    <m/>
    <n v="286"/>
    <s v="Location3"/>
    <d v="2014-08-15T00:00:00"/>
    <x v="0"/>
    <s v="343"/>
    <d v="1899-12-30T00:00:00"/>
    <m/>
    <m/>
    <m/>
    <m/>
    <m/>
    <d v="1899-12-30T00:00:00"/>
    <d v="2014-08-19T13:55:08"/>
    <m/>
    <m/>
    <d v="1899-12-30T00:00:00"/>
    <d v="1899-12-30T00:00:00"/>
    <d v="1899-12-30T00:00:00"/>
    <s v=""/>
    <s v="Company1434341866"/>
    <x v="5"/>
    <x v="5"/>
  </r>
  <r>
    <n v="7457"/>
    <x v="10"/>
    <m/>
    <n v="586"/>
    <s v="Location3"/>
    <d v="2014-08-15T00:00:00"/>
    <x v="0"/>
    <s v="343"/>
    <d v="1899-12-30T00:00:00"/>
    <m/>
    <m/>
    <m/>
    <m/>
    <m/>
    <d v="1899-12-30T00:00:00"/>
    <d v="2014-08-19T13:55:11"/>
    <m/>
    <m/>
    <d v="1899-12-30T00:00:00"/>
    <d v="1899-12-30T00:00:00"/>
    <d v="1899-12-30T00:00:00"/>
    <s v=""/>
    <s v="Company1434341866"/>
    <x v="5"/>
    <x v="5"/>
  </r>
  <r>
    <n v="7458"/>
    <x v="10"/>
    <m/>
    <n v="576"/>
    <s v="Location3"/>
    <d v="2014-08-15T00:00:00"/>
    <x v="0"/>
    <s v="343"/>
    <d v="1899-12-30T00:00:00"/>
    <m/>
    <m/>
    <m/>
    <m/>
    <m/>
    <d v="1899-12-30T00:00:00"/>
    <d v="2014-08-19T13:55:16"/>
    <m/>
    <m/>
    <d v="1899-12-30T00:00:00"/>
    <d v="1899-12-30T00:00:00"/>
    <d v="1899-12-30T00:00:00"/>
    <s v=""/>
    <s v="Company1434341866"/>
    <x v="5"/>
    <x v="5"/>
  </r>
  <r>
    <n v="7459"/>
    <x v="3"/>
    <m/>
    <n v="36"/>
    <s v="Location3"/>
    <d v="2014-08-15T00:00:00"/>
    <x v="0"/>
    <s v="343"/>
    <d v="1899-12-30T00:00:00"/>
    <m/>
    <m/>
    <m/>
    <m/>
    <m/>
    <d v="1899-12-30T00:00:00"/>
    <d v="2014-08-19T13:55:25"/>
    <m/>
    <m/>
    <d v="1899-12-30T00:00:00"/>
    <d v="1899-12-30T00:00:00"/>
    <d v="1899-12-30T00:00:00"/>
    <s v=""/>
    <s v="Company1434341866"/>
    <x v="5"/>
    <x v="5"/>
  </r>
  <r>
    <n v="7460"/>
    <x v="3"/>
    <m/>
    <n v="100"/>
    <s v="Location3"/>
    <d v="2014-08-15T00:00:00"/>
    <x v="0"/>
    <s v="343"/>
    <d v="1899-12-30T00:00:00"/>
    <m/>
    <m/>
    <m/>
    <m/>
    <m/>
    <d v="1899-12-30T00:00:00"/>
    <d v="2014-08-19T13:55:28"/>
    <m/>
    <m/>
    <d v="1899-12-30T00:00:00"/>
    <d v="1899-12-30T00:00:00"/>
    <d v="1899-12-30T00:00:00"/>
    <s v=""/>
    <s v="Company1434341866"/>
    <x v="5"/>
    <x v="5"/>
  </r>
  <r>
    <n v="7461"/>
    <x v="2"/>
    <m/>
    <n v="1418"/>
    <s v="Location3"/>
    <d v="2014-08-15T00:00:00"/>
    <x v="0"/>
    <s v="343"/>
    <d v="1899-12-30T00:00:00"/>
    <m/>
    <m/>
    <m/>
    <m/>
    <m/>
    <d v="1899-12-30T00:00:00"/>
    <d v="2014-08-19T13:55:38"/>
    <m/>
    <m/>
    <d v="1899-12-30T00:00:00"/>
    <d v="1899-12-30T00:00:00"/>
    <d v="1899-12-30T00:00:00"/>
    <s v=""/>
    <s v="Company1434341866"/>
    <x v="5"/>
    <x v="5"/>
  </r>
  <r>
    <n v="7462"/>
    <x v="4"/>
    <m/>
    <n v="166"/>
    <s v="Location3"/>
    <d v="2014-08-07T00:00:00"/>
    <x v="0"/>
    <s v="dv48502"/>
    <d v="1899-12-30T00:00:00"/>
    <m/>
    <m/>
    <m/>
    <m/>
    <m/>
    <d v="1899-12-30T00:00:00"/>
    <d v="2014-08-20T11:45:44"/>
    <m/>
    <m/>
    <d v="1899-12-30T00:00:00"/>
    <d v="1899-12-30T00:00:00"/>
    <d v="1899-12-30T00:00:00"/>
    <d v="1899-12-31T00:00:00"/>
    <s v="Company14DV4850241858"/>
    <x v="5"/>
    <x v="6"/>
  </r>
  <r>
    <n v="7463"/>
    <x v="11"/>
    <m/>
    <n v="66"/>
    <s v="Location3"/>
    <d v="2014-08-07T00:00:00"/>
    <x v="0"/>
    <s v="dv48502"/>
    <d v="1899-12-30T00:00:00"/>
    <m/>
    <m/>
    <m/>
    <m/>
    <m/>
    <d v="1899-12-30T00:00:00"/>
    <d v="2014-08-20T11:46:27"/>
    <m/>
    <m/>
    <d v="1899-12-30T00:00:00"/>
    <d v="1899-12-30T00:00:00"/>
    <d v="1899-12-30T00:00:00"/>
    <s v=""/>
    <s v="Company14DV4850241858"/>
    <x v="5"/>
    <x v="6"/>
  </r>
  <r>
    <n v="7464"/>
    <x v="2"/>
    <s v="wheels"/>
    <n v="742"/>
    <s v="Location3"/>
    <d v="2014-08-07T00:00:00"/>
    <x v="0"/>
    <s v="dv48502"/>
    <d v="1899-12-30T00:00:00"/>
    <m/>
    <m/>
    <m/>
    <m/>
    <m/>
    <d v="1899-12-30T00:00:00"/>
    <d v="2014-08-20T11:46:45"/>
    <m/>
    <m/>
    <d v="1899-12-30T00:00:00"/>
    <d v="1899-12-30T00:00:00"/>
    <d v="1899-12-30T00:00:00"/>
    <s v=""/>
    <s v="Company14DV4850241858"/>
    <x v="5"/>
    <x v="6"/>
  </r>
  <r>
    <n v="7465"/>
    <x v="1"/>
    <m/>
    <n v="502"/>
    <s v="Location3"/>
    <d v="2014-08-07T00:00:00"/>
    <x v="0"/>
    <s v="dv48502"/>
    <d v="1899-12-30T00:00:00"/>
    <m/>
    <m/>
    <m/>
    <m/>
    <m/>
    <d v="1899-12-30T00:00:00"/>
    <d v="2014-08-20T11:47:00"/>
    <m/>
    <m/>
    <d v="1899-12-30T00:00:00"/>
    <d v="1899-12-30T00:00:00"/>
    <d v="1899-12-30T00:00:00"/>
    <s v=""/>
    <s v="Company14DV4850241858"/>
    <x v="5"/>
    <x v="6"/>
  </r>
  <r>
    <n v="7466"/>
    <x v="6"/>
    <m/>
    <n v="356"/>
    <s v="Location3"/>
    <d v="2014-08-07T00:00:00"/>
    <x v="0"/>
    <s v="dv48502"/>
    <d v="1899-12-30T00:00:00"/>
    <m/>
    <m/>
    <m/>
    <m/>
    <m/>
    <d v="1899-12-30T00:00:00"/>
    <d v="2014-08-20T11:47:07"/>
    <m/>
    <m/>
    <d v="1899-12-30T00:00:00"/>
    <d v="1899-12-30T00:00:00"/>
    <d v="1899-12-30T00:00:00"/>
    <s v=""/>
    <s v="Company14DV4850241858"/>
    <x v="5"/>
    <x v="6"/>
  </r>
  <r>
    <n v="7467"/>
    <x v="6"/>
    <m/>
    <n v="272"/>
    <s v="Location3"/>
    <d v="2014-08-07T00:00:00"/>
    <x v="0"/>
    <s v="dv48502"/>
    <d v="1899-12-30T00:00:00"/>
    <m/>
    <m/>
    <m/>
    <m/>
    <m/>
    <d v="1899-12-30T00:00:00"/>
    <d v="2014-08-20T11:47:10"/>
    <m/>
    <m/>
    <d v="1899-12-30T00:00:00"/>
    <d v="1899-12-30T00:00:00"/>
    <d v="1899-12-30T00:00:00"/>
    <s v=""/>
    <s v="Company14DV4850241858"/>
    <x v="5"/>
    <x v="6"/>
  </r>
  <r>
    <n v="7468"/>
    <x v="6"/>
    <m/>
    <n v="1224"/>
    <s v="Location3"/>
    <d v="2014-08-07T00:00:00"/>
    <x v="0"/>
    <s v="dv48502"/>
    <d v="1899-12-30T00:00:00"/>
    <m/>
    <m/>
    <m/>
    <m/>
    <m/>
    <d v="1899-12-30T00:00:00"/>
    <d v="2014-08-20T11:47:15"/>
    <m/>
    <m/>
    <d v="1899-12-30T00:00:00"/>
    <d v="1899-12-30T00:00:00"/>
    <d v="1899-12-30T00:00:00"/>
    <s v=""/>
    <s v="Company14DV4850241858"/>
    <x v="5"/>
    <x v="6"/>
  </r>
  <r>
    <n v="7469"/>
    <x v="1"/>
    <m/>
    <n v="584"/>
    <s v="Location3"/>
    <d v="2014-08-07T00:00:00"/>
    <x v="0"/>
    <s v="dv48502"/>
    <d v="1899-12-30T00:00:00"/>
    <m/>
    <m/>
    <m/>
    <m/>
    <m/>
    <d v="1899-12-30T00:00:00"/>
    <d v="2014-08-20T11:47:26"/>
    <m/>
    <m/>
    <d v="1899-12-30T00:00:00"/>
    <d v="1899-12-30T00:00:00"/>
    <d v="1899-12-30T00:00:00"/>
    <s v=""/>
    <s v="Company14DV4850241858"/>
    <x v="5"/>
    <x v="6"/>
  </r>
  <r>
    <n v="7470"/>
    <x v="1"/>
    <m/>
    <n v="114"/>
    <s v="Location3"/>
    <d v="2014-08-07T00:00:00"/>
    <x v="0"/>
    <s v="dv48502"/>
    <d v="1899-12-30T00:00:00"/>
    <m/>
    <m/>
    <m/>
    <m/>
    <m/>
    <d v="1899-12-30T00:00:00"/>
    <d v="2014-08-20T11:47:41"/>
    <m/>
    <m/>
    <d v="1899-12-30T00:00:00"/>
    <d v="1899-12-30T00:00:00"/>
    <d v="1899-12-30T00:00:00"/>
    <s v=""/>
    <s v="Company14DV4850241858"/>
    <x v="5"/>
    <x v="6"/>
  </r>
  <r>
    <n v="7471"/>
    <x v="8"/>
    <m/>
    <n v="1518"/>
    <s v="Location3"/>
    <d v="2014-08-07T00:00:00"/>
    <x v="0"/>
    <s v="dv48502"/>
    <d v="1899-12-30T00:00:00"/>
    <m/>
    <m/>
    <m/>
    <m/>
    <m/>
    <d v="1899-12-30T00:00:00"/>
    <d v="2014-08-20T11:47:56"/>
    <m/>
    <m/>
    <d v="1899-12-30T00:00:00"/>
    <d v="1899-12-30T00:00:00"/>
    <d v="1899-12-30T00:00:00"/>
    <s v=""/>
    <s v="Company14DV4850241858"/>
    <x v="5"/>
    <x v="6"/>
  </r>
  <r>
    <n v="7472"/>
    <x v="8"/>
    <m/>
    <n v="2436"/>
    <s v="Location3"/>
    <d v="2014-08-07T00:00:00"/>
    <x v="0"/>
    <s v="dv48502"/>
    <d v="1899-12-30T00:00:00"/>
    <m/>
    <m/>
    <m/>
    <m/>
    <m/>
    <d v="1899-12-30T00:00:00"/>
    <d v="2014-08-20T11:48:00"/>
    <m/>
    <m/>
    <d v="1899-12-30T00:00:00"/>
    <d v="1899-12-30T00:00:00"/>
    <d v="1899-12-30T00:00:00"/>
    <s v=""/>
    <s v="Company14DV4850241858"/>
    <x v="5"/>
    <x v="6"/>
  </r>
  <r>
    <n v="7473"/>
    <x v="8"/>
    <m/>
    <n v="2426"/>
    <s v="Location3"/>
    <d v="2014-08-07T00:00:00"/>
    <x v="0"/>
    <s v="dv48502"/>
    <d v="1899-12-30T00:00:00"/>
    <m/>
    <m/>
    <m/>
    <m/>
    <m/>
    <d v="1899-12-30T00:00:00"/>
    <d v="2014-08-20T11:48:15"/>
    <m/>
    <m/>
    <d v="1899-12-30T00:00:00"/>
    <d v="1899-12-30T00:00:00"/>
    <d v="1899-12-30T00:00:00"/>
    <s v=""/>
    <s v="Company14DV4850241858"/>
    <x v="5"/>
    <x v="6"/>
  </r>
  <r>
    <n v="7474"/>
    <x v="8"/>
    <m/>
    <n v="2438"/>
    <s v="Location3"/>
    <d v="2014-08-07T00:00:00"/>
    <x v="0"/>
    <s v="dv48502"/>
    <d v="1899-12-30T00:00:00"/>
    <m/>
    <m/>
    <m/>
    <m/>
    <m/>
    <d v="1899-12-30T00:00:00"/>
    <d v="2014-08-20T11:48:23"/>
    <m/>
    <m/>
    <d v="1899-12-30T00:00:00"/>
    <d v="1899-12-30T00:00:00"/>
    <d v="1899-12-30T00:00:00"/>
    <s v=""/>
    <s v="Company14DV4850241858"/>
    <x v="5"/>
    <x v="6"/>
  </r>
  <r>
    <n v="7475"/>
    <x v="3"/>
    <m/>
    <n v="1424"/>
    <s v="Location3"/>
    <d v="2014-08-07T00:00:00"/>
    <x v="0"/>
    <s v="dv48502"/>
    <d v="1899-12-30T00:00:00"/>
    <m/>
    <m/>
    <m/>
    <m/>
    <m/>
    <d v="1899-12-30T00:00:00"/>
    <d v="2014-08-20T11:48:35"/>
    <m/>
    <m/>
    <d v="1899-12-30T00:00:00"/>
    <d v="1899-12-30T00:00:00"/>
    <d v="1899-12-30T00:00:00"/>
    <s v=""/>
    <s v="Company14DV4850241858"/>
    <x v="5"/>
    <x v="6"/>
  </r>
  <r>
    <n v="7476"/>
    <x v="3"/>
    <m/>
    <n v="154"/>
    <s v="Location3"/>
    <d v="2014-08-07T00:00:00"/>
    <x v="0"/>
    <s v="dv48502"/>
    <d v="1899-12-30T00:00:00"/>
    <m/>
    <m/>
    <m/>
    <m/>
    <m/>
    <d v="1899-12-30T00:00:00"/>
    <d v="2014-08-20T11:48:40"/>
    <m/>
    <m/>
    <d v="1899-12-30T00:00:00"/>
    <d v="1899-12-30T00:00:00"/>
    <d v="1899-12-30T00:00:00"/>
    <s v=""/>
    <s v="Company14DV4850241858"/>
    <x v="5"/>
    <x v="6"/>
  </r>
  <r>
    <n v="7477"/>
    <x v="3"/>
    <m/>
    <n v="134"/>
    <s v="Location3"/>
    <d v="2014-08-07T00:00:00"/>
    <x v="0"/>
    <s v="dv48502"/>
    <d v="1899-12-30T00:00:00"/>
    <m/>
    <m/>
    <m/>
    <m/>
    <m/>
    <d v="1899-12-30T00:00:00"/>
    <d v="2014-08-20T11:48:52"/>
    <m/>
    <m/>
    <d v="1899-12-30T00:00:00"/>
    <d v="1899-12-30T00:00:00"/>
    <d v="1899-12-30T00:00:00"/>
    <s v=""/>
    <s v="Company14DV4850241858"/>
    <x v="5"/>
    <x v="6"/>
  </r>
  <r>
    <n v="7478"/>
    <x v="3"/>
    <m/>
    <n v="146"/>
    <s v="Location3"/>
    <d v="2014-08-07T00:00:00"/>
    <x v="0"/>
    <s v="dv48502"/>
    <d v="1899-12-30T00:00:00"/>
    <m/>
    <m/>
    <m/>
    <m/>
    <m/>
    <d v="1899-12-30T00:00:00"/>
    <d v="2014-08-20T11:48:56"/>
    <m/>
    <m/>
    <d v="1899-12-30T00:00:00"/>
    <d v="1899-12-30T00:00:00"/>
    <d v="1899-12-30T00:00:00"/>
    <s v=""/>
    <s v="Company14DV4850241858"/>
    <x v="5"/>
    <x v="6"/>
  </r>
  <r>
    <n v="7479"/>
    <x v="3"/>
    <m/>
    <n v="124"/>
    <s v="Location3"/>
    <d v="2014-08-07T00:00:00"/>
    <x v="0"/>
    <s v="dv48502"/>
    <d v="1899-12-30T00:00:00"/>
    <m/>
    <m/>
    <m/>
    <m/>
    <m/>
    <d v="1899-12-30T00:00:00"/>
    <d v="2014-08-20T11:49:00"/>
    <m/>
    <m/>
    <d v="1899-12-30T00:00:00"/>
    <d v="1899-12-30T00:00:00"/>
    <d v="1899-12-30T00:00:00"/>
    <s v=""/>
    <s v="Company14DV4850241858"/>
    <x v="5"/>
    <x v="6"/>
  </r>
  <r>
    <n v="7480"/>
    <x v="5"/>
    <m/>
    <n v="140"/>
    <s v="Location3"/>
    <d v="2014-08-07T00:00:00"/>
    <x v="0"/>
    <s v="dv48502"/>
    <d v="1899-12-30T00:00:00"/>
    <m/>
    <m/>
    <m/>
    <m/>
    <m/>
    <d v="1899-12-30T00:00:00"/>
    <d v="2014-08-20T11:49:14"/>
    <m/>
    <m/>
    <d v="1899-12-30T00:00:00"/>
    <d v="1899-12-30T00:00:00"/>
    <d v="1899-12-30T00:00:00"/>
    <s v=""/>
    <s v="Company14DV4850241858"/>
    <x v="5"/>
    <x v="6"/>
  </r>
  <r>
    <n v="7481"/>
    <x v="5"/>
    <m/>
    <n v="750"/>
    <s v="Location3"/>
    <d v="2014-08-07T00:00:00"/>
    <x v="0"/>
    <s v="dv48502"/>
    <d v="1899-12-30T00:00:00"/>
    <m/>
    <m/>
    <m/>
    <m/>
    <m/>
    <d v="1899-12-30T00:00:00"/>
    <d v="2014-08-20T11:49:16"/>
    <m/>
    <m/>
    <d v="1899-12-30T00:00:00"/>
    <d v="1899-12-30T00:00:00"/>
    <d v="1899-12-30T00:00:00"/>
    <s v=""/>
    <s v="Company14DV4850241858"/>
    <x v="5"/>
    <x v="6"/>
  </r>
  <r>
    <n v="7482"/>
    <x v="3"/>
    <m/>
    <n v="138"/>
    <s v="Location3"/>
    <d v="2014-08-07T00:00:00"/>
    <x v="0"/>
    <s v="dv48502"/>
    <d v="1899-12-30T00:00:00"/>
    <m/>
    <m/>
    <m/>
    <m/>
    <m/>
    <d v="1899-12-30T00:00:00"/>
    <d v="2014-08-20T11:49:41"/>
    <m/>
    <m/>
    <d v="1899-12-30T00:00:00"/>
    <d v="1899-12-30T00:00:00"/>
    <d v="1899-12-30T00:00:00"/>
    <s v=""/>
    <s v="Company14DV4850241858"/>
    <x v="5"/>
    <x v="6"/>
  </r>
  <r>
    <n v="7483"/>
    <x v="3"/>
    <m/>
    <n v="162"/>
    <s v="Location3"/>
    <d v="2014-08-07T00:00:00"/>
    <x v="0"/>
    <s v="dv48502"/>
    <d v="1899-12-30T00:00:00"/>
    <m/>
    <m/>
    <m/>
    <m/>
    <m/>
    <d v="1899-12-30T00:00:00"/>
    <d v="2014-08-20T11:49:43"/>
    <m/>
    <m/>
    <d v="1899-12-30T00:00:00"/>
    <d v="1899-12-30T00:00:00"/>
    <d v="1899-12-30T00:00:00"/>
    <s v=""/>
    <s v="Company14DV4850241858"/>
    <x v="5"/>
    <x v="6"/>
  </r>
  <r>
    <n v="7831"/>
    <x v="6"/>
    <m/>
    <n v="1278"/>
    <s v="Location3"/>
    <d v="2014-09-10T00:00:00"/>
    <x v="0"/>
    <s v="342"/>
    <d v="1899-12-30T00:00:00"/>
    <m/>
    <m/>
    <m/>
    <m/>
    <m/>
    <d v="1899-12-30T00:00:00"/>
    <d v="2014-09-11T15:04:22"/>
    <m/>
    <m/>
    <d v="1899-12-30T00:00:00"/>
    <d v="1899-12-30T00:00:00"/>
    <d v="1899-12-30T00:00:00"/>
    <d v="1899-12-31T00:00:00"/>
    <s v="Company1434241892"/>
    <x v="6"/>
    <x v="7"/>
  </r>
  <r>
    <n v="7832"/>
    <x v="3"/>
    <m/>
    <n v="72"/>
    <s v="Location3"/>
    <d v="2014-09-10T00:00:00"/>
    <x v="0"/>
    <s v="342"/>
    <d v="1899-12-30T00:00:00"/>
    <m/>
    <m/>
    <m/>
    <m/>
    <m/>
    <d v="1899-12-30T00:00:00"/>
    <d v="2014-09-11T15:04:35"/>
    <m/>
    <m/>
    <d v="1899-12-30T00:00:00"/>
    <d v="1899-12-30T00:00:00"/>
    <d v="1899-12-30T00:00:00"/>
    <s v=""/>
    <s v="Company1434241892"/>
    <x v="6"/>
    <x v="7"/>
  </r>
  <r>
    <n v="7833"/>
    <x v="3"/>
    <m/>
    <n v="100"/>
    <s v="Location3"/>
    <d v="2014-09-10T00:00:00"/>
    <x v="0"/>
    <s v="342"/>
    <d v="1899-12-30T00:00:00"/>
    <m/>
    <m/>
    <m/>
    <m/>
    <m/>
    <d v="1899-12-30T00:00:00"/>
    <d v="2014-09-11T15:04:38"/>
    <m/>
    <m/>
    <d v="1899-12-30T00:00:00"/>
    <d v="1899-12-30T00:00:00"/>
    <d v="1899-12-30T00:00:00"/>
    <s v=""/>
    <s v="Company1434241892"/>
    <x v="6"/>
    <x v="7"/>
  </r>
  <r>
    <n v="7834"/>
    <x v="3"/>
    <m/>
    <n v="88"/>
    <s v="Location3"/>
    <d v="2014-09-10T00:00:00"/>
    <x v="0"/>
    <s v="342"/>
    <d v="1899-12-30T00:00:00"/>
    <m/>
    <m/>
    <m/>
    <m/>
    <m/>
    <d v="1899-12-30T00:00:00"/>
    <d v="2014-09-11T15:04:40"/>
    <m/>
    <m/>
    <d v="1899-12-30T00:00:00"/>
    <d v="1899-12-30T00:00:00"/>
    <d v="1899-12-30T00:00:00"/>
    <s v=""/>
    <s v="Company1434241892"/>
    <x v="6"/>
    <x v="7"/>
  </r>
  <r>
    <n v="7835"/>
    <x v="0"/>
    <m/>
    <n v="428"/>
    <s v="Location3"/>
    <d v="2014-09-10T00:00:00"/>
    <x v="0"/>
    <s v="342"/>
    <d v="1899-12-30T00:00:00"/>
    <m/>
    <m/>
    <m/>
    <m/>
    <m/>
    <d v="1899-12-30T00:00:00"/>
    <d v="2014-09-11T15:05:36"/>
    <m/>
    <m/>
    <d v="1899-12-30T00:00:00"/>
    <d v="1899-12-30T00:00:00"/>
    <d v="1899-12-30T00:00:00"/>
    <s v=""/>
    <s v="Company1434241892"/>
    <x v="6"/>
    <x v="7"/>
  </r>
  <r>
    <n v="7853"/>
    <x v="2"/>
    <s v="IGEL LIVE LOAD"/>
    <n v="28290"/>
    <s v="Location13"/>
    <d v="2014-08-15T00:00:00"/>
    <x v="0"/>
    <s v="8001"/>
    <d v="1899-12-30T00:00:00"/>
    <m/>
    <m/>
    <m/>
    <m/>
    <m/>
    <d v="1899-12-30T00:00:00"/>
    <d v="2014-09-11T16:10:17"/>
    <m/>
    <m/>
    <d v="1899-12-30T00:00:00"/>
    <d v="1899-12-30T00:00:00"/>
    <d v="1899-12-30T00:00:00"/>
    <d v="1899-12-31T00:00:00"/>
    <s v="Company14800141866"/>
    <x v="5"/>
    <x v="5"/>
  </r>
  <r>
    <n v="7854"/>
    <x v="2"/>
    <m/>
    <n v="20850"/>
    <s v="Location13"/>
    <d v="2014-08-08T00:00:00"/>
    <x v="0"/>
    <s v="8001"/>
    <d v="1899-12-30T00:00:00"/>
    <m/>
    <m/>
    <m/>
    <m/>
    <m/>
    <d v="1899-12-30T00:00:00"/>
    <d v="2014-09-11T16:15:36"/>
    <m/>
    <m/>
    <d v="1899-12-30T00:00:00"/>
    <d v="1899-12-30T00:00:00"/>
    <d v="1899-12-30T00:00:00"/>
    <d v="1899-12-31T00:00:00"/>
    <s v="Company14800141859"/>
    <x v="5"/>
    <x v="8"/>
  </r>
  <r>
    <n v="7855"/>
    <x v="2"/>
    <m/>
    <n v="17030"/>
    <s v="Location13"/>
    <d v="2014-08-18T00:00:00"/>
    <x v="0"/>
    <s v="8002"/>
    <d v="1899-12-30T00:00:00"/>
    <m/>
    <m/>
    <m/>
    <m/>
    <m/>
    <d v="1899-12-30T00:00:00"/>
    <d v="2014-09-11T16:16:58"/>
    <m/>
    <m/>
    <d v="1899-12-30T00:00:00"/>
    <d v="1899-12-30T00:00:00"/>
    <d v="1899-12-30T00:00:00"/>
    <d v="1899-12-31T00:00:00"/>
    <s v="Company14800241869"/>
    <x v="5"/>
    <x v="9"/>
  </r>
  <r>
    <n v="7997"/>
    <x v="0"/>
    <m/>
    <n v="616"/>
    <s v="Location3"/>
    <d v="2014-09-15T00:00:00"/>
    <x v="0"/>
    <s v="340"/>
    <d v="1899-12-30T00:00:00"/>
    <m/>
    <m/>
    <m/>
    <m/>
    <m/>
    <d v="1899-12-30T00:00:00"/>
    <d v="2014-09-16T11:25:29"/>
    <m/>
    <m/>
    <d v="1899-12-30T00:00:00"/>
    <d v="1899-12-30T00:00:00"/>
    <d v="1899-12-30T00:00:00"/>
    <d v="1899-12-31T00:00:00"/>
    <s v="Company1434041897"/>
    <x v="6"/>
    <x v="10"/>
  </r>
  <r>
    <n v="7998"/>
    <x v="3"/>
    <m/>
    <n v="224"/>
    <s v="Location3"/>
    <d v="2014-09-15T00:00:00"/>
    <x v="0"/>
    <s v="340"/>
    <d v="1899-12-30T00:00:00"/>
    <m/>
    <m/>
    <m/>
    <m/>
    <m/>
    <d v="1899-12-30T00:00:00"/>
    <d v="2014-09-16T11:25:36"/>
    <m/>
    <m/>
    <d v="1899-12-30T00:00:00"/>
    <d v="1899-12-30T00:00:00"/>
    <d v="1899-12-30T00:00:00"/>
    <s v=""/>
    <s v="Company1434041897"/>
    <x v="6"/>
    <x v="10"/>
  </r>
  <r>
    <n v="7999"/>
    <x v="6"/>
    <m/>
    <n v="442"/>
    <s v="Location3"/>
    <d v="2014-09-15T00:00:00"/>
    <x v="0"/>
    <s v="340"/>
    <d v="1899-12-30T00:00:00"/>
    <m/>
    <m/>
    <m/>
    <m/>
    <m/>
    <d v="1899-12-30T00:00:00"/>
    <d v="2014-09-16T11:25:53"/>
    <m/>
    <m/>
    <d v="1899-12-30T00:00:00"/>
    <d v="1899-12-30T00:00:00"/>
    <d v="1899-12-30T00:00:00"/>
    <s v=""/>
    <s v="Company1434041897"/>
    <x v="6"/>
    <x v="10"/>
  </r>
  <r>
    <n v="8254"/>
    <x v="3"/>
    <m/>
    <n v="80"/>
    <s v="Location3"/>
    <d v="2014-09-23T00:00:00"/>
    <x v="0"/>
    <s v="167"/>
    <d v="1899-12-30T00:00:00"/>
    <m/>
    <m/>
    <m/>
    <m/>
    <m/>
    <d v="1899-12-30T00:00:00"/>
    <d v="2014-10-06T10:00:28"/>
    <m/>
    <m/>
    <d v="1899-12-30T00:00:00"/>
    <d v="1899-12-30T00:00:00"/>
    <d v="1899-12-30T00:00:00"/>
    <d v="1899-12-31T00:00:00"/>
    <s v="Company1416741905"/>
    <x v="6"/>
    <x v="11"/>
  </r>
  <r>
    <n v="8255"/>
    <x v="0"/>
    <m/>
    <n v="24"/>
    <s v="Location3"/>
    <d v="2014-09-23T00:00:00"/>
    <x v="0"/>
    <s v="167"/>
    <d v="1899-12-30T00:00:00"/>
    <m/>
    <m/>
    <m/>
    <m/>
    <m/>
    <d v="1899-12-30T00:00:00"/>
    <d v="2014-10-06T10:00:41"/>
    <m/>
    <m/>
    <d v="1899-12-30T00:00:00"/>
    <d v="1899-12-30T00:00:00"/>
    <d v="1899-12-30T00:00:00"/>
    <s v=""/>
    <s v="Company1416741905"/>
    <x v="6"/>
    <x v="11"/>
  </r>
  <r>
    <n v="8256"/>
    <x v="0"/>
    <m/>
    <n v="16"/>
    <s v="Location3"/>
    <d v="2014-09-23T00:00:00"/>
    <x v="0"/>
    <s v="167"/>
    <d v="1899-12-30T00:00:00"/>
    <m/>
    <m/>
    <m/>
    <m/>
    <m/>
    <d v="1899-12-30T00:00:00"/>
    <d v="2014-10-06T10:00:49"/>
    <m/>
    <m/>
    <d v="1899-12-30T00:00:00"/>
    <d v="1899-12-30T00:00:00"/>
    <d v="1899-12-30T00:00:00"/>
    <s v=""/>
    <s v="Company1416741905"/>
    <x v="6"/>
    <x v="11"/>
  </r>
  <r>
    <n v="8257"/>
    <x v="0"/>
    <m/>
    <n v="36"/>
    <s v="Location3"/>
    <d v="2014-09-23T00:00:00"/>
    <x v="0"/>
    <s v="167"/>
    <d v="1899-12-30T00:00:00"/>
    <m/>
    <m/>
    <m/>
    <m/>
    <m/>
    <d v="1899-12-30T00:00:00"/>
    <d v="2014-10-06T10:00:55"/>
    <m/>
    <m/>
    <d v="1899-12-30T00:00:00"/>
    <d v="1899-12-30T00:00:00"/>
    <d v="1899-12-30T00:00:00"/>
    <s v=""/>
    <s v="Company1416741905"/>
    <x v="6"/>
    <x v="11"/>
  </r>
  <r>
    <n v="8258"/>
    <x v="0"/>
    <m/>
    <n v="12"/>
    <s v="Location3"/>
    <d v="2014-09-23T00:00:00"/>
    <x v="0"/>
    <s v="167"/>
    <d v="1899-12-30T00:00:00"/>
    <m/>
    <m/>
    <m/>
    <m/>
    <m/>
    <d v="1899-12-30T00:00:00"/>
    <d v="2014-10-06T10:00:58"/>
    <m/>
    <m/>
    <d v="1899-12-30T00:00:00"/>
    <d v="1899-12-30T00:00:00"/>
    <d v="1899-12-30T00:00:00"/>
    <s v=""/>
    <s v="Company1416741905"/>
    <x v="6"/>
    <x v="11"/>
  </r>
  <r>
    <n v="8259"/>
    <x v="0"/>
    <m/>
    <n v="22"/>
    <s v="Location3"/>
    <d v="2014-09-23T00:00:00"/>
    <x v="0"/>
    <s v="167"/>
    <d v="1899-12-30T00:00:00"/>
    <m/>
    <m/>
    <m/>
    <m/>
    <m/>
    <d v="1899-12-30T00:00:00"/>
    <d v="2014-10-06T10:01:01"/>
    <m/>
    <m/>
    <d v="1899-12-30T00:00:00"/>
    <d v="1899-12-30T00:00:00"/>
    <d v="1899-12-30T00:00:00"/>
    <s v=""/>
    <s v="Company1416741905"/>
    <x v="6"/>
    <x v="11"/>
  </r>
  <r>
    <n v="8260"/>
    <x v="0"/>
    <m/>
    <n v="22"/>
    <s v="Location3"/>
    <d v="2014-09-23T00:00:00"/>
    <x v="0"/>
    <s v="167"/>
    <d v="1899-12-30T00:00:00"/>
    <m/>
    <m/>
    <m/>
    <m/>
    <m/>
    <d v="1899-12-30T00:00:00"/>
    <d v="2014-10-06T10:01:05"/>
    <m/>
    <m/>
    <d v="1899-12-30T00:00:00"/>
    <d v="1899-12-30T00:00:00"/>
    <d v="1899-12-30T00:00:00"/>
    <s v=""/>
    <s v="Company1416741905"/>
    <x v="6"/>
    <x v="11"/>
  </r>
  <r>
    <n v="8261"/>
    <x v="0"/>
    <m/>
    <n v="14"/>
    <s v="Location3"/>
    <d v="2014-09-23T00:00:00"/>
    <x v="0"/>
    <s v="167"/>
    <d v="1899-12-30T00:00:00"/>
    <m/>
    <m/>
    <m/>
    <m/>
    <m/>
    <d v="1899-12-30T00:00:00"/>
    <d v="2014-10-06T10:01:06"/>
    <m/>
    <m/>
    <d v="1899-12-30T00:00:00"/>
    <d v="1899-12-30T00:00:00"/>
    <d v="1899-12-30T00:00:00"/>
    <s v=""/>
    <s v="Company1416741905"/>
    <x v="6"/>
    <x v="11"/>
  </r>
  <r>
    <n v="8262"/>
    <x v="0"/>
    <m/>
    <n v="16"/>
    <s v="Location3"/>
    <d v="2014-09-23T00:00:00"/>
    <x v="0"/>
    <s v="167"/>
    <d v="1899-12-30T00:00:00"/>
    <m/>
    <m/>
    <m/>
    <m/>
    <m/>
    <d v="1899-12-30T00:00:00"/>
    <d v="2014-10-06T10:01:10"/>
    <m/>
    <m/>
    <d v="1899-12-30T00:00:00"/>
    <d v="1899-12-30T00:00:00"/>
    <d v="1899-12-30T00:00:00"/>
    <s v=""/>
    <s v="Company1416741905"/>
    <x v="6"/>
    <x v="11"/>
  </r>
  <r>
    <n v="8263"/>
    <x v="0"/>
    <m/>
    <n v="12"/>
    <s v="Location3"/>
    <d v="2014-09-23T00:00:00"/>
    <x v="0"/>
    <s v="167"/>
    <d v="1899-12-30T00:00:00"/>
    <m/>
    <m/>
    <m/>
    <m/>
    <m/>
    <d v="1899-12-30T00:00:00"/>
    <d v="2014-10-06T10:01:12"/>
    <m/>
    <m/>
    <d v="1899-12-30T00:00:00"/>
    <d v="1899-12-30T00:00:00"/>
    <d v="1899-12-30T00:00:00"/>
    <s v=""/>
    <s v="Company1416741905"/>
    <x v="6"/>
    <x v="11"/>
  </r>
  <r>
    <n v="8264"/>
    <x v="0"/>
    <m/>
    <n v="18"/>
    <s v="Location3"/>
    <d v="2014-09-23T00:00:00"/>
    <x v="0"/>
    <s v="167"/>
    <d v="1899-12-30T00:00:00"/>
    <m/>
    <m/>
    <m/>
    <m/>
    <m/>
    <d v="1899-12-30T00:00:00"/>
    <d v="2014-10-06T10:01:14"/>
    <m/>
    <m/>
    <d v="1899-12-30T00:00:00"/>
    <d v="1899-12-30T00:00:00"/>
    <d v="1899-12-30T00:00:00"/>
    <s v=""/>
    <s v="Company1416741905"/>
    <x v="6"/>
    <x v="11"/>
  </r>
  <r>
    <n v="8265"/>
    <x v="0"/>
    <m/>
    <n v="26"/>
    <s v="Location3"/>
    <d v="2014-09-23T00:00:00"/>
    <x v="0"/>
    <s v="167"/>
    <d v="1899-12-30T00:00:00"/>
    <m/>
    <m/>
    <m/>
    <m/>
    <m/>
    <d v="1899-12-30T00:00:00"/>
    <d v="2014-10-06T10:01:16"/>
    <m/>
    <m/>
    <d v="1899-12-30T00:00:00"/>
    <d v="1899-12-30T00:00:00"/>
    <d v="1899-12-30T00:00:00"/>
    <s v=""/>
    <s v="Company1416741905"/>
    <x v="6"/>
    <x v="11"/>
  </r>
  <r>
    <n v="8266"/>
    <x v="0"/>
    <m/>
    <n v="40"/>
    <s v="Location3"/>
    <d v="2014-09-23T00:00:00"/>
    <x v="0"/>
    <s v="167"/>
    <d v="1899-12-30T00:00:00"/>
    <m/>
    <m/>
    <m/>
    <m/>
    <m/>
    <d v="1899-12-30T00:00:00"/>
    <d v="2014-10-06T10:01:18"/>
    <m/>
    <m/>
    <d v="1899-12-30T00:00:00"/>
    <d v="1899-12-30T00:00:00"/>
    <d v="1899-12-30T00:00:00"/>
    <s v=""/>
    <s v="Company1416741905"/>
    <x v="6"/>
    <x v="11"/>
  </r>
  <r>
    <n v="8267"/>
    <x v="0"/>
    <m/>
    <n v="30"/>
    <s v="Location3"/>
    <d v="2014-09-23T00:00:00"/>
    <x v="0"/>
    <s v="167"/>
    <d v="1899-12-30T00:00:00"/>
    <m/>
    <m/>
    <m/>
    <m/>
    <m/>
    <d v="1899-12-30T00:00:00"/>
    <d v="2014-10-06T10:01:20"/>
    <m/>
    <m/>
    <d v="1899-12-30T00:00:00"/>
    <d v="1899-12-30T00:00:00"/>
    <d v="1899-12-30T00:00:00"/>
    <s v=""/>
    <s v="Company1416741905"/>
    <x v="6"/>
    <x v="11"/>
  </r>
  <r>
    <n v="8268"/>
    <x v="0"/>
    <m/>
    <n v="20"/>
    <s v="Location3"/>
    <d v="2014-09-23T00:00:00"/>
    <x v="0"/>
    <s v="167"/>
    <d v="1899-12-30T00:00:00"/>
    <m/>
    <m/>
    <m/>
    <m/>
    <m/>
    <d v="1899-12-30T00:00:00"/>
    <d v="2014-10-06T10:01:23"/>
    <m/>
    <m/>
    <d v="1899-12-30T00:00:00"/>
    <d v="1899-12-30T00:00:00"/>
    <d v="1899-12-30T00:00:00"/>
    <s v=""/>
    <s v="Company1416741905"/>
    <x v="6"/>
    <x v="11"/>
  </r>
  <r>
    <n v="8269"/>
    <x v="0"/>
    <m/>
    <n v="34"/>
    <s v="Location3"/>
    <d v="2014-09-23T00:00:00"/>
    <x v="0"/>
    <s v="167"/>
    <d v="1899-12-30T00:00:00"/>
    <m/>
    <m/>
    <m/>
    <m/>
    <m/>
    <d v="1899-12-30T00:00:00"/>
    <d v="2014-10-06T10:01:25"/>
    <m/>
    <m/>
    <d v="1899-12-30T00:00:00"/>
    <d v="1899-12-30T00:00:00"/>
    <d v="1899-12-30T00:00:00"/>
    <s v=""/>
    <s v="Company1416741905"/>
    <x v="6"/>
    <x v="11"/>
  </r>
  <r>
    <n v="8270"/>
    <x v="0"/>
    <m/>
    <n v="30"/>
    <s v="Location3"/>
    <d v="2014-09-23T00:00:00"/>
    <x v="0"/>
    <s v="167"/>
    <d v="1899-12-30T00:00:00"/>
    <m/>
    <m/>
    <m/>
    <m/>
    <m/>
    <d v="1899-12-30T00:00:00"/>
    <d v="2014-10-06T10:01:27"/>
    <m/>
    <m/>
    <d v="1899-12-30T00:00:00"/>
    <d v="1899-12-30T00:00:00"/>
    <d v="1899-12-30T00:00:00"/>
    <s v=""/>
    <s v="Company1416741905"/>
    <x v="6"/>
    <x v="11"/>
  </r>
  <r>
    <n v="8271"/>
    <x v="0"/>
    <m/>
    <n v="14"/>
    <s v="Location3"/>
    <d v="2014-09-23T00:00:00"/>
    <x v="0"/>
    <s v="167"/>
    <d v="1899-12-30T00:00:00"/>
    <m/>
    <m/>
    <m/>
    <m/>
    <m/>
    <d v="1899-12-30T00:00:00"/>
    <d v="2014-10-06T10:01:29"/>
    <m/>
    <m/>
    <d v="1899-12-30T00:00:00"/>
    <d v="1899-12-30T00:00:00"/>
    <d v="1899-12-30T00:00:00"/>
    <s v=""/>
    <s v="Company1416741905"/>
    <x v="6"/>
    <x v="11"/>
  </r>
  <r>
    <n v="8272"/>
    <x v="0"/>
    <m/>
    <n v="28"/>
    <s v="Location3"/>
    <d v="2014-09-23T00:00:00"/>
    <x v="0"/>
    <s v="167"/>
    <d v="1899-12-30T00:00:00"/>
    <m/>
    <m/>
    <m/>
    <m/>
    <m/>
    <d v="1899-12-30T00:00:00"/>
    <d v="2014-10-06T10:01:31"/>
    <m/>
    <m/>
    <d v="1899-12-30T00:00:00"/>
    <d v="1899-12-30T00:00:00"/>
    <d v="1899-12-30T00:00:00"/>
    <s v=""/>
    <s v="Company1416741905"/>
    <x v="6"/>
    <x v="11"/>
  </r>
  <r>
    <n v="8273"/>
    <x v="0"/>
    <m/>
    <n v="44"/>
    <s v="Location3"/>
    <d v="2014-09-23T00:00:00"/>
    <x v="0"/>
    <s v="167"/>
    <d v="1899-12-30T00:00:00"/>
    <m/>
    <m/>
    <m/>
    <m/>
    <m/>
    <d v="1899-12-30T00:00:00"/>
    <d v="2014-10-06T10:01:33"/>
    <m/>
    <m/>
    <d v="1899-12-30T00:00:00"/>
    <d v="1899-12-30T00:00:00"/>
    <d v="1899-12-30T00:00:00"/>
    <s v=""/>
    <s v="Company1416741905"/>
    <x v="6"/>
    <x v="11"/>
  </r>
  <r>
    <n v="8274"/>
    <x v="0"/>
    <m/>
    <n v="10"/>
    <s v="Location3"/>
    <d v="2014-09-23T00:00:00"/>
    <x v="0"/>
    <s v="167"/>
    <d v="1899-12-30T00:00:00"/>
    <m/>
    <m/>
    <m/>
    <m/>
    <m/>
    <d v="1899-12-30T00:00:00"/>
    <d v="2014-10-06T10:01:36"/>
    <m/>
    <m/>
    <d v="1899-12-30T00:00:00"/>
    <d v="1899-12-30T00:00:00"/>
    <d v="1899-12-30T00:00:00"/>
    <s v=""/>
    <s v="Company1416741905"/>
    <x v="6"/>
    <x v="11"/>
  </r>
  <r>
    <n v="8275"/>
    <x v="0"/>
    <m/>
    <n v="18"/>
    <s v="Location3"/>
    <d v="2014-09-23T00:00:00"/>
    <x v="0"/>
    <s v="167"/>
    <d v="1899-12-30T00:00:00"/>
    <m/>
    <m/>
    <m/>
    <m/>
    <m/>
    <d v="1899-12-30T00:00:00"/>
    <d v="2014-10-06T10:01:38"/>
    <m/>
    <m/>
    <d v="1899-12-30T00:00:00"/>
    <d v="1899-12-30T00:00:00"/>
    <d v="1899-12-30T00:00:00"/>
    <s v=""/>
    <s v="Company1416741905"/>
    <x v="6"/>
    <x v="11"/>
  </r>
  <r>
    <n v="8276"/>
    <x v="0"/>
    <m/>
    <n v="14"/>
    <s v="Location3"/>
    <d v="2014-09-23T00:00:00"/>
    <x v="0"/>
    <s v="167"/>
    <d v="1899-12-30T00:00:00"/>
    <m/>
    <m/>
    <m/>
    <m/>
    <m/>
    <d v="1899-12-30T00:00:00"/>
    <d v="2014-10-06T10:01:42"/>
    <m/>
    <m/>
    <d v="1899-12-30T00:00:00"/>
    <d v="1899-12-30T00:00:00"/>
    <d v="1899-12-30T00:00:00"/>
    <s v=""/>
    <s v="Company1416741905"/>
    <x v="6"/>
    <x v="11"/>
  </r>
  <r>
    <n v="8277"/>
    <x v="0"/>
    <m/>
    <n v="24"/>
    <s v="Location3"/>
    <d v="2014-09-23T00:00:00"/>
    <x v="0"/>
    <s v="167"/>
    <d v="1899-12-30T00:00:00"/>
    <m/>
    <m/>
    <m/>
    <m/>
    <m/>
    <d v="1899-12-30T00:00:00"/>
    <d v="2014-10-06T10:01:46"/>
    <m/>
    <m/>
    <d v="1899-12-30T00:00:00"/>
    <d v="1899-12-30T00:00:00"/>
    <d v="1899-12-30T00:00:00"/>
    <s v=""/>
    <s v="Company1416741905"/>
    <x v="6"/>
    <x v="11"/>
  </r>
  <r>
    <n v="8278"/>
    <x v="6"/>
    <m/>
    <n v="72"/>
    <s v="Location3"/>
    <d v="2014-09-30T00:00:00"/>
    <x v="0"/>
    <s v="144"/>
    <d v="1899-12-30T00:00:00"/>
    <m/>
    <m/>
    <m/>
    <m/>
    <m/>
    <d v="1899-12-30T00:00:00"/>
    <d v="2014-10-06T10:02:40"/>
    <m/>
    <m/>
    <d v="1899-12-30T00:00:00"/>
    <d v="1899-12-30T00:00:00"/>
    <d v="1899-12-30T00:00:00"/>
    <d v="1899-12-31T00:00:00"/>
    <s v="Company1414441912"/>
    <x v="6"/>
    <x v="12"/>
  </r>
  <r>
    <n v="8279"/>
    <x v="1"/>
    <m/>
    <n v="108"/>
    <s v="Location3"/>
    <d v="2014-09-30T00:00:00"/>
    <x v="0"/>
    <s v="144"/>
    <d v="1899-12-30T00:00:00"/>
    <m/>
    <m/>
    <m/>
    <m/>
    <m/>
    <d v="1899-12-30T00:00:00"/>
    <d v="2014-10-06T10:02:49"/>
    <m/>
    <m/>
    <d v="1899-12-30T00:00:00"/>
    <d v="1899-12-30T00:00:00"/>
    <d v="1899-12-30T00:00:00"/>
    <s v=""/>
    <s v="Company1414441912"/>
    <x v="6"/>
    <x v="12"/>
  </r>
  <r>
    <n v="8280"/>
    <x v="12"/>
    <m/>
    <n v="14"/>
    <s v="Location3"/>
    <d v="2014-09-30T00:00:00"/>
    <x v="0"/>
    <s v="144"/>
    <d v="1899-12-30T00:00:00"/>
    <m/>
    <m/>
    <m/>
    <m/>
    <m/>
    <d v="1899-12-30T00:00:00"/>
    <d v="2014-10-06T10:03:03"/>
    <m/>
    <m/>
    <d v="1899-12-30T00:00:00"/>
    <d v="1899-12-30T00:00:00"/>
    <d v="1899-12-30T00:00:00"/>
    <s v=""/>
    <s v="Company1414441912"/>
    <x v="6"/>
    <x v="12"/>
  </r>
  <r>
    <n v="8281"/>
    <x v="0"/>
    <m/>
    <n v="53"/>
    <s v="Location3"/>
    <d v="2014-09-30T00:00:00"/>
    <x v="0"/>
    <s v="144"/>
    <d v="1899-12-30T00:00:00"/>
    <m/>
    <m/>
    <m/>
    <m/>
    <m/>
    <d v="1899-12-30T00:00:00"/>
    <d v="2014-10-06T10:21:55"/>
    <m/>
    <m/>
    <d v="1899-12-30T00:00:00"/>
    <d v="1899-12-30T00:00:00"/>
    <d v="1899-12-30T00:00:00"/>
    <s v=""/>
    <s v="Company1414441912"/>
    <x v="6"/>
    <x v="12"/>
  </r>
  <r>
    <n v="8282"/>
    <x v="0"/>
    <m/>
    <n v="45"/>
    <s v="Location3"/>
    <d v="2014-09-30T00:00:00"/>
    <x v="0"/>
    <s v="144"/>
    <d v="1899-12-30T00:00:00"/>
    <m/>
    <m/>
    <m/>
    <m/>
    <m/>
    <d v="1899-12-30T00:00:00"/>
    <d v="2014-10-06T10:21:58"/>
    <m/>
    <m/>
    <d v="1899-12-30T00:00:00"/>
    <d v="1899-12-30T00:00:00"/>
    <d v="1899-12-30T00:00:00"/>
    <s v=""/>
    <s v="Company1414441912"/>
    <x v="6"/>
    <x v="12"/>
  </r>
  <r>
    <n v="8283"/>
    <x v="0"/>
    <m/>
    <n v="49"/>
    <s v="Location3"/>
    <d v="2014-09-30T00:00:00"/>
    <x v="0"/>
    <s v="144"/>
    <d v="1899-12-30T00:00:00"/>
    <m/>
    <m/>
    <m/>
    <m/>
    <m/>
    <d v="1899-12-30T00:00:00"/>
    <d v="2014-10-06T10:22:00"/>
    <m/>
    <m/>
    <d v="1899-12-30T00:00:00"/>
    <d v="1899-12-30T00:00:00"/>
    <d v="1899-12-30T00:00:00"/>
    <s v=""/>
    <s v="Company1414441912"/>
    <x v="6"/>
    <x v="12"/>
  </r>
  <r>
    <n v="8284"/>
    <x v="0"/>
    <m/>
    <n v="35"/>
    <s v="Location3"/>
    <d v="2014-09-30T00:00:00"/>
    <x v="0"/>
    <s v="144"/>
    <d v="1899-12-30T00:00:00"/>
    <m/>
    <m/>
    <m/>
    <m/>
    <m/>
    <d v="1899-12-30T00:00:00"/>
    <d v="2014-10-06T10:22:04"/>
    <m/>
    <m/>
    <d v="1899-12-30T00:00:00"/>
    <d v="1899-12-30T00:00:00"/>
    <d v="1899-12-30T00:00:00"/>
    <s v=""/>
    <s v="Company1414441912"/>
    <x v="6"/>
    <x v="12"/>
  </r>
  <r>
    <n v="8285"/>
    <x v="0"/>
    <m/>
    <n v="61"/>
    <s v="Location3"/>
    <d v="2014-09-30T00:00:00"/>
    <x v="0"/>
    <s v="144"/>
    <d v="1899-12-30T00:00:00"/>
    <m/>
    <m/>
    <m/>
    <m/>
    <m/>
    <d v="1899-12-30T00:00:00"/>
    <d v="2014-10-06T10:22:06"/>
    <m/>
    <m/>
    <d v="1899-12-30T00:00:00"/>
    <d v="1899-12-30T00:00:00"/>
    <d v="1899-12-30T00:00:00"/>
    <s v=""/>
    <s v="Company1414441912"/>
    <x v="6"/>
    <x v="12"/>
  </r>
  <r>
    <n v="8286"/>
    <x v="0"/>
    <m/>
    <n v="37"/>
    <s v="Location3"/>
    <d v="2014-09-30T00:00:00"/>
    <x v="0"/>
    <s v="144"/>
    <d v="1899-12-30T00:00:00"/>
    <m/>
    <m/>
    <m/>
    <m/>
    <m/>
    <d v="1899-12-30T00:00:00"/>
    <d v="2014-10-06T10:22:12"/>
    <m/>
    <m/>
    <d v="1899-12-30T00:00:00"/>
    <d v="1899-12-30T00:00:00"/>
    <d v="1899-12-30T00:00:00"/>
    <s v=""/>
    <s v="Company1414441912"/>
    <x v="6"/>
    <x v="12"/>
  </r>
  <r>
    <n v="8287"/>
    <x v="0"/>
    <m/>
    <n v="51"/>
    <s v="Location3"/>
    <d v="2014-09-30T00:00:00"/>
    <x v="0"/>
    <s v="144"/>
    <d v="1899-12-30T00:00:00"/>
    <m/>
    <m/>
    <m/>
    <m/>
    <m/>
    <d v="1899-12-30T00:00:00"/>
    <d v="2014-10-06T10:22:15"/>
    <m/>
    <m/>
    <d v="1899-12-30T00:00:00"/>
    <d v="1899-12-30T00:00:00"/>
    <d v="1899-12-30T00:00:00"/>
    <s v=""/>
    <s v="Company1414441912"/>
    <x v="6"/>
    <x v="12"/>
  </r>
  <r>
    <n v="8288"/>
    <x v="0"/>
    <m/>
    <n v="66"/>
    <s v="Location3"/>
    <d v="2014-09-30T00:00:00"/>
    <x v="0"/>
    <s v="144"/>
    <d v="1899-12-30T00:00:00"/>
    <m/>
    <m/>
    <m/>
    <m/>
    <m/>
    <d v="1899-12-30T00:00:00"/>
    <d v="2014-10-06T10:22:18"/>
    <m/>
    <m/>
    <d v="1899-12-30T00:00:00"/>
    <d v="1899-12-30T00:00:00"/>
    <d v="1899-12-30T00:00:00"/>
    <s v=""/>
    <s v="Company1414441912"/>
    <x v="6"/>
    <x v="12"/>
  </r>
  <r>
    <n v="8289"/>
    <x v="0"/>
    <m/>
    <n v="49"/>
    <s v="Location3"/>
    <d v="2014-09-30T00:00:00"/>
    <x v="0"/>
    <s v="144"/>
    <d v="1899-12-30T00:00:00"/>
    <m/>
    <m/>
    <m/>
    <m/>
    <m/>
    <d v="1899-12-30T00:00:00"/>
    <d v="2014-10-06T10:22:20"/>
    <m/>
    <m/>
    <d v="1899-12-30T00:00:00"/>
    <d v="1899-12-30T00:00:00"/>
    <d v="1899-12-30T00:00:00"/>
    <s v=""/>
    <s v="Company1414441912"/>
    <x v="6"/>
    <x v="12"/>
  </r>
  <r>
    <n v="8290"/>
    <x v="0"/>
    <m/>
    <n v="63"/>
    <s v="Location3"/>
    <d v="2014-09-30T00:00:00"/>
    <x v="0"/>
    <s v="144"/>
    <d v="1899-12-30T00:00:00"/>
    <m/>
    <m/>
    <m/>
    <m/>
    <m/>
    <d v="1899-12-30T00:00:00"/>
    <d v="2014-10-06T10:22:24"/>
    <m/>
    <m/>
    <d v="1899-12-30T00:00:00"/>
    <d v="1899-12-30T00:00:00"/>
    <d v="1899-12-30T00:00:00"/>
    <s v=""/>
    <s v="Company1414441912"/>
    <x v="6"/>
    <x v="12"/>
  </r>
  <r>
    <n v="8291"/>
    <x v="0"/>
    <m/>
    <n v="65"/>
    <s v="Location3"/>
    <d v="2014-09-30T00:00:00"/>
    <x v="0"/>
    <s v="144"/>
    <d v="1899-12-30T00:00:00"/>
    <m/>
    <m/>
    <m/>
    <m/>
    <m/>
    <d v="1899-12-30T00:00:00"/>
    <d v="2014-10-06T10:22:27"/>
    <m/>
    <m/>
    <d v="1899-12-30T00:00:00"/>
    <d v="1899-12-30T00:00:00"/>
    <d v="1899-12-30T00:00:00"/>
    <s v=""/>
    <s v="Company1414441912"/>
    <x v="6"/>
    <x v="12"/>
  </r>
  <r>
    <n v="8292"/>
    <x v="0"/>
    <m/>
    <n v="51"/>
    <s v="Location3"/>
    <d v="2014-09-30T00:00:00"/>
    <x v="0"/>
    <s v="144"/>
    <d v="1899-12-30T00:00:00"/>
    <m/>
    <m/>
    <m/>
    <m/>
    <m/>
    <d v="1899-12-30T00:00:00"/>
    <d v="2014-10-06T10:22:30"/>
    <m/>
    <m/>
    <d v="1899-12-30T00:00:00"/>
    <d v="1899-12-30T00:00:00"/>
    <d v="1899-12-30T00:00:00"/>
    <s v=""/>
    <s v="Company1414441912"/>
    <x v="6"/>
    <x v="12"/>
  </r>
  <r>
    <n v="8293"/>
    <x v="0"/>
    <m/>
    <n v="45"/>
    <s v="Location3"/>
    <d v="2014-09-30T00:00:00"/>
    <x v="0"/>
    <s v="144"/>
    <d v="1899-12-30T00:00:00"/>
    <m/>
    <m/>
    <m/>
    <m/>
    <m/>
    <d v="1899-12-30T00:00:00"/>
    <d v="2014-10-06T10:22:32"/>
    <m/>
    <m/>
    <d v="1899-12-30T00:00:00"/>
    <d v="1899-12-30T00:00:00"/>
    <d v="1899-12-30T00:00:00"/>
    <s v=""/>
    <s v="Company1414441912"/>
    <x v="6"/>
    <x v="12"/>
  </r>
  <r>
    <n v="8294"/>
    <x v="0"/>
    <m/>
    <n v="43"/>
    <s v="Location3"/>
    <d v="2014-09-30T00:00:00"/>
    <x v="0"/>
    <s v="144"/>
    <d v="1899-12-30T00:00:00"/>
    <m/>
    <m/>
    <m/>
    <m/>
    <m/>
    <d v="1899-12-30T00:00:00"/>
    <d v="2014-10-06T10:22:35"/>
    <m/>
    <m/>
    <d v="1899-12-30T00:00:00"/>
    <d v="1899-12-30T00:00:00"/>
    <d v="1899-12-30T00:00:00"/>
    <s v=""/>
    <s v="Company1414441912"/>
    <x v="6"/>
    <x v="12"/>
  </r>
  <r>
    <n v="8295"/>
    <x v="0"/>
    <m/>
    <n v="39"/>
    <s v="Location3"/>
    <d v="2014-09-30T00:00:00"/>
    <x v="0"/>
    <s v="144"/>
    <d v="1899-12-30T00:00:00"/>
    <m/>
    <m/>
    <m/>
    <m/>
    <m/>
    <d v="1899-12-30T00:00:00"/>
    <d v="2014-10-06T10:22:38"/>
    <m/>
    <m/>
    <d v="1899-12-30T00:00:00"/>
    <d v="1899-12-30T00:00:00"/>
    <d v="1899-12-30T00:00:00"/>
    <s v=""/>
    <s v="Company1414441912"/>
    <x v="6"/>
    <x v="12"/>
  </r>
  <r>
    <n v="8296"/>
    <x v="0"/>
    <m/>
    <n v="51"/>
    <s v="Location3"/>
    <d v="2014-09-30T00:00:00"/>
    <x v="0"/>
    <s v="144"/>
    <d v="1899-12-30T00:00:00"/>
    <m/>
    <m/>
    <m/>
    <m/>
    <m/>
    <d v="1899-12-30T00:00:00"/>
    <d v="2014-10-06T10:22:40"/>
    <m/>
    <m/>
    <d v="1899-12-30T00:00:00"/>
    <d v="1899-12-30T00:00:00"/>
    <d v="1899-12-30T00:00:00"/>
    <s v=""/>
    <s v="Company1414441912"/>
    <x v="6"/>
    <x v="12"/>
  </r>
  <r>
    <n v="8297"/>
    <x v="0"/>
    <m/>
    <n v="59"/>
    <s v="Location3"/>
    <d v="2014-09-30T00:00:00"/>
    <x v="0"/>
    <s v="144"/>
    <d v="1899-12-30T00:00:00"/>
    <m/>
    <m/>
    <m/>
    <m/>
    <m/>
    <d v="1899-12-30T00:00:00"/>
    <d v="2014-10-06T10:22:42"/>
    <m/>
    <m/>
    <d v="1899-12-30T00:00:00"/>
    <d v="1899-12-30T00:00:00"/>
    <d v="1899-12-30T00:00:00"/>
    <s v=""/>
    <s v="Company1414441912"/>
    <x v="6"/>
    <x v="12"/>
  </r>
  <r>
    <n v="8298"/>
    <x v="0"/>
    <m/>
    <n v="49"/>
    <s v="Location3"/>
    <d v="2014-09-30T00:00:00"/>
    <x v="0"/>
    <s v="144"/>
    <d v="1899-12-30T00:00:00"/>
    <m/>
    <m/>
    <m/>
    <m/>
    <m/>
    <d v="1899-12-30T00:00:00"/>
    <d v="2014-10-06T10:22:44"/>
    <m/>
    <m/>
    <d v="1899-12-30T00:00:00"/>
    <d v="1899-12-30T00:00:00"/>
    <d v="1899-12-30T00:00:00"/>
    <s v=""/>
    <s v="Company1414441912"/>
    <x v="6"/>
    <x v="12"/>
  </r>
  <r>
    <n v="8299"/>
    <x v="0"/>
    <m/>
    <n v="55"/>
    <s v="Location3"/>
    <d v="2014-09-30T00:00:00"/>
    <x v="0"/>
    <s v="144"/>
    <d v="1899-12-30T00:00:00"/>
    <m/>
    <m/>
    <m/>
    <m/>
    <m/>
    <d v="1899-12-30T00:00:00"/>
    <d v="2014-10-06T10:22:47"/>
    <m/>
    <m/>
    <d v="1899-12-30T00:00:00"/>
    <d v="1899-12-30T00:00:00"/>
    <d v="1899-12-30T00:00:00"/>
    <s v=""/>
    <s v="Company1414441912"/>
    <x v="6"/>
    <x v="12"/>
  </r>
  <r>
    <n v="8300"/>
    <x v="0"/>
    <m/>
    <n v="51"/>
    <s v="Location3"/>
    <d v="2014-09-30T00:00:00"/>
    <x v="0"/>
    <s v="144"/>
    <d v="1899-12-30T00:00:00"/>
    <m/>
    <m/>
    <m/>
    <m/>
    <m/>
    <d v="1899-12-30T00:00:00"/>
    <d v="2014-10-06T10:22:50"/>
    <m/>
    <m/>
    <d v="1899-12-30T00:00:00"/>
    <d v="1899-12-30T00:00:00"/>
    <d v="1899-12-30T00:00:00"/>
    <s v=""/>
    <s v="Company1414441912"/>
    <x v="6"/>
    <x v="12"/>
  </r>
  <r>
    <n v="8301"/>
    <x v="0"/>
    <m/>
    <n v="98"/>
    <s v="Location3"/>
    <d v="2014-09-30T00:00:00"/>
    <x v="0"/>
    <s v="144"/>
    <d v="1899-12-30T00:00:00"/>
    <m/>
    <m/>
    <m/>
    <m/>
    <m/>
    <d v="1899-12-30T00:00:00"/>
    <d v="2014-10-06T10:22:53"/>
    <m/>
    <m/>
    <d v="1899-12-30T00:00:00"/>
    <d v="1899-12-30T00:00:00"/>
    <d v="1899-12-30T00:00:00"/>
    <s v=""/>
    <s v="Company1414441912"/>
    <x v="6"/>
    <x v="12"/>
  </r>
  <r>
    <n v="8302"/>
    <x v="0"/>
    <m/>
    <n v="45"/>
    <s v="Location3"/>
    <d v="2014-09-30T00:00:00"/>
    <x v="0"/>
    <s v="144"/>
    <d v="1899-12-30T00:00:00"/>
    <m/>
    <m/>
    <m/>
    <m/>
    <m/>
    <d v="1899-12-30T00:00:00"/>
    <d v="2014-10-06T10:22:54"/>
    <m/>
    <m/>
    <d v="1899-12-30T00:00:00"/>
    <d v="1899-12-30T00:00:00"/>
    <d v="1899-12-30T00:00:00"/>
    <s v=""/>
    <s v="Company1414441912"/>
    <x v="6"/>
    <x v="12"/>
  </r>
  <r>
    <n v="8303"/>
    <x v="0"/>
    <m/>
    <n v="28"/>
    <s v="Location3"/>
    <d v="2014-09-30T00:00:00"/>
    <x v="0"/>
    <s v="144"/>
    <d v="1899-12-30T00:00:00"/>
    <m/>
    <m/>
    <m/>
    <m/>
    <m/>
    <d v="1899-12-30T00:00:00"/>
    <d v="2014-10-06T10:25:52"/>
    <m/>
    <m/>
    <d v="1899-12-30T00:00:00"/>
    <d v="1899-12-30T00:00:00"/>
    <d v="1899-12-30T00:00:00"/>
    <s v=""/>
    <s v="Company1414441912"/>
    <x v="6"/>
    <x v="12"/>
  </r>
  <r>
    <n v="8304"/>
    <x v="0"/>
    <m/>
    <n v="10"/>
    <s v="Location3"/>
    <d v="2014-09-30T00:00:00"/>
    <x v="0"/>
    <s v="144"/>
    <d v="1899-12-30T00:00:00"/>
    <m/>
    <m/>
    <m/>
    <m/>
    <m/>
    <d v="1899-12-30T00:00:00"/>
    <d v="2014-10-06T10:25:55"/>
    <m/>
    <m/>
    <d v="1899-12-30T00:00:00"/>
    <d v="1899-12-30T00:00:00"/>
    <d v="1899-12-30T00:00:00"/>
    <s v=""/>
    <s v="Company1414441912"/>
    <x v="6"/>
    <x v="12"/>
  </r>
  <r>
    <n v="8305"/>
    <x v="0"/>
    <m/>
    <n v="24"/>
    <s v="Location3"/>
    <d v="2014-09-30T00:00:00"/>
    <x v="0"/>
    <s v="144"/>
    <d v="1899-12-30T00:00:00"/>
    <m/>
    <m/>
    <m/>
    <m/>
    <m/>
    <d v="1899-12-30T00:00:00"/>
    <d v="2014-10-06T10:25:56"/>
    <m/>
    <m/>
    <d v="1899-12-30T00:00:00"/>
    <d v="1899-12-30T00:00:00"/>
    <d v="1899-12-30T00:00:00"/>
    <s v=""/>
    <s v="Company1414441912"/>
    <x v="6"/>
    <x v="12"/>
  </r>
  <r>
    <n v="8306"/>
    <x v="0"/>
    <m/>
    <n v="16"/>
    <s v="Location3"/>
    <d v="2014-09-30T00:00:00"/>
    <x v="0"/>
    <s v="144"/>
    <d v="1899-12-30T00:00:00"/>
    <m/>
    <m/>
    <m/>
    <m/>
    <m/>
    <d v="1899-12-30T00:00:00"/>
    <d v="2014-10-06T10:25:58"/>
    <m/>
    <m/>
    <d v="1899-12-30T00:00:00"/>
    <d v="1899-12-30T00:00:00"/>
    <d v="1899-12-30T00:00:00"/>
    <s v=""/>
    <s v="Company1414441912"/>
    <x v="6"/>
    <x v="12"/>
  </r>
  <r>
    <n v="8307"/>
    <x v="0"/>
    <m/>
    <n v="32"/>
    <s v="Location3"/>
    <d v="2014-09-30T00:00:00"/>
    <x v="0"/>
    <s v="144"/>
    <d v="1899-12-30T00:00:00"/>
    <m/>
    <m/>
    <m/>
    <m/>
    <m/>
    <d v="1899-12-30T00:00:00"/>
    <d v="2014-10-06T10:26:03"/>
    <m/>
    <m/>
    <d v="1899-12-30T00:00:00"/>
    <d v="1899-12-30T00:00:00"/>
    <d v="1899-12-30T00:00:00"/>
    <s v=""/>
    <s v="Company1414441912"/>
    <x v="6"/>
    <x v="12"/>
  </r>
  <r>
    <n v="8308"/>
    <x v="0"/>
    <m/>
    <n v="24"/>
    <s v="Location3"/>
    <d v="2014-09-30T00:00:00"/>
    <x v="0"/>
    <s v="144"/>
    <d v="1899-12-30T00:00:00"/>
    <m/>
    <m/>
    <m/>
    <m/>
    <m/>
    <d v="1899-12-30T00:00:00"/>
    <d v="2014-10-06T10:26:08"/>
    <m/>
    <m/>
    <d v="1899-12-30T00:00:00"/>
    <d v="1899-12-30T00:00:00"/>
    <d v="1899-12-30T00:00:00"/>
    <s v=""/>
    <s v="Company1414441912"/>
    <x v="6"/>
    <x v="12"/>
  </r>
  <r>
    <n v="8309"/>
    <x v="0"/>
    <m/>
    <n v="30"/>
    <s v="Location3"/>
    <d v="2014-09-30T00:00:00"/>
    <x v="0"/>
    <s v="144"/>
    <d v="1899-12-30T00:00:00"/>
    <m/>
    <m/>
    <m/>
    <m/>
    <m/>
    <d v="1899-12-30T00:00:00"/>
    <d v="2014-10-06T10:26:10"/>
    <m/>
    <m/>
    <d v="1899-12-30T00:00:00"/>
    <d v="1899-12-30T00:00:00"/>
    <d v="1899-12-30T00:00:00"/>
    <s v=""/>
    <s v="Company1414441912"/>
    <x v="6"/>
    <x v="12"/>
  </r>
  <r>
    <n v="8310"/>
    <x v="0"/>
    <m/>
    <n v="10"/>
    <s v="Location3"/>
    <d v="2014-09-30T00:00:00"/>
    <x v="0"/>
    <s v="144"/>
    <d v="1899-12-30T00:00:00"/>
    <m/>
    <m/>
    <m/>
    <m/>
    <m/>
    <d v="1899-12-30T00:00:00"/>
    <d v="2014-10-06T10:26:11"/>
    <m/>
    <m/>
    <d v="1899-12-30T00:00:00"/>
    <d v="1899-12-30T00:00:00"/>
    <d v="1899-12-30T00:00:00"/>
    <s v=""/>
    <s v="Company1414441912"/>
    <x v="6"/>
    <x v="12"/>
  </r>
  <r>
    <n v="8311"/>
    <x v="0"/>
    <m/>
    <n v="12"/>
    <s v="Location3"/>
    <d v="2014-09-30T00:00:00"/>
    <x v="0"/>
    <s v="144"/>
    <d v="1899-12-30T00:00:00"/>
    <m/>
    <m/>
    <m/>
    <m/>
    <m/>
    <d v="1899-12-30T00:00:00"/>
    <d v="2014-10-06T10:26:12"/>
    <m/>
    <m/>
    <d v="1899-12-30T00:00:00"/>
    <d v="1899-12-30T00:00:00"/>
    <d v="1899-12-30T00:00:00"/>
    <s v=""/>
    <s v="Company1414441912"/>
    <x v="6"/>
    <x v="12"/>
  </r>
  <r>
    <n v="8312"/>
    <x v="0"/>
    <m/>
    <n v="42"/>
    <s v="Location3"/>
    <d v="2014-09-30T00:00:00"/>
    <x v="0"/>
    <s v="144"/>
    <d v="1899-12-30T00:00:00"/>
    <m/>
    <m/>
    <m/>
    <m/>
    <m/>
    <d v="1899-12-30T00:00:00"/>
    <d v="2014-10-06T10:26:15"/>
    <m/>
    <m/>
    <d v="1899-12-30T00:00:00"/>
    <d v="1899-12-30T00:00:00"/>
    <d v="1899-12-30T00:00:00"/>
    <s v=""/>
    <s v="Company1414441912"/>
    <x v="6"/>
    <x v="12"/>
  </r>
  <r>
    <n v="8313"/>
    <x v="0"/>
    <m/>
    <n v="14"/>
    <s v="Location3"/>
    <d v="2014-09-30T00:00:00"/>
    <x v="0"/>
    <s v="144"/>
    <d v="1899-12-30T00:00:00"/>
    <m/>
    <m/>
    <m/>
    <m/>
    <m/>
    <d v="1899-12-30T00:00:00"/>
    <d v="2014-10-06T10:26:18"/>
    <m/>
    <m/>
    <d v="1899-12-30T00:00:00"/>
    <d v="1899-12-30T00:00:00"/>
    <d v="1899-12-30T00:00:00"/>
    <s v=""/>
    <s v="Company1414441912"/>
    <x v="6"/>
    <x v="12"/>
  </r>
  <r>
    <n v="8314"/>
    <x v="0"/>
    <m/>
    <n v="24"/>
    <s v="Location3"/>
    <d v="2014-09-30T00:00:00"/>
    <x v="0"/>
    <s v="144"/>
    <d v="1899-12-30T00:00:00"/>
    <m/>
    <m/>
    <m/>
    <m/>
    <m/>
    <d v="1899-12-30T00:00:00"/>
    <d v="2014-10-06T10:26:19"/>
    <m/>
    <m/>
    <d v="1899-12-30T00:00:00"/>
    <d v="1899-12-30T00:00:00"/>
    <d v="1899-12-30T00:00:00"/>
    <s v=""/>
    <s v="Company1414441912"/>
    <x v="6"/>
    <x v="12"/>
  </r>
  <r>
    <n v="8315"/>
    <x v="0"/>
    <m/>
    <n v="18"/>
    <s v="Location3"/>
    <d v="2014-09-30T00:00:00"/>
    <x v="0"/>
    <s v="144"/>
    <d v="1899-12-30T00:00:00"/>
    <m/>
    <m/>
    <m/>
    <m/>
    <m/>
    <d v="1899-12-30T00:00:00"/>
    <d v="2014-10-06T10:26:21"/>
    <m/>
    <m/>
    <d v="1899-12-30T00:00:00"/>
    <d v="1899-12-30T00:00:00"/>
    <d v="1899-12-30T00:00:00"/>
    <s v=""/>
    <s v="Company1414441912"/>
    <x v="6"/>
    <x v="12"/>
  </r>
  <r>
    <n v="8316"/>
    <x v="0"/>
    <m/>
    <n v="10"/>
    <s v="Location3"/>
    <d v="2014-09-30T00:00:00"/>
    <x v="0"/>
    <s v="144"/>
    <d v="1899-12-30T00:00:00"/>
    <m/>
    <m/>
    <m/>
    <m/>
    <m/>
    <d v="1899-12-30T00:00:00"/>
    <d v="2014-10-06T10:26:23"/>
    <m/>
    <m/>
    <d v="1899-12-30T00:00:00"/>
    <d v="1899-12-30T00:00:00"/>
    <d v="1899-12-30T00:00:00"/>
    <s v=""/>
    <s v="Company1414441912"/>
    <x v="6"/>
    <x v="12"/>
  </r>
  <r>
    <n v="8317"/>
    <x v="0"/>
    <m/>
    <n v="12"/>
    <s v="Location3"/>
    <d v="2014-09-30T00:00:00"/>
    <x v="0"/>
    <s v="144"/>
    <d v="1899-12-30T00:00:00"/>
    <m/>
    <m/>
    <m/>
    <m/>
    <m/>
    <d v="1899-12-30T00:00:00"/>
    <d v="2014-10-06T10:26:25"/>
    <m/>
    <m/>
    <d v="1899-12-30T00:00:00"/>
    <d v="1899-12-30T00:00:00"/>
    <d v="1899-12-30T00:00:00"/>
    <s v=""/>
    <s v="Company1414441912"/>
    <x v="6"/>
    <x v="12"/>
  </r>
  <r>
    <n v="8318"/>
    <x v="0"/>
    <m/>
    <n v="28"/>
    <s v="Location3"/>
    <d v="2014-09-30T00:00:00"/>
    <x v="0"/>
    <s v="144"/>
    <d v="1899-12-30T00:00:00"/>
    <m/>
    <m/>
    <m/>
    <m/>
    <m/>
    <d v="1899-12-30T00:00:00"/>
    <d v="2014-10-06T10:26:26"/>
    <m/>
    <m/>
    <d v="1899-12-30T00:00:00"/>
    <d v="1899-12-30T00:00:00"/>
    <d v="1899-12-30T00:00:00"/>
    <s v=""/>
    <s v="Company1414441912"/>
    <x v="6"/>
    <x v="12"/>
  </r>
  <r>
    <n v="8319"/>
    <x v="0"/>
    <m/>
    <n v="15"/>
    <s v="Location3"/>
    <d v="2014-09-30T00:00:00"/>
    <x v="0"/>
    <s v="144"/>
    <d v="1899-12-30T00:00:00"/>
    <m/>
    <m/>
    <m/>
    <m/>
    <m/>
    <d v="1899-12-30T00:00:00"/>
    <d v="2014-10-06T10:26:28"/>
    <m/>
    <m/>
    <d v="1899-12-30T00:00:00"/>
    <d v="1899-12-30T00:00:00"/>
    <d v="1899-12-30T00:00:00"/>
    <s v=""/>
    <s v="Company1414441912"/>
    <x v="6"/>
    <x v="12"/>
  </r>
  <r>
    <n v="8320"/>
    <x v="0"/>
    <m/>
    <n v="20"/>
    <s v="Location3"/>
    <d v="2014-09-30T00:00:00"/>
    <x v="0"/>
    <s v="144"/>
    <d v="1899-12-30T00:00:00"/>
    <m/>
    <m/>
    <m/>
    <m/>
    <m/>
    <d v="1899-12-30T00:00:00"/>
    <d v="2014-10-06T10:26:30"/>
    <m/>
    <m/>
    <d v="1899-12-30T00:00:00"/>
    <d v="1899-12-30T00:00:00"/>
    <d v="1899-12-30T00:00:00"/>
    <s v=""/>
    <s v="Company1414441912"/>
    <x v="6"/>
    <x v="12"/>
  </r>
  <r>
    <n v="8321"/>
    <x v="0"/>
    <m/>
    <n v="18"/>
    <s v="Location3"/>
    <d v="2014-09-30T00:00:00"/>
    <x v="0"/>
    <s v="144"/>
    <d v="1899-12-30T00:00:00"/>
    <m/>
    <m/>
    <m/>
    <m/>
    <m/>
    <d v="1899-12-30T00:00:00"/>
    <d v="2014-10-06T10:26:31"/>
    <m/>
    <m/>
    <d v="1899-12-30T00:00:00"/>
    <d v="1899-12-30T00:00:00"/>
    <d v="1899-12-30T00:00:00"/>
    <s v=""/>
    <s v="Company1414441912"/>
    <x v="6"/>
    <x v="12"/>
  </r>
  <r>
    <n v="8322"/>
    <x v="0"/>
    <m/>
    <n v="12"/>
    <s v="Location3"/>
    <d v="2014-09-30T00:00:00"/>
    <x v="0"/>
    <s v="144"/>
    <d v="1899-12-30T00:00:00"/>
    <m/>
    <m/>
    <m/>
    <m/>
    <m/>
    <d v="1899-12-30T00:00:00"/>
    <d v="2014-10-06T10:26:33"/>
    <m/>
    <m/>
    <d v="1899-12-30T00:00:00"/>
    <d v="1899-12-30T00:00:00"/>
    <d v="1899-12-30T00:00:00"/>
    <s v=""/>
    <s v="Company1414441912"/>
    <x v="6"/>
    <x v="12"/>
  </r>
  <r>
    <n v="8323"/>
    <x v="0"/>
    <m/>
    <n v="14"/>
    <s v="Location3"/>
    <d v="2014-09-30T00:00:00"/>
    <x v="0"/>
    <s v="144"/>
    <d v="1899-12-30T00:00:00"/>
    <m/>
    <m/>
    <m/>
    <m/>
    <m/>
    <d v="1899-12-30T00:00:00"/>
    <d v="2014-10-06T10:26:34"/>
    <m/>
    <m/>
    <d v="1899-12-30T00:00:00"/>
    <d v="1899-12-30T00:00:00"/>
    <d v="1899-12-30T00:00:00"/>
    <s v=""/>
    <s v="Company1414441912"/>
    <x v="6"/>
    <x v="12"/>
  </r>
  <r>
    <n v="8324"/>
    <x v="3"/>
    <m/>
    <n v="120"/>
    <s v="Location3"/>
    <d v="2014-09-30T00:00:00"/>
    <x v="0"/>
    <s v="144"/>
    <d v="1899-12-30T00:00:00"/>
    <m/>
    <m/>
    <m/>
    <m/>
    <m/>
    <d v="1899-12-30T00:00:00"/>
    <d v="2014-10-06T10:26:44"/>
    <m/>
    <m/>
    <d v="1899-12-30T00:00:00"/>
    <d v="1899-12-30T00:00:00"/>
    <d v="1899-12-30T00:00:00"/>
    <s v=""/>
    <s v="Company1414441912"/>
    <x v="6"/>
    <x v="12"/>
  </r>
  <r>
    <n v="8325"/>
    <x v="1"/>
    <m/>
    <n v="284"/>
    <s v="Location3"/>
    <d v="2014-09-30T00:00:00"/>
    <x v="0"/>
    <s v="144"/>
    <d v="1899-12-30T00:00:00"/>
    <m/>
    <m/>
    <m/>
    <m/>
    <m/>
    <d v="1899-12-30T00:00:00"/>
    <d v="2014-10-06T10:26:52"/>
    <m/>
    <m/>
    <d v="1899-12-30T00:00:00"/>
    <d v="1899-12-30T00:00:00"/>
    <d v="1899-12-30T00:00:00"/>
    <s v=""/>
    <s v="Company1414441912"/>
    <x v="6"/>
    <x v="12"/>
  </r>
  <r>
    <n v="8609"/>
    <x v="3"/>
    <m/>
    <n v="980"/>
    <s v="Location3"/>
    <d v="2014-10-23T00:00:00"/>
    <x v="0"/>
    <s v="214"/>
    <d v="1899-12-30T00:00:00"/>
    <m/>
    <m/>
    <m/>
    <m/>
    <m/>
    <d v="1899-12-30T00:00:00"/>
    <d v="2014-10-30T10:21:53"/>
    <m/>
    <m/>
    <d v="1899-12-30T00:00:00"/>
    <d v="1899-12-30T00:00:00"/>
    <d v="1899-12-30T00:00:00"/>
    <d v="1899-12-31T00:00:00"/>
    <s v="Company1421441935"/>
    <x v="7"/>
    <x v="13"/>
  </r>
  <r>
    <n v="8721"/>
    <x v="5"/>
    <m/>
    <n v="104"/>
    <s v="Location3"/>
    <d v="2014-10-28T00:00:00"/>
    <x v="0"/>
    <s v="192"/>
    <d v="1899-12-30T00:00:00"/>
    <m/>
    <m/>
    <m/>
    <m/>
    <m/>
    <d v="1899-12-30T00:00:00"/>
    <d v="2014-11-06T12:49:54"/>
    <m/>
    <m/>
    <d v="1899-12-30T00:00:00"/>
    <d v="1899-12-30T00:00:00"/>
    <d v="1899-12-30T00:00:00"/>
    <d v="1899-12-31T00:00:00"/>
    <s v="Company1419241940"/>
    <x v="7"/>
    <x v="14"/>
  </r>
  <r>
    <n v="8722"/>
    <x v="5"/>
    <m/>
    <n v="290"/>
    <s v="Location3"/>
    <d v="2014-10-28T00:00:00"/>
    <x v="0"/>
    <s v="192"/>
    <d v="1899-12-30T00:00:00"/>
    <m/>
    <m/>
    <m/>
    <m/>
    <m/>
    <d v="1899-12-30T00:00:00"/>
    <d v="2014-11-06T12:50:57"/>
    <m/>
    <m/>
    <d v="1899-12-30T00:00:00"/>
    <d v="1899-12-30T00:00:00"/>
    <d v="1899-12-30T00:00:00"/>
    <s v=""/>
    <s v="Company1419241940"/>
    <x v="7"/>
    <x v="14"/>
  </r>
  <r>
    <n v="8723"/>
    <x v="5"/>
    <m/>
    <n v="134"/>
    <s v="Location3"/>
    <d v="2014-10-28T00:00:00"/>
    <x v="0"/>
    <s v="192"/>
    <d v="1899-12-30T00:00:00"/>
    <m/>
    <m/>
    <m/>
    <m/>
    <m/>
    <d v="1899-12-30T00:00:00"/>
    <d v="2014-11-06T12:51:00"/>
    <m/>
    <m/>
    <d v="1899-12-30T00:00:00"/>
    <d v="1899-12-30T00:00:00"/>
    <d v="1899-12-30T00:00:00"/>
    <s v=""/>
    <s v="Company1419241940"/>
    <x v="7"/>
    <x v="14"/>
  </r>
  <r>
    <n v="8724"/>
    <x v="5"/>
    <m/>
    <n v="110"/>
    <s v="Location3"/>
    <d v="2014-10-28T00:00:00"/>
    <x v="0"/>
    <s v="192"/>
    <d v="1899-12-30T00:00:00"/>
    <m/>
    <m/>
    <m/>
    <m/>
    <m/>
    <d v="1899-12-30T00:00:00"/>
    <d v="2014-11-06T12:51:02"/>
    <m/>
    <m/>
    <d v="1899-12-30T00:00:00"/>
    <d v="1899-12-30T00:00:00"/>
    <d v="1899-12-30T00:00:00"/>
    <s v=""/>
    <s v="Company1419241940"/>
    <x v="7"/>
    <x v="14"/>
  </r>
  <r>
    <n v="8725"/>
    <x v="5"/>
    <m/>
    <n v="166"/>
    <s v="Location3"/>
    <d v="2014-10-28T00:00:00"/>
    <x v="0"/>
    <s v="192"/>
    <d v="1899-12-30T00:00:00"/>
    <m/>
    <m/>
    <m/>
    <m/>
    <m/>
    <d v="1899-12-30T00:00:00"/>
    <d v="2014-11-06T12:51:05"/>
    <m/>
    <m/>
    <d v="1899-12-30T00:00:00"/>
    <d v="1899-12-30T00:00:00"/>
    <d v="1899-12-30T00:00:00"/>
    <s v=""/>
    <s v="Company1419241940"/>
    <x v="7"/>
    <x v="14"/>
  </r>
  <r>
    <n v="8726"/>
    <x v="3"/>
    <m/>
    <n v="490"/>
    <s v="Location3"/>
    <d v="2014-10-28T00:00:00"/>
    <x v="0"/>
    <s v="192"/>
    <d v="1899-12-30T00:00:00"/>
    <m/>
    <m/>
    <m/>
    <m/>
    <m/>
    <d v="1899-12-30T00:00:00"/>
    <d v="2014-11-06T12:51:38"/>
    <m/>
    <m/>
    <d v="1899-12-30T00:00:00"/>
    <d v="1899-12-30T00:00:00"/>
    <d v="1899-12-30T00:00:00"/>
    <s v=""/>
    <s v="Company1419241940"/>
    <x v="7"/>
    <x v="14"/>
  </r>
  <r>
    <n v="8727"/>
    <x v="11"/>
    <m/>
    <n v="126"/>
    <s v="Location3"/>
    <d v="2014-10-28T00:00:00"/>
    <x v="0"/>
    <s v="192"/>
    <d v="1899-12-30T00:00:00"/>
    <m/>
    <m/>
    <m/>
    <m/>
    <m/>
    <d v="1899-12-30T00:00:00"/>
    <d v="2014-11-06T12:51:59"/>
    <m/>
    <m/>
    <d v="1899-12-30T00:00:00"/>
    <d v="1899-12-30T00:00:00"/>
    <d v="1899-12-30T00:00:00"/>
    <s v=""/>
    <s v="Company1419241940"/>
    <x v="7"/>
    <x v="14"/>
  </r>
  <r>
    <n v="8728"/>
    <x v="11"/>
    <m/>
    <n v="208"/>
    <s v="Location3"/>
    <d v="2014-10-28T00:00:00"/>
    <x v="0"/>
    <s v="192"/>
    <d v="1899-12-30T00:00:00"/>
    <m/>
    <m/>
    <m/>
    <m/>
    <m/>
    <d v="1899-12-30T00:00:00"/>
    <d v="2014-11-06T12:52:01"/>
    <m/>
    <m/>
    <d v="1899-12-30T00:00:00"/>
    <d v="1899-12-30T00:00:00"/>
    <d v="1899-12-30T00:00:00"/>
    <s v=""/>
    <s v="Company1419241940"/>
    <x v="7"/>
    <x v="14"/>
  </r>
  <r>
    <n v="8729"/>
    <x v="13"/>
    <m/>
    <n v="694"/>
    <s v="Location3"/>
    <d v="2014-10-28T00:00:00"/>
    <x v="0"/>
    <s v="192"/>
    <d v="1899-12-30T00:00:00"/>
    <m/>
    <m/>
    <m/>
    <m/>
    <m/>
    <d v="1899-12-30T00:00:00"/>
    <d v="2014-11-06T12:52:13"/>
    <m/>
    <m/>
    <d v="1899-12-30T00:00:00"/>
    <d v="1899-12-30T00:00:00"/>
    <d v="1899-12-30T00:00:00"/>
    <s v=""/>
    <s v="Company1419241940"/>
    <x v="7"/>
    <x v="14"/>
  </r>
  <r>
    <n v="8730"/>
    <x v="1"/>
    <m/>
    <n v="704"/>
    <s v="Location3"/>
    <d v="2014-10-28T00:00:00"/>
    <x v="0"/>
    <s v="192"/>
    <d v="1899-12-30T00:00:00"/>
    <m/>
    <m/>
    <m/>
    <m/>
    <m/>
    <d v="1899-12-30T00:00:00"/>
    <d v="2014-11-06T12:52:31"/>
    <m/>
    <m/>
    <d v="1899-12-30T00:00:00"/>
    <d v="1899-12-30T00:00:00"/>
    <d v="1899-12-30T00:00:00"/>
    <s v=""/>
    <s v="Company1419241940"/>
    <x v="7"/>
    <x v="14"/>
  </r>
  <r>
    <n v="8731"/>
    <x v="6"/>
    <m/>
    <n v="122"/>
    <s v="Location3"/>
    <d v="2014-10-28T00:00:00"/>
    <x v="0"/>
    <s v="192"/>
    <d v="1899-12-30T00:00:00"/>
    <m/>
    <m/>
    <m/>
    <m/>
    <m/>
    <d v="1899-12-30T00:00:00"/>
    <d v="2014-11-06T12:52:37"/>
    <m/>
    <m/>
    <d v="1899-12-30T00:00:00"/>
    <d v="1899-12-30T00:00:00"/>
    <d v="1899-12-30T00:00:00"/>
    <s v=""/>
    <s v="Company1419241940"/>
    <x v="7"/>
    <x v="14"/>
  </r>
  <r>
    <n v="8764"/>
    <x v="3"/>
    <m/>
    <n v="875"/>
    <s v="Location3"/>
    <d v="2014-10-20T00:00:00"/>
    <x v="0"/>
    <s v="343"/>
    <d v="1899-12-30T00:00:00"/>
    <m/>
    <m/>
    <m/>
    <m/>
    <m/>
    <d v="1899-12-30T00:00:00"/>
    <d v="2014-11-06T13:21:30"/>
    <m/>
    <m/>
    <d v="1899-12-30T00:00:00"/>
    <d v="1899-12-30T00:00:00"/>
    <d v="1899-12-30T00:00:00"/>
    <d v="1899-12-31T00:00:00"/>
    <s v="Company1434341932"/>
    <x v="7"/>
    <x v="15"/>
  </r>
  <r>
    <n v="8765"/>
    <x v="5"/>
    <m/>
    <n v="88"/>
    <s v="Location3"/>
    <d v="2014-10-20T00:00:00"/>
    <x v="0"/>
    <s v="343"/>
    <d v="1899-12-30T00:00:00"/>
    <m/>
    <m/>
    <m/>
    <m/>
    <m/>
    <d v="1899-12-30T00:00:00"/>
    <d v="2014-11-06T13:21:37"/>
    <m/>
    <m/>
    <d v="1899-12-30T00:00:00"/>
    <d v="1899-12-30T00:00:00"/>
    <d v="1899-12-30T00:00:00"/>
    <s v=""/>
    <s v="Company1434341932"/>
    <x v="7"/>
    <x v="15"/>
  </r>
  <r>
    <n v="8766"/>
    <x v="5"/>
    <m/>
    <n v="170"/>
    <s v="Location3"/>
    <d v="2014-10-20T00:00:00"/>
    <x v="0"/>
    <s v="343"/>
    <d v="1899-12-30T00:00:00"/>
    <m/>
    <m/>
    <m/>
    <m/>
    <m/>
    <d v="1899-12-30T00:00:00"/>
    <d v="2014-11-06T13:49:54"/>
    <m/>
    <m/>
    <d v="1899-12-30T00:00:00"/>
    <d v="1899-12-30T00:00:00"/>
    <d v="1899-12-30T00:00:00"/>
    <s v=""/>
    <s v="Company1434341932"/>
    <x v="7"/>
    <x v="15"/>
  </r>
  <r>
    <n v="8767"/>
    <x v="5"/>
    <m/>
    <n v="134"/>
    <s v="Location3"/>
    <d v="2014-10-20T00:00:00"/>
    <x v="0"/>
    <s v="343"/>
    <d v="1899-12-30T00:00:00"/>
    <m/>
    <m/>
    <m/>
    <m/>
    <m/>
    <d v="1899-12-30T00:00:00"/>
    <d v="2014-11-06T13:50:00"/>
    <m/>
    <m/>
    <d v="1899-12-30T00:00:00"/>
    <d v="1899-12-30T00:00:00"/>
    <d v="1899-12-30T00:00:00"/>
    <s v=""/>
    <s v="Company1434341932"/>
    <x v="7"/>
    <x v="15"/>
  </r>
  <r>
    <n v="8768"/>
    <x v="6"/>
    <m/>
    <n v="196"/>
    <s v="Location3"/>
    <d v="2014-10-20T00:00:00"/>
    <x v="0"/>
    <s v="343"/>
    <d v="1899-12-30T00:00:00"/>
    <m/>
    <m/>
    <m/>
    <m/>
    <m/>
    <d v="1899-12-30T00:00:00"/>
    <d v="2014-11-06T13:50:10"/>
    <m/>
    <m/>
    <d v="1899-12-30T00:00:00"/>
    <d v="1899-12-30T00:00:00"/>
    <d v="1899-12-30T00:00:00"/>
    <s v=""/>
    <s v="Company1434341932"/>
    <x v="7"/>
    <x v="15"/>
  </r>
  <r>
    <n v="8769"/>
    <x v="6"/>
    <m/>
    <n v="164"/>
    <s v="Location3"/>
    <d v="2014-10-20T00:00:00"/>
    <x v="0"/>
    <s v="343"/>
    <d v="1899-12-30T00:00:00"/>
    <m/>
    <m/>
    <m/>
    <m/>
    <m/>
    <d v="1899-12-30T00:00:00"/>
    <d v="2014-11-06T13:50:12"/>
    <m/>
    <m/>
    <d v="1899-12-30T00:00:00"/>
    <d v="1899-12-30T00:00:00"/>
    <d v="1899-12-30T00:00:00"/>
    <s v=""/>
    <s v="Company1434341932"/>
    <x v="7"/>
    <x v="15"/>
  </r>
  <r>
    <n v="8771"/>
    <x v="3"/>
    <m/>
    <n v="980"/>
    <s v="Location3"/>
    <d v="2014-11-05T00:00:00"/>
    <x v="0"/>
    <s v="TA986863"/>
    <d v="1899-12-30T00:00:00"/>
    <m/>
    <m/>
    <m/>
    <m/>
    <m/>
    <d v="1899-12-30T00:00:00"/>
    <d v="2014-11-07T13:18:50"/>
    <m/>
    <m/>
    <d v="1899-12-30T00:00:00"/>
    <d v="1899-12-30T00:00:00"/>
    <d v="1899-12-30T00:00:00"/>
    <d v="1899-12-31T00:00:00"/>
    <s v="Company14TA98686341948"/>
    <x v="8"/>
    <x v="16"/>
  </r>
  <r>
    <n v="8772"/>
    <x v="5"/>
    <m/>
    <n v="114"/>
    <s v="Location3"/>
    <d v="2014-11-05T00:00:00"/>
    <x v="0"/>
    <s v="TA986863"/>
    <d v="1899-12-30T00:00:00"/>
    <m/>
    <m/>
    <m/>
    <m/>
    <m/>
    <d v="1899-12-30T00:00:00"/>
    <d v="2014-11-07T13:19:06"/>
    <m/>
    <m/>
    <d v="1899-12-30T00:00:00"/>
    <d v="1899-12-30T00:00:00"/>
    <d v="1899-12-30T00:00:00"/>
    <s v=""/>
    <s v="Company14TA98686341948"/>
    <x v="8"/>
    <x v="16"/>
  </r>
  <r>
    <n v="8773"/>
    <x v="5"/>
    <m/>
    <n v="226"/>
    <s v="Location3"/>
    <d v="2014-11-05T00:00:00"/>
    <x v="0"/>
    <s v="TA986863"/>
    <d v="1899-12-30T00:00:00"/>
    <m/>
    <m/>
    <m/>
    <m/>
    <m/>
    <d v="1899-12-30T00:00:00"/>
    <d v="2014-11-07T13:19:09"/>
    <m/>
    <m/>
    <d v="1899-12-30T00:00:00"/>
    <d v="1899-12-30T00:00:00"/>
    <d v="1899-12-30T00:00:00"/>
    <s v=""/>
    <s v="Company14TA98686341948"/>
    <x v="8"/>
    <x v="16"/>
  </r>
  <r>
    <n v="8779"/>
    <x v="3"/>
    <m/>
    <n v="875"/>
    <s v="Location3"/>
    <d v="2014-10-08T00:00:00"/>
    <x v="0"/>
    <s v="386"/>
    <d v="1899-12-30T00:00:00"/>
    <m/>
    <m/>
    <m/>
    <m/>
    <m/>
    <d v="1899-12-30T00:00:00"/>
    <d v="2014-11-07T13:48:28"/>
    <m/>
    <m/>
    <d v="1899-12-30T00:00:00"/>
    <d v="1899-12-30T00:00:00"/>
    <d v="1899-12-30T00:00:00"/>
    <d v="1899-12-31T00:00:00"/>
    <s v="Company1438641920"/>
    <x v="7"/>
    <x v="17"/>
  </r>
  <r>
    <n v="8780"/>
    <x v="3"/>
    <m/>
    <n v="1035"/>
    <s v="Location3"/>
    <d v="2014-10-10T00:00:00"/>
    <x v="0"/>
    <s v="144"/>
    <d v="1899-12-30T00:00:00"/>
    <m/>
    <m/>
    <m/>
    <m/>
    <m/>
    <d v="1899-12-30T00:00:00"/>
    <d v="2014-11-07T13:57:30"/>
    <m/>
    <m/>
    <d v="1899-12-30T00:00:00"/>
    <d v="1899-12-30T00:00:00"/>
    <d v="1899-12-30T00:00:00"/>
    <d v="1899-12-31T00:00:00"/>
    <s v="Company1414441922"/>
    <x v="7"/>
    <x v="18"/>
  </r>
  <r>
    <n v="8781"/>
    <x v="8"/>
    <m/>
    <n v="700"/>
    <s v="Location3"/>
    <d v="2014-10-10T00:00:00"/>
    <x v="0"/>
    <s v="144"/>
    <d v="1899-12-30T00:00:00"/>
    <m/>
    <m/>
    <m/>
    <m/>
    <m/>
    <d v="1899-12-30T00:00:00"/>
    <d v="2014-11-07T14:03:51"/>
    <m/>
    <m/>
    <d v="1899-12-30T00:00:00"/>
    <d v="1899-12-30T00:00:00"/>
    <d v="1899-12-30T00:00:00"/>
    <s v=""/>
    <s v="Company1414441922"/>
    <x v="7"/>
    <x v="18"/>
  </r>
  <r>
    <n v="8782"/>
    <x v="8"/>
    <m/>
    <n v="890"/>
    <s v="Location3"/>
    <d v="2014-10-10T00:00:00"/>
    <x v="0"/>
    <s v="144"/>
    <d v="1899-12-30T00:00:00"/>
    <m/>
    <m/>
    <m/>
    <m/>
    <m/>
    <d v="1899-12-30T00:00:00"/>
    <d v="2014-11-07T14:03:53"/>
    <m/>
    <m/>
    <d v="1899-12-30T00:00:00"/>
    <d v="1899-12-30T00:00:00"/>
    <d v="1899-12-30T00:00:00"/>
    <s v=""/>
    <s v="Company1414441922"/>
    <x v="7"/>
    <x v="18"/>
  </r>
  <r>
    <n v="8783"/>
    <x v="3"/>
    <m/>
    <n v="712"/>
    <s v="Location3"/>
    <d v="2014-10-15T00:00:00"/>
    <x v="0"/>
    <s v="TA936863"/>
    <d v="1899-12-30T00:00:00"/>
    <m/>
    <m/>
    <m/>
    <m/>
    <m/>
    <d v="1899-12-30T00:00:00"/>
    <d v="2014-11-07T14:04:50"/>
    <m/>
    <m/>
    <d v="1899-12-30T00:00:00"/>
    <d v="1899-12-30T00:00:00"/>
    <d v="1899-12-30T00:00:00"/>
    <d v="1899-12-31T00:00:00"/>
    <s v="Company14TA93686341927"/>
    <x v="7"/>
    <x v="19"/>
  </r>
  <r>
    <n v="8784"/>
    <x v="2"/>
    <m/>
    <n v="188"/>
    <s v="Location3"/>
    <d v="2014-10-15T00:00:00"/>
    <x v="0"/>
    <s v="TA936863"/>
    <d v="1899-12-30T00:00:00"/>
    <m/>
    <m/>
    <m/>
    <m/>
    <m/>
    <d v="1899-12-30T00:00:00"/>
    <d v="2014-11-07T14:04:55"/>
    <m/>
    <m/>
    <d v="1899-12-30T00:00:00"/>
    <d v="1899-12-30T00:00:00"/>
    <d v="1899-12-30T00:00:00"/>
    <s v=""/>
    <s v="Company14TA93686341927"/>
    <x v="7"/>
    <x v="19"/>
  </r>
  <r>
    <n v="8785"/>
    <x v="5"/>
    <m/>
    <n v="978"/>
    <s v="Location3"/>
    <d v="2014-10-15T00:00:00"/>
    <x v="0"/>
    <s v="TA936863"/>
    <d v="1899-12-30T00:00:00"/>
    <m/>
    <m/>
    <m/>
    <m/>
    <m/>
    <d v="1899-12-30T00:00:00"/>
    <d v="2014-11-07T14:05:07"/>
    <m/>
    <m/>
    <d v="1899-12-30T00:00:00"/>
    <d v="1899-12-30T00:00:00"/>
    <d v="1899-12-30T00:00:00"/>
    <s v=""/>
    <s v="Company14TA93686341927"/>
    <x v="7"/>
    <x v="19"/>
  </r>
  <r>
    <n v="8786"/>
    <x v="5"/>
    <m/>
    <n v="1010"/>
    <s v="Location3"/>
    <d v="2014-10-15T00:00:00"/>
    <x v="0"/>
    <s v="TA936863"/>
    <d v="1899-12-30T00:00:00"/>
    <m/>
    <m/>
    <m/>
    <m/>
    <m/>
    <d v="1899-12-30T00:00:00"/>
    <d v="2014-11-07T14:05:09"/>
    <m/>
    <m/>
    <d v="1899-12-30T00:00:00"/>
    <d v="1899-12-30T00:00:00"/>
    <d v="1899-12-30T00:00:00"/>
    <s v=""/>
    <s v="Company14TA93686341927"/>
    <x v="7"/>
    <x v="19"/>
  </r>
  <r>
    <n v="8787"/>
    <x v="5"/>
    <m/>
    <n v="1136"/>
    <s v="Location3"/>
    <d v="2014-10-15T00:00:00"/>
    <x v="0"/>
    <s v="TA936863"/>
    <d v="1899-12-30T00:00:00"/>
    <m/>
    <m/>
    <m/>
    <m/>
    <m/>
    <d v="1899-12-30T00:00:00"/>
    <d v="2014-11-07T14:05:11"/>
    <m/>
    <m/>
    <d v="1899-12-30T00:00:00"/>
    <d v="1899-12-30T00:00:00"/>
    <d v="1899-12-30T00:00:00"/>
    <s v=""/>
    <s v="Company14TA93686341927"/>
    <x v="7"/>
    <x v="19"/>
  </r>
  <r>
    <n v="8788"/>
    <x v="5"/>
    <m/>
    <n v="1002"/>
    <s v="Location3"/>
    <d v="2014-10-15T00:00:00"/>
    <x v="0"/>
    <s v="TA936863"/>
    <d v="1899-12-30T00:00:00"/>
    <m/>
    <m/>
    <m/>
    <m/>
    <m/>
    <d v="1899-12-30T00:00:00"/>
    <d v="2014-11-07T14:05:13"/>
    <m/>
    <m/>
    <d v="1899-12-30T00:00:00"/>
    <d v="1899-12-30T00:00:00"/>
    <d v="1899-12-30T00:00:00"/>
    <s v=""/>
    <s v="Company14TA93686341927"/>
    <x v="7"/>
    <x v="19"/>
  </r>
  <r>
    <n v="8789"/>
    <x v="5"/>
    <m/>
    <n v="1008"/>
    <s v="Location3"/>
    <d v="2014-10-15T00:00:00"/>
    <x v="0"/>
    <s v="TA936863"/>
    <d v="1899-12-30T00:00:00"/>
    <m/>
    <m/>
    <m/>
    <m/>
    <m/>
    <d v="1899-12-30T00:00:00"/>
    <d v="2014-11-07T14:05:16"/>
    <m/>
    <m/>
    <d v="1899-12-30T00:00:00"/>
    <d v="1899-12-30T00:00:00"/>
    <d v="1899-12-30T00:00:00"/>
    <s v=""/>
    <s v="Company14TA93686341927"/>
    <x v="7"/>
    <x v="19"/>
  </r>
  <r>
    <n v="8790"/>
    <x v="5"/>
    <m/>
    <n v="902"/>
    <s v="Location3"/>
    <d v="2014-10-15T00:00:00"/>
    <x v="0"/>
    <s v="TA936863"/>
    <d v="1899-12-30T00:00:00"/>
    <m/>
    <m/>
    <m/>
    <m/>
    <m/>
    <d v="1899-12-30T00:00:00"/>
    <d v="2014-11-07T14:05:19"/>
    <m/>
    <m/>
    <d v="1899-12-30T00:00:00"/>
    <d v="1899-12-30T00:00:00"/>
    <d v="1899-12-30T00:00:00"/>
    <s v=""/>
    <s v="Company14TA93686341927"/>
    <x v="7"/>
    <x v="19"/>
  </r>
  <r>
    <n v="8842"/>
    <x v="3"/>
    <m/>
    <n v="875"/>
    <s v="Location3"/>
    <d v="2014-11-06T00:00:00"/>
    <x v="0"/>
    <s v="144"/>
    <d v="1899-12-30T00:00:00"/>
    <m/>
    <m/>
    <m/>
    <m/>
    <m/>
    <d v="1899-12-30T00:00:00"/>
    <d v="2014-11-12T12:40:37"/>
    <m/>
    <m/>
    <d v="1899-12-30T00:00:00"/>
    <d v="1899-12-30T00:00:00"/>
    <d v="1899-12-30T00:00:00"/>
    <d v="1899-12-31T00:00:00"/>
    <s v="Company1414441949"/>
    <x v="8"/>
    <x v="20"/>
  </r>
  <r>
    <n v="8979"/>
    <x v="0"/>
    <m/>
    <n v="910"/>
    <s v="Location3"/>
    <d v="2014-11-14T00:00:00"/>
    <x v="0"/>
    <s v="192"/>
    <d v="1899-12-30T00:00:00"/>
    <m/>
    <m/>
    <m/>
    <m/>
    <m/>
    <d v="1899-12-30T00:00:00"/>
    <d v="2014-12-01T11:44:27"/>
    <m/>
    <m/>
    <d v="1899-12-30T00:00:00"/>
    <d v="1899-12-30T00:00:00"/>
    <d v="1899-12-30T00:00:00"/>
    <d v="1899-12-31T00:00:00"/>
    <s v="Company1419241957"/>
    <x v="8"/>
    <x v="21"/>
  </r>
  <r>
    <n v="8980"/>
    <x v="7"/>
    <m/>
    <n v="1662"/>
    <s v="Location3"/>
    <d v="2014-11-14T00:00:00"/>
    <x v="0"/>
    <s v="192"/>
    <d v="1899-12-30T00:00:00"/>
    <m/>
    <m/>
    <m/>
    <m/>
    <m/>
    <d v="1899-12-30T00:00:00"/>
    <d v="2014-12-01T11:44:34"/>
    <m/>
    <m/>
    <d v="1899-12-30T00:00:00"/>
    <d v="1899-12-30T00:00:00"/>
    <d v="1899-12-30T00:00:00"/>
    <s v=""/>
    <s v="Company1419241957"/>
    <x v="8"/>
    <x v="21"/>
  </r>
  <r>
    <n v="8981"/>
    <x v="11"/>
    <m/>
    <n v="150"/>
    <s v="Location3"/>
    <d v="2014-11-14T00:00:00"/>
    <x v="0"/>
    <s v="192"/>
    <d v="1899-12-30T00:00:00"/>
    <m/>
    <m/>
    <m/>
    <m/>
    <m/>
    <d v="1899-12-30T00:00:00"/>
    <d v="2014-12-01T11:44:44"/>
    <m/>
    <m/>
    <d v="1899-12-30T00:00:00"/>
    <d v="1899-12-30T00:00:00"/>
    <d v="1899-12-30T00:00:00"/>
    <s v=""/>
    <s v="Company1419241957"/>
    <x v="8"/>
    <x v="21"/>
  </r>
  <r>
    <n v="8982"/>
    <x v="14"/>
    <s v="Fixtures and Display"/>
    <n v="226"/>
    <s v="Location3"/>
    <d v="2014-11-25T00:00:00"/>
    <x v="0"/>
    <s v="340"/>
    <d v="1899-12-30T00:00:00"/>
    <m/>
    <m/>
    <m/>
    <m/>
    <m/>
    <d v="1899-12-30T00:00:00"/>
    <d v="2014-12-01T11:46:13"/>
    <m/>
    <m/>
    <d v="1899-12-30T00:00:00"/>
    <d v="1899-12-30T00:00:00"/>
    <d v="1899-12-30T00:00:00"/>
    <d v="1899-12-31T00:00:00"/>
    <s v="Company1434041968"/>
    <x v="8"/>
    <x v="22"/>
  </r>
  <r>
    <n v="8983"/>
    <x v="14"/>
    <m/>
    <n v="192"/>
    <s v="Location3"/>
    <d v="2014-11-25T00:00:00"/>
    <x v="0"/>
    <s v="340"/>
    <d v="1899-12-30T00:00:00"/>
    <m/>
    <m/>
    <m/>
    <m/>
    <m/>
    <d v="1899-12-30T00:00:00"/>
    <d v="2014-12-01T11:46:16"/>
    <m/>
    <m/>
    <d v="1899-12-30T00:00:00"/>
    <d v="1899-12-30T00:00:00"/>
    <d v="1899-12-30T00:00:00"/>
    <s v=""/>
    <s v="Company1434041968"/>
    <x v="8"/>
    <x v="22"/>
  </r>
  <r>
    <n v="8984"/>
    <x v="14"/>
    <m/>
    <n v="102"/>
    <s v="Location3"/>
    <d v="2014-11-25T00:00:00"/>
    <x v="0"/>
    <s v="340"/>
    <d v="1899-12-30T00:00:00"/>
    <m/>
    <m/>
    <m/>
    <m/>
    <m/>
    <d v="1899-12-30T00:00:00"/>
    <d v="2014-12-01T11:46:18"/>
    <m/>
    <m/>
    <d v="1899-12-30T00:00:00"/>
    <d v="1899-12-30T00:00:00"/>
    <d v="1899-12-30T00:00:00"/>
    <s v=""/>
    <s v="Company1434041968"/>
    <x v="8"/>
    <x v="22"/>
  </r>
  <r>
    <n v="8985"/>
    <x v="1"/>
    <m/>
    <n v="334"/>
    <s v="Location3"/>
    <d v="2014-11-25T00:00:00"/>
    <x v="0"/>
    <s v="340"/>
    <d v="1899-12-30T00:00:00"/>
    <m/>
    <m/>
    <m/>
    <m/>
    <m/>
    <d v="1899-12-30T00:00:00"/>
    <d v="2014-12-01T11:46:30"/>
    <m/>
    <m/>
    <d v="1899-12-30T00:00:00"/>
    <d v="1899-12-30T00:00:00"/>
    <d v="1899-12-30T00:00:00"/>
    <s v=""/>
    <s v="Company1434041968"/>
    <x v="8"/>
    <x v="22"/>
  </r>
  <r>
    <n v="8986"/>
    <x v="14"/>
    <s v="Dolls"/>
    <n v="3122"/>
    <s v="Location3"/>
    <d v="2014-11-25T00:00:00"/>
    <x v="0"/>
    <s v="340"/>
    <d v="1899-12-30T00:00:00"/>
    <m/>
    <m/>
    <m/>
    <m/>
    <m/>
    <d v="1899-12-30T00:00:00"/>
    <d v="2014-12-01T11:46:35"/>
    <m/>
    <m/>
    <d v="1899-12-30T00:00:00"/>
    <d v="1899-12-30T00:00:00"/>
    <d v="1899-12-30T00:00:00"/>
    <s v=""/>
    <s v="Company1434041968"/>
    <x v="8"/>
    <x v="22"/>
  </r>
  <r>
    <n v="8988"/>
    <x v="0"/>
    <m/>
    <n v="105"/>
    <s v="Location3"/>
    <d v="2014-11-25T00:00:00"/>
    <x v="0"/>
    <s v="340"/>
    <d v="1899-12-30T00:00:00"/>
    <m/>
    <m/>
    <m/>
    <m/>
    <m/>
    <d v="1899-12-30T00:00:00"/>
    <d v="2014-12-01T11:47:23"/>
    <m/>
    <m/>
    <d v="1899-12-30T00:00:00"/>
    <d v="1899-12-30T00:00:00"/>
    <d v="1899-12-30T00:00:00"/>
    <s v=""/>
    <s v="Company1434041968"/>
    <x v="8"/>
    <x v="22"/>
  </r>
  <r>
    <n v="9116"/>
    <x v="5"/>
    <s v="boxes"/>
    <n v="1044"/>
    <s v="Location3"/>
    <d v="2014-12-10T16:04:32"/>
    <x v="0"/>
    <s v="TA934601"/>
    <d v="1899-12-30T00:00:00"/>
    <m/>
    <m/>
    <m/>
    <m/>
    <m/>
    <d v="1899-12-30T00:00:00"/>
    <d v="2014-12-17T16:04:32"/>
    <m/>
    <m/>
    <d v="1899-12-30T00:00:00"/>
    <d v="1899-12-30T00:00:00"/>
    <d v="1899-12-30T00:00:00"/>
    <d v="1899-12-31T00:00:00"/>
    <s v="Company14TA93460141983"/>
    <x v="9"/>
    <x v="23"/>
  </r>
  <r>
    <n v="9117"/>
    <x v="7"/>
    <s v="display signs"/>
    <n v="1044"/>
    <s v="Location3"/>
    <d v="2014-12-10T16:05:32"/>
    <x v="0"/>
    <s v="TA934601"/>
    <d v="1899-12-30T00:00:00"/>
    <m/>
    <m/>
    <m/>
    <m/>
    <m/>
    <d v="1899-12-30T00:00:00"/>
    <d v="2014-12-17T16:05:32"/>
    <m/>
    <m/>
    <d v="1899-12-30T00:00:00"/>
    <d v="1899-12-30T00:00:00"/>
    <d v="1899-12-30T00:00:00"/>
    <s v=""/>
    <s v="Company14TA93460141983"/>
    <x v="9"/>
    <x v="23"/>
  </r>
  <r>
    <n v="9118"/>
    <x v="7"/>
    <s v="wood dowels with metal"/>
    <n v="522"/>
    <s v="Location3"/>
    <d v="2014-12-10T16:05:50"/>
    <x v="0"/>
    <s v="TA934601"/>
    <d v="1899-12-30T00:00:00"/>
    <m/>
    <m/>
    <m/>
    <m/>
    <m/>
    <d v="1899-12-30T00:00:00"/>
    <d v="2014-12-17T16:05:50"/>
    <m/>
    <m/>
    <d v="1899-12-30T00:00:00"/>
    <d v="1899-12-30T00:00:00"/>
    <d v="1899-12-30T00:00:00"/>
    <s v=""/>
    <s v="Company14TA93460141983"/>
    <x v="9"/>
    <x v="23"/>
  </r>
  <r>
    <n v="9119"/>
    <x v="7"/>
    <s v="PVC pipe"/>
    <n v="1566"/>
    <s v="Location3"/>
    <d v="2014-12-10T16:06:05"/>
    <x v="0"/>
    <s v="TA934601"/>
    <d v="1899-12-30T00:00:00"/>
    <m/>
    <m/>
    <m/>
    <m/>
    <m/>
    <d v="1899-12-30T00:00:00"/>
    <d v="2014-12-17T16:06:05"/>
    <m/>
    <m/>
    <d v="1899-12-30T00:00:00"/>
    <d v="1899-12-30T00:00:00"/>
    <d v="1899-12-30T00:00:00"/>
    <s v=""/>
    <s v="Company14TA93460141983"/>
    <x v="9"/>
    <x v="23"/>
  </r>
  <r>
    <n v="9120"/>
    <x v="2"/>
    <s v="painted"/>
    <n v="3132"/>
    <s v="Location3"/>
    <d v="2014-12-10T16:06:44"/>
    <x v="0"/>
    <s v="TA934601"/>
    <d v="1899-12-30T00:00:00"/>
    <m/>
    <m/>
    <m/>
    <m/>
    <m/>
    <d v="1899-12-30T00:00:00"/>
    <d v="2014-12-17T16:06:44"/>
    <m/>
    <m/>
    <d v="1899-12-30T00:00:00"/>
    <d v="1899-12-30T00:00:00"/>
    <d v="1899-12-30T00:00:00"/>
    <s v=""/>
    <s v="Company14TA93460141983"/>
    <x v="9"/>
    <x v="23"/>
  </r>
  <r>
    <n v="9121"/>
    <x v="0"/>
    <s v="Dolls"/>
    <n v="768"/>
    <s v="Location3"/>
    <d v="2014-12-10T16:06:44"/>
    <x v="0"/>
    <s v="TA934601"/>
    <d v="1899-12-30T00:00:00"/>
    <m/>
    <m/>
    <m/>
    <m/>
    <m/>
    <d v="1899-12-30T00:00:00"/>
    <d v="2014-12-17T16:27:09"/>
    <m/>
    <m/>
    <d v="1899-12-30T00:00:00"/>
    <d v="1899-12-30T00:00:00"/>
    <d v="1899-12-30T00:00:00"/>
    <s v=""/>
    <s v="Company14TA93460141983"/>
    <x v="9"/>
    <x v="23"/>
  </r>
  <r>
    <n v="9363"/>
    <x v="1"/>
    <m/>
    <n v="1224"/>
    <s v="Location3"/>
    <d v="2014-12-29T00:00:00"/>
    <x v="0"/>
    <s v="760"/>
    <d v="1899-12-30T00:00:00"/>
    <m/>
    <m/>
    <m/>
    <m/>
    <m/>
    <d v="1899-12-30T00:00:00"/>
    <d v="2014-12-31T10:44:26"/>
    <m/>
    <m/>
    <d v="1899-12-30T00:00:00"/>
    <d v="1899-12-30T00:00:00"/>
    <d v="1899-12-30T00:00:00"/>
    <d v="1899-12-31T00:00:00"/>
    <s v="Company1476042002"/>
    <x v="9"/>
    <x v="24"/>
  </r>
  <r>
    <n v="9364"/>
    <x v="1"/>
    <m/>
    <n v="676"/>
    <s v="Location3"/>
    <d v="2014-12-29T00:00:00"/>
    <x v="0"/>
    <s v="760"/>
    <d v="1899-12-30T00:00:00"/>
    <m/>
    <m/>
    <m/>
    <m/>
    <m/>
    <d v="1899-12-30T00:00:00"/>
    <d v="2014-12-31T10:46:43"/>
    <m/>
    <m/>
    <d v="1899-12-30T00:00:00"/>
    <d v="1899-12-30T00:00:00"/>
    <d v="1899-12-30T00:00:00"/>
    <s v=""/>
    <s v="Company1476042002"/>
    <x v="9"/>
    <x v="24"/>
  </r>
  <r>
    <n v="9365"/>
    <x v="1"/>
    <m/>
    <n v="2400"/>
    <s v="Location3"/>
    <d v="2014-12-29T00:00:00"/>
    <x v="0"/>
    <s v="760"/>
    <d v="1899-12-30T00:00:00"/>
    <m/>
    <m/>
    <m/>
    <m/>
    <m/>
    <d v="1899-12-30T00:00:00"/>
    <d v="2014-12-31T11:02:40"/>
    <m/>
    <m/>
    <d v="1899-12-30T00:00:00"/>
    <d v="1899-12-30T00:00:00"/>
    <d v="1899-12-30T00:00:00"/>
    <s v=""/>
    <s v="Company1476042002"/>
    <x v="9"/>
    <x v="24"/>
  </r>
  <r>
    <n v="9366"/>
    <x v="1"/>
    <m/>
    <n v="2048"/>
    <s v="Location3"/>
    <d v="2014-12-29T00:00:00"/>
    <x v="0"/>
    <s v="760"/>
    <d v="1899-12-30T00:00:00"/>
    <m/>
    <m/>
    <m/>
    <m/>
    <m/>
    <d v="1899-12-30T00:00:00"/>
    <d v="2014-12-31T11:05:40"/>
    <m/>
    <m/>
    <d v="1899-12-30T00:00:00"/>
    <d v="1899-12-30T00:00:00"/>
    <d v="1899-12-30T00:00:00"/>
    <s v=""/>
    <s v="Company1476042002"/>
    <x v="9"/>
    <x v="24"/>
  </r>
  <r>
    <n v="9367"/>
    <x v="1"/>
    <m/>
    <n v="608"/>
    <s v="Location3"/>
    <d v="2014-12-29T00:00:00"/>
    <x v="0"/>
    <s v="760"/>
    <d v="1899-12-30T00:00:00"/>
    <m/>
    <m/>
    <m/>
    <m/>
    <m/>
    <d v="1899-12-30T00:00:00"/>
    <d v="2014-12-31T11:07:47"/>
    <m/>
    <m/>
    <d v="1899-12-30T00:00:00"/>
    <d v="1899-12-30T00:00:00"/>
    <d v="1899-12-30T00:00:00"/>
    <s v=""/>
    <s v="Company1476042002"/>
    <x v="9"/>
    <x v="24"/>
  </r>
  <r>
    <n v="9368"/>
    <x v="1"/>
    <m/>
    <n v="1676"/>
    <s v="Location3"/>
    <d v="2014-12-29T00:00:00"/>
    <x v="0"/>
    <s v="760"/>
    <d v="1899-12-30T00:00:00"/>
    <m/>
    <m/>
    <m/>
    <m/>
    <m/>
    <d v="1899-12-30T00:00:00"/>
    <d v="2014-12-31T11:09:42"/>
    <m/>
    <m/>
    <d v="1899-12-30T00:00:00"/>
    <d v="1899-12-30T00:00:00"/>
    <d v="1899-12-30T00:00:00"/>
    <s v=""/>
    <s v="Company1476042002"/>
    <x v="9"/>
    <x v="24"/>
  </r>
  <r>
    <n v="9369"/>
    <x v="1"/>
    <m/>
    <n v="948"/>
    <s v="Location3"/>
    <d v="2014-12-29T00:00:00"/>
    <x v="0"/>
    <s v="760"/>
    <d v="1899-12-30T00:00:00"/>
    <m/>
    <m/>
    <m/>
    <m/>
    <m/>
    <d v="1899-12-30T00:00:00"/>
    <d v="2014-12-31T11:11:38"/>
    <m/>
    <m/>
    <d v="1899-12-30T00:00:00"/>
    <d v="1899-12-30T00:00:00"/>
    <d v="1899-12-30T00:00:00"/>
    <s v=""/>
    <s v="Company1476042002"/>
    <x v="9"/>
    <x v="24"/>
  </r>
  <r>
    <n v="9370"/>
    <x v="1"/>
    <m/>
    <n v="514"/>
    <s v="Location3"/>
    <d v="2014-12-29T00:00:00"/>
    <x v="0"/>
    <s v="760"/>
    <d v="1899-12-30T00:00:00"/>
    <m/>
    <m/>
    <m/>
    <m/>
    <m/>
    <d v="1899-12-30T00:00:00"/>
    <d v="2014-12-31T11:13:05"/>
    <m/>
    <m/>
    <d v="1899-12-30T00:00:00"/>
    <d v="1899-12-30T00:00:00"/>
    <d v="1899-12-30T00:00:00"/>
    <s v=""/>
    <s v="Company1476042002"/>
    <x v="9"/>
    <x v="24"/>
  </r>
  <r>
    <n v="9371"/>
    <x v="1"/>
    <m/>
    <n v="1402"/>
    <s v="Location3"/>
    <d v="2014-12-29T00:00:00"/>
    <x v="0"/>
    <s v="760"/>
    <d v="1899-12-30T00:00:00"/>
    <m/>
    <m/>
    <m/>
    <m/>
    <m/>
    <d v="1899-12-30T00:00:00"/>
    <d v="2014-12-31T11:15:24"/>
    <m/>
    <m/>
    <d v="1899-12-30T00:00:00"/>
    <d v="1899-12-30T00:00:00"/>
    <d v="1899-12-30T00:00:00"/>
    <s v=""/>
    <s v="Company1476042002"/>
    <x v="9"/>
    <x v="24"/>
  </r>
  <r>
    <n v="9372"/>
    <x v="1"/>
    <m/>
    <n v="1658"/>
    <s v="Location3"/>
    <d v="2014-12-29T00:00:00"/>
    <x v="0"/>
    <s v="760"/>
    <d v="1899-12-30T00:00:00"/>
    <m/>
    <m/>
    <m/>
    <m/>
    <m/>
    <d v="1899-12-30T00:00:00"/>
    <d v="2014-12-31T11:16:51"/>
    <m/>
    <m/>
    <d v="1899-12-30T00:00:00"/>
    <d v="1899-12-30T00:00:00"/>
    <d v="1899-12-30T00:00:00"/>
    <s v=""/>
    <s v="Company1476042002"/>
    <x v="9"/>
    <x v="24"/>
  </r>
  <r>
    <n v="9373"/>
    <x v="1"/>
    <m/>
    <n v="454"/>
    <s v="Location3"/>
    <d v="2014-12-29T00:00:00"/>
    <x v="0"/>
    <s v="760"/>
    <d v="1899-12-30T00:00:00"/>
    <m/>
    <m/>
    <m/>
    <m/>
    <m/>
    <d v="1899-12-30T00:00:00"/>
    <d v="2014-12-31T11:18:06"/>
    <m/>
    <m/>
    <d v="1899-12-30T00:00:00"/>
    <d v="1899-12-30T00:00:00"/>
    <d v="1899-12-30T00:00:00"/>
    <s v=""/>
    <s v="Company1476042002"/>
    <x v="9"/>
    <x v="24"/>
  </r>
  <r>
    <n v="9374"/>
    <x v="3"/>
    <m/>
    <n v="124"/>
    <s v="Location3"/>
    <d v="2014-12-29T00:00:00"/>
    <x v="0"/>
    <s v="760"/>
    <d v="1899-12-30T00:00:00"/>
    <m/>
    <m/>
    <m/>
    <m/>
    <m/>
    <d v="1899-12-30T00:00:00"/>
    <d v="2014-12-31T11:22:31"/>
    <m/>
    <m/>
    <d v="1899-12-30T00:00:00"/>
    <d v="1899-12-30T00:00:00"/>
    <d v="1899-12-30T00:00:00"/>
    <s v=""/>
    <s v="Company1476042002"/>
    <x v="9"/>
    <x v="24"/>
  </r>
  <r>
    <n v="9375"/>
    <x v="3"/>
    <m/>
    <n v="110"/>
    <s v="Location3"/>
    <d v="2014-12-29T00:00:00"/>
    <x v="0"/>
    <s v="760"/>
    <d v="1899-12-30T00:00:00"/>
    <m/>
    <m/>
    <m/>
    <m/>
    <m/>
    <d v="1899-12-30T00:00:00"/>
    <d v="2014-12-31T11:23:45"/>
    <m/>
    <m/>
    <d v="1899-12-30T00:00:00"/>
    <d v="1899-12-30T00:00:00"/>
    <d v="1899-12-30T00:00:00"/>
    <s v=""/>
    <s v="Company1476042002"/>
    <x v="9"/>
    <x v="24"/>
  </r>
  <r>
    <n v="9376"/>
    <x v="3"/>
    <m/>
    <n v="126"/>
    <s v="Location3"/>
    <d v="2014-12-29T00:00:00"/>
    <x v="0"/>
    <s v="760"/>
    <d v="1899-12-30T00:00:00"/>
    <m/>
    <m/>
    <m/>
    <m/>
    <m/>
    <d v="1899-12-30T00:00:00"/>
    <d v="2014-12-31T11:29:41"/>
    <m/>
    <m/>
    <d v="1899-12-30T00:00:00"/>
    <d v="1899-12-30T00:00:00"/>
    <d v="1899-12-30T00:00:00"/>
    <s v=""/>
    <s v="Company1476042002"/>
    <x v="9"/>
    <x v="24"/>
  </r>
  <r>
    <n v="9377"/>
    <x v="2"/>
    <m/>
    <n v="30"/>
    <s v="Location3"/>
    <d v="2014-12-29T00:00:00"/>
    <x v="0"/>
    <s v="760"/>
    <d v="1899-12-30T00:00:00"/>
    <m/>
    <m/>
    <m/>
    <m/>
    <m/>
    <d v="1899-12-30T00:00:00"/>
    <d v="2014-12-31T11:37:08"/>
    <m/>
    <m/>
    <d v="1899-12-30T00:00:00"/>
    <d v="1899-12-30T00:00:00"/>
    <d v="1899-12-30T00:00:00"/>
    <s v=""/>
    <s v="Company1476042002"/>
    <x v="9"/>
    <x v="24"/>
  </r>
  <r>
    <n v="9434"/>
    <x v="3"/>
    <m/>
    <n v="164"/>
    <s v="Location3"/>
    <d v="2015-01-07T00:00:00"/>
    <x v="0"/>
    <s v="192"/>
    <d v="1899-12-30T00:00:00"/>
    <m/>
    <m/>
    <m/>
    <m/>
    <m/>
    <d v="1899-12-30T00:00:00"/>
    <d v="2015-01-19T12:43:06"/>
    <m/>
    <m/>
    <d v="1899-12-30T00:00:00"/>
    <d v="1899-12-30T00:00:00"/>
    <d v="1899-12-30T00:00:00"/>
    <d v="1899-12-31T00:00:00"/>
    <s v="Company1419242011"/>
    <x v="10"/>
    <x v="25"/>
  </r>
  <r>
    <n v="9435"/>
    <x v="3"/>
    <m/>
    <n v="140"/>
    <s v="Location3"/>
    <d v="2015-01-07T00:00:00"/>
    <x v="0"/>
    <s v="192"/>
    <d v="1899-12-30T00:00:00"/>
    <m/>
    <m/>
    <m/>
    <m/>
    <m/>
    <d v="1899-12-30T00:00:00"/>
    <d v="2015-01-19T12:43:11"/>
    <m/>
    <m/>
    <d v="1899-12-30T00:00:00"/>
    <d v="1899-12-30T00:00:00"/>
    <d v="1899-12-30T00:00:00"/>
    <s v=""/>
    <s v="Company1419242011"/>
    <x v="10"/>
    <x v="25"/>
  </r>
  <r>
    <n v="9436"/>
    <x v="3"/>
    <m/>
    <n v="100"/>
    <s v="Location3"/>
    <d v="2015-01-07T00:00:00"/>
    <x v="0"/>
    <s v="192"/>
    <d v="1899-12-30T00:00:00"/>
    <m/>
    <m/>
    <m/>
    <m/>
    <m/>
    <d v="1899-12-30T00:00:00"/>
    <d v="2015-01-19T12:43:15"/>
    <m/>
    <m/>
    <d v="1899-12-30T00:00:00"/>
    <d v="1899-12-30T00:00:00"/>
    <d v="1899-12-30T00:00:00"/>
    <s v=""/>
    <s v="Company1419242011"/>
    <x v="10"/>
    <x v="25"/>
  </r>
  <r>
    <n v="9437"/>
    <x v="3"/>
    <m/>
    <n v="126"/>
    <s v="Location3"/>
    <d v="2015-01-07T00:00:00"/>
    <x v="0"/>
    <s v="192"/>
    <d v="1899-12-30T00:00:00"/>
    <m/>
    <m/>
    <m/>
    <m/>
    <m/>
    <d v="1899-12-30T00:00:00"/>
    <d v="2015-01-19T12:43:21"/>
    <m/>
    <m/>
    <d v="1899-12-30T00:00:00"/>
    <d v="1899-12-30T00:00:00"/>
    <d v="1899-12-30T00:00:00"/>
    <s v=""/>
    <s v="Company1419242011"/>
    <x v="10"/>
    <x v="25"/>
  </r>
  <r>
    <n v="9438"/>
    <x v="6"/>
    <m/>
    <n v="368"/>
    <s v="Location3"/>
    <d v="2015-01-07T00:00:00"/>
    <x v="0"/>
    <s v="192"/>
    <d v="1899-12-30T00:00:00"/>
    <m/>
    <m/>
    <m/>
    <m/>
    <m/>
    <d v="1899-12-30T00:00:00"/>
    <d v="2015-01-19T12:43:38"/>
    <m/>
    <m/>
    <d v="1899-12-30T00:00:00"/>
    <d v="1899-12-30T00:00:00"/>
    <d v="1899-12-30T00:00:00"/>
    <s v=""/>
    <s v="Company1419242011"/>
    <x v="10"/>
    <x v="25"/>
  </r>
  <r>
    <n v="9439"/>
    <x v="15"/>
    <m/>
    <n v="470"/>
    <s v="Location3"/>
    <d v="2015-01-07T00:00:00"/>
    <x v="0"/>
    <s v="192"/>
    <d v="1899-12-30T00:00:00"/>
    <m/>
    <m/>
    <m/>
    <m/>
    <m/>
    <d v="1899-12-30T00:00:00"/>
    <d v="2015-01-19T12:44:00"/>
    <m/>
    <m/>
    <d v="1899-12-30T00:00:00"/>
    <d v="1899-12-30T00:00:00"/>
    <d v="1899-12-30T00:00:00"/>
    <s v=""/>
    <s v="Company1419242011"/>
    <x v="10"/>
    <x v="25"/>
  </r>
  <r>
    <n v="9440"/>
    <x v="15"/>
    <m/>
    <n v="476"/>
    <s v="Location3"/>
    <d v="2015-01-07T00:00:00"/>
    <x v="0"/>
    <s v="192"/>
    <d v="1899-12-30T00:00:00"/>
    <m/>
    <m/>
    <m/>
    <m/>
    <m/>
    <d v="1899-12-30T00:00:00"/>
    <d v="2015-01-19T12:44:08"/>
    <m/>
    <m/>
    <d v="1899-12-30T00:00:00"/>
    <d v="1899-12-30T00:00:00"/>
    <d v="1899-12-30T00:00:00"/>
    <s v=""/>
    <s v="Company1419242011"/>
    <x v="10"/>
    <x v="25"/>
  </r>
  <r>
    <n v="9441"/>
    <x v="15"/>
    <m/>
    <n v="468"/>
    <s v="Location3"/>
    <d v="2015-01-07T00:00:00"/>
    <x v="0"/>
    <s v="192"/>
    <d v="1899-12-30T00:00:00"/>
    <m/>
    <m/>
    <m/>
    <m/>
    <m/>
    <d v="1899-12-30T00:00:00"/>
    <d v="2015-01-19T12:44:13"/>
    <m/>
    <m/>
    <d v="1899-12-30T00:00:00"/>
    <d v="1899-12-30T00:00:00"/>
    <d v="1899-12-30T00:00:00"/>
    <s v=""/>
    <s v="Company1419242011"/>
    <x v="10"/>
    <x v="25"/>
  </r>
  <r>
    <n v="9442"/>
    <x v="15"/>
    <m/>
    <n v="470"/>
    <s v="Location3"/>
    <d v="2015-01-07T00:00:00"/>
    <x v="0"/>
    <s v="192"/>
    <d v="1899-12-30T00:00:00"/>
    <m/>
    <m/>
    <m/>
    <m/>
    <m/>
    <d v="1899-12-30T00:00:00"/>
    <d v="2015-01-19T12:44:22"/>
    <m/>
    <m/>
    <d v="1899-12-30T00:00:00"/>
    <d v="1899-12-30T00:00:00"/>
    <d v="1899-12-30T00:00:00"/>
    <s v=""/>
    <s v="Company1419242011"/>
    <x v="10"/>
    <x v="25"/>
  </r>
  <r>
    <n v="9443"/>
    <x v="15"/>
    <m/>
    <n v="472"/>
    <s v="Location3"/>
    <d v="2015-01-07T00:00:00"/>
    <x v="0"/>
    <s v="192"/>
    <d v="1899-12-30T00:00:00"/>
    <m/>
    <m/>
    <m/>
    <m/>
    <m/>
    <d v="1899-12-30T00:00:00"/>
    <d v="2015-01-19T12:44:29"/>
    <m/>
    <m/>
    <d v="1899-12-30T00:00:00"/>
    <d v="1899-12-30T00:00:00"/>
    <d v="1899-12-30T00:00:00"/>
    <s v=""/>
    <s v="Company1419242011"/>
    <x v="10"/>
    <x v="25"/>
  </r>
  <r>
    <n v="9444"/>
    <x v="15"/>
    <m/>
    <n v="460"/>
    <s v="Location3"/>
    <d v="2015-01-07T00:00:00"/>
    <x v="0"/>
    <s v="192"/>
    <d v="1899-12-30T00:00:00"/>
    <m/>
    <m/>
    <m/>
    <m/>
    <m/>
    <d v="1899-12-30T00:00:00"/>
    <d v="2015-01-19T12:44:35"/>
    <m/>
    <m/>
    <d v="1899-12-30T00:00:00"/>
    <d v="1899-12-30T00:00:00"/>
    <d v="1899-12-30T00:00:00"/>
    <s v=""/>
    <s v="Company1419242011"/>
    <x v="10"/>
    <x v="25"/>
  </r>
  <r>
    <n v="9445"/>
    <x v="15"/>
    <m/>
    <n v="466"/>
    <s v="Location3"/>
    <d v="2015-01-07T00:00:00"/>
    <x v="0"/>
    <s v="192"/>
    <d v="1899-12-30T00:00:00"/>
    <m/>
    <m/>
    <m/>
    <m/>
    <m/>
    <d v="1899-12-30T00:00:00"/>
    <d v="2015-01-19T12:44:39"/>
    <m/>
    <m/>
    <d v="1899-12-30T00:00:00"/>
    <d v="1899-12-30T00:00:00"/>
    <d v="1899-12-30T00:00:00"/>
    <s v=""/>
    <s v="Company1419242011"/>
    <x v="10"/>
    <x v="25"/>
  </r>
  <r>
    <n v="9446"/>
    <x v="15"/>
    <m/>
    <n v="474"/>
    <s v="Location3"/>
    <d v="2015-01-07T00:00:00"/>
    <x v="0"/>
    <s v="192"/>
    <d v="1899-12-30T00:00:00"/>
    <m/>
    <m/>
    <m/>
    <m/>
    <m/>
    <d v="1899-12-30T00:00:00"/>
    <d v="2015-01-19T12:44:45"/>
    <m/>
    <m/>
    <d v="1899-12-30T00:00:00"/>
    <d v="1899-12-30T00:00:00"/>
    <d v="1899-12-30T00:00:00"/>
    <s v=""/>
    <s v="Company1419242011"/>
    <x v="10"/>
    <x v="25"/>
  </r>
  <r>
    <n v="9447"/>
    <x v="15"/>
    <m/>
    <n v="468"/>
    <s v="Location3"/>
    <d v="2015-01-07T00:00:00"/>
    <x v="0"/>
    <s v="192"/>
    <d v="1899-12-30T00:00:00"/>
    <m/>
    <m/>
    <m/>
    <m/>
    <m/>
    <d v="1899-12-30T00:00:00"/>
    <d v="2015-01-19T12:44:49"/>
    <m/>
    <m/>
    <d v="1899-12-30T00:00:00"/>
    <d v="1899-12-30T00:00:00"/>
    <d v="1899-12-30T00:00:00"/>
    <s v=""/>
    <s v="Company1419242011"/>
    <x v="10"/>
    <x v="25"/>
  </r>
  <r>
    <n v="9448"/>
    <x v="15"/>
    <m/>
    <n v="470"/>
    <s v="Location3"/>
    <d v="2015-01-07T00:00:00"/>
    <x v="0"/>
    <s v="192"/>
    <d v="1899-12-30T00:00:00"/>
    <m/>
    <m/>
    <m/>
    <m/>
    <m/>
    <d v="1899-12-30T00:00:00"/>
    <d v="2015-01-19T12:44:56"/>
    <m/>
    <m/>
    <d v="1899-12-30T00:00:00"/>
    <d v="1899-12-30T00:00:00"/>
    <d v="1899-12-30T00:00:00"/>
    <s v=""/>
    <s v="Company1419242011"/>
    <x v="10"/>
    <x v="25"/>
  </r>
  <r>
    <n v="9449"/>
    <x v="15"/>
    <m/>
    <n v="444"/>
    <s v="Location3"/>
    <d v="2015-01-07T00:00:00"/>
    <x v="0"/>
    <s v="192"/>
    <d v="1899-12-30T00:00:00"/>
    <m/>
    <m/>
    <m/>
    <m/>
    <m/>
    <d v="1899-12-30T00:00:00"/>
    <d v="2015-01-19T12:44:59"/>
    <m/>
    <m/>
    <d v="1899-12-30T00:00:00"/>
    <d v="1899-12-30T00:00:00"/>
    <d v="1899-12-30T00:00:00"/>
    <s v=""/>
    <s v="Company1419242011"/>
    <x v="10"/>
    <x v="25"/>
  </r>
  <r>
    <n v="9450"/>
    <x v="16"/>
    <m/>
    <n v="370"/>
    <s v="Location3"/>
    <d v="2015-01-07T00:00:00"/>
    <x v="0"/>
    <s v="192"/>
    <d v="1899-12-30T00:00:00"/>
    <m/>
    <m/>
    <m/>
    <m/>
    <m/>
    <d v="1899-12-30T00:00:00"/>
    <d v="2015-01-19T12:45:20"/>
    <m/>
    <m/>
    <d v="1899-12-30T00:00:00"/>
    <d v="1899-12-30T00:00:00"/>
    <d v="1899-12-30T00:00:00"/>
    <s v=""/>
    <s v="Company1419242011"/>
    <x v="10"/>
    <x v="25"/>
  </r>
  <r>
    <n v="9451"/>
    <x v="16"/>
    <m/>
    <n v="456"/>
    <s v="Location3"/>
    <d v="2015-01-07T00:00:00"/>
    <x v="0"/>
    <s v="192"/>
    <d v="1899-12-30T00:00:00"/>
    <m/>
    <m/>
    <m/>
    <m/>
    <m/>
    <d v="1899-12-30T00:00:00"/>
    <d v="2015-01-19T12:45:24"/>
    <m/>
    <m/>
    <d v="1899-12-30T00:00:00"/>
    <d v="1899-12-30T00:00:00"/>
    <d v="1899-12-30T00:00:00"/>
    <s v=""/>
    <s v="Company1419242011"/>
    <x v="10"/>
    <x v="25"/>
  </r>
  <r>
    <n v="9452"/>
    <x v="16"/>
    <m/>
    <n v="432"/>
    <s v="Location3"/>
    <d v="2015-01-07T00:00:00"/>
    <x v="0"/>
    <s v="192"/>
    <d v="1899-12-30T00:00:00"/>
    <m/>
    <m/>
    <m/>
    <m/>
    <m/>
    <d v="1899-12-30T00:00:00"/>
    <d v="2015-01-19T12:45:29"/>
    <m/>
    <m/>
    <d v="1899-12-30T00:00:00"/>
    <d v="1899-12-30T00:00:00"/>
    <d v="1899-12-30T00:00:00"/>
    <s v=""/>
    <s v="Company1419242011"/>
    <x v="10"/>
    <x v="25"/>
  </r>
  <r>
    <n v="9783"/>
    <x v="3"/>
    <m/>
    <n v="164"/>
    <s v="Location3"/>
    <d v="2015-01-07T00:00:00"/>
    <x v="0"/>
    <s v="192"/>
    <d v="1899-12-30T00:00:00"/>
    <m/>
    <m/>
    <m/>
    <m/>
    <m/>
    <d v="1899-12-30T00:00:00"/>
    <d v="2015-02-03T08:20:24"/>
    <m/>
    <m/>
    <d v="1899-12-30T00:00:00"/>
    <d v="1899-12-30T00:00:00"/>
    <d v="1899-12-30T00:00:00"/>
    <s v=""/>
    <s v="Company1419242011"/>
    <x v="10"/>
    <x v="25"/>
  </r>
  <r>
    <n v="9784"/>
    <x v="3"/>
    <m/>
    <n v="140"/>
    <s v="Location3"/>
    <d v="2015-01-07T00:00:00"/>
    <x v="0"/>
    <s v="192"/>
    <d v="1899-12-30T00:00:00"/>
    <m/>
    <m/>
    <m/>
    <m/>
    <m/>
    <d v="1899-12-30T00:00:00"/>
    <d v="2015-02-03T08:20:31"/>
    <m/>
    <m/>
    <d v="1899-12-30T00:00:00"/>
    <d v="1899-12-30T00:00:00"/>
    <d v="1899-12-30T00:00:00"/>
    <s v=""/>
    <s v="Company1419242011"/>
    <x v="10"/>
    <x v="25"/>
  </r>
  <r>
    <n v="9785"/>
    <x v="3"/>
    <m/>
    <n v="100"/>
    <s v="Location3"/>
    <d v="2015-01-07T00:00:00"/>
    <x v="0"/>
    <s v="192"/>
    <d v="1899-12-30T00:00:00"/>
    <m/>
    <m/>
    <m/>
    <m/>
    <m/>
    <d v="1899-12-30T00:00:00"/>
    <d v="2015-02-03T08:20:38"/>
    <m/>
    <m/>
    <d v="1899-12-30T00:00:00"/>
    <d v="1899-12-30T00:00:00"/>
    <d v="1899-12-30T00:00:00"/>
    <s v=""/>
    <s v="Company1419242011"/>
    <x v="10"/>
    <x v="25"/>
  </r>
  <r>
    <n v="9786"/>
    <x v="3"/>
    <m/>
    <n v="126"/>
    <s v="Location3"/>
    <d v="2015-01-07T00:00:00"/>
    <x v="0"/>
    <s v="192"/>
    <d v="1899-12-30T00:00:00"/>
    <m/>
    <m/>
    <m/>
    <m/>
    <m/>
    <d v="1899-12-30T00:00:00"/>
    <d v="2015-02-03T08:20:44"/>
    <m/>
    <m/>
    <d v="1899-12-30T00:00:00"/>
    <d v="1899-12-30T00:00:00"/>
    <d v="1899-12-30T00:00:00"/>
    <s v=""/>
    <s v="Company1419242011"/>
    <x v="10"/>
    <x v="25"/>
  </r>
  <r>
    <n v="9787"/>
    <x v="1"/>
    <m/>
    <n v="368"/>
    <s v="Location3"/>
    <d v="2015-01-07T00:00:00"/>
    <x v="0"/>
    <s v="192"/>
    <d v="1899-12-30T00:00:00"/>
    <m/>
    <m/>
    <m/>
    <m/>
    <m/>
    <d v="1899-12-30T00:00:00"/>
    <d v="2015-02-03T08:21:07"/>
    <m/>
    <m/>
    <d v="1899-12-30T00:00:00"/>
    <d v="1899-12-30T00:00:00"/>
    <d v="1899-12-30T00:00:00"/>
    <s v=""/>
    <s v="Company1419242011"/>
    <x v="10"/>
    <x v="25"/>
  </r>
  <r>
    <n v="9788"/>
    <x v="15"/>
    <m/>
    <n v="470"/>
    <s v="Location3"/>
    <d v="2015-01-07T00:00:00"/>
    <x v="0"/>
    <s v="192"/>
    <d v="1899-12-30T00:00:00"/>
    <m/>
    <m/>
    <m/>
    <m/>
    <m/>
    <d v="1899-12-30T00:00:00"/>
    <d v="2015-02-03T08:21:46"/>
    <m/>
    <m/>
    <d v="1899-12-30T00:00:00"/>
    <d v="1899-12-30T00:00:00"/>
    <d v="1899-12-30T00:00:00"/>
    <s v=""/>
    <s v="Company1419242011"/>
    <x v="10"/>
    <x v="25"/>
  </r>
  <r>
    <n v="9789"/>
    <x v="15"/>
    <m/>
    <n v="476"/>
    <s v="Location3"/>
    <d v="2015-01-07T00:00:00"/>
    <x v="0"/>
    <s v="192"/>
    <d v="1899-12-30T00:00:00"/>
    <m/>
    <m/>
    <m/>
    <m/>
    <m/>
    <d v="1899-12-30T00:00:00"/>
    <d v="2015-02-03T08:21:55"/>
    <m/>
    <m/>
    <d v="1899-12-30T00:00:00"/>
    <d v="1899-12-30T00:00:00"/>
    <d v="1899-12-30T00:00:00"/>
    <s v=""/>
    <s v="Company1419242011"/>
    <x v="10"/>
    <x v="25"/>
  </r>
  <r>
    <n v="9790"/>
    <x v="15"/>
    <m/>
    <n v="468"/>
    <s v="Location3"/>
    <d v="2015-01-07T00:00:00"/>
    <x v="0"/>
    <s v="192"/>
    <d v="1899-12-30T00:00:00"/>
    <m/>
    <m/>
    <m/>
    <m/>
    <m/>
    <d v="1899-12-30T00:00:00"/>
    <d v="2015-02-03T08:22:01"/>
    <m/>
    <m/>
    <d v="1899-12-30T00:00:00"/>
    <d v="1899-12-30T00:00:00"/>
    <d v="1899-12-30T00:00:00"/>
    <s v=""/>
    <s v="Company1419242011"/>
    <x v="10"/>
    <x v="25"/>
  </r>
  <r>
    <n v="9791"/>
    <x v="15"/>
    <m/>
    <n v="470"/>
    <s v="Location3"/>
    <d v="2015-01-07T00:00:00"/>
    <x v="0"/>
    <s v="192"/>
    <d v="1899-12-30T00:00:00"/>
    <m/>
    <m/>
    <m/>
    <m/>
    <m/>
    <d v="1899-12-30T00:00:00"/>
    <d v="2015-02-03T08:22:15"/>
    <m/>
    <m/>
    <d v="1899-12-30T00:00:00"/>
    <d v="1899-12-30T00:00:00"/>
    <d v="1899-12-30T00:00:00"/>
    <s v=""/>
    <s v="Company1419242011"/>
    <x v="10"/>
    <x v="25"/>
  </r>
  <r>
    <n v="9792"/>
    <x v="15"/>
    <m/>
    <n v="472"/>
    <s v="Location3"/>
    <d v="2015-01-07T00:00:00"/>
    <x v="0"/>
    <s v="192"/>
    <d v="1899-12-30T00:00:00"/>
    <m/>
    <m/>
    <m/>
    <m/>
    <m/>
    <d v="1899-12-30T00:00:00"/>
    <d v="2015-02-03T08:22:22"/>
    <m/>
    <m/>
    <d v="1899-12-30T00:00:00"/>
    <d v="1899-12-30T00:00:00"/>
    <d v="1899-12-30T00:00:00"/>
    <s v=""/>
    <s v="Company1419242011"/>
    <x v="10"/>
    <x v="25"/>
  </r>
  <r>
    <n v="9793"/>
    <x v="15"/>
    <m/>
    <n v="460"/>
    <s v="Location3"/>
    <d v="2015-01-07T00:00:00"/>
    <x v="0"/>
    <s v="192"/>
    <d v="1899-12-30T00:00:00"/>
    <m/>
    <m/>
    <m/>
    <m/>
    <m/>
    <d v="1899-12-30T00:00:00"/>
    <d v="2015-02-03T08:22:30"/>
    <m/>
    <m/>
    <d v="1899-12-30T00:00:00"/>
    <d v="1899-12-30T00:00:00"/>
    <d v="1899-12-30T00:00:00"/>
    <s v=""/>
    <s v="Company1419242011"/>
    <x v="10"/>
    <x v="25"/>
  </r>
  <r>
    <n v="9794"/>
    <x v="15"/>
    <m/>
    <n v="466"/>
    <s v="Location3"/>
    <d v="2015-01-07T00:00:00"/>
    <x v="0"/>
    <s v="192"/>
    <d v="1899-12-30T00:00:00"/>
    <m/>
    <m/>
    <m/>
    <m/>
    <m/>
    <d v="1899-12-30T00:00:00"/>
    <d v="2015-02-03T08:22:35"/>
    <m/>
    <m/>
    <d v="1899-12-30T00:00:00"/>
    <d v="1899-12-30T00:00:00"/>
    <d v="1899-12-30T00:00:00"/>
    <s v=""/>
    <s v="Company1419242011"/>
    <x v="10"/>
    <x v="25"/>
  </r>
  <r>
    <n v="9795"/>
    <x v="15"/>
    <m/>
    <n v="474"/>
    <s v="Location3"/>
    <d v="2015-01-07T00:00:00"/>
    <x v="0"/>
    <s v="192"/>
    <d v="1899-12-30T00:00:00"/>
    <m/>
    <m/>
    <m/>
    <m/>
    <m/>
    <d v="1899-12-30T00:00:00"/>
    <d v="2015-02-03T08:22:41"/>
    <m/>
    <m/>
    <d v="1899-12-30T00:00:00"/>
    <d v="1899-12-30T00:00:00"/>
    <d v="1899-12-30T00:00:00"/>
    <s v=""/>
    <s v="Company1419242011"/>
    <x v="10"/>
    <x v="25"/>
  </r>
  <r>
    <n v="9796"/>
    <x v="15"/>
    <m/>
    <n v="468"/>
    <s v="Location3"/>
    <d v="2015-01-07T00:00:00"/>
    <x v="0"/>
    <s v="192"/>
    <d v="1899-12-30T00:00:00"/>
    <m/>
    <m/>
    <m/>
    <m/>
    <m/>
    <d v="1899-12-30T00:00:00"/>
    <d v="2015-02-03T08:22:47"/>
    <m/>
    <m/>
    <d v="1899-12-30T00:00:00"/>
    <d v="1899-12-30T00:00:00"/>
    <d v="1899-12-30T00:00:00"/>
    <s v=""/>
    <s v="Company1419242011"/>
    <x v="10"/>
    <x v="25"/>
  </r>
  <r>
    <n v="9797"/>
    <x v="15"/>
    <m/>
    <n v="470"/>
    <s v="Location3"/>
    <d v="2015-01-07T00:00:00"/>
    <x v="0"/>
    <s v="192"/>
    <d v="1899-12-30T00:00:00"/>
    <m/>
    <m/>
    <m/>
    <m/>
    <m/>
    <d v="1899-12-30T00:00:00"/>
    <d v="2015-02-03T08:22:54"/>
    <m/>
    <m/>
    <d v="1899-12-30T00:00:00"/>
    <d v="1899-12-30T00:00:00"/>
    <d v="1899-12-30T00:00:00"/>
    <s v=""/>
    <s v="Company1419242011"/>
    <x v="10"/>
    <x v="25"/>
  </r>
  <r>
    <n v="9798"/>
    <x v="15"/>
    <m/>
    <n v="444"/>
    <s v="Location3"/>
    <d v="2015-01-07T00:00:00"/>
    <x v="0"/>
    <s v="192"/>
    <d v="1899-12-30T00:00:00"/>
    <m/>
    <m/>
    <m/>
    <m/>
    <m/>
    <d v="1899-12-30T00:00:00"/>
    <d v="2015-02-03T08:23:07"/>
    <m/>
    <m/>
    <d v="1899-12-30T00:00:00"/>
    <d v="1899-12-30T00:00:00"/>
    <d v="1899-12-30T00:00:00"/>
    <s v=""/>
    <s v="Company1419242011"/>
    <x v="10"/>
    <x v="25"/>
  </r>
  <r>
    <n v="9799"/>
    <x v="0"/>
    <m/>
    <n v="370"/>
    <s v="Location3"/>
    <d v="2015-01-07T00:00:00"/>
    <x v="0"/>
    <s v="192"/>
    <d v="1899-12-30T00:00:00"/>
    <m/>
    <m/>
    <m/>
    <m/>
    <m/>
    <d v="1899-12-30T00:00:00"/>
    <d v="2015-02-03T08:23:38"/>
    <m/>
    <m/>
    <d v="1899-12-30T00:00:00"/>
    <d v="1899-12-30T00:00:00"/>
    <d v="1899-12-30T00:00:00"/>
    <s v=""/>
    <s v="Company1419242011"/>
    <x v="10"/>
    <x v="25"/>
  </r>
  <r>
    <n v="9800"/>
    <x v="0"/>
    <m/>
    <n v="456"/>
    <s v="Location3"/>
    <d v="2015-01-07T00:00:00"/>
    <x v="0"/>
    <s v="192"/>
    <d v="1899-12-30T00:00:00"/>
    <m/>
    <m/>
    <m/>
    <m/>
    <m/>
    <d v="1899-12-30T00:00:00"/>
    <d v="2015-02-03T08:23:44"/>
    <m/>
    <m/>
    <d v="1899-12-30T00:00:00"/>
    <d v="1899-12-30T00:00:00"/>
    <d v="1899-12-30T00:00:00"/>
    <s v=""/>
    <s v="Company1419242011"/>
    <x v="10"/>
    <x v="25"/>
  </r>
  <r>
    <n v="9801"/>
    <x v="0"/>
    <m/>
    <n v="432"/>
    <s v="Location3"/>
    <d v="2015-01-07T00:00:00"/>
    <x v="0"/>
    <s v="192"/>
    <d v="1899-12-30T00:00:00"/>
    <m/>
    <m/>
    <m/>
    <m/>
    <m/>
    <d v="1899-12-30T00:00:00"/>
    <d v="2015-02-03T08:24:56"/>
    <m/>
    <m/>
    <d v="1899-12-30T00:00:00"/>
    <d v="1899-12-30T00:00:00"/>
    <d v="1899-12-30T00:00:00"/>
    <s v=""/>
    <s v="Company1419242011"/>
    <x v="10"/>
    <x v="25"/>
  </r>
  <r>
    <n v="10523"/>
    <x v="2"/>
    <m/>
    <n v="402"/>
    <s v="Location3"/>
    <d v="2015-03-13T00:00:00"/>
    <x v="0"/>
    <s v="387"/>
    <d v="1899-12-30T00:00:00"/>
    <m/>
    <m/>
    <m/>
    <m/>
    <m/>
    <d v="1899-12-30T00:00:00"/>
    <d v="2015-03-13T11:32:27"/>
    <m/>
    <m/>
    <d v="1899-12-30T00:00:00"/>
    <d v="1899-12-30T00:00:00"/>
    <d v="1899-12-30T00:00:00"/>
    <d v="1899-12-31T00:00:00"/>
    <s v="Company1438742076"/>
    <x v="11"/>
    <x v="26"/>
  </r>
  <r>
    <n v="10524"/>
    <x v="5"/>
    <m/>
    <n v="1012"/>
    <s v="Location3"/>
    <d v="2015-03-13T00:00:00"/>
    <x v="0"/>
    <s v="387"/>
    <d v="1899-12-30T00:00:00"/>
    <m/>
    <m/>
    <m/>
    <m/>
    <m/>
    <d v="1899-12-30T00:00:00"/>
    <d v="2015-03-13T11:38:56"/>
    <m/>
    <m/>
    <d v="1899-12-30T00:00:00"/>
    <d v="1899-12-30T00:00:00"/>
    <d v="1899-12-30T00:00:00"/>
    <s v=""/>
    <s v="Company1438742076"/>
    <x v="11"/>
    <x v="26"/>
  </r>
  <r>
    <n v="10525"/>
    <x v="5"/>
    <m/>
    <n v="995"/>
    <s v="Location3"/>
    <d v="2015-03-13T00:00:00"/>
    <x v="0"/>
    <s v="387"/>
    <d v="1899-12-30T00:00:00"/>
    <m/>
    <m/>
    <m/>
    <m/>
    <m/>
    <d v="1899-12-30T00:00:00"/>
    <d v="2015-03-13T11:42:50"/>
    <m/>
    <m/>
    <d v="1899-12-30T00:00:00"/>
    <d v="1899-12-30T00:00:00"/>
    <d v="1899-12-30T00:00:00"/>
    <s v=""/>
    <s v="Company1438742076"/>
    <x v="11"/>
    <x v="26"/>
  </r>
  <r>
    <n v="10526"/>
    <x v="5"/>
    <m/>
    <n v="1157"/>
    <s v="Location3"/>
    <d v="2015-03-13T00:00:00"/>
    <x v="0"/>
    <s v="387"/>
    <d v="1899-12-30T00:00:00"/>
    <m/>
    <m/>
    <m/>
    <m/>
    <m/>
    <d v="1899-12-30T00:00:00"/>
    <d v="2015-03-13T11:45:29"/>
    <m/>
    <m/>
    <d v="1899-12-30T00:00:00"/>
    <d v="1899-12-30T00:00:00"/>
    <d v="1899-12-30T00:00:00"/>
    <s v=""/>
    <s v="Company1438742076"/>
    <x v="11"/>
    <x v="26"/>
  </r>
  <r>
    <n v="10527"/>
    <x v="5"/>
    <m/>
    <n v="1135"/>
    <s v="Location3"/>
    <d v="2015-03-13T00:00:00"/>
    <x v="0"/>
    <s v="387"/>
    <d v="1899-12-30T00:00:00"/>
    <m/>
    <m/>
    <m/>
    <m/>
    <m/>
    <d v="1899-12-30T00:00:00"/>
    <d v="2015-03-13T11:50:44"/>
    <m/>
    <m/>
    <d v="1899-12-30T00:00:00"/>
    <d v="1899-12-30T00:00:00"/>
    <d v="1899-12-30T00:00:00"/>
    <s v=""/>
    <s v="Company1438742076"/>
    <x v="11"/>
    <x v="26"/>
  </r>
  <r>
    <n v="10528"/>
    <x v="5"/>
    <m/>
    <n v="1076"/>
    <s v="Location3"/>
    <d v="2015-03-13T00:00:00"/>
    <x v="0"/>
    <s v="387"/>
    <d v="1899-12-30T00:00:00"/>
    <m/>
    <m/>
    <m/>
    <m/>
    <m/>
    <d v="1899-12-30T00:00:00"/>
    <d v="2015-03-13T11:53:58"/>
    <m/>
    <m/>
    <d v="1899-12-30T00:00:00"/>
    <d v="1899-12-30T00:00:00"/>
    <d v="1899-12-30T00:00:00"/>
    <s v=""/>
    <s v="Company1438742076"/>
    <x v="11"/>
    <x v="26"/>
  </r>
  <r>
    <n v="10529"/>
    <x v="5"/>
    <m/>
    <n v="905"/>
    <s v="Location3"/>
    <d v="2015-03-13T00:00:00"/>
    <x v="0"/>
    <s v="387"/>
    <d v="1899-12-30T00:00:00"/>
    <m/>
    <m/>
    <m/>
    <m/>
    <m/>
    <d v="1899-12-30T00:00:00"/>
    <d v="2015-03-13T11:57:05"/>
    <m/>
    <m/>
    <d v="1899-12-30T00:00:00"/>
    <d v="1899-12-30T00:00:00"/>
    <d v="1899-12-30T00:00:00"/>
    <s v=""/>
    <s v="Company1438742076"/>
    <x v="11"/>
    <x v="26"/>
  </r>
  <r>
    <n v="10530"/>
    <x v="5"/>
    <m/>
    <n v="1062"/>
    <s v="Location3"/>
    <d v="2015-03-13T00:00:00"/>
    <x v="0"/>
    <s v="387"/>
    <d v="1899-12-30T00:00:00"/>
    <m/>
    <m/>
    <m/>
    <m/>
    <m/>
    <d v="1899-12-30T00:00:00"/>
    <d v="2015-03-13T11:59:36"/>
    <m/>
    <m/>
    <d v="1899-12-30T00:00:00"/>
    <d v="1899-12-30T00:00:00"/>
    <d v="1899-12-30T00:00:00"/>
    <s v=""/>
    <s v="Company1438742076"/>
    <x v="11"/>
    <x v="26"/>
  </r>
  <r>
    <n v="10531"/>
    <x v="5"/>
    <m/>
    <n v="1058"/>
    <s v="Location3"/>
    <d v="2015-03-13T00:00:00"/>
    <x v="0"/>
    <s v="387"/>
    <d v="1899-12-30T00:00:00"/>
    <m/>
    <m/>
    <m/>
    <m/>
    <m/>
    <d v="1899-12-30T00:00:00"/>
    <d v="2015-03-13T12:02:15"/>
    <m/>
    <m/>
    <d v="1899-12-30T00:00:00"/>
    <d v="1899-12-30T00:00:00"/>
    <d v="1899-12-30T00:00:00"/>
    <s v=""/>
    <s v="Company1438742076"/>
    <x v="11"/>
    <x v="26"/>
  </r>
  <r>
    <n v="10532"/>
    <x v="11"/>
    <m/>
    <n v="119"/>
    <s v="Location3"/>
    <d v="2015-03-13T00:00:00"/>
    <x v="0"/>
    <s v="387"/>
    <d v="1899-12-30T00:00:00"/>
    <m/>
    <m/>
    <m/>
    <m/>
    <m/>
    <d v="1899-12-30T00:00:00"/>
    <d v="2015-03-13T12:37:43"/>
    <m/>
    <m/>
    <d v="1899-12-30T00:00:00"/>
    <d v="1899-12-30T00:00:00"/>
    <d v="1899-12-30T00:00:00"/>
    <s v=""/>
    <s v="Company1438742076"/>
    <x v="11"/>
    <x v="26"/>
  </r>
  <r>
    <n v="10534"/>
    <x v="3"/>
    <m/>
    <n v="197"/>
    <s v="Location3"/>
    <d v="2015-03-13T00:00:00"/>
    <x v="0"/>
    <s v="387"/>
    <d v="1899-12-30T00:00:00"/>
    <m/>
    <m/>
    <m/>
    <m/>
    <m/>
    <d v="1899-12-30T00:00:00"/>
    <d v="2015-03-13T12:42:48"/>
    <m/>
    <m/>
    <d v="1899-12-30T00:00:00"/>
    <d v="1899-12-30T00:00:00"/>
    <d v="1899-12-30T00:00:00"/>
    <s v=""/>
    <s v="Company1438742076"/>
    <x v="11"/>
    <x v="26"/>
  </r>
  <r>
    <n v="10535"/>
    <x v="4"/>
    <m/>
    <n v="100"/>
    <s v="Location3"/>
    <d v="2015-03-13T00:00:00"/>
    <x v="0"/>
    <s v="387"/>
    <d v="1899-12-30T00:00:00"/>
    <m/>
    <m/>
    <m/>
    <m/>
    <m/>
    <d v="1899-12-30T00:00:00"/>
    <d v="2015-03-13T12:46:00"/>
    <m/>
    <m/>
    <d v="1899-12-30T00:00:00"/>
    <d v="1899-12-30T00:00:00"/>
    <d v="1899-12-30T00:00:00"/>
    <s v=""/>
    <s v="Company1438742076"/>
    <x v="11"/>
    <x v="26"/>
  </r>
  <r>
    <n v="10537"/>
    <x v="6"/>
    <m/>
    <n v="318"/>
    <s v="Location3"/>
    <d v="2015-03-13T00:00:00"/>
    <x v="0"/>
    <s v="387"/>
    <d v="1899-12-30T00:00:00"/>
    <m/>
    <m/>
    <m/>
    <m/>
    <m/>
    <d v="1899-12-30T00:00:00"/>
    <d v="2015-03-13T12:51:52"/>
    <m/>
    <m/>
    <d v="1899-12-30T00:00:00"/>
    <d v="1899-12-30T00:00:00"/>
    <d v="1899-12-30T00:00:00"/>
    <s v=""/>
    <s v="Company1438742076"/>
    <x v="11"/>
    <x v="26"/>
  </r>
  <r>
    <n v="10538"/>
    <x v="6"/>
    <m/>
    <n v="529"/>
    <s v="Location3"/>
    <d v="2015-03-13T00:00:00"/>
    <x v="0"/>
    <s v="387"/>
    <d v="1899-12-30T00:00:00"/>
    <m/>
    <m/>
    <m/>
    <m/>
    <m/>
    <d v="1899-12-30T00:00:00"/>
    <d v="2015-03-13T13:04:57"/>
    <m/>
    <m/>
    <d v="1899-12-30T00:00:00"/>
    <d v="1899-12-30T00:00:00"/>
    <d v="1899-12-30T00:00:00"/>
    <s v=""/>
    <s v="Company1438742076"/>
    <x v="11"/>
    <x v="26"/>
  </r>
  <r>
    <n v="10539"/>
    <x v="3"/>
    <m/>
    <n v="84"/>
    <s v="Location3"/>
    <d v="2015-03-13T00:00:00"/>
    <x v="0"/>
    <s v="387"/>
    <d v="1899-12-30T00:00:00"/>
    <m/>
    <m/>
    <m/>
    <m/>
    <m/>
    <d v="1899-12-30T00:00:00"/>
    <d v="2015-03-13T13:13:13"/>
    <m/>
    <m/>
    <d v="1899-12-30T00:00:00"/>
    <d v="1899-12-30T00:00:00"/>
    <d v="1899-12-30T00:00:00"/>
    <s v=""/>
    <s v="Company1438742076"/>
    <x v="11"/>
    <x v="26"/>
  </r>
  <r>
    <n v="10540"/>
    <x v="6"/>
    <m/>
    <n v="272"/>
    <s v="Location3"/>
    <d v="2015-03-13T00:00:00"/>
    <x v="0"/>
    <s v="387"/>
    <d v="1899-12-30T00:00:00"/>
    <m/>
    <m/>
    <m/>
    <m/>
    <m/>
    <d v="1899-12-30T00:00:00"/>
    <d v="2015-03-13T13:16:54"/>
    <m/>
    <m/>
    <d v="1899-12-30T00:00:00"/>
    <d v="1899-12-30T00:00:00"/>
    <d v="1899-12-30T00:00:00"/>
    <s v=""/>
    <s v="Company1438742076"/>
    <x v="11"/>
    <x v="26"/>
  </r>
  <r>
    <n v="10541"/>
    <x v="6"/>
    <m/>
    <n v="238"/>
    <s v="Location3"/>
    <d v="2015-03-13T00:00:00"/>
    <x v="0"/>
    <s v="387"/>
    <d v="1899-12-30T00:00:00"/>
    <m/>
    <m/>
    <m/>
    <m/>
    <m/>
    <d v="1899-12-30T00:00:00"/>
    <d v="2015-03-13T13:24:07"/>
    <m/>
    <m/>
    <d v="1899-12-30T00:00:00"/>
    <d v="1899-12-30T00:00:00"/>
    <d v="1899-12-30T00:00:00"/>
    <s v=""/>
    <s v="Company1438742076"/>
    <x v="11"/>
    <x v="26"/>
  </r>
  <r>
    <n v="10542"/>
    <x v="3"/>
    <m/>
    <n v="100"/>
    <s v="Location3"/>
    <d v="2015-03-13T00:00:00"/>
    <x v="0"/>
    <s v="387"/>
    <d v="1899-12-30T00:00:00"/>
    <m/>
    <m/>
    <m/>
    <m/>
    <m/>
    <d v="1899-12-30T00:00:00"/>
    <d v="2015-03-13T13:34:41"/>
    <m/>
    <m/>
    <d v="1899-12-30T00:00:00"/>
    <d v="1899-12-30T00:00:00"/>
    <d v="1899-12-30T00:00:00"/>
    <s v=""/>
    <s v="Company1438742076"/>
    <x v="11"/>
    <x v="26"/>
  </r>
  <r>
    <n v="10543"/>
    <x v="3"/>
    <m/>
    <n v="97"/>
    <s v="Location3"/>
    <d v="2015-03-13T00:00:00"/>
    <x v="0"/>
    <s v="387"/>
    <d v="1899-12-30T00:00:00"/>
    <m/>
    <m/>
    <m/>
    <m/>
    <m/>
    <d v="1899-12-30T00:00:00"/>
    <d v="2015-03-13T13:37:37"/>
    <m/>
    <m/>
    <d v="1899-12-30T00:00:00"/>
    <d v="1899-12-30T00:00:00"/>
    <d v="1899-12-30T00:00:00"/>
    <s v=""/>
    <s v="Company1438742076"/>
    <x v="11"/>
    <x v="26"/>
  </r>
  <r>
    <n v="10544"/>
    <x v="6"/>
    <m/>
    <n v="745"/>
    <s v="Location3"/>
    <d v="2015-03-13T00:00:00"/>
    <x v="0"/>
    <s v="387"/>
    <d v="1899-12-30T00:00:00"/>
    <m/>
    <m/>
    <m/>
    <m/>
    <m/>
    <d v="1899-12-30T00:00:00"/>
    <d v="2015-03-13T13:42:28"/>
    <m/>
    <m/>
    <d v="1899-12-30T00:00:00"/>
    <d v="1899-12-30T00:00:00"/>
    <d v="1899-12-30T00:00:00"/>
    <s v=""/>
    <s v="Company1438742076"/>
    <x v="11"/>
    <x v="26"/>
  </r>
  <r>
    <n v="10545"/>
    <x v="4"/>
    <m/>
    <n v="180"/>
    <s v="Location3"/>
    <d v="2015-03-13T00:00:00"/>
    <x v="0"/>
    <s v="387"/>
    <d v="1899-12-30T00:00:00"/>
    <m/>
    <m/>
    <m/>
    <m/>
    <m/>
    <d v="1899-12-30T00:00:00"/>
    <d v="2015-03-13T13:49:11"/>
    <m/>
    <m/>
    <d v="1899-12-30T00:00:00"/>
    <d v="1899-12-30T00:00:00"/>
    <d v="1899-12-30T00:00:00"/>
    <s v=""/>
    <s v="Company1438742076"/>
    <x v="11"/>
    <x v="26"/>
  </r>
  <r>
    <n v="10546"/>
    <x v="6"/>
    <m/>
    <n v="283"/>
    <s v="Location3"/>
    <d v="2015-03-13T00:00:00"/>
    <x v="0"/>
    <s v="387"/>
    <d v="1899-12-30T00:00:00"/>
    <m/>
    <m/>
    <m/>
    <m/>
    <m/>
    <d v="1899-12-30T00:00:00"/>
    <d v="2015-03-13T13:53:38"/>
    <m/>
    <m/>
    <d v="1899-12-30T00:00:00"/>
    <d v="1899-12-30T00:00:00"/>
    <d v="1899-12-30T00:00:00"/>
    <s v=""/>
    <s v="Company1438742076"/>
    <x v="11"/>
    <x v="26"/>
  </r>
  <r>
    <n v="10671"/>
    <x v="6"/>
    <m/>
    <n v="408"/>
    <s v="Location3"/>
    <d v="2015-03-25T00:00:00"/>
    <x v="0"/>
    <s v="343"/>
    <d v="1899-12-30T00:00:00"/>
    <m/>
    <m/>
    <m/>
    <m/>
    <m/>
    <d v="1899-12-30T00:00:00"/>
    <d v="2015-03-26T07:43:29"/>
    <m/>
    <m/>
    <d v="1899-12-30T00:00:00"/>
    <d v="1899-12-30T00:00:00"/>
    <d v="1899-12-30T00:00:00"/>
    <d v="1899-12-31T00:00:00"/>
    <s v="Company1434342088"/>
    <x v="11"/>
    <x v="27"/>
  </r>
  <r>
    <n v="10672"/>
    <x v="7"/>
    <s v="binders"/>
    <n v="466"/>
    <s v="Location3"/>
    <d v="2015-03-25T00:00:00"/>
    <x v="0"/>
    <s v="343"/>
    <d v="1899-12-30T00:00:00"/>
    <m/>
    <m/>
    <m/>
    <m/>
    <m/>
    <d v="1899-12-30T00:00:00"/>
    <d v="2015-03-26T07:47:58"/>
    <m/>
    <m/>
    <d v="1899-12-30T00:00:00"/>
    <d v="1899-12-30T00:00:00"/>
    <d v="1899-12-30T00:00:00"/>
    <s v=""/>
    <s v="Company1434342088"/>
    <x v="11"/>
    <x v="27"/>
  </r>
  <r>
    <n v="10673"/>
    <x v="6"/>
    <m/>
    <n v="192"/>
    <s v="Location3"/>
    <d v="2015-03-25T00:00:00"/>
    <x v="0"/>
    <s v="343"/>
    <d v="1899-12-30T00:00:00"/>
    <m/>
    <m/>
    <m/>
    <m/>
    <m/>
    <d v="1899-12-30T00:00:00"/>
    <d v="2015-03-26T07:56:51"/>
    <m/>
    <m/>
    <d v="1899-12-30T00:00:00"/>
    <d v="1899-12-30T00:00:00"/>
    <d v="1899-12-30T00:00:00"/>
    <s v=""/>
    <s v="Company1434342088"/>
    <x v="11"/>
    <x v="27"/>
  </r>
  <r>
    <n v="10674"/>
    <x v="8"/>
    <m/>
    <n v="1269"/>
    <s v="Location3"/>
    <d v="2015-03-25T00:00:00"/>
    <x v="0"/>
    <s v="343"/>
    <d v="1899-12-30T00:00:00"/>
    <m/>
    <m/>
    <m/>
    <m/>
    <m/>
    <d v="1899-12-30T00:00:00"/>
    <d v="2015-03-26T07:59:06"/>
    <m/>
    <m/>
    <d v="1899-12-30T00:00:00"/>
    <d v="1899-12-30T00:00:00"/>
    <d v="1899-12-30T00:00:00"/>
    <s v=""/>
    <s v="Company1434342088"/>
    <x v="11"/>
    <x v="27"/>
  </r>
  <r>
    <n v="10675"/>
    <x v="3"/>
    <m/>
    <n v="112"/>
    <s v="Location3"/>
    <d v="2015-03-25T00:00:00"/>
    <x v="0"/>
    <s v="343"/>
    <d v="1899-12-30T00:00:00"/>
    <m/>
    <m/>
    <m/>
    <m/>
    <m/>
    <d v="1899-12-30T00:00:00"/>
    <d v="2015-03-26T08:01:21"/>
    <m/>
    <m/>
    <d v="1899-12-30T00:00:00"/>
    <d v="1899-12-30T00:00:00"/>
    <d v="1899-12-30T00:00:00"/>
    <s v=""/>
    <s v="Company1434342088"/>
    <x v="11"/>
    <x v="27"/>
  </r>
  <r>
    <n v="10676"/>
    <x v="7"/>
    <s v="binders"/>
    <n v="370"/>
    <s v="Location3"/>
    <d v="2015-03-25T00:00:00"/>
    <x v="0"/>
    <s v="343"/>
    <d v="1899-12-30T00:00:00"/>
    <m/>
    <m/>
    <m/>
    <m/>
    <m/>
    <d v="1899-12-30T00:00:00"/>
    <d v="2015-03-26T08:04:43"/>
    <m/>
    <m/>
    <d v="1899-12-30T00:00:00"/>
    <d v="1899-12-30T00:00:00"/>
    <d v="1899-12-30T00:00:00"/>
    <s v=""/>
    <s v="Company1434342088"/>
    <x v="11"/>
    <x v="27"/>
  </r>
  <r>
    <n v="10677"/>
    <x v="3"/>
    <m/>
    <n v="132"/>
    <s v="Location3"/>
    <d v="2015-03-25T00:00:00"/>
    <x v="0"/>
    <s v="343"/>
    <d v="1899-12-30T00:00:00"/>
    <m/>
    <m/>
    <m/>
    <m/>
    <m/>
    <d v="1899-12-30T00:00:00"/>
    <d v="2015-03-26T08:09:31"/>
    <m/>
    <m/>
    <d v="1899-12-30T00:00:00"/>
    <d v="1899-12-30T00:00:00"/>
    <d v="1899-12-30T00:00:00"/>
    <s v=""/>
    <s v="Company1434342088"/>
    <x v="11"/>
    <x v="27"/>
  </r>
  <r>
    <n v="10678"/>
    <x v="7"/>
    <s v="binders"/>
    <n v="337"/>
    <s v="Location3"/>
    <d v="2015-03-25T00:00:00"/>
    <x v="0"/>
    <s v="343"/>
    <d v="1899-12-30T00:00:00"/>
    <m/>
    <m/>
    <m/>
    <m/>
    <m/>
    <d v="1899-12-30T00:00:00"/>
    <d v="2015-03-26T08:12:35"/>
    <m/>
    <m/>
    <d v="1899-12-30T00:00:00"/>
    <d v="1899-12-30T00:00:00"/>
    <d v="1899-12-30T00:00:00"/>
    <s v=""/>
    <s v="Company1434342088"/>
    <x v="11"/>
    <x v="27"/>
  </r>
  <r>
    <n v="10679"/>
    <x v="8"/>
    <m/>
    <n v="1282"/>
    <s v="Location3"/>
    <d v="2015-03-25T00:00:00"/>
    <x v="0"/>
    <s v="343"/>
    <d v="1899-12-30T00:00:00"/>
    <m/>
    <m/>
    <m/>
    <m/>
    <m/>
    <d v="1899-12-30T00:00:00"/>
    <d v="2015-03-26T08:15:16"/>
    <m/>
    <m/>
    <d v="1899-12-30T00:00:00"/>
    <d v="1899-12-30T00:00:00"/>
    <d v="1899-12-30T00:00:00"/>
    <s v=""/>
    <s v="Company1434342088"/>
    <x v="11"/>
    <x v="27"/>
  </r>
  <r>
    <n v="10680"/>
    <x v="7"/>
    <s v="binders"/>
    <n v="203"/>
    <s v="Location3"/>
    <d v="2015-03-25T00:00:00"/>
    <x v="0"/>
    <s v="343"/>
    <d v="1899-12-30T00:00:00"/>
    <m/>
    <m/>
    <m/>
    <m/>
    <m/>
    <d v="1899-12-30T00:00:00"/>
    <d v="2015-03-26T08:19:34"/>
    <m/>
    <m/>
    <d v="1899-12-30T00:00:00"/>
    <d v="1899-12-30T00:00:00"/>
    <d v="1899-12-30T00:00:00"/>
    <s v=""/>
    <s v="Company1434342088"/>
    <x v="11"/>
    <x v="27"/>
  </r>
  <r>
    <n v="10681"/>
    <x v="7"/>
    <s v="binders"/>
    <n v="355"/>
    <s v="Location3"/>
    <d v="2015-03-25T00:00:00"/>
    <x v="0"/>
    <s v="343"/>
    <d v="1899-12-30T00:00:00"/>
    <m/>
    <m/>
    <m/>
    <m/>
    <m/>
    <d v="1899-12-30T00:00:00"/>
    <d v="2015-03-26T08:30:09"/>
    <m/>
    <m/>
    <d v="1899-12-30T00:00:00"/>
    <d v="1899-12-30T00:00:00"/>
    <d v="1899-12-30T00:00:00"/>
    <s v=""/>
    <s v="Company1434342088"/>
    <x v="11"/>
    <x v="27"/>
  </r>
  <r>
    <n v="10682"/>
    <x v="7"/>
    <s v="binders"/>
    <n v="338"/>
    <s v="Location3"/>
    <d v="2015-03-25T00:00:00"/>
    <x v="0"/>
    <s v="343"/>
    <d v="1899-12-30T00:00:00"/>
    <m/>
    <m/>
    <m/>
    <m/>
    <m/>
    <d v="1899-12-30T00:00:00"/>
    <d v="2015-03-26T08:32:44"/>
    <m/>
    <m/>
    <d v="1899-12-30T00:00:00"/>
    <d v="1899-12-30T00:00:00"/>
    <d v="1899-12-30T00:00:00"/>
    <s v=""/>
    <s v="Company1434342088"/>
    <x v="11"/>
    <x v="27"/>
  </r>
  <r>
    <n v="10683"/>
    <x v="8"/>
    <m/>
    <n v="1107"/>
    <s v="Location3"/>
    <d v="2015-03-25T00:00:00"/>
    <x v="0"/>
    <s v="343"/>
    <d v="1899-12-30T00:00:00"/>
    <m/>
    <m/>
    <m/>
    <m/>
    <m/>
    <d v="1899-12-30T00:00:00"/>
    <d v="2015-03-26T08:35:20"/>
    <m/>
    <m/>
    <d v="1899-12-30T00:00:00"/>
    <d v="1899-12-30T00:00:00"/>
    <d v="1899-12-30T00:00:00"/>
    <s v=""/>
    <s v="Company1434342088"/>
    <x v="11"/>
    <x v="27"/>
  </r>
  <r>
    <n v="10684"/>
    <x v="7"/>
    <s v="binders"/>
    <n v="214"/>
    <s v="Location3"/>
    <d v="2015-03-25T00:00:00"/>
    <x v="0"/>
    <s v="343"/>
    <d v="1899-12-30T00:00:00"/>
    <m/>
    <m/>
    <m/>
    <m/>
    <m/>
    <d v="1899-12-30T00:00:00"/>
    <d v="2015-03-26T08:38:02"/>
    <m/>
    <m/>
    <d v="1899-12-30T00:00:00"/>
    <d v="1899-12-30T00:00:00"/>
    <d v="1899-12-30T00:00:00"/>
    <s v=""/>
    <s v="Company1434342088"/>
    <x v="11"/>
    <x v="27"/>
  </r>
  <r>
    <n v="10685"/>
    <x v="7"/>
    <s v="binders"/>
    <n v="269"/>
    <s v="Location3"/>
    <d v="2015-03-25T00:00:00"/>
    <x v="0"/>
    <s v="343"/>
    <d v="1899-12-30T00:00:00"/>
    <m/>
    <m/>
    <m/>
    <m/>
    <m/>
    <d v="1899-12-30T00:00:00"/>
    <d v="2015-03-26T08:40:40"/>
    <m/>
    <m/>
    <d v="1899-12-30T00:00:00"/>
    <d v="1899-12-30T00:00:00"/>
    <d v="1899-12-30T00:00:00"/>
    <s v=""/>
    <s v="Company1434342088"/>
    <x v="11"/>
    <x v="27"/>
  </r>
  <r>
    <n v="10686"/>
    <x v="7"/>
    <s v="binders"/>
    <n v="226"/>
    <s v="Location3"/>
    <d v="2015-03-25T00:00:00"/>
    <x v="0"/>
    <s v="343"/>
    <d v="1899-12-30T00:00:00"/>
    <m/>
    <m/>
    <m/>
    <m/>
    <m/>
    <d v="1899-12-30T00:00:00"/>
    <d v="2015-03-26T08:45:27"/>
    <m/>
    <m/>
    <d v="1899-12-30T00:00:00"/>
    <d v="1899-12-30T00:00:00"/>
    <d v="1899-12-30T00:00:00"/>
    <s v=""/>
    <s v="Company1434342088"/>
    <x v="11"/>
    <x v="27"/>
  </r>
  <r>
    <n v="10687"/>
    <x v="8"/>
    <m/>
    <n v="1495"/>
    <s v="Location3"/>
    <d v="2015-03-25T00:00:00"/>
    <x v="0"/>
    <s v="343"/>
    <d v="1899-12-30T00:00:00"/>
    <m/>
    <m/>
    <m/>
    <m/>
    <m/>
    <d v="1899-12-30T00:00:00"/>
    <d v="2015-03-26T08:48:32"/>
    <m/>
    <m/>
    <d v="1899-12-30T00:00:00"/>
    <d v="1899-12-30T00:00:00"/>
    <d v="1899-12-30T00:00:00"/>
    <s v=""/>
    <s v="Company1434342088"/>
    <x v="11"/>
    <x v="27"/>
  </r>
  <r>
    <n v="10688"/>
    <x v="7"/>
    <s v="binders"/>
    <n v="462"/>
    <s v="Location3"/>
    <d v="2015-03-25T00:00:00"/>
    <x v="0"/>
    <s v="343"/>
    <d v="1899-12-30T00:00:00"/>
    <m/>
    <m/>
    <m/>
    <m/>
    <m/>
    <d v="1899-12-30T00:00:00"/>
    <d v="2015-03-26T08:52:36"/>
    <m/>
    <m/>
    <d v="1899-12-30T00:00:00"/>
    <d v="1899-12-30T00:00:00"/>
    <d v="1899-12-30T00:00:00"/>
    <s v=""/>
    <s v="Company1434342088"/>
    <x v="11"/>
    <x v="27"/>
  </r>
  <r>
    <n v="10689"/>
    <x v="8"/>
    <m/>
    <n v="1335"/>
    <s v="Location3"/>
    <d v="2015-03-25T00:00:00"/>
    <x v="0"/>
    <s v="343"/>
    <d v="1899-12-30T00:00:00"/>
    <m/>
    <m/>
    <m/>
    <m/>
    <m/>
    <d v="1899-12-30T00:00:00"/>
    <d v="2015-03-26T08:54:50"/>
    <m/>
    <m/>
    <d v="1899-12-30T00:00:00"/>
    <d v="1899-12-30T00:00:00"/>
    <d v="1899-12-30T00:00:00"/>
    <s v=""/>
    <s v="Company1434342088"/>
    <x v="11"/>
    <x v="27"/>
  </r>
  <r>
    <n v="10690"/>
    <x v="8"/>
    <m/>
    <n v="1567"/>
    <s v="Location3"/>
    <d v="2015-03-25T00:00:00"/>
    <x v="0"/>
    <s v="343"/>
    <d v="1899-12-30T00:00:00"/>
    <m/>
    <m/>
    <m/>
    <m/>
    <m/>
    <d v="1899-12-30T00:00:00"/>
    <d v="2015-03-26T08:56:42"/>
    <m/>
    <m/>
    <d v="1899-12-30T00:00:00"/>
    <d v="1899-12-30T00:00:00"/>
    <d v="1899-12-30T00:00:00"/>
    <s v=""/>
    <s v="Company1434342088"/>
    <x v="11"/>
    <x v="27"/>
  </r>
  <r>
    <n v="10691"/>
    <x v="7"/>
    <s v="binders"/>
    <n v="451"/>
    <s v="Location3"/>
    <d v="2015-03-25T00:00:00"/>
    <x v="0"/>
    <s v="343"/>
    <d v="1899-12-30T00:00:00"/>
    <m/>
    <m/>
    <m/>
    <m/>
    <m/>
    <d v="1899-12-30T00:00:00"/>
    <d v="2015-03-26T08:59:19"/>
    <m/>
    <m/>
    <d v="1899-12-30T00:00:00"/>
    <d v="1899-12-30T00:00:00"/>
    <d v="1899-12-30T00:00:00"/>
    <s v=""/>
    <s v="Company1434342088"/>
    <x v="11"/>
    <x v="27"/>
  </r>
  <r>
    <n v="10692"/>
    <x v="7"/>
    <s v="binders"/>
    <n v="460"/>
    <s v="Location3"/>
    <d v="2015-03-25T00:00:00"/>
    <x v="0"/>
    <s v="343"/>
    <d v="1899-12-30T00:00:00"/>
    <m/>
    <m/>
    <m/>
    <m/>
    <m/>
    <d v="1899-12-30T00:00:00"/>
    <d v="2015-03-26T09:01:36"/>
    <m/>
    <m/>
    <d v="1899-12-30T00:00:00"/>
    <d v="1899-12-30T00:00:00"/>
    <d v="1899-12-30T00:00:00"/>
    <s v=""/>
    <s v="Company1434342088"/>
    <x v="11"/>
    <x v="27"/>
  </r>
  <r>
    <n v="10693"/>
    <x v="7"/>
    <s v="binders"/>
    <n v="455"/>
    <s v="Location3"/>
    <d v="2015-03-25T00:00:00"/>
    <x v="0"/>
    <s v="343"/>
    <d v="1899-12-30T00:00:00"/>
    <m/>
    <m/>
    <m/>
    <m/>
    <m/>
    <d v="1899-12-30T00:00:00"/>
    <d v="2015-03-26T09:04:06"/>
    <m/>
    <m/>
    <d v="1899-12-30T00:00:00"/>
    <d v="1899-12-30T00:00:00"/>
    <d v="1899-12-30T00:00:00"/>
    <s v=""/>
    <s v="Company1434342088"/>
    <x v="11"/>
    <x v="27"/>
  </r>
  <r>
    <n v="10806"/>
    <x v="6"/>
    <m/>
    <n v="257"/>
    <s v="Location3"/>
    <d v="2015-03-30T00:00:00"/>
    <x v="0"/>
    <s v="342"/>
    <d v="1899-12-30T00:00:00"/>
    <m/>
    <m/>
    <m/>
    <m/>
    <m/>
    <d v="1899-12-30T00:00:00"/>
    <d v="2015-04-02T08:58:39"/>
    <m/>
    <m/>
    <d v="1899-12-30T00:00:00"/>
    <d v="1899-12-30T00:00:00"/>
    <d v="1899-12-30T00:00:00"/>
    <d v="1899-12-31T00:00:00"/>
    <s v="Company1434242093"/>
    <x v="11"/>
    <x v="28"/>
  </r>
  <r>
    <n v="10807"/>
    <x v="17"/>
    <m/>
    <n v="88"/>
    <s v="Location3"/>
    <d v="2015-03-30T00:00:00"/>
    <x v="0"/>
    <s v="342"/>
    <d v="1899-12-30T00:00:00"/>
    <m/>
    <m/>
    <m/>
    <m/>
    <m/>
    <d v="1899-12-30T00:00:00"/>
    <d v="2015-04-02T09:07:23"/>
    <m/>
    <m/>
    <d v="1899-12-30T00:00:00"/>
    <d v="1899-12-30T00:00:00"/>
    <d v="1899-12-30T00:00:00"/>
    <s v=""/>
    <s v="Company1434242093"/>
    <x v="11"/>
    <x v="28"/>
  </r>
  <r>
    <n v="10808"/>
    <x v="3"/>
    <m/>
    <n v="58"/>
    <s v="Location3"/>
    <d v="2015-03-30T00:00:00"/>
    <x v="0"/>
    <s v="342"/>
    <d v="1899-12-30T00:00:00"/>
    <m/>
    <m/>
    <m/>
    <m/>
    <m/>
    <d v="1899-12-30T00:00:00"/>
    <d v="2015-04-02T09:09:34"/>
    <m/>
    <m/>
    <d v="1899-12-30T00:00:00"/>
    <d v="1899-12-30T00:00:00"/>
    <d v="1899-12-30T00:00:00"/>
    <s v=""/>
    <s v="Company1434242093"/>
    <x v="11"/>
    <x v="28"/>
  </r>
  <r>
    <n v="10809"/>
    <x v="7"/>
    <s v="cloth bags"/>
    <n v="518"/>
    <s v="Location3"/>
    <d v="2015-03-30T00:00:00"/>
    <x v="0"/>
    <s v="342"/>
    <d v="1899-12-30T00:00:00"/>
    <m/>
    <m/>
    <m/>
    <m/>
    <m/>
    <d v="1899-12-30T00:00:00"/>
    <d v="2015-04-02T09:12:00"/>
    <m/>
    <m/>
    <d v="1899-12-30T00:00:00"/>
    <d v="1899-12-30T00:00:00"/>
    <d v="1899-12-30T00:00:00"/>
    <s v=""/>
    <s v="Company1434242093"/>
    <x v="11"/>
    <x v="28"/>
  </r>
  <r>
    <n v="10810"/>
    <x v="7"/>
    <m/>
    <n v="0"/>
    <s v="Location3"/>
    <d v="2015-03-30T00:00:00"/>
    <x v="0"/>
    <s v="342"/>
    <d v="1899-12-30T00:00:00"/>
    <m/>
    <m/>
    <m/>
    <m/>
    <m/>
    <d v="1899-12-30T00:00:00"/>
    <d v="2015-04-02T09:12:25"/>
    <m/>
    <m/>
    <d v="1899-12-30T00:00:00"/>
    <d v="1899-12-30T00:00:00"/>
    <d v="1899-12-30T00:00:00"/>
    <s v=""/>
    <s v="Company1434242093"/>
    <x v="11"/>
    <x v="28"/>
  </r>
  <r>
    <n v="10811"/>
    <x v="8"/>
    <s v="paper back books"/>
    <n v="1060"/>
    <s v="Location3"/>
    <d v="2015-03-30T00:00:00"/>
    <x v="0"/>
    <s v="342"/>
    <d v="1899-12-30T00:00:00"/>
    <m/>
    <m/>
    <m/>
    <m/>
    <m/>
    <d v="1899-12-30T00:00:00"/>
    <d v="2015-04-02T09:16:16"/>
    <m/>
    <m/>
    <d v="1899-12-30T00:00:00"/>
    <d v="1899-12-30T00:00:00"/>
    <d v="1899-12-30T00:00:00"/>
    <s v=""/>
    <s v="Company1434242093"/>
    <x v="11"/>
    <x v="28"/>
  </r>
  <r>
    <n v="10812"/>
    <x v="8"/>
    <m/>
    <n v="1790"/>
    <s v="Location3"/>
    <d v="2015-03-30T00:00:00"/>
    <x v="0"/>
    <s v="342"/>
    <d v="1899-12-30T00:00:00"/>
    <m/>
    <m/>
    <m/>
    <m/>
    <m/>
    <d v="1899-12-30T00:00:00"/>
    <d v="2015-04-02T09:21:10"/>
    <m/>
    <m/>
    <d v="1899-12-30T00:00:00"/>
    <d v="1899-12-30T00:00:00"/>
    <d v="1899-12-30T00:00:00"/>
    <s v=""/>
    <s v="Company1434242093"/>
    <x v="11"/>
    <x v="28"/>
  </r>
  <r>
    <n v="10813"/>
    <x v="7"/>
    <m/>
    <n v="348"/>
    <s v="Location3"/>
    <d v="2015-03-30T00:00:00"/>
    <x v="0"/>
    <s v="342"/>
    <d v="1899-12-30T00:00:00"/>
    <m/>
    <m/>
    <m/>
    <m/>
    <m/>
    <d v="1899-12-30T00:00:00"/>
    <d v="2015-04-02T09:25:28"/>
    <m/>
    <m/>
    <d v="1899-12-30T00:00:00"/>
    <d v="1899-12-30T00:00:00"/>
    <d v="1899-12-30T00:00:00"/>
    <s v=""/>
    <s v="Company1434242093"/>
    <x v="11"/>
    <x v="28"/>
  </r>
  <r>
    <n v="10814"/>
    <x v="7"/>
    <m/>
    <n v="367"/>
    <s v="Location3"/>
    <d v="2015-03-30T00:00:00"/>
    <x v="0"/>
    <s v="342"/>
    <d v="1899-12-30T00:00:00"/>
    <m/>
    <m/>
    <m/>
    <m/>
    <m/>
    <d v="1899-12-30T00:00:00"/>
    <d v="2015-04-02T09:48:10"/>
    <m/>
    <m/>
    <d v="1899-12-30T00:00:00"/>
    <d v="1899-12-30T00:00:00"/>
    <d v="1899-12-30T00:00:00"/>
    <s v=""/>
    <s v="Company1434242093"/>
    <x v="11"/>
    <x v="28"/>
  </r>
  <r>
    <n v="10815"/>
    <x v="7"/>
    <m/>
    <n v="386"/>
    <s v="Location3"/>
    <d v="2015-03-30T00:00:00"/>
    <x v="0"/>
    <s v="342"/>
    <d v="1899-12-30T00:00:00"/>
    <m/>
    <m/>
    <m/>
    <m/>
    <m/>
    <d v="1899-12-30T00:00:00"/>
    <d v="2015-04-02T09:51:04"/>
    <m/>
    <m/>
    <d v="1899-12-30T00:00:00"/>
    <d v="1899-12-30T00:00:00"/>
    <d v="1899-12-30T00:00:00"/>
    <s v=""/>
    <s v="Company1434242093"/>
    <x v="11"/>
    <x v="28"/>
  </r>
  <r>
    <n v="10816"/>
    <x v="8"/>
    <m/>
    <n v="1744"/>
    <s v="Location3"/>
    <d v="2015-03-30T00:00:00"/>
    <x v="0"/>
    <s v="342"/>
    <d v="1899-12-30T00:00:00"/>
    <m/>
    <m/>
    <m/>
    <m/>
    <m/>
    <d v="1899-12-30T00:00:00"/>
    <d v="2015-04-02T09:54:27"/>
    <m/>
    <m/>
    <d v="1899-12-30T00:00:00"/>
    <d v="1899-12-30T00:00:00"/>
    <d v="1899-12-30T00:00:00"/>
    <s v=""/>
    <s v="Company1434242093"/>
    <x v="11"/>
    <x v="28"/>
  </r>
  <r>
    <n v="10817"/>
    <x v="5"/>
    <m/>
    <n v="2100"/>
    <s v="Location3"/>
    <d v="2015-03-30T00:00:00"/>
    <x v="0"/>
    <s v="342"/>
    <d v="1899-12-30T00:00:00"/>
    <m/>
    <m/>
    <m/>
    <m/>
    <m/>
    <d v="1899-12-30T00:00:00"/>
    <d v="2015-04-02T09:59:51"/>
    <m/>
    <m/>
    <d v="1899-12-30T00:00:00"/>
    <d v="1899-12-30T00:00:00"/>
    <d v="1899-12-30T00:00:00"/>
    <s v=""/>
    <s v="Company1434242093"/>
    <x v="11"/>
    <x v="28"/>
  </r>
  <r>
    <n v="10818"/>
    <x v="5"/>
    <m/>
    <n v="1082"/>
    <s v="Location3"/>
    <d v="2015-03-30T00:00:00"/>
    <x v="0"/>
    <s v="342"/>
    <d v="1899-12-30T00:00:00"/>
    <m/>
    <m/>
    <m/>
    <m/>
    <m/>
    <d v="1899-12-30T00:00:00"/>
    <d v="2015-04-02T10:16:17"/>
    <m/>
    <m/>
    <d v="1899-12-30T00:00:00"/>
    <d v="1899-12-30T00:00:00"/>
    <d v="1899-12-30T00:00:00"/>
    <s v=""/>
    <s v="Company1434242093"/>
    <x v="11"/>
    <x v="28"/>
  </r>
  <r>
    <n v="10819"/>
    <x v="5"/>
    <m/>
    <n v="1189"/>
    <s v="Location3"/>
    <d v="2015-03-30T00:00:00"/>
    <x v="0"/>
    <s v="342"/>
    <d v="1899-12-30T00:00:00"/>
    <m/>
    <m/>
    <m/>
    <m/>
    <m/>
    <d v="1899-12-30T00:00:00"/>
    <d v="2015-04-02T10:19:40"/>
    <m/>
    <m/>
    <d v="1899-12-30T00:00:00"/>
    <d v="1899-12-30T00:00:00"/>
    <d v="1899-12-30T00:00:00"/>
    <s v=""/>
    <s v="Company1434242093"/>
    <x v="11"/>
    <x v="28"/>
  </r>
  <r>
    <n v="10820"/>
    <x v="5"/>
    <m/>
    <n v="1062"/>
    <s v="Location3"/>
    <d v="2015-03-30T00:00:00"/>
    <x v="0"/>
    <s v="342"/>
    <d v="1899-12-30T00:00:00"/>
    <m/>
    <m/>
    <m/>
    <m/>
    <m/>
    <d v="1899-12-30T00:00:00"/>
    <d v="2015-04-02T10:25:57"/>
    <m/>
    <m/>
    <d v="1899-12-30T00:00:00"/>
    <d v="1899-12-30T00:00:00"/>
    <d v="1899-12-30T00:00:00"/>
    <s v=""/>
    <s v="Company1434242093"/>
    <x v="11"/>
    <x v="28"/>
  </r>
  <r>
    <n v="10821"/>
    <x v="5"/>
    <m/>
    <n v="1021"/>
    <s v="Location3"/>
    <d v="2015-03-30T00:00:00"/>
    <x v="0"/>
    <s v="342"/>
    <d v="1899-12-30T00:00:00"/>
    <m/>
    <m/>
    <m/>
    <m/>
    <m/>
    <d v="1899-12-30T00:00:00"/>
    <d v="2015-04-02T10:32:44"/>
    <m/>
    <m/>
    <d v="1899-12-30T00:00:00"/>
    <d v="1899-12-30T00:00:00"/>
    <d v="1899-12-30T00:00:00"/>
    <s v=""/>
    <s v="Company1434242093"/>
    <x v="11"/>
    <x v="28"/>
  </r>
  <r>
    <n v="10822"/>
    <x v="5"/>
    <m/>
    <n v="1018"/>
    <s v="Location3"/>
    <d v="2015-03-30T00:00:00"/>
    <x v="0"/>
    <s v="342"/>
    <d v="1899-12-30T00:00:00"/>
    <m/>
    <m/>
    <m/>
    <m/>
    <m/>
    <d v="1899-12-30T00:00:00"/>
    <d v="2015-04-02T10:37:56"/>
    <m/>
    <m/>
    <d v="1899-12-30T00:00:00"/>
    <d v="1899-12-30T00:00:00"/>
    <d v="1899-12-30T00:00:00"/>
    <s v=""/>
    <s v="Company1434242093"/>
    <x v="11"/>
    <x v="28"/>
  </r>
  <r>
    <n v="10823"/>
    <x v="5"/>
    <m/>
    <n v="1113"/>
    <s v="Location3"/>
    <d v="2015-03-30T00:00:00"/>
    <x v="0"/>
    <s v="342"/>
    <d v="1899-12-30T00:00:00"/>
    <m/>
    <m/>
    <m/>
    <m/>
    <m/>
    <d v="1899-12-30T00:00:00"/>
    <d v="2015-04-02T10:40:32"/>
    <m/>
    <m/>
    <d v="1899-12-30T00:00:00"/>
    <d v="1899-12-30T00:00:00"/>
    <d v="1899-12-30T00:00:00"/>
    <s v=""/>
    <s v="Company1434242093"/>
    <x v="11"/>
    <x v="28"/>
  </r>
  <r>
    <n v="10824"/>
    <x v="5"/>
    <m/>
    <n v="1056"/>
    <s v="Location3"/>
    <d v="2015-03-30T00:00:00"/>
    <x v="0"/>
    <s v="342"/>
    <d v="1899-12-30T00:00:00"/>
    <m/>
    <m/>
    <m/>
    <m/>
    <m/>
    <d v="1899-12-30T00:00:00"/>
    <d v="2015-04-02T10:44:22"/>
    <m/>
    <m/>
    <d v="1899-12-30T00:00:00"/>
    <d v="1899-12-30T00:00:00"/>
    <d v="1899-12-30T00:00:00"/>
    <s v=""/>
    <s v="Company1434242093"/>
    <x v="11"/>
    <x v="28"/>
  </r>
  <r>
    <n v="10825"/>
    <x v="5"/>
    <m/>
    <n v="1143"/>
    <s v="Location3"/>
    <d v="2015-03-30T00:00:00"/>
    <x v="0"/>
    <s v="342"/>
    <d v="1899-12-30T00:00:00"/>
    <m/>
    <m/>
    <m/>
    <m/>
    <m/>
    <d v="1899-12-30T00:00:00"/>
    <d v="2015-04-02T10:47:22"/>
    <m/>
    <m/>
    <d v="1899-12-30T00:00:00"/>
    <d v="1899-12-30T00:00:00"/>
    <d v="1899-12-30T00:00:00"/>
    <s v=""/>
    <s v="Company1434242093"/>
    <x v="11"/>
    <x v="28"/>
  </r>
  <r>
    <n v="10826"/>
    <x v="5"/>
    <m/>
    <n v="1022"/>
    <s v="Location3"/>
    <d v="2015-03-30T00:00:00"/>
    <x v="0"/>
    <s v="342"/>
    <d v="1899-12-30T00:00:00"/>
    <m/>
    <m/>
    <m/>
    <m/>
    <m/>
    <d v="1899-12-30T00:00:00"/>
    <d v="2015-04-02T10:53:01"/>
    <m/>
    <m/>
    <d v="1899-12-30T00:00:00"/>
    <d v="1899-12-30T00:00:00"/>
    <d v="1899-12-30T00:00:00"/>
    <s v=""/>
    <s v="Company1434242093"/>
    <x v="11"/>
    <x v="28"/>
  </r>
  <r>
    <n v="10827"/>
    <x v="5"/>
    <m/>
    <n v="957"/>
    <s v="Location3"/>
    <d v="2015-03-30T00:00:00"/>
    <x v="0"/>
    <s v="342"/>
    <d v="1899-12-30T00:00:00"/>
    <m/>
    <m/>
    <m/>
    <m/>
    <m/>
    <d v="1899-12-30T00:00:00"/>
    <d v="2015-04-02T10:55:35"/>
    <m/>
    <m/>
    <d v="1899-12-30T00:00:00"/>
    <d v="1899-12-30T00:00:00"/>
    <d v="1899-12-30T00:00:00"/>
    <s v=""/>
    <s v="Company1434242093"/>
    <x v="11"/>
    <x v="28"/>
  </r>
  <r>
    <n v="10828"/>
    <x v="5"/>
    <m/>
    <n v="957"/>
    <s v="Location3"/>
    <d v="2015-03-30T00:00:00"/>
    <x v="0"/>
    <s v="342"/>
    <d v="1899-12-30T00:00:00"/>
    <m/>
    <m/>
    <m/>
    <m/>
    <m/>
    <d v="1899-12-30T00:00:00"/>
    <d v="2015-04-02T10:58:42"/>
    <m/>
    <m/>
    <d v="1899-12-30T00:00:00"/>
    <d v="1899-12-30T00:00:00"/>
    <d v="1899-12-30T00:00:00"/>
    <s v=""/>
    <s v="Company1434242093"/>
    <x v="11"/>
    <x v="28"/>
  </r>
  <r>
    <n v="10829"/>
    <x v="5"/>
    <m/>
    <n v="1129"/>
    <s v="Location3"/>
    <d v="2015-03-30T00:00:00"/>
    <x v="0"/>
    <s v="342"/>
    <d v="1899-12-30T00:00:00"/>
    <m/>
    <m/>
    <m/>
    <m/>
    <m/>
    <d v="1899-12-30T00:00:00"/>
    <d v="2015-04-02T11:01:44"/>
    <m/>
    <m/>
    <d v="1899-12-30T00:00:00"/>
    <d v="1899-12-30T00:00:00"/>
    <d v="1899-12-30T00:00:00"/>
    <s v=""/>
    <s v="Company1434242093"/>
    <x v="11"/>
    <x v="28"/>
  </r>
  <r>
    <n v="10830"/>
    <x v="5"/>
    <m/>
    <n v="987"/>
    <s v="Location3"/>
    <d v="2015-03-30T00:00:00"/>
    <x v="0"/>
    <s v="342"/>
    <d v="1899-12-30T00:00:00"/>
    <m/>
    <m/>
    <m/>
    <m/>
    <m/>
    <d v="1899-12-30T00:00:00"/>
    <d v="2015-04-02T11:05:59"/>
    <m/>
    <m/>
    <d v="1899-12-30T00:00:00"/>
    <d v="1899-12-30T00:00:00"/>
    <d v="1899-12-30T00:00:00"/>
    <s v=""/>
    <s v="Company1434242093"/>
    <x v="11"/>
    <x v="28"/>
  </r>
  <r>
    <n v="10831"/>
    <x v="5"/>
    <m/>
    <n v="981"/>
    <s v="Location3"/>
    <d v="2015-03-30T00:00:00"/>
    <x v="0"/>
    <s v="342"/>
    <d v="1899-12-30T00:00:00"/>
    <m/>
    <m/>
    <m/>
    <m/>
    <m/>
    <d v="1899-12-30T00:00:00"/>
    <d v="2015-04-02T11:08:18"/>
    <m/>
    <m/>
    <d v="1899-12-30T00:00:00"/>
    <d v="1899-12-30T00:00:00"/>
    <d v="1899-12-30T00:00:00"/>
    <s v=""/>
    <s v="Company1434242093"/>
    <x v="11"/>
    <x v="28"/>
  </r>
  <r>
    <n v="10832"/>
    <x v="5"/>
    <m/>
    <n v="978"/>
    <s v="Location3"/>
    <d v="2015-03-30T00:00:00"/>
    <x v="0"/>
    <s v="342"/>
    <d v="1899-12-30T00:00:00"/>
    <m/>
    <m/>
    <m/>
    <m/>
    <m/>
    <d v="1899-12-30T00:00:00"/>
    <d v="2015-04-02T11:11:11"/>
    <m/>
    <m/>
    <d v="1899-12-30T00:00:00"/>
    <d v="1899-12-30T00:00:00"/>
    <d v="1899-12-30T00:00:00"/>
    <s v=""/>
    <s v="Company1434242093"/>
    <x v="11"/>
    <x v="28"/>
  </r>
  <r>
    <n v="11057"/>
    <x v="1"/>
    <m/>
    <n v="1160"/>
    <s v="Location3"/>
    <d v="2015-04-17T00:00:00"/>
    <x v="0"/>
    <s v="mol"/>
    <d v="1899-12-30T00:00:00"/>
    <m/>
    <m/>
    <m/>
    <m/>
    <m/>
    <d v="1899-12-30T00:00:00"/>
    <d v="2015-04-17T11:18:40"/>
    <m/>
    <m/>
    <d v="1899-12-30T00:00:00"/>
    <d v="1899-12-30T00:00:00"/>
    <d v="1899-12-30T00:00:00"/>
    <d v="1899-12-31T00:00:00"/>
    <s v="Company14MOL42111"/>
    <x v="12"/>
    <x v="29"/>
  </r>
  <r>
    <n v="11058"/>
    <x v="1"/>
    <m/>
    <n v="385"/>
    <s v="Location3"/>
    <d v="2015-04-17T00:00:00"/>
    <x v="0"/>
    <s v="mol"/>
    <d v="1899-12-30T00:00:00"/>
    <m/>
    <m/>
    <m/>
    <m/>
    <m/>
    <d v="1899-12-30T00:00:00"/>
    <d v="2015-04-17T11:29:41"/>
    <m/>
    <m/>
    <d v="1899-12-30T00:00:00"/>
    <d v="1899-12-30T00:00:00"/>
    <d v="1899-12-30T00:00:00"/>
    <s v=""/>
    <s v="Company14MOL42111"/>
    <x v="12"/>
    <x v="29"/>
  </r>
  <r>
    <n v="11059"/>
    <x v="1"/>
    <m/>
    <n v="253"/>
    <s v="Location3"/>
    <d v="2015-04-17T00:00:00"/>
    <x v="0"/>
    <s v="mol"/>
    <d v="1899-12-30T00:00:00"/>
    <m/>
    <m/>
    <m/>
    <m/>
    <m/>
    <d v="1899-12-30T00:00:00"/>
    <d v="2015-04-17T11:39:10"/>
    <m/>
    <m/>
    <d v="1899-12-30T00:00:00"/>
    <d v="1899-12-30T00:00:00"/>
    <d v="1899-12-30T00:00:00"/>
    <s v=""/>
    <s v="Company14MOL42111"/>
    <x v="12"/>
    <x v="29"/>
  </r>
  <r>
    <n v="11060"/>
    <x v="3"/>
    <m/>
    <n v="90"/>
    <s v="Location3"/>
    <d v="2015-04-17T00:00:00"/>
    <x v="0"/>
    <s v="mol"/>
    <d v="1899-12-30T00:00:00"/>
    <m/>
    <m/>
    <m/>
    <m/>
    <m/>
    <d v="1899-12-30T00:00:00"/>
    <d v="2015-04-17T11:52:32"/>
    <m/>
    <m/>
    <d v="1899-12-30T00:00:00"/>
    <d v="1899-12-30T00:00:00"/>
    <d v="1899-12-30T00:00:00"/>
    <s v=""/>
    <s v="Company14MOL42111"/>
    <x v="12"/>
    <x v="29"/>
  </r>
  <r>
    <n v="11061"/>
    <x v="3"/>
    <m/>
    <n v="134"/>
    <s v="Location3"/>
    <d v="2015-04-17T00:00:00"/>
    <x v="0"/>
    <s v="mol"/>
    <d v="1899-12-30T00:00:00"/>
    <m/>
    <m/>
    <m/>
    <m/>
    <m/>
    <d v="1899-12-30T00:00:00"/>
    <d v="2015-04-17T11:54:30"/>
    <m/>
    <m/>
    <d v="1899-12-30T00:00:00"/>
    <d v="1899-12-30T00:00:00"/>
    <d v="1899-12-30T00:00:00"/>
    <s v=""/>
    <s v="Company14MOL42111"/>
    <x v="12"/>
    <x v="29"/>
  </r>
  <r>
    <n v="11062"/>
    <x v="16"/>
    <m/>
    <n v="366"/>
    <s v="Location3"/>
    <d v="2015-04-17T00:00:00"/>
    <x v="0"/>
    <s v="mol"/>
    <d v="1899-12-30T00:00:00"/>
    <m/>
    <m/>
    <m/>
    <m/>
    <m/>
    <d v="1899-12-30T00:00:00"/>
    <d v="2015-04-17T11:57:01"/>
    <m/>
    <m/>
    <d v="1899-12-30T00:00:00"/>
    <d v="1899-12-30T00:00:00"/>
    <d v="1899-12-30T00:00:00"/>
    <s v=""/>
    <s v="Company14MOL42111"/>
    <x v="12"/>
    <x v="29"/>
  </r>
  <r>
    <n v="11063"/>
    <x v="1"/>
    <m/>
    <n v="52"/>
    <s v="Location3"/>
    <d v="2015-04-17T00:00:00"/>
    <x v="0"/>
    <s v="mol"/>
    <d v="1899-12-30T00:00:00"/>
    <m/>
    <m/>
    <m/>
    <m/>
    <m/>
    <d v="1899-12-30T00:00:00"/>
    <d v="2015-04-17T12:02:17"/>
    <m/>
    <m/>
    <d v="1899-12-30T00:00:00"/>
    <d v="1899-12-30T00:00:00"/>
    <d v="1899-12-30T00:00:00"/>
    <s v=""/>
    <s v="Company14MOL42111"/>
    <x v="12"/>
    <x v="29"/>
  </r>
  <r>
    <n v="11064"/>
    <x v="2"/>
    <s v="casters"/>
    <n v="309"/>
    <s v="Location3"/>
    <d v="2015-04-17T00:00:00"/>
    <x v="0"/>
    <s v="mol"/>
    <d v="1899-12-30T00:00:00"/>
    <m/>
    <m/>
    <m/>
    <m/>
    <m/>
    <d v="1899-12-30T00:00:00"/>
    <d v="2015-04-17T12:45:10"/>
    <m/>
    <m/>
    <d v="1899-12-30T00:00:00"/>
    <d v="1899-12-30T00:00:00"/>
    <d v="1899-12-30T00:00:00"/>
    <s v=""/>
    <s v="Company14MOL42111"/>
    <x v="12"/>
    <x v="29"/>
  </r>
  <r>
    <n v="11065"/>
    <x v="3"/>
    <m/>
    <n v="277"/>
    <s v="Location3"/>
    <d v="2015-04-17T00:00:00"/>
    <x v="0"/>
    <s v="mol"/>
    <d v="1899-12-30T00:00:00"/>
    <m/>
    <m/>
    <m/>
    <m/>
    <m/>
    <d v="1899-12-30T00:00:00"/>
    <d v="2015-04-17T12:47:50"/>
    <m/>
    <m/>
    <d v="1899-12-30T00:00:00"/>
    <d v="1899-12-30T00:00:00"/>
    <d v="1899-12-30T00:00:00"/>
    <s v=""/>
    <s v="Company14MOL42111"/>
    <x v="12"/>
    <x v="29"/>
  </r>
  <r>
    <n v="11066"/>
    <x v="2"/>
    <m/>
    <n v="749"/>
    <s v="Location3"/>
    <d v="2015-04-17T00:00:00"/>
    <x v="0"/>
    <s v="mol"/>
    <d v="1899-12-30T00:00:00"/>
    <m/>
    <m/>
    <m/>
    <m/>
    <m/>
    <d v="1899-12-30T00:00:00"/>
    <d v="2015-04-17T12:52:52"/>
    <m/>
    <m/>
    <d v="1899-12-30T00:00:00"/>
    <d v="1899-12-30T00:00:00"/>
    <d v="1899-12-30T00:00:00"/>
    <s v=""/>
    <s v="Company14MOL42111"/>
    <x v="12"/>
    <x v="29"/>
  </r>
  <r>
    <n v="11067"/>
    <x v="2"/>
    <m/>
    <n v="211"/>
    <s v="Location3"/>
    <d v="2015-04-17T00:00:00"/>
    <x v="0"/>
    <s v="mol"/>
    <d v="1899-12-30T00:00:00"/>
    <m/>
    <m/>
    <m/>
    <m/>
    <m/>
    <d v="1899-12-30T00:00:00"/>
    <d v="2015-04-17T12:59:29"/>
    <m/>
    <m/>
    <d v="1899-12-30T00:00:00"/>
    <d v="1899-12-30T00:00:00"/>
    <d v="1899-12-30T00:00:00"/>
    <s v=""/>
    <s v="Company14MOL42111"/>
    <x v="12"/>
    <x v="29"/>
  </r>
  <r>
    <n v="11068"/>
    <x v="3"/>
    <m/>
    <n v="66"/>
    <s v="Location3"/>
    <d v="2015-04-17T00:00:00"/>
    <x v="0"/>
    <s v="mol"/>
    <d v="1899-12-30T00:00:00"/>
    <m/>
    <m/>
    <m/>
    <m/>
    <m/>
    <d v="1899-12-30T00:00:00"/>
    <d v="2015-04-17T13:05:05"/>
    <m/>
    <m/>
    <d v="1899-12-30T00:00:00"/>
    <d v="1899-12-30T00:00:00"/>
    <d v="1899-12-30T00:00:00"/>
    <s v=""/>
    <s v="Company14MOL42111"/>
    <x v="12"/>
    <x v="29"/>
  </r>
  <r>
    <n v="11069"/>
    <x v="1"/>
    <m/>
    <n v="57"/>
    <s v="Location3"/>
    <d v="2015-04-17T00:00:00"/>
    <x v="0"/>
    <s v="mol"/>
    <d v="1899-12-30T00:00:00"/>
    <m/>
    <m/>
    <m/>
    <m/>
    <m/>
    <d v="1899-12-30T00:00:00"/>
    <d v="2015-04-17T13:08:39"/>
    <m/>
    <m/>
    <d v="1899-12-30T00:00:00"/>
    <d v="1899-12-30T00:00:00"/>
    <d v="1899-12-30T00:00:00"/>
    <s v=""/>
    <s v="Company14MOL42111"/>
    <x v="12"/>
    <x v="29"/>
  </r>
  <r>
    <n v="11070"/>
    <x v="3"/>
    <m/>
    <n v="249"/>
    <s v="Location3"/>
    <d v="2015-04-17T00:00:00"/>
    <x v="0"/>
    <s v="mol"/>
    <d v="1899-12-30T00:00:00"/>
    <m/>
    <m/>
    <m/>
    <m/>
    <m/>
    <d v="1899-12-30T00:00:00"/>
    <d v="2015-04-17T13:13:33"/>
    <m/>
    <m/>
    <d v="1899-12-30T00:00:00"/>
    <d v="1899-12-30T00:00:00"/>
    <d v="1899-12-30T00:00:00"/>
    <s v=""/>
    <s v="Company14MOL42111"/>
    <x v="12"/>
    <x v="29"/>
  </r>
  <r>
    <n v="11083"/>
    <x v="16"/>
    <m/>
    <n v="806"/>
    <s v="Location3"/>
    <d v="2015-04-20T00:00:00"/>
    <x v="0"/>
    <s v="TA936863"/>
    <d v="1899-12-30T00:00:00"/>
    <m/>
    <m/>
    <m/>
    <m/>
    <m/>
    <d v="1899-12-30T00:00:00"/>
    <d v="2015-04-20T11:18:19"/>
    <m/>
    <m/>
    <d v="1899-12-30T00:00:00"/>
    <d v="1899-12-30T00:00:00"/>
    <d v="1899-12-30T00:00:00"/>
    <d v="1899-12-31T00:00:00"/>
    <s v="Company14TA93686342114"/>
    <x v="12"/>
    <x v="30"/>
  </r>
  <r>
    <n v="11084"/>
    <x v="16"/>
    <m/>
    <n v="511"/>
    <s v="Location3"/>
    <d v="2015-04-20T00:00:00"/>
    <x v="0"/>
    <s v="TA936863"/>
    <d v="1899-12-30T00:00:00"/>
    <m/>
    <m/>
    <m/>
    <m/>
    <m/>
    <d v="1899-12-30T00:00:00"/>
    <d v="2015-04-20T11:22:18"/>
    <m/>
    <m/>
    <d v="1899-12-30T00:00:00"/>
    <d v="1899-12-30T00:00:00"/>
    <d v="1899-12-30T00:00:00"/>
    <s v=""/>
    <s v="Company14TA93686342114"/>
    <x v="12"/>
    <x v="30"/>
  </r>
  <r>
    <n v="11085"/>
    <x v="16"/>
    <m/>
    <n v="705"/>
    <s v="Location3"/>
    <d v="2015-04-20T00:00:00"/>
    <x v="0"/>
    <s v="TA936863"/>
    <d v="1899-12-30T00:00:00"/>
    <m/>
    <m/>
    <m/>
    <m/>
    <m/>
    <d v="1899-12-30T00:00:00"/>
    <d v="2015-04-20T11:25:21"/>
    <m/>
    <m/>
    <d v="1899-12-30T00:00:00"/>
    <d v="1899-12-30T00:00:00"/>
    <d v="1899-12-30T00:00:00"/>
    <s v=""/>
    <s v="Company14TA93686342114"/>
    <x v="12"/>
    <x v="30"/>
  </r>
  <r>
    <n v="11086"/>
    <x v="16"/>
    <m/>
    <n v="777"/>
    <s v="Location3"/>
    <d v="2015-04-20T00:00:00"/>
    <x v="0"/>
    <s v="TA936863"/>
    <d v="1899-12-30T00:00:00"/>
    <m/>
    <m/>
    <m/>
    <m/>
    <m/>
    <d v="1899-12-30T00:00:00"/>
    <d v="2015-04-20T11:27:45"/>
    <m/>
    <m/>
    <d v="1899-12-30T00:00:00"/>
    <d v="1899-12-30T00:00:00"/>
    <d v="1899-12-30T00:00:00"/>
    <s v=""/>
    <s v="Company14TA93686342114"/>
    <x v="12"/>
    <x v="30"/>
  </r>
  <r>
    <n v="11087"/>
    <x v="16"/>
    <m/>
    <n v="340"/>
    <s v="Location3"/>
    <d v="2015-04-20T00:00:00"/>
    <x v="0"/>
    <s v="TA936863"/>
    <d v="1899-12-30T00:00:00"/>
    <m/>
    <m/>
    <m/>
    <m/>
    <m/>
    <d v="1899-12-30T00:00:00"/>
    <d v="2015-04-20T11:31:29"/>
    <m/>
    <m/>
    <d v="1899-12-30T00:00:00"/>
    <d v="1899-12-30T00:00:00"/>
    <d v="1899-12-30T00:00:00"/>
    <s v=""/>
    <s v="Company14TA93686342114"/>
    <x v="12"/>
    <x v="30"/>
  </r>
  <r>
    <n v="11088"/>
    <x v="16"/>
    <m/>
    <n v="513"/>
    <s v="Location3"/>
    <d v="2015-04-20T00:00:00"/>
    <x v="0"/>
    <s v="TA936863"/>
    <d v="1899-12-30T00:00:00"/>
    <m/>
    <m/>
    <m/>
    <m/>
    <m/>
    <d v="1899-12-30T00:00:00"/>
    <d v="2015-04-20T11:34:07"/>
    <m/>
    <m/>
    <d v="1899-12-30T00:00:00"/>
    <d v="1899-12-30T00:00:00"/>
    <d v="1899-12-30T00:00:00"/>
    <s v=""/>
    <s v="Company14TA93686342114"/>
    <x v="12"/>
    <x v="30"/>
  </r>
  <r>
    <n v="11089"/>
    <x v="16"/>
    <m/>
    <n v="243"/>
    <s v="Location3"/>
    <d v="2015-04-20T00:00:00"/>
    <x v="0"/>
    <s v="TA936863"/>
    <d v="1899-12-30T00:00:00"/>
    <m/>
    <m/>
    <m/>
    <m/>
    <m/>
    <d v="1899-12-30T00:00:00"/>
    <d v="2015-04-20T11:36:24"/>
    <m/>
    <m/>
    <d v="1899-12-30T00:00:00"/>
    <d v="1899-12-30T00:00:00"/>
    <d v="1899-12-30T00:00:00"/>
    <s v=""/>
    <s v="Company14TA93686342114"/>
    <x v="12"/>
    <x v="30"/>
  </r>
  <r>
    <n v="11090"/>
    <x v="8"/>
    <m/>
    <n v="800"/>
    <s v="Location3"/>
    <d v="2015-04-20T00:00:00"/>
    <x v="0"/>
    <s v="TA936863"/>
    <d v="1899-12-30T00:00:00"/>
    <m/>
    <m/>
    <m/>
    <m/>
    <m/>
    <d v="1899-12-30T00:00:00"/>
    <d v="2015-04-20T11:39:12"/>
    <m/>
    <m/>
    <d v="1899-12-30T00:00:00"/>
    <d v="1899-12-30T00:00:00"/>
    <d v="1899-12-30T00:00:00"/>
    <s v=""/>
    <s v="Company14TA93686342114"/>
    <x v="12"/>
    <x v="30"/>
  </r>
  <r>
    <n v="11091"/>
    <x v="8"/>
    <m/>
    <n v="836"/>
    <s v="Location3"/>
    <d v="2015-04-20T00:00:00"/>
    <x v="0"/>
    <s v="TA936863"/>
    <d v="1899-12-30T00:00:00"/>
    <m/>
    <m/>
    <m/>
    <m/>
    <m/>
    <d v="1899-12-30T00:00:00"/>
    <d v="2015-04-20T11:43:33"/>
    <m/>
    <m/>
    <d v="1899-12-30T00:00:00"/>
    <d v="1899-12-30T00:00:00"/>
    <d v="1899-12-30T00:00:00"/>
    <s v=""/>
    <s v="Company14TA93686342114"/>
    <x v="12"/>
    <x v="30"/>
  </r>
  <r>
    <n v="11092"/>
    <x v="8"/>
    <m/>
    <n v="675"/>
    <s v="Location3"/>
    <d v="2015-04-20T00:00:00"/>
    <x v="0"/>
    <s v="TA936863"/>
    <d v="1899-12-30T00:00:00"/>
    <m/>
    <m/>
    <m/>
    <m/>
    <m/>
    <d v="1899-12-30T00:00:00"/>
    <d v="2015-04-20T11:51:37"/>
    <m/>
    <m/>
    <d v="1899-12-30T00:00:00"/>
    <d v="1899-12-30T00:00:00"/>
    <d v="1899-12-30T00:00:00"/>
    <s v=""/>
    <s v="Company14TA93686342114"/>
    <x v="12"/>
    <x v="30"/>
  </r>
  <r>
    <n v="11093"/>
    <x v="8"/>
    <m/>
    <n v="1100"/>
    <s v="Location3"/>
    <d v="2015-04-20T00:00:00"/>
    <x v="0"/>
    <s v="TA936863"/>
    <d v="1899-12-30T00:00:00"/>
    <m/>
    <m/>
    <m/>
    <m/>
    <m/>
    <d v="1899-12-30T00:00:00"/>
    <d v="2015-04-20T11:53:48"/>
    <m/>
    <m/>
    <d v="1899-12-30T00:00:00"/>
    <d v="1899-12-30T00:00:00"/>
    <d v="1899-12-30T00:00:00"/>
    <s v=""/>
    <s v="Company14TA93686342114"/>
    <x v="12"/>
    <x v="30"/>
  </r>
  <r>
    <n v="11094"/>
    <x v="8"/>
    <m/>
    <n v="1048"/>
    <s v="Location3"/>
    <d v="2015-04-20T00:00:00"/>
    <x v="0"/>
    <s v="TA936863"/>
    <d v="1899-12-30T00:00:00"/>
    <m/>
    <m/>
    <m/>
    <m/>
    <m/>
    <d v="1899-12-30T00:00:00"/>
    <d v="2015-04-20T11:56:08"/>
    <m/>
    <m/>
    <d v="1899-12-30T00:00:00"/>
    <d v="1899-12-30T00:00:00"/>
    <d v="1899-12-30T00:00:00"/>
    <s v=""/>
    <s v="Company14TA93686342114"/>
    <x v="12"/>
    <x v="30"/>
  </r>
  <r>
    <n v="11095"/>
    <x v="8"/>
    <m/>
    <n v="1011"/>
    <s v="Location3"/>
    <d v="2015-04-20T00:00:00"/>
    <x v="0"/>
    <s v="TA936863"/>
    <d v="1899-12-30T00:00:00"/>
    <m/>
    <m/>
    <m/>
    <m/>
    <m/>
    <d v="1899-12-30T00:00:00"/>
    <d v="2015-04-20T12:31:46"/>
    <m/>
    <m/>
    <d v="1899-12-30T00:00:00"/>
    <d v="1899-12-30T00:00:00"/>
    <d v="1899-12-30T00:00:00"/>
    <s v=""/>
    <s v="Company14TA93686342114"/>
    <x v="12"/>
    <x v="30"/>
  </r>
  <r>
    <n v="11096"/>
    <x v="8"/>
    <m/>
    <n v="1017"/>
    <s v="Location3"/>
    <d v="2015-04-20T00:00:00"/>
    <x v="0"/>
    <s v="TA936863"/>
    <d v="1899-12-30T00:00:00"/>
    <m/>
    <m/>
    <m/>
    <m/>
    <m/>
    <d v="1899-12-30T00:00:00"/>
    <d v="2015-04-20T12:33:47"/>
    <m/>
    <m/>
    <d v="1899-12-30T00:00:00"/>
    <d v="1899-12-30T00:00:00"/>
    <d v="1899-12-30T00:00:00"/>
    <s v=""/>
    <s v="Company14TA93686342114"/>
    <x v="12"/>
    <x v="30"/>
  </r>
  <r>
    <n v="11097"/>
    <x v="8"/>
    <m/>
    <n v="800"/>
    <s v="Location3"/>
    <d v="2015-04-20T00:00:00"/>
    <x v="0"/>
    <s v="TA936863"/>
    <d v="1899-12-30T00:00:00"/>
    <m/>
    <m/>
    <m/>
    <m/>
    <m/>
    <d v="1899-12-30T00:00:00"/>
    <d v="2015-04-20T12:35:57"/>
    <m/>
    <m/>
    <d v="1899-12-30T00:00:00"/>
    <d v="1899-12-30T00:00:00"/>
    <d v="1899-12-30T00:00:00"/>
    <s v=""/>
    <s v="Company14TA93686342114"/>
    <x v="12"/>
    <x v="30"/>
  </r>
  <r>
    <n v="11098"/>
    <x v="8"/>
    <m/>
    <n v="1019"/>
    <s v="Location3"/>
    <d v="2015-04-20T00:00:00"/>
    <x v="0"/>
    <s v="TA936863"/>
    <d v="1899-12-30T00:00:00"/>
    <m/>
    <m/>
    <m/>
    <m/>
    <m/>
    <d v="1899-12-30T00:00:00"/>
    <d v="2015-04-20T12:38:39"/>
    <m/>
    <m/>
    <d v="1899-12-30T00:00:00"/>
    <d v="1899-12-30T00:00:00"/>
    <d v="1899-12-30T00:00:00"/>
    <s v=""/>
    <s v="Company14TA93686342114"/>
    <x v="12"/>
    <x v="30"/>
  </r>
  <r>
    <n v="11099"/>
    <x v="8"/>
    <m/>
    <n v="877"/>
    <s v="Location3"/>
    <d v="2015-04-20T00:00:00"/>
    <x v="0"/>
    <s v="TA936863"/>
    <d v="1899-12-30T00:00:00"/>
    <m/>
    <m/>
    <m/>
    <m/>
    <m/>
    <d v="1899-12-30T00:00:00"/>
    <d v="2015-04-20T12:40:55"/>
    <m/>
    <m/>
    <d v="1899-12-30T00:00:00"/>
    <d v="1899-12-30T00:00:00"/>
    <d v="1899-12-30T00:00:00"/>
    <s v=""/>
    <s v="Company14TA93686342114"/>
    <x v="12"/>
    <x v="30"/>
  </r>
  <r>
    <n v="11100"/>
    <x v="8"/>
    <m/>
    <n v="984"/>
    <s v="Location3"/>
    <d v="2015-04-20T00:00:00"/>
    <x v="0"/>
    <s v="TA936863"/>
    <d v="1899-12-30T00:00:00"/>
    <m/>
    <m/>
    <m/>
    <m/>
    <m/>
    <d v="1899-12-30T00:00:00"/>
    <d v="2015-04-20T12:43:21"/>
    <m/>
    <m/>
    <d v="1899-12-30T00:00:00"/>
    <d v="1899-12-30T00:00:00"/>
    <d v="1899-12-30T00:00:00"/>
    <s v=""/>
    <s v="Company14TA93686342114"/>
    <x v="12"/>
    <x v="30"/>
  </r>
  <r>
    <n v="11101"/>
    <x v="8"/>
    <m/>
    <n v="1399"/>
    <s v="Location3"/>
    <d v="2015-04-20T00:00:00"/>
    <x v="0"/>
    <s v="TA936863"/>
    <d v="1899-12-30T00:00:00"/>
    <m/>
    <m/>
    <m/>
    <m/>
    <m/>
    <d v="1899-12-30T00:00:00"/>
    <d v="2015-04-20T12:48:41"/>
    <m/>
    <m/>
    <d v="1899-12-30T00:00:00"/>
    <d v="1899-12-30T00:00:00"/>
    <d v="1899-12-30T00:00:00"/>
    <s v=""/>
    <s v="Company14TA93686342114"/>
    <x v="12"/>
    <x v="30"/>
  </r>
  <r>
    <n v="11102"/>
    <x v="8"/>
    <m/>
    <n v="848"/>
    <s v="Location3"/>
    <d v="2015-04-20T00:00:00"/>
    <x v="0"/>
    <s v="TA936863"/>
    <d v="1899-12-30T00:00:00"/>
    <m/>
    <m/>
    <m/>
    <m/>
    <m/>
    <d v="1899-12-30T00:00:00"/>
    <d v="2015-04-20T12:51:50"/>
    <m/>
    <m/>
    <d v="1899-12-30T00:00:00"/>
    <d v="1899-12-30T00:00:00"/>
    <d v="1899-12-30T00:00:00"/>
    <s v=""/>
    <s v="Company14TA93686342114"/>
    <x v="12"/>
    <x v="30"/>
  </r>
  <r>
    <n v="11103"/>
    <x v="8"/>
    <m/>
    <n v="1088"/>
    <s v="Location3"/>
    <d v="2015-04-20T00:00:00"/>
    <x v="0"/>
    <s v="TA936863"/>
    <d v="1899-12-30T00:00:00"/>
    <m/>
    <m/>
    <m/>
    <m/>
    <m/>
    <d v="1899-12-30T00:00:00"/>
    <d v="2015-04-20T12:53:59"/>
    <m/>
    <m/>
    <d v="1899-12-30T00:00:00"/>
    <d v="1899-12-30T00:00:00"/>
    <d v="1899-12-30T00:00:00"/>
    <s v=""/>
    <s v="Company14TA93686342114"/>
    <x v="12"/>
    <x v="30"/>
  </r>
  <r>
    <n v="11104"/>
    <x v="8"/>
    <m/>
    <n v="1377"/>
    <s v="Location3"/>
    <d v="2015-04-20T00:00:00"/>
    <x v="0"/>
    <s v="TA936863"/>
    <d v="1899-12-30T00:00:00"/>
    <m/>
    <m/>
    <m/>
    <m/>
    <m/>
    <d v="1899-12-30T00:00:00"/>
    <d v="2015-04-20T12:56:13"/>
    <m/>
    <m/>
    <d v="1899-12-30T00:00:00"/>
    <d v="1899-12-30T00:00:00"/>
    <d v="1899-12-30T00:00:00"/>
    <s v=""/>
    <s v="Company14TA93686342114"/>
    <x v="12"/>
    <x v="30"/>
  </r>
  <r>
    <n v="11105"/>
    <x v="8"/>
    <m/>
    <n v="900"/>
    <s v="Location3"/>
    <d v="2015-04-20T00:00:00"/>
    <x v="0"/>
    <s v="TA936863"/>
    <d v="1899-12-30T00:00:00"/>
    <m/>
    <m/>
    <m/>
    <m/>
    <m/>
    <d v="1899-12-30T00:00:00"/>
    <d v="2015-04-20T12:58:18"/>
    <m/>
    <m/>
    <d v="1899-12-30T00:00:00"/>
    <d v="1899-12-30T00:00:00"/>
    <d v="1899-12-30T00:00:00"/>
    <s v=""/>
    <s v="Company14TA93686342114"/>
    <x v="12"/>
    <x v="30"/>
  </r>
  <r>
    <n v="11106"/>
    <x v="8"/>
    <m/>
    <n v="778"/>
    <s v="Location3"/>
    <d v="2015-04-20T00:00:00"/>
    <x v="0"/>
    <s v="TA936863"/>
    <d v="1899-12-30T00:00:00"/>
    <m/>
    <m/>
    <m/>
    <m/>
    <m/>
    <d v="1899-12-30T00:00:00"/>
    <d v="2015-04-20T13:00:25"/>
    <m/>
    <m/>
    <d v="1899-12-30T00:00:00"/>
    <d v="1899-12-30T00:00:00"/>
    <d v="1899-12-30T00:00:00"/>
    <s v=""/>
    <s v="Company14TA93686342114"/>
    <x v="12"/>
    <x v="30"/>
  </r>
  <r>
    <n v="11107"/>
    <x v="8"/>
    <m/>
    <n v="1031"/>
    <s v="Location3"/>
    <d v="2015-04-20T00:00:00"/>
    <x v="0"/>
    <s v="TA936863"/>
    <d v="1899-12-30T00:00:00"/>
    <m/>
    <m/>
    <m/>
    <m/>
    <m/>
    <d v="1899-12-30T00:00:00"/>
    <d v="2015-04-20T13:02:24"/>
    <m/>
    <m/>
    <d v="1899-12-30T00:00:00"/>
    <d v="1899-12-30T00:00:00"/>
    <d v="1899-12-30T00:00:00"/>
    <s v=""/>
    <s v="Company14TA93686342114"/>
    <x v="12"/>
    <x v="30"/>
  </r>
  <r>
    <n v="11689"/>
    <x v="5"/>
    <m/>
    <n v="350"/>
    <s v="Location6"/>
    <d v="2015-05-29T11:27:11"/>
    <x v="0"/>
    <s v="kkfu906443-1"/>
    <d v="1899-12-30T00:00:00"/>
    <m/>
    <m/>
    <m/>
    <m/>
    <m/>
    <d v="1899-12-30T00:00:00"/>
    <d v="2015-06-02T11:27:11"/>
    <m/>
    <m/>
    <d v="1899-12-30T00:00:00"/>
    <d v="1899-12-30T00:00:00"/>
    <d v="1899-12-30T00:00:00"/>
    <d v="1899-12-31T00:00:00"/>
    <s v="Company14KKFU906443-142153"/>
    <x v="13"/>
    <x v="31"/>
  </r>
  <r>
    <n v="11690"/>
    <x v="5"/>
    <m/>
    <n v="650"/>
    <s v="Location6"/>
    <d v="2015-05-29T11:27:11"/>
    <x v="0"/>
    <s v="kkfu906443-1"/>
    <d v="1899-12-30T00:00:00"/>
    <m/>
    <m/>
    <m/>
    <m/>
    <m/>
    <d v="1899-12-30T00:00:00"/>
    <d v="2015-06-02T11:37:04"/>
    <m/>
    <m/>
    <d v="1899-12-30T00:00:00"/>
    <d v="1899-12-30T00:00:00"/>
    <d v="1899-12-30T00:00:00"/>
    <s v=""/>
    <s v="Company14KKFU906443-142153"/>
    <x v="13"/>
    <x v="31"/>
  </r>
  <r>
    <n v="11691"/>
    <x v="16"/>
    <s v="Clear"/>
    <n v="630"/>
    <s v="Location6"/>
    <d v="2015-05-29T11:27:11"/>
    <x v="0"/>
    <s v="kkfu906443-1"/>
    <d v="1899-12-30T00:00:00"/>
    <m/>
    <m/>
    <m/>
    <m/>
    <m/>
    <d v="1899-12-30T00:00:00"/>
    <d v="2015-06-02T11:52:13"/>
    <m/>
    <m/>
    <d v="1899-12-30T00:00:00"/>
    <d v="1899-12-30T00:00:00"/>
    <d v="1899-12-30T00:00:00"/>
    <s v=""/>
    <s v="Company14KKFU906443-142153"/>
    <x v="13"/>
    <x v="31"/>
  </r>
  <r>
    <n v="11692"/>
    <x v="16"/>
    <s v="Clear"/>
    <n v="500"/>
    <s v="Location6"/>
    <d v="2015-05-29T11:27:11"/>
    <x v="0"/>
    <s v="kkfu906443-1"/>
    <d v="1899-12-30T00:00:00"/>
    <m/>
    <m/>
    <m/>
    <m/>
    <m/>
    <d v="1899-12-30T00:00:00"/>
    <d v="2015-06-02T11:52:21"/>
    <m/>
    <m/>
    <d v="1899-12-30T00:00:00"/>
    <d v="1899-12-30T00:00:00"/>
    <d v="1899-12-30T00:00:00"/>
    <s v=""/>
    <s v="Company14KKFU906443-142153"/>
    <x v="13"/>
    <x v="31"/>
  </r>
  <r>
    <n v="11694"/>
    <x v="16"/>
    <s v="Clear"/>
    <n v="920"/>
    <s v="Location6"/>
    <d v="2015-05-29T11:27:11"/>
    <x v="0"/>
    <s v="kkfu906443-1"/>
    <d v="1899-12-30T00:00:00"/>
    <m/>
    <m/>
    <m/>
    <m/>
    <m/>
    <d v="1899-12-30T00:00:00"/>
    <d v="2015-06-03T08:33:40"/>
    <m/>
    <m/>
    <d v="1899-12-30T00:00:00"/>
    <d v="1899-12-30T00:00:00"/>
    <d v="1899-12-30T00:00:00"/>
    <s v=""/>
    <s v="Company14KKFU906443-142153"/>
    <x v="13"/>
    <x v="31"/>
  </r>
  <r>
    <n v="11695"/>
    <x v="16"/>
    <s v="Clear"/>
    <n v="642"/>
    <s v="Location6"/>
    <d v="2015-05-29T11:27:11"/>
    <x v="0"/>
    <s v="kkfu906443-1"/>
    <d v="1899-12-30T00:00:00"/>
    <m/>
    <m/>
    <m/>
    <m/>
    <m/>
    <d v="1899-12-30T00:00:00"/>
    <d v="2015-06-03T08:39:20"/>
    <m/>
    <m/>
    <d v="1899-12-30T00:00:00"/>
    <d v="1899-12-30T00:00:00"/>
    <d v="1899-12-30T00:00:00"/>
    <s v=""/>
    <s v="Company14KKFU906443-142153"/>
    <x v="13"/>
    <x v="31"/>
  </r>
  <r>
    <n v="11696"/>
    <x v="16"/>
    <s v="Clear"/>
    <n v="1030"/>
    <s v="Location6"/>
    <d v="2015-05-29T11:27:11"/>
    <x v="0"/>
    <s v="kkfu906443-1"/>
    <d v="1899-12-30T00:00:00"/>
    <m/>
    <m/>
    <m/>
    <m/>
    <m/>
    <d v="1899-12-30T00:00:00"/>
    <d v="2015-06-03T08:41:55"/>
    <m/>
    <m/>
    <d v="1899-12-30T00:00:00"/>
    <d v="1899-12-30T00:00:00"/>
    <d v="1899-12-30T00:00:00"/>
    <s v=""/>
    <s v="Company14KKFU906443-142153"/>
    <x v="13"/>
    <x v="31"/>
  </r>
  <r>
    <n v="11697"/>
    <x v="16"/>
    <s v="Clear"/>
    <n v="1034"/>
    <s v="Location6"/>
    <d v="2015-05-29T11:27:11"/>
    <x v="0"/>
    <s v="kkfu906443-1"/>
    <d v="1899-12-30T00:00:00"/>
    <m/>
    <m/>
    <m/>
    <m/>
    <m/>
    <d v="1899-12-30T00:00:00"/>
    <d v="2015-06-03T08:44:27"/>
    <m/>
    <m/>
    <d v="1899-12-30T00:00:00"/>
    <d v="1899-12-30T00:00:00"/>
    <d v="1899-12-30T00:00:00"/>
    <s v=""/>
    <s v="Company14KKFU906443-142153"/>
    <x v="13"/>
    <x v="31"/>
  </r>
  <r>
    <n v="11698"/>
    <x v="16"/>
    <s v="Clear"/>
    <n v="710"/>
    <s v="Location6"/>
    <d v="2015-05-29T11:27:11"/>
    <x v="0"/>
    <s v="kkfu906443-1"/>
    <d v="1899-12-30T00:00:00"/>
    <m/>
    <m/>
    <m/>
    <m/>
    <m/>
    <d v="1899-12-30T00:00:00"/>
    <d v="2015-06-03T08:49:31"/>
    <m/>
    <m/>
    <d v="1899-12-30T00:00:00"/>
    <d v="1899-12-30T00:00:00"/>
    <d v="1899-12-30T00:00:00"/>
    <s v=""/>
    <s v="Company14KKFU906443-142153"/>
    <x v="13"/>
    <x v="31"/>
  </r>
  <r>
    <n v="11699"/>
    <x v="16"/>
    <s v="Clear"/>
    <n v="550"/>
    <s v="Location6"/>
    <d v="2015-05-29T11:27:11"/>
    <x v="0"/>
    <s v="kkfu906443-1"/>
    <d v="1899-12-30T00:00:00"/>
    <m/>
    <m/>
    <m/>
    <m/>
    <m/>
    <d v="1899-12-30T00:00:00"/>
    <d v="2015-06-03T08:52:24"/>
    <m/>
    <m/>
    <d v="1899-12-30T00:00:00"/>
    <d v="1899-12-30T00:00:00"/>
    <d v="1899-12-30T00:00:00"/>
    <s v=""/>
    <s v="Company14KKFU906443-142153"/>
    <x v="13"/>
    <x v="31"/>
  </r>
  <r>
    <n v="11700"/>
    <x v="16"/>
    <s v="Clear"/>
    <n v="730"/>
    <s v="Location6"/>
    <d v="2015-05-29T11:27:11"/>
    <x v="0"/>
    <s v="kkfu906443-1"/>
    <d v="1899-12-30T00:00:00"/>
    <m/>
    <m/>
    <m/>
    <m/>
    <m/>
    <d v="1899-12-30T00:00:00"/>
    <d v="2015-06-03T08:54:34"/>
    <m/>
    <m/>
    <d v="1899-12-30T00:00:00"/>
    <d v="1899-12-30T00:00:00"/>
    <d v="1899-12-30T00:00:00"/>
    <s v=""/>
    <s v="Company14KKFU906443-142153"/>
    <x v="13"/>
    <x v="31"/>
  </r>
  <r>
    <n v="11701"/>
    <x v="16"/>
    <s v="Clear"/>
    <n v="570"/>
    <s v="Location6"/>
    <d v="2015-05-29T11:27:11"/>
    <x v="0"/>
    <s v="kkfu906443-1"/>
    <d v="1899-12-30T00:00:00"/>
    <m/>
    <m/>
    <m/>
    <m/>
    <m/>
    <d v="1899-12-30T00:00:00"/>
    <d v="2015-06-03T08:57:18"/>
    <m/>
    <m/>
    <d v="1899-12-30T00:00:00"/>
    <d v="1899-12-30T00:00:00"/>
    <d v="1899-12-30T00:00:00"/>
    <s v=""/>
    <s v="Company14KKFU906443-142153"/>
    <x v="13"/>
    <x v="31"/>
  </r>
  <r>
    <n v="11702"/>
    <x v="16"/>
    <s v="Clear"/>
    <n v="762"/>
    <s v="Location6"/>
    <d v="2015-05-29T11:27:11"/>
    <x v="0"/>
    <s v="kkfu906443-1"/>
    <d v="1899-12-30T00:00:00"/>
    <m/>
    <m/>
    <m/>
    <m/>
    <m/>
    <d v="1899-12-30T00:00:00"/>
    <d v="2015-06-03T09:00:52"/>
    <m/>
    <m/>
    <d v="1899-12-30T00:00:00"/>
    <d v="1899-12-30T00:00:00"/>
    <d v="1899-12-30T00:00:00"/>
    <s v=""/>
    <s v="Company14KKFU906443-142153"/>
    <x v="13"/>
    <x v="31"/>
  </r>
  <r>
    <n v="11703"/>
    <x v="16"/>
    <s v="Clear"/>
    <n v="858"/>
    <s v="Location6"/>
    <d v="2015-05-29T11:27:11"/>
    <x v="0"/>
    <s v="kkfu906443-1"/>
    <d v="1899-12-30T00:00:00"/>
    <m/>
    <m/>
    <m/>
    <m/>
    <m/>
    <d v="1899-12-30T00:00:00"/>
    <d v="2015-06-03T09:04:24"/>
    <m/>
    <m/>
    <d v="1899-12-30T00:00:00"/>
    <d v="1899-12-30T00:00:00"/>
    <d v="1899-12-30T00:00:00"/>
    <s v=""/>
    <s v="Company14KKFU906443-142153"/>
    <x v="13"/>
    <x v="31"/>
  </r>
  <r>
    <n v="11704"/>
    <x v="16"/>
    <s v="Clear"/>
    <n v="870"/>
    <s v="Location6"/>
    <d v="2015-05-29T11:27:11"/>
    <x v="0"/>
    <s v="kkfu906443-1"/>
    <d v="1899-12-30T00:00:00"/>
    <m/>
    <m/>
    <m/>
    <m/>
    <m/>
    <d v="1899-12-30T00:00:00"/>
    <d v="2015-06-03T09:08:30"/>
    <m/>
    <m/>
    <d v="1899-12-30T00:00:00"/>
    <d v="1899-12-30T00:00:00"/>
    <d v="1899-12-30T00:00:00"/>
    <s v=""/>
    <s v="Company14KKFU906443-142153"/>
    <x v="13"/>
    <x v="31"/>
  </r>
  <r>
    <n v="11705"/>
    <x v="16"/>
    <s v="Clear"/>
    <n v="760"/>
    <s v="Location6"/>
    <d v="2015-05-29T11:27:11"/>
    <x v="0"/>
    <s v="kkfu906443-1"/>
    <d v="1899-12-30T00:00:00"/>
    <m/>
    <m/>
    <m/>
    <m/>
    <m/>
    <d v="1899-12-30T00:00:00"/>
    <d v="2015-06-03T09:11:54"/>
    <m/>
    <m/>
    <d v="1899-12-30T00:00:00"/>
    <d v="1899-12-30T00:00:00"/>
    <d v="1899-12-30T00:00:00"/>
    <s v=""/>
    <s v="Company14KKFU906443-142153"/>
    <x v="13"/>
    <x v="31"/>
  </r>
  <r>
    <n v="11706"/>
    <x v="16"/>
    <s v="Clear"/>
    <n v="762"/>
    <s v="Location6"/>
    <d v="2015-05-29T11:27:11"/>
    <x v="0"/>
    <s v="kkfu906443-1"/>
    <d v="1899-12-30T00:00:00"/>
    <m/>
    <m/>
    <m/>
    <m/>
    <m/>
    <d v="1899-12-30T00:00:00"/>
    <d v="2015-06-03T09:14:27"/>
    <m/>
    <m/>
    <d v="1899-12-30T00:00:00"/>
    <d v="1899-12-30T00:00:00"/>
    <d v="1899-12-30T00:00:00"/>
    <s v=""/>
    <s v="Company14KKFU906443-142153"/>
    <x v="13"/>
    <x v="31"/>
  </r>
  <r>
    <n v="11707"/>
    <x v="16"/>
    <s v="Clear"/>
    <n v="600"/>
    <s v="Location6"/>
    <d v="2015-05-29T11:27:11"/>
    <x v="0"/>
    <s v="kkfu906443-1"/>
    <d v="1899-12-30T00:00:00"/>
    <m/>
    <m/>
    <m/>
    <m/>
    <m/>
    <d v="1899-12-30T00:00:00"/>
    <d v="2015-06-03T10:57:26"/>
    <m/>
    <m/>
    <d v="1899-12-30T00:00:00"/>
    <d v="1899-12-30T00:00:00"/>
    <d v="1899-12-30T00:00:00"/>
    <s v=""/>
    <s v="Company14KKFU906443-142153"/>
    <x v="13"/>
    <x v="31"/>
  </r>
  <r>
    <n v="11708"/>
    <x v="16"/>
    <s v="Clear"/>
    <n v="770"/>
    <s v="Location6"/>
    <d v="2015-05-29T11:27:11"/>
    <x v="0"/>
    <s v="kkfu906443-1"/>
    <d v="1899-12-30T00:00:00"/>
    <m/>
    <m/>
    <m/>
    <m/>
    <m/>
    <d v="1899-12-30T00:00:00"/>
    <d v="2015-06-03T11:07:59"/>
    <m/>
    <m/>
    <d v="1899-12-30T00:00:00"/>
    <d v="1899-12-30T00:00:00"/>
    <d v="1899-12-30T00:00:00"/>
    <s v=""/>
    <s v="Company14KKFU906443-142153"/>
    <x v="13"/>
    <x v="31"/>
  </r>
  <r>
    <n v="11709"/>
    <x v="16"/>
    <s v="Clear"/>
    <n v="730"/>
    <s v="Location6"/>
    <d v="2015-05-29T11:27:11"/>
    <x v="0"/>
    <s v="kkfu906443-1"/>
    <d v="1899-12-30T00:00:00"/>
    <m/>
    <m/>
    <m/>
    <m/>
    <m/>
    <d v="1899-12-30T00:00:00"/>
    <d v="2015-06-03T11:10:49"/>
    <m/>
    <m/>
    <d v="1899-12-30T00:00:00"/>
    <d v="1899-12-30T00:00:00"/>
    <d v="1899-12-30T00:00:00"/>
    <s v=""/>
    <s v="Company14KKFU906443-142153"/>
    <x v="13"/>
    <x v="31"/>
  </r>
  <r>
    <n v="11710"/>
    <x v="16"/>
    <s v="Clear"/>
    <n v="750"/>
    <s v="Location6"/>
    <d v="2015-05-29T11:27:11"/>
    <x v="0"/>
    <s v="kkfu906443-1"/>
    <d v="1899-12-30T00:00:00"/>
    <m/>
    <m/>
    <m/>
    <m/>
    <m/>
    <d v="1899-12-30T00:00:00"/>
    <d v="2015-06-03T11:16:59"/>
    <m/>
    <m/>
    <d v="1899-12-30T00:00:00"/>
    <d v="1899-12-30T00:00:00"/>
    <d v="1899-12-30T00:00:00"/>
    <s v=""/>
    <s v="Company14KKFU906443-142153"/>
    <x v="13"/>
    <x v="31"/>
  </r>
  <r>
    <n v="11711"/>
    <x v="16"/>
    <s v="Clear"/>
    <n v="858"/>
    <s v="Location6"/>
    <d v="2015-05-29T11:27:11"/>
    <x v="0"/>
    <s v="kkfu906443-1"/>
    <d v="1899-12-30T00:00:00"/>
    <m/>
    <m/>
    <m/>
    <m/>
    <m/>
    <d v="1899-12-30T00:00:00"/>
    <d v="2015-06-03T11:20:45"/>
    <m/>
    <m/>
    <d v="1899-12-30T00:00:00"/>
    <d v="1899-12-30T00:00:00"/>
    <d v="1899-12-30T00:00:00"/>
    <s v=""/>
    <s v="Company14KKFU906443-142153"/>
    <x v="13"/>
    <x v="31"/>
  </r>
  <r>
    <n v="11712"/>
    <x v="16"/>
    <s v="Clear"/>
    <n v="530"/>
    <s v="Location6"/>
    <d v="2015-05-29T11:27:11"/>
    <x v="0"/>
    <s v="340vc"/>
    <d v="1899-12-30T00:00:00"/>
    <m/>
    <m/>
    <m/>
    <m/>
    <m/>
    <d v="1899-12-30T00:00:00"/>
    <d v="2015-06-03T11:28:44"/>
    <m/>
    <m/>
    <d v="1899-12-30T00:00:00"/>
    <d v="1899-12-30T00:00:00"/>
    <d v="1899-12-30T00:00:00"/>
    <d v="1899-12-31T00:00:00"/>
    <s v="Company14340VC42153"/>
    <x v="13"/>
    <x v="31"/>
  </r>
  <r>
    <n v="11713"/>
    <x v="16"/>
    <s v="Clear"/>
    <n v="510"/>
    <s v="Location6"/>
    <d v="2015-05-29T11:27:11"/>
    <x v="0"/>
    <s v="340vc"/>
    <d v="1899-12-30T00:00:00"/>
    <m/>
    <m/>
    <m/>
    <m/>
    <m/>
    <d v="1899-12-30T00:00:00"/>
    <d v="2015-06-03T11:30:30"/>
    <m/>
    <m/>
    <d v="1899-12-30T00:00:00"/>
    <d v="1899-12-30T00:00:00"/>
    <d v="1899-12-30T00:00:00"/>
    <s v=""/>
    <s v="Company14340VC42153"/>
    <x v="13"/>
    <x v="31"/>
  </r>
  <r>
    <n v="11714"/>
    <x v="16"/>
    <s v="Clear"/>
    <n v="530"/>
    <s v="Location6"/>
    <d v="2015-05-29T11:27:11"/>
    <x v="0"/>
    <s v="340vc"/>
    <d v="1899-12-30T00:00:00"/>
    <m/>
    <m/>
    <m/>
    <m/>
    <m/>
    <d v="1899-12-30T00:00:00"/>
    <d v="2015-06-03T11:32:51"/>
    <m/>
    <m/>
    <d v="1899-12-30T00:00:00"/>
    <d v="1899-12-30T00:00:00"/>
    <d v="1899-12-30T00:00:00"/>
    <s v=""/>
    <s v="Company14340VC42153"/>
    <x v="13"/>
    <x v="31"/>
  </r>
  <r>
    <n v="11715"/>
    <x v="16"/>
    <s v="Clear"/>
    <n v="520"/>
    <s v="Location6"/>
    <d v="2015-05-29T11:27:11"/>
    <x v="0"/>
    <s v="340vc"/>
    <d v="1899-12-30T00:00:00"/>
    <m/>
    <m/>
    <m/>
    <m/>
    <m/>
    <d v="1899-12-30T00:00:00"/>
    <d v="2015-06-03T11:43:15"/>
    <m/>
    <m/>
    <d v="1899-12-30T00:00:00"/>
    <d v="1899-12-30T00:00:00"/>
    <d v="1899-12-30T00:00:00"/>
    <s v=""/>
    <s v="Company14340VC42153"/>
    <x v="13"/>
    <x v="31"/>
  </r>
  <r>
    <n v="11716"/>
    <x v="16"/>
    <s v="Clear"/>
    <n v="540"/>
    <s v="Location6"/>
    <d v="2015-05-29T11:27:11"/>
    <x v="0"/>
    <s v="340vc"/>
    <d v="1899-12-30T00:00:00"/>
    <m/>
    <m/>
    <m/>
    <m/>
    <m/>
    <d v="1899-12-30T00:00:00"/>
    <d v="2015-06-03T11:45:32"/>
    <m/>
    <m/>
    <d v="1899-12-30T00:00:00"/>
    <d v="1899-12-30T00:00:00"/>
    <d v="1899-12-30T00:00:00"/>
    <s v=""/>
    <s v="Company14340VC42153"/>
    <x v="13"/>
    <x v="31"/>
  </r>
  <r>
    <n v="11717"/>
    <x v="16"/>
    <s v="Clear"/>
    <n v="600"/>
    <s v="Location6"/>
    <d v="2015-05-29T11:27:11"/>
    <x v="0"/>
    <s v="340vc"/>
    <d v="1899-12-30T00:00:00"/>
    <m/>
    <m/>
    <m/>
    <m/>
    <m/>
    <d v="1899-12-30T00:00:00"/>
    <d v="2015-06-03T11:49:01"/>
    <m/>
    <m/>
    <d v="1899-12-30T00:00:00"/>
    <d v="1899-12-30T00:00:00"/>
    <d v="1899-12-30T00:00:00"/>
    <s v=""/>
    <s v="Company14340VC42153"/>
    <x v="13"/>
    <x v="31"/>
  </r>
  <r>
    <n v="11718"/>
    <x v="16"/>
    <s v="Clear"/>
    <n v="800"/>
    <s v="Location6"/>
    <d v="2015-05-29T11:27:11"/>
    <x v="0"/>
    <s v="340vc"/>
    <d v="1899-12-30T00:00:00"/>
    <m/>
    <m/>
    <m/>
    <m/>
    <m/>
    <d v="1899-12-30T00:00:00"/>
    <d v="2015-06-03T11:51:20"/>
    <m/>
    <m/>
    <d v="1899-12-30T00:00:00"/>
    <d v="1899-12-30T00:00:00"/>
    <d v="1899-12-30T00:00:00"/>
    <s v=""/>
    <s v="Company14340VC42153"/>
    <x v="13"/>
    <x v="31"/>
  </r>
  <r>
    <n v="11719"/>
    <x v="16"/>
    <s v="Clear"/>
    <n v="580"/>
    <s v="Location6"/>
    <d v="2015-05-29T11:27:11"/>
    <x v="0"/>
    <s v="340vc"/>
    <d v="1899-12-30T00:00:00"/>
    <m/>
    <m/>
    <m/>
    <m/>
    <m/>
    <d v="1899-12-30T00:00:00"/>
    <d v="2015-06-03T11:55:53"/>
    <m/>
    <m/>
    <d v="1899-12-30T00:00:00"/>
    <d v="1899-12-30T00:00:00"/>
    <d v="1899-12-30T00:00:00"/>
    <s v=""/>
    <s v="Company14340VC42153"/>
    <x v="13"/>
    <x v="31"/>
  </r>
  <r>
    <n v="11721"/>
    <x v="16"/>
    <s v="Clear"/>
    <n v="420"/>
    <s v="Location6"/>
    <d v="2015-05-29T11:27:11"/>
    <x v="0"/>
    <s v="340vc"/>
    <d v="1899-12-30T00:00:00"/>
    <m/>
    <m/>
    <m/>
    <m/>
    <m/>
    <d v="1899-12-30T00:00:00"/>
    <d v="2015-06-04T10:26:29"/>
    <m/>
    <m/>
    <d v="1899-12-30T00:00:00"/>
    <d v="1899-12-30T00:00:00"/>
    <d v="1899-12-30T00:00:00"/>
    <s v=""/>
    <s v="Company14340VC42153"/>
    <x v="13"/>
    <x v="31"/>
  </r>
  <r>
    <n v="11722"/>
    <x v="16"/>
    <s v="Clear"/>
    <n v="530"/>
    <s v="Location6"/>
    <d v="2015-05-29T11:27:11"/>
    <x v="0"/>
    <s v="340vc"/>
    <d v="1899-12-30T00:00:00"/>
    <m/>
    <m/>
    <m/>
    <m/>
    <m/>
    <d v="1899-12-30T00:00:00"/>
    <d v="2015-06-04T10:29:29"/>
    <m/>
    <m/>
    <d v="1899-12-30T00:00:00"/>
    <d v="1899-12-30T00:00:00"/>
    <d v="1899-12-30T00:00:00"/>
    <s v=""/>
    <s v="Company14340VC42153"/>
    <x v="13"/>
    <x v="31"/>
  </r>
  <r>
    <n v="11723"/>
    <x v="16"/>
    <s v="Clear"/>
    <n v="520"/>
    <s v="Location6"/>
    <d v="2015-05-29T11:27:11"/>
    <x v="0"/>
    <s v="340vc"/>
    <d v="1899-12-30T00:00:00"/>
    <m/>
    <m/>
    <m/>
    <m/>
    <m/>
    <d v="1899-12-30T00:00:00"/>
    <d v="2015-06-04T11:32:07"/>
    <m/>
    <m/>
    <d v="1899-12-30T00:00:00"/>
    <d v="1899-12-30T00:00:00"/>
    <d v="1899-12-30T00:00:00"/>
    <s v=""/>
    <s v="Company14340VC42153"/>
    <x v="13"/>
    <x v="31"/>
  </r>
  <r>
    <n v="11724"/>
    <x v="16"/>
    <s v="Clear"/>
    <n v="480"/>
    <s v="Location6"/>
    <d v="2015-05-29T11:27:11"/>
    <x v="0"/>
    <s v="340vc"/>
    <d v="1899-12-30T00:00:00"/>
    <m/>
    <m/>
    <m/>
    <m/>
    <m/>
    <d v="1899-12-30T00:00:00"/>
    <d v="2015-06-04T11:34:50"/>
    <m/>
    <m/>
    <d v="1899-12-30T00:00:00"/>
    <d v="1899-12-30T00:00:00"/>
    <d v="1899-12-30T00:00:00"/>
    <s v=""/>
    <s v="Company14340VC42153"/>
    <x v="13"/>
    <x v="31"/>
  </r>
  <r>
    <n v="11725"/>
    <x v="16"/>
    <s v="Clear"/>
    <n v="550"/>
    <s v="Location6"/>
    <d v="2015-05-29T11:27:11"/>
    <x v="0"/>
    <s v="340vc"/>
    <d v="1899-12-30T00:00:00"/>
    <m/>
    <m/>
    <m/>
    <m/>
    <m/>
    <d v="1899-12-30T00:00:00"/>
    <d v="2015-06-04T13:16:33"/>
    <m/>
    <m/>
    <d v="1899-12-30T00:00:00"/>
    <d v="1899-12-30T00:00:00"/>
    <d v="1899-12-30T00:00:00"/>
    <s v=""/>
    <s v="Company14340VC42153"/>
    <x v="13"/>
    <x v="31"/>
  </r>
  <r>
    <n v="11726"/>
    <x v="16"/>
    <s v="Clear"/>
    <n v="540"/>
    <s v="Location6"/>
    <d v="2015-05-29T11:27:11"/>
    <x v="0"/>
    <s v="340vc"/>
    <d v="1899-12-30T00:00:00"/>
    <m/>
    <m/>
    <m/>
    <m/>
    <m/>
    <d v="1899-12-30T00:00:00"/>
    <d v="2015-06-04T13:42:14"/>
    <m/>
    <m/>
    <d v="1899-12-30T00:00:00"/>
    <d v="1899-12-30T00:00:00"/>
    <d v="1899-12-30T00:00:00"/>
    <s v=""/>
    <s v="Company14340VC42153"/>
    <x v="13"/>
    <x v="31"/>
  </r>
  <r>
    <n v="11727"/>
    <x v="16"/>
    <s v="Clear"/>
    <n v="630"/>
    <s v="Location6"/>
    <d v="2015-05-29T11:27:11"/>
    <x v="0"/>
    <s v="340vc"/>
    <d v="1899-12-30T00:00:00"/>
    <m/>
    <m/>
    <m/>
    <m/>
    <m/>
    <d v="1899-12-30T00:00:00"/>
    <d v="2015-06-04T13:45:38"/>
    <m/>
    <m/>
    <d v="1899-12-30T00:00:00"/>
    <d v="1899-12-30T00:00:00"/>
    <d v="1899-12-30T00:00:00"/>
    <s v=""/>
    <s v="Company14340VC42153"/>
    <x v="13"/>
    <x v="31"/>
  </r>
  <r>
    <n v="11728"/>
    <x v="16"/>
    <s v="Clear"/>
    <n v="1010"/>
    <s v="Location6"/>
    <d v="2015-05-29T11:27:11"/>
    <x v="0"/>
    <s v="340vc"/>
    <d v="1899-12-30T00:00:00"/>
    <m/>
    <m/>
    <m/>
    <m/>
    <m/>
    <d v="1899-12-30T00:00:00"/>
    <d v="2015-06-04T13:48:03"/>
    <m/>
    <m/>
    <d v="1899-12-30T00:00:00"/>
    <d v="1899-12-30T00:00:00"/>
    <d v="1899-12-30T00:00:00"/>
    <s v=""/>
    <s v="Company14340VC42153"/>
    <x v="13"/>
    <x v="31"/>
  </r>
  <r>
    <n v="11729"/>
    <x v="16"/>
    <s v="Clear"/>
    <n v="600"/>
    <s v="Location6"/>
    <d v="2015-05-29T11:27:11"/>
    <x v="0"/>
    <s v="340vc"/>
    <d v="1899-12-30T00:00:00"/>
    <m/>
    <m/>
    <m/>
    <m/>
    <m/>
    <d v="1899-12-30T00:00:00"/>
    <d v="2015-06-04T13:50:45"/>
    <m/>
    <m/>
    <d v="1899-12-30T00:00:00"/>
    <d v="1899-12-30T00:00:00"/>
    <d v="1899-12-30T00:00:00"/>
    <s v=""/>
    <s v="Company14340VC42153"/>
    <x v="13"/>
    <x v="31"/>
  </r>
  <r>
    <n v="11730"/>
    <x v="16"/>
    <s v="Clear"/>
    <n v="720"/>
    <s v="Location6"/>
    <d v="2015-05-29T11:27:11"/>
    <x v="0"/>
    <s v="340vc"/>
    <d v="1899-12-30T00:00:00"/>
    <m/>
    <m/>
    <m/>
    <m/>
    <m/>
    <d v="1899-12-30T00:00:00"/>
    <d v="2015-06-04T13:55:59"/>
    <m/>
    <m/>
    <d v="1899-12-30T00:00:00"/>
    <d v="1899-12-30T00:00:00"/>
    <d v="1899-12-30T00:00:00"/>
    <s v=""/>
    <s v="Company14340VC42153"/>
    <x v="13"/>
    <x v="31"/>
  </r>
  <r>
    <n v="11731"/>
    <x v="16"/>
    <s v="Clear"/>
    <n v="890"/>
    <s v="Location6"/>
    <d v="2015-05-29T11:27:11"/>
    <x v="0"/>
    <s v="340vc"/>
    <d v="1899-12-30T00:00:00"/>
    <m/>
    <m/>
    <m/>
    <m/>
    <m/>
    <d v="1899-12-30T00:00:00"/>
    <d v="2015-06-04T14:25:18"/>
    <m/>
    <m/>
    <d v="1899-12-30T00:00:00"/>
    <d v="1899-12-30T00:00:00"/>
    <d v="1899-12-30T00:00:00"/>
    <s v=""/>
    <s v="Company14340VC42153"/>
    <x v="13"/>
    <x v="31"/>
  </r>
  <r>
    <n v="11734"/>
    <x v="16"/>
    <s v="Clear"/>
    <n v="770"/>
    <s v="Location6"/>
    <d v="2015-05-29T11:27:11"/>
    <x v="0"/>
    <s v="340vc"/>
    <d v="1899-12-30T00:00:00"/>
    <m/>
    <m/>
    <m/>
    <m/>
    <m/>
    <d v="1899-12-30T00:00:00"/>
    <d v="2015-06-04T14:32:55"/>
    <m/>
    <m/>
    <d v="1899-12-30T00:00:00"/>
    <d v="1899-12-30T00:00:00"/>
    <d v="1899-12-30T00:00:00"/>
    <s v=""/>
    <s v="Company14340VC42153"/>
    <x v="13"/>
    <x v="31"/>
  </r>
  <r>
    <n v="11735"/>
    <x v="16"/>
    <s v="Clear"/>
    <n v="790"/>
    <s v="Location6"/>
    <d v="2015-05-29T11:27:11"/>
    <x v="0"/>
    <s v="340vc"/>
    <d v="1899-12-30T00:00:00"/>
    <m/>
    <m/>
    <m/>
    <m/>
    <m/>
    <d v="1899-12-30T00:00:00"/>
    <d v="2015-06-04T14:36:01"/>
    <m/>
    <m/>
    <d v="1899-12-30T00:00:00"/>
    <d v="1899-12-30T00:00:00"/>
    <d v="1899-12-30T00:00:00"/>
    <s v=""/>
    <s v="Company14340VC42153"/>
    <x v="13"/>
    <x v="31"/>
  </r>
  <r>
    <n v="11736"/>
    <x v="16"/>
    <s v="Clear"/>
    <n v="560"/>
    <s v="Location6"/>
    <d v="2015-05-29T11:27:11"/>
    <x v="0"/>
    <s v="340vc"/>
    <d v="1899-12-30T00:00:00"/>
    <m/>
    <m/>
    <m/>
    <m/>
    <m/>
    <d v="1899-12-30T00:00:00"/>
    <d v="2015-06-04T14:43:07"/>
    <m/>
    <m/>
    <d v="1899-12-30T00:00:00"/>
    <d v="1899-12-30T00:00:00"/>
    <d v="1899-12-30T00:00:00"/>
    <s v=""/>
    <s v="Company14340VC42153"/>
    <x v="13"/>
    <x v="31"/>
  </r>
  <r>
    <n v="11737"/>
    <x v="16"/>
    <s v="Clear"/>
    <n v="450"/>
    <s v="Location6"/>
    <d v="2015-05-29T11:27:11"/>
    <x v="0"/>
    <s v="340vc"/>
    <d v="1899-12-30T00:00:00"/>
    <m/>
    <m/>
    <m/>
    <m/>
    <m/>
    <d v="1899-12-30T00:00:00"/>
    <d v="2015-06-04T14:46:01"/>
    <m/>
    <m/>
    <d v="1899-12-30T00:00:00"/>
    <d v="1899-12-30T00:00:00"/>
    <d v="1899-12-30T00:00:00"/>
    <s v=""/>
    <s v="Company14340VC42153"/>
    <x v="13"/>
    <x v="31"/>
  </r>
  <r>
    <n v="11739"/>
    <x v="16"/>
    <s v="Clear"/>
    <n v="360"/>
    <s v="Location6"/>
    <d v="2015-05-29T11:27:11"/>
    <x v="0"/>
    <s v="340vc"/>
    <d v="1899-12-30T00:00:00"/>
    <m/>
    <m/>
    <m/>
    <m/>
    <m/>
    <d v="1899-12-30T00:00:00"/>
    <d v="2015-06-04T14:49:44"/>
    <m/>
    <m/>
    <d v="1899-12-30T00:00:00"/>
    <d v="1899-12-30T00:00:00"/>
    <d v="1899-12-30T00:00:00"/>
    <s v=""/>
    <s v="Company14340VC42153"/>
    <x v="13"/>
    <x v="31"/>
  </r>
  <r>
    <n v="11740"/>
    <x v="16"/>
    <s v="Clear"/>
    <n v="700"/>
    <s v="Location6"/>
    <d v="2015-05-29T11:27:11"/>
    <x v="0"/>
    <s v="340vc"/>
    <d v="1899-12-30T00:00:00"/>
    <m/>
    <m/>
    <m/>
    <m/>
    <m/>
    <d v="1899-12-30T00:00:00"/>
    <d v="2015-06-04T14:55:22"/>
    <m/>
    <m/>
    <d v="1899-12-30T00:00:00"/>
    <d v="1899-12-30T00:00:00"/>
    <d v="1899-12-30T00:00:00"/>
    <s v=""/>
    <s v="Company14340VC42153"/>
    <x v="13"/>
    <x v="31"/>
  </r>
  <r>
    <n v="11741"/>
    <x v="16"/>
    <s v="Clear"/>
    <n v="680"/>
    <s v="Location6"/>
    <d v="2015-05-29T11:27:11"/>
    <x v="0"/>
    <s v="340vc"/>
    <d v="1899-12-30T00:00:00"/>
    <m/>
    <m/>
    <m/>
    <m/>
    <m/>
    <d v="1899-12-30T00:00:00"/>
    <d v="2015-06-04T14:58:35"/>
    <m/>
    <m/>
    <d v="1899-12-30T00:00:00"/>
    <d v="1899-12-30T00:00:00"/>
    <d v="1899-12-30T00:00:00"/>
    <s v=""/>
    <s v="Company14340VC42153"/>
    <x v="13"/>
    <x v="31"/>
  </r>
  <r>
    <n v="11744"/>
    <x v="10"/>
    <s v="Aluminum Flashlight"/>
    <n v="430"/>
    <s v="Location6"/>
    <d v="2015-05-30T00:00:00"/>
    <x v="0"/>
    <s v="klfu107703-5"/>
    <d v="1899-12-30T00:00:00"/>
    <m/>
    <m/>
    <m/>
    <m/>
    <m/>
    <d v="1899-12-30T00:00:00"/>
    <d v="2015-06-05T08:26:31"/>
    <m/>
    <m/>
    <d v="1899-12-30T00:00:00"/>
    <d v="1899-12-30T00:00:00"/>
    <d v="1899-12-30T00:00:00"/>
    <d v="1899-12-31T00:00:00"/>
    <s v="Company14KLFU107703-542154"/>
    <x v="13"/>
    <x v="32"/>
  </r>
  <r>
    <n v="11745"/>
    <x v="2"/>
    <m/>
    <n v="112"/>
    <s v="Location6"/>
    <d v="2015-05-30T00:00:00"/>
    <x v="0"/>
    <s v="klfu107703-5"/>
    <d v="1899-12-30T00:00:00"/>
    <m/>
    <m/>
    <m/>
    <m/>
    <m/>
    <d v="1899-12-30T00:00:00"/>
    <d v="2015-06-05T08:35:07"/>
    <m/>
    <m/>
    <d v="1899-12-30T00:00:00"/>
    <d v="1899-12-30T00:00:00"/>
    <d v="1899-12-30T00:00:00"/>
    <s v=""/>
    <s v="Company14KLFU107703-542154"/>
    <x v="13"/>
    <x v="32"/>
  </r>
  <r>
    <n v="11746"/>
    <x v="2"/>
    <m/>
    <n v="220"/>
    <s v="Location6"/>
    <d v="2015-05-30T00:00:00"/>
    <x v="0"/>
    <s v="klfu107703-5"/>
    <d v="1899-12-30T00:00:00"/>
    <m/>
    <m/>
    <m/>
    <m/>
    <m/>
    <d v="1899-12-30T00:00:00"/>
    <d v="2015-06-05T08:37:11"/>
    <m/>
    <m/>
    <d v="1899-12-30T00:00:00"/>
    <d v="1899-12-30T00:00:00"/>
    <d v="1899-12-30T00:00:00"/>
    <s v=""/>
    <s v="Company14KLFU107703-542154"/>
    <x v="13"/>
    <x v="32"/>
  </r>
  <r>
    <n v="11747"/>
    <x v="2"/>
    <m/>
    <n v="1000"/>
    <s v="Location6"/>
    <d v="2015-05-30T00:00:00"/>
    <x v="0"/>
    <s v="klfu107703-5"/>
    <d v="1899-12-30T00:00:00"/>
    <m/>
    <m/>
    <m/>
    <m/>
    <m/>
    <d v="1899-12-30T00:00:00"/>
    <d v="2015-06-05T08:48:23"/>
    <m/>
    <m/>
    <d v="1899-12-30T00:00:00"/>
    <d v="1899-12-30T00:00:00"/>
    <d v="1899-12-30T00:00:00"/>
    <s v=""/>
    <s v="Company14KLFU107703-542154"/>
    <x v="13"/>
    <x v="32"/>
  </r>
  <r>
    <n v="11748"/>
    <x v="2"/>
    <m/>
    <n v="750"/>
    <s v="Location6"/>
    <d v="2015-05-30T00:00:00"/>
    <x v="0"/>
    <s v="klfu107703-5"/>
    <d v="1899-12-30T00:00:00"/>
    <m/>
    <m/>
    <m/>
    <m/>
    <m/>
    <d v="1899-12-30T00:00:00"/>
    <d v="2015-06-05T08:50:25"/>
    <m/>
    <m/>
    <d v="1899-12-30T00:00:00"/>
    <d v="1899-12-30T00:00:00"/>
    <d v="1899-12-30T00:00:00"/>
    <s v=""/>
    <s v="Company14KLFU107703-542154"/>
    <x v="13"/>
    <x v="32"/>
  </r>
  <r>
    <n v="11749"/>
    <x v="2"/>
    <m/>
    <n v="200"/>
    <s v="Location6"/>
    <d v="2015-05-30T00:00:00"/>
    <x v="0"/>
    <s v="klfu107703-5"/>
    <d v="1899-12-30T00:00:00"/>
    <m/>
    <m/>
    <m/>
    <m/>
    <m/>
    <d v="1899-12-30T00:00:00"/>
    <d v="2015-06-05T09:16:34"/>
    <m/>
    <m/>
    <d v="1899-12-30T00:00:00"/>
    <d v="1899-12-30T00:00:00"/>
    <d v="1899-12-30T00:00:00"/>
    <s v=""/>
    <s v="Company14KLFU107703-542154"/>
    <x v="13"/>
    <x v="32"/>
  </r>
  <r>
    <n v="11753"/>
    <x v="2"/>
    <m/>
    <n v="40"/>
    <s v="Location6"/>
    <d v="2015-05-30T00:00:00"/>
    <x v="0"/>
    <s v="klfu107703-5"/>
    <d v="1899-12-30T00:00:00"/>
    <m/>
    <m/>
    <m/>
    <m/>
    <m/>
    <d v="1899-12-30T00:00:00"/>
    <d v="2015-06-05T09:58:24"/>
    <m/>
    <m/>
    <d v="1899-12-30T00:00:00"/>
    <d v="1899-12-30T00:00:00"/>
    <d v="1899-12-30T00:00:00"/>
    <s v=""/>
    <s v="Company14KLFU107703-542154"/>
    <x v="13"/>
    <x v="32"/>
  </r>
  <r>
    <n v="11755"/>
    <x v="2"/>
    <m/>
    <n v="410"/>
    <s v="Location6"/>
    <d v="2015-05-30T00:00:00"/>
    <x v="0"/>
    <s v="klfu107703-5"/>
    <d v="1899-12-30T00:00:00"/>
    <m/>
    <m/>
    <m/>
    <m/>
    <m/>
    <d v="1899-12-30T00:00:00"/>
    <d v="2015-06-05T10:01:30"/>
    <m/>
    <m/>
    <d v="1899-12-30T00:00:00"/>
    <d v="1899-12-30T00:00:00"/>
    <d v="1899-12-30T00:00:00"/>
    <s v=""/>
    <s v="Company14KLFU107703-542154"/>
    <x v="13"/>
    <x v="32"/>
  </r>
  <r>
    <n v="11756"/>
    <x v="5"/>
    <m/>
    <n v="300"/>
    <s v="Location6"/>
    <d v="2015-05-30T00:00:00"/>
    <x v="0"/>
    <s v="klfu107703-5"/>
    <d v="1899-12-30T00:00:00"/>
    <m/>
    <m/>
    <m/>
    <m/>
    <m/>
    <d v="1899-12-30T00:00:00"/>
    <d v="2015-06-05T10:15:44"/>
    <m/>
    <m/>
    <d v="1899-12-30T00:00:00"/>
    <d v="1899-12-30T00:00:00"/>
    <d v="1899-12-30T00:00:00"/>
    <s v=""/>
    <s v="Company14KLFU107703-542154"/>
    <x v="13"/>
    <x v="32"/>
  </r>
  <r>
    <n v="11758"/>
    <x v="18"/>
    <m/>
    <n v="630"/>
    <s v="Location6"/>
    <d v="2015-05-30T00:00:00"/>
    <x v="0"/>
    <s v="klfu107703-5"/>
    <d v="1899-12-30T00:00:00"/>
    <m/>
    <m/>
    <m/>
    <m/>
    <m/>
    <d v="1899-12-30T00:00:00"/>
    <d v="2015-06-05T10:27:49"/>
    <m/>
    <m/>
    <d v="1899-12-30T00:00:00"/>
    <d v="1899-12-30T00:00:00"/>
    <d v="1899-12-30T00:00:00"/>
    <s v=""/>
    <s v="Company14KLFU107703-542154"/>
    <x v="13"/>
    <x v="32"/>
  </r>
  <r>
    <n v="11763"/>
    <x v="18"/>
    <m/>
    <n v="500"/>
    <s v="Location6"/>
    <d v="2015-05-30T00:00:00"/>
    <x v="0"/>
    <s v="klfu107703-5"/>
    <d v="1899-12-30T00:00:00"/>
    <m/>
    <m/>
    <m/>
    <m/>
    <m/>
    <d v="1899-12-30T00:00:00"/>
    <d v="2015-06-05T11:52:45"/>
    <m/>
    <m/>
    <d v="1899-12-30T00:00:00"/>
    <d v="1899-12-30T00:00:00"/>
    <d v="1899-12-30T00:00:00"/>
    <s v=""/>
    <s v="Company14KLFU107703-542154"/>
    <x v="13"/>
    <x v="32"/>
  </r>
  <r>
    <n v="11771"/>
    <x v="18"/>
    <m/>
    <n v="480"/>
    <s v="Location6"/>
    <d v="2015-05-30T00:00:00"/>
    <x v="0"/>
    <s v="klfu107703-5"/>
    <d v="1899-12-30T00:00:00"/>
    <m/>
    <m/>
    <m/>
    <m/>
    <m/>
    <d v="1899-12-30T00:00:00"/>
    <d v="2015-06-05T13:38:48"/>
    <m/>
    <m/>
    <d v="1899-12-30T00:00:00"/>
    <d v="1899-12-30T00:00:00"/>
    <d v="1899-12-30T00:00:00"/>
    <s v=""/>
    <s v="Company14KLFU107703-542154"/>
    <x v="13"/>
    <x v="32"/>
  </r>
  <r>
    <n v="11772"/>
    <x v="5"/>
    <m/>
    <n v="120"/>
    <s v="Location6"/>
    <d v="2015-05-30T00:00:00"/>
    <x v="0"/>
    <s v="klfu107703-5"/>
    <d v="1899-12-30T00:00:00"/>
    <m/>
    <m/>
    <m/>
    <m/>
    <m/>
    <d v="1899-12-30T00:00:00"/>
    <d v="2015-06-05T13:43:38"/>
    <m/>
    <m/>
    <d v="1899-12-30T00:00:00"/>
    <d v="1899-12-30T00:00:00"/>
    <d v="1899-12-30T00:00:00"/>
    <s v=""/>
    <s v="Company14KLFU107703-542154"/>
    <x v="13"/>
    <x v="32"/>
  </r>
  <r>
    <n v="11773"/>
    <x v="18"/>
    <m/>
    <n v="500"/>
    <s v="Location6"/>
    <d v="2015-05-30T00:00:00"/>
    <x v="0"/>
    <s v="klfu107703-5"/>
    <d v="1899-12-30T00:00:00"/>
    <m/>
    <m/>
    <m/>
    <m/>
    <m/>
    <d v="1899-12-30T00:00:00"/>
    <d v="2015-06-05T13:45:40"/>
    <m/>
    <m/>
    <d v="1899-12-30T00:00:00"/>
    <d v="1899-12-30T00:00:00"/>
    <d v="1899-12-30T00:00:00"/>
    <s v=""/>
    <s v="Company14KLFU107703-542154"/>
    <x v="13"/>
    <x v="32"/>
  </r>
  <r>
    <n v="11775"/>
    <x v="18"/>
    <m/>
    <n v="300"/>
    <s v="Location6"/>
    <d v="2015-05-30T00:00:00"/>
    <x v="0"/>
    <s v="klfu107703-5"/>
    <d v="1899-12-30T00:00:00"/>
    <m/>
    <m/>
    <m/>
    <m/>
    <m/>
    <d v="1899-12-30T00:00:00"/>
    <d v="2015-06-05T13:47:11"/>
    <m/>
    <m/>
    <d v="1899-12-30T00:00:00"/>
    <d v="1899-12-30T00:00:00"/>
    <d v="1899-12-30T00:00:00"/>
    <s v=""/>
    <s v="Company14KLFU107703-542154"/>
    <x v="13"/>
    <x v="32"/>
  </r>
  <r>
    <n v="11778"/>
    <x v="2"/>
    <m/>
    <n v="1100"/>
    <s v="Location6"/>
    <d v="2015-05-30T00:00:00"/>
    <x v="0"/>
    <s v="klfu107703-5"/>
    <d v="1899-12-30T00:00:00"/>
    <m/>
    <m/>
    <m/>
    <m/>
    <m/>
    <d v="1899-12-30T00:00:00"/>
    <d v="2015-06-05T13:58:56"/>
    <m/>
    <m/>
    <d v="1899-12-30T00:00:00"/>
    <d v="1899-12-30T00:00:00"/>
    <d v="1899-12-30T00:00:00"/>
    <s v=""/>
    <s v="Company14KLFU107703-542154"/>
    <x v="13"/>
    <x v="32"/>
  </r>
  <r>
    <n v="11779"/>
    <x v="19"/>
    <m/>
    <n v="150"/>
    <s v="Location6"/>
    <d v="2015-05-30T00:00:00"/>
    <x v="0"/>
    <s v="klfu107703-5"/>
    <d v="1899-12-30T00:00:00"/>
    <m/>
    <m/>
    <m/>
    <m/>
    <m/>
    <d v="1899-12-30T00:00:00"/>
    <d v="2015-06-05T14:09:09"/>
    <m/>
    <m/>
    <d v="1899-12-30T00:00:00"/>
    <d v="1899-12-30T00:00:00"/>
    <d v="1899-12-30T00:00:00"/>
    <s v=""/>
    <s v="Company14KLFU107703-542154"/>
    <x v="13"/>
    <x v="32"/>
  </r>
  <r>
    <n v="11780"/>
    <x v="2"/>
    <m/>
    <n v="180"/>
    <s v="Location6"/>
    <d v="2015-05-30T00:00:00"/>
    <x v="0"/>
    <s v="klfu107703-5"/>
    <d v="1899-12-30T00:00:00"/>
    <m/>
    <m/>
    <m/>
    <m/>
    <m/>
    <d v="1899-12-30T00:00:00"/>
    <d v="2015-06-05T14:09:21"/>
    <m/>
    <m/>
    <d v="1899-12-30T00:00:00"/>
    <d v="1899-12-30T00:00:00"/>
    <d v="1899-12-30T00:00:00"/>
    <s v=""/>
    <s v="Company14KLFU107703-542154"/>
    <x v="13"/>
    <x v="32"/>
  </r>
  <r>
    <n v="11782"/>
    <x v="5"/>
    <m/>
    <n v="550"/>
    <s v="Location6"/>
    <d v="2015-05-30T14:29:57"/>
    <x v="0"/>
    <s v="klfu107703-5"/>
    <d v="1899-12-30T00:00:00"/>
    <m/>
    <m/>
    <m/>
    <m/>
    <m/>
    <d v="1899-12-30T00:00:00"/>
    <d v="2015-06-05T14:29:57"/>
    <m/>
    <m/>
    <d v="1899-12-30T00:00:00"/>
    <d v="1899-12-30T00:00:00"/>
    <d v="1899-12-30T00:00:00"/>
    <s v=""/>
    <s v="Company14KLFU107703-542154"/>
    <x v="13"/>
    <x v="32"/>
  </r>
  <r>
    <n v="11783"/>
    <x v="5"/>
    <m/>
    <n v="420"/>
    <s v="Location6"/>
    <d v="2015-05-30T14:33:49"/>
    <x v="0"/>
    <s v="klfu107703-5"/>
    <d v="1899-12-30T00:00:00"/>
    <m/>
    <m/>
    <m/>
    <m/>
    <m/>
    <d v="1899-12-30T00:00:00"/>
    <d v="2015-06-05T14:33:49"/>
    <m/>
    <m/>
    <d v="1899-12-30T00:00:00"/>
    <d v="1899-12-30T00:00:00"/>
    <d v="1899-12-30T00:00:00"/>
    <s v=""/>
    <s v="Company14KLFU107703-542154"/>
    <x v="13"/>
    <x v="32"/>
  </r>
  <r>
    <n v="11825"/>
    <x v="0"/>
    <m/>
    <n v="0"/>
    <s v="Location3"/>
    <d v="2015-06-11T14:25:29"/>
    <x v="0"/>
    <m/>
    <d v="1899-12-30T00:00:00"/>
    <m/>
    <m/>
    <m/>
    <m/>
    <m/>
    <d v="1899-12-30T00:00:00"/>
    <d v="2015-06-11T14:25:29"/>
    <m/>
    <m/>
    <d v="1899-12-30T00:00:00"/>
    <d v="1899-12-30T00:00:00"/>
    <d v="1899-12-30T00:00:00"/>
    <d v="1899-12-31T00:00:00"/>
    <s v="Company1442166"/>
    <x v="14"/>
    <x v="33"/>
  </r>
  <r>
    <n v="11831"/>
    <x v="5"/>
    <m/>
    <n v="140"/>
    <s v="Location3"/>
    <d v="2015-06-09T00:00:00"/>
    <x v="0"/>
    <m/>
    <d v="1899-12-30T00:00:00"/>
    <m/>
    <m/>
    <m/>
    <m/>
    <m/>
    <d v="1899-12-30T00:00:00"/>
    <d v="2015-06-12T10:12:45"/>
    <m/>
    <m/>
    <d v="1899-12-30T00:00:00"/>
    <d v="1899-12-30T00:00:00"/>
    <d v="1899-12-30T00:00:00"/>
    <d v="1899-12-31T00:00:00"/>
    <s v="Company1442164"/>
    <x v="14"/>
    <x v="34"/>
  </r>
  <r>
    <n v="11832"/>
    <x v="5"/>
    <m/>
    <n v="200"/>
    <s v="Location3"/>
    <d v="2015-06-09T00:00:00"/>
    <x v="0"/>
    <m/>
    <d v="1899-12-30T00:00:00"/>
    <m/>
    <m/>
    <m/>
    <m/>
    <m/>
    <d v="1899-12-30T00:00:00"/>
    <d v="2015-06-12T10:12:47"/>
    <m/>
    <m/>
    <d v="1899-12-30T00:00:00"/>
    <d v="1899-12-30T00:00:00"/>
    <d v="1899-12-30T00:00:00"/>
    <s v=""/>
    <s v="Company1442164"/>
    <x v="14"/>
    <x v="34"/>
  </r>
  <r>
    <n v="11833"/>
    <x v="5"/>
    <m/>
    <n v="375"/>
    <s v="Location3"/>
    <d v="2015-06-09T00:00:00"/>
    <x v="0"/>
    <m/>
    <d v="1899-12-30T00:00:00"/>
    <m/>
    <m/>
    <m/>
    <m/>
    <m/>
    <d v="1899-12-30T00:00:00"/>
    <d v="2015-06-12T10:12:49"/>
    <m/>
    <m/>
    <d v="1899-12-30T00:00:00"/>
    <d v="1899-12-30T00:00:00"/>
    <d v="1899-12-30T00:00:00"/>
    <s v=""/>
    <s v="Company1442164"/>
    <x v="14"/>
    <x v="34"/>
  </r>
  <r>
    <n v="11834"/>
    <x v="5"/>
    <m/>
    <n v="600"/>
    <s v="Location3"/>
    <d v="2015-06-09T00:00:00"/>
    <x v="0"/>
    <m/>
    <d v="1899-12-30T00:00:00"/>
    <m/>
    <m/>
    <m/>
    <m/>
    <m/>
    <d v="1899-12-30T00:00:00"/>
    <d v="2015-06-12T10:12:53"/>
    <m/>
    <m/>
    <d v="1899-12-30T00:00:00"/>
    <d v="1899-12-30T00:00:00"/>
    <d v="1899-12-30T00:00:00"/>
    <s v=""/>
    <s v="Company1442164"/>
    <x v="14"/>
    <x v="34"/>
  </r>
  <r>
    <n v="11835"/>
    <x v="5"/>
    <m/>
    <n v="275"/>
    <s v="Location3"/>
    <d v="2015-06-09T00:00:00"/>
    <x v="0"/>
    <m/>
    <d v="1899-12-30T00:00:00"/>
    <m/>
    <m/>
    <m/>
    <m/>
    <m/>
    <d v="1899-12-30T00:00:00"/>
    <d v="2015-06-12T10:12:55"/>
    <m/>
    <m/>
    <d v="1899-12-30T00:00:00"/>
    <d v="1899-12-30T00:00:00"/>
    <d v="1899-12-30T00:00:00"/>
    <s v=""/>
    <s v="Company1442164"/>
    <x v="14"/>
    <x v="34"/>
  </r>
  <r>
    <n v="11836"/>
    <x v="5"/>
    <m/>
    <n v="600"/>
    <s v="Location3"/>
    <d v="2015-06-09T00:00:00"/>
    <x v="0"/>
    <m/>
    <d v="1899-12-30T00:00:00"/>
    <m/>
    <m/>
    <m/>
    <m/>
    <m/>
    <d v="1899-12-30T00:00:00"/>
    <d v="2015-06-12T10:12:58"/>
    <m/>
    <m/>
    <d v="1899-12-30T00:00:00"/>
    <d v="1899-12-30T00:00:00"/>
    <d v="1899-12-30T00:00:00"/>
    <s v=""/>
    <s v="Company1442164"/>
    <x v="14"/>
    <x v="34"/>
  </r>
  <r>
    <n v="11837"/>
    <x v="0"/>
    <s v="Wrap"/>
    <n v="175"/>
    <s v="Location3"/>
    <d v="2015-06-09T00:00:00"/>
    <x v="0"/>
    <m/>
    <d v="1899-12-30T00:00:00"/>
    <m/>
    <m/>
    <m/>
    <m/>
    <m/>
    <d v="1899-12-30T00:00:00"/>
    <d v="2015-06-12T10:13:24"/>
    <m/>
    <m/>
    <d v="1899-12-30T00:00:00"/>
    <d v="1899-12-30T00:00:00"/>
    <d v="1899-12-30T00:00:00"/>
    <s v=""/>
    <s v="Company1442164"/>
    <x v="14"/>
    <x v="34"/>
  </r>
  <r>
    <n v="11838"/>
    <x v="2"/>
    <m/>
    <n v="200"/>
    <s v="Location3"/>
    <d v="2015-06-09T00:00:00"/>
    <x v="0"/>
    <m/>
    <d v="1899-12-30T00:00:00"/>
    <m/>
    <m/>
    <m/>
    <m/>
    <m/>
    <d v="1899-12-30T00:00:00"/>
    <d v="2015-06-12T10:13:41"/>
    <m/>
    <m/>
    <d v="1899-12-30T00:00:00"/>
    <d v="1899-12-30T00:00:00"/>
    <d v="1899-12-30T00:00:00"/>
    <s v=""/>
    <s v="Company1442164"/>
    <x v="14"/>
    <x v="34"/>
  </r>
  <r>
    <n v="11839"/>
    <x v="5"/>
    <m/>
    <n v="940"/>
    <s v="Location3"/>
    <d v="2015-06-09T00:00:00"/>
    <x v="0"/>
    <m/>
    <d v="1899-12-30T00:00:00"/>
    <m/>
    <m/>
    <m/>
    <m/>
    <m/>
    <d v="1899-12-30T00:00:00"/>
    <d v="2015-06-12T10:13:54"/>
    <m/>
    <m/>
    <d v="1899-12-30T00:00:00"/>
    <d v="1899-12-30T00:00:00"/>
    <d v="1899-12-30T00:00:00"/>
    <s v=""/>
    <s v="Company1442164"/>
    <x v="14"/>
    <x v="34"/>
  </r>
  <r>
    <n v="11840"/>
    <x v="5"/>
    <m/>
    <n v="1076"/>
    <s v="Location3"/>
    <d v="2015-06-09T00:00:00"/>
    <x v="0"/>
    <m/>
    <d v="1899-12-30T00:00:00"/>
    <m/>
    <m/>
    <m/>
    <m/>
    <m/>
    <d v="1899-12-30T00:00:00"/>
    <d v="2015-06-12T10:13:56"/>
    <m/>
    <m/>
    <d v="1899-12-30T00:00:00"/>
    <d v="1899-12-30T00:00:00"/>
    <d v="1899-12-30T00:00:00"/>
    <s v=""/>
    <s v="Company1442164"/>
    <x v="14"/>
    <x v="34"/>
  </r>
  <r>
    <n v="11841"/>
    <x v="5"/>
    <m/>
    <n v="1047"/>
    <s v="Location3"/>
    <d v="2015-06-09T00:00:00"/>
    <x v="0"/>
    <m/>
    <d v="1899-12-30T00:00:00"/>
    <m/>
    <m/>
    <m/>
    <m/>
    <m/>
    <d v="1899-12-30T00:00:00"/>
    <d v="2015-06-12T10:13:58"/>
    <m/>
    <m/>
    <d v="1899-12-30T00:00:00"/>
    <d v="1899-12-30T00:00:00"/>
    <d v="1899-12-30T00:00:00"/>
    <s v=""/>
    <s v="Company1442164"/>
    <x v="14"/>
    <x v="34"/>
  </r>
  <r>
    <n v="11842"/>
    <x v="5"/>
    <m/>
    <n v="1000"/>
    <s v="Location3"/>
    <d v="2015-06-09T00:00:00"/>
    <x v="0"/>
    <m/>
    <d v="1899-12-30T00:00:00"/>
    <m/>
    <m/>
    <m/>
    <m/>
    <m/>
    <d v="1899-12-30T00:00:00"/>
    <d v="2015-06-12T10:14:01"/>
    <m/>
    <m/>
    <d v="1899-12-30T00:00:00"/>
    <d v="1899-12-30T00:00:00"/>
    <d v="1899-12-30T00:00:00"/>
    <s v=""/>
    <s v="Company1442164"/>
    <x v="14"/>
    <x v="34"/>
  </r>
  <r>
    <n v="11843"/>
    <x v="5"/>
    <m/>
    <n v="1090"/>
    <s v="Location3"/>
    <d v="2015-06-09T00:00:00"/>
    <x v="0"/>
    <m/>
    <d v="1899-12-30T00:00:00"/>
    <m/>
    <m/>
    <m/>
    <m/>
    <m/>
    <d v="1899-12-30T00:00:00"/>
    <d v="2015-06-12T10:14:03"/>
    <m/>
    <m/>
    <d v="1899-12-30T00:00:00"/>
    <d v="1899-12-30T00:00:00"/>
    <d v="1899-12-30T00:00:00"/>
    <s v=""/>
    <s v="Company1442164"/>
    <x v="14"/>
    <x v="34"/>
  </r>
  <r>
    <n v="11844"/>
    <x v="5"/>
    <m/>
    <n v="1189"/>
    <s v="Location3"/>
    <d v="2015-06-09T00:00:00"/>
    <x v="0"/>
    <m/>
    <d v="1899-12-30T00:00:00"/>
    <m/>
    <m/>
    <m/>
    <m/>
    <m/>
    <d v="1899-12-30T00:00:00"/>
    <d v="2015-06-12T10:14:09"/>
    <m/>
    <m/>
    <d v="1899-12-30T00:00:00"/>
    <d v="1899-12-30T00:00:00"/>
    <d v="1899-12-30T00:00:00"/>
    <s v=""/>
    <s v="Company1442164"/>
    <x v="14"/>
    <x v="34"/>
  </r>
  <r>
    <n v="11845"/>
    <x v="5"/>
    <m/>
    <n v="1238"/>
    <s v="Location3"/>
    <d v="2015-06-09T00:00:00"/>
    <x v="0"/>
    <m/>
    <d v="1899-12-30T00:00:00"/>
    <m/>
    <m/>
    <m/>
    <m/>
    <m/>
    <d v="1899-12-30T00:00:00"/>
    <d v="2015-06-12T10:14:12"/>
    <m/>
    <m/>
    <d v="1899-12-30T00:00:00"/>
    <d v="1899-12-30T00:00:00"/>
    <d v="1899-12-30T00:00:00"/>
    <s v=""/>
    <s v="Company1442164"/>
    <x v="14"/>
    <x v="34"/>
  </r>
  <r>
    <n v="11846"/>
    <x v="5"/>
    <m/>
    <n v="1022"/>
    <s v="Location3"/>
    <d v="2015-06-09T00:00:00"/>
    <x v="0"/>
    <m/>
    <d v="1899-12-30T00:00:00"/>
    <m/>
    <m/>
    <m/>
    <m/>
    <m/>
    <d v="1899-12-30T00:00:00"/>
    <d v="2015-06-12T10:14:14"/>
    <m/>
    <m/>
    <d v="1899-12-30T00:00:00"/>
    <d v="1899-12-30T00:00:00"/>
    <d v="1899-12-30T00:00:00"/>
    <s v=""/>
    <s v="Company1442164"/>
    <x v="14"/>
    <x v="34"/>
  </r>
  <r>
    <n v="11847"/>
    <x v="5"/>
    <m/>
    <n v="1146"/>
    <s v="Location3"/>
    <d v="2015-06-09T00:00:00"/>
    <x v="0"/>
    <m/>
    <d v="1899-12-30T00:00:00"/>
    <m/>
    <m/>
    <m/>
    <m/>
    <m/>
    <d v="1899-12-30T00:00:00"/>
    <d v="2015-06-12T10:14:17"/>
    <m/>
    <m/>
    <d v="1899-12-30T00:00:00"/>
    <d v="1899-12-30T00:00:00"/>
    <d v="1899-12-30T00:00:00"/>
    <s v=""/>
    <s v="Company1442164"/>
    <x v="14"/>
    <x v="34"/>
  </r>
  <r>
    <n v="11848"/>
    <x v="5"/>
    <m/>
    <n v="1258"/>
    <s v="Location3"/>
    <d v="2015-06-09T00:00:00"/>
    <x v="0"/>
    <m/>
    <d v="1899-12-30T00:00:00"/>
    <m/>
    <m/>
    <m/>
    <m/>
    <m/>
    <d v="1899-12-30T00:00:00"/>
    <d v="2015-06-12T10:14:19"/>
    <m/>
    <m/>
    <d v="1899-12-30T00:00:00"/>
    <d v="1899-12-30T00:00:00"/>
    <d v="1899-12-30T00:00:00"/>
    <s v=""/>
    <s v="Company1442164"/>
    <x v="14"/>
    <x v="34"/>
  </r>
  <r>
    <n v="11849"/>
    <x v="5"/>
    <m/>
    <n v="1105"/>
    <s v="Location3"/>
    <d v="2015-06-09T00:00:00"/>
    <x v="0"/>
    <m/>
    <d v="1899-12-30T00:00:00"/>
    <m/>
    <m/>
    <m/>
    <m/>
    <m/>
    <d v="1899-12-30T00:00:00"/>
    <d v="2015-06-12T10:14:21"/>
    <m/>
    <m/>
    <d v="1899-12-30T00:00:00"/>
    <d v="1899-12-30T00:00:00"/>
    <d v="1899-12-30T00:00:00"/>
    <s v=""/>
    <s v="Company1442164"/>
    <x v="14"/>
    <x v="34"/>
  </r>
  <r>
    <n v="11850"/>
    <x v="5"/>
    <m/>
    <n v="1052"/>
    <s v="Location3"/>
    <d v="2015-06-09T00:00:00"/>
    <x v="0"/>
    <m/>
    <d v="1899-12-30T00:00:00"/>
    <m/>
    <m/>
    <m/>
    <m/>
    <m/>
    <d v="1899-12-30T00:00:00"/>
    <d v="2015-06-12T10:14:25"/>
    <m/>
    <m/>
    <d v="1899-12-30T00:00:00"/>
    <d v="1899-12-30T00:00:00"/>
    <d v="1899-12-30T00:00:00"/>
    <s v=""/>
    <s v="Company1442164"/>
    <x v="14"/>
    <x v="34"/>
  </r>
  <r>
    <n v="11851"/>
    <x v="5"/>
    <m/>
    <n v="1070"/>
    <s v="Location3"/>
    <d v="2015-06-09T00:00:00"/>
    <x v="0"/>
    <m/>
    <d v="1899-12-30T00:00:00"/>
    <m/>
    <m/>
    <m/>
    <m/>
    <m/>
    <d v="1899-12-30T00:00:00"/>
    <d v="2015-06-12T10:14:27"/>
    <m/>
    <m/>
    <d v="1899-12-30T00:00:00"/>
    <d v="1899-12-30T00:00:00"/>
    <d v="1899-12-30T00:00:00"/>
    <s v=""/>
    <s v="Company1442164"/>
    <x v="14"/>
    <x v="34"/>
  </r>
  <r>
    <n v="11852"/>
    <x v="5"/>
    <m/>
    <n v="1000"/>
    <s v="Location3"/>
    <d v="2015-06-09T00:00:00"/>
    <x v="0"/>
    <m/>
    <d v="1899-12-30T00:00:00"/>
    <m/>
    <m/>
    <m/>
    <m/>
    <m/>
    <d v="1899-12-30T00:00:00"/>
    <d v="2015-06-12T10:14:30"/>
    <m/>
    <m/>
    <d v="1899-12-30T00:00:00"/>
    <d v="1899-12-30T00:00:00"/>
    <d v="1899-12-30T00:00:00"/>
    <s v=""/>
    <s v="Company1442164"/>
    <x v="14"/>
    <x v="34"/>
  </r>
  <r>
    <n v="11898"/>
    <x v="5"/>
    <m/>
    <n v="157"/>
    <s v="Location3"/>
    <d v="2015-06-15T00:00:00"/>
    <x v="0"/>
    <m/>
    <d v="1899-12-30T00:00:00"/>
    <m/>
    <m/>
    <m/>
    <m/>
    <m/>
    <d v="1899-12-30T00:00:00"/>
    <d v="2015-06-17T14:27:10"/>
    <m/>
    <m/>
    <d v="1899-12-30T00:00:00"/>
    <d v="1899-12-30T00:00:00"/>
    <d v="1899-12-30T00:00:00"/>
    <d v="1899-12-31T00:00:00"/>
    <s v="Company1442170"/>
    <x v="14"/>
    <x v="35"/>
  </r>
  <r>
    <n v="11899"/>
    <x v="5"/>
    <m/>
    <n v="300"/>
    <s v="Location3"/>
    <d v="2015-06-15T00:00:00"/>
    <x v="0"/>
    <m/>
    <d v="1899-12-30T00:00:00"/>
    <m/>
    <m/>
    <m/>
    <m/>
    <m/>
    <d v="1899-12-30T00:00:00"/>
    <d v="2015-06-17T14:27:36"/>
    <m/>
    <m/>
    <d v="1899-12-30T00:00:00"/>
    <d v="1899-12-30T00:00:00"/>
    <d v="1899-12-30T00:00:00"/>
    <s v=""/>
    <s v="Company1442170"/>
    <x v="14"/>
    <x v="35"/>
  </r>
  <r>
    <n v="11900"/>
    <x v="5"/>
    <m/>
    <n v="460"/>
    <s v="Location3"/>
    <d v="2015-06-15T00:00:00"/>
    <x v="0"/>
    <m/>
    <d v="1899-12-30T00:00:00"/>
    <m/>
    <m/>
    <m/>
    <m/>
    <m/>
    <d v="1899-12-30T00:00:00"/>
    <d v="2015-06-17T16:09:51"/>
    <m/>
    <m/>
    <d v="1899-12-30T00:00:00"/>
    <d v="1899-12-30T00:00:00"/>
    <d v="1899-12-30T00:00:00"/>
    <s v=""/>
    <s v="Company1442170"/>
    <x v="14"/>
    <x v="35"/>
  </r>
  <r>
    <n v="11901"/>
    <x v="5"/>
    <m/>
    <n v="800"/>
    <s v="Location3"/>
    <d v="2015-06-15T00:00:00"/>
    <x v="0"/>
    <m/>
    <d v="1899-12-30T00:00:00"/>
    <m/>
    <m/>
    <m/>
    <m/>
    <m/>
    <d v="1899-12-30T00:00:00"/>
    <d v="2015-06-17T16:09:57"/>
    <m/>
    <m/>
    <d v="1899-12-30T00:00:00"/>
    <d v="1899-12-30T00:00:00"/>
    <d v="1899-12-30T00:00:00"/>
    <s v=""/>
    <s v="Company1442170"/>
    <x v="14"/>
    <x v="35"/>
  </r>
  <r>
    <n v="11902"/>
    <x v="5"/>
    <m/>
    <n v="550"/>
    <s v="Location3"/>
    <d v="2015-06-15T00:00:00"/>
    <x v="0"/>
    <m/>
    <d v="1899-12-30T00:00:00"/>
    <m/>
    <m/>
    <m/>
    <m/>
    <m/>
    <d v="1899-12-30T00:00:00"/>
    <d v="2015-06-17T16:10:01"/>
    <m/>
    <m/>
    <d v="1899-12-30T00:00:00"/>
    <d v="1899-12-30T00:00:00"/>
    <d v="1899-12-30T00:00:00"/>
    <s v=""/>
    <s v="Company1442170"/>
    <x v="14"/>
    <x v="35"/>
  </r>
  <r>
    <n v="11903"/>
    <x v="5"/>
    <m/>
    <n v="340"/>
    <s v="Location3"/>
    <d v="2015-06-15T00:00:00"/>
    <x v="0"/>
    <m/>
    <d v="1899-12-30T00:00:00"/>
    <m/>
    <m/>
    <m/>
    <m/>
    <m/>
    <d v="1899-12-30T00:00:00"/>
    <d v="2015-06-17T16:10:05"/>
    <m/>
    <m/>
    <d v="1899-12-30T00:00:00"/>
    <d v="1899-12-30T00:00:00"/>
    <d v="1899-12-30T00:00:00"/>
    <s v=""/>
    <s v="Company1442170"/>
    <x v="14"/>
    <x v="35"/>
  </r>
  <r>
    <n v="11904"/>
    <x v="5"/>
    <m/>
    <n v="1760"/>
    <s v="Location3"/>
    <d v="2015-06-15T00:00:00"/>
    <x v="0"/>
    <m/>
    <d v="1899-12-30T00:00:00"/>
    <m/>
    <m/>
    <m/>
    <m/>
    <m/>
    <d v="1899-12-30T00:00:00"/>
    <d v="2015-06-17T16:10:15"/>
    <m/>
    <m/>
    <d v="1899-12-30T00:00:00"/>
    <d v="1899-12-30T00:00:00"/>
    <d v="1899-12-30T00:00:00"/>
    <s v=""/>
    <s v="Company1442170"/>
    <x v="14"/>
    <x v="35"/>
  </r>
  <r>
    <n v="11905"/>
    <x v="5"/>
    <m/>
    <n v="190"/>
    <s v="Location3"/>
    <d v="2015-06-15T00:00:00"/>
    <x v="0"/>
    <m/>
    <d v="1899-12-30T00:00:00"/>
    <m/>
    <m/>
    <m/>
    <m/>
    <m/>
    <d v="1899-12-30T00:00:00"/>
    <d v="2015-06-17T16:10:23"/>
    <m/>
    <m/>
    <d v="1899-12-30T00:00:00"/>
    <d v="1899-12-30T00:00:00"/>
    <d v="1899-12-30T00:00:00"/>
    <s v=""/>
    <s v="Company1442170"/>
    <x v="14"/>
    <x v="35"/>
  </r>
  <r>
    <n v="11906"/>
    <x v="5"/>
    <m/>
    <n v="490"/>
    <s v="Location3"/>
    <d v="2015-06-15T00:00:00"/>
    <x v="0"/>
    <m/>
    <d v="1899-12-30T00:00:00"/>
    <m/>
    <m/>
    <m/>
    <m/>
    <m/>
    <d v="1899-12-30T00:00:00"/>
    <d v="2015-06-17T16:10:27"/>
    <m/>
    <m/>
    <d v="1899-12-30T00:00:00"/>
    <d v="1899-12-30T00:00:00"/>
    <d v="1899-12-30T00:00:00"/>
    <s v=""/>
    <s v="Company1442170"/>
    <x v="14"/>
    <x v="35"/>
  </r>
  <r>
    <n v="11907"/>
    <x v="5"/>
    <m/>
    <n v="620"/>
    <s v="Location3"/>
    <d v="2015-06-15T00:00:00"/>
    <x v="0"/>
    <m/>
    <d v="1899-12-30T00:00:00"/>
    <m/>
    <m/>
    <m/>
    <m/>
    <m/>
    <d v="1899-12-30T00:00:00"/>
    <d v="2015-06-17T16:10:37"/>
    <m/>
    <m/>
    <d v="1899-12-30T00:00:00"/>
    <d v="1899-12-30T00:00:00"/>
    <d v="1899-12-30T00:00:00"/>
    <s v=""/>
    <s v="Company1442170"/>
    <x v="14"/>
    <x v="35"/>
  </r>
  <r>
    <n v="11908"/>
    <x v="5"/>
    <m/>
    <n v="1200"/>
    <s v="Location3"/>
    <d v="2015-06-15T00:00:00"/>
    <x v="0"/>
    <m/>
    <d v="1899-12-30T00:00:00"/>
    <m/>
    <m/>
    <m/>
    <m/>
    <m/>
    <d v="1899-12-30T00:00:00"/>
    <d v="2015-06-17T16:10:41"/>
    <m/>
    <m/>
    <d v="1899-12-30T00:00:00"/>
    <d v="1899-12-30T00:00:00"/>
    <d v="1899-12-30T00:00:00"/>
    <s v=""/>
    <s v="Company1442170"/>
    <x v="14"/>
    <x v="35"/>
  </r>
  <r>
    <n v="11909"/>
    <x v="5"/>
    <m/>
    <n v="900"/>
    <s v="Location3"/>
    <d v="2015-06-15T00:00:00"/>
    <x v="0"/>
    <m/>
    <d v="1899-12-30T00:00:00"/>
    <m/>
    <m/>
    <m/>
    <m/>
    <m/>
    <d v="1899-12-30T00:00:00"/>
    <d v="2015-06-17T16:10:49"/>
    <m/>
    <m/>
    <d v="1899-12-30T00:00:00"/>
    <d v="1899-12-30T00:00:00"/>
    <d v="1899-12-30T00:00:00"/>
    <s v=""/>
    <s v="Company1442170"/>
    <x v="14"/>
    <x v="35"/>
  </r>
  <r>
    <n v="11910"/>
    <x v="5"/>
    <m/>
    <n v="510"/>
    <s v="Location3"/>
    <d v="2015-06-15T00:00:00"/>
    <x v="0"/>
    <m/>
    <d v="1899-12-30T00:00:00"/>
    <m/>
    <m/>
    <m/>
    <m/>
    <m/>
    <d v="1899-12-30T00:00:00"/>
    <d v="2015-06-17T16:10:53"/>
    <m/>
    <m/>
    <d v="1899-12-30T00:00:00"/>
    <d v="1899-12-30T00:00:00"/>
    <d v="1899-12-30T00:00:00"/>
    <s v=""/>
    <s v="Company1442170"/>
    <x v="14"/>
    <x v="35"/>
  </r>
  <r>
    <n v="11911"/>
    <x v="5"/>
    <m/>
    <n v="550"/>
    <s v="Location3"/>
    <d v="2015-06-15T00:00:00"/>
    <x v="0"/>
    <m/>
    <d v="1899-12-30T00:00:00"/>
    <m/>
    <m/>
    <m/>
    <m/>
    <m/>
    <d v="1899-12-30T00:00:00"/>
    <d v="2015-06-17T16:11:00"/>
    <m/>
    <m/>
    <d v="1899-12-30T00:00:00"/>
    <d v="1899-12-30T00:00:00"/>
    <d v="1899-12-30T00:00:00"/>
    <s v=""/>
    <s v="Company1442170"/>
    <x v="14"/>
    <x v="35"/>
  </r>
  <r>
    <n v="11912"/>
    <x v="5"/>
    <m/>
    <n v="975"/>
    <s v="Location3"/>
    <d v="2015-06-15T00:00:00"/>
    <x v="0"/>
    <m/>
    <d v="1899-12-30T00:00:00"/>
    <m/>
    <m/>
    <m/>
    <m/>
    <m/>
    <d v="1899-12-30T00:00:00"/>
    <d v="2015-06-17T16:11:05"/>
    <m/>
    <m/>
    <d v="1899-12-30T00:00:00"/>
    <d v="1899-12-30T00:00:00"/>
    <d v="1899-12-30T00:00:00"/>
    <s v=""/>
    <s v="Company1442170"/>
    <x v="14"/>
    <x v="35"/>
  </r>
  <r>
    <n v="11913"/>
    <x v="5"/>
    <m/>
    <n v="530"/>
    <s v="Location3"/>
    <d v="2015-06-15T00:00:00"/>
    <x v="0"/>
    <m/>
    <d v="1899-12-30T00:00:00"/>
    <m/>
    <m/>
    <m/>
    <m/>
    <m/>
    <d v="1899-12-30T00:00:00"/>
    <d v="2015-06-17T16:11:14"/>
    <m/>
    <m/>
    <d v="1899-12-30T00:00:00"/>
    <d v="1899-12-30T00:00:00"/>
    <d v="1899-12-30T00:00:00"/>
    <s v=""/>
    <s v="Company1442170"/>
    <x v="14"/>
    <x v="35"/>
  </r>
  <r>
    <n v="11914"/>
    <x v="5"/>
    <m/>
    <n v="640"/>
    <s v="Location3"/>
    <d v="2015-06-15T00:00:00"/>
    <x v="0"/>
    <m/>
    <d v="1899-12-30T00:00:00"/>
    <m/>
    <m/>
    <m/>
    <m/>
    <m/>
    <d v="1899-12-30T00:00:00"/>
    <d v="2015-06-17T16:11:19"/>
    <m/>
    <m/>
    <d v="1899-12-30T00:00:00"/>
    <d v="1899-12-30T00:00:00"/>
    <d v="1899-12-30T00:00:00"/>
    <s v=""/>
    <s v="Company1442170"/>
    <x v="14"/>
    <x v="35"/>
  </r>
  <r>
    <n v="11915"/>
    <x v="5"/>
    <m/>
    <n v="200"/>
    <s v="Location3"/>
    <d v="2015-06-15T00:00:00"/>
    <x v="0"/>
    <m/>
    <d v="1899-12-30T00:00:00"/>
    <m/>
    <m/>
    <m/>
    <m/>
    <m/>
    <d v="1899-12-30T00:00:00"/>
    <d v="2015-06-17T16:11:26"/>
    <m/>
    <m/>
    <d v="1899-12-30T00:00:00"/>
    <d v="1899-12-30T00:00:00"/>
    <d v="1899-12-30T00:00:00"/>
    <s v=""/>
    <s v="Company1442170"/>
    <x v="14"/>
    <x v="35"/>
  </r>
  <r>
    <n v="11916"/>
    <x v="5"/>
    <m/>
    <n v="680"/>
    <s v="Location3"/>
    <d v="2015-06-15T00:00:00"/>
    <x v="0"/>
    <m/>
    <d v="1899-12-30T00:00:00"/>
    <m/>
    <m/>
    <m/>
    <m/>
    <m/>
    <d v="1899-12-30T00:00:00"/>
    <d v="2015-06-17T16:11:31"/>
    <m/>
    <m/>
    <d v="1899-12-30T00:00:00"/>
    <d v="1899-12-30T00:00:00"/>
    <d v="1899-12-30T00:00:00"/>
    <s v=""/>
    <s v="Company1442170"/>
    <x v="14"/>
    <x v="35"/>
  </r>
  <r>
    <n v="11917"/>
    <x v="5"/>
    <m/>
    <n v="760"/>
    <s v="Location3"/>
    <d v="2015-06-15T00:00:00"/>
    <x v="0"/>
    <m/>
    <d v="1899-12-30T00:00:00"/>
    <m/>
    <m/>
    <m/>
    <m/>
    <m/>
    <d v="1899-12-30T00:00:00"/>
    <d v="2015-06-17T16:11:39"/>
    <m/>
    <m/>
    <d v="1899-12-30T00:00:00"/>
    <d v="1899-12-30T00:00:00"/>
    <d v="1899-12-30T00:00:00"/>
    <s v=""/>
    <s v="Company1442170"/>
    <x v="14"/>
    <x v="35"/>
  </r>
  <r>
    <n v="11918"/>
    <x v="5"/>
    <m/>
    <n v="650"/>
    <s v="Location3"/>
    <d v="2015-06-15T00:00:00"/>
    <x v="0"/>
    <m/>
    <d v="1899-12-30T00:00:00"/>
    <m/>
    <m/>
    <m/>
    <m/>
    <m/>
    <d v="1899-12-30T00:00:00"/>
    <d v="2015-06-17T16:11:43"/>
    <m/>
    <m/>
    <d v="1899-12-30T00:00:00"/>
    <d v="1899-12-30T00:00:00"/>
    <d v="1899-12-30T00:00:00"/>
    <s v=""/>
    <s v="Company1442170"/>
    <x v="14"/>
    <x v="35"/>
  </r>
  <r>
    <n v="11919"/>
    <x v="5"/>
    <m/>
    <n v="285"/>
    <s v="Location3"/>
    <d v="2015-06-15T00:00:00"/>
    <x v="0"/>
    <m/>
    <d v="1899-12-30T00:00:00"/>
    <m/>
    <m/>
    <m/>
    <m/>
    <m/>
    <d v="1899-12-30T00:00:00"/>
    <d v="2015-06-17T16:11:54"/>
    <m/>
    <m/>
    <d v="1899-12-30T00:00:00"/>
    <d v="1899-12-30T00:00:00"/>
    <d v="1899-12-30T00:00:00"/>
    <s v=""/>
    <s v="Company1442170"/>
    <x v="14"/>
    <x v="35"/>
  </r>
  <r>
    <n v="11971"/>
    <x v="6"/>
    <m/>
    <n v="238"/>
    <s v="Location3"/>
    <d v="2015-06-17T00:00:00"/>
    <x v="0"/>
    <s v="450271"/>
    <d v="1899-12-30T00:00:00"/>
    <m/>
    <m/>
    <m/>
    <m/>
    <m/>
    <d v="1899-12-30T00:00:00"/>
    <d v="2015-06-24T08:30:42"/>
    <m/>
    <m/>
    <d v="1899-12-30T00:00:00"/>
    <d v="1899-12-30T00:00:00"/>
    <d v="1899-12-30T00:00:00"/>
    <d v="1899-12-31T00:00:00"/>
    <s v="Company1445027142172"/>
    <x v="14"/>
    <x v="36"/>
  </r>
  <r>
    <n v="11972"/>
    <x v="6"/>
    <m/>
    <n v="1140"/>
    <s v="Location3"/>
    <d v="2015-06-17T00:00:00"/>
    <x v="0"/>
    <s v="450271"/>
    <d v="1899-12-30T00:00:00"/>
    <m/>
    <m/>
    <m/>
    <m/>
    <m/>
    <d v="1899-12-30T00:00:00"/>
    <d v="2015-06-24T08:42:15"/>
    <m/>
    <m/>
    <d v="1899-12-30T00:00:00"/>
    <d v="1899-12-30T00:00:00"/>
    <d v="1899-12-30T00:00:00"/>
    <s v=""/>
    <s v="Company1445027142172"/>
    <x v="14"/>
    <x v="36"/>
  </r>
  <r>
    <n v="11973"/>
    <x v="20"/>
    <m/>
    <n v="42"/>
    <s v="Location3"/>
    <d v="2015-06-17T00:00:00"/>
    <x v="0"/>
    <s v="450271"/>
    <d v="1899-12-30T00:00:00"/>
    <m/>
    <m/>
    <m/>
    <m/>
    <m/>
    <d v="1899-12-30T00:00:00"/>
    <d v="2015-06-24T08:49:36"/>
    <m/>
    <m/>
    <d v="1899-12-30T00:00:00"/>
    <d v="1899-12-30T00:00:00"/>
    <d v="1899-12-30T00:00:00"/>
    <s v=""/>
    <s v="Company1445027142172"/>
    <x v="14"/>
    <x v="36"/>
  </r>
  <r>
    <n v="11974"/>
    <x v="20"/>
    <m/>
    <n v="43"/>
    <s v="Location3"/>
    <d v="2015-06-17T00:00:00"/>
    <x v="0"/>
    <s v="450271"/>
    <d v="1899-12-30T00:00:00"/>
    <m/>
    <m/>
    <m/>
    <m/>
    <m/>
    <d v="1899-12-30T00:00:00"/>
    <d v="2015-06-24T08:55:40"/>
    <m/>
    <m/>
    <d v="1899-12-30T00:00:00"/>
    <d v="1899-12-30T00:00:00"/>
    <d v="1899-12-30T00:00:00"/>
    <s v=""/>
    <s v="Company1445027142172"/>
    <x v="14"/>
    <x v="36"/>
  </r>
  <r>
    <n v="11975"/>
    <x v="4"/>
    <m/>
    <n v="161"/>
    <s v="Location3"/>
    <d v="2015-06-17T00:00:00"/>
    <x v="0"/>
    <s v="450271"/>
    <d v="1899-12-30T00:00:00"/>
    <m/>
    <m/>
    <m/>
    <m/>
    <m/>
    <d v="1899-12-30T00:00:00"/>
    <d v="2015-06-24T09:01:48"/>
    <m/>
    <m/>
    <d v="1899-12-30T00:00:00"/>
    <d v="1899-12-30T00:00:00"/>
    <d v="1899-12-30T00:00:00"/>
    <s v=""/>
    <s v="Company1445027142172"/>
    <x v="14"/>
    <x v="36"/>
  </r>
  <r>
    <n v="11976"/>
    <x v="2"/>
    <m/>
    <n v="46"/>
    <s v="Location3"/>
    <d v="2015-06-17T00:00:00"/>
    <x v="0"/>
    <s v="450271"/>
    <d v="1899-12-30T00:00:00"/>
    <m/>
    <m/>
    <m/>
    <m/>
    <m/>
    <d v="1899-12-30T00:00:00"/>
    <d v="2015-06-24T09:04:59"/>
    <m/>
    <m/>
    <d v="1899-12-30T00:00:00"/>
    <d v="1899-12-30T00:00:00"/>
    <d v="1899-12-30T00:00:00"/>
    <s v=""/>
    <s v="Company1445027142172"/>
    <x v="14"/>
    <x v="36"/>
  </r>
  <r>
    <n v="11977"/>
    <x v="6"/>
    <m/>
    <n v="402"/>
    <s v="Location3"/>
    <d v="2015-06-17T00:00:00"/>
    <x v="0"/>
    <s v="450271"/>
    <d v="1899-12-30T00:00:00"/>
    <m/>
    <m/>
    <m/>
    <m/>
    <m/>
    <d v="1899-12-30T00:00:00"/>
    <d v="2015-06-24T09:09:28"/>
    <m/>
    <m/>
    <d v="1899-12-30T00:00:00"/>
    <d v="1899-12-30T00:00:00"/>
    <d v="1899-12-30T00:00:00"/>
    <s v=""/>
    <s v="Company1445027142172"/>
    <x v="14"/>
    <x v="36"/>
  </r>
  <r>
    <n v="11978"/>
    <x v="11"/>
    <m/>
    <n v="152"/>
    <s v="Location3"/>
    <d v="2015-06-17T00:00:00"/>
    <x v="0"/>
    <s v="450271"/>
    <d v="1899-12-30T00:00:00"/>
    <m/>
    <m/>
    <m/>
    <m/>
    <m/>
    <d v="1899-12-30T00:00:00"/>
    <d v="2015-06-24T09:14:17"/>
    <m/>
    <m/>
    <d v="1899-12-30T00:00:00"/>
    <d v="1899-12-30T00:00:00"/>
    <d v="1899-12-30T00:00:00"/>
    <s v=""/>
    <s v="Company1445027142172"/>
    <x v="14"/>
    <x v="36"/>
  </r>
  <r>
    <n v="11979"/>
    <x v="3"/>
    <m/>
    <n v="38"/>
    <s v="Location3"/>
    <d v="2015-06-17T00:00:00"/>
    <x v="0"/>
    <s v="450271"/>
    <d v="1899-12-30T00:00:00"/>
    <m/>
    <m/>
    <m/>
    <m/>
    <m/>
    <d v="1899-12-30T00:00:00"/>
    <d v="2015-06-24T09:17:53"/>
    <m/>
    <m/>
    <d v="1899-12-30T00:00:00"/>
    <d v="1899-12-30T00:00:00"/>
    <d v="1899-12-30T00:00:00"/>
    <s v=""/>
    <s v="Company1445027142172"/>
    <x v="14"/>
    <x v="36"/>
  </r>
  <r>
    <n v="11980"/>
    <x v="7"/>
    <m/>
    <n v="134"/>
    <s v="Location3"/>
    <d v="2015-06-17T00:00:00"/>
    <x v="0"/>
    <s v="450271"/>
    <d v="1899-12-30T00:00:00"/>
    <m/>
    <m/>
    <m/>
    <m/>
    <m/>
    <d v="1899-12-30T00:00:00"/>
    <d v="2015-06-24T09:24:26"/>
    <m/>
    <m/>
    <d v="1899-12-30T00:00:00"/>
    <d v="1899-12-30T00:00:00"/>
    <d v="1899-12-30T00:00:00"/>
    <s v=""/>
    <s v="Company1445027142172"/>
    <x v="14"/>
    <x v="36"/>
  </r>
  <r>
    <n v="11981"/>
    <x v="3"/>
    <m/>
    <n v="35"/>
    <s v="Location3"/>
    <d v="2015-06-17T00:00:00"/>
    <x v="0"/>
    <s v="450271"/>
    <d v="1899-12-30T00:00:00"/>
    <m/>
    <m/>
    <m/>
    <m/>
    <m/>
    <d v="1899-12-30T00:00:00"/>
    <d v="2015-06-24T09:29:00"/>
    <m/>
    <m/>
    <d v="1899-12-30T00:00:00"/>
    <d v="1899-12-30T00:00:00"/>
    <d v="1899-12-30T00:00:00"/>
    <s v=""/>
    <s v="Company1445027142172"/>
    <x v="14"/>
    <x v="36"/>
  </r>
  <r>
    <n v="11982"/>
    <x v="20"/>
    <m/>
    <n v="10"/>
    <s v="Location3"/>
    <d v="2015-06-17T00:00:00"/>
    <x v="0"/>
    <s v="450271"/>
    <d v="1899-12-30T00:00:00"/>
    <m/>
    <m/>
    <m/>
    <m/>
    <m/>
    <d v="1899-12-30T00:00:00"/>
    <d v="2015-06-24T09:31:12"/>
    <m/>
    <m/>
    <d v="1899-12-30T00:00:00"/>
    <d v="1899-12-30T00:00:00"/>
    <d v="1899-12-30T00:00:00"/>
    <s v=""/>
    <s v="Company1445027142172"/>
    <x v="14"/>
    <x v="36"/>
  </r>
  <r>
    <n v="11983"/>
    <x v="3"/>
    <m/>
    <n v="18"/>
    <s v="Location3"/>
    <d v="2015-06-17T00:00:00"/>
    <x v="0"/>
    <s v="450271"/>
    <d v="1899-12-30T00:00:00"/>
    <m/>
    <m/>
    <m/>
    <m/>
    <m/>
    <d v="1899-12-30T00:00:00"/>
    <d v="2015-06-24T09:35:12"/>
    <m/>
    <m/>
    <d v="1899-12-30T00:00:00"/>
    <d v="1899-12-30T00:00:00"/>
    <d v="1899-12-30T00:00:00"/>
    <s v=""/>
    <s v="Company1445027142172"/>
    <x v="14"/>
    <x v="36"/>
  </r>
  <r>
    <n v="11984"/>
    <x v="5"/>
    <m/>
    <n v="404"/>
    <s v="Location3"/>
    <d v="2015-06-17T00:00:00"/>
    <x v="0"/>
    <s v="450271"/>
    <d v="1899-12-30T00:00:00"/>
    <m/>
    <m/>
    <m/>
    <m/>
    <m/>
    <d v="1899-12-30T00:00:00"/>
    <d v="2015-06-24T09:37:40"/>
    <m/>
    <m/>
    <d v="1899-12-30T00:00:00"/>
    <d v="1899-12-30T00:00:00"/>
    <d v="1899-12-30T00:00:00"/>
    <s v=""/>
    <s v="Company1445027142172"/>
    <x v="14"/>
    <x v="36"/>
  </r>
  <r>
    <n v="11985"/>
    <x v="7"/>
    <m/>
    <n v="504"/>
    <s v="Location3"/>
    <d v="2015-06-17T00:00:00"/>
    <x v="0"/>
    <s v="450271"/>
    <d v="1899-12-30T00:00:00"/>
    <m/>
    <m/>
    <m/>
    <m/>
    <m/>
    <d v="1899-12-30T00:00:00"/>
    <d v="2015-06-24T09:45:30"/>
    <m/>
    <m/>
    <d v="1899-12-30T00:00:00"/>
    <d v="1899-12-30T00:00:00"/>
    <d v="1899-12-30T00:00:00"/>
    <s v=""/>
    <s v="Company1445027142172"/>
    <x v="14"/>
    <x v="36"/>
  </r>
  <r>
    <n v="11986"/>
    <x v="2"/>
    <m/>
    <n v="1788"/>
    <s v="Location3"/>
    <d v="2015-06-17T00:00:00"/>
    <x v="0"/>
    <s v="450271"/>
    <d v="1899-12-30T00:00:00"/>
    <m/>
    <m/>
    <m/>
    <m/>
    <m/>
    <d v="1899-12-30T00:00:00"/>
    <d v="2015-06-24T09:52:53"/>
    <m/>
    <m/>
    <d v="1899-12-30T00:00:00"/>
    <d v="1899-12-30T00:00:00"/>
    <d v="1899-12-30T00:00:00"/>
    <s v=""/>
    <s v="Company1445027142172"/>
    <x v="14"/>
    <x v="36"/>
  </r>
  <r>
    <n v="11987"/>
    <x v="17"/>
    <m/>
    <n v="252"/>
    <s v="Location3"/>
    <d v="2015-06-17T00:00:00"/>
    <x v="0"/>
    <s v="450271"/>
    <d v="1899-12-30T00:00:00"/>
    <m/>
    <m/>
    <m/>
    <m/>
    <m/>
    <d v="1899-12-30T00:00:00"/>
    <d v="2015-06-24T10:18:44"/>
    <m/>
    <m/>
    <d v="1899-12-30T00:00:00"/>
    <d v="1899-12-30T00:00:00"/>
    <d v="1899-12-30T00:00:00"/>
    <s v=""/>
    <s v="Company1445027142172"/>
    <x v="14"/>
    <x v="36"/>
  </r>
  <r>
    <n v="11988"/>
    <x v="3"/>
    <m/>
    <n v="83"/>
    <s v="Location3"/>
    <d v="2015-06-17T00:00:00"/>
    <x v="0"/>
    <s v="450271"/>
    <d v="1899-12-30T00:00:00"/>
    <m/>
    <m/>
    <m/>
    <m/>
    <m/>
    <d v="1899-12-30T00:00:00"/>
    <d v="2015-06-24T10:23:47"/>
    <m/>
    <m/>
    <d v="1899-12-30T00:00:00"/>
    <d v="1899-12-30T00:00:00"/>
    <d v="1899-12-30T00:00:00"/>
    <s v=""/>
    <s v="Company1445027142172"/>
    <x v="14"/>
    <x v="36"/>
  </r>
  <r>
    <n v="11989"/>
    <x v="1"/>
    <m/>
    <n v="116"/>
    <s v="Location3"/>
    <d v="2015-06-17T00:00:00"/>
    <x v="0"/>
    <s v="450271"/>
    <d v="1899-12-30T00:00:00"/>
    <m/>
    <m/>
    <m/>
    <m/>
    <m/>
    <d v="1899-12-30T00:00:00"/>
    <d v="2015-06-24T10:27:02"/>
    <m/>
    <m/>
    <d v="1899-12-30T00:00:00"/>
    <d v="1899-12-30T00:00:00"/>
    <d v="1899-12-30T00:00:00"/>
    <s v=""/>
    <s v="Company1445027142172"/>
    <x v="14"/>
    <x v="36"/>
  </r>
  <r>
    <n v="11990"/>
    <x v="3"/>
    <m/>
    <n v="100"/>
    <s v="Location3"/>
    <d v="2015-06-17T00:00:00"/>
    <x v="0"/>
    <s v="450271"/>
    <d v="1899-12-30T00:00:00"/>
    <m/>
    <m/>
    <m/>
    <m/>
    <m/>
    <d v="1899-12-30T00:00:00"/>
    <d v="2015-06-24T10:30:41"/>
    <m/>
    <m/>
    <d v="1899-12-30T00:00:00"/>
    <d v="1899-12-30T00:00:00"/>
    <d v="1899-12-30T00:00:00"/>
    <s v=""/>
    <s v="Company1445027142172"/>
    <x v="14"/>
    <x v="36"/>
  </r>
  <r>
    <n v="11991"/>
    <x v="3"/>
    <m/>
    <n v="63"/>
    <s v="Location3"/>
    <d v="2015-06-17T00:00:00"/>
    <x v="0"/>
    <s v="450271"/>
    <d v="1899-12-30T00:00:00"/>
    <m/>
    <m/>
    <m/>
    <m/>
    <m/>
    <d v="1899-12-30T00:00:00"/>
    <d v="2015-06-24T10:35:14"/>
    <m/>
    <m/>
    <d v="1899-12-30T00:00:00"/>
    <d v="1899-12-30T00:00:00"/>
    <d v="1899-12-30T00:00:00"/>
    <s v=""/>
    <s v="Company1445027142172"/>
    <x v="14"/>
    <x v="36"/>
  </r>
  <r>
    <n v="12043"/>
    <x v="5"/>
    <m/>
    <n v="297"/>
    <s v="Location3"/>
    <d v="2015-06-30T00:00:00"/>
    <x v="0"/>
    <s v="107703"/>
    <d v="1899-12-30T00:00:00"/>
    <m/>
    <m/>
    <m/>
    <m/>
    <m/>
    <d v="1899-12-30T00:00:00"/>
    <d v="2015-06-30T12:31:56"/>
    <m/>
    <m/>
    <d v="1899-12-30T00:00:00"/>
    <d v="1899-12-30T00:00:00"/>
    <d v="1899-12-30T00:00:00"/>
    <d v="1899-12-31T00:00:00"/>
    <s v="Company1410770342185"/>
    <x v="14"/>
    <x v="37"/>
  </r>
  <r>
    <n v="12044"/>
    <x v="5"/>
    <m/>
    <n v="351"/>
    <s v="Location3"/>
    <d v="2015-06-30T00:00:00"/>
    <x v="0"/>
    <s v="107703"/>
    <d v="1899-12-30T00:00:00"/>
    <m/>
    <m/>
    <m/>
    <m/>
    <m/>
    <d v="1899-12-30T00:00:00"/>
    <d v="2015-06-30T12:34:18"/>
    <m/>
    <m/>
    <d v="1899-12-30T00:00:00"/>
    <d v="1899-12-30T00:00:00"/>
    <d v="1899-12-30T00:00:00"/>
    <s v=""/>
    <s v="Company1410770342185"/>
    <x v="14"/>
    <x v="37"/>
  </r>
  <r>
    <n v="12045"/>
    <x v="5"/>
    <m/>
    <n v="285"/>
    <s v="Location3"/>
    <d v="2015-06-30T00:00:00"/>
    <x v="0"/>
    <s v="107703"/>
    <d v="1899-12-30T00:00:00"/>
    <m/>
    <m/>
    <m/>
    <m/>
    <m/>
    <d v="1899-12-30T00:00:00"/>
    <d v="2015-06-30T12:40:24"/>
    <m/>
    <m/>
    <d v="1899-12-30T00:00:00"/>
    <d v="1899-12-30T00:00:00"/>
    <d v="1899-12-30T00:00:00"/>
    <s v=""/>
    <s v="Company1410770342185"/>
    <x v="14"/>
    <x v="37"/>
  </r>
  <r>
    <n v="12046"/>
    <x v="1"/>
    <m/>
    <n v="858"/>
    <s v="Location3"/>
    <d v="2015-06-30T00:00:00"/>
    <x v="0"/>
    <s v="107703"/>
    <d v="1899-12-30T00:00:00"/>
    <m/>
    <m/>
    <m/>
    <m/>
    <m/>
    <d v="1899-12-30T00:00:00"/>
    <d v="2015-06-30T12:44:02"/>
    <m/>
    <m/>
    <d v="1899-12-30T00:00:00"/>
    <d v="1899-12-30T00:00:00"/>
    <d v="1899-12-30T00:00:00"/>
    <s v=""/>
    <s v="Company1410770342185"/>
    <x v="14"/>
    <x v="37"/>
  </r>
  <r>
    <n v="12047"/>
    <x v="5"/>
    <m/>
    <n v="557"/>
    <s v="Location3"/>
    <d v="2015-06-30T00:00:00"/>
    <x v="0"/>
    <s v="107703"/>
    <d v="1899-12-30T00:00:00"/>
    <m/>
    <m/>
    <m/>
    <m/>
    <m/>
    <d v="1899-12-30T00:00:00"/>
    <d v="2015-06-30T12:55:39"/>
    <m/>
    <m/>
    <d v="1899-12-30T00:00:00"/>
    <d v="1899-12-30T00:00:00"/>
    <d v="1899-12-30T00:00:00"/>
    <s v=""/>
    <s v="Company1410770342185"/>
    <x v="14"/>
    <x v="37"/>
  </r>
  <r>
    <n v="12048"/>
    <x v="6"/>
    <m/>
    <n v="418"/>
    <s v="Location3"/>
    <d v="2015-06-30T00:00:00"/>
    <x v="0"/>
    <s v="107703"/>
    <d v="1899-12-30T00:00:00"/>
    <m/>
    <m/>
    <m/>
    <m/>
    <m/>
    <d v="1899-12-30T00:00:00"/>
    <d v="2015-06-30T13:01:45"/>
    <m/>
    <m/>
    <d v="1899-12-30T00:00:00"/>
    <d v="1899-12-30T00:00:00"/>
    <d v="1899-12-30T00:00:00"/>
    <s v=""/>
    <s v="Company1410770342185"/>
    <x v="14"/>
    <x v="37"/>
  </r>
  <r>
    <n v="12049"/>
    <x v="2"/>
    <m/>
    <n v="754"/>
    <s v="Location3"/>
    <d v="2015-06-30T00:00:00"/>
    <x v="0"/>
    <s v="107703"/>
    <d v="1899-12-30T00:00:00"/>
    <m/>
    <m/>
    <m/>
    <m/>
    <m/>
    <d v="1899-12-30T00:00:00"/>
    <d v="2015-06-30T13:11:03"/>
    <m/>
    <m/>
    <d v="1899-12-30T00:00:00"/>
    <d v="1899-12-30T00:00:00"/>
    <d v="1899-12-30T00:00:00"/>
    <s v=""/>
    <s v="Company1410770342185"/>
    <x v="14"/>
    <x v="37"/>
  </r>
  <r>
    <n v="12050"/>
    <x v="20"/>
    <m/>
    <n v="25"/>
    <s v="Location3"/>
    <d v="2015-06-30T00:00:00"/>
    <x v="0"/>
    <s v="107703"/>
    <d v="1899-12-30T00:00:00"/>
    <m/>
    <m/>
    <m/>
    <m/>
    <m/>
    <d v="1899-12-30T00:00:00"/>
    <d v="2015-06-30T13:17:40"/>
    <m/>
    <m/>
    <d v="1899-12-30T00:00:00"/>
    <d v="1899-12-30T00:00:00"/>
    <d v="1899-12-30T00:00:00"/>
    <s v=""/>
    <s v="Company1410770342185"/>
    <x v="14"/>
    <x v="37"/>
  </r>
  <r>
    <n v="12051"/>
    <x v="20"/>
    <m/>
    <n v="64"/>
    <s v="Location3"/>
    <d v="2015-06-30T00:00:00"/>
    <x v="0"/>
    <s v="107703"/>
    <d v="1899-12-30T00:00:00"/>
    <m/>
    <m/>
    <m/>
    <m/>
    <m/>
    <d v="1899-12-30T00:00:00"/>
    <d v="2015-06-30T13:20:49"/>
    <m/>
    <m/>
    <d v="1899-12-30T00:00:00"/>
    <d v="1899-12-30T00:00:00"/>
    <d v="1899-12-30T00:00:00"/>
    <s v=""/>
    <s v="Company1410770342185"/>
    <x v="14"/>
    <x v="37"/>
  </r>
  <r>
    <n v="12052"/>
    <x v="20"/>
    <m/>
    <n v="65"/>
    <s v="Location3"/>
    <d v="2015-06-30T00:00:00"/>
    <x v="0"/>
    <s v="107703"/>
    <d v="1899-12-30T00:00:00"/>
    <m/>
    <m/>
    <m/>
    <m/>
    <m/>
    <d v="1899-12-30T00:00:00"/>
    <d v="2015-06-30T13:22:55"/>
    <m/>
    <m/>
    <d v="1899-12-30T00:00:00"/>
    <d v="1899-12-30T00:00:00"/>
    <d v="1899-12-30T00:00:00"/>
    <s v=""/>
    <s v="Company1410770342185"/>
    <x v="14"/>
    <x v="37"/>
  </r>
  <r>
    <n v="12053"/>
    <x v="3"/>
    <m/>
    <n v="67"/>
    <s v="Location3"/>
    <d v="2015-06-30T00:00:00"/>
    <x v="0"/>
    <s v="107703"/>
    <d v="1899-12-30T00:00:00"/>
    <m/>
    <m/>
    <m/>
    <m/>
    <m/>
    <d v="1899-12-30T00:00:00"/>
    <d v="2015-06-30T13:26:38"/>
    <m/>
    <m/>
    <d v="1899-12-30T00:00:00"/>
    <d v="1899-12-30T00:00:00"/>
    <d v="1899-12-30T00:00:00"/>
    <s v=""/>
    <s v="Company1410770342185"/>
    <x v="14"/>
    <x v="37"/>
  </r>
  <r>
    <n v="12054"/>
    <x v="3"/>
    <m/>
    <n v="27"/>
    <s v="Location3"/>
    <d v="2015-06-30T00:00:00"/>
    <x v="0"/>
    <s v="107703"/>
    <d v="1899-12-30T00:00:00"/>
    <m/>
    <m/>
    <m/>
    <m/>
    <m/>
    <d v="1899-12-30T00:00:00"/>
    <d v="2015-06-30T13:29:18"/>
    <m/>
    <m/>
    <d v="1899-12-30T00:00:00"/>
    <d v="1899-12-30T00:00:00"/>
    <d v="1899-12-30T00:00:00"/>
    <s v=""/>
    <s v="Company1410770342185"/>
    <x v="14"/>
    <x v="37"/>
  </r>
  <r>
    <n v="12055"/>
    <x v="2"/>
    <m/>
    <n v="355"/>
    <s v="Location3"/>
    <d v="2015-06-30T00:00:00"/>
    <x v="0"/>
    <s v="107703"/>
    <d v="1899-12-30T00:00:00"/>
    <m/>
    <m/>
    <m/>
    <m/>
    <m/>
    <d v="1899-12-30T00:00:00"/>
    <d v="2015-06-30T13:45:18"/>
    <m/>
    <m/>
    <d v="1899-12-30T00:00:00"/>
    <d v="1899-12-30T00:00:00"/>
    <d v="1899-12-30T00:00:00"/>
    <s v=""/>
    <s v="Company1410770342185"/>
    <x v="14"/>
    <x v="37"/>
  </r>
  <r>
    <n v="12056"/>
    <x v="5"/>
    <m/>
    <n v="333"/>
    <s v="Location3"/>
    <d v="2015-06-30T00:00:00"/>
    <x v="0"/>
    <s v="107703"/>
    <d v="1899-12-30T00:00:00"/>
    <m/>
    <m/>
    <m/>
    <m/>
    <m/>
    <d v="1899-12-30T00:00:00"/>
    <d v="2015-06-30T14:30:24"/>
    <m/>
    <m/>
    <d v="1899-12-30T00:00:00"/>
    <d v="1899-12-30T00:00:00"/>
    <d v="1899-12-30T00:00:00"/>
    <s v=""/>
    <s v="Company1410770342185"/>
    <x v="14"/>
    <x v="37"/>
  </r>
  <r>
    <n v="12212"/>
    <x v="3"/>
    <m/>
    <n v="33"/>
    <s v="Location3"/>
    <d v="2015-07-13T00:00:00"/>
    <x v="0"/>
    <s v="klfu190151"/>
    <d v="1899-12-30T00:00:00"/>
    <m/>
    <m/>
    <m/>
    <m/>
    <m/>
    <d v="1899-12-30T00:00:00"/>
    <d v="2015-07-14T13:11:06"/>
    <m/>
    <d v="1899-12-30T00:00:00"/>
    <d v="1899-12-30T00:00:00"/>
    <d v="1899-12-30T00:00:00"/>
    <d v="1899-12-30T00:00:00"/>
    <d v="1899-12-31T00:00:00"/>
    <s v="Company14KLFU19015142198"/>
    <x v="15"/>
    <x v="38"/>
  </r>
  <r>
    <n v="12213"/>
    <x v="2"/>
    <m/>
    <n v="60"/>
    <s v="Location3"/>
    <d v="2015-07-13T00:00:00"/>
    <x v="0"/>
    <s v="klfu190151"/>
    <d v="1899-12-30T00:00:00"/>
    <m/>
    <m/>
    <m/>
    <m/>
    <m/>
    <d v="1899-12-30T00:00:00"/>
    <d v="2015-07-14T13:15:47"/>
    <m/>
    <d v="1899-12-30T00:21:36"/>
    <d v="1899-12-30T21:36:00"/>
    <d v="1899-12-30T21:36:00"/>
    <d v="1899-12-30T00:00:00"/>
    <s v=""/>
    <s v="Company14KLFU19015142198"/>
    <x v="15"/>
    <x v="38"/>
  </r>
  <r>
    <n v="12214"/>
    <x v="2"/>
    <m/>
    <n v="300"/>
    <s v="Location3"/>
    <d v="2015-07-13T00:00:00"/>
    <x v="0"/>
    <s v="klfu190151"/>
    <d v="1899-12-30T00:00:00"/>
    <m/>
    <m/>
    <m/>
    <m/>
    <m/>
    <d v="1899-12-30T00:00:00"/>
    <d v="2015-07-14T13:23:39"/>
    <m/>
    <d v="1899-12-30T00:21:36"/>
    <d v="1900-01-03T12:00:00"/>
    <d v="1900-01-03T12:00:00"/>
    <d v="1899-12-30T00:00:00"/>
    <s v=""/>
    <s v="Company14KLFU19015142198"/>
    <x v="15"/>
    <x v="38"/>
  </r>
  <r>
    <n v="12215"/>
    <x v="1"/>
    <m/>
    <n v="859"/>
    <s v="Location3"/>
    <d v="2015-07-13T00:00:00"/>
    <x v="0"/>
    <s v="klfu190151"/>
    <d v="1899-12-30T00:00:00"/>
    <m/>
    <m/>
    <m/>
    <m/>
    <m/>
    <d v="1899-12-30T00:00:00"/>
    <d v="2015-07-14T13:23:56"/>
    <m/>
    <d v="1899-12-30T00:00:00"/>
    <d v="1899-12-30T00:00:00"/>
    <d v="1899-12-30T00:00:00"/>
    <d v="1899-12-30T00:00:00"/>
    <s v=""/>
    <s v="Company14KLFU19015142198"/>
    <x v="15"/>
    <x v="38"/>
  </r>
  <r>
    <n v="12216"/>
    <x v="2"/>
    <m/>
    <n v="200"/>
    <s v="Location3"/>
    <d v="2015-07-13T00:00:00"/>
    <x v="0"/>
    <s v="klfu190151"/>
    <d v="1899-12-30T00:00:00"/>
    <m/>
    <m/>
    <m/>
    <m/>
    <m/>
    <d v="1899-12-30T00:00:00"/>
    <d v="2015-07-14T13:33:14"/>
    <m/>
    <d v="1899-12-30T00:21:36"/>
    <d v="1900-01-02T00:00:00"/>
    <d v="1900-01-02T00:00:00"/>
    <d v="1899-12-30T00:00:00"/>
    <s v=""/>
    <s v="Company14KLFU19015142198"/>
    <x v="15"/>
    <x v="38"/>
  </r>
  <r>
    <n v="12217"/>
    <x v="0"/>
    <m/>
    <n v="100"/>
    <s v="Location3"/>
    <d v="2015-07-13T00:00:00"/>
    <x v="0"/>
    <s v="klfu190151"/>
    <d v="1899-12-30T00:00:00"/>
    <m/>
    <m/>
    <m/>
    <m/>
    <m/>
    <d v="1899-12-30T00:00:00"/>
    <d v="2015-07-14T13:33:38"/>
    <m/>
    <d v="1899-12-30T00:00:00"/>
    <d v="1899-12-30T00:00:00"/>
    <d v="1899-12-30T00:00:00"/>
    <d v="1899-12-30T00:00:00"/>
    <s v=""/>
    <s v="Company14KLFU19015142198"/>
    <x v="15"/>
    <x v="38"/>
  </r>
  <r>
    <n v="12218"/>
    <x v="1"/>
    <m/>
    <n v="429"/>
    <s v="Location3"/>
    <d v="2015-07-13T00:00:00"/>
    <x v="0"/>
    <s v="klfu190151"/>
    <d v="1899-12-30T00:00:00"/>
    <m/>
    <m/>
    <m/>
    <m/>
    <m/>
    <d v="1899-12-30T00:00:00"/>
    <d v="2015-07-14T13:33:53"/>
    <m/>
    <d v="1899-12-30T00:00:00"/>
    <d v="1899-12-30T00:00:00"/>
    <d v="1899-12-30T00:00:00"/>
    <d v="1899-12-30T00:00:00"/>
    <s v=""/>
    <s v="Company14KLFU19015142198"/>
    <x v="15"/>
    <x v="38"/>
  </r>
  <r>
    <n v="12219"/>
    <x v="1"/>
    <m/>
    <n v="300"/>
    <s v="Location3"/>
    <d v="2015-07-13T00:00:00"/>
    <x v="0"/>
    <s v="klfu190151"/>
    <d v="1899-12-30T00:00:00"/>
    <m/>
    <m/>
    <m/>
    <m/>
    <m/>
    <d v="1899-12-30T00:00:00"/>
    <d v="2015-07-14T13:35:50"/>
    <m/>
    <d v="1899-12-30T00:00:00"/>
    <d v="1899-12-30T00:00:00"/>
    <d v="1899-12-30T00:00:00"/>
    <d v="1899-12-30T00:00:00"/>
    <s v=""/>
    <s v="Company14KLFU19015142198"/>
    <x v="15"/>
    <x v="38"/>
  </r>
  <r>
    <n v="12220"/>
    <x v="0"/>
    <m/>
    <n v="785"/>
    <s v="Location3"/>
    <d v="2015-07-13T00:00:00"/>
    <x v="0"/>
    <s v="klfu190151"/>
    <d v="1899-12-30T00:00:00"/>
    <m/>
    <m/>
    <m/>
    <m/>
    <m/>
    <d v="1899-12-30T00:00:00"/>
    <d v="2015-07-14T13:36:11"/>
    <m/>
    <d v="1899-12-30T00:00:00"/>
    <d v="1899-12-30T00:00:00"/>
    <d v="1899-12-30T00:00:00"/>
    <d v="1899-12-30T00:00:00"/>
    <s v=""/>
    <s v="Company14KLFU19015142198"/>
    <x v="15"/>
    <x v="38"/>
  </r>
  <r>
    <n v="12221"/>
    <x v="2"/>
    <m/>
    <n v="147"/>
    <s v="Location3"/>
    <d v="2015-07-13T00:00:00"/>
    <x v="0"/>
    <s v="klfu190151"/>
    <d v="1899-12-30T00:00:00"/>
    <m/>
    <m/>
    <m/>
    <m/>
    <m/>
    <d v="1899-12-30T00:00:00"/>
    <d v="2015-07-14T13:43:24"/>
    <m/>
    <d v="1899-12-30T00:21:36"/>
    <d v="1900-01-01T04:55:12"/>
    <d v="1900-01-01T04:55:12"/>
    <d v="1899-12-30T00:00:00"/>
    <s v=""/>
    <s v="Company14KLFU19015142198"/>
    <x v="15"/>
    <x v="38"/>
  </r>
  <r>
    <n v="12222"/>
    <x v="1"/>
    <m/>
    <n v="33"/>
    <s v="Location3"/>
    <d v="2015-07-13T00:00:00"/>
    <x v="0"/>
    <s v="klfu190151"/>
    <d v="1899-12-30T00:00:00"/>
    <m/>
    <m/>
    <m/>
    <m/>
    <m/>
    <d v="1899-12-30T00:00:00"/>
    <d v="2015-07-14T13:51:20"/>
    <m/>
    <d v="1899-12-30T00:00:00"/>
    <d v="1899-12-30T00:00:00"/>
    <d v="1899-12-30T00:00:00"/>
    <d v="1899-12-30T00:00:00"/>
    <s v=""/>
    <s v="Company14KLFU19015142198"/>
    <x v="15"/>
    <x v="38"/>
  </r>
  <r>
    <n v="12223"/>
    <x v="5"/>
    <m/>
    <n v="582"/>
    <s v="Location3"/>
    <d v="2015-07-13T00:00:00"/>
    <x v="0"/>
    <s v="klfu190151"/>
    <d v="1899-12-30T00:00:00"/>
    <m/>
    <m/>
    <m/>
    <m/>
    <m/>
    <d v="1899-12-30T00:00:00"/>
    <d v="2015-07-14T13:53:47"/>
    <m/>
    <d v="1899-12-30T00:07:12"/>
    <d v="1900-01-01T21:50:24"/>
    <d v="1900-01-01T21:50:24"/>
    <d v="1899-12-30T00:00:00"/>
    <s v=""/>
    <s v="Company14KLFU19015142198"/>
    <x v="15"/>
    <x v="38"/>
  </r>
  <r>
    <n v="12224"/>
    <x v="5"/>
    <m/>
    <n v="489"/>
    <s v="Location3"/>
    <d v="2015-07-13T00:00:00"/>
    <x v="0"/>
    <s v="klfu190151"/>
    <d v="1899-12-30T00:00:00"/>
    <m/>
    <m/>
    <m/>
    <m/>
    <m/>
    <d v="1899-12-30T00:00:00"/>
    <d v="2015-07-14T13:56:26"/>
    <m/>
    <d v="1899-12-30T00:07:12"/>
    <d v="1900-01-01T10:40:48"/>
    <d v="1900-01-01T10:40:48"/>
    <d v="1899-12-30T00:00:00"/>
    <s v=""/>
    <s v="Company14KLFU19015142198"/>
    <x v="15"/>
    <x v="38"/>
  </r>
  <r>
    <n v="12225"/>
    <x v="5"/>
    <m/>
    <n v="409"/>
    <s v="Location3"/>
    <d v="2015-07-13T00:00:00"/>
    <x v="0"/>
    <s v="klfu190151"/>
    <d v="1899-12-30T00:00:00"/>
    <m/>
    <m/>
    <m/>
    <m/>
    <m/>
    <d v="1899-12-30T00:00:00"/>
    <d v="2015-07-14T14:15:19"/>
    <m/>
    <d v="1899-12-30T00:07:12"/>
    <d v="1900-01-01T01:04:48"/>
    <d v="1900-01-01T01:04:48"/>
    <d v="1899-12-30T00:00:00"/>
    <s v=""/>
    <s v="Company14KLFU19015142198"/>
    <x v="15"/>
    <x v="38"/>
  </r>
  <r>
    <n v="12226"/>
    <x v="5"/>
    <m/>
    <n v="468"/>
    <s v="Location3"/>
    <d v="2015-07-13T00:00:00"/>
    <x v="0"/>
    <s v="klfu190151"/>
    <d v="1899-12-30T00:00:00"/>
    <m/>
    <m/>
    <m/>
    <m/>
    <m/>
    <d v="1899-12-30T00:00:00"/>
    <d v="2015-07-14T14:18:00"/>
    <m/>
    <d v="1899-12-30T00:07:12"/>
    <d v="1900-01-01T08:09:36"/>
    <d v="1900-01-01T08:09:36"/>
    <d v="1899-12-30T00:00:00"/>
    <s v=""/>
    <s v="Company14KLFU19015142198"/>
    <x v="15"/>
    <x v="38"/>
  </r>
  <r>
    <n v="12227"/>
    <x v="5"/>
    <m/>
    <n v="535"/>
    <s v="Location3"/>
    <d v="2015-07-13T00:00:00"/>
    <x v="0"/>
    <s v="klfu190151"/>
    <d v="1899-12-30T00:00:00"/>
    <m/>
    <m/>
    <m/>
    <m/>
    <m/>
    <d v="1899-12-30T00:00:00"/>
    <d v="2015-07-14T14:20:45"/>
    <m/>
    <d v="1899-12-30T00:07:12"/>
    <d v="1900-01-01T16:12:00"/>
    <d v="1900-01-01T16:12:00"/>
    <d v="1899-12-30T00:00:00"/>
    <s v=""/>
    <s v="Company14KLFU19015142198"/>
    <x v="15"/>
    <x v="38"/>
  </r>
  <r>
    <n v="12228"/>
    <x v="5"/>
    <m/>
    <n v="338"/>
    <s v="Location3"/>
    <d v="2015-07-13T00:00:00"/>
    <x v="0"/>
    <s v="klfu190151"/>
    <d v="1899-12-30T00:00:00"/>
    <m/>
    <m/>
    <m/>
    <m/>
    <m/>
    <d v="1899-12-30T00:00:00"/>
    <d v="2015-07-14T14:23:24"/>
    <m/>
    <d v="1899-12-30T00:07:12"/>
    <d v="1899-12-31T16:33:36"/>
    <d v="1899-12-31T16:33:36"/>
    <d v="1899-12-30T00:00:00"/>
    <s v=""/>
    <s v="Company14KLFU19015142198"/>
    <x v="15"/>
    <x v="38"/>
  </r>
  <r>
    <n v="12229"/>
    <x v="5"/>
    <m/>
    <n v="510"/>
    <s v="Location3"/>
    <d v="2015-07-13T00:00:00"/>
    <x v="0"/>
    <s v="klfu190151"/>
    <d v="1899-12-30T00:00:00"/>
    <m/>
    <m/>
    <m/>
    <m/>
    <m/>
    <d v="1899-12-30T00:00:00"/>
    <d v="2015-07-15T08:20:55"/>
    <m/>
    <d v="1899-12-30T00:07:12"/>
    <d v="1900-01-01T13:12:00"/>
    <d v="1900-01-01T13:12:00"/>
    <d v="1899-12-30T00:00:00"/>
    <s v=""/>
    <s v="Company14KLFU19015142198"/>
    <x v="15"/>
    <x v="38"/>
  </r>
  <r>
    <n v="12230"/>
    <x v="5"/>
    <m/>
    <n v="500"/>
    <s v="Location3"/>
    <d v="2015-07-13T00:00:00"/>
    <x v="0"/>
    <s v="klfu190151"/>
    <d v="1899-12-30T00:00:00"/>
    <m/>
    <m/>
    <m/>
    <m/>
    <m/>
    <d v="1899-12-30T00:00:00"/>
    <d v="2015-07-15T08:22:56"/>
    <m/>
    <d v="1899-12-30T00:07:12"/>
    <d v="1900-01-01T12:00:00"/>
    <d v="1900-01-01T12:00:00"/>
    <d v="1899-12-30T00:00:00"/>
    <s v=""/>
    <s v="Company14KLFU19015142198"/>
    <x v="15"/>
    <x v="38"/>
  </r>
  <r>
    <n v="12231"/>
    <x v="5"/>
    <m/>
    <n v="520"/>
    <s v="Location3"/>
    <d v="2015-07-13T00:00:00"/>
    <x v="0"/>
    <s v="klfu190151"/>
    <d v="1899-12-30T00:00:00"/>
    <m/>
    <m/>
    <m/>
    <m/>
    <m/>
    <d v="1899-12-30T00:00:00"/>
    <d v="2015-07-15T08:24:49"/>
    <m/>
    <d v="1899-12-30T00:07:12"/>
    <d v="1900-01-01T14:24:00"/>
    <d v="1900-01-01T14:24:00"/>
    <d v="1899-12-30T00:00:00"/>
    <s v=""/>
    <s v="Company14KLFU19015142198"/>
    <x v="15"/>
    <x v="38"/>
  </r>
  <r>
    <n v="12886"/>
    <x v="5"/>
    <m/>
    <n v="2342"/>
    <s v="Location3"/>
    <d v="2015-09-03T00:00:00"/>
    <x v="0"/>
    <s v="340"/>
    <d v="1899-12-30T00:00:00"/>
    <m/>
    <m/>
    <m/>
    <m/>
    <m/>
    <d v="1899-12-30T00:00:00"/>
    <d v="2015-09-08T13:43:38"/>
    <m/>
    <d v="1899-12-30T00:07:12"/>
    <d v="1900-01-10T17:02:24"/>
    <d v="1900-01-10T17:02:24"/>
    <d v="1899-12-30T00:00:00"/>
    <d v="1899-12-31T00:00:00"/>
    <s v="Company1434042250"/>
    <x v="16"/>
    <x v="39"/>
  </r>
  <r>
    <n v="12887"/>
    <x v="1"/>
    <m/>
    <n v="7497"/>
    <s v="Location3"/>
    <d v="2015-09-03T00:00:00"/>
    <x v="0"/>
    <s v="340"/>
    <d v="1899-12-30T00:00:00"/>
    <m/>
    <m/>
    <m/>
    <m/>
    <m/>
    <d v="1899-12-30T00:00:00"/>
    <d v="2015-09-08T13:44:28"/>
    <m/>
    <d v="1899-12-30T00:00:00"/>
    <d v="1899-12-30T00:00:00"/>
    <d v="1899-12-30T00:00:00"/>
    <d v="1899-12-30T00:00:00"/>
    <s v=""/>
    <s v="Company1434042250"/>
    <x v="16"/>
    <x v="39"/>
  </r>
  <r>
    <n v="12888"/>
    <x v="2"/>
    <m/>
    <n v="87"/>
    <s v="Location3"/>
    <d v="2015-09-03T00:00:00"/>
    <x v="0"/>
    <s v="340"/>
    <d v="1899-12-30T00:00:00"/>
    <m/>
    <m/>
    <m/>
    <m/>
    <m/>
    <d v="1899-12-30T00:00:00"/>
    <d v="2015-09-08T13:44:44"/>
    <m/>
    <d v="1899-12-30T00:21:36"/>
    <d v="1899-12-31T07:19:12"/>
    <d v="1899-12-31T07:19:12"/>
    <d v="1899-12-30T00:00:00"/>
    <s v=""/>
    <s v="Company1434042250"/>
    <x v="16"/>
    <x v="39"/>
  </r>
  <r>
    <n v="12889"/>
    <x v="7"/>
    <m/>
    <n v="150"/>
    <s v="Location3"/>
    <d v="2015-09-03T00:00:00"/>
    <x v="0"/>
    <s v="340"/>
    <d v="1899-12-30T00:00:00"/>
    <m/>
    <m/>
    <m/>
    <m/>
    <m/>
    <d v="1899-12-30T00:00:00"/>
    <d v="2015-09-08T13:45:11"/>
    <m/>
    <n v="-7.0000000000000007E-2"/>
    <n v="-10.500000000000002"/>
    <d v="1899-12-30T00:00:00"/>
    <n v="-10.500000000000002"/>
    <s v=""/>
    <s v="Company1434042250"/>
    <x v="16"/>
    <x v="39"/>
  </r>
  <r>
    <n v="12890"/>
    <x v="3"/>
    <m/>
    <n v="482"/>
    <s v="Location3"/>
    <d v="2015-09-03T00:00:00"/>
    <x v="0"/>
    <s v="340"/>
    <d v="1899-12-30T00:00:00"/>
    <m/>
    <m/>
    <m/>
    <m/>
    <m/>
    <d v="1899-12-30T00:00:00"/>
    <d v="2015-09-08T13:45:48"/>
    <m/>
    <d v="1899-12-30T00:00:00"/>
    <d v="1899-12-30T00:00:00"/>
    <d v="1899-12-30T00:00:00"/>
    <d v="1899-12-30T00:00:00"/>
    <s v=""/>
    <s v="Company1434042250"/>
    <x v="16"/>
    <x v="39"/>
  </r>
  <r>
    <n v="12891"/>
    <x v="11"/>
    <m/>
    <n v="38"/>
    <s v="Location3"/>
    <d v="2015-09-03T00:00:00"/>
    <x v="0"/>
    <s v="340"/>
    <d v="1899-12-30T00:00:00"/>
    <m/>
    <m/>
    <m/>
    <m/>
    <m/>
    <d v="1899-12-30T00:00:00"/>
    <d v="2015-09-08T13:46:06"/>
    <m/>
    <d v="1899-12-30T00:00:00"/>
    <d v="1899-12-30T00:00:00"/>
    <d v="1899-12-30T00:00:00"/>
    <d v="1899-12-30T00:00:00"/>
    <s v=""/>
    <s v="Company1434042250"/>
    <x v="16"/>
    <x v="39"/>
  </r>
  <r>
    <n v="12892"/>
    <x v="4"/>
    <m/>
    <n v="187"/>
    <s v="Location3"/>
    <d v="2015-09-03T00:00:00"/>
    <x v="0"/>
    <s v="340"/>
    <d v="1899-12-30T00:00:00"/>
    <m/>
    <m/>
    <m/>
    <m/>
    <m/>
    <d v="1899-12-30T00:00:00"/>
    <d v="2015-09-08T13:46:17"/>
    <m/>
    <d v="1899-12-30T00:21:36"/>
    <d v="1900-01-01T19:19:12"/>
    <d v="1900-01-01T19:19:12"/>
    <d v="1899-12-30T00:00:00"/>
    <s v=""/>
    <s v="Company1434042250"/>
    <x v="16"/>
    <x v="39"/>
  </r>
  <r>
    <n v="12893"/>
    <x v="12"/>
    <m/>
    <n v="32"/>
    <s v="Location3"/>
    <d v="2015-09-03T00:00:00"/>
    <x v="0"/>
    <s v="340"/>
    <d v="1899-12-30T00:00:00"/>
    <m/>
    <m/>
    <m/>
    <m/>
    <m/>
    <d v="1899-12-30T00:00:00"/>
    <d v="2015-09-08T13:46:33"/>
    <m/>
    <d v="1899-12-30T00:00:00"/>
    <d v="1899-12-30T00:00:00"/>
    <d v="1899-12-30T00:00:00"/>
    <d v="1899-12-30T00:00:00"/>
    <s v=""/>
    <s v="Company1434042250"/>
    <x v="16"/>
    <x v="39"/>
  </r>
  <r>
    <n v="12894"/>
    <x v="7"/>
    <m/>
    <n v="60"/>
    <s v="Location3"/>
    <d v="2015-09-03T00:00:00"/>
    <x v="0"/>
    <s v="340"/>
    <d v="1899-12-30T00:00:00"/>
    <m/>
    <m/>
    <m/>
    <m/>
    <m/>
    <d v="1899-12-30T00:00:00"/>
    <d v="2015-09-08T13:47:10"/>
    <m/>
    <n v="-7.0000000000000007E-2"/>
    <n v="-4.2"/>
    <d v="1899-12-30T00:00:00"/>
    <n v="-4.2"/>
    <s v=""/>
    <s v="Company1434042250"/>
    <x v="16"/>
    <x v="39"/>
  </r>
  <r>
    <n v="12895"/>
    <x v="7"/>
    <m/>
    <n v="150"/>
    <s v="Location3"/>
    <d v="2015-09-04T00:00:00"/>
    <x v="0"/>
    <m/>
    <d v="1899-12-30T00:00:00"/>
    <m/>
    <m/>
    <m/>
    <m/>
    <m/>
    <d v="1899-12-30T00:00:00"/>
    <d v="2015-09-08T13:48:15"/>
    <m/>
    <n v="-7.0000000000000007E-2"/>
    <n v="-10.500000000000002"/>
    <d v="1899-12-30T00:00:00"/>
    <n v="-10.500000000000002"/>
    <d v="1899-12-31T00:00:00"/>
    <s v="Company1442251"/>
    <x v="16"/>
    <x v="40"/>
  </r>
  <r>
    <n v="12896"/>
    <x v="6"/>
    <m/>
    <n v="300"/>
    <s v="Location3"/>
    <d v="2015-09-04T00:00:00"/>
    <x v="0"/>
    <m/>
    <d v="1899-12-30T00:00:00"/>
    <m/>
    <m/>
    <m/>
    <m/>
    <m/>
    <d v="1899-12-30T00:00:00"/>
    <d v="2015-09-08T13:48:58"/>
    <m/>
    <d v="1899-12-30T00:00:00"/>
    <d v="1899-12-30T00:00:00"/>
    <d v="1899-12-30T00:00:00"/>
    <d v="1899-12-30T00:00:00"/>
    <s v=""/>
    <s v="Company1442251"/>
    <x v="16"/>
    <x v="40"/>
  </r>
  <r>
    <n v="12897"/>
    <x v="21"/>
    <m/>
    <n v="190"/>
    <s v="Location3"/>
    <d v="2015-09-04T00:00:00"/>
    <x v="0"/>
    <m/>
    <d v="1899-12-30T00:00:00"/>
    <m/>
    <m/>
    <m/>
    <m/>
    <m/>
    <d v="1899-12-30T00:00:00"/>
    <d v="2015-09-08T13:49:28"/>
    <m/>
    <d v="1899-12-30T04:19:12"/>
    <d v="1900-02-02T04:48:00"/>
    <d v="1900-02-02T04:48:00"/>
    <d v="1899-12-30T00:00:00"/>
    <s v=""/>
    <s v="Company1442251"/>
    <x v="16"/>
    <x v="40"/>
  </r>
  <r>
    <n v="12898"/>
    <x v="2"/>
    <m/>
    <n v="1600"/>
    <s v="Location3"/>
    <d v="2015-09-04T00:00:00"/>
    <x v="0"/>
    <m/>
    <d v="1899-12-30T00:00:00"/>
    <m/>
    <m/>
    <m/>
    <m/>
    <m/>
    <d v="1899-12-30T00:00:00"/>
    <d v="2015-09-08T13:49:40"/>
    <m/>
    <d v="1899-12-30T00:21:36"/>
    <d v="1900-01-23T00:00:00"/>
    <d v="1900-01-23T00:00:00"/>
    <d v="1899-12-30T00:00:00"/>
    <s v=""/>
    <s v="Company1442251"/>
    <x v="16"/>
    <x v="40"/>
  </r>
  <r>
    <n v="12899"/>
    <x v="5"/>
    <m/>
    <n v="1400"/>
    <s v="Location3"/>
    <d v="2015-09-04T00:00:00"/>
    <x v="0"/>
    <m/>
    <d v="1899-12-30T00:00:00"/>
    <m/>
    <m/>
    <m/>
    <m/>
    <m/>
    <d v="1899-12-30T00:00:00"/>
    <d v="2015-09-08T13:49:54"/>
    <m/>
    <d v="1899-12-30T00:07:12"/>
    <d v="1900-01-06T00:00:00"/>
    <d v="1900-01-06T00:00:00"/>
    <d v="1899-12-30T00:00:00"/>
    <s v=""/>
    <s v="Company1442251"/>
    <x v="16"/>
    <x v="40"/>
  </r>
  <r>
    <n v="12900"/>
    <x v="3"/>
    <m/>
    <n v="360"/>
    <s v="Location3"/>
    <d v="2015-09-04T00:00:00"/>
    <x v="0"/>
    <m/>
    <d v="1899-12-30T00:00:00"/>
    <m/>
    <m/>
    <m/>
    <m/>
    <m/>
    <d v="1899-12-30T00:00:00"/>
    <d v="2015-09-08T13:50:09"/>
    <m/>
    <d v="1899-12-30T00:00:00"/>
    <d v="1899-12-30T00:00:00"/>
    <d v="1899-12-30T00:00:00"/>
    <d v="1899-12-30T00:00:00"/>
    <s v=""/>
    <s v="Company1442251"/>
    <x v="16"/>
    <x v="40"/>
  </r>
  <r>
    <n v="13264"/>
    <x v="7"/>
    <m/>
    <n v="460"/>
    <s v="Location6"/>
    <d v="2015-11-18T00:00:00"/>
    <x v="0"/>
    <m/>
    <d v="1899-12-30T00:00:00"/>
    <m/>
    <m/>
    <m/>
    <m/>
    <m/>
    <d v="1899-12-30T00:00:00"/>
    <d v="2015-11-19T16:12:38"/>
    <m/>
    <n v="-7.0000000000000007E-2"/>
    <n v="-32.200000000000003"/>
    <d v="1899-12-30T00:00:00"/>
    <n v="-32.200000000000003"/>
    <d v="1899-12-31T00:00:00"/>
    <s v="Company1442326"/>
    <x v="17"/>
    <x v="41"/>
  </r>
  <r>
    <n v="13265"/>
    <x v="1"/>
    <m/>
    <n v="2630"/>
    <s v="Location6"/>
    <d v="2015-11-18T00:00:00"/>
    <x v="0"/>
    <m/>
    <d v="1899-12-30T00:00:00"/>
    <m/>
    <m/>
    <m/>
    <m/>
    <m/>
    <d v="1899-12-30T00:00:00"/>
    <d v="2015-11-19T16:13:22"/>
    <m/>
    <d v="1899-12-30T00:00:00"/>
    <d v="1899-12-30T00:00:00"/>
    <d v="1899-12-30T00:00:00"/>
    <d v="1899-12-30T00:00:00"/>
    <s v=""/>
    <s v="Company1442326"/>
    <x v="17"/>
    <x v="41"/>
  </r>
  <r>
    <n v="13266"/>
    <x v="5"/>
    <m/>
    <n v="10929"/>
    <s v="Location6"/>
    <d v="2015-11-18T00:00:00"/>
    <x v="0"/>
    <m/>
    <d v="1899-12-30T00:00:00"/>
    <m/>
    <m/>
    <m/>
    <m/>
    <m/>
    <d v="1899-12-30T00:00:00"/>
    <d v="2015-11-19T16:14:28"/>
    <m/>
    <d v="1899-12-30T00:07:12"/>
    <d v="1900-02-22T15:28:48"/>
    <d v="1900-02-22T15:28:48"/>
    <d v="1899-12-30T00:00:00"/>
    <s v=""/>
    <s v="Company1442326"/>
    <x v="17"/>
    <x v="41"/>
  </r>
  <r>
    <n v="13267"/>
    <x v="2"/>
    <m/>
    <n v="480"/>
    <s v="Location6"/>
    <d v="2015-11-18T00:00:00"/>
    <x v="0"/>
    <m/>
    <d v="1899-12-30T00:00:00"/>
    <m/>
    <m/>
    <m/>
    <m/>
    <m/>
    <d v="1899-12-30T00:00:00"/>
    <d v="2015-11-19T16:14:43"/>
    <m/>
    <d v="1899-12-30T00:21:36"/>
    <d v="1900-01-06T04:48:00"/>
    <d v="1900-01-06T04:48:00"/>
    <d v="1899-12-30T00:00:00"/>
    <s v=""/>
    <s v="Company1442326"/>
    <x v="17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9">
  <r>
    <n v="249"/>
    <x v="0"/>
    <s v="[Address of Company1]"/>
    <s v="[Contact Person Last of Company1]"/>
    <s v="[Contact Person First of Company1]"/>
    <s v="[Direct Number of Company1]"/>
    <s v="[Cell Number of Company1]"/>
    <s v="[Email Address of Company1]"/>
    <s v="[Delivery of Company1]"/>
    <s v="[Equipment / Process of Company1]"/>
    <s v="[Contact Details of Company1]"/>
    <s v="[Credit App? of Company1]"/>
  </r>
  <r>
    <n v="236"/>
    <x v="1"/>
    <s v="[Address of Company10]"/>
    <s v="[Contact Person Last of Company10]"/>
    <s v="[Contact Person First of Company10]"/>
    <s v="[Direct Number of Company10]"/>
    <s v="[Cell Number of Company10]"/>
    <s v="[Email Address of Company10]"/>
    <s v="[Delivery of Company10]"/>
    <s v="[Equipment / Process of Company10]"/>
    <s v="[Contact Details of Company10]"/>
    <s v="[Credit App? of Company10]"/>
  </r>
  <r>
    <n v="319"/>
    <x v="2"/>
    <s v="[Address of Company100]"/>
    <s v="[Contact Person Last of Company100]"/>
    <s v="[Contact Person First of Company100]"/>
    <s v="[Direct Number of Company100]"/>
    <s v="[Cell Number of Company100]"/>
    <s v="[Email Address of Company100]"/>
    <s v="[Delivery of Company100]"/>
    <s v="[Equipment / Process of Company100]"/>
    <s v="[Contact Details of Company100]"/>
    <s v="[Credit App? of Company100]"/>
  </r>
  <r>
    <n v="320"/>
    <x v="3"/>
    <s v="[Address of Company101]"/>
    <s v="[Contact Person Last of Company101]"/>
    <s v="[Contact Person First of Company101]"/>
    <s v="[Direct Number of Company101]"/>
    <s v="[Cell Number of Company101]"/>
    <s v="[Email Address of Company101]"/>
    <s v="[Delivery of Company101]"/>
    <s v="[Equipment / Process of Company101]"/>
    <s v="[Contact Details of Company101]"/>
    <s v="[Credit App? of Company101]"/>
  </r>
  <r>
    <n v="227"/>
    <x v="4"/>
    <s v="[Address of Company102]"/>
    <s v="[Contact Person Last of Company102]"/>
    <s v="[Contact Person First of Company102]"/>
    <s v="[Direct Number of Company102]"/>
    <s v="[Cell Number of Company102]"/>
    <s v="[Email Address of Company102]"/>
    <s v="[Delivery of Company102]"/>
    <s v="[Equipment / Process of Company102]"/>
    <s v="[Contact Details of Company102]"/>
    <s v="[Credit App? of Company102]"/>
  </r>
  <r>
    <n v="321"/>
    <x v="5"/>
    <s v="[Address of Company103]"/>
    <s v="[Contact Person Last of Company103]"/>
    <s v="[Contact Person First of Company103]"/>
    <s v="[Direct Number of Company103]"/>
    <s v="[Cell Number of Company103]"/>
    <s v="[Email Address of Company103]"/>
    <s v="[Delivery of Company103]"/>
    <s v="[Equipment / Process of Company103]"/>
    <s v="[Contact Details of Company103]"/>
    <s v="[Credit App? of Company103]"/>
  </r>
  <r>
    <n v="368"/>
    <x v="6"/>
    <s v="[Address of Company104]"/>
    <s v="[Contact Person Last of Company104]"/>
    <s v="[Contact Person First of Company104]"/>
    <s v="[Direct Number of Company104]"/>
    <s v="[Cell Number of Company104]"/>
    <s v="[Email Address of Company104]"/>
    <s v="[Delivery of Company104]"/>
    <s v="[Equipment / Process of Company104]"/>
    <s v="[Contact Details of Company104]"/>
    <s v="[Credit App? of Company104]"/>
  </r>
  <r>
    <n v="322"/>
    <x v="7"/>
    <s v="[Address of Company105]"/>
    <s v="[Contact Person Last of Company105]"/>
    <s v="[Contact Person First of Company105]"/>
    <s v="[Direct Number of Company105]"/>
    <s v="[Cell Number of Company105]"/>
    <s v="[Email Address of Company105]"/>
    <s v="[Delivery of Company105]"/>
    <s v="[Equipment / Process of Company105]"/>
    <s v="[Contact Details of Company105]"/>
    <s v="[Credit App? of Company105]"/>
  </r>
  <r>
    <n v="324"/>
    <x v="8"/>
    <s v="[Address of Company106]"/>
    <s v="[Contact Person Last of Company106]"/>
    <s v="[Contact Person First of Company106]"/>
    <s v="[Direct Number of Company106]"/>
    <s v="[Cell Number of Company106]"/>
    <s v="[Email Address of Company106]"/>
    <s v="[Delivery of Company106]"/>
    <s v="[Equipment / Process of Company106]"/>
    <s v="[Contact Details of Company106]"/>
    <s v="[Credit App? of Company106]"/>
  </r>
  <r>
    <n v="367"/>
    <x v="9"/>
    <s v="[Address of Company107]"/>
    <s v="[Contact Person Last of Company107]"/>
    <s v="[Contact Person First of Company107]"/>
    <s v="[Direct Number of Company107]"/>
    <s v="[Cell Number of Company107]"/>
    <s v="[Email Address of Company107]"/>
    <s v="[Delivery of Company107]"/>
    <s v="[Equipment / Process of Company107]"/>
    <s v="[Contact Details of Company107]"/>
    <s v="[Credit App? of Company107]"/>
  </r>
  <r>
    <n v="363"/>
    <x v="10"/>
    <s v="[Address of Company108]"/>
    <s v="[Contact Person Last of Company108]"/>
    <s v="[Contact Person First of Company108]"/>
    <s v="[Direct Number of Company108]"/>
    <s v="[Cell Number of Company108]"/>
    <s v="[Email Address of Company108]"/>
    <s v="[Delivery of Company108]"/>
    <s v="[Equipment / Process of Company108]"/>
    <s v="[Contact Details of Company108]"/>
    <s v="[Credit App? of Company108]"/>
  </r>
  <r>
    <n v="327"/>
    <x v="11"/>
    <s v="[Address of Company109]"/>
    <s v="[Contact Person Last of Company109]"/>
    <s v="[Contact Person First of Company109]"/>
    <s v="[Direct Number of Company109]"/>
    <s v="[Cell Number of Company109]"/>
    <s v="[Email Address of Company109]"/>
    <s v="[Delivery of Company109]"/>
    <s v="[Equipment / Process of Company109]"/>
    <s v="[Contact Details of Company109]"/>
    <s v="[Credit App? of Company109]"/>
  </r>
  <r>
    <n v="237"/>
    <x v="12"/>
    <s v="[Address of Company11]"/>
    <s v="[Contact Person Last of Company11]"/>
    <s v="[Contact Person First of Company11]"/>
    <s v="[Direct Number of Company11]"/>
    <s v="[Cell Number of Company11]"/>
    <s v="[Email Address of Company11]"/>
    <s v="[Delivery of Company11]"/>
    <s v="[Equipment / Process of Company11]"/>
    <s v="[Contact Details of Company11]"/>
    <s v="[Credit App? of Company11]"/>
  </r>
  <r>
    <n v="328"/>
    <x v="13"/>
    <s v="[Address of Company110]"/>
    <s v="[Contact Person Last of Company110]"/>
    <s v="[Contact Person First of Company110]"/>
    <s v="[Direct Number of Company110]"/>
    <s v="[Cell Number of Company110]"/>
    <s v="[Email Address of Company110]"/>
    <s v="[Delivery of Company110]"/>
    <s v="[Equipment / Process of Company110]"/>
    <s v="[Contact Details of Company110]"/>
    <s v="[Credit App? of Company110]"/>
  </r>
  <r>
    <n v="366"/>
    <x v="14"/>
    <s v="[Address of Company111]"/>
    <s v="[Contact Person Last of Company111]"/>
    <s v="[Contact Person First of Company111]"/>
    <s v="[Direct Number of Company111]"/>
    <s v="[Cell Number of Company111]"/>
    <s v="[Email Address of Company111]"/>
    <s v="[Delivery of Company111]"/>
    <s v="[Equipment / Process of Company111]"/>
    <s v="[Contact Details of Company111]"/>
    <s v="[Credit App? of Company111]"/>
  </r>
  <r>
    <n v="329"/>
    <x v="15"/>
    <s v="[Address of Company112]"/>
    <s v="[Contact Person Last of Company112]"/>
    <s v="[Contact Person First of Company112]"/>
    <s v="[Direct Number of Company112]"/>
    <s v="[Cell Number of Company112]"/>
    <s v="[Email Address of Company112]"/>
    <s v="[Delivery of Company112]"/>
    <s v="[Equipment / Process of Company112]"/>
    <s v="[Contact Details of Company112]"/>
    <s v="[Credit App? of Company112]"/>
  </r>
  <r>
    <n v="330"/>
    <x v="16"/>
    <s v="[Address of Company113]"/>
    <s v="[Contact Person Last of Company113]"/>
    <s v="[Contact Person First of Company113]"/>
    <s v="[Direct Number of Company113]"/>
    <s v="[Cell Number of Company113]"/>
    <s v="[Email Address of Company113]"/>
    <s v="[Delivery of Company113]"/>
    <s v="[Equipment / Process of Company113]"/>
    <s v="[Contact Details of Company113]"/>
    <s v="[Credit App? of Company113]"/>
  </r>
  <r>
    <n v="331"/>
    <x v="17"/>
    <s v="[Address of Company114]"/>
    <s v="[Contact Person Last of Company114]"/>
    <s v="[Contact Person First of Company114]"/>
    <s v="[Direct Number of Company114]"/>
    <s v="[Cell Number of Company114]"/>
    <s v="[Email Address of Company114]"/>
    <s v="[Delivery of Company114]"/>
    <s v="[Equipment / Process of Company114]"/>
    <s v="[Contact Details of Company114]"/>
    <s v="[Credit App? of Company114]"/>
  </r>
  <r>
    <n v="332"/>
    <x v="18"/>
    <s v="[Address of Company115]"/>
    <s v="[Contact Person Last of Company115]"/>
    <s v="[Contact Person First of Company115]"/>
    <s v="[Direct Number of Company115]"/>
    <s v="[Cell Number of Company115]"/>
    <s v="[Email Address of Company115]"/>
    <s v="[Delivery of Company115]"/>
    <s v="[Equipment / Process of Company115]"/>
    <s v="[Contact Details of Company115]"/>
    <s v="[Credit App? of Company115]"/>
  </r>
  <r>
    <n v="333"/>
    <x v="19"/>
    <s v="[Address of Company116]"/>
    <s v="[Contact Person Last of Company116]"/>
    <s v="[Contact Person First of Company116]"/>
    <s v="[Direct Number of Company116]"/>
    <s v="[Cell Number of Company116]"/>
    <s v="[Email Address of Company116]"/>
    <s v="[Delivery of Company116]"/>
    <s v="[Equipment / Process of Company116]"/>
    <s v="[Contact Details of Company116]"/>
    <s v="[Credit App? of Company116]"/>
  </r>
  <r>
    <n v="335"/>
    <x v="20"/>
    <s v="[Address of Company117]"/>
    <s v="[Contact Person Last of Company117]"/>
    <s v="[Contact Person First of Company117]"/>
    <s v="[Direct Number of Company117]"/>
    <s v="[Cell Number of Company117]"/>
    <s v="[Email Address of Company117]"/>
    <s v="[Delivery of Company117]"/>
    <s v="[Equipment / Process of Company117]"/>
    <s v="[Contact Details of Company117]"/>
    <s v="[Credit App? of Company117]"/>
  </r>
  <r>
    <n v="334"/>
    <x v="21"/>
    <s v="[Address of Company118]"/>
    <s v="[Contact Person Last of Company118]"/>
    <s v="[Contact Person First of Company118]"/>
    <s v="[Direct Number of Company118]"/>
    <s v="[Cell Number of Company118]"/>
    <s v="[Email Address of Company118]"/>
    <s v="[Delivery of Company118]"/>
    <s v="[Equipment / Process of Company118]"/>
    <s v="[Contact Details of Company118]"/>
    <s v="[Credit App? of Company118]"/>
  </r>
  <r>
    <n v="337"/>
    <x v="22"/>
    <s v="[Address of Company119]"/>
    <s v="[Contact Person Last of Company119]"/>
    <s v="[Contact Person First of Company119]"/>
    <s v="[Direct Number of Company119]"/>
    <s v="[Cell Number of Company119]"/>
    <s v="[Email Address of Company119]"/>
    <s v="[Delivery of Company119]"/>
    <s v="[Equipment / Process of Company119]"/>
    <s v="[Contact Details of Company119]"/>
    <s v="[Credit App? of Company119]"/>
  </r>
  <r>
    <n v="346"/>
    <x v="23"/>
    <s v="[Address of Company12]"/>
    <s v="[Contact Person Last of Company12]"/>
    <s v="[Contact Person First of Company12]"/>
    <s v="[Direct Number of Company12]"/>
    <s v="[Cell Number of Company12]"/>
    <s v="[Email Address of Company12]"/>
    <s v="[Delivery of Company12]"/>
    <s v="[Equipment / Process of Company12]"/>
    <s v="[Contact Details of Company12]"/>
    <s v="[Credit App? of Company12]"/>
  </r>
  <r>
    <n v="338"/>
    <x v="24"/>
    <s v="[Address of Company120]"/>
    <s v="[Contact Person Last of Company120]"/>
    <s v="[Contact Person First of Company120]"/>
    <s v="[Direct Number of Company120]"/>
    <s v="[Cell Number of Company120]"/>
    <s v="[Email Address of Company120]"/>
    <s v="[Delivery of Company120]"/>
    <s v="[Equipment / Process of Company120]"/>
    <s v="[Contact Details of Company120]"/>
    <s v="[Credit App? of Company120]"/>
  </r>
  <r>
    <n v="339"/>
    <x v="25"/>
    <s v="[Address of Company121]"/>
    <s v="[Contact Person Last of Company121]"/>
    <s v="[Contact Person First of Company121]"/>
    <s v="[Direct Number of Company121]"/>
    <s v="[Cell Number of Company121]"/>
    <s v="[Email Address of Company121]"/>
    <s v="[Delivery of Company121]"/>
    <s v="[Equipment / Process of Company121]"/>
    <s v="[Contact Details of Company121]"/>
    <s v="[Credit App? of Company121]"/>
  </r>
  <r>
    <n v="340"/>
    <x v="26"/>
    <s v="[Address of Company122]"/>
    <s v="[Contact Person Last of Company122]"/>
    <s v="[Contact Person First of Company122]"/>
    <s v="[Direct Number of Company122]"/>
    <s v="[Cell Number of Company122]"/>
    <s v="[Email Address of Company122]"/>
    <s v="[Delivery of Company122]"/>
    <s v="[Equipment / Process of Company122]"/>
    <s v="[Contact Details of Company122]"/>
    <s v="[Credit App? of Company122]"/>
  </r>
  <r>
    <n v="341"/>
    <x v="27"/>
    <s v="[Address of Company123]"/>
    <s v="[Contact Person Last of Company123]"/>
    <s v="[Contact Person First of Company123]"/>
    <s v="[Direct Number of Company123]"/>
    <s v="[Cell Number of Company123]"/>
    <s v="[Email Address of Company123]"/>
    <s v="[Delivery of Company123]"/>
    <s v="[Equipment / Process of Company123]"/>
    <s v="[Contact Details of Company123]"/>
    <s v="[Credit App? of Company123]"/>
  </r>
  <r>
    <n v="342"/>
    <x v="28"/>
    <s v="[Address of Company124]"/>
    <s v="[Contact Person Last of Company124]"/>
    <s v="[Contact Person First of Company124]"/>
    <s v="[Direct Number of Company124]"/>
    <s v="[Cell Number of Company124]"/>
    <s v="[Email Address of Company124]"/>
    <s v="[Delivery of Company124]"/>
    <s v="[Equipment / Process of Company124]"/>
    <s v="[Contact Details of Company124]"/>
    <s v="[Credit App? of Company124]"/>
  </r>
  <r>
    <n v="374"/>
    <x v="29"/>
    <s v="[Address of Company125]"/>
    <s v="[Contact Person Last of Company125]"/>
    <s v="[Contact Person First of Company125]"/>
    <s v="[Direct Number of Company125]"/>
    <s v="[Cell Number of Company125]"/>
    <s v="[Email Address of Company125]"/>
    <s v="[Delivery of Company125]"/>
    <s v="[Equipment / Process of Company125]"/>
    <s v="[Contact Details of Company125]"/>
    <s v="[Credit App? of Company125]"/>
  </r>
  <r>
    <n v="370"/>
    <x v="30"/>
    <s v="[Address of Company126]"/>
    <s v="[Contact Person Last of Company126]"/>
    <s v="[Contact Person First of Company126]"/>
    <s v="[Direct Number of Company126]"/>
    <s v="[Cell Number of Company126]"/>
    <s v="[Email Address of Company126]"/>
    <s v="[Delivery of Company126]"/>
    <s v="[Equipment / Process of Company126]"/>
    <s v="[Contact Details of Company126]"/>
    <s v="[Credit App? of Company126]"/>
  </r>
  <r>
    <n v="358"/>
    <x v="31"/>
    <s v="[Address of Company127]"/>
    <s v="[Contact Person Last of Company127]"/>
    <s v="[Contact Person First of Company127]"/>
    <s v="[Direct Number of Company127]"/>
    <s v="[Cell Number of Company127]"/>
    <s v="[Email Address of Company127]"/>
    <s v="[Delivery of Company127]"/>
    <s v="[Equipment / Process of Company127]"/>
    <s v="[Contact Details of Company127]"/>
    <s v="[Credit App? of Company127]"/>
  </r>
  <r>
    <n v="343"/>
    <x v="32"/>
    <s v="[Address of Company128]"/>
    <s v="[Contact Person Last of Company128]"/>
    <s v="[Contact Person First of Company128]"/>
    <s v="[Direct Number of Company128]"/>
    <s v="[Cell Number of Company128]"/>
    <s v="[Email Address of Company128]"/>
    <s v="[Delivery of Company128]"/>
    <s v="[Equipment / Process of Company128]"/>
    <s v="[Contact Details of Company128]"/>
    <s v="[Credit App? of Company128]"/>
  </r>
  <r>
    <n v="344"/>
    <x v="33"/>
    <s v="[Address of Company129]"/>
    <s v="[Contact Person Last of Company129]"/>
    <s v="[Contact Person First of Company129]"/>
    <s v="[Direct Number of Company129]"/>
    <s v="[Cell Number of Company129]"/>
    <s v="[Email Address of Company129]"/>
    <s v="[Delivery of Company129]"/>
    <s v="[Equipment / Process of Company129]"/>
    <s v="[Contact Details of Company129]"/>
    <s v="[Credit App? of Company129]"/>
  </r>
  <r>
    <n v="347"/>
    <x v="34"/>
    <s v="[Address of Company13]"/>
    <s v="[Contact Person Last of Company13]"/>
    <s v="[Contact Person First of Company13]"/>
    <s v="[Direct Number of Company13]"/>
    <s v="[Cell Number of Company13]"/>
    <s v="[Email Address of Company13]"/>
    <s v="[Delivery of Company13]"/>
    <s v="[Equipment / Process of Company13]"/>
    <s v="[Contact Details of Company13]"/>
    <s v="[Credit App? of Company13]"/>
  </r>
  <r>
    <n v="238"/>
    <x v="35"/>
    <s v="[Address of Company14]"/>
    <s v="[Contact Person Last of Company14]"/>
    <s v="[Contact Person First of Company14]"/>
    <s v="[Direct Number of Company14]"/>
    <s v="[Cell Number of Company14]"/>
    <s v="[Email Address of Company14]"/>
    <s v="[Delivery of Company14]"/>
    <s v="[Equipment / Process of Company14]"/>
    <s v="[Contact Details of Company14]"/>
    <s v="[Credit App? of Company14]"/>
  </r>
  <r>
    <n v="239"/>
    <x v="36"/>
    <s v="[Address of Company15]"/>
    <s v="[Contact Person Last of Company15]"/>
    <s v="[Contact Person First of Company15]"/>
    <s v="[Direct Number of Company15]"/>
    <s v="[Cell Number of Company15]"/>
    <s v="[Email Address of Company15]"/>
    <s v="[Delivery of Company15]"/>
    <s v="[Equipment / Process of Company15]"/>
    <s v="[Contact Details of Company15]"/>
    <s v="[Credit App? of Company15]"/>
  </r>
  <r>
    <n v="240"/>
    <x v="37"/>
    <s v="[Address of Company16]"/>
    <s v="[Contact Person Last of Company16]"/>
    <s v="[Contact Person First of Company16]"/>
    <s v="[Direct Number of Company16]"/>
    <s v="[Cell Number of Company16]"/>
    <s v="[Email Address of Company16]"/>
    <s v="[Delivery of Company16]"/>
    <s v="[Equipment / Process of Company16]"/>
    <s v="[Contact Details of Company16]"/>
    <s v="[Credit App? of Company16]"/>
  </r>
  <r>
    <n v="241"/>
    <x v="38"/>
    <s v="[Address of Company17]"/>
    <s v="[Contact Person Last of Company17]"/>
    <s v="[Contact Person First of Company17]"/>
    <s v="[Direct Number of Company17]"/>
    <s v="[Cell Number of Company17]"/>
    <s v="[Email Address of Company17]"/>
    <s v="[Delivery of Company17]"/>
    <s v="[Equipment / Process of Company17]"/>
    <s v="[Contact Details of Company17]"/>
    <s v="[Credit App? of Company17]"/>
  </r>
  <r>
    <n v="242"/>
    <x v="39"/>
    <s v="[Address of Company18]"/>
    <s v="[Contact Person Last of Company18]"/>
    <s v="[Contact Person First of Company18]"/>
    <s v="[Direct Number of Company18]"/>
    <s v="[Cell Number of Company18]"/>
    <s v="[Email Address of Company18]"/>
    <s v="[Delivery of Company18]"/>
    <s v="[Equipment / Process of Company18]"/>
    <s v="[Contact Details of Company18]"/>
    <s v="[Credit App? of Company18]"/>
  </r>
  <r>
    <n v="243"/>
    <x v="40"/>
    <s v="[Address of Company19]"/>
    <s v="[Contact Person Last of Company19]"/>
    <s v="[Contact Person First of Company19]"/>
    <s v="[Direct Number of Company19]"/>
    <s v="[Cell Number of Company19]"/>
    <s v="[Email Address of Company19]"/>
    <s v="[Delivery of Company19]"/>
    <s v="[Equipment / Process of Company19]"/>
    <s v="[Contact Details of Company19]"/>
    <s v="[Credit App? of Company19]"/>
  </r>
  <r>
    <n v="228"/>
    <x v="41"/>
    <s v="[Address of Company2]"/>
    <s v="[Contact Person Last of Company2]"/>
    <s v="[Contact Person First of Company2]"/>
    <s v="[Direct Number of Company2]"/>
    <s v="[Cell Number of Company2]"/>
    <s v="[Email Address of Company2]"/>
    <s v="[Delivery of Company2]"/>
    <s v="[Equipment / Process of Company2]"/>
    <s v="[Contact Details of Company2]"/>
    <s v="[Credit App? of Company2]"/>
  </r>
  <r>
    <n v="244"/>
    <x v="42"/>
    <s v="[Address of Company20]"/>
    <s v="[Contact Person Last of Company20]"/>
    <s v="[Contact Person First of Company20]"/>
    <s v="[Direct Number of Company20]"/>
    <s v="[Cell Number of Company20]"/>
    <s v="[Email Address of Company20]"/>
    <s v="[Delivery of Company20]"/>
    <s v="[Equipment / Process of Company20]"/>
    <s v="[Contact Details of Company20]"/>
    <s v="[Credit App? of Company20]"/>
  </r>
  <r>
    <n v="245"/>
    <x v="43"/>
    <s v="[Address of Company21]"/>
    <s v="[Contact Person Last of Company21]"/>
    <s v="[Contact Person First of Company21]"/>
    <s v="[Direct Number of Company21]"/>
    <s v="[Cell Number of Company21]"/>
    <s v="[Email Address of Company21]"/>
    <s v="[Delivery of Company21]"/>
    <s v="[Equipment / Process of Company21]"/>
    <s v="[Contact Details of Company21]"/>
    <s v="[Credit App? of Company21]"/>
  </r>
  <r>
    <n v="360"/>
    <x v="44"/>
    <s v="[Address of Company22]"/>
    <s v="[Contact Person Last of Company22]"/>
    <s v="[Contact Person First of Company22]"/>
    <s v="[Direct Number of Company22]"/>
    <s v="[Cell Number of Company22]"/>
    <s v="[Email Address of Company22]"/>
    <s v="[Delivery of Company22]"/>
    <s v="[Equipment / Process of Company22]"/>
    <s v="[Contact Details of Company22]"/>
    <s v="[Credit App? of Company22]"/>
  </r>
  <r>
    <n v="361"/>
    <x v="45"/>
    <s v="[Address of Company23]"/>
    <s v="[Contact Person Last of Company23]"/>
    <s v="[Contact Person First of Company23]"/>
    <s v="[Direct Number of Company23]"/>
    <s v="[Cell Number of Company23]"/>
    <s v="[Email Address of Company23]"/>
    <s v="[Delivery of Company23]"/>
    <s v="[Equipment / Process of Company23]"/>
    <s v="[Contact Details of Company23]"/>
    <s v="[Credit App? of Company23]"/>
  </r>
  <r>
    <n v="246"/>
    <x v="46"/>
    <s v="[Address of Company24]"/>
    <s v="[Contact Person Last of Company24]"/>
    <s v="[Contact Person First of Company24]"/>
    <s v="[Direct Number of Company24]"/>
    <s v="[Cell Number of Company24]"/>
    <s v="[Email Address of Company24]"/>
    <s v="[Delivery of Company24]"/>
    <s v="[Equipment / Process of Company24]"/>
    <s v="[Contact Details of Company24]"/>
    <s v="[Credit App? of Company24]"/>
  </r>
  <r>
    <n v="365"/>
    <x v="47"/>
    <s v="[Address of Company25]"/>
    <s v="[Contact Person Last of Company25]"/>
    <s v="[Contact Person First of Company25]"/>
    <s v="[Direct Number of Company25]"/>
    <s v="[Cell Number of Company25]"/>
    <s v="[Email Address of Company25]"/>
    <s v="[Delivery of Company25]"/>
    <s v="[Equipment / Process of Company25]"/>
    <s v="[Contact Details of Company25]"/>
    <s v="[Credit App? of Company25]"/>
  </r>
  <r>
    <n v="369"/>
    <x v="48"/>
    <s v="[Address of Company26]"/>
    <s v="[Contact Person Last of Company26]"/>
    <s v="[Contact Person First of Company26]"/>
    <s v="[Direct Number of Company26]"/>
    <s v="[Cell Number of Company26]"/>
    <s v="[Email Address of Company26]"/>
    <s v="[Delivery of Company26]"/>
    <s v="[Equipment / Process of Company26]"/>
    <s v="[Contact Details of Company26]"/>
    <s v="[Credit App? of Company26]"/>
  </r>
  <r>
    <n v="250"/>
    <x v="49"/>
    <s v="[Address of Company27]"/>
    <s v="[Contact Person Last of Company27]"/>
    <s v="[Contact Person First of Company27]"/>
    <s v="[Direct Number of Company27]"/>
    <s v="[Cell Number of Company27]"/>
    <s v="[Email Address of Company27]"/>
    <s v="[Delivery of Company27]"/>
    <s v="[Equipment / Process of Company27]"/>
    <s v="[Contact Details of Company27]"/>
    <s v="[Credit App? of Company27]"/>
  </r>
  <r>
    <n v="251"/>
    <x v="50"/>
    <s v="[Address of Company28]"/>
    <s v="[Contact Person Last of Company28]"/>
    <s v="[Contact Person First of Company28]"/>
    <s v="[Direct Number of Company28]"/>
    <s v="[Cell Number of Company28]"/>
    <s v="[Email Address of Company28]"/>
    <s v="[Delivery of Company28]"/>
    <s v="[Equipment / Process of Company28]"/>
    <s v="[Contact Details of Company28]"/>
    <s v="[Credit App? of Company28]"/>
  </r>
  <r>
    <n v="252"/>
    <x v="51"/>
    <s v="[Address of Company29]"/>
    <s v="[Contact Person Last of Company29]"/>
    <s v="[Contact Person First of Company29]"/>
    <s v="[Direct Number of Company29]"/>
    <s v="[Cell Number of Company29]"/>
    <s v="[Email Address of Company29]"/>
    <s v="[Delivery of Company29]"/>
    <s v="[Equipment / Process of Company29]"/>
    <s v="[Contact Details of Company29]"/>
    <s v="[Credit App? of Company29]"/>
  </r>
  <r>
    <n v="229"/>
    <x v="52"/>
    <s v="[Address of Company3]"/>
    <s v="[Contact Person Last of Company3]"/>
    <s v="[Contact Person First of Company3]"/>
    <s v="[Direct Number of Company3]"/>
    <s v="[Cell Number of Company3]"/>
    <s v="[Email Address of Company3]"/>
    <s v="[Delivery of Company3]"/>
    <s v="[Equipment / Process of Company3]"/>
    <s v="[Contact Details of Company3]"/>
    <s v="[Credit App? of Company3]"/>
  </r>
  <r>
    <n v="253"/>
    <x v="53"/>
    <s v="[Address of Company30]"/>
    <s v="[Contact Person Last of Company30]"/>
    <s v="[Contact Person First of Company30]"/>
    <s v="[Direct Number of Company30]"/>
    <s v="[Cell Number of Company30]"/>
    <s v="[Email Address of Company30]"/>
    <s v="[Delivery of Company30]"/>
    <s v="[Equipment / Process of Company30]"/>
    <s v="[Contact Details of Company30]"/>
    <s v="[Credit App? of Company30]"/>
  </r>
  <r>
    <n v="256"/>
    <x v="54"/>
    <s v="[Address of Company31]"/>
    <s v="[Contact Person Last of Company31]"/>
    <s v="[Contact Person First of Company31]"/>
    <s v="[Direct Number of Company31]"/>
    <s v="[Cell Number of Company31]"/>
    <s v="[Email Address of Company31]"/>
    <s v="[Delivery of Company31]"/>
    <s v="[Equipment / Process of Company31]"/>
    <s v="[Contact Details of Company31]"/>
    <s v="[Credit App? of Company31]"/>
  </r>
  <r>
    <n v="357"/>
    <x v="55"/>
    <s v="[Address of Company32]"/>
    <s v="[Contact Person Last of Company32]"/>
    <s v="[Contact Person First of Company32]"/>
    <s v="[Direct Number of Company32]"/>
    <s v="[Cell Number of Company32]"/>
    <s v="[Email Address of Company32]"/>
    <s v="[Delivery of Company32]"/>
    <s v="[Equipment / Process of Company32]"/>
    <s v="[Contact Details of Company32]"/>
    <s v="[Credit App? of Company32]"/>
  </r>
  <r>
    <n v="359"/>
    <x v="56"/>
    <s v="[Address of Company33]"/>
    <s v="[Contact Person Last of Company33]"/>
    <s v="[Contact Person First of Company33]"/>
    <s v="[Direct Number of Company33]"/>
    <s v="[Cell Number of Company33]"/>
    <s v="[Email Address of Company33]"/>
    <s v="[Delivery of Company33]"/>
    <s v="[Equipment / Process of Company33]"/>
    <s v="[Contact Details of Company33]"/>
    <s v="[Credit App? of Company33]"/>
  </r>
  <r>
    <n v="364"/>
    <x v="57"/>
    <s v="[Address of Company34]"/>
    <s v="[Contact Person Last of Company34]"/>
    <s v="[Contact Person First of Company34]"/>
    <s v="[Direct Number of Company34]"/>
    <s v="[Cell Number of Company34]"/>
    <s v="[Email Address of Company34]"/>
    <s v="[Delivery of Company34]"/>
    <s v="[Equipment / Process of Company34]"/>
    <s v="[Contact Details of Company34]"/>
    <s v="[Credit App? of Company34]"/>
  </r>
  <r>
    <n v="349"/>
    <x v="58"/>
    <s v="[Address of Company35]"/>
    <s v="[Contact Person Last of Company35]"/>
    <s v="[Contact Person First of Company35]"/>
    <s v="[Direct Number of Company35]"/>
    <s v="[Cell Number of Company35]"/>
    <s v="[Email Address of Company35]"/>
    <s v="[Delivery of Company35]"/>
    <s v="[Equipment / Process of Company35]"/>
    <s v="[Contact Details of Company35]"/>
    <s v="[Credit App? of Company35]"/>
  </r>
  <r>
    <n v="257"/>
    <x v="59"/>
    <s v="[Address of Company36]"/>
    <s v="[Contact Person Last of Company36]"/>
    <s v="[Contact Person First of Company36]"/>
    <s v="[Direct Number of Company36]"/>
    <s v="[Cell Number of Company36]"/>
    <s v="[Email Address of Company36]"/>
    <s v="[Delivery of Company36]"/>
    <s v="[Equipment / Process of Company36]"/>
    <s v="[Contact Details of Company36]"/>
    <s v="[Credit App? of Company36]"/>
  </r>
  <r>
    <n v="258"/>
    <x v="60"/>
    <s v="[Address of Company37]"/>
    <s v="[Contact Person Last of Company37]"/>
    <s v="[Contact Person First of Company37]"/>
    <s v="[Direct Number of Company37]"/>
    <s v="[Cell Number of Company37]"/>
    <s v="[Email Address of Company37]"/>
    <s v="[Delivery of Company37]"/>
    <s v="[Equipment / Process of Company37]"/>
    <s v="[Contact Details of Company37]"/>
    <s v="[Credit App? of Company37]"/>
  </r>
  <r>
    <n v="260"/>
    <x v="61"/>
    <s v="[Address of Company38]"/>
    <s v="[Contact Person Last of Company38]"/>
    <s v="[Contact Person First of Company38]"/>
    <s v="[Direct Number of Company38]"/>
    <s v="[Cell Number of Company38]"/>
    <s v="[Email Address of Company38]"/>
    <s v="[Delivery of Company38]"/>
    <s v="[Equipment / Process of Company38]"/>
    <s v="[Contact Details of Company38]"/>
    <s v="[Credit App? of Company38]"/>
  </r>
  <r>
    <n v="261"/>
    <x v="62"/>
    <s v="[Address of Company39]"/>
    <s v="[Contact Person Last of Company39]"/>
    <s v="[Contact Person First of Company39]"/>
    <s v="[Direct Number of Company39]"/>
    <s v="[Cell Number of Company39]"/>
    <s v="[Email Address of Company39]"/>
    <s v="[Delivery of Company39]"/>
    <s v="[Equipment / Process of Company39]"/>
    <s v="[Contact Details of Company39]"/>
    <s v="[Credit App? of Company39]"/>
  </r>
  <r>
    <n v="230"/>
    <x v="63"/>
    <s v="[Address of Company4]"/>
    <s v="[Contact Person Last of Company4]"/>
    <s v="[Contact Person First of Company4]"/>
    <s v="[Direct Number of Company4]"/>
    <s v="[Cell Number of Company4]"/>
    <s v="[Email Address of Company4]"/>
    <s v="[Delivery of Company4]"/>
    <s v="[Equipment / Process of Company4]"/>
    <s v="[Contact Details of Company4]"/>
    <s v="[Credit App? of Company4]"/>
  </r>
  <r>
    <n v="355"/>
    <x v="64"/>
    <s v="[Address of Company40]"/>
    <s v="[Contact Person Last of Company40]"/>
    <s v="[Contact Person First of Company40]"/>
    <s v="[Direct Number of Company40]"/>
    <s v="[Cell Number of Company40]"/>
    <s v="[Email Address of Company40]"/>
    <s v="[Delivery of Company40]"/>
    <s v="[Equipment / Process of Company40]"/>
    <s v="[Contact Details of Company40]"/>
    <s v="[Credit App? of Company40]"/>
  </r>
  <r>
    <n v="371"/>
    <x v="65"/>
    <s v="[Address of Company41]"/>
    <s v="[Contact Person Last of Company41]"/>
    <s v="[Contact Person First of Company41]"/>
    <s v="[Direct Number of Company41]"/>
    <s v="[Cell Number of Company41]"/>
    <s v="[Email Address of Company41]"/>
    <s v="[Delivery of Company41]"/>
    <s v="[Equipment / Process of Company41]"/>
    <s v="[Contact Details of Company41]"/>
    <s v="[Credit App? of Company41]"/>
  </r>
  <r>
    <n v="262"/>
    <x v="66"/>
    <s v="[Address of Company42]"/>
    <s v="[Contact Person Last of Company42]"/>
    <s v="[Contact Person First of Company42]"/>
    <s v="[Direct Number of Company42]"/>
    <s v="[Cell Number of Company42]"/>
    <s v="[Email Address of Company42]"/>
    <s v="[Delivery of Company42]"/>
    <s v="[Equipment / Process of Company42]"/>
    <s v="[Contact Details of Company42]"/>
    <s v="[Credit App? of Company42]"/>
  </r>
  <r>
    <n v="372"/>
    <x v="67"/>
    <s v="[Address of Company43]"/>
    <s v="[Contact Person Last of Company43]"/>
    <s v="[Contact Person First of Company43]"/>
    <s v="[Direct Number of Company43]"/>
    <s v="[Cell Number of Company43]"/>
    <s v="[Email Address of Company43]"/>
    <s v="[Delivery of Company43]"/>
    <s v="[Equipment / Process of Company43]"/>
    <s v="[Contact Details of Company43]"/>
    <s v="[Credit App? of Company43]"/>
  </r>
  <r>
    <n v="352"/>
    <x v="68"/>
    <s v="[Address of Company44]"/>
    <s v="[Contact Person Last of Company44]"/>
    <s v="[Contact Person First of Company44]"/>
    <s v="[Direct Number of Company44]"/>
    <s v="[Cell Number of Company44]"/>
    <s v="[Email Address of Company44]"/>
    <s v="[Delivery of Company44]"/>
    <s v="[Equipment / Process of Company44]"/>
    <s v="[Contact Details of Company44]"/>
    <s v="[Credit App? of Company44]"/>
  </r>
  <r>
    <n v="263"/>
    <x v="69"/>
    <s v="[Address of Company45]"/>
    <s v="[Contact Person Last of Company45]"/>
    <s v="[Contact Person First of Company45]"/>
    <s v="[Direct Number of Company45]"/>
    <s v="[Cell Number of Company45]"/>
    <s v="[Email Address of Company45]"/>
    <s v="[Delivery of Company45]"/>
    <s v="[Equipment / Process of Company45]"/>
    <s v="[Contact Details of Company45]"/>
    <s v="[Credit App? of Company45]"/>
  </r>
  <r>
    <n v="264"/>
    <x v="70"/>
    <s v="[Address of Company46]"/>
    <s v="[Contact Person Last of Company46]"/>
    <s v="[Contact Person First of Company46]"/>
    <s v="[Direct Number of Company46]"/>
    <s v="[Cell Number of Company46]"/>
    <s v="[Email Address of Company46]"/>
    <s v="[Delivery of Company46]"/>
    <s v="[Equipment / Process of Company46]"/>
    <s v="[Contact Details of Company46]"/>
    <s v="[Credit App? of Company46]"/>
  </r>
  <r>
    <n v="362"/>
    <x v="71"/>
    <s v="[Address of Company47]"/>
    <s v="[Contact Person Last of Company47]"/>
    <s v="[Contact Person First of Company47]"/>
    <s v="[Direct Number of Company47]"/>
    <s v="[Cell Number of Company47]"/>
    <s v="[Email Address of Company47]"/>
    <s v="[Delivery of Company47]"/>
    <s v="[Equipment / Process of Company47]"/>
    <s v="[Contact Details of Company47]"/>
    <s v="[Credit App? of Company47]"/>
  </r>
  <r>
    <n v="265"/>
    <x v="72"/>
    <s v="[Address of Company48]"/>
    <s v="[Contact Person Last of Company48]"/>
    <s v="[Contact Person First of Company48]"/>
    <s v="[Direct Number of Company48]"/>
    <s v="[Cell Number of Company48]"/>
    <s v="[Email Address of Company48]"/>
    <s v="[Delivery of Company48]"/>
    <s v="[Equipment / Process of Company48]"/>
    <s v="[Contact Details of Company48]"/>
    <s v="[Credit App? of Company48]"/>
  </r>
  <r>
    <n v="266"/>
    <x v="73"/>
    <s v="[Address of Company49]"/>
    <s v="[Contact Person Last of Company49]"/>
    <s v="[Contact Person First of Company49]"/>
    <s v="[Direct Number of Company49]"/>
    <s v="[Cell Number of Company49]"/>
    <s v="[Email Address of Company49]"/>
    <s v="[Delivery of Company49]"/>
    <s v="[Equipment / Process of Company49]"/>
    <s v="[Contact Details of Company49]"/>
    <s v="[Credit App? of Company49]"/>
  </r>
  <r>
    <n v="231"/>
    <x v="74"/>
    <s v="[Address of Company5]"/>
    <s v="[Contact Person Last of Company5]"/>
    <s v="[Contact Person First of Company5]"/>
    <s v="[Direct Number of Company5]"/>
    <s v="[Cell Number of Company5]"/>
    <s v="[Email Address of Company5]"/>
    <s v="[Delivery of Company5]"/>
    <s v="[Equipment / Process of Company5]"/>
    <s v="[Contact Details of Company5]"/>
    <s v="[Credit App? of Company5]"/>
  </r>
  <r>
    <n v="269"/>
    <x v="75"/>
    <s v="[Address of Company50]"/>
    <s v="[Contact Person Last of Company50]"/>
    <s v="[Contact Person First of Company50]"/>
    <s v="[Direct Number of Company50]"/>
    <s v="[Cell Number of Company50]"/>
    <s v="[Email Address of Company50]"/>
    <s v="[Delivery of Company50]"/>
    <s v="[Equipment / Process of Company50]"/>
    <s v="[Contact Details of Company50]"/>
    <s v="[Credit App? of Company50]"/>
  </r>
  <r>
    <n v="267"/>
    <x v="76"/>
    <s v="[Address of Company51]"/>
    <s v="[Contact Person Last of Company51]"/>
    <s v="[Contact Person First of Company51]"/>
    <s v="[Direct Number of Company51]"/>
    <s v="[Cell Number of Company51]"/>
    <s v="[Email Address of Company51]"/>
    <s v="[Delivery of Company51]"/>
    <s v="[Equipment / Process of Company51]"/>
    <s v="[Contact Details of Company51]"/>
    <s v="[Credit App? of Company51]"/>
  </r>
  <r>
    <n v="268"/>
    <x v="77"/>
    <s v="[Address of Company52]"/>
    <s v="[Contact Person Last of Company52]"/>
    <s v="[Contact Person First of Company52]"/>
    <s v="[Direct Number of Company52]"/>
    <s v="[Cell Number of Company52]"/>
    <s v="[Email Address of Company52]"/>
    <s v="[Delivery of Company52]"/>
    <s v="[Equipment / Process of Company52]"/>
    <s v="[Contact Details of Company52]"/>
    <s v="[Credit App? of Company52]"/>
  </r>
  <r>
    <n v="270"/>
    <x v="78"/>
    <s v="[Address of Company53]"/>
    <s v="[Contact Person Last of Company53]"/>
    <s v="[Contact Person First of Company53]"/>
    <s v="[Direct Number of Company53]"/>
    <s v="[Cell Number of Company53]"/>
    <s v="[Email Address of Company53]"/>
    <s v="[Delivery of Company53]"/>
    <s v="[Equipment / Process of Company53]"/>
    <s v="[Contact Details of Company53]"/>
    <s v="[Credit App? of Company53]"/>
  </r>
  <r>
    <n v="271"/>
    <x v="79"/>
    <s v="[Address of Company54]"/>
    <s v="[Contact Person Last of Company54]"/>
    <s v="[Contact Person First of Company54]"/>
    <s v="[Direct Number of Company54]"/>
    <s v="[Cell Number of Company54]"/>
    <s v="[Email Address of Company54]"/>
    <s v="[Delivery of Company54]"/>
    <s v="[Equipment / Process of Company54]"/>
    <s v="[Contact Details of Company54]"/>
    <s v="[Credit App? of Company54]"/>
  </r>
  <r>
    <n v="272"/>
    <x v="80"/>
    <s v="[Address of Company55]"/>
    <s v="[Contact Person Last of Company55]"/>
    <s v="[Contact Person First of Company55]"/>
    <s v="[Direct Number of Company55]"/>
    <s v="[Cell Number of Company55]"/>
    <s v="[Email Address of Company55]"/>
    <s v="[Delivery of Company55]"/>
    <s v="[Equipment / Process of Company55]"/>
    <s v="[Contact Details of Company55]"/>
    <s v="[Credit App? of Company55]"/>
  </r>
  <r>
    <n v="273"/>
    <x v="81"/>
    <s v="[Address of Company56]"/>
    <s v="[Contact Person Last of Company56]"/>
    <s v="[Contact Person First of Company56]"/>
    <s v="[Direct Number of Company56]"/>
    <s v="[Cell Number of Company56]"/>
    <s v="[Email Address of Company56]"/>
    <s v="[Delivery of Company56]"/>
    <s v="[Equipment / Process of Company56]"/>
    <s v="[Contact Details of Company56]"/>
    <s v="[Credit App? of Company56]"/>
  </r>
  <r>
    <n v="274"/>
    <x v="82"/>
    <s v="[Address of Company57]"/>
    <s v="[Contact Person Last of Company57]"/>
    <s v="[Contact Person First of Company57]"/>
    <s v="[Direct Number of Company57]"/>
    <s v="[Cell Number of Company57]"/>
    <s v="[Email Address of Company57]"/>
    <s v="[Delivery of Company57]"/>
    <s v="[Equipment / Process of Company57]"/>
    <s v="[Contact Details of Company57]"/>
    <s v="[Credit App? of Company57]"/>
  </r>
  <r>
    <n v="373"/>
    <x v="83"/>
    <s v="[Address of Company58]"/>
    <s v="[Contact Person Last of Company58]"/>
    <s v="[Contact Person First of Company58]"/>
    <s v="[Direct Number of Company58]"/>
    <s v="[Cell Number of Company58]"/>
    <s v="[Email Address of Company58]"/>
    <s v="[Delivery of Company58]"/>
    <s v="[Equipment / Process of Company58]"/>
    <s v="[Contact Details of Company58]"/>
    <s v="[Credit App? of Company58]"/>
  </r>
  <r>
    <n v="275"/>
    <x v="84"/>
    <s v="[Address of Company59]"/>
    <s v="[Contact Person Last of Company59]"/>
    <s v="[Contact Person First of Company59]"/>
    <s v="[Direct Number of Company59]"/>
    <s v="[Cell Number of Company59]"/>
    <s v="[Email Address of Company59]"/>
    <s v="[Delivery of Company59]"/>
    <s v="[Equipment / Process of Company59]"/>
    <s v="[Contact Details of Company59]"/>
    <s v="[Credit App? of Company59]"/>
  </r>
  <r>
    <n v="233"/>
    <x v="85"/>
    <s v="[Address of Company6]"/>
    <s v="[Contact Person Last of Company6]"/>
    <s v="[Contact Person First of Company6]"/>
    <s v="[Direct Number of Company6]"/>
    <s v="[Cell Number of Company6]"/>
    <s v="[Email Address of Company6]"/>
    <s v="[Delivery of Company6]"/>
    <s v="[Equipment / Process of Company6]"/>
    <s v="[Contact Details of Company6]"/>
    <s v="[Credit App? of Company6]"/>
  </r>
  <r>
    <n v="276"/>
    <x v="86"/>
    <s v="[Address of Company60]"/>
    <s v="[Contact Person Last of Company60]"/>
    <s v="[Contact Person First of Company60]"/>
    <s v="[Direct Number of Company60]"/>
    <s v="[Cell Number of Company60]"/>
    <s v="[Email Address of Company60]"/>
    <s v="[Delivery of Company60]"/>
    <s v="[Equipment / Process of Company60]"/>
    <s v="[Contact Details of Company60]"/>
    <s v="[Credit App? of Company60]"/>
  </r>
  <r>
    <n v="348"/>
    <x v="87"/>
    <s v="[Address of Company61]"/>
    <s v="[Contact Person Last of Company61]"/>
    <s v="[Contact Person First of Company61]"/>
    <s v="[Direct Number of Company61]"/>
    <s v="[Cell Number of Company61]"/>
    <s v="[Email Address of Company61]"/>
    <s v="[Delivery of Company61]"/>
    <s v="[Equipment / Process of Company61]"/>
    <s v="[Contact Details of Company61]"/>
    <s v="[Credit App? of Company61]"/>
  </r>
  <r>
    <n v="351"/>
    <x v="88"/>
    <s v="[Address of Company62]"/>
    <s v="[Contact Person Last of Company62]"/>
    <s v="[Contact Person First of Company62]"/>
    <s v="[Direct Number of Company62]"/>
    <s v="[Cell Number of Company62]"/>
    <s v="[Email Address of Company62]"/>
    <s v="[Delivery of Company62]"/>
    <s v="[Equipment / Process of Company62]"/>
    <s v="[Contact Details of Company62]"/>
    <s v="[Credit App? of Company62]"/>
  </r>
  <r>
    <n v="277"/>
    <x v="89"/>
    <s v="[Address of Company63]"/>
    <s v="[Contact Person Last of Company63]"/>
    <s v="[Contact Person First of Company63]"/>
    <s v="[Direct Number of Company63]"/>
    <s v="[Cell Number of Company63]"/>
    <s v="[Email Address of Company63]"/>
    <s v="[Delivery of Company63]"/>
    <s v="[Equipment / Process of Company63]"/>
    <s v="[Contact Details of Company63]"/>
    <s v="[Credit App? of Company63]"/>
  </r>
  <r>
    <n v="278"/>
    <x v="90"/>
    <s v="[Address of Company64]"/>
    <s v="[Contact Person Last of Company64]"/>
    <s v="[Contact Person First of Company64]"/>
    <s v="[Direct Number of Company64]"/>
    <s v="[Cell Number of Company64]"/>
    <s v="[Email Address of Company64]"/>
    <s v="[Delivery of Company64]"/>
    <s v="[Equipment / Process of Company64]"/>
    <s v="[Contact Details of Company64]"/>
    <s v="[Credit App? of Company64]"/>
  </r>
  <r>
    <n v="279"/>
    <x v="91"/>
    <s v="[Address of Company65]"/>
    <s v="[Contact Person Last of Company65]"/>
    <s v="[Contact Person First of Company65]"/>
    <s v="[Direct Number of Company65]"/>
    <s v="[Cell Number of Company65]"/>
    <s v="[Email Address of Company65]"/>
    <s v="[Delivery of Company65]"/>
    <s v="[Equipment / Process of Company65]"/>
    <s v="[Contact Details of Company65]"/>
    <s v="[Credit App? of Company65]"/>
  </r>
  <r>
    <n v="280"/>
    <x v="92"/>
    <s v="[Address of Company66]"/>
    <s v="[Contact Person Last of Company66]"/>
    <s v="[Contact Person First of Company66]"/>
    <s v="[Direct Number of Company66]"/>
    <s v="[Cell Number of Company66]"/>
    <s v="[Email Address of Company66]"/>
    <s v="[Delivery of Company66]"/>
    <s v="[Equipment / Process of Company66]"/>
    <s v="[Contact Details of Company66]"/>
    <s v="[Credit App? of Company66]"/>
  </r>
  <r>
    <n v="281"/>
    <x v="93"/>
    <s v="[Address of Company67]"/>
    <s v="[Contact Person Last of Company67]"/>
    <s v="[Contact Person First of Company67]"/>
    <s v="[Direct Number of Company67]"/>
    <s v="[Cell Number of Company67]"/>
    <s v="[Email Address of Company67]"/>
    <s v="[Delivery of Company67]"/>
    <s v="[Equipment / Process of Company67]"/>
    <s v="[Contact Details of Company67]"/>
    <s v="[Credit App? of Company67]"/>
  </r>
  <r>
    <n v="353"/>
    <x v="94"/>
    <s v="[Address of Company68]"/>
    <s v="[Contact Person Last of Company68]"/>
    <s v="[Contact Person First of Company68]"/>
    <s v="[Direct Number of Company68]"/>
    <s v="[Cell Number of Company68]"/>
    <s v="[Email Address of Company68]"/>
    <s v="[Delivery of Company68]"/>
    <s v="[Equipment / Process of Company68]"/>
    <s v="[Contact Details of Company68]"/>
    <s v="[Credit App? of Company68]"/>
  </r>
  <r>
    <n v="282"/>
    <x v="95"/>
    <s v="[Address of Company69]"/>
    <s v="[Contact Person Last of Company69]"/>
    <s v="[Contact Person First of Company69]"/>
    <s v="[Direct Number of Company69]"/>
    <s v="[Cell Number of Company69]"/>
    <s v="[Email Address of Company69]"/>
    <s v="[Delivery of Company69]"/>
    <s v="[Equipment / Process of Company69]"/>
    <s v="[Contact Details of Company69]"/>
    <s v="[Credit App? of Company69]"/>
  </r>
  <r>
    <n v="234"/>
    <x v="96"/>
    <s v="[Address of Company7]"/>
    <s v="[Contact Person Last of Company7]"/>
    <s v="[Contact Person First of Company7]"/>
    <s v="[Direct Number of Company7]"/>
    <s v="[Cell Number of Company7]"/>
    <s v="[Email Address of Company7]"/>
    <s v="[Delivery of Company7]"/>
    <s v="[Equipment / Process of Company7]"/>
    <s v="[Contact Details of Company7]"/>
    <s v="[Credit App? of Company7]"/>
  </r>
  <r>
    <n v="285"/>
    <x v="97"/>
    <s v="[Address of Company70]"/>
    <s v="[Contact Person Last of Company70]"/>
    <s v="[Contact Person First of Company70]"/>
    <s v="[Direct Number of Company70]"/>
    <s v="[Cell Number of Company70]"/>
    <s v="[Email Address of Company70]"/>
    <s v="[Delivery of Company70]"/>
    <s v="[Equipment / Process of Company70]"/>
    <s v="[Contact Details of Company70]"/>
    <s v="[Credit App? of Company70]"/>
  </r>
  <r>
    <n v="356"/>
    <x v="98"/>
    <s v="[Address of Company71]"/>
    <s v="[Contact Person Last of Company71]"/>
    <s v="[Contact Person First of Company71]"/>
    <s v="[Direct Number of Company71]"/>
    <s v="[Cell Number of Company71]"/>
    <s v="[Email Address of Company71]"/>
    <s v="[Delivery of Company71]"/>
    <s v="[Equipment / Process of Company71]"/>
    <s v="[Contact Details of Company71]"/>
    <s v="[Credit App? of Company71]"/>
  </r>
  <r>
    <n v="286"/>
    <x v="99"/>
    <s v="[Address of Company72]"/>
    <s v="[Contact Person Last of Company72]"/>
    <s v="[Contact Person First of Company72]"/>
    <s v="[Direct Number of Company72]"/>
    <s v="[Cell Number of Company72]"/>
    <s v="[Email Address of Company72]"/>
    <s v="[Delivery of Company72]"/>
    <s v="[Equipment / Process of Company72]"/>
    <s v="[Contact Details of Company72]"/>
    <s v="[Credit App? of Company72]"/>
  </r>
  <r>
    <n v="287"/>
    <x v="100"/>
    <s v="[Address of Company73]"/>
    <s v="[Contact Person Last of Company73]"/>
    <s v="[Contact Person First of Company73]"/>
    <s v="[Direct Number of Company73]"/>
    <s v="[Cell Number of Company73]"/>
    <s v="[Email Address of Company73]"/>
    <s v="[Delivery of Company73]"/>
    <s v="[Equipment / Process of Company73]"/>
    <s v="[Contact Details of Company73]"/>
    <s v="[Credit App? of Company73]"/>
  </r>
  <r>
    <n v="288"/>
    <x v="101"/>
    <s v="[Address of Company74]"/>
    <s v="[Contact Person Last of Company74]"/>
    <s v="[Contact Person First of Company74]"/>
    <s v="[Direct Number of Company74]"/>
    <s v="[Cell Number of Company74]"/>
    <s v="[Email Address of Company74]"/>
    <s v="[Delivery of Company74]"/>
    <s v="[Equipment / Process of Company74]"/>
    <s v="[Contact Details of Company74]"/>
    <s v="[Credit App? of Company74]"/>
  </r>
  <r>
    <n v="291"/>
    <x v="102"/>
    <s v="[Address of Company75]"/>
    <s v="[Contact Person Last of Company75]"/>
    <s v="[Contact Person First of Company75]"/>
    <s v="[Direct Number of Company75]"/>
    <s v="[Cell Number of Company75]"/>
    <s v="[Email Address of Company75]"/>
    <s v="[Delivery of Company75]"/>
    <s v="[Equipment / Process of Company75]"/>
    <s v="[Contact Details of Company75]"/>
    <s v="[Credit App? of Company75]"/>
  </r>
  <r>
    <n v="292"/>
    <x v="103"/>
    <s v="[Address of Company76]"/>
    <s v="[Contact Person Last of Company76]"/>
    <s v="[Contact Person First of Company76]"/>
    <s v="[Direct Number of Company76]"/>
    <s v="[Cell Number of Company76]"/>
    <s v="[Email Address of Company76]"/>
    <s v="[Delivery of Company76]"/>
    <s v="[Equipment / Process of Company76]"/>
    <s v="[Contact Details of Company76]"/>
    <s v="[Credit App? of Company76]"/>
  </r>
  <r>
    <n v="293"/>
    <x v="104"/>
    <s v="[Address of Company77]"/>
    <s v="[Contact Person Last of Company77]"/>
    <s v="[Contact Person First of Company77]"/>
    <s v="[Direct Number of Company77]"/>
    <s v="[Cell Number of Company77]"/>
    <s v="[Email Address of Company77]"/>
    <s v="[Delivery of Company77]"/>
    <s v="[Equipment / Process of Company77]"/>
    <s v="[Contact Details of Company77]"/>
    <s v="[Credit App? of Company77]"/>
  </r>
  <r>
    <n v="294"/>
    <x v="105"/>
    <s v="[Address of Company78]"/>
    <s v="[Contact Person Last of Company78]"/>
    <s v="[Contact Person First of Company78]"/>
    <s v="[Direct Number of Company78]"/>
    <s v="[Cell Number of Company78]"/>
    <s v="[Email Address of Company78]"/>
    <s v="[Delivery of Company78]"/>
    <s v="[Equipment / Process of Company78]"/>
    <s v="[Contact Details of Company78]"/>
    <s v="[Credit App? of Company78]"/>
  </r>
  <r>
    <n v="295"/>
    <x v="106"/>
    <s v="[Address of Company79]"/>
    <s v="[Contact Person Last of Company79]"/>
    <s v="[Contact Person First of Company79]"/>
    <s v="[Direct Number of Company79]"/>
    <s v="[Cell Number of Company79]"/>
    <s v="[Email Address of Company79]"/>
    <s v="[Delivery of Company79]"/>
    <s v="[Equipment / Process of Company79]"/>
    <s v="[Contact Details of Company79]"/>
    <s v="[Credit App? of Company79]"/>
  </r>
  <r>
    <n v="235"/>
    <x v="107"/>
    <s v="[Address of Company8]"/>
    <s v="[Contact Person Last of Company8]"/>
    <s v="[Contact Person First of Company8]"/>
    <s v="[Direct Number of Company8]"/>
    <s v="[Cell Number of Company8]"/>
    <s v="[Email Address of Company8]"/>
    <s v="[Delivery of Company8]"/>
    <s v="[Equipment / Process of Company8]"/>
    <s v="[Contact Details of Company8]"/>
    <s v="[Credit App? of Company8]"/>
  </r>
  <r>
    <n v="296"/>
    <x v="108"/>
    <s v="[Address of Company80]"/>
    <s v="[Contact Person Last of Company80]"/>
    <s v="[Contact Person First of Company80]"/>
    <s v="[Direct Number of Company80]"/>
    <s v="[Cell Number of Company80]"/>
    <s v="[Email Address of Company80]"/>
    <s v="[Delivery of Company80]"/>
    <s v="[Equipment / Process of Company80]"/>
    <s v="[Contact Details of Company80]"/>
    <s v="[Credit App? of Company80]"/>
  </r>
  <r>
    <n v="297"/>
    <x v="109"/>
    <s v="[Address of Company81]"/>
    <s v="[Contact Person Last of Company81]"/>
    <s v="[Contact Person First of Company81]"/>
    <s v="[Direct Number of Company81]"/>
    <s v="[Cell Number of Company81]"/>
    <s v="[Email Address of Company81]"/>
    <s v="[Delivery of Company81]"/>
    <s v="[Equipment / Process of Company81]"/>
    <s v="[Contact Details of Company81]"/>
    <s v="[Credit App? of Company81]"/>
  </r>
  <r>
    <n v="298"/>
    <x v="110"/>
    <s v="[Address of Company82]"/>
    <s v="[Contact Person Last of Company82]"/>
    <s v="[Contact Person First of Company82]"/>
    <s v="[Direct Number of Company82]"/>
    <s v="[Cell Number of Company82]"/>
    <s v="[Email Address of Company82]"/>
    <s v="[Delivery of Company82]"/>
    <s v="[Equipment / Process of Company82]"/>
    <s v="[Contact Details of Company82]"/>
    <s v="[Credit App? of Company82]"/>
  </r>
  <r>
    <n v="354"/>
    <x v="111"/>
    <s v="[Address of Company83]"/>
    <s v="[Contact Person Last of Company83]"/>
    <s v="[Contact Person First of Company83]"/>
    <s v="[Direct Number of Company83]"/>
    <s v="[Cell Number of Company83]"/>
    <s v="[Email Address of Company83]"/>
    <s v="[Delivery of Company83]"/>
    <s v="[Equipment / Process of Company83]"/>
    <s v="[Contact Details of Company83]"/>
    <s v="[Credit App? of Company83]"/>
  </r>
  <r>
    <n v="301"/>
    <x v="112"/>
    <s v="[Address of Company84]"/>
    <s v="[Contact Person Last of Company84]"/>
    <s v="[Contact Person First of Company84]"/>
    <s v="[Direct Number of Company84]"/>
    <s v="[Cell Number of Company84]"/>
    <s v="[Email Address of Company84]"/>
    <s v="[Delivery of Company84]"/>
    <s v="[Equipment / Process of Company84]"/>
    <s v="[Contact Details of Company84]"/>
    <s v="[Credit App? of Company84]"/>
  </r>
  <r>
    <n v="302"/>
    <x v="113"/>
    <s v="[Address of Company85]"/>
    <s v="[Contact Person Last of Company85]"/>
    <s v="[Contact Person First of Company85]"/>
    <s v="[Direct Number of Company85]"/>
    <s v="[Cell Number of Company85]"/>
    <s v="[Email Address of Company85]"/>
    <s v="[Delivery of Company85]"/>
    <s v="[Equipment / Process of Company85]"/>
    <s v="[Contact Details of Company85]"/>
    <s v="[Credit App? of Company85]"/>
  </r>
  <r>
    <n v="303"/>
    <x v="114"/>
    <s v="[Address of Company86]"/>
    <s v="[Contact Person Last of Company86]"/>
    <s v="[Contact Person First of Company86]"/>
    <s v="[Direct Number of Company86]"/>
    <s v="[Cell Number of Company86]"/>
    <s v="[Email Address of Company86]"/>
    <s v="[Delivery of Company86]"/>
    <s v="[Equipment / Process of Company86]"/>
    <s v="[Contact Details of Company86]"/>
    <s v="[Credit App? of Company86]"/>
  </r>
  <r>
    <n v="305"/>
    <x v="115"/>
    <s v="[Address of Company87]"/>
    <s v="[Contact Person Last of Company87]"/>
    <s v="[Contact Person First of Company87]"/>
    <s v="[Direct Number of Company87]"/>
    <s v="[Cell Number of Company87]"/>
    <s v="[Email Address of Company87]"/>
    <s v="[Delivery of Company87]"/>
    <s v="[Equipment / Process of Company87]"/>
    <s v="[Contact Details of Company87]"/>
    <s v="[Credit App? of Company87]"/>
  </r>
  <r>
    <n v="307"/>
    <x v="116"/>
    <s v="[Address of Company88]"/>
    <s v="[Contact Person Last of Company88]"/>
    <s v="[Contact Person First of Company88]"/>
    <s v="[Direct Number of Company88]"/>
    <s v="[Cell Number of Company88]"/>
    <s v="[Email Address of Company88]"/>
    <s v="[Delivery of Company88]"/>
    <s v="[Equipment / Process of Company88]"/>
    <s v="[Contact Details of Company88]"/>
    <s v="[Credit App? of Company88]"/>
  </r>
  <r>
    <n v="308"/>
    <x v="117"/>
    <s v="[Address of Company89]"/>
    <s v="[Contact Person Last of Company89]"/>
    <s v="[Contact Person First of Company89]"/>
    <s v="[Direct Number of Company89]"/>
    <s v="[Cell Number of Company89]"/>
    <s v="[Email Address of Company89]"/>
    <s v="[Delivery of Company89]"/>
    <s v="[Equipment / Process of Company89]"/>
    <s v="[Contact Details of Company89]"/>
    <s v="[Credit App? of Company89]"/>
  </r>
  <r>
    <n v="345"/>
    <x v="118"/>
    <s v="[Address of Company9]"/>
    <s v="[Contact Person Last of Company9]"/>
    <s v="[Contact Person First of Company9]"/>
    <s v="[Direct Number of Company9]"/>
    <s v="[Cell Number of Company9]"/>
    <s v="[Email Address of Company9]"/>
    <s v="[Delivery of Company9]"/>
    <s v="[Equipment / Process of Company9]"/>
    <s v="[Contact Details of Company9]"/>
    <s v="[Credit App? of Company9]"/>
  </r>
  <r>
    <n v="309"/>
    <x v="119"/>
    <s v="[Address of Company90]"/>
    <s v="[Contact Person Last of Company90]"/>
    <s v="[Contact Person First of Company90]"/>
    <s v="[Direct Number of Company90]"/>
    <s v="[Cell Number of Company90]"/>
    <s v="[Email Address of Company90]"/>
    <s v="[Delivery of Company90]"/>
    <s v="[Equipment / Process of Company90]"/>
    <s v="[Contact Details of Company90]"/>
    <s v="[Credit App? of Company90]"/>
  </r>
  <r>
    <n v="310"/>
    <x v="120"/>
    <s v="[Address of Company91]"/>
    <s v="[Contact Person Last of Company91]"/>
    <s v="[Contact Person First of Company91]"/>
    <s v="[Direct Number of Company91]"/>
    <s v="[Cell Number of Company91]"/>
    <s v="[Email Address of Company91]"/>
    <s v="[Delivery of Company91]"/>
    <s v="[Equipment / Process of Company91]"/>
    <s v="[Contact Details of Company91]"/>
    <s v="[Credit App? of Company91]"/>
  </r>
  <r>
    <n v="311"/>
    <x v="121"/>
    <s v="[Address of Company92]"/>
    <s v="[Contact Person Last of Company92]"/>
    <s v="[Contact Person First of Company92]"/>
    <s v="[Direct Number of Company92]"/>
    <s v="[Cell Number of Company92]"/>
    <s v="[Email Address of Company92]"/>
    <s v="[Delivery of Company92]"/>
    <s v="[Equipment / Process of Company92]"/>
    <s v="[Contact Details of Company92]"/>
    <s v="[Credit App? of Company92]"/>
  </r>
  <r>
    <n v="312"/>
    <x v="122"/>
    <s v="[Address of Company93]"/>
    <s v="[Contact Person Last of Company93]"/>
    <s v="[Contact Person First of Company93]"/>
    <s v="[Direct Number of Company93]"/>
    <s v="[Cell Number of Company93]"/>
    <s v="[Email Address of Company93]"/>
    <s v="[Delivery of Company93]"/>
    <s v="[Equipment / Process of Company93]"/>
    <s v="[Contact Details of Company93]"/>
    <s v="[Credit App? of Company93]"/>
  </r>
  <r>
    <n v="313"/>
    <x v="123"/>
    <s v="[Address of Company94]"/>
    <s v="[Contact Person Last of Company94]"/>
    <s v="[Contact Person First of Company94]"/>
    <s v="[Direct Number of Company94]"/>
    <s v="[Cell Number of Company94]"/>
    <s v="[Email Address of Company94]"/>
    <s v="[Delivery of Company94]"/>
    <s v="[Equipment / Process of Company94]"/>
    <s v="[Contact Details of Company94]"/>
    <s v="[Credit App? of Company94]"/>
  </r>
  <r>
    <n v="314"/>
    <x v="124"/>
    <s v="[Address of Company95]"/>
    <s v="[Contact Person Last of Company95]"/>
    <s v="[Contact Person First of Company95]"/>
    <s v="[Direct Number of Company95]"/>
    <s v="[Cell Number of Company95]"/>
    <s v="[Email Address of Company95]"/>
    <s v="[Delivery of Company95]"/>
    <s v="[Equipment / Process of Company95]"/>
    <s v="[Contact Details of Company95]"/>
    <s v="[Credit App? of Company95]"/>
  </r>
  <r>
    <n v="315"/>
    <x v="125"/>
    <s v="[Address of Company96]"/>
    <s v="[Contact Person Last of Company96]"/>
    <s v="[Contact Person First of Company96]"/>
    <s v="[Direct Number of Company96]"/>
    <s v="[Cell Number of Company96]"/>
    <s v="[Email Address of Company96]"/>
    <s v="[Delivery of Company96]"/>
    <s v="[Equipment / Process of Company96]"/>
    <s v="[Contact Details of Company96]"/>
    <s v="[Credit App? of Company96]"/>
  </r>
  <r>
    <n v="316"/>
    <x v="126"/>
    <s v="[Address of Company97]"/>
    <s v="[Contact Person Last of Company97]"/>
    <s v="[Contact Person First of Company97]"/>
    <s v="[Direct Number of Company97]"/>
    <s v="[Cell Number of Company97]"/>
    <s v="[Email Address of Company97]"/>
    <s v="[Delivery of Company97]"/>
    <s v="[Equipment / Process of Company97]"/>
    <s v="[Contact Details of Company97]"/>
    <s v="[Credit App? of Company97]"/>
  </r>
  <r>
    <n v="350"/>
    <x v="127"/>
    <s v="[Address of Company98]"/>
    <s v="[Contact Person Last of Company98]"/>
    <s v="[Contact Person First of Company98]"/>
    <s v="[Direct Number of Company98]"/>
    <s v="[Cell Number of Company98]"/>
    <s v="[Email Address of Company98]"/>
    <s v="[Delivery of Company98]"/>
    <s v="[Equipment / Process of Company98]"/>
    <s v="[Contact Details of Company98]"/>
    <s v="[Credit App? of Company98]"/>
  </r>
  <r>
    <n v="317"/>
    <x v="128"/>
    <s v="[Address of Company99]"/>
    <s v="[Contact Person Last of Company99]"/>
    <s v="[Contact Person First of Company99]"/>
    <s v="[Direct Number of Company99]"/>
    <s v="[Cell Number of Company99]"/>
    <s v="[Email Address of Company99]"/>
    <s v="[Delivery of Company99]"/>
    <s v="[Equipment / Process of Company99]"/>
    <s v="[Contact Details of Company99]"/>
    <s v="[Credit App? of Company99]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721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multipleFieldFilters="0" customListSort="0">
  <location ref="B9" firstHeaderRow="0" firstDataRow="0" firstDataCol="0" rowPageCount="1" colPageCount="1"/>
  <pivotFields count="12">
    <pivotField showAll="0" defaultSubtotal="0"/>
    <pivotField name="Company" axis="axisPage" showAll="0" sortType="ascending" defaultSubtotal="0">
      <items count="259">
        <item m="1" x="161"/>
        <item m="1" x="197"/>
        <item m="1" x="182"/>
        <item m="1" x="234"/>
        <item m="1" x="165"/>
        <item m="1" x="130"/>
        <item m="1" x="227"/>
        <item m="1" x="256"/>
        <item m="1" x="144"/>
        <item m="1" x="211"/>
        <item m="1" x="186"/>
        <item m="1" x="203"/>
        <item m="1" x="160"/>
        <item m="1" x="185"/>
        <item m="1" x="228"/>
        <item m="1" x="218"/>
        <item m="1" x="136"/>
        <item m="1" x="145"/>
        <item m="1" x="199"/>
        <item m="1" x="222"/>
        <item m="1" x="236"/>
        <item m="1" x="226"/>
        <item m="1" x="206"/>
        <item m="1" x="208"/>
        <item m="1" x="209"/>
        <item m="1" x="243"/>
        <item m="1" x="254"/>
        <item m="1" x="252"/>
        <item m="1" x="131"/>
        <item m="1" x="166"/>
        <item m="1" x="146"/>
        <item m="1" x="190"/>
        <item m="1" x="178"/>
        <item m="1" x="207"/>
        <item m="1" x="255"/>
        <item m="1" x="162"/>
        <item m="1" x="221"/>
        <item m="1" x="16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192"/>
        <item m="1" x="140"/>
        <item m="1" x="241"/>
        <item m="1" x="244"/>
        <item m="1" x="164"/>
        <item m="1" x="202"/>
        <item m="1" x="195"/>
        <item m="1" x="250"/>
        <item m="1" x="188"/>
        <item m="1" x="139"/>
        <item m="1" x="156"/>
        <item m="1" x="158"/>
        <item m="1" x="214"/>
        <item m="1" x="219"/>
        <item m="1" x="132"/>
        <item m="1" x="167"/>
        <item m="1" x="253"/>
        <item m="1" x="129"/>
        <item m="1" x="176"/>
        <item m="1" x="159"/>
        <item m="1" x="235"/>
        <item m="1" x="154"/>
        <item m="1" x="135"/>
        <item m="1" x="180"/>
        <item m="1" x="251"/>
        <item m="1" x="245"/>
        <item m="1" x="239"/>
        <item m="1" x="183"/>
        <item m="1" x="168"/>
        <item m="1" x="220"/>
        <item m="1" x="231"/>
        <item m="1" x="204"/>
        <item m="1" x="138"/>
        <item m="1" x="200"/>
        <item m="1" x="133"/>
        <item m="1" x="155"/>
        <item m="1" x="171"/>
        <item m="1" x="225"/>
        <item m="1" x="169"/>
        <item m="1" x="150"/>
        <item m="1" x="249"/>
        <item m="1" x="217"/>
        <item m="1" x="142"/>
        <item m="1" x="240"/>
        <item m="1" x="215"/>
        <item m="1" x="149"/>
        <item m="1" x="152"/>
        <item m="1" x="213"/>
        <item m="1" x="205"/>
        <item m="1" x="134"/>
        <item m="1" x="143"/>
        <item m="1" x="157"/>
        <item m="1" x="258"/>
        <item m="1" x="173"/>
        <item m="1" x="224"/>
        <item m="1" x="229"/>
        <item m="1" x="238"/>
        <item m="1" x="194"/>
        <item m="1" x="248"/>
        <item m="1" x="242"/>
        <item m="1" x="246"/>
        <item m="1" x="187"/>
        <item m="1" x="201"/>
        <item m="1" x="148"/>
        <item m="1" x="257"/>
        <item m="1" x="174"/>
        <item m="1" x="181"/>
        <item m="1" x="184"/>
        <item m="1" x="153"/>
        <item m="1" x="151"/>
        <item m="1" x="193"/>
        <item m="1" x="230"/>
        <item m="1" x="196"/>
        <item m="1" x="137"/>
        <item m="1" x="198"/>
        <item m="1" x="247"/>
        <item m="1" x="232"/>
        <item m="1" x="210"/>
        <item m="1" x="216"/>
        <item m="1" x="179"/>
        <item m="1" x="191"/>
        <item m="1" x="233"/>
        <item m="1" x="223"/>
        <item m="1" x="175"/>
        <item m="1" x="212"/>
        <item m="1" x="147"/>
        <item m="1" x="170"/>
        <item m="1" x="237"/>
        <item m="1" x="189"/>
        <item m="1" x="172"/>
        <item m="1" x="141"/>
        <item m="1" x="17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pageFields count="1">
    <pageField fld="1" item="73" hier="-1"/>
  </pageFields>
  <formats count="7">
    <format dxfId="73">
      <pivotArea field="1" type="button" dataOnly="0" labelOnly="1" outline="0" axis="axisPage" fieldPosition="0"/>
    </format>
    <format dxfId="72">
      <pivotArea field="1" type="button" dataOnly="0" labelOnly="1" outline="0" axis="axisPage" fieldPosition="0"/>
    </format>
    <format dxfId="71">
      <pivotArea field="1" type="button" dataOnly="0" labelOnly="1" outline="0" axis="axisPage" fieldPosition="0"/>
    </format>
    <format dxfId="70">
      <pivotArea field="1" type="button" dataOnly="0" labelOnly="1" outline="0" axis="axisPage" fieldPosition="0"/>
    </format>
    <format dxfId="69">
      <pivotArea field="1" type="button" dataOnly="0" labelOnly="1" outline="0" axis="axisPage" fieldPosition="0"/>
    </format>
    <format dxfId="68">
      <pivotArea field="1" type="button" dataOnly="0" labelOnly="1" outline="0" axis="axisPage" fieldPosition="0"/>
    </format>
    <format dxfId="67">
      <pivotArea field="1" type="button" dataOnly="0" labelOnly="1" outline="0" axis="axisPage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ummary" cacheId="718" applyNumberFormats="0" applyBorderFormats="0" applyFontFormats="0" applyPatternFormats="0" applyAlignmentFormats="0" applyWidthHeightFormats="1" dataCaption="All Locations" missingCaption="0" updatedVersion="3" minRefreshableVersion="3" showCalcMbrs="0" itemPrintTitles="1" mergeItem="1" createdVersion="3" indent="0" outline="1" outlineData="1" multipleFieldFilters="0" chartFormat="3" rowHeaderCaption="Material Types">
  <location ref="A2:E9" firstHeaderRow="1" firstDataRow="2" firstDataCol="1"/>
  <pivotFields count="25">
    <pivotField showAll="0" defaultSubtotal="0"/>
    <pivotField axis="axisRow" showAll="0" defaultSubtotal="0">
      <items count="69">
        <item sd="0" x="5"/>
        <item sd="0" x="10"/>
        <item sd="0" m="1" x="37"/>
        <item sd="0" m="1" x="63"/>
        <item sd="0" x="14"/>
        <item sd="0" x="8"/>
        <item sd="0" x="0"/>
        <item sd="0" m="1" x="57"/>
        <item sd="0" x="15"/>
        <item sd="0" m="1" x="42"/>
        <item sd="0" x="3"/>
        <item sd="0" x="11"/>
        <item sd="0" x="16"/>
        <item sd="0" m="1" x="65"/>
        <item sd="0" m="1" x="68"/>
        <item sd="0" m="1" x="67"/>
        <item sd="0" x="2"/>
        <item sd="0" m="1" x="60"/>
        <item sd="0" m="1" x="61"/>
        <item sd="0" x="20"/>
        <item sd="0" x="7"/>
        <item sd="0" x="1"/>
        <item sd="0" x="6"/>
        <item sd="0" m="1" x="28"/>
        <item sd="0" m="1" x="53"/>
        <item sd="0" x="18"/>
        <item sd="0" x="19"/>
        <item sd="0" x="13"/>
        <item sd="0" m="1" x="49"/>
        <item sd="0" x="12"/>
        <item sd="0" x="17"/>
        <item sd="0" m="1" x="36"/>
        <item sd="0" m="1" x="40"/>
        <item sd="0" m="1" x="39"/>
        <item sd="0" m="1" x="43"/>
        <item sd="0" m="1" x="50"/>
        <item sd="0" m="1" x="58"/>
        <item sd="0" m="1" x="24"/>
        <item sd="0" m="1" x="25"/>
        <item sd="0" x="9"/>
        <item sd="0" m="1" x="26"/>
        <item sd="0" m="1" x="34"/>
        <item sd="0" m="1" x="66"/>
        <item sd="0" m="1" x="59"/>
        <item sd="0" m="1" x="44"/>
        <item sd="0" x="21"/>
        <item sd="0" m="1" x="32"/>
        <item sd="0" m="1" x="62"/>
        <item sd="0" m="1" x="45"/>
        <item sd="0" m="1" x="23"/>
        <item sd="0" m="1" x="56"/>
        <item sd="0" m="1" x="35"/>
        <item sd="0" m="1" x="64"/>
        <item sd="0" m="1" x="51"/>
        <item sd="0" m="1" x="29"/>
        <item sd="0" m="1" x="31"/>
        <item sd="0" m="1" x="33"/>
        <item sd="0" m="1" x="48"/>
        <item sd="0" m="1" x="38"/>
        <item sd="0" m="1" x="55"/>
        <item sd="0" m="1" x="27"/>
        <item sd="0" m="1" x="54"/>
        <item sd="0" m="1" x="22"/>
        <item sd="0" m="1" x="52"/>
        <item sd="0" m="1" x="46"/>
        <item sd="0" m="1" x="47"/>
        <item sd="0" m="1" x="30"/>
        <item sd="0" m="1" x="41"/>
        <item sd="0" x="4"/>
      </items>
    </pivotField>
    <pivotField showAll="0" defaultSubtotal="0"/>
    <pivotField dataField="1" showAll="0" defaultSubtotal="0"/>
    <pivotField showAll="0" defaultSubtotal="0"/>
    <pivotField numFmtId="14" showAll="0" defaultSubtotal="0"/>
    <pivotField axis="axisRow" multipleItemSelectionAllowed="1" showAll="0" defaultSubtotal="0">
      <items count="10">
        <item m="1" x="5"/>
        <item m="1" x="2"/>
        <item m="1" x="7"/>
        <item m="1" x="1"/>
        <item m="1" x="4"/>
        <item m="1" x="3"/>
        <item m="1" x="6"/>
        <item m="1" x="9"/>
        <item m="1" x="8"/>
        <item x="0"/>
      </items>
    </pivotField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4" showAll="0" defaultSubtotal="0"/>
    <pivotField dataField="1" numFmtId="44" showAll="0" defaultSubtotal="0"/>
    <pivotField dataField="1" showAll="0" defaultSubtotal="0"/>
    <pivotField showAll="0" defaultSubtotal="0"/>
    <pivotField showAll="0" defaultSubtotal="0"/>
    <pivotField axis="axisRow" multipleItemSelectionAllowed="1" showAll="0" defaultSubtotal="0">
      <items count="381">
        <item h="1" m="1" x="195"/>
        <item h="1" m="1" x="361"/>
        <item h="1" m="1" x="155"/>
        <item h="1" x="0"/>
        <item h="1" m="1" x="117"/>
        <item h="1" m="1" x="377"/>
        <item h="1" m="1" x="365"/>
        <item h="1" m="1" x="242"/>
        <item h="1" m="1" x="256"/>
        <item h="1" m="1" x="246"/>
        <item h="1" m="1" x="58"/>
        <item h="1" m="1" x="272"/>
        <item h="1" m="1" x="287"/>
        <item h="1" m="1" x="251"/>
        <item h="1" m="1" x="378"/>
        <item h="1" m="1" x="51"/>
        <item h="1" m="1" x="68"/>
        <item h="1" m="1" x="80"/>
        <item h="1" m="1" x="95"/>
        <item h="1" m="1" x="108"/>
        <item h="1" m="1" x="144"/>
        <item h="1" m="1" x="88"/>
        <item h="1" m="1" x="342"/>
        <item h="1" m="1" x="264"/>
        <item h="1" m="1" x="204"/>
        <item h="1" m="1" x="57"/>
        <item h="1" m="1" x="220"/>
        <item h="1" m="1" x="270"/>
        <item h="1" m="1" x="372"/>
        <item h="1" m="1" x="46"/>
        <item h="1" m="1" x="63"/>
        <item h="1" m="1" x="341"/>
        <item h="1" m="1" x="357"/>
        <item h="1" m="1" x="229"/>
        <item h="1" m="1" x="245"/>
        <item h="1" m="1" x="325"/>
        <item h="1" m="1" x="142"/>
        <item h="1" m="1" x="337"/>
        <item h="1" m="1" x="86"/>
        <item h="1" m="1" x="317"/>
        <item h="1" m="1" x="331"/>
        <item h="1" m="1" x="344"/>
        <item h="1" m="1" x="298"/>
        <item h="1" m="1" x="312"/>
        <item h="1" x="20"/>
        <item h="1" m="1" x="316"/>
        <item h="1" m="1" x="134"/>
        <item h="1" m="1" x="244"/>
        <item h="1" m="1" x="91"/>
        <item h="1" m="1" x="358"/>
        <item h="1" m="1" x="60"/>
        <item h="1" m="1" x="73"/>
        <item h="1" m="1" x="85"/>
        <item h="1" m="1" x="99"/>
        <item h="1" m="1" x="189"/>
        <item h="1" m="1" x="90"/>
        <item h="1" m="1" x="216"/>
        <item h="1" x="6"/>
        <item h="1" m="1" x="310"/>
        <item h="1" m="1" x="327"/>
        <item h="1" m="1" x="340"/>
        <item h="1" m="1" x="352"/>
        <item h="1" m="1" x="368"/>
        <item h="1" m="1" x="105"/>
        <item h="1" m="1" x="120"/>
        <item h="1" m="1" x="335"/>
        <item h="1" m="1" x="348"/>
        <item h="1" m="1" x="84"/>
        <item h="1" m="1" x="145"/>
        <item h="1" m="1" x="175"/>
        <item h="1" m="1" x="133"/>
        <item h="1" m="1" x="150"/>
        <item h="1" m="1" x="81"/>
        <item h="1" m="1" x="247"/>
        <item h="1" m="1" x="97"/>
        <item h="1" m="1" x="109"/>
        <item h="1" m="1" x="128"/>
        <item h="1" m="1" x="208"/>
        <item h="1" m="1" x="224"/>
        <item h="1" x="26"/>
        <item h="1" m="1" x="111"/>
        <item h="1" m="1" x="100"/>
        <item h="1" m="1" x="354"/>
        <item h="1" m="1" x="369"/>
        <item h="1" m="1" x="281"/>
        <item h="1" m="1" x="153"/>
        <item h="1" m="1" x="230"/>
        <item h="1" x="25"/>
        <item h="1" m="1" x="219"/>
        <item h="1" m="1" x="232"/>
        <item h="1" m="1" x="313"/>
        <item h="1" m="1" x="187"/>
        <item h="1" m="1" x="239"/>
        <item h="1" m="1" x="213"/>
        <item h="1" m="1" x="293"/>
        <item h="1" m="1" x="307"/>
        <item h="1" m="1" x="324"/>
        <item h="1" m="1" x="141"/>
        <item h="1" m="1" x="276"/>
        <item h="1" m="1" x="290"/>
        <item h="1" m="1" x="303"/>
        <item h="1" m="1" x="355"/>
        <item h="1" m="1" x="332"/>
        <item h="1" m="1" x="70"/>
        <item h="1" m="1" x="83"/>
        <item h="1" m="1" x="202"/>
        <item h="1" m="1" x="192"/>
        <item h="1" m="1" x="178"/>
        <item h="1" m="1" x="87"/>
        <item h="1" m="1" x="304"/>
        <item h="1" m="1" x="234"/>
        <item h="1" m="1" x="371"/>
        <item h="1" m="1" x="263"/>
        <item h="1" x="2"/>
        <item h="1" m="1" x="72"/>
        <item h="1" m="1" x="182"/>
        <item h="1" m="1" x="196"/>
        <item h="1" m="1" x="321"/>
        <item h="1" m="1" x="197"/>
        <item h="1" m="1" x="351"/>
        <item h="1" m="1" x="334"/>
        <item h="1" m="1" x="248"/>
        <item h="1" m="1" x="43"/>
        <item h="1" m="1" x="78"/>
        <item h="1" m="1" x="343"/>
        <item h="1" m="1" x="274"/>
        <item h="1" m="1" x="222"/>
        <item h="1" m="1" x="226"/>
        <item h="1" m="1" x="257"/>
        <item h="1" m="1" x="289"/>
        <item h="1" m="1" x="285"/>
        <item h="1" m="1" x="148"/>
        <item h="1" m="1" x="218"/>
        <item h="1" m="1" x="364"/>
        <item h="1" m="1" x="308"/>
        <item h="1" m="1" x="56"/>
        <item h="1" m="1" x="94"/>
        <item h="1" m="1" x="299"/>
        <item h="1" m="1" x="250"/>
        <item h="1" m="1" x="67"/>
        <item h="1" m="1" x="198"/>
        <item h="1" m="1" x="181"/>
        <item h="1" m="1" x="79"/>
        <item h="1" m="1" x="101"/>
        <item h="1" m="1" x="254"/>
        <item h="1" m="1" x="300"/>
        <item h="1" m="1" x="125"/>
        <item h="1" m="1" x="259"/>
        <item h="1" m="1" x="235"/>
        <item h="1" m="1" x="165"/>
        <item h="1" m="1" x="329"/>
        <item h="1" m="1" x="373"/>
        <item h="1" m="1" x="338"/>
        <item h="1" m="1" x="286"/>
        <item h="1" m="1" x="271"/>
        <item h="1" m="1" x="138"/>
        <item h="1" m="1" x="326"/>
        <item h="1" m="1" x="199"/>
        <item h="1" m="1" x="174"/>
        <item h="1" m="1" x="309"/>
        <item h="1" m="1" x="96"/>
        <item h="1" m="1" x="291"/>
        <item h="1" m="1" x="149"/>
        <item h="1" m="1" x="114"/>
        <item h="1" m="1" x="261"/>
        <item h="1" m="1" x="77"/>
        <item h="1" m="1" x="366"/>
        <item h="1" m="1" x="279"/>
        <item h="1" m="1" x="273"/>
        <item h="1" m="1" x="322"/>
        <item h="1" m="1" x="139"/>
        <item h="1" m="1" x="265"/>
        <item h="1" m="1" x="119"/>
        <item h="1" m="1" x="292"/>
        <item h="1" m="1" x="188"/>
        <item h="1" m="1" x="367"/>
        <item h="1" m="1" x="262"/>
        <item h="1" m="1" x="252"/>
        <item h="1" m="1" x="280"/>
        <item h="1" m="1" x="288"/>
        <item h="1" m="1" x="159"/>
        <item h="1" m="1" x="59"/>
        <item h="1" m="1" x="42"/>
        <item h="1" m="1" x="193"/>
        <item h="1" m="1" x="306"/>
        <item h="1" m="1" x="183"/>
        <item h="1" m="1" x="200"/>
        <item h="1" m="1" x="215"/>
        <item h="1" m="1" x="225"/>
        <item h="1" m="1" x="374"/>
        <item h="1" m="1" x="129"/>
        <item h="1" m="1" x="170"/>
        <item h="1" m="1" x="65"/>
        <item h="1" m="1" x="209"/>
        <item h="1" m="1" x="47"/>
        <item h="1" m="1" x="146"/>
        <item h="1" m="1" x="236"/>
        <item h="1" m="1" x="82"/>
        <item h="1" m="1" x="266"/>
        <item h="1" m="1" x="160"/>
        <item h="1" m="1" x="221"/>
        <item h="1" m="1" x="205"/>
        <item h="1" m="1" x="121"/>
        <item h="1" m="1" x="302"/>
        <item h="1" m="1" x="237"/>
        <item h="1" m="1" x="130"/>
        <item h="1" m="1" x="297"/>
        <item h="1" m="1" x="166"/>
        <item h="1" x="19"/>
        <item h="1" x="14"/>
        <item h="1" m="1" x="210"/>
        <item h="1" m="1" x="267"/>
        <item h="1" m="1" x="151"/>
        <item h="1" m="1" x="66"/>
        <item h="1" m="1" x="171"/>
        <item h="1" x="22"/>
        <item h="1" m="1" x="54"/>
        <item h="1" m="1" x="349"/>
        <item h="1" m="1" x="156"/>
        <item h="1" m="1" x="206"/>
        <item h="1" x="23"/>
        <item h="1" m="1" x="176"/>
        <item h="1" m="1" x="211"/>
        <item h="1" m="1" x="74"/>
        <item h="1" m="1" x="110"/>
        <item h="1" m="1" x="61"/>
        <item h="1" m="1" x="201"/>
        <item h="1" m="1" x="136"/>
        <item h="1" m="1" x="161"/>
        <item h="1" m="1" x="172"/>
        <item h="1" m="1" x="48"/>
        <item h="1" m="1" x="231"/>
        <item h="1" x="27"/>
        <item h="1" m="1" x="217"/>
        <item h="1" m="1" x="106"/>
        <item h="1" m="1" x="177"/>
        <item h="1" m="1" x="212"/>
        <item h="1" m="1" x="328"/>
        <item h="1" m="1" x="249"/>
        <item h="1" m="1" x="131"/>
        <item h="1" m="1" x="336"/>
        <item h="1" m="1" x="107"/>
        <item h="1" x="32"/>
        <item h="1" m="1" x="356"/>
        <item h="1" m="1" x="49"/>
        <item h="1" x="36"/>
        <item h="1" x="37"/>
        <item h="1" m="1" x="268"/>
        <item h="1" m="1" x="258"/>
        <item h="1" m="1" x="380"/>
        <item h="1" m="1" x="92"/>
        <item h="1" m="1" x="227"/>
        <item h="1" m="1" x="318"/>
        <item h="1" m="1" x="375"/>
        <item h="1" m="1" x="233"/>
        <item h="1" m="1" x="296"/>
        <item h="1" m="1" x="98"/>
        <item h="1" m="1" x="353"/>
        <item h="1" m="1" x="116"/>
        <item h="1" m="1" x="275"/>
        <item h="1" m="1" x="44"/>
        <item h="1" m="1" x="140"/>
        <item h="1" m="1" x="345"/>
        <item h="1" m="1" x="190"/>
        <item h="1" m="1" x="167"/>
        <item h="1" m="1" x="203"/>
        <item h="1" m="1" x="282"/>
        <item h="1" m="1" x="319"/>
        <item h="1" m="1" x="164"/>
        <item h="1" m="1" x="223"/>
        <item h="1" m="1" x="173"/>
        <item h="1" m="1" x="62"/>
        <item h="1" m="1" x="124"/>
        <item h="1" m="1" x="137"/>
        <item h="1" m="1" x="214"/>
        <item h="1" m="1" x="113"/>
        <item h="1" m="1" x="294"/>
        <item h="1" m="1" x="207"/>
        <item h="1" m="1" x="143"/>
        <item h="1" m="1" x="320"/>
        <item h="1" m="1" x="102"/>
        <item h="1" m="1" x="241"/>
        <item h="1" m="1" x="184"/>
        <item h="1" m="1" x="168"/>
        <item h="1" m="1" x="260"/>
        <item h="1" m="1" x="346"/>
        <item h="1" m="1" x="255"/>
        <item h="1" m="1" x="278"/>
        <item h="1" m="1" x="169"/>
        <item h="1" m="1" x="127"/>
        <item h="1" m="1" x="305"/>
        <item h="1" m="1" x="89"/>
        <item h="1" m="1" x="379"/>
        <item h="1" m="1" x="64"/>
        <item h="1" m="1" x="284"/>
        <item h="1" m="1" x="362"/>
        <item h="1" m="1" x="347"/>
        <item h="1" m="1" x="185"/>
        <item h="1" m="1" x="115"/>
        <item h="1" m="1" x="253"/>
        <item h="1" m="1" x="363"/>
        <item h="1" m="1" x="186"/>
        <item h="1" m="1" x="53"/>
        <item h="1" m="1" x="330"/>
        <item h="1" x="12"/>
        <item h="1" x="11"/>
        <item h="1" m="1" x="311"/>
        <item h="1" m="1" x="277"/>
        <item h="1" m="1" x="180"/>
        <item h="1" m="1" x="76"/>
        <item h="1" x="1"/>
        <item h="1" m="1" x="283"/>
        <item h="1" m="1" x="50"/>
        <item h="1" m="1" x="126"/>
        <item h="1" m="1" x="333"/>
        <item h="1" m="1" x="103"/>
        <item h="1" m="1" x="339"/>
        <item h="1" m="1" x="295"/>
        <item h="1" m="1" x="52"/>
        <item h="1" m="1" x="301"/>
        <item h="1" m="1" x="370"/>
        <item h="1" x="8"/>
        <item h="1" m="1" x="69"/>
        <item h="1" m="1" x="243"/>
        <item h="1" m="1" x="147"/>
        <item h="1" m="1" x="323"/>
        <item h="1" m="1" x="238"/>
        <item h="1" m="1" x="152"/>
        <item h="1" m="1" x="135"/>
        <item h="1" m="1" x="55"/>
        <item h="1" m="1" x="350"/>
        <item h="1" m="1" x="122"/>
        <item h="1" m="1" x="162"/>
        <item h="1" m="1" x="158"/>
        <item h="1" m="1" x="123"/>
        <item h="1" m="1" x="71"/>
        <item h="1" m="1" x="359"/>
        <item h="1" m="1" x="240"/>
        <item h="1" m="1" x="314"/>
        <item h="1" m="1" x="360"/>
        <item h="1" m="1" x="179"/>
        <item h="1" m="1" x="315"/>
        <item h="1" m="1" x="194"/>
        <item m="1" x="93"/>
        <item m="1" x="163"/>
        <item h="1" m="1" x="118"/>
        <item h="1" m="1" x="157"/>
        <item h="1" m="1" x="191"/>
        <item h="1" x="30"/>
        <item h="1" m="1" x="45"/>
        <item h="1" m="1" x="132"/>
        <item h="1" m="1" x="154"/>
        <item h="1" m="1" x="269"/>
        <item h="1" m="1" x="104"/>
        <item h="1" x="5"/>
        <item m="1" x="376"/>
        <item h="1" m="1" x="75"/>
        <item h="1" m="1" x="112"/>
        <item m="1" x="228"/>
        <item h="1" x="3"/>
        <item h="1" x="4"/>
        <item h="1" x="7"/>
        <item h="1" x="9"/>
        <item h="1" x="10"/>
        <item h="1" x="13"/>
        <item h="1" x="15"/>
        <item h="1" x="16"/>
        <item h="1" x="17"/>
        <item h="1" x="18"/>
        <item h="1" x="21"/>
        <item h="1" x="24"/>
        <item h="1" x="28"/>
        <item h="1" x="29"/>
        <item h="1" x="31"/>
        <item h="1" x="33"/>
        <item h="1" x="34"/>
        <item h="1" x="35"/>
        <item h="1" x="38"/>
        <item h="1" x="39"/>
        <item h="1" x="40"/>
        <item x="41"/>
      </items>
    </pivotField>
  </pivotFields>
  <rowFields count="3">
    <field x="6"/>
    <field x="1"/>
    <field x="24"/>
  </rowFields>
  <rowItems count="6">
    <i>
      <x v="9"/>
    </i>
    <i r="1">
      <x/>
    </i>
    <i r="1">
      <x v="16"/>
    </i>
    <i r="1">
      <x v="20"/>
    </i>
    <i r="1">
      <x v="2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Weight" fld="3" baseField="0" baseItem="0" numFmtId="3"/>
    <dataField name="Total Credit" fld="19" baseField="0" baseItem="0" numFmtId="44"/>
    <dataField name="Total Charge" fld="20" baseField="0" baseItem="0" numFmtId="44"/>
    <dataField name="Total Number of Loads" fld="21" baseField="0" baseItem="0"/>
  </dataFields>
  <formats count="10"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type="origin" dataOnly="0" labelOnly="1" outline="0" fieldPosition="0"/>
    </format>
    <format dxfId="14">
      <pivotArea field="-2" type="button" dataOnly="0" labelOnly="1" outline="0" axis="axisCol" fieldPosition="0"/>
    </format>
    <format dxfId="15">
      <pivotArea type="topRight" dataOnly="0" labelOnly="1" outline="0" fieldPosition="0"/>
    </format>
    <format dxfId="16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8">
      <pivotArea dataOnly="0" labelOnly="1" grandRow="1" outline="0" fieldPosition="0"/>
    </format>
    <format dxfId="19">
      <pivotArea field="-2" type="button" dataOnly="0" labelOnly="1" outline="0" axis="axisCol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0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OEW Custom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Load Summary" cacheId="718" applyNumberFormats="0" applyBorderFormats="0" applyFontFormats="0" applyPatternFormats="0" applyAlignmentFormats="0" applyWidthHeightFormats="1" dataCaption="All Locations" missingCaption="0" updatedVersion="3" minRefreshableVersion="3" showCalcMbrs="0" itemPrintTitles="1" mergeItem="1" createdVersion="3" indent="0" outline="1" outlineData="1" multipleFieldFilters="0" chartFormat="3" rowHeaderCaption="Material Types">
  <location ref="A2:E10" firstHeaderRow="1" firstDataRow="2" firstDataCol="1"/>
  <pivotFields count="25">
    <pivotField showAll="0" defaultSubtotal="0"/>
    <pivotField axis="axisRow" showAll="0" defaultSubtotal="0">
      <items count="69">
        <item sd="0" x="5"/>
        <item sd="0" x="10"/>
        <item sd="0" m="1" x="37"/>
        <item sd="0" m="1" x="63"/>
        <item sd="0" x="14"/>
        <item sd="0" x="8"/>
        <item sd="0" x="0"/>
        <item sd="0" m="1" x="57"/>
        <item sd="0" x="15"/>
        <item sd="0" m="1" x="42"/>
        <item sd="0" x="3"/>
        <item sd="0" x="11"/>
        <item sd="0" x="16"/>
        <item sd="0" m="1" x="65"/>
        <item sd="0" m="1" x="68"/>
        <item sd="0" m="1" x="67"/>
        <item sd="0" x="2"/>
        <item sd="0" m="1" x="60"/>
        <item sd="0" m="1" x="61"/>
        <item sd="0" x="20"/>
        <item sd="0" x="7"/>
        <item sd="0" x="1"/>
        <item sd="0" x="6"/>
        <item m="1" x="28"/>
        <item m="1" x="53"/>
        <item x="18"/>
        <item x="19"/>
        <item x="13"/>
        <item m="1" x="49"/>
        <item x="12"/>
        <item x="17"/>
        <item m="1" x="36"/>
        <item m="1" x="40"/>
        <item m="1" x="39"/>
        <item m="1" x="43"/>
        <item m="1" x="50"/>
        <item m="1" x="58"/>
        <item m="1" x="24"/>
        <item m="1" x="25"/>
        <item x="9"/>
        <item m="1" x="26"/>
        <item m="1" x="34"/>
        <item m="1" x="66"/>
        <item m="1" x="59"/>
        <item m="1" x="44"/>
        <item x="21"/>
        <item m="1" x="32"/>
        <item m="1" x="62"/>
        <item m="1" x="45"/>
        <item m="1" x="23"/>
        <item m="1" x="56"/>
        <item m="1" x="35"/>
        <item m="1" x="64"/>
        <item m="1" x="51"/>
        <item m="1" x="29"/>
        <item m="1" x="31"/>
        <item m="1" x="33"/>
        <item m="1" x="48"/>
        <item m="1" x="38"/>
        <item m="1" x="55"/>
        <item m="1" x="27"/>
        <item m="1" x="54"/>
        <item m="1" x="22"/>
        <item m="1" x="52"/>
        <item m="1" x="46"/>
        <item m="1" x="47"/>
        <item m="1" x="30"/>
        <item m="1" x="41"/>
        <item x="4"/>
      </items>
    </pivotField>
    <pivotField showAll="0" defaultSubtotal="0"/>
    <pivotField dataField="1" showAll="0" defaultSubtotal="0"/>
    <pivotField showAll="0" defaultSubtotal="0"/>
    <pivotField numFmtId="14" showAll="0" defaultSubtotal="0"/>
    <pivotField axis="axisRow" multipleItemSelectionAllowed="1" showAll="0" defaultSubtotal="0">
      <items count="10">
        <item m="1" x="5"/>
        <item m="1" x="2"/>
        <item m="1" x="7"/>
        <item m="1" x="1"/>
        <item m="1" x="4"/>
        <item m="1" x="3"/>
        <item m="1" x="6"/>
        <item m="1" x="9"/>
        <item m="1" x="8"/>
        <item x="0"/>
      </items>
    </pivotField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4" showAll="0" defaultSubtotal="0"/>
    <pivotField dataField="1" numFmtId="44" showAll="0" defaultSubtotal="0"/>
    <pivotField dataField="1" showAll="0" defaultSubtotal="0"/>
    <pivotField showAll="0" defaultSubtotal="0"/>
    <pivotField showAll="0" defaultSubtotal="0"/>
    <pivotField axis="axisRow" multipleItemSelectionAllowed="1" showAll="0">
      <items count="382">
        <item h="1" m="1" x="195"/>
        <item h="1" m="1" x="361"/>
        <item h="1" m="1" x="155"/>
        <item h="1" x="0"/>
        <item h="1" m="1" x="117"/>
        <item h="1" m="1" x="377"/>
        <item h="1" m="1" x="365"/>
        <item h="1" m="1" x="242"/>
        <item h="1" m="1" x="256"/>
        <item h="1" m="1" x="246"/>
        <item h="1" m="1" x="58"/>
        <item h="1" m="1" x="272"/>
        <item h="1" m="1" x="287"/>
        <item h="1" m="1" x="251"/>
        <item h="1" m="1" x="378"/>
        <item h="1" m="1" x="51"/>
        <item h="1" m="1" x="68"/>
        <item h="1" m="1" x="80"/>
        <item h="1" m="1" x="95"/>
        <item h="1" m="1" x="108"/>
        <item h="1" m="1" x="144"/>
        <item h="1" m="1" x="88"/>
        <item h="1" m="1" x="342"/>
        <item h="1" m="1" x="264"/>
        <item h="1" m="1" x="204"/>
        <item h="1" m="1" x="57"/>
        <item h="1" m="1" x="220"/>
        <item h="1" m="1" x="270"/>
        <item h="1" m="1" x="372"/>
        <item h="1" m="1" x="46"/>
        <item h="1" m="1" x="63"/>
        <item h="1" m="1" x="341"/>
        <item h="1" m="1" x="357"/>
        <item h="1" m="1" x="229"/>
        <item h="1" m="1" x="245"/>
        <item h="1" m="1" x="325"/>
        <item h="1" m="1" x="142"/>
        <item h="1" m="1" x="337"/>
        <item h="1" m="1" x="86"/>
        <item h="1" m="1" x="317"/>
        <item h="1" m="1" x="331"/>
        <item h="1" m="1" x="344"/>
        <item h="1" m="1" x="298"/>
        <item h="1" m="1" x="312"/>
        <item h="1" x="20"/>
        <item h="1" m="1" x="316"/>
        <item h="1" m="1" x="134"/>
        <item h="1" m="1" x="244"/>
        <item h="1" m="1" x="91"/>
        <item h="1" m="1" x="358"/>
        <item h="1" m="1" x="60"/>
        <item h="1" m="1" x="73"/>
        <item h="1" m="1" x="85"/>
        <item h="1" m="1" x="99"/>
        <item h="1" m="1" x="189"/>
        <item h="1" m="1" x="90"/>
        <item h="1" m="1" x="216"/>
        <item h="1" x="6"/>
        <item h="1" m="1" x="310"/>
        <item h="1" m="1" x="327"/>
        <item h="1" m="1" x="340"/>
        <item h="1" m="1" x="352"/>
        <item h="1" m="1" x="368"/>
        <item h="1" m="1" x="105"/>
        <item h="1" m="1" x="120"/>
        <item h="1" m="1" x="335"/>
        <item h="1" m="1" x="348"/>
        <item h="1" m="1" x="84"/>
        <item h="1" m="1" x="145"/>
        <item h="1" m="1" x="175"/>
        <item h="1" m="1" x="133"/>
        <item h="1" m="1" x="150"/>
        <item h="1" m="1" x="81"/>
        <item h="1" m="1" x="247"/>
        <item h="1" m="1" x="97"/>
        <item h="1" m="1" x="109"/>
        <item h="1" m="1" x="128"/>
        <item h="1" m="1" x="208"/>
        <item h="1" m="1" x="224"/>
        <item h="1" x="26"/>
        <item h="1" m="1" x="111"/>
        <item h="1" m="1" x="100"/>
        <item h="1" m="1" x="354"/>
        <item h="1" m="1" x="369"/>
        <item h="1" m="1" x="281"/>
        <item h="1" m="1" x="153"/>
        <item h="1" m="1" x="230"/>
        <item h="1" x="25"/>
        <item h="1" m="1" x="219"/>
        <item h="1" m="1" x="232"/>
        <item h="1" m="1" x="313"/>
        <item h="1" m="1" x="187"/>
        <item h="1" m="1" x="239"/>
        <item h="1" m="1" x="213"/>
        <item h="1" m="1" x="293"/>
        <item h="1" m="1" x="307"/>
        <item h="1" m="1" x="324"/>
        <item h="1" m="1" x="141"/>
        <item h="1" m="1" x="276"/>
        <item h="1" m="1" x="290"/>
        <item h="1" m="1" x="303"/>
        <item h="1" m="1" x="355"/>
        <item h="1" m="1" x="332"/>
        <item h="1" m="1" x="70"/>
        <item h="1" m="1" x="83"/>
        <item h="1" m="1" x="202"/>
        <item h="1" m="1" x="192"/>
        <item h="1" m="1" x="178"/>
        <item h="1" m="1" x="87"/>
        <item h="1" m="1" x="304"/>
        <item h="1" m="1" x="234"/>
        <item h="1" m="1" x="371"/>
        <item h="1" m="1" x="263"/>
        <item h="1" x="2"/>
        <item h="1" m="1" x="72"/>
        <item h="1" m="1" x="182"/>
        <item h="1" m="1" x="196"/>
        <item h="1" m="1" x="321"/>
        <item h="1" m="1" x="197"/>
        <item h="1" m="1" x="351"/>
        <item h="1" m="1" x="334"/>
        <item h="1" m="1" x="248"/>
        <item h="1" m="1" x="43"/>
        <item h="1" m="1" x="78"/>
        <item h="1" m="1" x="343"/>
        <item h="1" m="1" x="274"/>
        <item h="1" m="1" x="222"/>
        <item h="1" m="1" x="226"/>
        <item h="1" m="1" x="257"/>
        <item h="1" m="1" x="289"/>
        <item h="1" m="1" x="285"/>
        <item h="1" m="1" x="148"/>
        <item h="1" m="1" x="218"/>
        <item h="1" m="1" x="364"/>
        <item h="1" m="1" x="308"/>
        <item h="1" m="1" x="56"/>
        <item h="1" m="1" x="94"/>
        <item h="1" m="1" x="299"/>
        <item h="1" m="1" x="250"/>
        <item h="1" m="1" x="67"/>
        <item h="1" m="1" x="198"/>
        <item h="1" m="1" x="181"/>
        <item h="1" m="1" x="79"/>
        <item h="1" m="1" x="101"/>
        <item h="1" m="1" x="254"/>
        <item h="1" m="1" x="300"/>
        <item h="1" m="1" x="125"/>
        <item h="1" m="1" x="259"/>
        <item h="1" m="1" x="235"/>
        <item h="1" m="1" x="165"/>
        <item h="1" m="1" x="329"/>
        <item h="1" m="1" x="373"/>
        <item h="1" m="1" x="338"/>
        <item h="1" m="1" x="286"/>
        <item h="1" m="1" x="271"/>
        <item h="1" m="1" x="138"/>
        <item h="1" m="1" x="326"/>
        <item h="1" m="1" x="199"/>
        <item h="1" m="1" x="174"/>
        <item h="1" m="1" x="309"/>
        <item h="1" m="1" x="96"/>
        <item h="1" m="1" x="291"/>
        <item h="1" m="1" x="149"/>
        <item h="1" m="1" x="114"/>
        <item h="1" m="1" x="261"/>
        <item h="1" m="1" x="77"/>
        <item h="1" m="1" x="366"/>
        <item h="1" m="1" x="279"/>
        <item h="1" m="1" x="273"/>
        <item h="1" m="1" x="322"/>
        <item h="1" m="1" x="139"/>
        <item h="1" m="1" x="265"/>
        <item h="1" m="1" x="119"/>
        <item h="1" m="1" x="292"/>
        <item h="1" m="1" x="188"/>
        <item h="1" m="1" x="367"/>
        <item h="1" m="1" x="262"/>
        <item h="1" m="1" x="252"/>
        <item h="1" m="1" x="280"/>
        <item h="1" m="1" x="288"/>
        <item h="1" m="1" x="159"/>
        <item h="1" m="1" x="59"/>
        <item h="1" m="1" x="42"/>
        <item h="1" m="1" x="193"/>
        <item h="1" m="1" x="306"/>
        <item h="1" m="1" x="183"/>
        <item h="1" m="1" x="200"/>
        <item h="1" m="1" x="215"/>
        <item h="1" m="1" x="225"/>
        <item h="1" m="1" x="374"/>
        <item h="1" m="1" x="129"/>
        <item h="1" m="1" x="170"/>
        <item h="1" m="1" x="65"/>
        <item h="1" m="1" x="209"/>
        <item h="1" m="1" x="47"/>
        <item h="1" m="1" x="146"/>
        <item h="1" m="1" x="236"/>
        <item h="1" m="1" x="82"/>
        <item h="1" m="1" x="266"/>
        <item h="1" m="1" x="160"/>
        <item h="1" m="1" x="221"/>
        <item h="1" m="1" x="205"/>
        <item h="1" m="1" x="121"/>
        <item h="1" m="1" x="302"/>
        <item h="1" m="1" x="237"/>
        <item h="1" m="1" x="130"/>
        <item h="1" m="1" x="297"/>
        <item h="1" m="1" x="166"/>
        <item h="1" x="19"/>
        <item h="1" x="14"/>
        <item h="1" m="1" x="210"/>
        <item h="1" m="1" x="267"/>
        <item h="1" m="1" x="151"/>
        <item h="1" m="1" x="66"/>
        <item h="1" m="1" x="171"/>
        <item h="1" x="22"/>
        <item h="1" m="1" x="54"/>
        <item h="1" m="1" x="349"/>
        <item h="1" m="1" x="156"/>
        <item h="1" m="1" x="206"/>
        <item h="1" x="23"/>
        <item h="1" m="1" x="176"/>
        <item h="1" m="1" x="211"/>
        <item h="1" m="1" x="74"/>
        <item h="1" m="1" x="110"/>
        <item h="1" m="1" x="61"/>
        <item h="1" m="1" x="201"/>
        <item h="1" m="1" x="136"/>
        <item h="1" m="1" x="161"/>
        <item h="1" m="1" x="172"/>
        <item h="1" m="1" x="48"/>
        <item h="1" m="1" x="231"/>
        <item h="1" x="27"/>
        <item h="1" m="1" x="217"/>
        <item h="1" m="1" x="106"/>
        <item h="1" m="1" x="177"/>
        <item h="1" m="1" x="212"/>
        <item h="1" m="1" x="328"/>
        <item h="1" m="1" x="249"/>
        <item h="1" m="1" x="131"/>
        <item h="1" m="1" x="336"/>
        <item h="1" m="1" x="107"/>
        <item h="1" x="32"/>
        <item h="1" m="1" x="356"/>
        <item h="1" m="1" x="49"/>
        <item h="1" x="36"/>
        <item h="1" x="37"/>
        <item h="1" m="1" x="268"/>
        <item h="1" m="1" x="258"/>
        <item h="1" m="1" x="380"/>
        <item h="1" m="1" x="92"/>
        <item h="1" m="1" x="227"/>
        <item h="1" m="1" x="318"/>
        <item h="1" m="1" x="375"/>
        <item h="1" m="1" x="233"/>
        <item h="1" m="1" x="296"/>
        <item h="1" m="1" x="98"/>
        <item h="1" m="1" x="353"/>
        <item h="1" m="1" x="116"/>
        <item h="1" m="1" x="275"/>
        <item h="1" m="1" x="44"/>
        <item h="1" m="1" x="140"/>
        <item h="1" m="1" x="345"/>
        <item h="1" m="1" x="190"/>
        <item h="1" m="1" x="167"/>
        <item h="1" m="1" x="203"/>
        <item h="1" m="1" x="282"/>
        <item h="1" m="1" x="319"/>
        <item h="1" m="1" x="164"/>
        <item h="1" m="1" x="223"/>
        <item h="1" m="1" x="173"/>
        <item h="1" m="1" x="62"/>
        <item h="1" m="1" x="124"/>
        <item h="1" m="1" x="137"/>
        <item h="1" m="1" x="214"/>
        <item h="1" m="1" x="113"/>
        <item h="1" m="1" x="294"/>
        <item h="1" m="1" x="207"/>
        <item h="1" m="1" x="143"/>
        <item h="1" m="1" x="320"/>
        <item h="1" m="1" x="102"/>
        <item h="1" m="1" x="241"/>
        <item h="1" m="1" x="184"/>
        <item h="1" m="1" x="168"/>
        <item h="1" m="1" x="260"/>
        <item h="1" m="1" x="346"/>
        <item h="1" m="1" x="255"/>
        <item h="1" m="1" x="278"/>
        <item h="1" m="1" x="169"/>
        <item h="1" m="1" x="127"/>
        <item h="1" m="1" x="305"/>
        <item h="1" m="1" x="89"/>
        <item h="1" m="1" x="379"/>
        <item h="1" m="1" x="64"/>
        <item h="1" m="1" x="284"/>
        <item h="1" m="1" x="362"/>
        <item h="1" m="1" x="347"/>
        <item h="1" m="1" x="185"/>
        <item h="1" m="1" x="115"/>
        <item h="1" m="1" x="253"/>
        <item h="1" m="1" x="363"/>
        <item h="1" m="1" x="186"/>
        <item h="1" m="1" x="53"/>
        <item h="1" m="1" x="330"/>
        <item h="1" x="12"/>
        <item h="1" x="11"/>
        <item h="1" m="1" x="311"/>
        <item h="1" m="1" x="277"/>
        <item h="1" m="1" x="180"/>
        <item h="1" m="1" x="76"/>
        <item h="1" x="1"/>
        <item h="1" m="1" x="283"/>
        <item h="1" m="1" x="50"/>
        <item h="1" m="1" x="126"/>
        <item h="1" m="1" x="333"/>
        <item h="1" m="1" x="103"/>
        <item h="1" m="1" x="339"/>
        <item h="1" m="1" x="295"/>
        <item h="1" m="1" x="52"/>
        <item h="1" m="1" x="301"/>
        <item h="1" m="1" x="370"/>
        <item h="1" x="8"/>
        <item h="1" m="1" x="69"/>
        <item h="1" m="1" x="243"/>
        <item h="1" m="1" x="147"/>
        <item h="1" m="1" x="323"/>
        <item h="1" m="1" x="238"/>
        <item h="1" m="1" x="152"/>
        <item h="1" m="1" x="135"/>
        <item h="1" m="1" x="55"/>
        <item h="1" m="1" x="350"/>
        <item h="1" m="1" x="122"/>
        <item h="1" m="1" x="162"/>
        <item h="1" m="1" x="158"/>
        <item h="1" m="1" x="123"/>
        <item h="1" m="1" x="71"/>
        <item h="1" m="1" x="359"/>
        <item h="1" m="1" x="240"/>
        <item h="1" m="1" x="314"/>
        <item h="1" m="1" x="360"/>
        <item h="1" m="1" x="179"/>
        <item h="1" m="1" x="315"/>
        <item h="1" m="1" x="194"/>
        <item m="1" x="93"/>
        <item m="1" x="163"/>
        <item h="1" m="1" x="118"/>
        <item h="1" m="1" x="157"/>
        <item h="1" m="1" x="191"/>
        <item h="1" x="30"/>
        <item h="1" m="1" x="45"/>
        <item h="1" m="1" x="132"/>
        <item h="1" m="1" x="154"/>
        <item h="1" m="1" x="269"/>
        <item h="1" m="1" x="104"/>
        <item h="1" x="5"/>
        <item m="1" x="376"/>
        <item h="1" m="1" x="75"/>
        <item h="1" m="1" x="112"/>
        <item m="1" x="228"/>
        <item h="1" x="3"/>
        <item h="1" x="4"/>
        <item h="1" x="7"/>
        <item h="1" x="9"/>
        <item h="1" x="10"/>
        <item h="1" x="13"/>
        <item h="1" x="15"/>
        <item h="1" x="16"/>
        <item h="1" x="17"/>
        <item h="1" x="18"/>
        <item h="1" x="21"/>
        <item h="1" x="24"/>
        <item h="1" x="28"/>
        <item h="1" x="29"/>
        <item h="1" x="31"/>
        <item h="1" x="33"/>
        <item h="1" x="34"/>
        <item h="1" x="35"/>
        <item h="1" x="38"/>
        <item h="1" x="39"/>
        <item h="1" x="40"/>
        <item x="41"/>
        <item t="default"/>
      </items>
    </pivotField>
  </pivotFields>
  <rowFields count="3">
    <field x="6"/>
    <field x="24"/>
    <field x="1"/>
  </rowFields>
  <rowItems count="7">
    <i>
      <x v="9"/>
    </i>
    <i r="1">
      <x v="380"/>
    </i>
    <i r="2">
      <x/>
    </i>
    <i r="2">
      <x v="16"/>
    </i>
    <i r="2">
      <x v="20"/>
    </i>
    <i r="2">
      <x v="2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Weight" fld="3" baseField="0" baseItem="0" numFmtId="3"/>
    <dataField name="Total Credit" fld="19" baseField="0" baseItem="0" numFmtId="44"/>
    <dataField name="Total Charge" fld="20" baseField="0" baseItem="0" numFmtId="44"/>
    <dataField name="Total Number of Loads" fld="21" baseField="0" baseItem="0"/>
  </dataFields>
  <formats count="10"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type="origin" dataOnly="0" labelOnly="1" outline="0" fieldPosition="0"/>
    </format>
    <format dxfId="4">
      <pivotArea field="-2" type="button" dataOnly="0" labelOnly="1" outline="0" axis="axisCol" fieldPosition="0"/>
    </format>
    <format dxfId="5">
      <pivotArea type="topRight" dataOnly="0" labelOnly="1" outline="0" fieldPosition="0"/>
    </format>
    <format dxfId="6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8">
      <pivotArea dataOnly="0" labelOnly="1" grandRow="1" outline="0" fieldPosition="0"/>
    </format>
    <format dxfId="9">
      <pivotArea field="-2" type="button" dataOnly="0" labelOnly="1" outline="0" axis="axisCol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0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OEW Custom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718" applyNumberFormats="0" applyBorderFormats="0" applyFontFormats="0" applyPatternFormats="0" applyAlignmentFormats="0" applyWidthHeightFormats="1" dataCaption="All Locations" missingCaption=" " updatedVersion="3" minRefreshableVersion="3" showCalcMbrs="0" itemPrintTitles="1" mergeItem="1" createdVersion="3" indent="0" outline="1" outlineData="1" multipleFieldFilters="0" chartFormat="4" rowHeaderCaption="Material Types">
  <location ref="K3:L69" firstHeaderRow="1" firstDataRow="1" firstDataCol="1"/>
  <pivotFields count="25">
    <pivotField showAll="0" defaultSubtotal="0"/>
    <pivotField axis="axisRow" showAll="0" defaultSubtotal="0">
      <items count="69">
        <item sd="0" x="5"/>
        <item sd="0" x="10"/>
        <item sd="0" m="1" x="37"/>
        <item sd="0" m="1" x="63"/>
        <item sd="0" x="14"/>
        <item sd="0" x="8"/>
        <item sd="0" x="0"/>
        <item sd="0" m="1" x="57"/>
        <item sd="0" x="15"/>
        <item sd="0" m="1" x="42"/>
        <item sd="0" x="3"/>
        <item sd="0" x="11"/>
        <item sd="0" x="16"/>
        <item sd="0" m="1" x="65"/>
        <item sd="0" m="1" x="68"/>
        <item sd="0" m="1" x="67"/>
        <item sd="0" x="2"/>
        <item sd="0" m="1" x="60"/>
        <item sd="0" m="1" x="61"/>
        <item sd="0" x="20"/>
        <item sd="0" x="7"/>
        <item sd="0" x="1"/>
        <item sd="0" x="6"/>
        <item sd="0" m="1" x="28"/>
        <item sd="0" m="1" x="53"/>
        <item sd="0" x="18"/>
        <item sd="0" x="19"/>
        <item sd="0" x="13"/>
        <item sd="0" m="1" x="49"/>
        <item sd="0" x="12"/>
        <item sd="0" x="17"/>
        <item sd="0" m="1" x="36"/>
        <item sd="0" m="1" x="40"/>
        <item sd="0" m="1" x="39"/>
        <item sd="0" m="1" x="43"/>
        <item sd="0" m="1" x="50"/>
        <item sd="0" m="1" x="58"/>
        <item sd="0" m="1" x="24"/>
        <item sd="0" m="1" x="25"/>
        <item sd="0" x="9"/>
        <item sd="0" m="1" x="26"/>
        <item sd="0" m="1" x="34"/>
        <item sd="0" m="1" x="66"/>
        <item sd="0" m="1" x="59"/>
        <item sd="0" m="1" x="44"/>
        <item sd="0" x="21"/>
        <item sd="0" m="1" x="32"/>
        <item sd="0" m="1" x="62"/>
        <item sd="0" m="1" x="45"/>
        <item sd="0" m="1" x="23"/>
        <item sd="0" m="1" x="56"/>
        <item sd="0" m="1" x="35"/>
        <item sd="0" m="1" x="64"/>
        <item sd="0" m="1" x="51"/>
        <item sd="0" m="1" x="29"/>
        <item sd="0" m="1" x="31"/>
        <item sd="0" m="1" x="33"/>
        <item sd="0" m="1" x="48"/>
        <item sd="0" m="1" x="38"/>
        <item sd="0" m="1" x="55"/>
        <item sd="0" m="1" x="27"/>
        <item sd="0" m="1" x="54"/>
        <item sd="0" m="1" x="22"/>
        <item sd="0" m="1" x="52"/>
        <item sd="0" m="1" x="46"/>
        <item sd="0" m="1" x="47"/>
        <item sd="0" m="1" x="30"/>
        <item sd="0" m="1" x="41"/>
        <item sd="0" x="4"/>
      </items>
    </pivotField>
    <pivotField showAll="0" defaultSubtotal="0"/>
    <pivotField showAll="0" defaultSubtotal="0"/>
    <pivotField showAll="0" defaultSubtotal="0"/>
    <pivotField numFmtId="14" showAll="0" defaultSubtotal="0"/>
    <pivotField axis="axisRow" multipleItemSelectionAllowed="1" showAll="0" defaultSubtotal="0">
      <items count="10">
        <item m="1" x="5"/>
        <item m="1" x="2"/>
        <item m="1" x="7"/>
        <item m="1" x="1"/>
        <item m="1" x="4"/>
        <item m="1" x="3"/>
        <item m="1" x="6"/>
        <item m="1" x="9"/>
        <item m="1" x="8"/>
        <item x="0"/>
      </items>
    </pivotField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44" showAll="0" defaultSubtotal="0"/>
    <pivotField numFmtId="44" showAll="0" defaultSubtotal="0"/>
    <pivotField showAll="0" defaultSubtotal="0"/>
    <pivotField showAll="0" defaultSubtotal="0"/>
    <pivotField axis="axisRow" numFmtId="167" showAll="0">
      <items count="32">
        <item x="0"/>
        <item m="1" x="20"/>
        <item m="1" x="30"/>
        <item x="1"/>
        <item x="2"/>
        <item m="1" x="27"/>
        <item m="1" x="25"/>
        <item m="1" x="28"/>
        <item x="3"/>
        <item m="1" x="24"/>
        <item m="1" x="22"/>
        <item x="4"/>
        <item m="1" x="21"/>
        <item m="1" x="19"/>
        <item x="5"/>
        <item x="6"/>
        <item x="7"/>
        <item x="8"/>
        <item x="9"/>
        <item x="10"/>
        <item m="1" x="26"/>
        <item x="11"/>
        <item x="12"/>
        <item x="13"/>
        <item x="14"/>
        <item x="15"/>
        <item m="1" x="18"/>
        <item m="1" x="23"/>
        <item x="16"/>
        <item m="1" x="29"/>
        <item x="17"/>
        <item t="default"/>
      </items>
    </pivotField>
    <pivotField axis="axisRow" showAll="0" defaultSubtotal="0">
      <items count="381">
        <item m="1" x="195"/>
        <item m="1" x="361"/>
        <item m="1" x="155"/>
        <item x="0"/>
        <item m="1" x="117"/>
        <item m="1" x="377"/>
        <item m="1" x="365"/>
        <item m="1" x="242"/>
        <item m="1" x="256"/>
        <item m="1" x="246"/>
        <item m="1" x="58"/>
        <item m="1" x="272"/>
        <item m="1" x="287"/>
        <item m="1" x="251"/>
        <item m="1" x="378"/>
        <item m="1" x="51"/>
        <item m="1" x="68"/>
        <item m="1" x="80"/>
        <item m="1" x="95"/>
        <item m="1" x="108"/>
        <item m="1" x="144"/>
        <item m="1" x="88"/>
        <item m="1" x="342"/>
        <item m="1" x="264"/>
        <item m="1" x="204"/>
        <item m="1" x="57"/>
        <item m="1" x="220"/>
        <item m="1" x="270"/>
        <item m="1" x="372"/>
        <item m="1" x="46"/>
        <item m="1" x="63"/>
        <item m="1" x="341"/>
        <item m="1" x="357"/>
        <item m="1" x="229"/>
        <item m="1" x="245"/>
        <item m="1" x="325"/>
        <item m="1" x="142"/>
        <item m="1" x="337"/>
        <item m="1" x="86"/>
        <item m="1" x="317"/>
        <item m="1" x="331"/>
        <item m="1" x="344"/>
        <item m="1" x="298"/>
        <item m="1" x="312"/>
        <item x="20"/>
        <item m="1" x="316"/>
        <item m="1" x="134"/>
        <item m="1" x="244"/>
        <item m="1" x="91"/>
        <item m="1" x="358"/>
        <item m="1" x="60"/>
        <item m="1" x="73"/>
        <item m="1" x="85"/>
        <item m="1" x="99"/>
        <item m="1" x="189"/>
        <item m="1" x="90"/>
        <item m="1" x="216"/>
        <item x="6"/>
        <item m="1" x="310"/>
        <item m="1" x="327"/>
        <item m="1" x="340"/>
        <item m="1" x="352"/>
        <item m="1" x="368"/>
        <item m="1" x="105"/>
        <item m="1" x="120"/>
        <item m="1" x="335"/>
        <item m="1" x="348"/>
        <item m="1" x="84"/>
        <item m="1" x="145"/>
        <item m="1" x="175"/>
        <item m="1" x="133"/>
        <item m="1" x="150"/>
        <item m="1" x="81"/>
        <item m="1" x="247"/>
        <item m="1" x="97"/>
        <item m="1" x="109"/>
        <item m="1" x="128"/>
        <item m="1" x="208"/>
        <item m="1" x="224"/>
        <item x="26"/>
        <item m="1" x="111"/>
        <item m="1" x="100"/>
        <item m="1" x="354"/>
        <item m="1" x="369"/>
        <item m="1" x="281"/>
        <item m="1" x="153"/>
        <item m="1" x="230"/>
        <item x="25"/>
        <item m="1" x="219"/>
        <item m="1" x="232"/>
        <item m="1" x="313"/>
        <item m="1" x="187"/>
        <item m="1" x="239"/>
        <item m="1" x="213"/>
        <item m="1" x="293"/>
        <item m="1" x="307"/>
        <item m="1" x="324"/>
        <item m="1" x="141"/>
        <item m="1" x="276"/>
        <item m="1" x="290"/>
        <item m="1" x="303"/>
        <item m="1" x="355"/>
        <item m="1" x="332"/>
        <item m="1" x="70"/>
        <item m="1" x="83"/>
        <item m="1" x="202"/>
        <item m="1" x="192"/>
        <item m="1" x="178"/>
        <item m="1" x="87"/>
        <item m="1" x="304"/>
        <item m="1" x="234"/>
        <item m="1" x="371"/>
        <item m="1" x="263"/>
        <item x="2"/>
        <item m="1" x="72"/>
        <item m="1" x="182"/>
        <item m="1" x="196"/>
        <item m="1" x="321"/>
        <item m="1" x="197"/>
        <item m="1" x="351"/>
        <item m="1" x="334"/>
        <item m="1" x="248"/>
        <item m="1" x="43"/>
        <item m="1" x="78"/>
        <item m="1" x="343"/>
        <item m="1" x="274"/>
        <item m="1" x="222"/>
        <item m="1" x="226"/>
        <item m="1" x="257"/>
        <item m="1" x="289"/>
        <item m="1" x="285"/>
        <item m="1" x="148"/>
        <item m="1" x="218"/>
        <item m="1" x="364"/>
        <item m="1" x="308"/>
        <item m="1" x="56"/>
        <item m="1" x="94"/>
        <item m="1" x="299"/>
        <item m="1" x="250"/>
        <item m="1" x="67"/>
        <item m="1" x="198"/>
        <item m="1" x="181"/>
        <item m="1" x="79"/>
        <item m="1" x="101"/>
        <item m="1" x="254"/>
        <item m="1" x="300"/>
        <item m="1" x="125"/>
        <item m="1" x="259"/>
        <item m="1" x="235"/>
        <item m="1" x="165"/>
        <item m="1" x="329"/>
        <item m="1" x="373"/>
        <item m="1" x="338"/>
        <item m="1" x="286"/>
        <item m="1" x="271"/>
        <item m="1" x="138"/>
        <item m="1" x="326"/>
        <item m="1" x="199"/>
        <item m="1" x="174"/>
        <item m="1" x="309"/>
        <item m="1" x="96"/>
        <item m="1" x="291"/>
        <item m="1" x="149"/>
        <item m="1" x="114"/>
        <item m="1" x="261"/>
        <item m="1" x="77"/>
        <item m="1" x="366"/>
        <item m="1" x="279"/>
        <item m="1" x="273"/>
        <item m="1" x="322"/>
        <item m="1" x="139"/>
        <item m="1" x="265"/>
        <item m="1" x="119"/>
        <item m="1" x="292"/>
        <item m="1" x="188"/>
        <item m="1" x="367"/>
        <item m="1" x="262"/>
        <item m="1" x="252"/>
        <item m="1" x="280"/>
        <item m="1" x="288"/>
        <item m="1" x="159"/>
        <item m="1" x="59"/>
        <item m="1" x="42"/>
        <item m="1" x="193"/>
        <item m="1" x="306"/>
        <item m="1" x="183"/>
        <item m="1" x="200"/>
        <item m="1" x="215"/>
        <item m="1" x="225"/>
        <item m="1" x="374"/>
        <item m="1" x="129"/>
        <item m="1" x="170"/>
        <item m="1" x="65"/>
        <item m="1" x="209"/>
        <item m="1" x="47"/>
        <item m="1" x="146"/>
        <item m="1" x="236"/>
        <item m="1" x="82"/>
        <item m="1" x="266"/>
        <item m="1" x="160"/>
        <item m="1" x="221"/>
        <item m="1" x="205"/>
        <item m="1" x="121"/>
        <item m="1" x="302"/>
        <item m="1" x="237"/>
        <item m="1" x="130"/>
        <item m="1" x="297"/>
        <item m="1" x="166"/>
        <item x="19"/>
        <item x="14"/>
        <item m="1" x="210"/>
        <item m="1" x="267"/>
        <item m="1" x="151"/>
        <item m="1" x="66"/>
        <item m="1" x="171"/>
        <item x="22"/>
        <item m="1" x="54"/>
        <item m="1" x="349"/>
        <item m="1" x="156"/>
        <item m="1" x="206"/>
        <item x="23"/>
        <item m="1" x="176"/>
        <item m="1" x="211"/>
        <item m="1" x="74"/>
        <item m="1" x="110"/>
        <item m="1" x="61"/>
        <item m="1" x="201"/>
        <item m="1" x="136"/>
        <item m="1" x="161"/>
        <item m="1" x="172"/>
        <item m="1" x="48"/>
        <item m="1" x="231"/>
        <item x="27"/>
        <item m="1" x="217"/>
        <item m="1" x="106"/>
        <item m="1" x="177"/>
        <item m="1" x="212"/>
        <item m="1" x="328"/>
        <item m="1" x="249"/>
        <item m="1" x="131"/>
        <item m="1" x="336"/>
        <item m="1" x="107"/>
        <item x="32"/>
        <item m="1" x="356"/>
        <item m="1" x="49"/>
        <item x="36"/>
        <item x="37"/>
        <item m="1" x="268"/>
        <item m="1" x="258"/>
        <item m="1" x="380"/>
        <item m="1" x="92"/>
        <item m="1" x="227"/>
        <item m="1" x="318"/>
        <item m="1" x="375"/>
        <item m="1" x="233"/>
        <item m="1" x="296"/>
        <item m="1" x="98"/>
        <item m="1" x="353"/>
        <item m="1" x="116"/>
        <item m="1" x="275"/>
        <item m="1" x="44"/>
        <item m="1" x="140"/>
        <item m="1" x="345"/>
        <item m="1" x="190"/>
        <item m="1" x="167"/>
        <item m="1" x="203"/>
        <item m="1" x="282"/>
        <item m="1" x="319"/>
        <item m="1" x="164"/>
        <item m="1" x="223"/>
        <item m="1" x="173"/>
        <item m="1" x="62"/>
        <item m="1" x="124"/>
        <item m="1" x="137"/>
        <item m="1" x="214"/>
        <item m="1" x="113"/>
        <item m="1" x="294"/>
        <item m="1" x="207"/>
        <item m="1" x="143"/>
        <item m="1" x="320"/>
        <item m="1" x="102"/>
        <item m="1" x="241"/>
        <item m="1" x="184"/>
        <item m="1" x="168"/>
        <item m="1" x="260"/>
        <item m="1" x="346"/>
        <item m="1" x="255"/>
        <item m="1" x="278"/>
        <item m="1" x="169"/>
        <item m="1" x="127"/>
        <item m="1" x="305"/>
        <item m="1" x="89"/>
        <item m="1" x="379"/>
        <item m="1" x="64"/>
        <item m="1" x="284"/>
        <item m="1" x="362"/>
        <item m="1" x="347"/>
        <item m="1" x="185"/>
        <item m="1" x="115"/>
        <item m="1" x="253"/>
        <item m="1" x="363"/>
        <item m="1" x="186"/>
        <item m="1" x="53"/>
        <item m="1" x="330"/>
        <item x="12"/>
        <item x="11"/>
        <item m="1" x="311"/>
        <item m="1" x="277"/>
        <item m="1" x="180"/>
        <item m="1" x="76"/>
        <item x="1"/>
        <item m="1" x="283"/>
        <item m="1" x="50"/>
        <item m="1" x="126"/>
        <item m="1" x="333"/>
        <item m="1" x="103"/>
        <item m="1" x="339"/>
        <item m="1" x="295"/>
        <item m="1" x="52"/>
        <item m="1" x="301"/>
        <item m="1" x="370"/>
        <item x="8"/>
        <item m="1" x="69"/>
        <item m="1" x="243"/>
        <item m="1" x="147"/>
        <item m="1" x="323"/>
        <item m="1" x="238"/>
        <item m="1" x="152"/>
        <item m="1" x="135"/>
        <item m="1" x="55"/>
        <item m="1" x="350"/>
        <item m="1" x="122"/>
        <item m="1" x="162"/>
        <item m="1" x="158"/>
        <item m="1" x="123"/>
        <item m="1" x="71"/>
        <item m="1" x="359"/>
        <item m="1" x="240"/>
        <item m="1" x="314"/>
        <item m="1" x="360"/>
        <item m="1" x="179"/>
        <item m="1" x="315"/>
        <item m="1" x="194"/>
        <item m="1" x="93"/>
        <item m="1" x="163"/>
        <item m="1" x="118"/>
        <item m="1" x="157"/>
        <item m="1" x="191"/>
        <item x="30"/>
        <item m="1" x="45"/>
        <item m="1" x="132"/>
        <item m="1" x="154"/>
        <item m="1" x="269"/>
        <item m="1" x="104"/>
        <item x="5"/>
        <item m="1" x="376"/>
        <item m="1" x="75"/>
        <item m="1" x="112"/>
        <item m="1" x="228"/>
        <item x="3"/>
        <item x="4"/>
        <item x="7"/>
        <item x="9"/>
        <item x="10"/>
        <item x="13"/>
        <item x="15"/>
        <item x="16"/>
        <item x="17"/>
        <item x="18"/>
        <item x="21"/>
        <item x="24"/>
        <item x="28"/>
        <item x="29"/>
        <item x="31"/>
        <item x="33"/>
        <item x="34"/>
        <item x="35"/>
        <item x="38"/>
        <item x="39"/>
        <item x="40"/>
        <item x="41"/>
      </items>
    </pivotField>
  </pivotFields>
  <rowFields count="4">
    <field x="6"/>
    <field x="23"/>
    <field x="1"/>
    <field x="24"/>
  </rowFields>
  <rowItems count="66">
    <i>
      <x v="9"/>
    </i>
    <i r="1">
      <x v="19"/>
    </i>
    <i r="2">
      <x v="6"/>
    </i>
    <i r="2">
      <x v="8"/>
    </i>
    <i r="2">
      <x v="10"/>
    </i>
    <i r="2">
      <x v="12"/>
    </i>
    <i r="2">
      <x v="21"/>
    </i>
    <i r="2">
      <x v="22"/>
    </i>
    <i r="1">
      <x v="21"/>
    </i>
    <i r="2">
      <x/>
    </i>
    <i r="2">
      <x v="5"/>
    </i>
    <i r="2">
      <x v="10"/>
    </i>
    <i r="2">
      <x v="11"/>
    </i>
    <i r="2">
      <x v="16"/>
    </i>
    <i r="2">
      <x v="20"/>
    </i>
    <i r="2">
      <x v="22"/>
    </i>
    <i r="2">
      <x v="30"/>
    </i>
    <i r="2">
      <x v="68"/>
    </i>
    <i r="1">
      <x v="22"/>
    </i>
    <i r="2">
      <x v="5"/>
    </i>
    <i r="2">
      <x v="10"/>
    </i>
    <i r="2">
      <x v="12"/>
    </i>
    <i r="2">
      <x v="16"/>
    </i>
    <i r="2">
      <x v="21"/>
    </i>
    <i r="1">
      <x v="23"/>
    </i>
    <i r="2">
      <x/>
    </i>
    <i r="2">
      <x v="1"/>
    </i>
    <i r="2">
      <x v="12"/>
    </i>
    <i r="2">
      <x v="16"/>
    </i>
    <i r="2">
      <x v="25"/>
    </i>
    <i r="2">
      <x v="26"/>
    </i>
    <i r="1">
      <x v="24"/>
    </i>
    <i r="2">
      <x/>
    </i>
    <i r="2">
      <x v="6"/>
    </i>
    <i r="2">
      <x v="10"/>
    </i>
    <i r="2">
      <x v="11"/>
    </i>
    <i r="2">
      <x v="16"/>
    </i>
    <i r="2">
      <x v="19"/>
    </i>
    <i r="2">
      <x v="20"/>
    </i>
    <i r="2">
      <x v="21"/>
    </i>
    <i r="2">
      <x v="22"/>
    </i>
    <i r="2">
      <x v="30"/>
    </i>
    <i r="2">
      <x v="68"/>
    </i>
    <i r="1">
      <x v="25"/>
    </i>
    <i r="2">
      <x/>
    </i>
    <i r="2">
      <x v="6"/>
    </i>
    <i r="2">
      <x v="10"/>
    </i>
    <i r="2">
      <x v="16"/>
    </i>
    <i r="2">
      <x v="21"/>
    </i>
    <i r="1">
      <x v="28"/>
    </i>
    <i r="2">
      <x/>
    </i>
    <i r="2">
      <x v="10"/>
    </i>
    <i r="2">
      <x v="11"/>
    </i>
    <i r="2">
      <x v="16"/>
    </i>
    <i r="2">
      <x v="20"/>
    </i>
    <i r="2">
      <x v="21"/>
    </i>
    <i r="2">
      <x v="22"/>
    </i>
    <i r="2">
      <x v="29"/>
    </i>
    <i r="2">
      <x v="45"/>
    </i>
    <i r="2">
      <x v="68"/>
    </i>
    <i r="1">
      <x v="30"/>
    </i>
    <i r="2">
      <x/>
    </i>
    <i r="2">
      <x v="16"/>
    </i>
    <i r="2">
      <x v="20"/>
    </i>
    <i r="2">
      <x v="21"/>
    </i>
    <i t="grand">
      <x/>
    </i>
  </rowItems>
  <colItems count="1">
    <i/>
  </colItems>
  <dataFields count="1">
    <dataField name="Sum of Cost" fld="18" baseField="0" baseItem="0"/>
  </dataFields>
  <formats count="6">
    <format dxfId="49">
      <pivotArea type="origin" dataOnly="0" labelOnly="1" outline="0" fieldPosition="0"/>
    </format>
    <format dxfId="48">
      <pivotArea field="-2" type="button" dataOnly="0" labelOnly="1" outline="0" axis="axisValues" fieldPosition="0"/>
    </format>
    <format dxfId="47">
      <pivotArea type="topRight" dataOnly="0" labelOnly="1" outline="0" fieldPosition="0"/>
    </format>
    <format dxfId="46">
      <pivotArea dataOnly="0" labelOnly="1" grandRow="1" outline="0" fieldPosition="0"/>
    </format>
    <format dxfId="45">
      <pivotArea dataOnly="0" labelOnly="1" grandRow="1" outline="0" fieldPosition="0"/>
    </format>
    <format dxfId="44">
      <pivotArea field="-2" type="button" dataOnly="0" labelOnly="1" outline="0" axis="axisValues" fieldPosition="0"/>
    </format>
  </formats>
  <chartFormats count="1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OEW Custom" showRowHeaders="1" showColHeaders="1" showRowStripes="0" showColStripes="0" showLastColumn="1"/>
  <filters count="1">
    <filter fld="24" type="yearToDate" evalOrder="-1" id="1">
      <autoFilter ref="A1">
        <filterColumn colId="0">
          <dynamicFilter type="yearToDate" val="42005" maxVal="42350"/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PivotTable1" cacheId="718" applyNumberFormats="0" applyBorderFormats="0" applyFontFormats="0" applyPatternFormats="0" applyAlignmentFormats="0" applyWidthHeightFormats="1" dataCaption="All Locations" missingCaption="0" updatedVersion="3" minRefreshableVersion="3" showCalcMbrs="0" itemPrintTitles="1" mergeItem="1" createdVersion="3" indent="0" outline="1" outlineData="1" multipleFieldFilters="0" chartFormat="3" rowHeaderCaption="Material Types">
  <location ref="I3:J69" firstHeaderRow="1" firstDataRow="1" firstDataCol="1"/>
  <pivotFields count="25">
    <pivotField showAll="0" defaultSubtotal="0"/>
    <pivotField axis="axisRow" showAll="0" defaultSubtotal="0">
      <items count="69">
        <item sd="0" x="5"/>
        <item sd="0" x="10"/>
        <item sd="0" m="1" x="37"/>
        <item sd="0" m="1" x="63"/>
        <item sd="0" x="14"/>
        <item sd="0" x="8"/>
        <item sd="0" x="0"/>
        <item sd="0" m="1" x="57"/>
        <item sd="0" x="15"/>
        <item sd="0" m="1" x="42"/>
        <item sd="0" x="3"/>
        <item sd="0" x="11"/>
        <item sd="0" x="16"/>
        <item sd="0" m="1" x="65"/>
        <item sd="0" m="1" x="68"/>
        <item sd="0" m="1" x="67"/>
        <item sd="0" x="2"/>
        <item sd="0" m="1" x="60"/>
        <item sd="0" m="1" x="61"/>
        <item sd="0" x="20"/>
        <item sd="0" x="7"/>
        <item sd="0" x="1"/>
        <item sd="0" x="6"/>
        <item sd="0" m="1" x="28"/>
        <item sd="0" m="1" x="53"/>
        <item sd="0" x="18"/>
        <item sd="0" x="19"/>
        <item sd="0" x="13"/>
        <item sd="0" m="1" x="49"/>
        <item sd="0" x="12"/>
        <item sd="0" x="17"/>
        <item sd="0" m="1" x="36"/>
        <item sd="0" m="1" x="40"/>
        <item sd="0" m="1" x="39"/>
        <item sd="0" m="1" x="43"/>
        <item sd="0" m="1" x="50"/>
        <item sd="0" m="1" x="58"/>
        <item sd="0" m="1" x="24"/>
        <item sd="0" m="1" x="25"/>
        <item sd="0" x="9"/>
        <item sd="0" m="1" x="26"/>
        <item sd="0" m="1" x="34"/>
        <item sd="0" m="1" x="66"/>
        <item sd="0" m="1" x="59"/>
        <item sd="0" m="1" x="44"/>
        <item sd="0" x="21"/>
        <item sd="0" m="1" x="32"/>
        <item sd="0" m="1" x="62"/>
        <item sd="0" m="1" x="45"/>
        <item sd="0" m="1" x="23"/>
        <item sd="0" m="1" x="56"/>
        <item sd="0" m="1" x="35"/>
        <item sd="0" m="1" x="64"/>
        <item sd="0" m="1" x="51"/>
        <item sd="0" m="1" x="29"/>
        <item sd="0" m="1" x="31"/>
        <item sd="0" m="1" x="33"/>
        <item sd="0" m="1" x="48"/>
        <item sd="0" m="1" x="38"/>
        <item sd="0" m="1" x="55"/>
        <item sd="0" m="1" x="27"/>
        <item sd="0" m="1" x="54"/>
        <item sd="0" m="1" x="22"/>
        <item sd="0" m="1" x="52"/>
        <item sd="0" m="1" x="46"/>
        <item sd="0" m="1" x="47"/>
        <item sd="0" m="1" x="30"/>
        <item sd="0" m="1" x="41"/>
        <item sd="0" x="4"/>
      </items>
    </pivotField>
    <pivotField showAll="0" defaultSubtotal="0"/>
    <pivotField dataField="1" showAll="0" defaultSubtotal="0"/>
    <pivotField showAll="0" defaultSubtotal="0"/>
    <pivotField numFmtId="14" showAll="0" defaultSubtotal="0"/>
    <pivotField axis="axisRow" multipleItemSelectionAllowed="1" showAll="0" defaultSubtotal="0">
      <items count="10">
        <item m="1" x="5"/>
        <item m="1" x="2"/>
        <item m="1" x="7"/>
        <item m="1" x="1"/>
        <item m="1" x="4"/>
        <item m="1" x="3"/>
        <item m="1" x="6"/>
        <item m="1" x="9"/>
        <item m="1" x="8"/>
        <item x="0"/>
      </items>
    </pivotField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4" showAll="0" defaultSubtotal="0"/>
    <pivotField numFmtId="44" showAll="0" defaultSubtotal="0"/>
    <pivotField showAll="0" defaultSubtotal="0"/>
    <pivotField showAll="0" defaultSubtotal="0"/>
    <pivotField axis="axisRow" numFmtId="167" showAll="0">
      <items count="32">
        <item x="0"/>
        <item m="1" x="20"/>
        <item m="1" x="30"/>
        <item x="1"/>
        <item x="2"/>
        <item m="1" x="27"/>
        <item m="1" x="25"/>
        <item m="1" x="28"/>
        <item x="3"/>
        <item m="1" x="24"/>
        <item m="1" x="22"/>
        <item x="4"/>
        <item m="1" x="21"/>
        <item m="1" x="19"/>
        <item x="5"/>
        <item x="6"/>
        <item x="7"/>
        <item x="8"/>
        <item x="9"/>
        <item x="10"/>
        <item m="1" x="26"/>
        <item x="11"/>
        <item x="12"/>
        <item x="13"/>
        <item x="14"/>
        <item x="15"/>
        <item m="1" x="18"/>
        <item m="1" x="23"/>
        <item x="16"/>
        <item m="1" x="29"/>
        <item x="17"/>
        <item t="default"/>
      </items>
    </pivotField>
    <pivotField axis="axisRow" showAll="0" defaultSubtotal="0">
      <items count="381">
        <item m="1" x="195"/>
        <item m="1" x="361"/>
        <item m="1" x="155"/>
        <item x="0"/>
        <item m="1" x="117"/>
        <item m="1" x="377"/>
        <item m="1" x="365"/>
        <item m="1" x="242"/>
        <item m="1" x="256"/>
        <item m="1" x="246"/>
        <item m="1" x="58"/>
        <item m="1" x="272"/>
        <item m="1" x="287"/>
        <item m="1" x="251"/>
        <item m="1" x="378"/>
        <item m="1" x="51"/>
        <item m="1" x="68"/>
        <item m="1" x="80"/>
        <item m="1" x="95"/>
        <item m="1" x="108"/>
        <item m="1" x="144"/>
        <item m="1" x="88"/>
        <item m="1" x="342"/>
        <item m="1" x="264"/>
        <item m="1" x="204"/>
        <item m="1" x="57"/>
        <item m="1" x="220"/>
        <item m="1" x="270"/>
        <item m="1" x="372"/>
        <item m="1" x="46"/>
        <item m="1" x="63"/>
        <item m="1" x="341"/>
        <item m="1" x="357"/>
        <item m="1" x="229"/>
        <item m="1" x="245"/>
        <item m="1" x="325"/>
        <item m="1" x="142"/>
        <item m="1" x="337"/>
        <item m="1" x="86"/>
        <item m="1" x="317"/>
        <item m="1" x="331"/>
        <item m="1" x="344"/>
        <item m="1" x="298"/>
        <item m="1" x="312"/>
        <item x="20"/>
        <item m="1" x="316"/>
        <item m="1" x="134"/>
        <item m="1" x="244"/>
        <item m="1" x="91"/>
        <item m="1" x="358"/>
        <item m="1" x="60"/>
        <item m="1" x="73"/>
        <item m="1" x="85"/>
        <item m="1" x="99"/>
        <item m="1" x="189"/>
        <item m="1" x="90"/>
        <item m="1" x="216"/>
        <item x="6"/>
        <item m="1" x="310"/>
        <item m="1" x="327"/>
        <item m="1" x="340"/>
        <item m="1" x="352"/>
        <item m="1" x="368"/>
        <item m="1" x="105"/>
        <item m="1" x="120"/>
        <item m="1" x="335"/>
        <item m="1" x="348"/>
        <item m="1" x="84"/>
        <item m="1" x="145"/>
        <item m="1" x="175"/>
        <item m="1" x="133"/>
        <item m="1" x="150"/>
        <item m="1" x="81"/>
        <item m="1" x="247"/>
        <item m="1" x="97"/>
        <item m="1" x="109"/>
        <item m="1" x="128"/>
        <item m="1" x="208"/>
        <item m="1" x="224"/>
        <item x="26"/>
        <item m="1" x="111"/>
        <item m="1" x="100"/>
        <item m="1" x="354"/>
        <item m="1" x="369"/>
        <item m="1" x="281"/>
        <item m="1" x="153"/>
        <item m="1" x="230"/>
        <item x="25"/>
        <item m="1" x="219"/>
        <item m="1" x="232"/>
        <item m="1" x="313"/>
        <item m="1" x="187"/>
        <item m="1" x="239"/>
        <item m="1" x="213"/>
        <item m="1" x="293"/>
        <item m="1" x="307"/>
        <item m="1" x="324"/>
        <item m="1" x="141"/>
        <item m="1" x="276"/>
        <item m="1" x="290"/>
        <item m="1" x="303"/>
        <item m="1" x="355"/>
        <item m="1" x="332"/>
        <item m="1" x="70"/>
        <item m="1" x="83"/>
        <item m="1" x="202"/>
        <item m="1" x="192"/>
        <item m="1" x="178"/>
        <item m="1" x="87"/>
        <item m="1" x="304"/>
        <item m="1" x="234"/>
        <item m="1" x="371"/>
        <item m="1" x="263"/>
        <item x="2"/>
        <item m="1" x="72"/>
        <item m="1" x="182"/>
        <item m="1" x="196"/>
        <item m="1" x="321"/>
        <item m="1" x="197"/>
        <item m="1" x="351"/>
        <item m="1" x="334"/>
        <item m="1" x="248"/>
        <item m="1" x="43"/>
        <item m="1" x="78"/>
        <item m="1" x="343"/>
        <item m="1" x="274"/>
        <item m="1" x="222"/>
        <item m="1" x="226"/>
        <item m="1" x="257"/>
        <item m="1" x="289"/>
        <item m="1" x="285"/>
        <item m="1" x="148"/>
        <item m="1" x="218"/>
        <item m="1" x="364"/>
        <item m="1" x="308"/>
        <item m="1" x="56"/>
        <item m="1" x="94"/>
        <item m="1" x="299"/>
        <item m="1" x="250"/>
        <item m="1" x="67"/>
        <item m="1" x="198"/>
        <item m="1" x="181"/>
        <item m="1" x="79"/>
        <item m="1" x="101"/>
        <item m="1" x="254"/>
        <item m="1" x="300"/>
        <item m="1" x="125"/>
        <item m="1" x="259"/>
        <item m="1" x="235"/>
        <item m="1" x="165"/>
        <item m="1" x="329"/>
        <item m="1" x="373"/>
        <item m="1" x="338"/>
        <item m="1" x="286"/>
        <item m="1" x="271"/>
        <item m="1" x="138"/>
        <item m="1" x="326"/>
        <item m="1" x="199"/>
        <item m="1" x="174"/>
        <item m="1" x="309"/>
        <item m="1" x="96"/>
        <item m="1" x="291"/>
        <item m="1" x="149"/>
        <item m="1" x="114"/>
        <item m="1" x="261"/>
        <item m="1" x="77"/>
        <item m="1" x="366"/>
        <item m="1" x="279"/>
        <item m="1" x="273"/>
        <item m="1" x="322"/>
        <item m="1" x="139"/>
        <item m="1" x="265"/>
        <item m="1" x="119"/>
        <item m="1" x="292"/>
        <item m="1" x="188"/>
        <item m="1" x="367"/>
        <item m="1" x="262"/>
        <item m="1" x="252"/>
        <item m="1" x="280"/>
        <item m="1" x="288"/>
        <item m="1" x="159"/>
        <item m="1" x="59"/>
        <item m="1" x="42"/>
        <item m="1" x="193"/>
        <item m="1" x="306"/>
        <item m="1" x="183"/>
        <item m="1" x="200"/>
        <item m="1" x="215"/>
        <item m="1" x="225"/>
        <item m="1" x="374"/>
        <item m="1" x="129"/>
        <item m="1" x="170"/>
        <item m="1" x="65"/>
        <item m="1" x="209"/>
        <item m="1" x="47"/>
        <item m="1" x="146"/>
        <item m="1" x="236"/>
        <item m="1" x="82"/>
        <item m="1" x="266"/>
        <item m="1" x="160"/>
        <item m="1" x="221"/>
        <item m="1" x="205"/>
        <item m="1" x="121"/>
        <item m="1" x="302"/>
        <item m="1" x="237"/>
        <item m="1" x="130"/>
        <item m="1" x="297"/>
        <item m="1" x="166"/>
        <item x="19"/>
        <item x="14"/>
        <item m="1" x="210"/>
        <item m="1" x="267"/>
        <item m="1" x="151"/>
        <item m="1" x="66"/>
        <item m="1" x="171"/>
        <item x="22"/>
        <item m="1" x="54"/>
        <item m="1" x="349"/>
        <item m="1" x="156"/>
        <item m="1" x="206"/>
        <item x="23"/>
        <item m="1" x="176"/>
        <item m="1" x="211"/>
        <item m="1" x="74"/>
        <item m="1" x="110"/>
        <item m="1" x="61"/>
        <item m="1" x="201"/>
        <item m="1" x="136"/>
        <item m="1" x="161"/>
        <item m="1" x="172"/>
        <item m="1" x="48"/>
        <item m="1" x="231"/>
        <item x="27"/>
        <item m="1" x="217"/>
        <item m="1" x="106"/>
        <item m="1" x="177"/>
        <item m="1" x="212"/>
        <item m="1" x="328"/>
        <item m="1" x="249"/>
        <item m="1" x="131"/>
        <item m="1" x="336"/>
        <item m="1" x="107"/>
        <item x="32"/>
        <item m="1" x="356"/>
        <item m="1" x="49"/>
        <item x="36"/>
        <item x="37"/>
        <item m="1" x="268"/>
        <item m="1" x="258"/>
        <item m="1" x="380"/>
        <item m="1" x="92"/>
        <item m="1" x="227"/>
        <item m="1" x="318"/>
        <item m="1" x="375"/>
        <item m="1" x="233"/>
        <item m="1" x="296"/>
        <item m="1" x="98"/>
        <item m="1" x="353"/>
        <item m="1" x="116"/>
        <item m="1" x="275"/>
        <item m="1" x="44"/>
        <item m="1" x="140"/>
        <item m="1" x="345"/>
        <item m="1" x="190"/>
        <item m="1" x="167"/>
        <item m="1" x="203"/>
        <item m="1" x="282"/>
        <item m="1" x="319"/>
        <item m="1" x="164"/>
        <item m="1" x="223"/>
        <item m="1" x="173"/>
        <item m="1" x="62"/>
        <item m="1" x="124"/>
        <item m="1" x="137"/>
        <item m="1" x="214"/>
        <item m="1" x="113"/>
        <item m="1" x="294"/>
        <item m="1" x="207"/>
        <item m="1" x="143"/>
        <item m="1" x="320"/>
        <item m="1" x="102"/>
        <item m="1" x="241"/>
        <item m="1" x="184"/>
        <item m="1" x="168"/>
        <item m="1" x="260"/>
        <item m="1" x="346"/>
        <item m="1" x="255"/>
        <item m="1" x="278"/>
        <item m="1" x="169"/>
        <item m="1" x="127"/>
        <item m="1" x="305"/>
        <item m="1" x="89"/>
        <item m="1" x="379"/>
        <item m="1" x="64"/>
        <item m="1" x="284"/>
        <item m="1" x="362"/>
        <item m="1" x="347"/>
        <item m="1" x="185"/>
        <item m="1" x="115"/>
        <item m="1" x="253"/>
        <item m="1" x="363"/>
        <item m="1" x="186"/>
        <item m="1" x="53"/>
        <item m="1" x="330"/>
        <item x="12"/>
        <item x="11"/>
        <item m="1" x="311"/>
        <item m="1" x="277"/>
        <item m="1" x="180"/>
        <item m="1" x="76"/>
        <item x="1"/>
        <item m="1" x="283"/>
        <item m="1" x="50"/>
        <item m="1" x="126"/>
        <item m="1" x="333"/>
        <item m="1" x="103"/>
        <item m="1" x="339"/>
        <item m="1" x="295"/>
        <item m="1" x="52"/>
        <item m="1" x="301"/>
        <item m="1" x="370"/>
        <item x="8"/>
        <item m="1" x="69"/>
        <item m="1" x="243"/>
        <item m="1" x="147"/>
        <item m="1" x="323"/>
        <item m="1" x="238"/>
        <item m="1" x="152"/>
        <item m="1" x="135"/>
        <item m="1" x="55"/>
        <item m="1" x="350"/>
        <item m="1" x="122"/>
        <item m="1" x="162"/>
        <item m="1" x="158"/>
        <item m="1" x="123"/>
        <item m="1" x="71"/>
        <item m="1" x="359"/>
        <item m="1" x="240"/>
        <item m="1" x="314"/>
        <item m="1" x="360"/>
        <item m="1" x="179"/>
        <item m="1" x="315"/>
        <item m="1" x="194"/>
        <item m="1" x="93"/>
        <item m="1" x="163"/>
        <item m="1" x="118"/>
        <item m="1" x="157"/>
        <item m="1" x="191"/>
        <item x="30"/>
        <item m="1" x="45"/>
        <item m="1" x="132"/>
        <item m="1" x="154"/>
        <item m="1" x="269"/>
        <item m="1" x="104"/>
        <item x="5"/>
        <item m="1" x="376"/>
        <item m="1" x="75"/>
        <item m="1" x="112"/>
        <item m="1" x="228"/>
        <item x="3"/>
        <item x="4"/>
        <item x="7"/>
        <item x="9"/>
        <item x="10"/>
        <item x="13"/>
        <item x="15"/>
        <item x="16"/>
        <item x="17"/>
        <item x="18"/>
        <item x="21"/>
        <item x="24"/>
        <item x="28"/>
        <item x="29"/>
        <item x="31"/>
        <item x="33"/>
        <item x="34"/>
        <item x="35"/>
        <item x="38"/>
        <item x="39"/>
        <item x="40"/>
        <item x="41"/>
      </items>
    </pivotField>
  </pivotFields>
  <rowFields count="4">
    <field x="6"/>
    <field x="23"/>
    <field x="1"/>
    <field x="24"/>
  </rowFields>
  <rowItems count="66">
    <i>
      <x v="9"/>
    </i>
    <i r="1">
      <x v="19"/>
    </i>
    <i r="2">
      <x v="6"/>
    </i>
    <i r="2">
      <x v="8"/>
    </i>
    <i r="2">
      <x v="10"/>
    </i>
    <i r="2">
      <x v="12"/>
    </i>
    <i r="2">
      <x v="21"/>
    </i>
    <i r="2">
      <x v="22"/>
    </i>
    <i r="1">
      <x v="21"/>
    </i>
    <i r="2">
      <x/>
    </i>
    <i r="2">
      <x v="5"/>
    </i>
    <i r="2">
      <x v="10"/>
    </i>
    <i r="2">
      <x v="11"/>
    </i>
    <i r="2">
      <x v="16"/>
    </i>
    <i r="2">
      <x v="20"/>
    </i>
    <i r="2">
      <x v="22"/>
    </i>
    <i r="2">
      <x v="30"/>
    </i>
    <i r="2">
      <x v="68"/>
    </i>
    <i r="1">
      <x v="22"/>
    </i>
    <i r="2">
      <x v="5"/>
    </i>
    <i r="2">
      <x v="10"/>
    </i>
    <i r="2">
      <x v="12"/>
    </i>
    <i r="2">
      <x v="16"/>
    </i>
    <i r="2">
      <x v="21"/>
    </i>
    <i r="1">
      <x v="23"/>
    </i>
    <i r="2">
      <x/>
    </i>
    <i r="2">
      <x v="1"/>
    </i>
    <i r="2">
      <x v="12"/>
    </i>
    <i r="2">
      <x v="16"/>
    </i>
    <i r="2">
      <x v="25"/>
    </i>
    <i r="2">
      <x v="26"/>
    </i>
    <i r="1">
      <x v="24"/>
    </i>
    <i r="2">
      <x/>
    </i>
    <i r="2">
      <x v="6"/>
    </i>
    <i r="2">
      <x v="10"/>
    </i>
    <i r="2">
      <x v="11"/>
    </i>
    <i r="2">
      <x v="16"/>
    </i>
    <i r="2">
      <x v="19"/>
    </i>
    <i r="2">
      <x v="20"/>
    </i>
    <i r="2">
      <x v="21"/>
    </i>
    <i r="2">
      <x v="22"/>
    </i>
    <i r="2">
      <x v="30"/>
    </i>
    <i r="2">
      <x v="68"/>
    </i>
    <i r="1">
      <x v="25"/>
    </i>
    <i r="2">
      <x/>
    </i>
    <i r="2">
      <x v="6"/>
    </i>
    <i r="2">
      <x v="10"/>
    </i>
    <i r="2">
      <x v="16"/>
    </i>
    <i r="2">
      <x v="21"/>
    </i>
    <i r="1">
      <x v="28"/>
    </i>
    <i r="2">
      <x/>
    </i>
    <i r="2">
      <x v="10"/>
    </i>
    <i r="2">
      <x v="11"/>
    </i>
    <i r="2">
      <x v="16"/>
    </i>
    <i r="2">
      <x v="20"/>
    </i>
    <i r="2">
      <x v="21"/>
    </i>
    <i r="2">
      <x v="22"/>
    </i>
    <i r="2">
      <x v="29"/>
    </i>
    <i r="2">
      <x v="45"/>
    </i>
    <i r="2">
      <x v="68"/>
    </i>
    <i r="1">
      <x v="30"/>
    </i>
    <i r="2">
      <x/>
    </i>
    <i r="2">
      <x v="16"/>
    </i>
    <i r="2">
      <x v="20"/>
    </i>
    <i r="2">
      <x v="21"/>
    </i>
    <i t="grand">
      <x/>
    </i>
  </rowItems>
  <colItems count="1">
    <i/>
  </colItems>
  <dataFields count="1">
    <dataField name="Total Weight" fld="3" baseField="0" baseItem="0" numFmtId="3"/>
  </dataFields>
  <formats count="7">
    <format dxfId="56">
      <pivotArea type="origin" dataOnly="0" labelOnly="1" outline="0" fieldPosition="0"/>
    </format>
    <format dxfId="55">
      <pivotArea field="-2" type="button" dataOnly="0" labelOnly="1" outline="0" axis="axisValues" fieldPosition="0"/>
    </format>
    <format dxfId="54">
      <pivotArea type="topRight" dataOnly="0" labelOnly="1" outline="0" fieldPosition="0"/>
    </format>
    <format dxfId="53">
      <pivotArea dataOnly="0" labelOnly="1" grandRow="1" outline="0" fieldPosition="0"/>
    </format>
    <format dxfId="52">
      <pivotArea dataOnly="0" labelOnly="1" grandRow="1" outline="0" fieldPosition="0"/>
    </format>
    <format dxfId="51">
      <pivotArea field="-2" type="button" dataOnly="0" labelOnly="1" outline="0" axis="axisValues" fieldPosition="0"/>
    </format>
    <format dxfId="50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OEW Custom" showRowHeaders="1" showColHeaders="1" showRowStripes="0" showColStripes="0" showLastColumn="1"/>
  <filters count="1">
    <filter fld="24" type="yearToDate" evalOrder="-1" id="1">
      <autoFilter ref="A1">
        <filterColumn colId="0">
          <dynamicFilter type="yearToDate" val="42005" maxVal="42350"/>
        </filterColumn>
      </autoFilter>
    </filter>
  </filters>
</pivotTableDefinition>
</file>

<file path=xl/pivotTables/pivotTable6.xml><?xml version="1.0" encoding="utf-8"?>
<pivotTableDefinition xmlns="http://schemas.openxmlformats.org/spreadsheetml/2006/main" name="PivotTable3" cacheId="718" applyNumberFormats="0" applyBorderFormats="0" applyFontFormats="0" applyPatternFormats="0" applyAlignmentFormats="0" applyWidthHeightFormats="1" dataCaption="All Locations" missingCaption="0" updatedVersion="3" minRefreshableVersion="3" showCalcMbrs="0" itemPrintTitles="1" mergeItem="1" createdVersion="3" indent="0" outline="1" outlineData="1" multipleFieldFilters="0" chartFormat="2" rowHeaderCaption="Material Types">
  <location ref="A2:E69" firstHeaderRow="1" firstDataRow="2" firstDataCol="1"/>
  <pivotFields count="25">
    <pivotField showAll="0" defaultSubtotal="0"/>
    <pivotField axis="axisRow" showAll="0" defaultSubtotal="0">
      <items count="69">
        <item sd="0" x="5"/>
        <item sd="0" x="10"/>
        <item sd="0" m="1" x="37"/>
        <item sd="0" m="1" x="63"/>
        <item sd="0" x="14"/>
        <item sd="0" x="8"/>
        <item sd="0" x="0"/>
        <item sd="0" m="1" x="57"/>
        <item sd="0" x="15"/>
        <item sd="0" m="1" x="42"/>
        <item sd="0" x="3"/>
        <item sd="0" x="11"/>
        <item sd="0" x="16"/>
        <item sd="0" m="1" x="65"/>
        <item sd="0" m="1" x="68"/>
        <item sd="0" m="1" x="67"/>
        <item sd="0" x="2"/>
        <item sd="0" m="1" x="60"/>
        <item sd="0" m="1" x="61"/>
        <item sd="0" x="20"/>
        <item sd="0" x="7"/>
        <item sd="0" x="1"/>
        <item sd="0" x="6"/>
        <item sd="0" m="1" x="28"/>
        <item sd="0" m="1" x="53"/>
        <item sd="0" x="18"/>
        <item sd="0" x="19"/>
        <item sd="0" x="13"/>
        <item sd="0" m="1" x="49"/>
        <item sd="0" x="12"/>
        <item sd="0" x="17"/>
        <item sd="0" m="1" x="36"/>
        <item sd="0" m="1" x="40"/>
        <item sd="0" m="1" x="39"/>
        <item sd="0" m="1" x="43"/>
        <item sd="0" m="1" x="50"/>
        <item sd="0" m="1" x="58"/>
        <item sd="0" m="1" x="24"/>
        <item sd="0" m="1" x="25"/>
        <item sd="0" x="9"/>
        <item sd="0" m="1" x="26"/>
        <item sd="0" m="1" x="34"/>
        <item sd="0" m="1" x="66"/>
        <item sd="0" m="1" x="59"/>
        <item sd="0" m="1" x="44"/>
        <item sd="0" x="21"/>
        <item sd="0" m="1" x="32"/>
        <item sd="0" m="1" x="62"/>
        <item sd="0" m="1" x="45"/>
        <item sd="0" m="1" x="23"/>
        <item sd="0" m="1" x="56"/>
        <item sd="0" m="1" x="35"/>
        <item sd="0" m="1" x="64"/>
        <item sd="0" m="1" x="51"/>
        <item sd="0" m="1" x="29"/>
        <item sd="0" m="1" x="31"/>
        <item sd="0" m="1" x="33"/>
        <item sd="0" m="1" x="48"/>
        <item sd="0" m="1" x="38"/>
        <item sd="0" m="1" x="55"/>
        <item sd="0" m="1" x="27"/>
        <item sd="0" m="1" x="54"/>
        <item sd="0" m="1" x="22"/>
        <item sd="0" m="1" x="52"/>
        <item sd="0" m="1" x="46"/>
        <item sd="0" m="1" x="47"/>
        <item sd="0" m="1" x="30"/>
        <item sd="0" m="1" x="41"/>
        <item sd="0" x="4"/>
      </items>
    </pivotField>
    <pivotField showAll="0" defaultSubtotal="0"/>
    <pivotField dataField="1" showAll="0" defaultSubtotal="0"/>
    <pivotField showAll="0" defaultSubtotal="0"/>
    <pivotField numFmtId="14" showAll="0" defaultSubtotal="0"/>
    <pivotField axis="axisRow" multipleItemSelectionAllowed="1" showAll="0" defaultSubtotal="0">
      <items count="10">
        <item m="1" x="5"/>
        <item m="1" x="2"/>
        <item m="1" x="7"/>
        <item m="1" x="1"/>
        <item m="1" x="4"/>
        <item m="1" x="3"/>
        <item m="1" x="6"/>
        <item m="1" x="9"/>
        <item m="1" x="8"/>
        <item x="0"/>
      </items>
    </pivotField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4" showAll="0" defaultSubtotal="0"/>
    <pivotField dataField="1" numFmtId="44" showAll="0" defaultSubtotal="0"/>
    <pivotField dataField="1" showAll="0" defaultSubtotal="0"/>
    <pivotField showAll="0" defaultSubtotal="0"/>
    <pivotField axis="axisRow" numFmtId="167" showAll="0">
      <items count="32">
        <item x="0"/>
        <item m="1" x="20"/>
        <item m="1" x="30"/>
        <item x="1"/>
        <item x="2"/>
        <item m="1" x="27"/>
        <item m="1" x="25"/>
        <item m="1" x="28"/>
        <item x="3"/>
        <item m="1" x="24"/>
        <item m="1" x="22"/>
        <item x="4"/>
        <item m="1" x="21"/>
        <item m="1" x="19"/>
        <item x="5"/>
        <item x="6"/>
        <item x="7"/>
        <item x="8"/>
        <item x="9"/>
        <item x="10"/>
        <item m="1" x="26"/>
        <item x="11"/>
        <item x="12"/>
        <item x="13"/>
        <item x="14"/>
        <item x="15"/>
        <item m="1" x="18"/>
        <item m="1" x="23"/>
        <item x="16"/>
        <item m="1" x="29"/>
        <item x="17"/>
        <item t="default"/>
      </items>
    </pivotField>
    <pivotField axis="axisRow" showAll="0" defaultSubtotal="0">
      <items count="381">
        <item m="1" x="195"/>
        <item m="1" x="361"/>
        <item m="1" x="155"/>
        <item x="0"/>
        <item m="1" x="117"/>
        <item m="1" x="377"/>
        <item m="1" x="365"/>
        <item m="1" x="242"/>
        <item m="1" x="256"/>
        <item m="1" x="246"/>
        <item m="1" x="58"/>
        <item m="1" x="272"/>
        <item m="1" x="287"/>
        <item m="1" x="251"/>
        <item m="1" x="378"/>
        <item m="1" x="51"/>
        <item m="1" x="68"/>
        <item m="1" x="80"/>
        <item m="1" x="95"/>
        <item m="1" x="108"/>
        <item m="1" x="144"/>
        <item m="1" x="88"/>
        <item m="1" x="342"/>
        <item m="1" x="264"/>
        <item m="1" x="204"/>
        <item m="1" x="57"/>
        <item m="1" x="220"/>
        <item m="1" x="270"/>
        <item m="1" x="372"/>
        <item m="1" x="46"/>
        <item m="1" x="63"/>
        <item m="1" x="341"/>
        <item m="1" x="357"/>
        <item m="1" x="229"/>
        <item m="1" x="245"/>
        <item m="1" x="325"/>
        <item m="1" x="142"/>
        <item m="1" x="337"/>
        <item m="1" x="86"/>
        <item m="1" x="317"/>
        <item m="1" x="331"/>
        <item m="1" x="344"/>
        <item m="1" x="298"/>
        <item m="1" x="312"/>
        <item x="20"/>
        <item m="1" x="316"/>
        <item m="1" x="134"/>
        <item m="1" x="244"/>
        <item m="1" x="91"/>
        <item m="1" x="358"/>
        <item m="1" x="60"/>
        <item m="1" x="73"/>
        <item m="1" x="85"/>
        <item m="1" x="99"/>
        <item m="1" x="189"/>
        <item m="1" x="90"/>
        <item m="1" x="216"/>
        <item x="6"/>
        <item m="1" x="310"/>
        <item m="1" x="327"/>
        <item m="1" x="340"/>
        <item m="1" x="352"/>
        <item m="1" x="368"/>
        <item m="1" x="105"/>
        <item m="1" x="120"/>
        <item m="1" x="335"/>
        <item m="1" x="348"/>
        <item m="1" x="84"/>
        <item m="1" x="145"/>
        <item m="1" x="175"/>
        <item m="1" x="133"/>
        <item m="1" x="150"/>
        <item m="1" x="81"/>
        <item m="1" x="247"/>
        <item m="1" x="97"/>
        <item m="1" x="109"/>
        <item m="1" x="128"/>
        <item m="1" x="208"/>
        <item m="1" x="224"/>
        <item x="26"/>
        <item m="1" x="111"/>
        <item m="1" x="100"/>
        <item m="1" x="354"/>
        <item m="1" x="369"/>
        <item m="1" x="281"/>
        <item m="1" x="153"/>
        <item m="1" x="230"/>
        <item x="25"/>
        <item m="1" x="219"/>
        <item m="1" x="232"/>
        <item m="1" x="313"/>
        <item m="1" x="187"/>
        <item m="1" x="239"/>
        <item m="1" x="213"/>
        <item m="1" x="293"/>
        <item m="1" x="307"/>
        <item m="1" x="324"/>
        <item m="1" x="141"/>
        <item m="1" x="276"/>
        <item m="1" x="290"/>
        <item m="1" x="303"/>
        <item m="1" x="355"/>
        <item m="1" x="332"/>
        <item m="1" x="70"/>
        <item m="1" x="83"/>
        <item m="1" x="202"/>
        <item m="1" x="192"/>
        <item m="1" x="178"/>
        <item m="1" x="87"/>
        <item m="1" x="304"/>
        <item m="1" x="234"/>
        <item m="1" x="371"/>
        <item m="1" x="263"/>
        <item x="2"/>
        <item m="1" x="72"/>
        <item m="1" x="182"/>
        <item m="1" x="196"/>
        <item m="1" x="321"/>
        <item m="1" x="197"/>
        <item m="1" x="351"/>
        <item m="1" x="334"/>
        <item m="1" x="248"/>
        <item m="1" x="43"/>
        <item m="1" x="78"/>
        <item m="1" x="343"/>
        <item m="1" x="274"/>
        <item m="1" x="222"/>
        <item m="1" x="226"/>
        <item m="1" x="257"/>
        <item m="1" x="289"/>
        <item m="1" x="285"/>
        <item m="1" x="148"/>
        <item m="1" x="218"/>
        <item m="1" x="364"/>
        <item m="1" x="308"/>
        <item m="1" x="56"/>
        <item m="1" x="94"/>
        <item m="1" x="299"/>
        <item m="1" x="250"/>
        <item m="1" x="67"/>
        <item m="1" x="198"/>
        <item m="1" x="181"/>
        <item m="1" x="79"/>
        <item m="1" x="101"/>
        <item m="1" x="254"/>
        <item m="1" x="300"/>
        <item m="1" x="125"/>
        <item m="1" x="259"/>
        <item m="1" x="235"/>
        <item m="1" x="165"/>
        <item m="1" x="329"/>
        <item m="1" x="373"/>
        <item m="1" x="338"/>
        <item m="1" x="286"/>
        <item m="1" x="271"/>
        <item m="1" x="138"/>
        <item m="1" x="326"/>
        <item m="1" x="199"/>
        <item m="1" x="174"/>
        <item m="1" x="309"/>
        <item m="1" x="96"/>
        <item m="1" x="291"/>
        <item m="1" x="149"/>
        <item m="1" x="114"/>
        <item m="1" x="261"/>
        <item m="1" x="77"/>
        <item m="1" x="366"/>
        <item m="1" x="279"/>
        <item m="1" x="273"/>
        <item m="1" x="322"/>
        <item m="1" x="139"/>
        <item m="1" x="265"/>
        <item m="1" x="119"/>
        <item m="1" x="292"/>
        <item m="1" x="188"/>
        <item m="1" x="367"/>
        <item m="1" x="262"/>
        <item m="1" x="252"/>
        <item m="1" x="280"/>
        <item m="1" x="288"/>
        <item m="1" x="159"/>
        <item m="1" x="59"/>
        <item m="1" x="42"/>
        <item m="1" x="193"/>
        <item m="1" x="306"/>
        <item m="1" x="183"/>
        <item m="1" x="200"/>
        <item m="1" x="215"/>
        <item m="1" x="225"/>
        <item m="1" x="374"/>
        <item m="1" x="129"/>
        <item m="1" x="170"/>
        <item m="1" x="65"/>
        <item m="1" x="209"/>
        <item m="1" x="47"/>
        <item m="1" x="146"/>
        <item m="1" x="236"/>
        <item m="1" x="82"/>
        <item m="1" x="266"/>
        <item m="1" x="160"/>
        <item m="1" x="221"/>
        <item m="1" x="205"/>
        <item m="1" x="121"/>
        <item m="1" x="302"/>
        <item m="1" x="237"/>
        <item m="1" x="130"/>
        <item m="1" x="297"/>
        <item m="1" x="166"/>
        <item x="19"/>
        <item x="14"/>
        <item m="1" x="210"/>
        <item m="1" x="267"/>
        <item m="1" x="151"/>
        <item m="1" x="66"/>
        <item m="1" x="171"/>
        <item x="22"/>
        <item m="1" x="54"/>
        <item m="1" x="349"/>
        <item m="1" x="156"/>
        <item m="1" x="206"/>
        <item x="23"/>
        <item m="1" x="176"/>
        <item m="1" x="211"/>
        <item m="1" x="74"/>
        <item m="1" x="110"/>
        <item m="1" x="61"/>
        <item m="1" x="201"/>
        <item m="1" x="136"/>
        <item m="1" x="161"/>
        <item m="1" x="172"/>
        <item m="1" x="48"/>
        <item m="1" x="231"/>
        <item x="27"/>
        <item m="1" x="217"/>
        <item m="1" x="106"/>
        <item m="1" x="177"/>
        <item m="1" x="212"/>
        <item m="1" x="328"/>
        <item m="1" x="249"/>
        <item m="1" x="131"/>
        <item m="1" x="336"/>
        <item m="1" x="107"/>
        <item x="32"/>
        <item m="1" x="356"/>
        <item m="1" x="49"/>
        <item x="36"/>
        <item x="37"/>
        <item m="1" x="268"/>
        <item m="1" x="258"/>
        <item m="1" x="380"/>
        <item m="1" x="92"/>
        <item m="1" x="227"/>
        <item m="1" x="318"/>
        <item m="1" x="375"/>
        <item m="1" x="233"/>
        <item m="1" x="296"/>
        <item m="1" x="98"/>
        <item m="1" x="353"/>
        <item m="1" x="116"/>
        <item m="1" x="275"/>
        <item m="1" x="44"/>
        <item m="1" x="140"/>
        <item m="1" x="345"/>
        <item m="1" x="190"/>
        <item m="1" x="167"/>
        <item m="1" x="203"/>
        <item m="1" x="282"/>
        <item m="1" x="319"/>
        <item m="1" x="164"/>
        <item m="1" x="223"/>
        <item m="1" x="173"/>
        <item m="1" x="62"/>
        <item m="1" x="124"/>
        <item m="1" x="137"/>
        <item m="1" x="214"/>
        <item m="1" x="113"/>
        <item m="1" x="294"/>
        <item m="1" x="207"/>
        <item m="1" x="143"/>
        <item m="1" x="320"/>
        <item m="1" x="102"/>
        <item m="1" x="241"/>
        <item m="1" x="184"/>
        <item m="1" x="168"/>
        <item m="1" x="260"/>
        <item m="1" x="346"/>
        <item m="1" x="255"/>
        <item m="1" x="278"/>
        <item m="1" x="169"/>
        <item m="1" x="127"/>
        <item m="1" x="305"/>
        <item m="1" x="89"/>
        <item m="1" x="379"/>
        <item m="1" x="64"/>
        <item m="1" x="284"/>
        <item m="1" x="362"/>
        <item m="1" x="347"/>
        <item m="1" x="185"/>
        <item m="1" x="115"/>
        <item m="1" x="253"/>
        <item m="1" x="363"/>
        <item m="1" x="186"/>
        <item m="1" x="53"/>
        <item m="1" x="330"/>
        <item x="12"/>
        <item x="11"/>
        <item m="1" x="311"/>
        <item m="1" x="277"/>
        <item m="1" x="180"/>
        <item m="1" x="76"/>
        <item x="1"/>
        <item m="1" x="283"/>
        <item m="1" x="50"/>
        <item m="1" x="126"/>
        <item m="1" x="333"/>
        <item m="1" x="103"/>
        <item m="1" x="339"/>
        <item m="1" x="295"/>
        <item m="1" x="52"/>
        <item m="1" x="301"/>
        <item m="1" x="370"/>
        <item x="8"/>
        <item m="1" x="69"/>
        <item m="1" x="243"/>
        <item m="1" x="147"/>
        <item m="1" x="323"/>
        <item m="1" x="238"/>
        <item m="1" x="152"/>
        <item m="1" x="135"/>
        <item m="1" x="55"/>
        <item m="1" x="350"/>
        <item m="1" x="122"/>
        <item m="1" x="162"/>
        <item m="1" x="158"/>
        <item m="1" x="123"/>
        <item m="1" x="71"/>
        <item m="1" x="359"/>
        <item m="1" x="240"/>
        <item m="1" x="314"/>
        <item m="1" x="360"/>
        <item m="1" x="179"/>
        <item m="1" x="315"/>
        <item m="1" x="194"/>
        <item m="1" x="93"/>
        <item m="1" x="163"/>
        <item m="1" x="118"/>
        <item m="1" x="157"/>
        <item m="1" x="191"/>
        <item x="30"/>
        <item m="1" x="45"/>
        <item m="1" x="132"/>
        <item m="1" x="154"/>
        <item m="1" x="269"/>
        <item m="1" x="104"/>
        <item x="5"/>
        <item m="1" x="376"/>
        <item m="1" x="75"/>
        <item m="1" x="112"/>
        <item m="1" x="228"/>
        <item x="3"/>
        <item x="4"/>
        <item x="7"/>
        <item x="9"/>
        <item x="10"/>
        <item x="13"/>
        <item x="15"/>
        <item x="16"/>
        <item x="17"/>
        <item x="18"/>
        <item x="21"/>
        <item x="24"/>
        <item x="28"/>
        <item x="29"/>
        <item x="31"/>
        <item x="33"/>
        <item x="34"/>
        <item x="35"/>
        <item x="38"/>
        <item x="39"/>
        <item x="40"/>
        <item x="41"/>
      </items>
    </pivotField>
  </pivotFields>
  <rowFields count="4">
    <field x="6"/>
    <field x="23"/>
    <field x="1"/>
    <field x="24"/>
  </rowFields>
  <rowItems count="66">
    <i>
      <x v="9"/>
    </i>
    <i r="1">
      <x v="19"/>
    </i>
    <i r="2">
      <x v="6"/>
    </i>
    <i r="2">
      <x v="8"/>
    </i>
    <i r="2">
      <x v="10"/>
    </i>
    <i r="2">
      <x v="12"/>
    </i>
    <i r="2">
      <x v="21"/>
    </i>
    <i r="2">
      <x v="22"/>
    </i>
    <i r="1">
      <x v="21"/>
    </i>
    <i r="2">
      <x/>
    </i>
    <i r="2">
      <x v="5"/>
    </i>
    <i r="2">
      <x v="10"/>
    </i>
    <i r="2">
      <x v="11"/>
    </i>
    <i r="2">
      <x v="16"/>
    </i>
    <i r="2">
      <x v="20"/>
    </i>
    <i r="2">
      <x v="22"/>
    </i>
    <i r="2">
      <x v="30"/>
    </i>
    <i r="2">
      <x v="68"/>
    </i>
    <i r="1">
      <x v="22"/>
    </i>
    <i r="2">
      <x v="5"/>
    </i>
    <i r="2">
      <x v="10"/>
    </i>
    <i r="2">
      <x v="12"/>
    </i>
    <i r="2">
      <x v="16"/>
    </i>
    <i r="2">
      <x v="21"/>
    </i>
    <i r="1">
      <x v="23"/>
    </i>
    <i r="2">
      <x/>
    </i>
    <i r="2">
      <x v="1"/>
    </i>
    <i r="2">
      <x v="12"/>
    </i>
    <i r="2">
      <x v="16"/>
    </i>
    <i r="2">
      <x v="25"/>
    </i>
    <i r="2">
      <x v="26"/>
    </i>
    <i r="1">
      <x v="24"/>
    </i>
    <i r="2">
      <x/>
    </i>
    <i r="2">
      <x v="6"/>
    </i>
    <i r="2">
      <x v="10"/>
    </i>
    <i r="2">
      <x v="11"/>
    </i>
    <i r="2">
      <x v="16"/>
    </i>
    <i r="2">
      <x v="19"/>
    </i>
    <i r="2">
      <x v="20"/>
    </i>
    <i r="2">
      <x v="21"/>
    </i>
    <i r="2">
      <x v="22"/>
    </i>
    <i r="2">
      <x v="30"/>
    </i>
    <i r="2">
      <x v="68"/>
    </i>
    <i r="1">
      <x v="25"/>
    </i>
    <i r="2">
      <x/>
    </i>
    <i r="2">
      <x v="6"/>
    </i>
    <i r="2">
      <x v="10"/>
    </i>
    <i r="2">
      <x v="16"/>
    </i>
    <i r="2">
      <x v="21"/>
    </i>
    <i r="1">
      <x v="28"/>
    </i>
    <i r="2">
      <x/>
    </i>
    <i r="2">
      <x v="10"/>
    </i>
    <i r="2">
      <x v="11"/>
    </i>
    <i r="2">
      <x v="16"/>
    </i>
    <i r="2">
      <x v="20"/>
    </i>
    <i r="2">
      <x v="21"/>
    </i>
    <i r="2">
      <x v="22"/>
    </i>
    <i r="2">
      <x v="29"/>
    </i>
    <i r="2">
      <x v="45"/>
    </i>
    <i r="2">
      <x v="68"/>
    </i>
    <i r="1">
      <x v="30"/>
    </i>
    <i r="2">
      <x/>
    </i>
    <i r="2">
      <x v="16"/>
    </i>
    <i r="2">
      <x v="20"/>
    </i>
    <i r="2">
      <x v="2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Weight" fld="3" baseField="0" baseItem="0" numFmtId="3"/>
    <dataField name="Total Credit" fld="19" baseField="0" baseItem="0" numFmtId="44"/>
    <dataField name="Total Charge" fld="20" baseField="0" baseItem="0" numFmtId="44"/>
    <dataField name="Total Number of Loads" fld="21" baseField="0" baseItem="0"/>
  </dataFields>
  <formats count="10">
    <format dxfId="6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">
      <pivotArea type="origin" dataOnly="0" labelOnly="1" outline="0" fieldPosition="0"/>
    </format>
    <format dxfId="63">
      <pivotArea field="-2" type="button" dataOnly="0" labelOnly="1" outline="0" axis="axisCol" fieldPosition="0"/>
    </format>
    <format dxfId="62">
      <pivotArea type="topRight" dataOnly="0" labelOnly="1" outline="0" fieldPosition="0"/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59">
      <pivotArea dataOnly="0" labelOnly="1" grandRow="1" outline="0" fieldPosition="0"/>
    </format>
    <format dxfId="58">
      <pivotArea field="-2" type="button" dataOnly="0" labelOnly="1" outline="0" axis="axisCol" fieldPosition="0"/>
    </format>
    <format dxfId="5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OEW Custom" showRowHeaders="1" showColHeaders="1" showRowStripes="0" showColStripes="0" showLastColumn="1"/>
  <filters count="1">
    <filter fld="24" type="yearToDate" evalOrder="-1" id="1">
      <autoFilter ref="A1">
        <filterColumn colId="0">
          <dynamicFilter type="yearToDate" val="42005" maxVal="42350"/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Receipt-Invoice" cacheId="7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H11:H13" firstHeaderRow="1" firstDataRow="1" firstDataCol="1"/>
  <pivotFields count="25">
    <pivotField showAll="0" defaultSubtotal="0"/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axis="axisRow" multipleItemSelectionAllowed="1" showAll="0" defaultSubtotal="0">
      <items count="10">
        <item sd="0" m="1" x="5"/>
        <item sd="0" m="1" x="2"/>
        <item sd="0" m="1" x="7"/>
        <item sd="0" m="1" x="1"/>
        <item sd="0" m="1" x="4"/>
        <item sd="0" m="1" x="3"/>
        <item sd="0" m="1" x="6"/>
        <item sd="0" m="1" x="9"/>
        <item sd="0" m="1" x="8"/>
        <item sd="0" x="0"/>
      </items>
    </pivotField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4" showAll="0"/>
    <pivotField numFmtId="44" showAll="0"/>
    <pivotField showAll="0"/>
    <pivotField showAll="0"/>
    <pivotField showAll="0" defaultSubtotal="0"/>
    <pivotField axis="axisRow" multipleItemSelectionAllowed="1" showAll="0" defaultSubtotal="0">
      <items count="381">
        <item h="1" m="1" x="195"/>
        <item h="1" m="1" x="361"/>
        <item h="1" m="1" x="155"/>
        <item h="1" x="0"/>
        <item h="1" m="1" x="117"/>
        <item h="1" m="1" x="377"/>
        <item h="1" m="1" x="365"/>
        <item h="1" m="1" x="242"/>
        <item h="1" m="1" x="256"/>
        <item h="1" m="1" x="246"/>
        <item h="1" m="1" x="58"/>
        <item h="1" m="1" x="272"/>
        <item h="1" m="1" x="287"/>
        <item h="1" m="1" x="251"/>
        <item h="1" m="1" x="378"/>
        <item h="1" m="1" x="51"/>
        <item h="1" m="1" x="68"/>
        <item h="1" m="1" x="80"/>
        <item h="1" m="1" x="95"/>
        <item h="1" m="1" x="108"/>
        <item h="1" m="1" x="144"/>
        <item h="1" m="1" x="88"/>
        <item h="1" m="1" x="342"/>
        <item h="1" m="1" x="264"/>
        <item h="1" m="1" x="204"/>
        <item h="1" m="1" x="57"/>
        <item h="1" m="1" x="220"/>
        <item h="1" m="1" x="270"/>
        <item h="1" m="1" x="372"/>
        <item h="1" m="1" x="46"/>
        <item h="1" m="1" x="63"/>
        <item h="1" m="1" x="341"/>
        <item h="1" m="1" x="357"/>
        <item h="1" m="1" x="229"/>
        <item h="1" m="1" x="245"/>
        <item h="1" m="1" x="325"/>
        <item h="1" m="1" x="142"/>
        <item h="1" m="1" x="337"/>
        <item h="1" m="1" x="86"/>
        <item h="1" m="1" x="317"/>
        <item h="1" m="1" x="331"/>
        <item h="1" m="1" x="344"/>
        <item h="1" m="1" x="298"/>
        <item h="1" m="1" x="312"/>
        <item h="1" x="20"/>
        <item h="1" m="1" x="316"/>
        <item h="1" m="1" x="134"/>
        <item h="1" m="1" x="244"/>
        <item h="1" m="1" x="91"/>
        <item h="1" m="1" x="358"/>
        <item h="1" m="1" x="60"/>
        <item h="1" m="1" x="73"/>
        <item h="1" m="1" x="85"/>
        <item h="1" m="1" x="99"/>
        <item h="1" m="1" x="189"/>
        <item h="1" m="1" x="90"/>
        <item h="1" m="1" x="216"/>
        <item h="1" x="6"/>
        <item h="1" m="1" x="310"/>
        <item h="1" m="1" x="327"/>
        <item h="1" m="1" x="340"/>
        <item h="1" m="1" x="352"/>
        <item h="1" m="1" x="368"/>
        <item h="1" m="1" x="105"/>
        <item h="1" m="1" x="120"/>
        <item h="1" m="1" x="335"/>
        <item h="1" m="1" x="348"/>
        <item h="1" m="1" x="84"/>
        <item h="1" m="1" x="145"/>
        <item h="1" m="1" x="175"/>
        <item h="1" m="1" x="133"/>
        <item h="1" m="1" x="150"/>
        <item h="1" m="1" x="81"/>
        <item h="1" m="1" x="247"/>
        <item h="1" m="1" x="97"/>
        <item h="1" m="1" x="109"/>
        <item h="1" m="1" x="128"/>
        <item h="1" m="1" x="208"/>
        <item h="1" m="1" x="224"/>
        <item h="1" x="26"/>
        <item h="1" m="1" x="111"/>
        <item h="1" m="1" x="100"/>
        <item h="1" m="1" x="354"/>
        <item h="1" m="1" x="369"/>
        <item h="1" m="1" x="281"/>
        <item h="1" m="1" x="153"/>
        <item h="1" m="1" x="230"/>
        <item h="1" x="25"/>
        <item h="1" m="1" x="219"/>
        <item h="1" m="1" x="232"/>
        <item h="1" m="1" x="313"/>
        <item h="1" m="1" x="187"/>
        <item h="1" m="1" x="239"/>
        <item h="1" m="1" x="213"/>
        <item h="1" m="1" x="293"/>
        <item h="1" m="1" x="307"/>
        <item h="1" m="1" x="324"/>
        <item h="1" m="1" x="141"/>
        <item h="1" m="1" x="276"/>
        <item h="1" m="1" x="290"/>
        <item h="1" m="1" x="303"/>
        <item h="1" m="1" x="355"/>
        <item h="1" m="1" x="332"/>
        <item h="1" m="1" x="70"/>
        <item h="1" m="1" x="83"/>
        <item h="1" m="1" x="202"/>
        <item h="1" m="1" x="192"/>
        <item h="1" m="1" x="178"/>
        <item h="1" m="1" x="87"/>
        <item h="1" m="1" x="304"/>
        <item h="1" m="1" x="234"/>
        <item h="1" m="1" x="371"/>
        <item h="1" m="1" x="263"/>
        <item h="1" x="2"/>
        <item h="1" m="1" x="72"/>
        <item h="1" m="1" x="182"/>
        <item h="1" m="1" x="196"/>
        <item h="1" m="1" x="321"/>
        <item h="1" m="1" x="197"/>
        <item h="1" m="1" x="351"/>
        <item h="1" m="1" x="334"/>
        <item h="1" m="1" x="248"/>
        <item h="1" m="1" x="43"/>
        <item h="1" m="1" x="78"/>
        <item h="1" m="1" x="343"/>
        <item h="1" m="1" x="274"/>
        <item h="1" m="1" x="222"/>
        <item h="1" m="1" x="226"/>
        <item h="1" m="1" x="257"/>
        <item h="1" m="1" x="289"/>
        <item h="1" m="1" x="285"/>
        <item h="1" m="1" x="148"/>
        <item h="1" m="1" x="218"/>
        <item h="1" m="1" x="364"/>
        <item h="1" m="1" x="308"/>
        <item h="1" m="1" x="56"/>
        <item h="1" m="1" x="94"/>
        <item h="1" m="1" x="299"/>
        <item h="1" m="1" x="250"/>
        <item h="1" m="1" x="67"/>
        <item h="1" m="1" x="198"/>
        <item h="1" m="1" x="181"/>
        <item h="1" m="1" x="79"/>
        <item h="1" m="1" x="101"/>
        <item h="1" m="1" x="254"/>
        <item h="1" m="1" x="300"/>
        <item h="1" m="1" x="125"/>
        <item h="1" m="1" x="259"/>
        <item h="1" m="1" x="235"/>
        <item h="1" m="1" x="165"/>
        <item h="1" m="1" x="329"/>
        <item h="1" m="1" x="373"/>
        <item h="1" m="1" x="338"/>
        <item h="1" m="1" x="286"/>
        <item h="1" m="1" x="271"/>
        <item h="1" m="1" x="138"/>
        <item h="1" m="1" x="326"/>
        <item h="1" m="1" x="199"/>
        <item h="1" m="1" x="174"/>
        <item h="1" m="1" x="309"/>
        <item h="1" m="1" x="96"/>
        <item h="1" m="1" x="291"/>
        <item h="1" m="1" x="149"/>
        <item h="1" m="1" x="114"/>
        <item h="1" m="1" x="261"/>
        <item h="1" m="1" x="77"/>
        <item h="1" m="1" x="366"/>
        <item h="1" m="1" x="279"/>
        <item h="1" m="1" x="273"/>
        <item h="1" m="1" x="322"/>
        <item h="1" m="1" x="139"/>
        <item h="1" m="1" x="265"/>
        <item h="1" m="1" x="119"/>
        <item h="1" m="1" x="292"/>
        <item h="1" m="1" x="188"/>
        <item h="1" m="1" x="367"/>
        <item h="1" m="1" x="262"/>
        <item h="1" m="1" x="252"/>
        <item h="1" m="1" x="280"/>
        <item h="1" m="1" x="288"/>
        <item h="1" m="1" x="159"/>
        <item h="1" m="1" x="59"/>
        <item h="1" m="1" x="42"/>
        <item h="1" m="1" x="193"/>
        <item h="1" m="1" x="306"/>
        <item h="1" m="1" x="183"/>
        <item h="1" m="1" x="200"/>
        <item h="1" m="1" x="215"/>
        <item h="1" m="1" x="225"/>
        <item h="1" m="1" x="374"/>
        <item h="1" m="1" x="129"/>
        <item h="1" m="1" x="170"/>
        <item h="1" m="1" x="65"/>
        <item h="1" m="1" x="209"/>
        <item h="1" m="1" x="47"/>
        <item h="1" m="1" x="146"/>
        <item h="1" m="1" x="236"/>
        <item h="1" m="1" x="82"/>
        <item h="1" m="1" x="266"/>
        <item h="1" m="1" x="160"/>
        <item h="1" m="1" x="221"/>
        <item h="1" m="1" x="205"/>
        <item h="1" m="1" x="121"/>
        <item h="1" m="1" x="302"/>
        <item h="1" m="1" x="237"/>
        <item h="1" m="1" x="130"/>
        <item h="1" m="1" x="297"/>
        <item h="1" m="1" x="166"/>
        <item h="1" x="19"/>
        <item h="1" x="14"/>
        <item h="1" m="1" x="210"/>
        <item h="1" m="1" x="267"/>
        <item h="1" m="1" x="151"/>
        <item h="1" m="1" x="66"/>
        <item h="1" m="1" x="171"/>
        <item h="1" x="22"/>
        <item h="1" m="1" x="54"/>
        <item h="1" m="1" x="349"/>
        <item h="1" m="1" x="156"/>
        <item h="1" m="1" x="206"/>
        <item h="1" x="23"/>
        <item h="1" m="1" x="176"/>
        <item h="1" m="1" x="211"/>
        <item h="1" m="1" x="74"/>
        <item h="1" m="1" x="110"/>
        <item h="1" m="1" x="61"/>
        <item h="1" m="1" x="201"/>
        <item h="1" m="1" x="136"/>
        <item h="1" m="1" x="161"/>
        <item h="1" m="1" x="172"/>
        <item h="1" m="1" x="48"/>
        <item h="1" m="1" x="231"/>
        <item h="1" x="27"/>
        <item h="1" m="1" x="217"/>
        <item h="1" m="1" x="106"/>
        <item h="1" m="1" x="177"/>
        <item h="1" m="1" x="212"/>
        <item h="1" m="1" x="328"/>
        <item h="1" m="1" x="249"/>
        <item h="1" m="1" x="131"/>
        <item h="1" m="1" x="336"/>
        <item h="1" m="1" x="107"/>
        <item h="1" x="32"/>
        <item h="1" m="1" x="356"/>
        <item h="1" m="1" x="49"/>
        <item h="1" x="36"/>
        <item h="1" x="37"/>
        <item h="1" m="1" x="268"/>
        <item h="1" m="1" x="258"/>
        <item h="1" m="1" x="380"/>
        <item h="1" m="1" x="92"/>
        <item h="1" m="1" x="227"/>
        <item h="1" m="1" x="318"/>
        <item h="1" m="1" x="375"/>
        <item h="1" m="1" x="233"/>
        <item h="1" m="1" x="296"/>
        <item h="1" m="1" x="98"/>
        <item h="1" m="1" x="353"/>
        <item h="1" m="1" x="116"/>
        <item h="1" m="1" x="275"/>
        <item h="1" m="1" x="44"/>
        <item h="1" m="1" x="140"/>
        <item h="1" m="1" x="345"/>
        <item h="1" m="1" x="190"/>
        <item h="1" m="1" x="167"/>
        <item h="1" m="1" x="203"/>
        <item h="1" m="1" x="282"/>
        <item h="1" m="1" x="319"/>
        <item h="1" m="1" x="164"/>
        <item h="1" m="1" x="223"/>
        <item h="1" m="1" x="173"/>
        <item h="1" m="1" x="62"/>
        <item h="1" m="1" x="124"/>
        <item h="1" m="1" x="137"/>
        <item h="1" m="1" x="214"/>
        <item h="1" m="1" x="113"/>
        <item h="1" m="1" x="294"/>
        <item h="1" m="1" x="207"/>
        <item h="1" m="1" x="143"/>
        <item h="1" m="1" x="320"/>
        <item h="1" m="1" x="102"/>
        <item h="1" m="1" x="241"/>
        <item h="1" m="1" x="184"/>
        <item h="1" m="1" x="168"/>
        <item h="1" m="1" x="260"/>
        <item h="1" m="1" x="346"/>
        <item h="1" m="1" x="255"/>
        <item h="1" m="1" x="278"/>
        <item h="1" m="1" x="169"/>
        <item h="1" m="1" x="127"/>
        <item h="1" m="1" x="305"/>
        <item h="1" m="1" x="89"/>
        <item h="1" m="1" x="379"/>
        <item h="1" m="1" x="64"/>
        <item h="1" m="1" x="284"/>
        <item h="1" m="1" x="362"/>
        <item h="1" m="1" x="347"/>
        <item h="1" m="1" x="185"/>
        <item h="1" m="1" x="115"/>
        <item h="1" m="1" x="253"/>
        <item h="1" m="1" x="363"/>
        <item h="1" m="1" x="186"/>
        <item h="1" m="1" x="53"/>
        <item h="1" m="1" x="330"/>
        <item h="1" x="12"/>
        <item h="1" x="11"/>
        <item h="1" m="1" x="311"/>
        <item h="1" m="1" x="277"/>
        <item h="1" m="1" x="180"/>
        <item h="1" m="1" x="76"/>
        <item h="1" x="1"/>
        <item h="1" m="1" x="283"/>
        <item h="1" m="1" x="50"/>
        <item h="1" m="1" x="126"/>
        <item h="1" m="1" x="333"/>
        <item h="1" m="1" x="103"/>
        <item h="1" m="1" x="339"/>
        <item h="1" m="1" x="295"/>
        <item h="1" m="1" x="52"/>
        <item h="1" m="1" x="301"/>
        <item h="1" m="1" x="370"/>
        <item h="1" x="8"/>
        <item h="1" m="1" x="69"/>
        <item h="1" m="1" x="243"/>
        <item h="1" m="1" x="147"/>
        <item h="1" m="1" x="323"/>
        <item h="1" m="1" x="238"/>
        <item h="1" m="1" x="152"/>
        <item h="1" m="1" x="135"/>
        <item h="1" m="1" x="55"/>
        <item h="1" m="1" x="350"/>
        <item h="1" m="1" x="122"/>
        <item h="1" m="1" x="162"/>
        <item h="1" m="1" x="158"/>
        <item h="1" m="1" x="123"/>
        <item h="1" m="1" x="71"/>
        <item h="1" m="1" x="359"/>
        <item h="1" m="1" x="240"/>
        <item h="1" m="1" x="314"/>
        <item h="1" m="1" x="360"/>
        <item h="1" m="1" x="179"/>
        <item h="1" m="1" x="315"/>
        <item h="1" m="1" x="194"/>
        <item m="1" x="93"/>
        <item m="1" x="163"/>
        <item h="1" m="1" x="118"/>
        <item h="1" m="1" x="157"/>
        <item h="1" m="1" x="191"/>
        <item h="1" x="30"/>
        <item h="1" m="1" x="45"/>
        <item h="1" m="1" x="132"/>
        <item h="1" m="1" x="154"/>
        <item h="1" m="1" x="269"/>
        <item h="1" m="1" x="104"/>
        <item h="1" x="5"/>
        <item m="1" x="376"/>
        <item h="1" m="1" x="75"/>
        <item h="1" m="1" x="112"/>
        <item m="1" x="228"/>
        <item h="1" x="3"/>
        <item h="1" x="4"/>
        <item h="1" x="7"/>
        <item h="1" x="9"/>
        <item h="1" x="10"/>
        <item h="1" x="13"/>
        <item h="1" x="15"/>
        <item h="1" x="16"/>
        <item h="1" x="17"/>
        <item h="1" x="18"/>
        <item h="1" x="21"/>
        <item h="1" x="24"/>
        <item h="1" x="28"/>
        <item h="1" x="29"/>
        <item h="1" x="31"/>
        <item h="1" x="33"/>
        <item h="1" x="34"/>
        <item h="1" x="35"/>
        <item h="1" x="38"/>
        <item h="1" x="39"/>
        <item h="1" x="40"/>
        <item x="41"/>
      </items>
    </pivotField>
  </pivotFields>
  <rowFields count="2">
    <field x="6"/>
    <field x="24"/>
  </rowFields>
  <rowItems count="2">
    <i>
      <x v="9"/>
    </i>
    <i t="grand">
      <x/>
    </i>
  </rowItems>
  <colItems count="1">
    <i/>
  </colItem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4" name="DbLinkTable" displayName="DbLinkTable" ref="A1:Y629" totalsRowShown="0" headerRowDxfId="42" headerRowBorderDxfId="41">
  <autoFilter ref="A1:Y629">
    <filterColumn colId="18"/>
    <filterColumn colId="19"/>
    <filterColumn colId="20"/>
    <filterColumn colId="21"/>
    <filterColumn colId="22"/>
    <filterColumn colId="23"/>
    <filterColumn colId="24"/>
  </autoFilter>
  <sortState ref="A2:R1048576">
    <sortCondition ref="A1:A1048576"/>
  </sortState>
  <tableColumns count="25">
    <tableColumn id="1" name="UNPM_ID"/>
    <tableColumn id="2" name="Type"/>
    <tableColumn id="3" name="Description"/>
    <tableColumn id="4" name="Weight"/>
    <tableColumn id="5" name="Location"/>
    <tableColumn id="6" name="Date Received"/>
    <tableColumn id="7" name="Customer"/>
    <tableColumn id="8" name="Trailer Number"/>
    <tableColumn id="9" name="Processed"/>
    <tableColumn id="10" name="Date Processed"/>
    <tableColumn id="11" name="Man-Hours to Process"/>
    <tableColumn id="12" name="Barcode"/>
    <tableColumn id="13" name="Notes"/>
    <tableColumn id="14" name="Attachments"/>
    <tableColumn id="15" name="Alter"/>
    <tableColumn id="16" name="Date Added"/>
    <tableColumn id="17" name="Load_ID"/>
    <tableColumn id="18" name="Price/lb" dataCellStyle="Currency"/>
    <tableColumn id="19" name="Cost" dataDxfId="40" dataCellStyle="Currency">
      <calculatedColumnFormula>DbLinkTable[[#This Row],[Credit]]+DbLinkTable[[#This Row],[Charge]]</calculatedColumnFormula>
    </tableColumn>
    <tableColumn id="20" name="Credit" dataCellStyle="Currency">
      <calculatedColumnFormula>IF(DbLinkTable[[#This Row],[Price/lb]]*DbLinkTable[[#This Row],[Weight]]&gt;0,DbLinkTable[[#This Row],[Price/lb]]*DbLinkTable[[#This Row],[Weight]],0)</calculatedColumnFormula>
    </tableColumn>
    <tableColumn id="21" name="Charge" dataCellStyle="Currency">
      <calculatedColumnFormula>IF(DbLinkTable[[#This Row],[Price/lb]]*DbLinkTable[[#This Row],[Weight]]&lt;0,DbLinkTable[[#This Row],[Price/lb]]*DbLinkTable[[#This Row],[Weight]],0)</calculatedColumnFormula>
    </tableColumn>
    <tableColumn id="22" name="Trailer Count" dataDxfId="39">
      <calculatedColumnFormula>IF(COUNTIF($W$2:W2,W2)=1,1,"")</calculatedColumnFormula>
    </tableColumn>
    <tableColumn id="23" name="Load Id" dataDxfId="38">
      <calculatedColumnFormula>CONCATENATE(DbLinkTable[[#This Row],[Customer]],UPPER(DbLinkTable[[#This Row],[Trailer Number]]),DbLinkTable[[#This Row],[Day Received]])</calculatedColumnFormula>
    </tableColumn>
    <tableColumn id="24" name="Month" dataDxfId="37">
      <calculatedColumnFormula>DATEVALUE(TEXT(DbLinkTable[[#This Row],[Date Received]],"MMMM YYYY"))</calculatedColumnFormula>
    </tableColumn>
    <tableColumn id="25" name="Day Received" dataDxfId="36">
      <calculatedColumnFormula>INT(DbLinkTable[[#This Row],[Date Received]])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DbCustomers" displayName="DbCustomers" ref="A1:L130" totalsRowShown="0" headerRowDxfId="35" dataDxfId="33" headerRowBorderDxfId="34">
  <autoFilter ref="A1:L130"/>
  <sortState ref="A2:L130">
    <sortCondition ref="B1:B130"/>
  </sortState>
  <tableColumns count="12">
    <tableColumn id="1" name="ID" dataDxfId="32"/>
    <tableColumn id="2" name="Company" dataDxfId="31"/>
    <tableColumn id="3" name="Address" dataDxfId="30"/>
    <tableColumn id="4" name="Contact Person Last" dataDxfId="29"/>
    <tableColumn id="5" name="Contact Person First" dataDxfId="28"/>
    <tableColumn id="6" name="Direct Number" dataDxfId="27"/>
    <tableColumn id="7" name="Cell Number" dataDxfId="26"/>
    <tableColumn id="8" name="Email Address" dataDxfId="25"/>
    <tableColumn id="9" name="Contact Details" dataDxfId="24"/>
    <tableColumn id="10" name="Credit App?" dataDxfId="23"/>
    <tableColumn id="11" name="Delivery" dataDxfId="22"/>
    <tableColumn id="12" name="Equipment / Process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7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1:G33"/>
  <sheetViews>
    <sheetView tabSelected="1" workbookViewId="0">
      <selection activeCell="D8" sqref="D8"/>
    </sheetView>
  </sheetViews>
  <sheetFormatPr defaultRowHeight="15"/>
  <cols>
    <col min="1" max="1" width="4.28515625" customWidth="1"/>
    <col min="2" max="3" width="42.85546875" customWidth="1"/>
    <col min="4" max="4" width="41" customWidth="1"/>
    <col min="5" max="5" width="4.28515625" customWidth="1"/>
    <col min="6" max="6" width="41" customWidth="1"/>
    <col min="8" max="8" width="9.5703125" bestFit="1" customWidth="1"/>
    <col min="9" max="9" width="7.140625" customWidth="1"/>
  </cols>
  <sheetData>
    <row r="1" spans="2:7" ht="22.5" customHeight="1" thickBot="1"/>
    <row r="2" spans="2:7" ht="52.5" customHeight="1" thickBot="1">
      <c r="B2" s="21"/>
      <c r="E2" s="4"/>
      <c r="F2" s="4"/>
      <c r="G2" s="4"/>
    </row>
    <row r="3" spans="2:7" ht="47.25" thickBot="1">
      <c r="B3" s="110" t="s">
        <v>28</v>
      </c>
      <c r="C3" s="111"/>
      <c r="D3" s="104"/>
      <c r="E3" s="4"/>
      <c r="F3" s="4"/>
      <c r="G3" s="4"/>
    </row>
    <row r="4" spans="2:7">
      <c r="G4" s="4"/>
    </row>
    <row r="5" spans="2:7" ht="15.75" thickBot="1">
      <c r="G5" s="4"/>
    </row>
    <row r="6" spans="2:7" ht="15.75" thickBot="1">
      <c r="B6" s="112" t="s">
        <v>78</v>
      </c>
      <c r="C6" s="113"/>
      <c r="E6" s="4"/>
      <c r="F6" s="4"/>
      <c r="G6" s="4"/>
    </row>
    <row r="7" spans="2:7" ht="24" thickBot="1">
      <c r="B7" s="96" t="s">
        <v>50</v>
      </c>
      <c r="C7" t="s">
        <v>192</v>
      </c>
      <c r="D7" s="64"/>
    </row>
    <row r="8" spans="2:7">
      <c r="C8" s="107"/>
      <c r="G8" s="4"/>
    </row>
    <row r="9" spans="2:7" ht="15.75" thickBot="1"/>
    <row r="10" spans="2:7" ht="15.75" thickBot="1">
      <c r="B10" s="105" t="s">
        <v>80</v>
      </c>
      <c r="C10" s="106"/>
    </row>
    <row r="11" spans="2:7" ht="21.75" thickBot="1">
      <c r="B11" s="80" t="s">
        <v>33</v>
      </c>
      <c r="C11" s="97" t="s">
        <v>34</v>
      </c>
    </row>
    <row r="12" spans="2:7">
      <c r="B12" s="108">
        <v>42309</v>
      </c>
      <c r="C12" s="98">
        <v>42338</v>
      </c>
    </row>
    <row r="13" spans="2:7">
      <c r="B13" s="64"/>
      <c r="C13" s="93"/>
    </row>
    <row r="14" spans="2:7">
      <c r="B14" s="64"/>
      <c r="C14" s="94"/>
    </row>
    <row r="15" spans="2:7">
      <c r="B15" s="64"/>
      <c r="C15" s="94"/>
    </row>
    <row r="16" spans="2:7">
      <c r="B16" s="64"/>
      <c r="C16" s="94"/>
    </row>
    <row r="17" spans="2:3">
      <c r="B17" s="64"/>
      <c r="C17" s="94"/>
    </row>
    <row r="18" spans="2:3">
      <c r="B18" s="64"/>
      <c r="C18" s="94"/>
    </row>
    <row r="19" spans="2:3">
      <c r="B19" s="64"/>
      <c r="C19" s="94"/>
    </row>
    <row r="20" spans="2:3">
      <c r="B20" s="64"/>
      <c r="C20" s="94"/>
    </row>
    <row r="21" spans="2:3">
      <c r="B21" s="64"/>
      <c r="C21" s="94"/>
    </row>
    <row r="22" spans="2:3" ht="15.75" thickBot="1">
      <c r="B22" s="65"/>
      <c r="C22" s="95"/>
    </row>
    <row r="24" spans="2:3" ht="15.75" thickBot="1"/>
    <row r="25" spans="2:3" ht="15.75" thickBot="1">
      <c r="B25" s="103" t="s">
        <v>79</v>
      </c>
    </row>
    <row r="26" spans="2:3" ht="42" customHeight="1" thickBot="1">
      <c r="B26" s="86"/>
    </row>
    <row r="31" spans="2:3" ht="15.75" thickBot="1"/>
    <row r="33" ht="15.75" thickBot="1"/>
  </sheetData>
  <mergeCells count="2">
    <mergeCell ref="B3:C3"/>
    <mergeCell ref="B6:C6"/>
  </mergeCells>
  <pageMargins left="0.7" right="0.7" top="0.75" bottom="0.75" header="0.3" footer="0.3"/>
  <pageSetup orientation="portrait" r:id="rId2"/>
  <drawing r:id="rId3"/>
  <legacyDrawing r:id="rId4"/>
  <controls>
    <control shapeId="1025" r:id="rId5" name="Calendar1"/>
    <control shapeId="1026" r:id="rId6" name="Calendar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K155"/>
  <sheetViews>
    <sheetView zoomScale="85" zoomScaleNormal="85" workbookViewId="0">
      <selection activeCell="A41" sqref="A41"/>
    </sheetView>
  </sheetViews>
  <sheetFormatPr defaultRowHeight="15"/>
  <cols>
    <col min="1" max="1" width="36.42578125" bestFit="1" customWidth="1"/>
    <col min="2" max="2" width="20.5703125" bestFit="1" customWidth="1"/>
    <col min="3" max="3" width="14.85546875" bestFit="1" customWidth="1"/>
    <col min="4" max="4" width="16.42578125" style="6" bestFit="1" customWidth="1"/>
    <col min="5" max="5" width="27.7109375" style="6" hidden="1" customWidth="1"/>
    <col min="6" max="6" width="27.7109375" bestFit="1" customWidth="1"/>
    <col min="7" max="7" width="114.28515625" customWidth="1"/>
    <col min="9" max="9" width="23.7109375" bestFit="1" customWidth="1"/>
    <col min="10" max="10" width="21.7109375" customWidth="1"/>
    <col min="11" max="11" width="12.42578125" customWidth="1"/>
    <col min="12" max="12" width="17.5703125" customWidth="1"/>
    <col min="13" max="13" width="14.7109375" customWidth="1"/>
    <col min="14" max="14" width="25.7109375" bestFit="1" customWidth="1"/>
    <col min="15" max="15" width="26.7109375" bestFit="1" customWidth="1"/>
  </cols>
  <sheetData>
    <row r="1" spans="1:11" ht="75" customHeight="1" thickBot="1">
      <c r="A1" s="22"/>
      <c r="B1" s="114" t="str">
        <f>CONCATENATE(IFERROR(IF(LEFT(A4,FIND(" ",A4)-1)="ABBOTT",LEFT(A4,FIND(" ",A4)-1),A4),A4), CHAR(10), "Recycling Activity Report ",CHAR(10),TEXT('Customer Selection'!B12,"MM/DD/YYYY"), " to ", TEXT('Customer Selection'!C12,"MM/DD/YYYY"))</f>
        <v>Company14
Recycling Activity Report 
11/01/2015 to 11/30/2015</v>
      </c>
      <c r="C1" s="115"/>
      <c r="D1" s="115"/>
      <c r="E1" s="115"/>
      <c r="F1" s="115"/>
      <c r="G1" s="74" t="str">
        <f>CONCATENATE(IFERROR(IF(LEFT(A4,FIND(" ",A4)-1)="ABBOTT",LEFT(A4,FIND(" ",A4)-1),A4),A4), CHAR(10)," Recycling Activity Report ","(",TEXT('Customer Selection'!B12,"MM/DD/YYYY"), " to ", TEXT('Customer Selection'!C12,"MM/DD/YYYY"),")")</f>
        <v>Company14
 Recycling Activity Report (11/01/2015 to 11/30/2015)</v>
      </c>
      <c r="H1" s="73"/>
      <c r="I1" s="73"/>
      <c r="J1" s="73"/>
      <c r="K1" s="73"/>
    </row>
    <row r="2" spans="1:11">
      <c r="A2" s="9"/>
      <c r="B2" s="16" t="s">
        <v>1</v>
      </c>
      <c r="C2" s="9"/>
      <c r="D2" s="9"/>
      <c r="E2" s="9"/>
      <c r="F2" s="8" t="s">
        <v>2</v>
      </c>
      <c r="G2" s="76" t="s">
        <v>62</v>
      </c>
    </row>
    <row r="3" spans="1:11">
      <c r="A3" s="20" t="s">
        <v>18</v>
      </c>
      <c r="B3" s="7" t="s">
        <v>62</v>
      </c>
      <c r="C3" s="10" t="s">
        <v>21</v>
      </c>
      <c r="D3" s="10" t="s">
        <v>3</v>
      </c>
      <c r="E3" s="7" t="s">
        <v>20</v>
      </c>
      <c r="F3" s="11" t="s">
        <v>20</v>
      </c>
      <c r="G3" s="1" t="str">
        <f>CONCATENATE("Grand Total: ",TEXT(GETPIVOTDATA("Total Weight",$A$2),"###,###")," Pounds")</f>
        <v>Grand Total: 14,499 Pounds</v>
      </c>
    </row>
    <row r="4" spans="1:11" ht="15.75">
      <c r="A4" s="2" t="s">
        <v>192</v>
      </c>
      <c r="B4" s="70"/>
      <c r="C4" s="23"/>
      <c r="D4" s="23"/>
      <c r="E4" s="5"/>
      <c r="F4" s="12">
        <f>GETPIVOTDATA("Total Number of Loads",$A$2)</f>
        <v>1</v>
      </c>
    </row>
    <row r="5" spans="1:11">
      <c r="A5" s="92" t="s">
        <v>43</v>
      </c>
      <c r="B5" s="70">
        <v>10929</v>
      </c>
      <c r="C5" s="23">
        <v>54.645000000000003</v>
      </c>
      <c r="D5" s="23">
        <v>0</v>
      </c>
      <c r="E5" s="5">
        <v>0</v>
      </c>
    </row>
    <row r="6" spans="1:11" ht="21">
      <c r="A6" s="92" t="s">
        <v>46</v>
      </c>
      <c r="B6" s="70">
        <v>480</v>
      </c>
      <c r="C6" s="23">
        <v>7.2</v>
      </c>
      <c r="D6" s="23">
        <v>0</v>
      </c>
      <c r="E6" s="5">
        <v>0</v>
      </c>
      <c r="F6" s="13" t="str">
        <f>CONCATENATE("Total Net Amount")</f>
        <v>Total Net Amount</v>
      </c>
    </row>
    <row r="7" spans="1:11" ht="21">
      <c r="A7" s="92" t="s">
        <v>47</v>
      </c>
      <c r="B7" s="70">
        <v>460</v>
      </c>
      <c r="C7" s="23">
        <v>0</v>
      </c>
      <c r="D7" s="23">
        <v>-32.200000000000003</v>
      </c>
      <c r="E7" s="5">
        <v>1</v>
      </c>
      <c r="F7" s="14">
        <f>GETPIVOTDATA("Total Credit",$A$2)+GETPIVOTDATA("Total Charge",$A$2)</f>
        <v>29.645000000000003</v>
      </c>
    </row>
    <row r="8" spans="1:11" ht="15.75">
      <c r="A8" s="92" t="s">
        <v>1502</v>
      </c>
      <c r="B8" s="70">
        <v>2630</v>
      </c>
      <c r="C8" s="23">
        <v>0</v>
      </c>
      <c r="D8" s="23">
        <v>0</v>
      </c>
      <c r="E8" s="5">
        <v>0</v>
      </c>
    </row>
    <row r="9" spans="1:11" ht="15.75">
      <c r="A9" s="15" t="s">
        <v>16</v>
      </c>
      <c r="B9" s="70">
        <v>14499</v>
      </c>
      <c r="C9" s="23">
        <v>61.845000000000006</v>
      </c>
      <c r="D9" s="23">
        <v>-32.200000000000003</v>
      </c>
      <c r="E9" s="5">
        <v>1</v>
      </c>
    </row>
    <row r="10" spans="1:11">
      <c r="D10"/>
      <c r="E10"/>
    </row>
    <row r="11" spans="1:11">
      <c r="D11"/>
      <c r="E11"/>
    </row>
    <row r="12" spans="1:11">
      <c r="D12"/>
      <c r="E12"/>
    </row>
    <row r="13" spans="1:11">
      <c r="D13"/>
      <c r="E13"/>
    </row>
    <row r="14" spans="1:11" ht="15.75">
      <c r="D14"/>
      <c r="E14"/>
    </row>
    <row r="15" spans="1:11">
      <c r="D15"/>
      <c r="E15"/>
    </row>
    <row r="16" spans="1:11" ht="15.75">
      <c r="D16"/>
      <c r="E16"/>
    </row>
    <row r="17" spans="4:5">
      <c r="D17"/>
      <c r="E17"/>
    </row>
    <row r="18" spans="4:5">
      <c r="D18"/>
      <c r="E18"/>
    </row>
    <row r="19" spans="4:5">
      <c r="D19"/>
      <c r="E19"/>
    </row>
    <row r="20" spans="4:5">
      <c r="D20"/>
      <c r="E20"/>
    </row>
    <row r="21" spans="4:5" ht="15.75">
      <c r="D21"/>
      <c r="E21"/>
    </row>
    <row r="22" spans="4:5" ht="15.75">
      <c r="D22"/>
      <c r="E22"/>
    </row>
    <row r="23" spans="4:5">
      <c r="D23"/>
      <c r="E23"/>
    </row>
    <row r="24" spans="4:5">
      <c r="D24"/>
      <c r="E24"/>
    </row>
    <row r="25" spans="4:5" ht="15.75">
      <c r="D25"/>
      <c r="E25"/>
    </row>
    <row r="26" spans="4:5">
      <c r="D26"/>
      <c r="E26"/>
    </row>
    <row r="27" spans="4:5" ht="15.75">
      <c r="D27"/>
      <c r="E27"/>
    </row>
    <row r="28" spans="4:5">
      <c r="D28"/>
      <c r="E28"/>
    </row>
    <row r="29" spans="4:5">
      <c r="D29"/>
      <c r="E29"/>
    </row>
    <row r="30" spans="4:5" ht="15.75">
      <c r="D30"/>
      <c r="E30"/>
    </row>
    <row r="31" spans="4:5" ht="15.75">
      <c r="D31"/>
      <c r="E31"/>
    </row>
    <row r="32" spans="4:5">
      <c r="D32"/>
      <c r="E32"/>
    </row>
    <row r="33" spans="4:5" ht="15.75">
      <c r="D33"/>
      <c r="E33"/>
    </row>
    <row r="34" spans="4:5">
      <c r="D34"/>
      <c r="E34"/>
    </row>
    <row r="35" spans="4:5" ht="15.75">
      <c r="D35"/>
      <c r="E35"/>
    </row>
    <row r="36" spans="4:5">
      <c r="D36"/>
      <c r="E36"/>
    </row>
    <row r="37" spans="4:5" ht="15.75">
      <c r="D37"/>
      <c r="E37"/>
    </row>
    <row r="38" spans="4:5">
      <c r="D38"/>
      <c r="E38"/>
    </row>
    <row r="39" spans="4:5" ht="15.75">
      <c r="D39"/>
      <c r="E39"/>
    </row>
    <row r="40" spans="4:5" ht="15.75">
      <c r="D40"/>
      <c r="E40"/>
    </row>
    <row r="41" spans="4:5" ht="15.75">
      <c r="D41"/>
      <c r="E41"/>
    </row>
    <row r="42" spans="4:5" ht="15.75">
      <c r="D42"/>
      <c r="E42"/>
    </row>
    <row r="43" spans="4:5">
      <c r="D43"/>
      <c r="E43"/>
    </row>
    <row r="44" spans="4:5">
      <c r="D44"/>
      <c r="E44"/>
    </row>
    <row r="45" spans="4:5" ht="15.75">
      <c r="D45"/>
      <c r="E45"/>
    </row>
    <row r="46" spans="4:5">
      <c r="D46"/>
      <c r="E46"/>
    </row>
    <row r="47" spans="4:5">
      <c r="D47"/>
      <c r="E47"/>
    </row>
    <row r="48" spans="4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  <row r="61" spans="4:5">
      <c r="D61"/>
      <c r="E61"/>
    </row>
    <row r="62" spans="4:5">
      <c r="D62"/>
      <c r="E62"/>
    </row>
    <row r="63" spans="4:5">
      <c r="D63"/>
      <c r="E63"/>
    </row>
    <row r="64" spans="4:5">
      <c r="D64"/>
      <c r="E64"/>
    </row>
    <row r="65" spans="4:5">
      <c r="D65"/>
      <c r="E65"/>
    </row>
    <row r="66" spans="4:5">
      <c r="D66"/>
      <c r="E66"/>
    </row>
    <row r="67" spans="4:5">
      <c r="D67"/>
      <c r="E67"/>
    </row>
    <row r="68" spans="4:5">
      <c r="D68"/>
      <c r="E68"/>
    </row>
    <row r="69" spans="4:5">
      <c r="D69"/>
      <c r="E69"/>
    </row>
    <row r="70" spans="4:5">
      <c r="D70"/>
      <c r="E70"/>
    </row>
    <row r="71" spans="4:5">
      <c r="D71"/>
      <c r="E71"/>
    </row>
    <row r="72" spans="4:5">
      <c r="D72"/>
      <c r="E72"/>
    </row>
    <row r="73" spans="4:5">
      <c r="D73"/>
      <c r="E73"/>
    </row>
    <row r="74" spans="4:5">
      <c r="D74"/>
      <c r="E74"/>
    </row>
    <row r="75" spans="4:5">
      <c r="D75"/>
      <c r="E75"/>
    </row>
    <row r="76" spans="4:5">
      <c r="D76"/>
      <c r="E76"/>
    </row>
    <row r="77" spans="4:5">
      <c r="D77"/>
      <c r="E77"/>
    </row>
    <row r="78" spans="4:5">
      <c r="D78"/>
      <c r="E78"/>
    </row>
    <row r="79" spans="4:5">
      <c r="D79"/>
      <c r="E79"/>
    </row>
    <row r="80" spans="4:5">
      <c r="D80"/>
      <c r="E80"/>
    </row>
    <row r="81" spans="4:5">
      <c r="D81"/>
      <c r="E81"/>
    </row>
    <row r="82" spans="4:5">
      <c r="D82"/>
      <c r="E82"/>
    </row>
    <row r="83" spans="4:5">
      <c r="D83"/>
      <c r="E83"/>
    </row>
    <row r="84" spans="4:5">
      <c r="D84"/>
      <c r="E84"/>
    </row>
    <row r="85" spans="4:5">
      <c r="D85"/>
      <c r="E85"/>
    </row>
    <row r="86" spans="4:5">
      <c r="D86"/>
      <c r="E86"/>
    </row>
    <row r="87" spans="4:5">
      <c r="D87"/>
      <c r="E87"/>
    </row>
    <row r="88" spans="4:5">
      <c r="D88"/>
      <c r="E88"/>
    </row>
    <row r="89" spans="4:5">
      <c r="D89"/>
      <c r="E89"/>
    </row>
    <row r="90" spans="4:5">
      <c r="D90"/>
      <c r="E90"/>
    </row>
    <row r="91" spans="4:5">
      <c r="D91"/>
      <c r="E91"/>
    </row>
    <row r="92" spans="4:5">
      <c r="D92"/>
      <c r="E92"/>
    </row>
    <row r="93" spans="4:5">
      <c r="D93"/>
      <c r="E93"/>
    </row>
    <row r="94" spans="4:5">
      <c r="D94"/>
      <c r="E94"/>
    </row>
    <row r="95" spans="4:5">
      <c r="D95"/>
      <c r="E95"/>
    </row>
    <row r="96" spans="4:5">
      <c r="D96"/>
      <c r="E96"/>
    </row>
    <row r="97" spans="4:5">
      <c r="D97"/>
      <c r="E97"/>
    </row>
    <row r="98" spans="4:5">
      <c r="D98"/>
      <c r="E98"/>
    </row>
    <row r="99" spans="4:5">
      <c r="D99"/>
      <c r="E99"/>
    </row>
    <row r="100" spans="4:5">
      <c r="D100"/>
      <c r="E100"/>
    </row>
    <row r="101" spans="4:5">
      <c r="D101"/>
      <c r="E101"/>
    </row>
    <row r="102" spans="4:5">
      <c r="D102"/>
      <c r="E102"/>
    </row>
    <row r="103" spans="4:5">
      <c r="D103"/>
      <c r="E103"/>
    </row>
    <row r="104" spans="4:5">
      <c r="D104"/>
      <c r="E104"/>
    </row>
    <row r="105" spans="4:5">
      <c r="D105"/>
      <c r="E105"/>
    </row>
    <row r="106" spans="4:5">
      <c r="D106"/>
      <c r="E106"/>
    </row>
    <row r="107" spans="4:5">
      <c r="D107"/>
      <c r="E107"/>
    </row>
    <row r="108" spans="4:5">
      <c r="D108"/>
      <c r="E108"/>
    </row>
    <row r="109" spans="4:5">
      <c r="D109"/>
      <c r="E109"/>
    </row>
    <row r="110" spans="4:5">
      <c r="D110"/>
      <c r="E110"/>
    </row>
    <row r="111" spans="4:5">
      <c r="D111"/>
      <c r="E111"/>
    </row>
    <row r="112" spans="4:5">
      <c r="D112"/>
      <c r="E112"/>
    </row>
    <row r="113" spans="4:5">
      <c r="D113"/>
      <c r="E113"/>
    </row>
    <row r="114" spans="4:5">
      <c r="D114"/>
      <c r="E114"/>
    </row>
    <row r="115" spans="4:5">
      <c r="D115"/>
      <c r="E115"/>
    </row>
    <row r="116" spans="4:5">
      <c r="D116"/>
      <c r="E116"/>
    </row>
    <row r="117" spans="4:5">
      <c r="D117"/>
      <c r="E117"/>
    </row>
    <row r="118" spans="4:5">
      <c r="D118"/>
      <c r="E118"/>
    </row>
    <row r="119" spans="4:5">
      <c r="D119"/>
      <c r="E119"/>
    </row>
    <row r="120" spans="4:5">
      <c r="D120"/>
      <c r="E120"/>
    </row>
    <row r="121" spans="4:5">
      <c r="D121"/>
      <c r="E121"/>
    </row>
    <row r="122" spans="4:5">
      <c r="D122"/>
      <c r="E122"/>
    </row>
    <row r="123" spans="4:5">
      <c r="D123"/>
      <c r="E123"/>
    </row>
    <row r="124" spans="4:5">
      <c r="D124"/>
      <c r="E124"/>
    </row>
    <row r="125" spans="4:5">
      <c r="D125"/>
      <c r="E125"/>
    </row>
    <row r="126" spans="4:5">
      <c r="D126"/>
      <c r="E126"/>
    </row>
    <row r="127" spans="4:5">
      <c r="D127"/>
      <c r="E127"/>
    </row>
    <row r="128" spans="4:5">
      <c r="D128"/>
      <c r="E128"/>
    </row>
    <row r="129" spans="4:5">
      <c r="D129"/>
      <c r="E129"/>
    </row>
    <row r="130" spans="4:5">
      <c r="D130"/>
      <c r="E130"/>
    </row>
    <row r="131" spans="4:5">
      <c r="D131"/>
      <c r="E131"/>
    </row>
    <row r="132" spans="4:5">
      <c r="D132"/>
      <c r="E132"/>
    </row>
    <row r="133" spans="4:5">
      <c r="D133"/>
      <c r="E133"/>
    </row>
    <row r="134" spans="4:5">
      <c r="D134"/>
      <c r="E134"/>
    </row>
    <row r="135" spans="4:5">
      <c r="D135"/>
      <c r="E135"/>
    </row>
    <row r="136" spans="4:5">
      <c r="D136"/>
      <c r="E136"/>
    </row>
    <row r="137" spans="4:5">
      <c r="D137"/>
      <c r="E137"/>
    </row>
    <row r="138" spans="4:5">
      <c r="D138"/>
      <c r="E138"/>
    </row>
    <row r="139" spans="4:5">
      <c r="D139"/>
      <c r="E139"/>
    </row>
    <row r="140" spans="4:5">
      <c r="D140"/>
      <c r="E140"/>
    </row>
    <row r="141" spans="4:5">
      <c r="D141"/>
      <c r="E141"/>
    </row>
    <row r="142" spans="4:5">
      <c r="D142"/>
      <c r="E142"/>
    </row>
    <row r="143" spans="4:5">
      <c r="D143"/>
      <c r="E143"/>
    </row>
    <row r="144" spans="4:5">
      <c r="D144"/>
      <c r="E144"/>
    </row>
    <row r="145" spans="4:5">
      <c r="D145"/>
      <c r="E145"/>
    </row>
    <row r="146" spans="4:5">
      <c r="D146"/>
      <c r="E146"/>
    </row>
    <row r="147" spans="4:5">
      <c r="D147"/>
      <c r="E147"/>
    </row>
    <row r="148" spans="4:5">
      <c r="D148"/>
      <c r="E148"/>
    </row>
    <row r="149" spans="4:5">
      <c r="D149"/>
      <c r="E149"/>
    </row>
    <row r="150" spans="4:5">
      <c r="D150"/>
      <c r="E150"/>
    </row>
    <row r="151" spans="4:5">
      <c r="D151"/>
      <c r="E151"/>
    </row>
    <row r="152" spans="4:5">
      <c r="D152"/>
      <c r="E152"/>
    </row>
    <row r="153" spans="4:5">
      <c r="D153"/>
      <c r="E153"/>
    </row>
    <row r="154" spans="4:5">
      <c r="D154"/>
      <c r="E154"/>
    </row>
    <row r="155" spans="4:5">
      <c r="D155"/>
      <c r="E155"/>
    </row>
  </sheetData>
  <mergeCells count="1">
    <mergeCell ref="B1:F1"/>
  </mergeCells>
  <pageMargins left="0.7" right="0.7" top="0.75" bottom="0.75" header="0.3" footer="0.3"/>
  <pageSetup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K667"/>
  <sheetViews>
    <sheetView zoomScale="85" zoomScaleNormal="85" workbookViewId="0">
      <selection activeCell="B2" sqref="B2"/>
    </sheetView>
  </sheetViews>
  <sheetFormatPr defaultRowHeight="15"/>
  <cols>
    <col min="1" max="1" width="38" bestFit="1" customWidth="1"/>
    <col min="2" max="2" width="19.140625" bestFit="1" customWidth="1"/>
    <col min="3" max="3" width="11.42578125" bestFit="1" customWidth="1"/>
    <col min="4" max="4" width="12.28515625" style="6" bestFit="1" customWidth="1"/>
    <col min="5" max="5" width="21.28515625" style="6" hidden="1" customWidth="1"/>
    <col min="6" max="6" width="24.7109375" bestFit="1" customWidth="1"/>
    <col min="7" max="7" width="114.28515625" customWidth="1"/>
    <col min="9" max="9" width="23.7109375" bestFit="1" customWidth="1"/>
    <col min="10" max="10" width="21.7109375" customWidth="1"/>
    <col min="11" max="11" width="12.42578125" customWidth="1"/>
    <col min="12" max="12" width="17.5703125" customWidth="1"/>
    <col min="13" max="13" width="14.7109375" customWidth="1"/>
    <col min="14" max="14" width="25.7109375" bestFit="1" customWidth="1"/>
    <col min="15" max="15" width="26.7109375" bestFit="1" customWidth="1"/>
  </cols>
  <sheetData>
    <row r="1" spans="1:11" ht="75" customHeight="1" thickBot="1">
      <c r="A1" s="22"/>
      <c r="B1" s="114" t="str">
        <f>CONCATENATE(IFERROR(IF(LEFT(A4,FIND(" ",A4)-1)="ABBOTT",LEFT(A4,FIND(" ",A4)-1),A4),A4), CHAR(10), "Recycling Activity Report ",CHAR(10),TEXT('Customer Selection'!B12,"MM/DD/YYYY"), " to ", TEXT('Customer Selection'!C12,"MM/DD/YYYY"))</f>
        <v>Company14
Recycling Activity Report 
11/01/2015 to 11/30/2015</v>
      </c>
      <c r="C1" s="115"/>
      <c r="D1" s="115"/>
      <c r="E1" s="115"/>
      <c r="F1" s="115"/>
      <c r="G1" s="74" t="str">
        <f>CONCATENATE(IFERROR(IF(LEFT(A4,FIND(" ",A4)-1)="ABBOTT",LEFT(A4,FIND(" ",A4)-1),A4),A4), CHAR(10), " Recycling Activity Report (",TEXT('Customer Selection'!B12,"MM/DD/YYYY"), " to ", TEXT('Customer Selection'!C12,"MM/DD/YYYY"),")")</f>
        <v>Company14
 Recycling Activity Report (11/01/2015 to 11/30/2015)</v>
      </c>
      <c r="H1" s="3"/>
      <c r="I1" s="3"/>
      <c r="J1" s="3"/>
      <c r="K1" s="3"/>
    </row>
    <row r="2" spans="1:11">
      <c r="A2" s="9"/>
      <c r="B2" s="16" t="s">
        <v>1</v>
      </c>
      <c r="C2" s="9"/>
      <c r="D2" s="9"/>
      <c r="E2" s="9"/>
      <c r="F2" s="8" t="s">
        <v>2</v>
      </c>
      <c r="G2" s="75" t="s">
        <v>62</v>
      </c>
    </row>
    <row r="3" spans="1:11">
      <c r="A3" s="20" t="s">
        <v>18</v>
      </c>
      <c r="B3" s="7" t="s">
        <v>62</v>
      </c>
      <c r="C3" s="10" t="s">
        <v>21</v>
      </c>
      <c r="D3" s="10" t="s">
        <v>3</v>
      </c>
      <c r="E3" s="7" t="s">
        <v>20</v>
      </c>
      <c r="F3" s="11" t="s">
        <v>20</v>
      </c>
      <c r="G3" s="1" t="str">
        <f>CONCATENATE("Grand Total: ", TEXT(GETPIVOTDATA("Total Weight",$A$2),"###,###"), " Pounds")</f>
        <v>Grand Total: 14,499 Pounds</v>
      </c>
      <c r="H3" s="1"/>
      <c r="I3" s="1"/>
    </row>
    <row r="4" spans="1:11" ht="15.75">
      <c r="A4" s="2" t="s">
        <v>192</v>
      </c>
      <c r="B4" s="70"/>
      <c r="C4" s="23"/>
      <c r="D4" s="23"/>
      <c r="E4" s="5"/>
      <c r="F4" s="12">
        <f>GETPIVOTDATA("Total Number of Loads",$A$2)</f>
        <v>1</v>
      </c>
      <c r="H4" s="2"/>
      <c r="I4" s="5"/>
    </row>
    <row r="5" spans="1:11">
      <c r="A5" s="72">
        <v>42326</v>
      </c>
      <c r="B5" s="70">
        <v>14499</v>
      </c>
      <c r="C5" s="23">
        <v>61.845000000000006</v>
      </c>
      <c r="D5" s="23">
        <v>-32.200000000000003</v>
      </c>
      <c r="E5" s="5">
        <v>1</v>
      </c>
      <c r="H5" s="72"/>
      <c r="I5" s="5"/>
    </row>
    <row r="6" spans="1:11" ht="21">
      <c r="A6" s="69" t="s">
        <v>43</v>
      </c>
      <c r="B6" s="70">
        <v>10929</v>
      </c>
      <c r="C6" s="23">
        <v>54.645000000000003</v>
      </c>
      <c r="D6" s="23">
        <v>0</v>
      </c>
      <c r="E6" s="5">
        <v>0</v>
      </c>
      <c r="F6" s="13" t="str">
        <f>CONCATENATE("Total Net Amount")</f>
        <v>Total Net Amount</v>
      </c>
      <c r="H6" s="69"/>
      <c r="I6" s="5"/>
    </row>
    <row r="7" spans="1:11" ht="21">
      <c r="A7" s="69" t="s">
        <v>46</v>
      </c>
      <c r="B7" s="70">
        <v>480</v>
      </c>
      <c r="C7" s="23">
        <v>7.2</v>
      </c>
      <c r="D7" s="23">
        <v>0</v>
      </c>
      <c r="E7" s="5">
        <v>0</v>
      </c>
      <c r="F7" s="14">
        <f>GETPIVOTDATA("Total Credit",$A$2)+GETPIVOTDATA("Total Charge",$A$2)</f>
        <v>29.645000000000003</v>
      </c>
      <c r="H7" s="69"/>
      <c r="I7" s="5"/>
    </row>
    <row r="8" spans="1:11">
      <c r="A8" s="69" t="s">
        <v>47</v>
      </c>
      <c r="B8" s="70">
        <v>460</v>
      </c>
      <c r="C8" s="23">
        <v>0</v>
      </c>
      <c r="D8" s="23">
        <v>-32.200000000000003</v>
      </c>
      <c r="E8" s="5">
        <v>1</v>
      </c>
      <c r="H8" s="69"/>
      <c r="I8" s="5"/>
    </row>
    <row r="9" spans="1:11" ht="15.75">
      <c r="A9" s="69" t="s">
        <v>1502</v>
      </c>
      <c r="B9" s="70">
        <v>2630</v>
      </c>
      <c r="C9" s="23">
        <v>0</v>
      </c>
      <c r="D9" s="23">
        <v>0</v>
      </c>
      <c r="E9" s="5">
        <v>0</v>
      </c>
      <c r="H9" s="69"/>
      <c r="I9" s="5"/>
    </row>
    <row r="10" spans="1:11" ht="15.75">
      <c r="A10" s="15" t="s">
        <v>16</v>
      </c>
      <c r="B10" s="70">
        <v>14499</v>
      </c>
      <c r="C10" s="23">
        <v>61.845000000000006</v>
      </c>
      <c r="D10" s="23">
        <v>-32.200000000000003</v>
      </c>
      <c r="E10" s="5">
        <v>1</v>
      </c>
      <c r="H10" s="69"/>
      <c r="I10" s="5"/>
    </row>
    <row r="11" spans="1:11">
      <c r="D11"/>
      <c r="E11"/>
      <c r="H11" s="69"/>
      <c r="I11" s="5"/>
    </row>
    <row r="12" spans="1:11">
      <c r="D12"/>
      <c r="E12"/>
      <c r="H12" s="69"/>
      <c r="I12" s="5"/>
    </row>
    <row r="13" spans="1:11">
      <c r="D13"/>
      <c r="E13"/>
      <c r="H13" s="69"/>
      <c r="I13" s="5"/>
    </row>
    <row r="14" spans="1:11">
      <c r="D14"/>
      <c r="E14"/>
      <c r="H14" s="72"/>
      <c r="I14" s="5"/>
    </row>
    <row r="15" spans="1:11">
      <c r="D15"/>
      <c r="E15"/>
      <c r="H15" s="69"/>
      <c r="I15" s="5"/>
    </row>
    <row r="16" spans="1:11">
      <c r="D16"/>
      <c r="E16"/>
      <c r="H16" s="69"/>
      <c r="I16" s="5"/>
    </row>
    <row r="17" spans="4:9">
      <c r="D17"/>
      <c r="E17"/>
      <c r="H17" s="69"/>
      <c r="I17" s="5"/>
    </row>
    <row r="18" spans="4:9">
      <c r="D18"/>
      <c r="E18"/>
      <c r="H18" s="69"/>
      <c r="I18" s="5"/>
    </row>
    <row r="19" spans="4:9">
      <c r="D19"/>
      <c r="E19"/>
      <c r="H19" s="69"/>
      <c r="I19" s="5"/>
    </row>
    <row r="20" spans="4:9">
      <c r="D20"/>
      <c r="E20"/>
      <c r="H20" s="69"/>
      <c r="I20" s="5"/>
    </row>
    <row r="21" spans="4:9">
      <c r="D21"/>
      <c r="E21"/>
      <c r="H21" s="2"/>
      <c r="I21" s="5"/>
    </row>
    <row r="22" spans="4:9">
      <c r="D22"/>
      <c r="E22"/>
      <c r="H22" s="72"/>
      <c r="I22" s="5"/>
    </row>
    <row r="23" spans="4:9">
      <c r="D23"/>
      <c r="E23"/>
      <c r="H23" s="69"/>
      <c r="I23" s="5"/>
    </row>
    <row r="24" spans="4:9">
      <c r="D24"/>
      <c r="E24"/>
      <c r="H24" s="72"/>
      <c r="I24" s="5"/>
    </row>
    <row r="25" spans="4:9">
      <c r="D25"/>
      <c r="E25"/>
      <c r="H25" s="69"/>
      <c r="I25" s="5"/>
    </row>
    <row r="26" spans="4:9">
      <c r="D26"/>
      <c r="E26"/>
      <c r="H26" s="69"/>
      <c r="I26" s="5"/>
    </row>
    <row r="27" spans="4:9">
      <c r="D27"/>
      <c r="E27"/>
      <c r="H27" s="69"/>
      <c r="I27" s="5"/>
    </row>
    <row r="28" spans="4:9">
      <c r="D28"/>
      <c r="E28"/>
      <c r="H28" s="2"/>
      <c r="I28" s="5"/>
    </row>
    <row r="29" spans="4:9">
      <c r="D29"/>
      <c r="E29"/>
      <c r="H29" s="72"/>
      <c r="I29" s="5"/>
    </row>
    <row r="30" spans="4:9">
      <c r="D30"/>
      <c r="E30"/>
      <c r="H30" s="69"/>
      <c r="I30" s="5"/>
    </row>
    <row r="31" spans="4:9">
      <c r="D31"/>
      <c r="E31"/>
      <c r="H31" s="69"/>
      <c r="I31" s="5"/>
    </row>
    <row r="32" spans="4:9">
      <c r="D32"/>
      <c r="E32"/>
      <c r="H32" s="69"/>
      <c r="I32" s="5"/>
    </row>
    <row r="33" spans="4:9">
      <c r="D33"/>
      <c r="E33"/>
      <c r="H33" s="69"/>
      <c r="I33" s="5"/>
    </row>
    <row r="34" spans="4:9">
      <c r="D34"/>
      <c r="E34"/>
      <c r="H34" s="69"/>
      <c r="I34" s="5"/>
    </row>
    <row r="35" spans="4:9" ht="15.75">
      <c r="D35"/>
      <c r="E35"/>
      <c r="H35" s="15"/>
      <c r="I35" s="5"/>
    </row>
    <row r="36" spans="4:9">
      <c r="D36"/>
      <c r="E36"/>
    </row>
    <row r="37" spans="4:9">
      <c r="D37"/>
      <c r="E37"/>
    </row>
    <row r="38" spans="4:9">
      <c r="D38"/>
      <c r="E38"/>
    </row>
    <row r="39" spans="4:9">
      <c r="D39"/>
      <c r="E39"/>
    </row>
    <row r="40" spans="4:9">
      <c r="D40"/>
      <c r="E40"/>
    </row>
    <row r="41" spans="4:9">
      <c r="D41"/>
      <c r="E41"/>
    </row>
    <row r="42" spans="4:9">
      <c r="D42"/>
      <c r="E42"/>
    </row>
    <row r="43" spans="4:9">
      <c r="D43"/>
      <c r="E43"/>
    </row>
    <row r="44" spans="4:9">
      <c r="D44"/>
      <c r="E44"/>
    </row>
    <row r="45" spans="4:9">
      <c r="D45"/>
      <c r="E45"/>
    </row>
    <row r="46" spans="4:9">
      <c r="D46"/>
      <c r="E46"/>
    </row>
    <row r="47" spans="4:9">
      <c r="D47"/>
      <c r="E47"/>
    </row>
    <row r="48" spans="4:9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  <row r="61" spans="4:5">
      <c r="D61"/>
      <c r="E61"/>
    </row>
    <row r="62" spans="4:5">
      <c r="D62"/>
      <c r="E62"/>
    </row>
    <row r="63" spans="4:5">
      <c r="D63"/>
      <c r="E63"/>
    </row>
    <row r="64" spans="4:5">
      <c r="D64"/>
      <c r="E64"/>
    </row>
    <row r="65" spans="4:5">
      <c r="D65"/>
      <c r="E65"/>
    </row>
    <row r="66" spans="4:5">
      <c r="D66"/>
      <c r="E66"/>
    </row>
    <row r="67" spans="4:5">
      <c r="D67"/>
      <c r="E67"/>
    </row>
    <row r="68" spans="4:5">
      <c r="D68"/>
      <c r="E68"/>
    </row>
    <row r="69" spans="4:5">
      <c r="D69"/>
      <c r="E69"/>
    </row>
    <row r="70" spans="4:5">
      <c r="D70"/>
      <c r="E70"/>
    </row>
    <row r="71" spans="4:5">
      <c r="D71"/>
      <c r="E71"/>
    </row>
    <row r="72" spans="4:5">
      <c r="D72"/>
      <c r="E72"/>
    </row>
    <row r="73" spans="4:5">
      <c r="D73"/>
      <c r="E73"/>
    </row>
    <row r="74" spans="4:5">
      <c r="D74"/>
      <c r="E74"/>
    </row>
    <row r="75" spans="4:5">
      <c r="D75"/>
      <c r="E75"/>
    </row>
    <row r="76" spans="4:5">
      <c r="D76"/>
      <c r="E76"/>
    </row>
    <row r="77" spans="4:5">
      <c r="D77"/>
      <c r="E77"/>
    </row>
    <row r="78" spans="4:5">
      <c r="D78"/>
      <c r="E78"/>
    </row>
    <row r="79" spans="4:5">
      <c r="D79"/>
      <c r="E79"/>
    </row>
    <row r="80" spans="4:5">
      <c r="D80"/>
      <c r="E80"/>
    </row>
    <row r="81" spans="4:5">
      <c r="D81"/>
      <c r="E81"/>
    </row>
    <row r="82" spans="4:5">
      <c r="D82"/>
      <c r="E82"/>
    </row>
    <row r="83" spans="4:5">
      <c r="D83"/>
      <c r="E83"/>
    </row>
    <row r="84" spans="4:5">
      <c r="D84"/>
      <c r="E84"/>
    </row>
    <row r="85" spans="4:5">
      <c r="D85"/>
      <c r="E85"/>
    </row>
    <row r="86" spans="4:5">
      <c r="D86"/>
      <c r="E86"/>
    </row>
    <row r="87" spans="4:5">
      <c r="D87"/>
      <c r="E87"/>
    </row>
    <row r="88" spans="4:5">
      <c r="D88"/>
      <c r="E88"/>
    </row>
    <row r="89" spans="4:5">
      <c r="D89"/>
      <c r="E89"/>
    </row>
    <row r="90" spans="4:5">
      <c r="D90"/>
      <c r="E90"/>
    </row>
    <row r="91" spans="4:5">
      <c r="D91"/>
      <c r="E91"/>
    </row>
    <row r="92" spans="4:5">
      <c r="D92"/>
      <c r="E92"/>
    </row>
    <row r="93" spans="4:5">
      <c r="D93"/>
      <c r="E93"/>
    </row>
    <row r="94" spans="4:5">
      <c r="D94"/>
      <c r="E94"/>
    </row>
    <row r="95" spans="4:5">
      <c r="D95"/>
      <c r="E95"/>
    </row>
    <row r="96" spans="4:5">
      <c r="D96"/>
      <c r="E96"/>
    </row>
    <row r="97" spans="4:5">
      <c r="D97"/>
      <c r="E97"/>
    </row>
    <row r="98" spans="4:5">
      <c r="D98"/>
      <c r="E98"/>
    </row>
    <row r="99" spans="4:5">
      <c r="D99"/>
      <c r="E99"/>
    </row>
    <row r="100" spans="4:5">
      <c r="D100"/>
      <c r="E100"/>
    </row>
    <row r="101" spans="4:5">
      <c r="D101"/>
      <c r="E101"/>
    </row>
    <row r="102" spans="4:5">
      <c r="D102"/>
      <c r="E102"/>
    </row>
    <row r="103" spans="4:5">
      <c r="D103"/>
      <c r="E103"/>
    </row>
    <row r="104" spans="4:5">
      <c r="D104"/>
      <c r="E104"/>
    </row>
    <row r="105" spans="4:5">
      <c r="D105"/>
      <c r="E105"/>
    </row>
    <row r="106" spans="4:5">
      <c r="D106"/>
      <c r="E106"/>
    </row>
    <row r="107" spans="4:5">
      <c r="D107"/>
      <c r="E107"/>
    </row>
    <row r="108" spans="4:5">
      <c r="D108"/>
      <c r="E108"/>
    </row>
    <row r="109" spans="4:5">
      <c r="D109"/>
      <c r="E109"/>
    </row>
    <row r="110" spans="4:5">
      <c r="D110"/>
      <c r="E110"/>
    </row>
    <row r="111" spans="4:5">
      <c r="D111"/>
      <c r="E111"/>
    </row>
    <row r="112" spans="4:5">
      <c r="D112"/>
      <c r="E112"/>
    </row>
    <row r="113" spans="4:5">
      <c r="D113"/>
      <c r="E113"/>
    </row>
    <row r="114" spans="4:5">
      <c r="D114"/>
      <c r="E114"/>
    </row>
    <row r="115" spans="4:5">
      <c r="D115"/>
      <c r="E115"/>
    </row>
    <row r="116" spans="4:5">
      <c r="D116"/>
      <c r="E116"/>
    </row>
    <row r="117" spans="4:5">
      <c r="D117"/>
      <c r="E117"/>
    </row>
    <row r="118" spans="4:5">
      <c r="D118"/>
      <c r="E118"/>
    </row>
    <row r="119" spans="4:5">
      <c r="D119"/>
      <c r="E119"/>
    </row>
    <row r="120" spans="4:5">
      <c r="D120"/>
      <c r="E120"/>
    </row>
    <row r="121" spans="4:5">
      <c r="D121"/>
      <c r="E121"/>
    </row>
    <row r="122" spans="4:5">
      <c r="D122"/>
      <c r="E122"/>
    </row>
    <row r="123" spans="4:5">
      <c r="D123"/>
      <c r="E123"/>
    </row>
    <row r="124" spans="4:5">
      <c r="D124"/>
      <c r="E124"/>
    </row>
    <row r="125" spans="4:5">
      <c r="D125"/>
      <c r="E125"/>
    </row>
    <row r="126" spans="4:5">
      <c r="D126"/>
      <c r="E126"/>
    </row>
    <row r="127" spans="4:5">
      <c r="D127"/>
      <c r="E127"/>
    </row>
    <row r="128" spans="4:5">
      <c r="D128"/>
      <c r="E128"/>
    </row>
    <row r="129" spans="4:5">
      <c r="D129"/>
      <c r="E129"/>
    </row>
    <row r="130" spans="4:5">
      <c r="D130"/>
      <c r="E130"/>
    </row>
    <row r="131" spans="4:5">
      <c r="D131"/>
      <c r="E131"/>
    </row>
    <row r="132" spans="4:5">
      <c r="D132"/>
      <c r="E132"/>
    </row>
    <row r="133" spans="4:5">
      <c r="D133"/>
      <c r="E133"/>
    </row>
    <row r="134" spans="4:5">
      <c r="D134"/>
      <c r="E134"/>
    </row>
    <row r="135" spans="4:5">
      <c r="D135"/>
      <c r="E135"/>
    </row>
    <row r="136" spans="4:5">
      <c r="D136"/>
      <c r="E136"/>
    </row>
    <row r="137" spans="4:5">
      <c r="D137"/>
      <c r="E137"/>
    </row>
    <row r="138" spans="4:5">
      <c r="D138"/>
      <c r="E138"/>
    </row>
    <row r="139" spans="4:5">
      <c r="D139"/>
      <c r="E139"/>
    </row>
    <row r="140" spans="4:5">
      <c r="D140"/>
      <c r="E140"/>
    </row>
    <row r="141" spans="4:5">
      <c r="D141"/>
      <c r="E141"/>
    </row>
    <row r="142" spans="4:5">
      <c r="D142"/>
      <c r="E142"/>
    </row>
    <row r="143" spans="4:5">
      <c r="D143"/>
      <c r="E143"/>
    </row>
    <row r="144" spans="4:5">
      <c r="D144"/>
      <c r="E144"/>
    </row>
    <row r="145" spans="4:5">
      <c r="D145"/>
      <c r="E145"/>
    </row>
    <row r="146" spans="4:5">
      <c r="D146"/>
      <c r="E146"/>
    </row>
    <row r="147" spans="4:5">
      <c r="D147"/>
      <c r="E147"/>
    </row>
    <row r="148" spans="4:5">
      <c r="D148"/>
      <c r="E148"/>
    </row>
    <row r="149" spans="4:5">
      <c r="D149"/>
      <c r="E149"/>
    </row>
    <row r="150" spans="4:5">
      <c r="D150"/>
      <c r="E150"/>
    </row>
    <row r="151" spans="4:5">
      <c r="D151"/>
      <c r="E151"/>
    </row>
    <row r="152" spans="4:5">
      <c r="D152"/>
      <c r="E152"/>
    </row>
    <row r="153" spans="4:5">
      <c r="D153"/>
      <c r="E153"/>
    </row>
    <row r="154" spans="4:5">
      <c r="D154"/>
      <c r="E154"/>
    </row>
    <row r="155" spans="4:5">
      <c r="D155"/>
      <c r="E155"/>
    </row>
    <row r="156" spans="4:5">
      <c r="D156"/>
      <c r="E156"/>
    </row>
    <row r="157" spans="4:5">
      <c r="D157"/>
      <c r="E157"/>
    </row>
    <row r="158" spans="4:5">
      <c r="D158"/>
      <c r="E158"/>
    </row>
    <row r="159" spans="4:5">
      <c r="D159"/>
      <c r="E159"/>
    </row>
    <row r="160" spans="4:5">
      <c r="D160"/>
      <c r="E160"/>
    </row>
    <row r="161" spans="4:5">
      <c r="D161"/>
      <c r="E161"/>
    </row>
    <row r="162" spans="4:5">
      <c r="D162"/>
      <c r="E162"/>
    </row>
    <row r="163" spans="4:5">
      <c r="D163"/>
      <c r="E163"/>
    </row>
    <row r="164" spans="4:5">
      <c r="D164"/>
      <c r="E164"/>
    </row>
    <row r="165" spans="4:5">
      <c r="D165"/>
      <c r="E165"/>
    </row>
    <row r="166" spans="4:5">
      <c r="D166"/>
      <c r="E166"/>
    </row>
    <row r="167" spans="4:5">
      <c r="D167"/>
      <c r="E167"/>
    </row>
    <row r="168" spans="4:5">
      <c r="D168"/>
      <c r="E168"/>
    </row>
    <row r="169" spans="4:5">
      <c r="D169"/>
      <c r="E169"/>
    </row>
    <row r="170" spans="4:5">
      <c r="D170"/>
      <c r="E170"/>
    </row>
    <row r="171" spans="4:5">
      <c r="D171"/>
      <c r="E171"/>
    </row>
    <row r="172" spans="4:5">
      <c r="D172"/>
      <c r="E172"/>
    </row>
    <row r="173" spans="4:5">
      <c r="D173"/>
      <c r="E173"/>
    </row>
    <row r="174" spans="4:5">
      <c r="D174"/>
      <c r="E174"/>
    </row>
    <row r="175" spans="4:5">
      <c r="D175"/>
      <c r="E175"/>
    </row>
    <row r="176" spans="4:5">
      <c r="D176"/>
      <c r="E176"/>
    </row>
    <row r="177" spans="4:5">
      <c r="D177"/>
      <c r="E177"/>
    </row>
    <row r="178" spans="4:5">
      <c r="D178"/>
      <c r="E178"/>
    </row>
    <row r="179" spans="4:5">
      <c r="D179"/>
      <c r="E179"/>
    </row>
    <row r="180" spans="4:5">
      <c r="D180"/>
      <c r="E180"/>
    </row>
    <row r="181" spans="4:5">
      <c r="D181"/>
      <c r="E181"/>
    </row>
    <row r="182" spans="4:5">
      <c r="D182"/>
      <c r="E182"/>
    </row>
    <row r="183" spans="4:5">
      <c r="D183"/>
      <c r="E183"/>
    </row>
    <row r="184" spans="4:5">
      <c r="D184"/>
      <c r="E184"/>
    </row>
    <row r="185" spans="4:5">
      <c r="D185"/>
      <c r="E185"/>
    </row>
    <row r="186" spans="4:5">
      <c r="D186"/>
      <c r="E186"/>
    </row>
    <row r="187" spans="4:5">
      <c r="D187"/>
      <c r="E187"/>
    </row>
    <row r="188" spans="4:5">
      <c r="D188"/>
      <c r="E188"/>
    </row>
    <row r="189" spans="4:5">
      <c r="D189"/>
      <c r="E189"/>
    </row>
    <row r="190" spans="4:5">
      <c r="D190"/>
      <c r="E190"/>
    </row>
    <row r="191" spans="4:5">
      <c r="D191"/>
      <c r="E191"/>
    </row>
    <row r="192" spans="4:5">
      <c r="D192"/>
      <c r="E192"/>
    </row>
    <row r="193" spans="4:5">
      <c r="D193"/>
      <c r="E193"/>
    </row>
    <row r="194" spans="4:5">
      <c r="D194"/>
      <c r="E194"/>
    </row>
    <row r="195" spans="4:5">
      <c r="D195"/>
      <c r="E195"/>
    </row>
    <row r="196" spans="4:5">
      <c r="D196"/>
      <c r="E196"/>
    </row>
    <row r="197" spans="4:5">
      <c r="D197"/>
      <c r="E197"/>
    </row>
    <row r="198" spans="4:5">
      <c r="D198"/>
      <c r="E198"/>
    </row>
    <row r="199" spans="4:5">
      <c r="D199"/>
      <c r="E199"/>
    </row>
    <row r="200" spans="4:5">
      <c r="D200"/>
      <c r="E200"/>
    </row>
    <row r="201" spans="4:5">
      <c r="D201"/>
      <c r="E201"/>
    </row>
    <row r="202" spans="4:5">
      <c r="D202"/>
      <c r="E202"/>
    </row>
    <row r="203" spans="4:5">
      <c r="D203"/>
      <c r="E203"/>
    </row>
    <row r="204" spans="4:5">
      <c r="D204"/>
      <c r="E204"/>
    </row>
    <row r="205" spans="4:5">
      <c r="D205"/>
      <c r="E205"/>
    </row>
    <row r="206" spans="4:5">
      <c r="D206"/>
      <c r="E206"/>
    </row>
    <row r="207" spans="4:5">
      <c r="D207"/>
      <c r="E207"/>
    </row>
    <row r="208" spans="4:5">
      <c r="D208"/>
      <c r="E208"/>
    </row>
    <row r="209" spans="4:5">
      <c r="D209"/>
      <c r="E209"/>
    </row>
    <row r="210" spans="4:5">
      <c r="D210"/>
      <c r="E210"/>
    </row>
    <row r="211" spans="4:5">
      <c r="D211"/>
      <c r="E211"/>
    </row>
    <row r="212" spans="4:5">
      <c r="D212"/>
      <c r="E212"/>
    </row>
    <row r="213" spans="4:5">
      <c r="D213"/>
      <c r="E213"/>
    </row>
    <row r="214" spans="4:5">
      <c r="D214"/>
      <c r="E214"/>
    </row>
    <row r="215" spans="4:5">
      <c r="D215"/>
      <c r="E215"/>
    </row>
    <row r="216" spans="4:5">
      <c r="D216"/>
      <c r="E216"/>
    </row>
    <row r="217" spans="4:5">
      <c r="D217"/>
      <c r="E217"/>
    </row>
    <row r="218" spans="4:5">
      <c r="D218"/>
      <c r="E218"/>
    </row>
    <row r="219" spans="4:5">
      <c r="D219"/>
      <c r="E219"/>
    </row>
    <row r="220" spans="4:5">
      <c r="D220"/>
      <c r="E220"/>
    </row>
    <row r="221" spans="4:5">
      <c r="D221"/>
      <c r="E221"/>
    </row>
    <row r="222" spans="4:5">
      <c r="D222"/>
      <c r="E222"/>
    </row>
    <row r="223" spans="4:5">
      <c r="D223"/>
      <c r="E223"/>
    </row>
    <row r="224" spans="4:5">
      <c r="D224"/>
      <c r="E224"/>
    </row>
    <row r="225" spans="4:5">
      <c r="D225"/>
      <c r="E225"/>
    </row>
    <row r="226" spans="4:5">
      <c r="D226"/>
      <c r="E226"/>
    </row>
    <row r="227" spans="4:5">
      <c r="D227"/>
      <c r="E227"/>
    </row>
    <row r="228" spans="4:5">
      <c r="D228"/>
      <c r="E228"/>
    </row>
    <row r="229" spans="4:5">
      <c r="D229"/>
      <c r="E229"/>
    </row>
    <row r="230" spans="4:5">
      <c r="D230"/>
      <c r="E230"/>
    </row>
    <row r="231" spans="4:5">
      <c r="D231"/>
      <c r="E231"/>
    </row>
    <row r="232" spans="4:5">
      <c r="D232"/>
      <c r="E232"/>
    </row>
    <row r="233" spans="4:5">
      <c r="D233"/>
      <c r="E233"/>
    </row>
    <row r="234" spans="4:5">
      <c r="D234"/>
      <c r="E234"/>
    </row>
    <row r="235" spans="4:5">
      <c r="D235"/>
      <c r="E235"/>
    </row>
    <row r="236" spans="4:5">
      <c r="D236"/>
      <c r="E236"/>
    </row>
    <row r="237" spans="4:5">
      <c r="D237"/>
      <c r="E237"/>
    </row>
    <row r="238" spans="4:5">
      <c r="D238"/>
      <c r="E238"/>
    </row>
    <row r="239" spans="4:5">
      <c r="D239"/>
      <c r="E239"/>
    </row>
    <row r="240" spans="4:5">
      <c r="D240"/>
      <c r="E240"/>
    </row>
    <row r="241" spans="4:5">
      <c r="D241"/>
      <c r="E241"/>
    </row>
    <row r="242" spans="4:5">
      <c r="D242"/>
      <c r="E242"/>
    </row>
    <row r="243" spans="4:5">
      <c r="D243"/>
      <c r="E243"/>
    </row>
    <row r="244" spans="4:5">
      <c r="D244"/>
      <c r="E244"/>
    </row>
    <row r="245" spans="4:5">
      <c r="D245"/>
      <c r="E245"/>
    </row>
    <row r="246" spans="4:5">
      <c r="D246"/>
      <c r="E246"/>
    </row>
    <row r="247" spans="4:5">
      <c r="D247"/>
      <c r="E247"/>
    </row>
    <row r="248" spans="4:5">
      <c r="D248"/>
      <c r="E248"/>
    </row>
    <row r="249" spans="4:5">
      <c r="D249"/>
      <c r="E249"/>
    </row>
    <row r="250" spans="4:5">
      <c r="D250"/>
      <c r="E250"/>
    </row>
    <row r="251" spans="4:5">
      <c r="D251"/>
      <c r="E251"/>
    </row>
    <row r="252" spans="4:5">
      <c r="D252"/>
      <c r="E252"/>
    </row>
    <row r="253" spans="4:5">
      <c r="D253"/>
      <c r="E253"/>
    </row>
    <row r="254" spans="4:5">
      <c r="D254"/>
      <c r="E254"/>
    </row>
    <row r="255" spans="4:5">
      <c r="D255"/>
      <c r="E255"/>
    </row>
    <row r="256" spans="4:5">
      <c r="D256"/>
      <c r="E256"/>
    </row>
    <row r="257" spans="4:5">
      <c r="D257"/>
      <c r="E257"/>
    </row>
    <row r="258" spans="4:5">
      <c r="D258"/>
      <c r="E258"/>
    </row>
    <row r="259" spans="4:5">
      <c r="D259"/>
      <c r="E259"/>
    </row>
    <row r="260" spans="4:5">
      <c r="D260"/>
      <c r="E260"/>
    </row>
    <row r="261" spans="4:5">
      <c r="D261"/>
      <c r="E261"/>
    </row>
    <row r="262" spans="4:5">
      <c r="D262"/>
      <c r="E262"/>
    </row>
    <row r="263" spans="4:5">
      <c r="D263"/>
      <c r="E263"/>
    </row>
    <row r="264" spans="4:5">
      <c r="D264"/>
      <c r="E264"/>
    </row>
    <row r="265" spans="4:5">
      <c r="D265"/>
      <c r="E265"/>
    </row>
    <row r="266" spans="4:5">
      <c r="D266"/>
      <c r="E266"/>
    </row>
    <row r="267" spans="4:5">
      <c r="D267"/>
      <c r="E267"/>
    </row>
    <row r="268" spans="4:5">
      <c r="D268"/>
      <c r="E268"/>
    </row>
    <row r="269" spans="4:5">
      <c r="D269"/>
      <c r="E269"/>
    </row>
    <row r="270" spans="4:5">
      <c r="D270"/>
      <c r="E270"/>
    </row>
    <row r="271" spans="4:5">
      <c r="D271"/>
      <c r="E271"/>
    </row>
    <row r="272" spans="4:5">
      <c r="D272"/>
      <c r="E272"/>
    </row>
    <row r="273" spans="4:5">
      <c r="D273"/>
      <c r="E273"/>
    </row>
    <row r="274" spans="4:5">
      <c r="D274"/>
      <c r="E274"/>
    </row>
    <row r="275" spans="4:5">
      <c r="D275"/>
      <c r="E275"/>
    </row>
    <row r="276" spans="4:5">
      <c r="D276"/>
      <c r="E276"/>
    </row>
    <row r="277" spans="4:5">
      <c r="D277"/>
      <c r="E277"/>
    </row>
    <row r="278" spans="4:5">
      <c r="D278"/>
      <c r="E278"/>
    </row>
    <row r="279" spans="4:5">
      <c r="D279"/>
      <c r="E279"/>
    </row>
    <row r="280" spans="4:5">
      <c r="D280"/>
      <c r="E280"/>
    </row>
    <row r="281" spans="4:5">
      <c r="D281"/>
      <c r="E281"/>
    </row>
    <row r="282" spans="4:5">
      <c r="D282"/>
      <c r="E282"/>
    </row>
    <row r="283" spans="4:5">
      <c r="D283"/>
      <c r="E283"/>
    </row>
    <row r="284" spans="4:5">
      <c r="D284"/>
      <c r="E284"/>
    </row>
    <row r="285" spans="4:5">
      <c r="D285"/>
      <c r="E285"/>
    </row>
    <row r="286" spans="4:5">
      <c r="D286"/>
      <c r="E286"/>
    </row>
    <row r="287" spans="4:5">
      <c r="D287"/>
      <c r="E287"/>
    </row>
    <row r="288" spans="4:5">
      <c r="D288"/>
      <c r="E288"/>
    </row>
    <row r="289" spans="4:5">
      <c r="D289"/>
      <c r="E289"/>
    </row>
    <row r="290" spans="4:5">
      <c r="D290"/>
      <c r="E290"/>
    </row>
    <row r="291" spans="4:5">
      <c r="D291"/>
      <c r="E291"/>
    </row>
    <row r="292" spans="4:5">
      <c r="D292"/>
      <c r="E292"/>
    </row>
    <row r="293" spans="4:5">
      <c r="D293"/>
      <c r="E293"/>
    </row>
    <row r="294" spans="4:5">
      <c r="D294"/>
      <c r="E294"/>
    </row>
    <row r="295" spans="4:5">
      <c r="D295"/>
      <c r="E295"/>
    </row>
    <row r="296" spans="4:5">
      <c r="D296"/>
      <c r="E296"/>
    </row>
    <row r="297" spans="4:5">
      <c r="D297"/>
      <c r="E297"/>
    </row>
    <row r="298" spans="4:5">
      <c r="D298"/>
      <c r="E298"/>
    </row>
    <row r="299" spans="4:5">
      <c r="D299"/>
      <c r="E299"/>
    </row>
    <row r="300" spans="4:5">
      <c r="D300"/>
      <c r="E300"/>
    </row>
    <row r="301" spans="4:5">
      <c r="D301"/>
      <c r="E301"/>
    </row>
    <row r="302" spans="4:5">
      <c r="D302"/>
      <c r="E302"/>
    </row>
    <row r="303" spans="4:5">
      <c r="D303"/>
      <c r="E303"/>
    </row>
    <row r="304" spans="4:5">
      <c r="D304"/>
      <c r="E304"/>
    </row>
    <row r="305" spans="4:5">
      <c r="D305"/>
      <c r="E305"/>
    </row>
    <row r="306" spans="4:5">
      <c r="D306"/>
      <c r="E306"/>
    </row>
    <row r="307" spans="4:5">
      <c r="D307"/>
      <c r="E307"/>
    </row>
    <row r="308" spans="4:5">
      <c r="D308"/>
      <c r="E308"/>
    </row>
    <row r="309" spans="4:5">
      <c r="D309"/>
      <c r="E309"/>
    </row>
    <row r="310" spans="4:5">
      <c r="D310"/>
      <c r="E310"/>
    </row>
    <row r="311" spans="4:5">
      <c r="D311"/>
      <c r="E311"/>
    </row>
    <row r="312" spans="4:5">
      <c r="D312"/>
      <c r="E312"/>
    </row>
    <row r="313" spans="4:5">
      <c r="D313"/>
      <c r="E313"/>
    </row>
    <row r="314" spans="4:5">
      <c r="D314"/>
      <c r="E314"/>
    </row>
    <row r="315" spans="4:5">
      <c r="D315"/>
      <c r="E315"/>
    </row>
    <row r="316" spans="4:5">
      <c r="D316"/>
      <c r="E316"/>
    </row>
    <row r="317" spans="4:5">
      <c r="D317"/>
      <c r="E317"/>
    </row>
    <row r="318" spans="4:5">
      <c r="D318"/>
      <c r="E318"/>
    </row>
    <row r="319" spans="4:5">
      <c r="D319"/>
      <c r="E319"/>
    </row>
    <row r="320" spans="4:5">
      <c r="D320"/>
      <c r="E320"/>
    </row>
    <row r="321" spans="4:5">
      <c r="D321"/>
      <c r="E321"/>
    </row>
    <row r="322" spans="4:5">
      <c r="D322"/>
      <c r="E322"/>
    </row>
    <row r="323" spans="4:5">
      <c r="D323"/>
      <c r="E323"/>
    </row>
    <row r="324" spans="4:5">
      <c r="D324"/>
      <c r="E324"/>
    </row>
    <row r="325" spans="4:5">
      <c r="D325"/>
      <c r="E325"/>
    </row>
    <row r="326" spans="4:5">
      <c r="D326"/>
      <c r="E326"/>
    </row>
    <row r="327" spans="4:5">
      <c r="D327"/>
      <c r="E327"/>
    </row>
    <row r="328" spans="4:5">
      <c r="D328"/>
      <c r="E328"/>
    </row>
    <row r="329" spans="4:5">
      <c r="D329"/>
      <c r="E329"/>
    </row>
    <row r="330" spans="4:5">
      <c r="D330"/>
      <c r="E330"/>
    </row>
    <row r="331" spans="4:5">
      <c r="D331"/>
      <c r="E331"/>
    </row>
    <row r="332" spans="4:5">
      <c r="D332"/>
      <c r="E332"/>
    </row>
    <row r="333" spans="4:5">
      <c r="D333"/>
      <c r="E333"/>
    </row>
    <row r="334" spans="4:5">
      <c r="D334"/>
      <c r="E334"/>
    </row>
    <row r="335" spans="4:5">
      <c r="D335"/>
      <c r="E335"/>
    </row>
    <row r="336" spans="4:5">
      <c r="D336"/>
      <c r="E336"/>
    </row>
    <row r="337" spans="4:5">
      <c r="D337"/>
      <c r="E337"/>
    </row>
    <row r="338" spans="4:5">
      <c r="D338"/>
      <c r="E338"/>
    </row>
    <row r="339" spans="4:5">
      <c r="D339"/>
      <c r="E339"/>
    </row>
    <row r="340" spans="4:5">
      <c r="D340"/>
      <c r="E340"/>
    </row>
    <row r="341" spans="4:5">
      <c r="D341"/>
      <c r="E341"/>
    </row>
    <row r="342" spans="4:5">
      <c r="D342"/>
      <c r="E342"/>
    </row>
    <row r="343" spans="4:5">
      <c r="D343"/>
      <c r="E343"/>
    </row>
    <row r="344" spans="4:5">
      <c r="D344"/>
      <c r="E344"/>
    </row>
    <row r="345" spans="4:5">
      <c r="D345"/>
      <c r="E345"/>
    </row>
    <row r="346" spans="4:5">
      <c r="D346"/>
      <c r="E346"/>
    </row>
    <row r="347" spans="4:5">
      <c r="D347"/>
      <c r="E347"/>
    </row>
    <row r="348" spans="4:5">
      <c r="D348"/>
      <c r="E348"/>
    </row>
    <row r="349" spans="4:5">
      <c r="D349"/>
      <c r="E349"/>
    </row>
    <row r="350" spans="4:5">
      <c r="D350"/>
      <c r="E350"/>
    </row>
    <row r="351" spans="4:5">
      <c r="D351"/>
      <c r="E351"/>
    </row>
    <row r="352" spans="4:5">
      <c r="D352"/>
      <c r="E352"/>
    </row>
    <row r="353" spans="4:5">
      <c r="D353"/>
      <c r="E353"/>
    </row>
    <row r="354" spans="4:5">
      <c r="D354"/>
      <c r="E354"/>
    </row>
    <row r="355" spans="4:5">
      <c r="D355"/>
      <c r="E355"/>
    </row>
    <row r="356" spans="4:5">
      <c r="D356"/>
      <c r="E356"/>
    </row>
    <row r="357" spans="4:5">
      <c r="D357"/>
      <c r="E357"/>
    </row>
    <row r="358" spans="4:5">
      <c r="D358"/>
      <c r="E358"/>
    </row>
    <row r="359" spans="4:5">
      <c r="D359"/>
      <c r="E359"/>
    </row>
    <row r="360" spans="4:5">
      <c r="D360"/>
      <c r="E360"/>
    </row>
    <row r="361" spans="4:5">
      <c r="D361"/>
      <c r="E361"/>
    </row>
    <row r="362" spans="4:5">
      <c r="D362"/>
      <c r="E362"/>
    </row>
    <row r="363" spans="4:5">
      <c r="D363"/>
      <c r="E363"/>
    </row>
    <row r="364" spans="4:5">
      <c r="D364"/>
      <c r="E364"/>
    </row>
    <row r="365" spans="4:5">
      <c r="D365"/>
      <c r="E365"/>
    </row>
    <row r="366" spans="4:5">
      <c r="D366"/>
      <c r="E366"/>
    </row>
    <row r="367" spans="4:5">
      <c r="D367"/>
      <c r="E367"/>
    </row>
    <row r="368" spans="4:5">
      <c r="D368"/>
      <c r="E368"/>
    </row>
    <row r="369" spans="4:5">
      <c r="D369"/>
      <c r="E369"/>
    </row>
    <row r="370" spans="4:5">
      <c r="D370"/>
      <c r="E370"/>
    </row>
    <row r="371" spans="4:5">
      <c r="D371"/>
      <c r="E371"/>
    </row>
    <row r="372" spans="4:5">
      <c r="D372"/>
      <c r="E372"/>
    </row>
    <row r="373" spans="4:5">
      <c r="D373"/>
      <c r="E373"/>
    </row>
    <row r="374" spans="4:5">
      <c r="D374"/>
      <c r="E374"/>
    </row>
    <row r="375" spans="4:5">
      <c r="D375"/>
      <c r="E375"/>
    </row>
    <row r="376" spans="4:5">
      <c r="D376"/>
      <c r="E376"/>
    </row>
    <row r="377" spans="4:5">
      <c r="D377"/>
      <c r="E377"/>
    </row>
    <row r="378" spans="4:5">
      <c r="D378"/>
      <c r="E378"/>
    </row>
    <row r="379" spans="4:5">
      <c r="D379"/>
      <c r="E379"/>
    </row>
    <row r="380" spans="4:5">
      <c r="D380"/>
      <c r="E380"/>
    </row>
    <row r="381" spans="4:5">
      <c r="D381"/>
      <c r="E381"/>
    </row>
    <row r="382" spans="4:5">
      <c r="D382"/>
      <c r="E382"/>
    </row>
    <row r="383" spans="4:5">
      <c r="D383"/>
      <c r="E383"/>
    </row>
    <row r="384" spans="4:5">
      <c r="D384"/>
      <c r="E384"/>
    </row>
    <row r="385" spans="4:5">
      <c r="D385"/>
      <c r="E385"/>
    </row>
    <row r="386" spans="4:5">
      <c r="D386"/>
      <c r="E386"/>
    </row>
    <row r="387" spans="4:5">
      <c r="D387"/>
      <c r="E387"/>
    </row>
    <row r="388" spans="4:5">
      <c r="D388"/>
      <c r="E388"/>
    </row>
    <row r="389" spans="4:5">
      <c r="D389"/>
      <c r="E389"/>
    </row>
    <row r="390" spans="4:5">
      <c r="D390"/>
      <c r="E390"/>
    </row>
    <row r="391" spans="4:5">
      <c r="D391"/>
      <c r="E391"/>
    </row>
    <row r="392" spans="4:5">
      <c r="D392"/>
      <c r="E392"/>
    </row>
    <row r="393" spans="4:5">
      <c r="D393"/>
      <c r="E393"/>
    </row>
    <row r="394" spans="4:5">
      <c r="D394"/>
      <c r="E394"/>
    </row>
    <row r="395" spans="4:5">
      <c r="D395"/>
      <c r="E395"/>
    </row>
    <row r="396" spans="4:5">
      <c r="D396"/>
      <c r="E396"/>
    </row>
    <row r="397" spans="4:5">
      <c r="D397"/>
      <c r="E397"/>
    </row>
    <row r="398" spans="4:5">
      <c r="D398"/>
      <c r="E398"/>
    </row>
    <row r="399" spans="4:5">
      <c r="D399"/>
      <c r="E399"/>
    </row>
    <row r="400" spans="4:5">
      <c r="D400"/>
      <c r="E400"/>
    </row>
    <row r="401" spans="4:5">
      <c r="D401"/>
      <c r="E401"/>
    </row>
    <row r="402" spans="4:5">
      <c r="D402"/>
      <c r="E402"/>
    </row>
    <row r="403" spans="4:5">
      <c r="D403"/>
      <c r="E403"/>
    </row>
    <row r="404" spans="4:5">
      <c r="D404"/>
      <c r="E404"/>
    </row>
    <row r="405" spans="4:5">
      <c r="D405"/>
      <c r="E405"/>
    </row>
    <row r="406" spans="4:5">
      <c r="D406"/>
      <c r="E406"/>
    </row>
    <row r="407" spans="4:5">
      <c r="D407"/>
      <c r="E407"/>
    </row>
    <row r="408" spans="4:5">
      <c r="D408"/>
      <c r="E408"/>
    </row>
    <row r="409" spans="4:5">
      <c r="D409"/>
      <c r="E409"/>
    </row>
    <row r="410" spans="4:5">
      <c r="D410"/>
      <c r="E410"/>
    </row>
    <row r="411" spans="4:5">
      <c r="D411"/>
      <c r="E411"/>
    </row>
    <row r="412" spans="4:5">
      <c r="D412"/>
      <c r="E412"/>
    </row>
    <row r="413" spans="4:5">
      <c r="D413"/>
      <c r="E413"/>
    </row>
    <row r="414" spans="4:5">
      <c r="D414"/>
      <c r="E414"/>
    </row>
    <row r="415" spans="4:5">
      <c r="D415"/>
      <c r="E415"/>
    </row>
    <row r="416" spans="4:5">
      <c r="D416"/>
      <c r="E416"/>
    </row>
    <row r="417" spans="4:5">
      <c r="D417"/>
      <c r="E417"/>
    </row>
    <row r="418" spans="4:5">
      <c r="D418"/>
      <c r="E418"/>
    </row>
    <row r="419" spans="4:5">
      <c r="D419"/>
      <c r="E419"/>
    </row>
    <row r="420" spans="4:5">
      <c r="D420"/>
      <c r="E420"/>
    </row>
    <row r="421" spans="4:5">
      <c r="D421"/>
      <c r="E421"/>
    </row>
    <row r="422" spans="4:5">
      <c r="D422"/>
      <c r="E422"/>
    </row>
    <row r="423" spans="4:5">
      <c r="D423"/>
      <c r="E423"/>
    </row>
    <row r="424" spans="4:5">
      <c r="D424"/>
      <c r="E424"/>
    </row>
    <row r="425" spans="4:5">
      <c r="D425"/>
      <c r="E425"/>
    </row>
    <row r="426" spans="4:5">
      <c r="D426"/>
      <c r="E426"/>
    </row>
    <row r="427" spans="4:5">
      <c r="D427"/>
      <c r="E427"/>
    </row>
    <row r="428" spans="4:5">
      <c r="D428"/>
      <c r="E428"/>
    </row>
    <row r="429" spans="4:5">
      <c r="D429"/>
      <c r="E429"/>
    </row>
    <row r="430" spans="4:5">
      <c r="D430"/>
      <c r="E430"/>
    </row>
    <row r="431" spans="4:5">
      <c r="D431"/>
      <c r="E431"/>
    </row>
    <row r="432" spans="4:5">
      <c r="D432"/>
      <c r="E432"/>
    </row>
    <row r="433" spans="4:5">
      <c r="D433"/>
      <c r="E433"/>
    </row>
    <row r="434" spans="4:5">
      <c r="D434"/>
      <c r="E434"/>
    </row>
    <row r="435" spans="4:5">
      <c r="D435"/>
      <c r="E435"/>
    </row>
    <row r="436" spans="4:5">
      <c r="D436"/>
      <c r="E436"/>
    </row>
    <row r="437" spans="4:5">
      <c r="D437"/>
      <c r="E437"/>
    </row>
    <row r="438" spans="4:5">
      <c r="D438"/>
      <c r="E438"/>
    </row>
    <row r="439" spans="4:5">
      <c r="D439"/>
      <c r="E439"/>
    </row>
    <row r="440" spans="4:5">
      <c r="D440"/>
      <c r="E440"/>
    </row>
    <row r="441" spans="4:5">
      <c r="D441"/>
      <c r="E441"/>
    </row>
    <row r="442" spans="4:5">
      <c r="D442"/>
      <c r="E442"/>
    </row>
    <row r="443" spans="4:5">
      <c r="D443"/>
      <c r="E443"/>
    </row>
    <row r="444" spans="4:5">
      <c r="D444"/>
      <c r="E444"/>
    </row>
    <row r="445" spans="4:5">
      <c r="D445"/>
      <c r="E445"/>
    </row>
    <row r="446" spans="4:5">
      <c r="D446"/>
      <c r="E446"/>
    </row>
    <row r="447" spans="4:5">
      <c r="D447"/>
      <c r="E447"/>
    </row>
    <row r="448" spans="4:5">
      <c r="D448"/>
      <c r="E448"/>
    </row>
    <row r="449" spans="4:5">
      <c r="D449"/>
      <c r="E449"/>
    </row>
    <row r="450" spans="4:5">
      <c r="D450"/>
      <c r="E450"/>
    </row>
    <row r="451" spans="4:5">
      <c r="D451"/>
      <c r="E451"/>
    </row>
    <row r="452" spans="4:5">
      <c r="D452"/>
      <c r="E452"/>
    </row>
    <row r="453" spans="4:5">
      <c r="D453"/>
      <c r="E453"/>
    </row>
    <row r="454" spans="4:5">
      <c r="D454"/>
      <c r="E454"/>
    </row>
    <row r="455" spans="4:5">
      <c r="D455"/>
      <c r="E455"/>
    </row>
    <row r="456" spans="4:5">
      <c r="D456"/>
      <c r="E456"/>
    </row>
    <row r="457" spans="4:5">
      <c r="D457"/>
      <c r="E457"/>
    </row>
    <row r="458" spans="4:5">
      <c r="D458"/>
      <c r="E458"/>
    </row>
    <row r="459" spans="4:5">
      <c r="D459"/>
      <c r="E459"/>
    </row>
    <row r="460" spans="4:5">
      <c r="D460"/>
      <c r="E460"/>
    </row>
    <row r="461" spans="4:5">
      <c r="D461"/>
      <c r="E461"/>
    </row>
    <row r="462" spans="4:5">
      <c r="D462"/>
      <c r="E462"/>
    </row>
    <row r="463" spans="4:5">
      <c r="D463"/>
      <c r="E463"/>
    </row>
    <row r="464" spans="4:5">
      <c r="D464"/>
      <c r="E464"/>
    </row>
    <row r="465" spans="4:5">
      <c r="D465"/>
      <c r="E465"/>
    </row>
    <row r="466" spans="4:5">
      <c r="D466"/>
      <c r="E466"/>
    </row>
    <row r="467" spans="4:5">
      <c r="D467"/>
      <c r="E467"/>
    </row>
    <row r="468" spans="4:5">
      <c r="D468"/>
      <c r="E468"/>
    </row>
    <row r="469" spans="4:5">
      <c r="D469"/>
      <c r="E469"/>
    </row>
    <row r="470" spans="4:5">
      <c r="D470"/>
      <c r="E470"/>
    </row>
    <row r="471" spans="4:5">
      <c r="D471"/>
      <c r="E471"/>
    </row>
    <row r="472" spans="4:5">
      <c r="D472"/>
      <c r="E472"/>
    </row>
    <row r="473" spans="4:5">
      <c r="D473"/>
      <c r="E473"/>
    </row>
    <row r="474" spans="4:5">
      <c r="D474"/>
      <c r="E474"/>
    </row>
    <row r="475" spans="4:5">
      <c r="D475"/>
      <c r="E475"/>
    </row>
    <row r="476" spans="4:5">
      <c r="D476"/>
      <c r="E476"/>
    </row>
    <row r="477" spans="4:5">
      <c r="D477"/>
      <c r="E477"/>
    </row>
    <row r="478" spans="4:5">
      <c r="D478"/>
      <c r="E478"/>
    </row>
    <row r="479" spans="4:5">
      <c r="D479"/>
      <c r="E479"/>
    </row>
    <row r="480" spans="4:5">
      <c r="D480"/>
      <c r="E480"/>
    </row>
    <row r="481" spans="4:5">
      <c r="D481"/>
      <c r="E481"/>
    </row>
    <row r="482" spans="4:5">
      <c r="D482"/>
      <c r="E482"/>
    </row>
    <row r="483" spans="4:5">
      <c r="D483"/>
      <c r="E483"/>
    </row>
    <row r="484" spans="4:5">
      <c r="D484"/>
      <c r="E484"/>
    </row>
    <row r="485" spans="4:5">
      <c r="D485"/>
      <c r="E485"/>
    </row>
    <row r="486" spans="4:5">
      <c r="D486"/>
      <c r="E486"/>
    </row>
    <row r="487" spans="4:5">
      <c r="D487"/>
      <c r="E487"/>
    </row>
    <row r="488" spans="4:5">
      <c r="D488"/>
      <c r="E488"/>
    </row>
    <row r="489" spans="4:5">
      <c r="D489"/>
      <c r="E489"/>
    </row>
    <row r="490" spans="4:5">
      <c r="D490"/>
      <c r="E490"/>
    </row>
    <row r="491" spans="4:5">
      <c r="D491"/>
      <c r="E491"/>
    </row>
    <row r="492" spans="4:5">
      <c r="D492"/>
      <c r="E492"/>
    </row>
    <row r="493" spans="4:5">
      <c r="D493"/>
      <c r="E493"/>
    </row>
    <row r="494" spans="4:5">
      <c r="D494"/>
      <c r="E494"/>
    </row>
    <row r="495" spans="4:5">
      <c r="D495"/>
      <c r="E495"/>
    </row>
    <row r="496" spans="4:5">
      <c r="D496"/>
      <c r="E496"/>
    </row>
    <row r="497" spans="4:5">
      <c r="D497"/>
      <c r="E497"/>
    </row>
    <row r="498" spans="4:5">
      <c r="D498"/>
      <c r="E498"/>
    </row>
    <row r="499" spans="4:5">
      <c r="D499"/>
      <c r="E499"/>
    </row>
    <row r="500" spans="4:5">
      <c r="D500"/>
      <c r="E500"/>
    </row>
    <row r="501" spans="4:5">
      <c r="D501"/>
      <c r="E501"/>
    </row>
    <row r="502" spans="4:5">
      <c r="D502"/>
      <c r="E502"/>
    </row>
    <row r="503" spans="4:5">
      <c r="D503"/>
      <c r="E503"/>
    </row>
    <row r="504" spans="4:5">
      <c r="D504"/>
      <c r="E504"/>
    </row>
    <row r="505" spans="4:5">
      <c r="D505"/>
      <c r="E505"/>
    </row>
    <row r="506" spans="4:5">
      <c r="D506"/>
      <c r="E506"/>
    </row>
    <row r="507" spans="4:5">
      <c r="D507"/>
      <c r="E507"/>
    </row>
    <row r="508" spans="4:5">
      <c r="D508"/>
      <c r="E508"/>
    </row>
    <row r="509" spans="4:5">
      <c r="D509"/>
      <c r="E509"/>
    </row>
    <row r="510" spans="4:5">
      <c r="D510"/>
      <c r="E510"/>
    </row>
    <row r="511" spans="4:5">
      <c r="D511"/>
      <c r="E511"/>
    </row>
    <row r="512" spans="4:5">
      <c r="D512"/>
      <c r="E512"/>
    </row>
    <row r="513" spans="4:5">
      <c r="D513"/>
      <c r="E513"/>
    </row>
    <row r="514" spans="4:5">
      <c r="D514"/>
      <c r="E514"/>
    </row>
    <row r="515" spans="4:5">
      <c r="D515"/>
      <c r="E515"/>
    </row>
    <row r="516" spans="4:5">
      <c r="D516"/>
      <c r="E516"/>
    </row>
    <row r="517" spans="4:5">
      <c r="D517"/>
      <c r="E517"/>
    </row>
    <row r="518" spans="4:5">
      <c r="D518"/>
      <c r="E518"/>
    </row>
    <row r="519" spans="4:5">
      <c r="D519"/>
      <c r="E519"/>
    </row>
    <row r="520" spans="4:5">
      <c r="D520"/>
      <c r="E520"/>
    </row>
    <row r="521" spans="4:5">
      <c r="D521"/>
      <c r="E521"/>
    </row>
    <row r="522" spans="4:5">
      <c r="D522"/>
      <c r="E522"/>
    </row>
    <row r="523" spans="4:5">
      <c r="D523"/>
      <c r="E523"/>
    </row>
    <row r="524" spans="4:5">
      <c r="D524"/>
      <c r="E524"/>
    </row>
    <row r="525" spans="4:5">
      <c r="D525"/>
      <c r="E525"/>
    </row>
    <row r="526" spans="4:5">
      <c r="D526"/>
      <c r="E526"/>
    </row>
    <row r="527" spans="4:5">
      <c r="D527"/>
      <c r="E527"/>
    </row>
    <row r="528" spans="4:5">
      <c r="D528"/>
      <c r="E528"/>
    </row>
    <row r="529" spans="4:5">
      <c r="D529"/>
      <c r="E529"/>
    </row>
    <row r="530" spans="4:5">
      <c r="D530"/>
      <c r="E530"/>
    </row>
    <row r="531" spans="4:5">
      <c r="D531"/>
      <c r="E531"/>
    </row>
    <row r="532" spans="4:5">
      <c r="D532"/>
      <c r="E532"/>
    </row>
    <row r="533" spans="4:5">
      <c r="D533"/>
      <c r="E533"/>
    </row>
    <row r="534" spans="4:5">
      <c r="D534"/>
      <c r="E534"/>
    </row>
    <row r="535" spans="4:5">
      <c r="D535"/>
      <c r="E535"/>
    </row>
    <row r="536" spans="4:5">
      <c r="D536"/>
      <c r="E536"/>
    </row>
    <row r="537" spans="4:5">
      <c r="D537"/>
      <c r="E537"/>
    </row>
    <row r="538" spans="4:5">
      <c r="D538"/>
      <c r="E538"/>
    </row>
    <row r="539" spans="4:5">
      <c r="D539"/>
      <c r="E539"/>
    </row>
    <row r="540" spans="4:5">
      <c r="D540"/>
      <c r="E540"/>
    </row>
    <row r="541" spans="4:5">
      <c r="D541"/>
      <c r="E541"/>
    </row>
    <row r="542" spans="4:5">
      <c r="D542"/>
      <c r="E542"/>
    </row>
    <row r="543" spans="4:5">
      <c r="D543"/>
      <c r="E543"/>
    </row>
    <row r="544" spans="4:5">
      <c r="D544"/>
      <c r="E544"/>
    </row>
    <row r="545" spans="4:5">
      <c r="D545"/>
      <c r="E545"/>
    </row>
    <row r="546" spans="4:5">
      <c r="D546"/>
      <c r="E546"/>
    </row>
    <row r="547" spans="4:5">
      <c r="D547"/>
      <c r="E547"/>
    </row>
    <row r="548" spans="4:5">
      <c r="D548"/>
      <c r="E548"/>
    </row>
    <row r="549" spans="4:5">
      <c r="D549"/>
      <c r="E549"/>
    </row>
    <row r="550" spans="4:5">
      <c r="D550"/>
      <c r="E550"/>
    </row>
    <row r="551" spans="4:5">
      <c r="D551"/>
      <c r="E551"/>
    </row>
    <row r="552" spans="4:5">
      <c r="D552"/>
      <c r="E552"/>
    </row>
    <row r="553" spans="4:5">
      <c r="D553"/>
      <c r="E553"/>
    </row>
    <row r="554" spans="4:5">
      <c r="D554"/>
      <c r="E554"/>
    </row>
    <row r="555" spans="4:5">
      <c r="D555"/>
      <c r="E555"/>
    </row>
    <row r="556" spans="4:5">
      <c r="D556"/>
      <c r="E556"/>
    </row>
    <row r="557" spans="4:5">
      <c r="D557"/>
      <c r="E557"/>
    </row>
    <row r="558" spans="4:5">
      <c r="D558"/>
      <c r="E558"/>
    </row>
    <row r="559" spans="4:5">
      <c r="D559"/>
      <c r="E559"/>
    </row>
    <row r="560" spans="4:5">
      <c r="D560"/>
      <c r="E560"/>
    </row>
    <row r="561" spans="4:5">
      <c r="D561"/>
      <c r="E561"/>
    </row>
    <row r="562" spans="4:5">
      <c r="D562"/>
      <c r="E562"/>
    </row>
    <row r="563" spans="4:5">
      <c r="D563"/>
      <c r="E563"/>
    </row>
    <row r="564" spans="4:5">
      <c r="D564"/>
      <c r="E564"/>
    </row>
    <row r="565" spans="4:5">
      <c r="D565"/>
      <c r="E565"/>
    </row>
    <row r="566" spans="4:5">
      <c r="D566"/>
      <c r="E566"/>
    </row>
    <row r="567" spans="4:5">
      <c r="D567"/>
      <c r="E567"/>
    </row>
    <row r="568" spans="4:5">
      <c r="D568"/>
      <c r="E568"/>
    </row>
    <row r="569" spans="4:5">
      <c r="D569"/>
      <c r="E569"/>
    </row>
    <row r="570" spans="4:5">
      <c r="D570"/>
      <c r="E570"/>
    </row>
    <row r="571" spans="4:5">
      <c r="D571"/>
      <c r="E571"/>
    </row>
    <row r="572" spans="4:5">
      <c r="D572"/>
      <c r="E572"/>
    </row>
    <row r="573" spans="4:5">
      <c r="D573"/>
      <c r="E573"/>
    </row>
    <row r="574" spans="4:5">
      <c r="D574"/>
      <c r="E574"/>
    </row>
    <row r="575" spans="4:5">
      <c r="D575"/>
      <c r="E575"/>
    </row>
    <row r="576" spans="4:5">
      <c r="D576"/>
      <c r="E576"/>
    </row>
    <row r="577" spans="4:5">
      <c r="D577"/>
      <c r="E577"/>
    </row>
    <row r="578" spans="4:5">
      <c r="D578"/>
      <c r="E578"/>
    </row>
    <row r="579" spans="4:5">
      <c r="D579"/>
      <c r="E579"/>
    </row>
    <row r="580" spans="4:5">
      <c r="D580"/>
      <c r="E580"/>
    </row>
    <row r="581" spans="4:5">
      <c r="D581"/>
      <c r="E581"/>
    </row>
    <row r="582" spans="4:5">
      <c r="D582"/>
      <c r="E582"/>
    </row>
    <row r="583" spans="4:5">
      <c r="D583"/>
      <c r="E583"/>
    </row>
    <row r="584" spans="4:5">
      <c r="D584"/>
      <c r="E584"/>
    </row>
    <row r="585" spans="4:5">
      <c r="D585"/>
      <c r="E585"/>
    </row>
    <row r="586" spans="4:5">
      <c r="D586"/>
      <c r="E586"/>
    </row>
    <row r="587" spans="4:5">
      <c r="D587"/>
      <c r="E587"/>
    </row>
    <row r="588" spans="4:5">
      <c r="D588"/>
      <c r="E588"/>
    </row>
    <row r="589" spans="4:5">
      <c r="D589"/>
      <c r="E589"/>
    </row>
    <row r="590" spans="4:5">
      <c r="D590"/>
      <c r="E590"/>
    </row>
    <row r="591" spans="4:5">
      <c r="D591"/>
      <c r="E591"/>
    </row>
    <row r="592" spans="4:5">
      <c r="D592"/>
      <c r="E592"/>
    </row>
    <row r="593" spans="4:5">
      <c r="D593"/>
      <c r="E593"/>
    </row>
    <row r="594" spans="4:5">
      <c r="D594"/>
      <c r="E594"/>
    </row>
    <row r="595" spans="4:5">
      <c r="D595"/>
      <c r="E595"/>
    </row>
    <row r="596" spans="4:5">
      <c r="D596"/>
      <c r="E596"/>
    </row>
    <row r="597" spans="4:5">
      <c r="D597"/>
      <c r="E597"/>
    </row>
    <row r="598" spans="4:5">
      <c r="D598"/>
      <c r="E598"/>
    </row>
    <row r="599" spans="4:5">
      <c r="D599"/>
      <c r="E599"/>
    </row>
    <row r="600" spans="4:5">
      <c r="D600"/>
      <c r="E600"/>
    </row>
    <row r="601" spans="4:5">
      <c r="D601"/>
      <c r="E601"/>
    </row>
    <row r="602" spans="4:5">
      <c r="D602"/>
      <c r="E602"/>
    </row>
    <row r="603" spans="4:5">
      <c r="D603"/>
      <c r="E603"/>
    </row>
    <row r="604" spans="4:5">
      <c r="D604"/>
      <c r="E604"/>
    </row>
    <row r="605" spans="4:5">
      <c r="D605"/>
      <c r="E605"/>
    </row>
    <row r="606" spans="4:5">
      <c r="D606"/>
      <c r="E606"/>
    </row>
    <row r="607" spans="4:5">
      <c r="D607"/>
      <c r="E607"/>
    </row>
    <row r="608" spans="4:5">
      <c r="D608"/>
      <c r="E608"/>
    </row>
    <row r="609" spans="4:5">
      <c r="D609"/>
      <c r="E609"/>
    </row>
    <row r="610" spans="4:5">
      <c r="D610"/>
      <c r="E610"/>
    </row>
    <row r="611" spans="4:5">
      <c r="D611"/>
      <c r="E611"/>
    </row>
    <row r="612" spans="4:5">
      <c r="D612"/>
      <c r="E612"/>
    </row>
    <row r="613" spans="4:5">
      <c r="D613"/>
      <c r="E613"/>
    </row>
    <row r="614" spans="4:5">
      <c r="D614"/>
      <c r="E614"/>
    </row>
    <row r="615" spans="4:5">
      <c r="D615"/>
      <c r="E615"/>
    </row>
    <row r="616" spans="4:5">
      <c r="D616"/>
      <c r="E616"/>
    </row>
    <row r="617" spans="4:5">
      <c r="D617"/>
      <c r="E617"/>
    </row>
    <row r="618" spans="4:5">
      <c r="D618"/>
      <c r="E618"/>
    </row>
    <row r="619" spans="4:5">
      <c r="D619"/>
      <c r="E619"/>
    </row>
    <row r="620" spans="4:5">
      <c r="D620"/>
      <c r="E620"/>
    </row>
    <row r="621" spans="4:5">
      <c r="D621"/>
      <c r="E621"/>
    </row>
    <row r="622" spans="4:5">
      <c r="D622"/>
      <c r="E622"/>
    </row>
    <row r="623" spans="4:5">
      <c r="D623"/>
      <c r="E623"/>
    </row>
    <row r="624" spans="4:5">
      <c r="D624"/>
      <c r="E624"/>
    </row>
    <row r="625" spans="4:5">
      <c r="D625"/>
      <c r="E625"/>
    </row>
    <row r="626" spans="4:5">
      <c r="D626"/>
      <c r="E626"/>
    </row>
    <row r="627" spans="4:5">
      <c r="D627"/>
      <c r="E627"/>
    </row>
    <row r="628" spans="4:5">
      <c r="D628"/>
      <c r="E628"/>
    </row>
    <row r="629" spans="4:5">
      <c r="D629"/>
      <c r="E629"/>
    </row>
    <row r="630" spans="4:5">
      <c r="D630"/>
      <c r="E630"/>
    </row>
    <row r="631" spans="4:5">
      <c r="D631"/>
      <c r="E631"/>
    </row>
    <row r="632" spans="4:5">
      <c r="D632"/>
      <c r="E632"/>
    </row>
    <row r="633" spans="4:5">
      <c r="D633"/>
      <c r="E633"/>
    </row>
    <row r="634" spans="4:5">
      <c r="D634"/>
      <c r="E634"/>
    </row>
    <row r="635" spans="4:5">
      <c r="D635"/>
      <c r="E635"/>
    </row>
    <row r="636" spans="4:5">
      <c r="D636"/>
      <c r="E636"/>
    </row>
    <row r="637" spans="4:5">
      <c r="D637"/>
      <c r="E637"/>
    </row>
    <row r="638" spans="4:5">
      <c r="D638"/>
      <c r="E638"/>
    </row>
    <row r="639" spans="4:5">
      <c r="D639"/>
      <c r="E639"/>
    </row>
    <row r="640" spans="4:5">
      <c r="D640"/>
      <c r="E640"/>
    </row>
    <row r="641" spans="4:5">
      <c r="D641"/>
      <c r="E641"/>
    </row>
    <row r="642" spans="4:5">
      <c r="D642"/>
      <c r="E642"/>
    </row>
    <row r="643" spans="4:5">
      <c r="D643"/>
      <c r="E643"/>
    </row>
    <row r="644" spans="4:5">
      <c r="D644"/>
      <c r="E644"/>
    </row>
    <row r="645" spans="4:5">
      <c r="D645"/>
      <c r="E645"/>
    </row>
    <row r="646" spans="4:5">
      <c r="D646"/>
      <c r="E646"/>
    </row>
    <row r="647" spans="4:5">
      <c r="D647"/>
      <c r="E647"/>
    </row>
    <row r="648" spans="4:5">
      <c r="D648"/>
      <c r="E648"/>
    </row>
    <row r="649" spans="4:5">
      <c r="D649"/>
      <c r="E649"/>
    </row>
    <row r="650" spans="4:5">
      <c r="D650"/>
      <c r="E650"/>
    </row>
    <row r="651" spans="4:5">
      <c r="D651"/>
      <c r="E651"/>
    </row>
    <row r="652" spans="4:5">
      <c r="D652"/>
      <c r="E652"/>
    </row>
    <row r="653" spans="4:5">
      <c r="D653"/>
      <c r="E653"/>
    </row>
    <row r="654" spans="4:5">
      <c r="D654"/>
      <c r="E654"/>
    </row>
    <row r="655" spans="4:5">
      <c r="D655"/>
      <c r="E655"/>
    </row>
    <row r="656" spans="4:5">
      <c r="D656"/>
      <c r="E656"/>
    </row>
    <row r="657" spans="4:5">
      <c r="D657"/>
      <c r="E657"/>
    </row>
    <row r="658" spans="4:5">
      <c r="D658"/>
      <c r="E658"/>
    </row>
    <row r="659" spans="4:5">
      <c r="D659"/>
      <c r="E659"/>
    </row>
    <row r="660" spans="4:5">
      <c r="D660"/>
      <c r="E660"/>
    </row>
    <row r="661" spans="4:5">
      <c r="D661"/>
      <c r="E661"/>
    </row>
    <row r="662" spans="4:5">
      <c r="D662"/>
      <c r="E662"/>
    </row>
    <row r="663" spans="4:5">
      <c r="D663"/>
      <c r="E663"/>
    </row>
    <row r="664" spans="4:5">
      <c r="D664"/>
      <c r="E664"/>
    </row>
    <row r="665" spans="4:5">
      <c r="D665"/>
      <c r="E665"/>
    </row>
    <row r="666" spans="4:5">
      <c r="D666"/>
      <c r="E666"/>
    </row>
    <row r="667" spans="4:5">
      <c r="D667"/>
      <c r="E667"/>
    </row>
  </sheetData>
  <mergeCells count="1">
    <mergeCell ref="B1:F1"/>
  </mergeCells>
  <pageMargins left="0.7" right="0.7" top="0.75" bottom="0.75" header="0.3" footer="0.3"/>
  <pageSetup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L83"/>
  <sheetViews>
    <sheetView zoomScale="55" zoomScaleNormal="55" workbookViewId="0">
      <selection activeCell="B1" sqref="B1:F1"/>
    </sheetView>
  </sheetViews>
  <sheetFormatPr defaultRowHeight="15"/>
  <cols>
    <col min="1" max="1" width="38.140625" bestFit="1" customWidth="1"/>
    <col min="2" max="2" width="20.5703125" bestFit="1" customWidth="1"/>
    <col min="3" max="3" width="16.42578125" customWidth="1"/>
    <col min="4" max="4" width="18.5703125" bestFit="1" customWidth="1"/>
    <col min="5" max="5" width="27.7109375" hidden="1" customWidth="1"/>
    <col min="6" max="6" width="27.7109375" bestFit="1" customWidth="1"/>
    <col min="7" max="8" width="114.28515625" customWidth="1"/>
    <col min="9" max="9" width="38.140625" hidden="1" customWidth="1"/>
    <col min="10" max="10" width="15.85546875" hidden="1" customWidth="1"/>
    <col min="11" max="11" width="38.140625" hidden="1" customWidth="1"/>
    <col min="12" max="12" width="20.5703125" hidden="1" customWidth="1"/>
    <col min="16" max="16" width="27.7109375" bestFit="1" customWidth="1"/>
  </cols>
  <sheetData>
    <row r="1" spans="1:12" ht="75" customHeight="1" thickBot="1">
      <c r="A1" s="22"/>
      <c r="B1" s="114" t="str">
        <f ca="1">CONCATENATE(IFERROR(IF(LEFT(A4,FIND(" ",A4)-1)="ABBOTT",LEFT(A4,FIND(" ",A4)-1),A4),A4),CHAR(10)," Recycling Activity Report ",CHAR(10),"Year To Date (", TEXT(TODAY(),"MM/DD/YYYY"), ")")</f>
        <v>Company14
 Recycling Activity Report 
Year To Date (12/11/2015)</v>
      </c>
      <c r="C1" s="115"/>
      <c r="D1" s="115"/>
      <c r="E1" s="115"/>
      <c r="F1" s="116"/>
      <c r="G1" s="78" t="str">
        <f ca="1">CONCATENATE(IFERROR(IF(LEFT(A4,FIND(" ",A4)-1)="ABBOTT",LEFT(A4,FIND(" ",A4)-1),A4),A4),CHAR(10)," Recycling Activity Report ",CHAR(10),"Year To Date (", TEXT(TODAY(),"MM/DD/YYYY"), ")")</f>
        <v>Company14
 Recycling Activity Report 
Year To Date (12/11/2015)</v>
      </c>
      <c r="H1" s="78" t="str">
        <f ca="1">CONCATENATE(IFERROR(IF(LEFT(A4,FIND(" ",A4)-1)="ABBOTT",LEFT(A4,FIND(" ",A4)-1),A4),A4),CHAR(10)," Recycling Activity Report ",CHAR(10),"Year To Date (", TEXT(TODAY(),"MM/DD/YYYY"), ")")</f>
        <v>Company14
 Recycling Activity Report 
Year To Date (12/11/2015)</v>
      </c>
    </row>
    <row r="2" spans="1:12">
      <c r="A2" s="9"/>
      <c r="B2" s="16" t="s">
        <v>1</v>
      </c>
      <c r="C2" s="9"/>
      <c r="D2" s="9"/>
      <c r="E2" s="9"/>
      <c r="F2" s="8" t="s">
        <v>2</v>
      </c>
      <c r="G2" s="75" t="s">
        <v>64</v>
      </c>
      <c r="H2" s="75" t="s">
        <v>65</v>
      </c>
    </row>
    <row r="3" spans="1:12">
      <c r="A3" s="20" t="s">
        <v>18</v>
      </c>
      <c r="B3" s="7" t="s">
        <v>62</v>
      </c>
      <c r="C3" s="10" t="s">
        <v>21</v>
      </c>
      <c r="D3" s="10" t="s">
        <v>3</v>
      </c>
      <c r="E3" s="7" t="s">
        <v>20</v>
      </c>
      <c r="F3" s="11" t="s">
        <v>20</v>
      </c>
      <c r="G3" s="1" t="str">
        <f>CONCATENATE("Grand Total : ", TEXT(GETPIVOTDATA("Total Weight",$A$2), "###,###"), " Pounds")</f>
        <v>Grand Total : 209,188 Pounds</v>
      </c>
      <c r="H3" s="1" t="str">
        <f>CONCATENATE("Total Net Amount: ",TEXT(F7,"$#,###.##"), IF(F7&gt;0, " (Credit)", " (Charge)"))</f>
        <v>Total Net Amount: $117.83 (Credit)</v>
      </c>
      <c r="I3" s="20" t="s">
        <v>18</v>
      </c>
      <c r="J3" s="1" t="s">
        <v>62</v>
      </c>
      <c r="K3" s="20" t="s">
        <v>18</v>
      </c>
      <c r="L3" s="1" t="s">
        <v>77</v>
      </c>
    </row>
    <row r="4" spans="1:12" ht="15.75">
      <c r="A4" s="2" t="s">
        <v>192</v>
      </c>
      <c r="B4" s="70"/>
      <c r="C4" s="23"/>
      <c r="D4" s="23"/>
      <c r="E4" s="5"/>
      <c r="F4" s="12">
        <f>GETPIVOTDATA("Total Number of Loads",$A$2)</f>
        <v>18</v>
      </c>
      <c r="I4" s="2" t="s">
        <v>192</v>
      </c>
      <c r="J4" s="70"/>
      <c r="K4" s="2" t="s">
        <v>192</v>
      </c>
      <c r="L4" s="5"/>
    </row>
    <row r="5" spans="1:12">
      <c r="A5" s="77">
        <v>42005</v>
      </c>
      <c r="B5" s="70">
        <v>14588</v>
      </c>
      <c r="C5" s="23">
        <v>0</v>
      </c>
      <c r="D5" s="23">
        <v>0</v>
      </c>
      <c r="E5" s="5">
        <v>1</v>
      </c>
      <c r="I5" s="77">
        <v>42005</v>
      </c>
      <c r="J5" s="70">
        <v>14588</v>
      </c>
      <c r="K5" s="77">
        <v>42005</v>
      </c>
      <c r="L5" s="5">
        <v>0</v>
      </c>
    </row>
    <row r="6" spans="1:12" ht="18.75">
      <c r="A6" s="69" t="s">
        <v>1508</v>
      </c>
      <c r="B6" s="70">
        <v>1258</v>
      </c>
      <c r="C6" s="23">
        <v>0</v>
      </c>
      <c r="D6" s="23">
        <v>0</v>
      </c>
      <c r="E6" s="5">
        <v>0</v>
      </c>
      <c r="F6" s="71" t="str">
        <f>CONCATENATE("Total Net Amount")</f>
        <v>Total Net Amount</v>
      </c>
      <c r="I6" s="69" t="s">
        <v>1508</v>
      </c>
      <c r="J6" s="70">
        <v>1258</v>
      </c>
      <c r="K6" s="69" t="s">
        <v>1508</v>
      </c>
      <c r="L6" s="5">
        <v>0</v>
      </c>
    </row>
    <row r="7" spans="1:12" ht="21">
      <c r="A7" s="69" t="s">
        <v>1503</v>
      </c>
      <c r="B7" s="70">
        <v>10276</v>
      </c>
      <c r="C7" s="23">
        <v>0</v>
      </c>
      <c r="D7" s="23">
        <v>0</v>
      </c>
      <c r="E7" s="5">
        <v>0</v>
      </c>
      <c r="F7" s="14">
        <f>GETPIVOTDATA("Total Credit",$A$2)+GETPIVOTDATA("Total Charge",$A$2)</f>
        <v>117.82499999999999</v>
      </c>
      <c r="I7" s="69" t="s">
        <v>1503</v>
      </c>
      <c r="J7" s="70">
        <v>10276</v>
      </c>
      <c r="K7" s="69" t="s">
        <v>1503</v>
      </c>
      <c r="L7" s="5">
        <v>0</v>
      </c>
    </row>
    <row r="8" spans="1:12">
      <c r="A8" s="69" t="s">
        <v>45</v>
      </c>
      <c r="B8" s="70">
        <v>1060</v>
      </c>
      <c r="C8" s="23">
        <v>0</v>
      </c>
      <c r="D8" s="23">
        <v>0</v>
      </c>
      <c r="E8" s="5">
        <v>1</v>
      </c>
      <c r="I8" s="69" t="s">
        <v>45</v>
      </c>
      <c r="J8" s="70">
        <v>1060</v>
      </c>
      <c r="K8" s="69" t="s">
        <v>45</v>
      </c>
      <c r="L8" s="5">
        <v>0</v>
      </c>
    </row>
    <row r="9" spans="1:12">
      <c r="A9" s="69" t="s">
        <v>1506</v>
      </c>
      <c r="B9" s="70">
        <v>1258</v>
      </c>
      <c r="C9" s="23">
        <v>0</v>
      </c>
      <c r="D9" s="23">
        <v>0</v>
      </c>
      <c r="E9" s="5">
        <v>0</v>
      </c>
      <c r="I9" s="69" t="s">
        <v>1506</v>
      </c>
      <c r="J9" s="70">
        <v>1258</v>
      </c>
      <c r="K9" s="69" t="s">
        <v>1506</v>
      </c>
      <c r="L9" s="5">
        <v>0</v>
      </c>
    </row>
    <row r="10" spans="1:12">
      <c r="A10" s="69" t="s">
        <v>1502</v>
      </c>
      <c r="B10" s="70">
        <v>368</v>
      </c>
      <c r="C10" s="23">
        <v>0</v>
      </c>
      <c r="D10" s="23">
        <v>0</v>
      </c>
      <c r="E10" s="5">
        <v>0</v>
      </c>
      <c r="I10" s="69" t="s">
        <v>1502</v>
      </c>
      <c r="J10" s="70">
        <v>368</v>
      </c>
      <c r="K10" s="69" t="s">
        <v>1502</v>
      </c>
      <c r="L10" s="5">
        <v>0</v>
      </c>
    </row>
    <row r="11" spans="1:12">
      <c r="A11" s="69" t="s">
        <v>48</v>
      </c>
      <c r="B11" s="70">
        <v>368</v>
      </c>
      <c r="C11" s="23">
        <v>0</v>
      </c>
      <c r="D11" s="23">
        <v>0</v>
      </c>
      <c r="E11" s="5">
        <v>0</v>
      </c>
      <c r="I11" s="69" t="s">
        <v>48</v>
      </c>
      <c r="J11" s="70">
        <v>368</v>
      </c>
      <c r="K11" s="69" t="s">
        <v>48</v>
      </c>
      <c r="L11" s="5">
        <v>0</v>
      </c>
    </row>
    <row r="12" spans="1:12">
      <c r="A12" s="77">
        <v>42064</v>
      </c>
      <c r="B12" s="70">
        <v>49980</v>
      </c>
      <c r="C12" s="23">
        <v>0</v>
      </c>
      <c r="D12" s="23">
        <v>0</v>
      </c>
      <c r="E12" s="5">
        <v>3</v>
      </c>
      <c r="I12" s="77">
        <v>42064</v>
      </c>
      <c r="J12" s="70">
        <v>49980</v>
      </c>
      <c r="K12" s="77">
        <v>42064</v>
      </c>
      <c r="L12" s="5">
        <v>0</v>
      </c>
    </row>
    <row r="13" spans="1:12">
      <c r="A13" s="69" t="s">
        <v>43</v>
      </c>
      <c r="B13" s="70">
        <v>26195</v>
      </c>
      <c r="C13" s="23">
        <v>0</v>
      </c>
      <c r="D13" s="23">
        <v>0</v>
      </c>
      <c r="E13" s="5">
        <v>0</v>
      </c>
      <c r="I13" s="69" t="s">
        <v>43</v>
      </c>
      <c r="J13" s="70">
        <v>26195</v>
      </c>
      <c r="K13" s="69" t="s">
        <v>43</v>
      </c>
      <c r="L13" s="5">
        <v>0</v>
      </c>
    </row>
    <row r="14" spans="1:12">
      <c r="A14" s="69" t="s">
        <v>44</v>
      </c>
      <c r="B14" s="70">
        <v>12649</v>
      </c>
      <c r="C14" s="23">
        <v>0</v>
      </c>
      <c r="D14" s="23">
        <v>0</v>
      </c>
      <c r="E14" s="5">
        <v>0</v>
      </c>
      <c r="I14" s="69" t="s">
        <v>44</v>
      </c>
      <c r="J14" s="70">
        <v>12649</v>
      </c>
      <c r="K14" s="69" t="s">
        <v>44</v>
      </c>
      <c r="L14" s="5">
        <v>0</v>
      </c>
    </row>
    <row r="15" spans="1:12">
      <c r="A15" s="69" t="s">
        <v>45</v>
      </c>
      <c r="B15" s="70">
        <v>780</v>
      </c>
      <c r="C15" s="23">
        <v>0</v>
      </c>
      <c r="D15" s="23">
        <v>0</v>
      </c>
      <c r="E15" s="5">
        <v>0</v>
      </c>
      <c r="I15" s="69" t="s">
        <v>45</v>
      </c>
      <c r="J15" s="70">
        <v>780</v>
      </c>
      <c r="K15" s="69" t="s">
        <v>45</v>
      </c>
      <c r="L15" s="5">
        <v>0</v>
      </c>
    </row>
    <row r="16" spans="1:12">
      <c r="A16" s="69" t="s">
        <v>1530</v>
      </c>
      <c r="B16" s="70">
        <v>119</v>
      </c>
      <c r="C16" s="23">
        <v>0</v>
      </c>
      <c r="D16" s="23">
        <v>0</v>
      </c>
      <c r="E16" s="5">
        <v>0</v>
      </c>
      <c r="I16" s="69" t="s">
        <v>1530</v>
      </c>
      <c r="J16" s="70">
        <v>119</v>
      </c>
      <c r="K16" s="69" t="s">
        <v>1530</v>
      </c>
      <c r="L16" s="5">
        <v>0</v>
      </c>
    </row>
    <row r="17" spans="1:12">
      <c r="A17" s="69" t="s">
        <v>46</v>
      </c>
      <c r="B17" s="70">
        <v>402</v>
      </c>
      <c r="C17" s="23">
        <v>0</v>
      </c>
      <c r="D17" s="23">
        <v>0</v>
      </c>
      <c r="E17" s="5">
        <v>1</v>
      </c>
      <c r="I17" s="69" t="s">
        <v>46</v>
      </c>
      <c r="J17" s="70">
        <v>402</v>
      </c>
      <c r="K17" s="69" t="s">
        <v>46</v>
      </c>
      <c r="L17" s="5">
        <v>0</v>
      </c>
    </row>
    <row r="18" spans="1:12">
      <c r="A18" s="69" t="s">
        <v>47</v>
      </c>
      <c r="B18" s="70">
        <v>6225</v>
      </c>
      <c r="C18" s="23">
        <v>0</v>
      </c>
      <c r="D18" s="23">
        <v>0</v>
      </c>
      <c r="E18" s="5">
        <v>0</v>
      </c>
      <c r="I18" s="69" t="s">
        <v>47</v>
      </c>
      <c r="J18" s="70">
        <v>6225</v>
      </c>
      <c r="K18" s="69" t="s">
        <v>47</v>
      </c>
      <c r="L18" s="5">
        <v>0</v>
      </c>
    </row>
    <row r="19" spans="1:12">
      <c r="A19" s="69" t="s">
        <v>48</v>
      </c>
      <c r="B19" s="70">
        <v>3242</v>
      </c>
      <c r="C19" s="23">
        <v>0</v>
      </c>
      <c r="D19" s="23">
        <v>0</v>
      </c>
      <c r="E19" s="5">
        <v>2</v>
      </c>
      <c r="I19" s="69" t="s">
        <v>48</v>
      </c>
      <c r="J19" s="70">
        <v>3242</v>
      </c>
      <c r="K19" s="69" t="s">
        <v>48</v>
      </c>
      <c r="L19" s="5">
        <v>0</v>
      </c>
    </row>
    <row r="20" spans="1:12">
      <c r="A20" s="69" t="s">
        <v>1518</v>
      </c>
      <c r="B20" s="70">
        <v>88</v>
      </c>
      <c r="C20" s="23">
        <v>0</v>
      </c>
      <c r="D20" s="23">
        <v>0</v>
      </c>
      <c r="E20" s="5">
        <v>0</v>
      </c>
      <c r="I20" s="69" t="s">
        <v>1518</v>
      </c>
      <c r="J20" s="70">
        <v>88</v>
      </c>
      <c r="K20" s="69" t="s">
        <v>1518</v>
      </c>
      <c r="L20" s="5">
        <v>0</v>
      </c>
    </row>
    <row r="21" spans="1:12">
      <c r="A21" s="69" t="s">
        <v>1527</v>
      </c>
      <c r="B21" s="70">
        <v>280</v>
      </c>
      <c r="C21" s="23">
        <v>0</v>
      </c>
      <c r="D21" s="23">
        <v>0</v>
      </c>
      <c r="E21" s="5">
        <v>0</v>
      </c>
      <c r="I21" s="69" t="s">
        <v>1527</v>
      </c>
      <c r="J21" s="70">
        <v>280</v>
      </c>
      <c r="K21" s="69" t="s">
        <v>1527</v>
      </c>
      <c r="L21" s="5">
        <v>0</v>
      </c>
    </row>
    <row r="22" spans="1:12">
      <c r="A22" s="77">
        <v>42095</v>
      </c>
      <c r="B22" s="70">
        <v>25841</v>
      </c>
      <c r="C22" s="23">
        <v>0</v>
      </c>
      <c r="D22" s="23">
        <v>0</v>
      </c>
      <c r="E22" s="5">
        <v>2</v>
      </c>
      <c r="I22" s="77">
        <v>42095</v>
      </c>
      <c r="J22" s="70">
        <v>25841</v>
      </c>
      <c r="K22" s="77">
        <v>42095</v>
      </c>
      <c r="L22" s="5">
        <v>0</v>
      </c>
    </row>
    <row r="23" spans="1:12">
      <c r="A23" s="69" t="s">
        <v>44</v>
      </c>
      <c r="B23" s="70">
        <v>17588</v>
      </c>
      <c r="C23" s="23">
        <v>0</v>
      </c>
      <c r="D23" s="23">
        <v>0</v>
      </c>
      <c r="E23" s="5">
        <v>0</v>
      </c>
      <c r="I23" s="69" t="s">
        <v>44</v>
      </c>
      <c r="J23" s="70">
        <v>17588</v>
      </c>
      <c r="K23" s="69" t="s">
        <v>44</v>
      </c>
      <c r="L23" s="5">
        <v>0</v>
      </c>
    </row>
    <row r="24" spans="1:12">
      <c r="A24" s="69" t="s">
        <v>45</v>
      </c>
      <c r="B24" s="70">
        <v>816</v>
      </c>
      <c r="C24" s="23">
        <v>0</v>
      </c>
      <c r="D24" s="23">
        <v>0</v>
      </c>
      <c r="E24" s="5">
        <v>0</v>
      </c>
      <c r="I24" s="69" t="s">
        <v>45</v>
      </c>
      <c r="J24" s="70">
        <v>816</v>
      </c>
      <c r="K24" s="69" t="s">
        <v>45</v>
      </c>
      <c r="L24" s="5">
        <v>0</v>
      </c>
    </row>
    <row r="25" spans="1:12">
      <c r="A25" s="69" t="s">
        <v>1506</v>
      </c>
      <c r="B25" s="70">
        <v>4261</v>
      </c>
      <c r="C25" s="23">
        <v>0</v>
      </c>
      <c r="D25" s="23">
        <v>0</v>
      </c>
      <c r="E25" s="5">
        <v>1</v>
      </c>
      <c r="I25" s="69" t="s">
        <v>1506</v>
      </c>
      <c r="J25" s="70">
        <v>4261</v>
      </c>
      <c r="K25" s="69" t="s">
        <v>1506</v>
      </c>
      <c r="L25" s="5">
        <v>0</v>
      </c>
    </row>
    <row r="26" spans="1:12">
      <c r="A26" s="69" t="s">
        <v>46</v>
      </c>
      <c r="B26" s="70">
        <v>1269</v>
      </c>
      <c r="C26" s="23">
        <v>0</v>
      </c>
      <c r="D26" s="23">
        <v>0</v>
      </c>
      <c r="E26" s="5">
        <v>0</v>
      </c>
      <c r="I26" s="69" t="s">
        <v>46</v>
      </c>
      <c r="J26" s="70">
        <v>1269</v>
      </c>
      <c r="K26" s="69" t="s">
        <v>46</v>
      </c>
      <c r="L26" s="5">
        <v>0</v>
      </c>
    </row>
    <row r="27" spans="1:12">
      <c r="A27" s="69" t="s">
        <v>1502</v>
      </c>
      <c r="B27" s="70">
        <v>1907</v>
      </c>
      <c r="C27" s="23">
        <v>0</v>
      </c>
      <c r="D27" s="23">
        <v>0</v>
      </c>
      <c r="E27" s="5">
        <v>1</v>
      </c>
      <c r="I27" s="69" t="s">
        <v>1502</v>
      </c>
      <c r="J27" s="70">
        <v>1907</v>
      </c>
      <c r="K27" s="69" t="s">
        <v>1502</v>
      </c>
      <c r="L27" s="5">
        <v>0</v>
      </c>
    </row>
    <row r="28" spans="1:12">
      <c r="A28" s="77">
        <v>42125</v>
      </c>
      <c r="B28" s="70">
        <v>40238</v>
      </c>
      <c r="C28" s="23">
        <v>0</v>
      </c>
      <c r="D28" s="23">
        <v>0</v>
      </c>
      <c r="E28" s="5">
        <v>3</v>
      </c>
      <c r="I28" s="77">
        <v>42125</v>
      </c>
      <c r="J28" s="70">
        <v>40238</v>
      </c>
      <c r="K28" s="77">
        <v>42125</v>
      </c>
      <c r="L28" s="5">
        <v>0</v>
      </c>
    </row>
    <row r="29" spans="1:12">
      <c r="A29" s="69" t="s">
        <v>43</v>
      </c>
      <c r="B29" s="70">
        <v>2390</v>
      </c>
      <c r="C29" s="23">
        <v>0</v>
      </c>
      <c r="D29" s="23">
        <v>0</v>
      </c>
      <c r="E29" s="5">
        <v>1</v>
      </c>
      <c r="I29" s="69" t="s">
        <v>43</v>
      </c>
      <c r="J29" s="70">
        <v>2390</v>
      </c>
      <c r="K29" s="69" t="s">
        <v>43</v>
      </c>
      <c r="L29" s="5">
        <v>0</v>
      </c>
    </row>
    <row r="30" spans="1:12">
      <c r="A30" s="69" t="s">
        <v>1505</v>
      </c>
      <c r="B30" s="70">
        <v>430</v>
      </c>
      <c r="C30" s="23">
        <v>0</v>
      </c>
      <c r="D30" s="23">
        <v>0</v>
      </c>
      <c r="E30" s="5">
        <v>1</v>
      </c>
      <c r="I30" s="69" t="s">
        <v>1505</v>
      </c>
      <c r="J30" s="70">
        <v>430</v>
      </c>
      <c r="K30" s="69" t="s">
        <v>1505</v>
      </c>
      <c r="L30" s="5">
        <v>0</v>
      </c>
    </row>
    <row r="31" spans="1:12">
      <c r="A31" s="69" t="s">
        <v>1506</v>
      </c>
      <c r="B31" s="70">
        <v>30846</v>
      </c>
      <c r="C31" s="23">
        <v>0</v>
      </c>
      <c r="D31" s="23">
        <v>0</v>
      </c>
      <c r="E31" s="5">
        <v>1</v>
      </c>
      <c r="I31" s="69" t="s">
        <v>1506</v>
      </c>
      <c r="J31" s="70">
        <v>30846</v>
      </c>
      <c r="K31" s="69" t="s">
        <v>1506</v>
      </c>
      <c r="L31" s="5">
        <v>0</v>
      </c>
    </row>
    <row r="32" spans="1:12">
      <c r="A32" s="69" t="s">
        <v>46</v>
      </c>
      <c r="B32" s="70">
        <v>4012</v>
      </c>
      <c r="C32" s="23">
        <v>0</v>
      </c>
      <c r="D32" s="23">
        <v>0</v>
      </c>
      <c r="E32" s="5">
        <v>0</v>
      </c>
      <c r="I32" s="69" t="s">
        <v>46</v>
      </c>
      <c r="J32" s="70">
        <v>4012</v>
      </c>
      <c r="K32" s="69" t="s">
        <v>46</v>
      </c>
      <c r="L32" s="5">
        <v>0</v>
      </c>
    </row>
    <row r="33" spans="1:12">
      <c r="A33" s="69" t="s">
        <v>1523</v>
      </c>
      <c r="B33" s="70">
        <v>2410</v>
      </c>
      <c r="C33" s="23">
        <v>0</v>
      </c>
      <c r="D33" s="23">
        <v>0</v>
      </c>
      <c r="E33" s="5">
        <v>0</v>
      </c>
      <c r="I33" s="69" t="s">
        <v>1523</v>
      </c>
      <c r="J33" s="70">
        <v>2410</v>
      </c>
      <c r="K33" s="69" t="s">
        <v>1523</v>
      </c>
      <c r="L33" s="5">
        <v>0</v>
      </c>
    </row>
    <row r="34" spans="1:12">
      <c r="A34" s="69" t="s">
        <v>66</v>
      </c>
      <c r="B34" s="70">
        <v>150</v>
      </c>
      <c r="C34" s="23">
        <v>0</v>
      </c>
      <c r="D34" s="23">
        <v>0</v>
      </c>
      <c r="E34" s="5">
        <v>0</v>
      </c>
      <c r="I34" s="69" t="s">
        <v>66</v>
      </c>
      <c r="J34" s="70">
        <v>150</v>
      </c>
      <c r="K34" s="69" t="s">
        <v>66</v>
      </c>
      <c r="L34" s="5">
        <v>0</v>
      </c>
    </row>
    <row r="35" spans="1:12">
      <c r="A35" s="77">
        <v>42156</v>
      </c>
      <c r="B35" s="70">
        <v>41570</v>
      </c>
      <c r="C35" s="23">
        <v>0</v>
      </c>
      <c r="D35" s="23">
        <v>0</v>
      </c>
      <c r="E35" s="5">
        <v>5</v>
      </c>
      <c r="I35" s="77">
        <v>42156</v>
      </c>
      <c r="J35" s="70">
        <v>41570</v>
      </c>
      <c r="K35" s="77">
        <v>42156</v>
      </c>
      <c r="L35" s="5">
        <v>0</v>
      </c>
    </row>
    <row r="36" spans="1:12">
      <c r="A36" s="69" t="s">
        <v>43</v>
      </c>
      <c r="B36" s="70">
        <v>33197</v>
      </c>
      <c r="C36" s="23">
        <v>0</v>
      </c>
      <c r="D36" s="23">
        <v>0</v>
      </c>
      <c r="E36" s="5">
        <v>3</v>
      </c>
      <c r="I36" s="69" t="s">
        <v>43</v>
      </c>
      <c r="J36" s="70">
        <v>33197</v>
      </c>
      <c r="K36" s="69" t="s">
        <v>43</v>
      </c>
      <c r="L36" s="5">
        <v>0</v>
      </c>
    </row>
    <row r="37" spans="1:12">
      <c r="A37" s="69" t="s">
        <v>1508</v>
      </c>
      <c r="B37" s="70">
        <v>175</v>
      </c>
      <c r="C37" s="23">
        <v>0</v>
      </c>
      <c r="D37" s="23">
        <v>0</v>
      </c>
      <c r="E37" s="5">
        <v>1</v>
      </c>
      <c r="I37" s="69" t="s">
        <v>1508</v>
      </c>
      <c r="J37" s="70">
        <v>175</v>
      </c>
      <c r="K37" s="69" t="s">
        <v>1508</v>
      </c>
      <c r="L37" s="5">
        <v>0</v>
      </c>
    </row>
    <row r="38" spans="1:12">
      <c r="A38" s="69" t="s">
        <v>45</v>
      </c>
      <c r="B38" s="70">
        <v>431</v>
      </c>
      <c r="C38" s="23">
        <v>0</v>
      </c>
      <c r="D38" s="23">
        <v>0</v>
      </c>
      <c r="E38" s="5">
        <v>0</v>
      </c>
      <c r="I38" s="69" t="s">
        <v>45</v>
      </c>
      <c r="J38" s="70">
        <v>431</v>
      </c>
      <c r="K38" s="69" t="s">
        <v>45</v>
      </c>
      <c r="L38" s="5">
        <v>0</v>
      </c>
    </row>
    <row r="39" spans="1:12">
      <c r="A39" s="69" t="s">
        <v>1530</v>
      </c>
      <c r="B39" s="70">
        <v>152</v>
      </c>
      <c r="C39" s="23">
        <v>0</v>
      </c>
      <c r="D39" s="23">
        <v>0</v>
      </c>
      <c r="E39" s="5">
        <v>0</v>
      </c>
      <c r="I39" s="69" t="s">
        <v>1530</v>
      </c>
      <c r="J39" s="70">
        <v>152</v>
      </c>
      <c r="K39" s="69" t="s">
        <v>1530</v>
      </c>
      <c r="L39" s="5">
        <v>0</v>
      </c>
    </row>
    <row r="40" spans="1:12">
      <c r="A40" s="69" t="s">
        <v>46</v>
      </c>
      <c r="B40" s="70">
        <v>3143</v>
      </c>
      <c r="C40" s="23">
        <v>0</v>
      </c>
      <c r="D40" s="23">
        <v>0</v>
      </c>
      <c r="E40" s="5">
        <v>0</v>
      </c>
      <c r="I40" s="69" t="s">
        <v>46</v>
      </c>
      <c r="J40" s="70">
        <v>3143</v>
      </c>
      <c r="K40" s="69" t="s">
        <v>46</v>
      </c>
      <c r="L40" s="5">
        <v>0</v>
      </c>
    </row>
    <row r="41" spans="1:12">
      <c r="A41" s="69" t="s">
        <v>1510</v>
      </c>
      <c r="B41" s="70">
        <v>249</v>
      </c>
      <c r="C41" s="23">
        <v>0</v>
      </c>
      <c r="D41" s="23">
        <v>0</v>
      </c>
      <c r="E41" s="5">
        <v>0</v>
      </c>
      <c r="I41" s="69" t="s">
        <v>1510</v>
      </c>
      <c r="J41" s="70">
        <v>249</v>
      </c>
      <c r="K41" s="69" t="s">
        <v>1510</v>
      </c>
      <c r="L41" s="5">
        <v>0</v>
      </c>
    </row>
    <row r="42" spans="1:12">
      <c r="A42" s="69" t="s">
        <v>47</v>
      </c>
      <c r="B42" s="70">
        <v>638</v>
      </c>
      <c r="C42" s="23">
        <v>0</v>
      </c>
      <c r="D42" s="23">
        <v>0</v>
      </c>
      <c r="E42" s="5">
        <v>0</v>
      </c>
      <c r="I42" s="69" t="s">
        <v>47</v>
      </c>
      <c r="J42" s="70">
        <v>638</v>
      </c>
      <c r="K42" s="69" t="s">
        <v>47</v>
      </c>
      <c r="L42" s="5">
        <v>0</v>
      </c>
    </row>
    <row r="43" spans="1:12">
      <c r="A43" s="69" t="s">
        <v>1502</v>
      </c>
      <c r="B43" s="70">
        <v>974</v>
      </c>
      <c r="C43" s="23">
        <v>0</v>
      </c>
      <c r="D43" s="23">
        <v>0</v>
      </c>
      <c r="E43" s="5">
        <v>0</v>
      </c>
      <c r="I43" s="69" t="s">
        <v>1502</v>
      </c>
      <c r="J43" s="70">
        <v>974</v>
      </c>
      <c r="K43" s="69" t="s">
        <v>1502</v>
      </c>
      <c r="L43" s="5">
        <v>0</v>
      </c>
    </row>
    <row r="44" spans="1:12">
      <c r="A44" s="69" t="s">
        <v>48</v>
      </c>
      <c r="B44" s="70">
        <v>2198</v>
      </c>
      <c r="C44" s="23">
        <v>0</v>
      </c>
      <c r="D44" s="23">
        <v>0</v>
      </c>
      <c r="E44" s="5">
        <v>1</v>
      </c>
      <c r="I44" s="69" t="s">
        <v>48</v>
      </c>
      <c r="J44" s="70">
        <v>2198</v>
      </c>
      <c r="K44" s="69" t="s">
        <v>48</v>
      </c>
      <c r="L44" s="5">
        <v>0</v>
      </c>
    </row>
    <row r="45" spans="1:12">
      <c r="A45" s="69" t="s">
        <v>1518</v>
      </c>
      <c r="B45" s="70">
        <v>252</v>
      </c>
      <c r="C45" s="23">
        <v>0</v>
      </c>
      <c r="D45" s="23">
        <v>0</v>
      </c>
      <c r="E45" s="5">
        <v>0</v>
      </c>
      <c r="I45" s="69" t="s">
        <v>1518</v>
      </c>
      <c r="J45" s="70">
        <v>252</v>
      </c>
      <c r="K45" s="69" t="s">
        <v>1518</v>
      </c>
      <c r="L45" s="5">
        <v>0</v>
      </c>
    </row>
    <row r="46" spans="1:12">
      <c r="A46" s="69" t="s">
        <v>1527</v>
      </c>
      <c r="B46" s="70">
        <v>161</v>
      </c>
      <c r="C46" s="23">
        <v>0</v>
      </c>
      <c r="D46" s="23">
        <v>0</v>
      </c>
      <c r="E46" s="5">
        <v>0</v>
      </c>
      <c r="I46" s="69" t="s">
        <v>1527</v>
      </c>
      <c r="J46" s="70">
        <v>161</v>
      </c>
      <c r="K46" s="69" t="s">
        <v>1527</v>
      </c>
      <c r="L46" s="5">
        <v>0</v>
      </c>
    </row>
    <row r="47" spans="1:12">
      <c r="A47" s="77">
        <v>42186</v>
      </c>
      <c r="B47" s="70">
        <v>7597</v>
      </c>
      <c r="C47" s="23">
        <v>32.36</v>
      </c>
      <c r="D47" s="23">
        <v>0</v>
      </c>
      <c r="E47" s="5">
        <v>1</v>
      </c>
      <c r="I47" s="77">
        <v>42186</v>
      </c>
      <c r="J47" s="70">
        <v>7597</v>
      </c>
      <c r="K47" s="77">
        <v>42186</v>
      </c>
      <c r="L47" s="5">
        <v>32.36</v>
      </c>
    </row>
    <row r="48" spans="1:12">
      <c r="A48" s="69" t="s">
        <v>43</v>
      </c>
      <c r="B48" s="70">
        <v>4351</v>
      </c>
      <c r="C48" s="23">
        <v>21.754999999999999</v>
      </c>
      <c r="D48" s="23">
        <v>0</v>
      </c>
      <c r="E48" s="5">
        <v>0</v>
      </c>
      <c r="I48" s="69" t="s">
        <v>43</v>
      </c>
      <c r="J48" s="70">
        <v>4351</v>
      </c>
      <c r="K48" s="69" t="s">
        <v>43</v>
      </c>
      <c r="L48" s="5">
        <v>21.754999999999999</v>
      </c>
    </row>
    <row r="49" spans="1:12">
      <c r="A49" s="69" t="s">
        <v>1508</v>
      </c>
      <c r="B49" s="70">
        <v>885</v>
      </c>
      <c r="C49" s="23">
        <v>0</v>
      </c>
      <c r="D49" s="23">
        <v>0</v>
      </c>
      <c r="E49" s="5">
        <v>0</v>
      </c>
      <c r="I49" s="69" t="s">
        <v>1508</v>
      </c>
      <c r="J49" s="70">
        <v>885</v>
      </c>
      <c r="K49" s="69" t="s">
        <v>1508</v>
      </c>
      <c r="L49" s="5">
        <v>0</v>
      </c>
    </row>
    <row r="50" spans="1:12">
      <c r="A50" s="69" t="s">
        <v>45</v>
      </c>
      <c r="B50" s="70">
        <v>33</v>
      </c>
      <c r="C50" s="23">
        <v>0</v>
      </c>
      <c r="D50" s="23">
        <v>0</v>
      </c>
      <c r="E50" s="5">
        <v>1</v>
      </c>
      <c r="I50" s="69" t="s">
        <v>45</v>
      </c>
      <c r="J50" s="70">
        <v>33</v>
      </c>
      <c r="K50" s="69" t="s">
        <v>45</v>
      </c>
      <c r="L50" s="5">
        <v>0</v>
      </c>
    </row>
    <row r="51" spans="1:12">
      <c r="A51" s="69" t="s">
        <v>46</v>
      </c>
      <c r="B51" s="70">
        <v>707</v>
      </c>
      <c r="C51" s="23">
        <v>10.605</v>
      </c>
      <c r="D51" s="23">
        <v>0</v>
      </c>
      <c r="E51" s="5">
        <v>0</v>
      </c>
      <c r="I51" s="69" t="s">
        <v>46</v>
      </c>
      <c r="J51" s="70">
        <v>707</v>
      </c>
      <c r="K51" s="69" t="s">
        <v>46</v>
      </c>
      <c r="L51" s="5">
        <v>10.605</v>
      </c>
    </row>
    <row r="52" spans="1:12">
      <c r="A52" s="69" t="s">
        <v>1502</v>
      </c>
      <c r="B52" s="70">
        <v>1621</v>
      </c>
      <c r="C52" s="23">
        <v>0</v>
      </c>
      <c r="D52" s="23">
        <v>0</v>
      </c>
      <c r="E52" s="5">
        <v>0</v>
      </c>
      <c r="I52" s="69" t="s">
        <v>1502</v>
      </c>
      <c r="J52" s="70">
        <v>1621</v>
      </c>
      <c r="K52" s="69" t="s">
        <v>1502</v>
      </c>
      <c r="L52" s="5">
        <v>0</v>
      </c>
    </row>
    <row r="53" spans="1:12">
      <c r="A53" s="77">
        <v>42248</v>
      </c>
      <c r="B53" s="70">
        <v>14875</v>
      </c>
      <c r="C53" s="23">
        <v>81.02000000000001</v>
      </c>
      <c r="D53" s="23">
        <v>-25.200000000000003</v>
      </c>
      <c r="E53" s="5">
        <v>2</v>
      </c>
      <c r="I53" s="77">
        <v>42248</v>
      </c>
      <c r="J53" s="70">
        <v>14875</v>
      </c>
      <c r="K53" s="77">
        <v>42248</v>
      </c>
      <c r="L53" s="5">
        <v>55.82</v>
      </c>
    </row>
    <row r="54" spans="1:12">
      <c r="A54" s="69" t="s">
        <v>43</v>
      </c>
      <c r="B54" s="70">
        <v>3742</v>
      </c>
      <c r="C54" s="23">
        <v>18.71</v>
      </c>
      <c r="D54" s="23">
        <v>0</v>
      </c>
      <c r="E54" s="5">
        <v>1</v>
      </c>
      <c r="I54" s="69" t="s">
        <v>43</v>
      </c>
      <c r="J54" s="70">
        <v>3742</v>
      </c>
      <c r="K54" s="69" t="s">
        <v>43</v>
      </c>
      <c r="L54" s="5">
        <v>18.71</v>
      </c>
    </row>
    <row r="55" spans="1:12">
      <c r="A55" s="69" t="s">
        <v>45</v>
      </c>
      <c r="B55" s="70">
        <v>842</v>
      </c>
      <c r="C55" s="23">
        <v>0</v>
      </c>
      <c r="D55" s="23">
        <v>0</v>
      </c>
      <c r="E55" s="5">
        <v>0</v>
      </c>
      <c r="I55" s="69" t="s">
        <v>45</v>
      </c>
      <c r="J55" s="70">
        <v>842</v>
      </c>
      <c r="K55" s="69" t="s">
        <v>45</v>
      </c>
      <c r="L55" s="5">
        <v>0</v>
      </c>
    </row>
    <row r="56" spans="1:12">
      <c r="A56" s="69" t="s">
        <v>1530</v>
      </c>
      <c r="B56" s="70">
        <v>38</v>
      </c>
      <c r="C56" s="23">
        <v>0</v>
      </c>
      <c r="D56" s="23">
        <v>0</v>
      </c>
      <c r="E56" s="5">
        <v>0</v>
      </c>
      <c r="I56" s="69" t="s">
        <v>1530</v>
      </c>
      <c r="J56" s="70">
        <v>38</v>
      </c>
      <c r="K56" s="69" t="s">
        <v>1530</v>
      </c>
      <c r="L56" s="5">
        <v>0</v>
      </c>
    </row>
    <row r="57" spans="1:12">
      <c r="A57" s="69" t="s">
        <v>46</v>
      </c>
      <c r="B57" s="70">
        <v>1687</v>
      </c>
      <c r="C57" s="23">
        <v>25.305</v>
      </c>
      <c r="D57" s="23">
        <v>0</v>
      </c>
      <c r="E57" s="5">
        <v>0</v>
      </c>
      <c r="I57" s="69" t="s">
        <v>46</v>
      </c>
      <c r="J57" s="70">
        <v>1687</v>
      </c>
      <c r="K57" s="69" t="s">
        <v>46</v>
      </c>
      <c r="L57" s="5">
        <v>25.305</v>
      </c>
    </row>
    <row r="58" spans="1:12">
      <c r="A58" s="69" t="s">
        <v>47</v>
      </c>
      <c r="B58" s="70">
        <v>360</v>
      </c>
      <c r="C58" s="23">
        <v>0</v>
      </c>
      <c r="D58" s="23">
        <v>-25.200000000000003</v>
      </c>
      <c r="E58" s="5">
        <v>1</v>
      </c>
      <c r="I58" s="69" t="s">
        <v>47</v>
      </c>
      <c r="J58" s="70">
        <v>360</v>
      </c>
      <c r="K58" s="69" t="s">
        <v>47</v>
      </c>
      <c r="L58" s="5">
        <v>-25.200000000000003</v>
      </c>
    </row>
    <row r="59" spans="1:12">
      <c r="A59" s="69" t="s">
        <v>1502</v>
      </c>
      <c r="B59" s="70">
        <v>7497</v>
      </c>
      <c r="C59" s="23">
        <v>0</v>
      </c>
      <c r="D59" s="23">
        <v>0</v>
      </c>
      <c r="E59" s="5">
        <v>0</v>
      </c>
      <c r="I59" s="69" t="s">
        <v>1502</v>
      </c>
      <c r="J59" s="70">
        <v>7497</v>
      </c>
      <c r="K59" s="69" t="s">
        <v>1502</v>
      </c>
      <c r="L59" s="5">
        <v>0</v>
      </c>
    </row>
    <row r="60" spans="1:12">
      <c r="A60" s="69" t="s">
        <v>48</v>
      </c>
      <c r="B60" s="70">
        <v>300</v>
      </c>
      <c r="C60" s="23">
        <v>0</v>
      </c>
      <c r="D60" s="23">
        <v>0</v>
      </c>
      <c r="E60" s="5">
        <v>0</v>
      </c>
      <c r="I60" s="69" t="s">
        <v>48</v>
      </c>
      <c r="J60" s="70">
        <v>300</v>
      </c>
      <c r="K60" s="69" t="s">
        <v>48</v>
      </c>
      <c r="L60" s="5">
        <v>0</v>
      </c>
    </row>
    <row r="61" spans="1:12">
      <c r="A61" s="69" t="s">
        <v>1507</v>
      </c>
      <c r="B61" s="70">
        <v>32</v>
      </c>
      <c r="C61" s="23">
        <v>0</v>
      </c>
      <c r="D61" s="23">
        <v>0</v>
      </c>
      <c r="E61" s="5">
        <v>0</v>
      </c>
      <c r="I61" s="69" t="s">
        <v>1507</v>
      </c>
      <c r="J61" s="70">
        <v>32</v>
      </c>
      <c r="K61" s="69" t="s">
        <v>1507</v>
      </c>
      <c r="L61" s="5">
        <v>0</v>
      </c>
    </row>
    <row r="62" spans="1:12">
      <c r="A62" s="69" t="s">
        <v>1562</v>
      </c>
      <c r="B62" s="70">
        <v>190</v>
      </c>
      <c r="C62" s="23">
        <v>34.200000000000003</v>
      </c>
      <c r="D62" s="23">
        <v>0</v>
      </c>
      <c r="E62" s="5">
        <v>0</v>
      </c>
      <c r="I62" s="69" t="s">
        <v>1562</v>
      </c>
      <c r="J62" s="70">
        <v>190</v>
      </c>
      <c r="K62" s="69" t="s">
        <v>1562</v>
      </c>
      <c r="L62" s="5">
        <v>34.200000000000003</v>
      </c>
    </row>
    <row r="63" spans="1:12">
      <c r="A63" s="69" t="s">
        <v>1527</v>
      </c>
      <c r="B63" s="70">
        <v>187</v>
      </c>
      <c r="C63" s="23">
        <v>2.8050000000000002</v>
      </c>
      <c r="D63" s="23">
        <v>0</v>
      </c>
      <c r="E63" s="5">
        <v>0</v>
      </c>
      <c r="I63" s="69" t="s">
        <v>1527</v>
      </c>
      <c r="J63" s="70">
        <v>187</v>
      </c>
      <c r="K63" s="69" t="s">
        <v>1527</v>
      </c>
      <c r="L63" s="5">
        <v>2.8050000000000002</v>
      </c>
    </row>
    <row r="64" spans="1:12">
      <c r="A64" s="77">
        <v>42309</v>
      </c>
      <c r="B64" s="70">
        <v>14499</v>
      </c>
      <c r="C64" s="23">
        <v>61.845000000000006</v>
      </c>
      <c r="D64" s="23">
        <v>-32.200000000000003</v>
      </c>
      <c r="E64" s="5">
        <v>1</v>
      </c>
      <c r="I64" s="77">
        <v>42309</v>
      </c>
      <c r="J64" s="70">
        <v>14499</v>
      </c>
      <c r="K64" s="77">
        <v>42309</v>
      </c>
      <c r="L64" s="5">
        <v>29.645000000000003</v>
      </c>
    </row>
    <row r="65" spans="1:12">
      <c r="A65" s="69" t="s">
        <v>43</v>
      </c>
      <c r="B65" s="70">
        <v>10929</v>
      </c>
      <c r="C65" s="23">
        <v>54.645000000000003</v>
      </c>
      <c r="D65" s="23">
        <v>0</v>
      </c>
      <c r="E65" s="5">
        <v>0</v>
      </c>
      <c r="I65" s="69" t="s">
        <v>43</v>
      </c>
      <c r="J65" s="70">
        <v>10929</v>
      </c>
      <c r="K65" s="69" t="s">
        <v>43</v>
      </c>
      <c r="L65" s="5">
        <v>54.645000000000003</v>
      </c>
    </row>
    <row r="66" spans="1:12">
      <c r="A66" s="69" t="s">
        <v>46</v>
      </c>
      <c r="B66" s="70">
        <v>480</v>
      </c>
      <c r="C66" s="23">
        <v>7.2</v>
      </c>
      <c r="D66" s="23">
        <v>0</v>
      </c>
      <c r="E66" s="5">
        <v>0</v>
      </c>
      <c r="I66" s="69" t="s">
        <v>46</v>
      </c>
      <c r="J66" s="70">
        <v>480</v>
      </c>
      <c r="K66" s="69" t="s">
        <v>46</v>
      </c>
      <c r="L66" s="5">
        <v>7.2</v>
      </c>
    </row>
    <row r="67" spans="1:12">
      <c r="A67" s="69" t="s">
        <v>47</v>
      </c>
      <c r="B67" s="70">
        <v>460</v>
      </c>
      <c r="C67" s="23">
        <v>0</v>
      </c>
      <c r="D67" s="23">
        <v>-32.200000000000003</v>
      </c>
      <c r="E67" s="5">
        <v>1</v>
      </c>
      <c r="I67" s="69" t="s">
        <v>47</v>
      </c>
      <c r="J67" s="70">
        <v>460</v>
      </c>
      <c r="K67" s="69" t="s">
        <v>47</v>
      </c>
      <c r="L67" s="5">
        <v>-32.200000000000003</v>
      </c>
    </row>
    <row r="68" spans="1:12">
      <c r="A68" s="69" t="s">
        <v>1502</v>
      </c>
      <c r="B68" s="70">
        <v>2630</v>
      </c>
      <c r="C68" s="23">
        <v>0</v>
      </c>
      <c r="D68" s="23">
        <v>0</v>
      </c>
      <c r="E68" s="5">
        <v>0</v>
      </c>
      <c r="I68" s="69" t="s">
        <v>1502</v>
      </c>
      <c r="J68" s="70">
        <v>2630</v>
      </c>
      <c r="K68" s="69" t="s">
        <v>1502</v>
      </c>
      <c r="L68" s="5">
        <v>0</v>
      </c>
    </row>
    <row r="69" spans="1:12" ht="15.75">
      <c r="A69" s="15" t="s">
        <v>16</v>
      </c>
      <c r="B69" s="70">
        <v>209188</v>
      </c>
      <c r="C69" s="23">
        <v>175.22499999999999</v>
      </c>
      <c r="D69" s="23">
        <v>-57.400000000000006</v>
      </c>
      <c r="E69" s="5">
        <v>18</v>
      </c>
      <c r="I69" s="15" t="s">
        <v>16</v>
      </c>
      <c r="J69" s="70">
        <v>209188</v>
      </c>
      <c r="K69" s="15" t="s">
        <v>16</v>
      </c>
      <c r="L69" s="5">
        <v>117.825</v>
      </c>
    </row>
    <row r="72" spans="1:12" ht="15.75"/>
    <row r="83" ht="15.75"/>
  </sheetData>
  <mergeCells count="1">
    <mergeCell ref="B1:F1"/>
  </mergeCells>
  <pageMargins left="0.7" right="0.7" top="0.75" bottom="0.75" header="0.3" footer="0.3"/>
  <pageSetup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J134"/>
  <sheetViews>
    <sheetView workbookViewId="0">
      <selection activeCell="B8" sqref="B8"/>
    </sheetView>
  </sheetViews>
  <sheetFormatPr defaultRowHeight="15"/>
  <cols>
    <col min="1" max="1" width="15.7109375" style="25" customWidth="1"/>
    <col min="2" max="2" width="14.28515625" style="25" customWidth="1"/>
    <col min="3" max="5" width="15" style="25" customWidth="1"/>
    <col min="6" max="6" width="15.28515625" style="25" customWidth="1"/>
    <col min="7" max="7" width="9.140625" style="25"/>
    <col min="8" max="8" width="40.42578125" style="25" hidden="1" customWidth="1"/>
    <col min="9" max="9" width="9.140625" style="25" hidden="1" customWidth="1"/>
    <col min="10" max="10" width="9.140625" style="25" customWidth="1"/>
    <col min="11" max="16384" width="9.140625" style="25"/>
  </cols>
  <sheetData>
    <row r="1" spans="1:10" ht="42.75">
      <c r="A1" s="24"/>
      <c r="E1" s="26"/>
      <c r="F1" s="27" t="str">
        <f ca="1">IF(F37&gt;E37,"INVOICE","RECEIPT")</f>
        <v>RECEIPT</v>
      </c>
    </row>
    <row r="2" spans="1:10" ht="15.75">
      <c r="A2" s="28"/>
      <c r="B2" s="29"/>
      <c r="C2" s="29"/>
      <c r="D2" s="29"/>
      <c r="E2" s="30" t="str">
        <f ca="1">IF(F37&gt;E37,"INVOICE #:","RECEIPT #:")</f>
        <v>RECEIPT #:</v>
      </c>
      <c r="F2" s="31">
        <v>0</v>
      </c>
      <c r="H2" s="32" t="str">
        <f>IF($H$12="Grand Total","CUSTOMER NOT SELECTED",VLOOKUP($H$12,'Link To Database 2'!$B$2:$L$2000,2,FALSE))</f>
        <v>[Address of Company14]</v>
      </c>
      <c r="I2" s="25">
        <f>MATCH(H12,Summary!A:A,0)</f>
        <v>4</v>
      </c>
    </row>
    <row r="3" spans="1:10" ht="15.75">
      <c r="A3" s="28"/>
      <c r="B3" s="29"/>
      <c r="C3" s="29"/>
      <c r="D3" s="29"/>
      <c r="E3" s="30"/>
      <c r="F3" s="33"/>
      <c r="I3" s="25">
        <f>MATCH(H13,Summary!A:A,0)</f>
        <v>9</v>
      </c>
    </row>
    <row r="4" spans="1:10" s="39" customFormat="1">
      <c r="A4" s="34" t="s">
        <v>4</v>
      </c>
      <c r="B4" s="35"/>
      <c r="C4" s="36" t="s">
        <v>5</v>
      </c>
      <c r="D4" s="35"/>
      <c r="E4" s="37"/>
      <c r="F4" s="38"/>
      <c r="I4" s="25"/>
      <c r="J4" s="25"/>
    </row>
    <row r="5" spans="1:10" s="39" customFormat="1">
      <c r="A5" s="39" t="s">
        <v>6</v>
      </c>
      <c r="B5" s="35"/>
      <c r="C5" s="40" t="s">
        <v>7</v>
      </c>
      <c r="D5" s="35"/>
      <c r="E5" s="36"/>
      <c r="F5" s="35"/>
      <c r="J5" s="25"/>
    </row>
    <row r="6" spans="1:10" s="39" customFormat="1">
      <c r="A6" s="39" t="s">
        <v>8</v>
      </c>
      <c r="B6" s="35"/>
      <c r="C6" s="35" t="s">
        <v>8</v>
      </c>
      <c r="D6" s="35"/>
      <c r="E6" s="35"/>
      <c r="F6" s="35"/>
      <c r="J6" s="25"/>
    </row>
    <row r="7" spans="1:10" s="39" customFormat="1">
      <c r="A7" s="39" t="s">
        <v>13</v>
      </c>
      <c r="B7" s="35"/>
      <c r="C7" s="35" t="s">
        <v>14</v>
      </c>
      <c r="D7" s="35"/>
      <c r="E7" s="35"/>
      <c r="F7" s="35"/>
      <c r="I7" s="25"/>
      <c r="J7" s="25"/>
    </row>
    <row r="8" spans="1:10" s="39" customFormat="1">
      <c r="B8" s="35"/>
      <c r="C8" s="35"/>
      <c r="D8" s="35"/>
      <c r="E8" s="35"/>
      <c r="F8" s="35"/>
      <c r="I8" s="25"/>
      <c r="J8" s="25"/>
    </row>
    <row r="9" spans="1:10" s="39" customFormat="1">
      <c r="A9" s="41" t="s">
        <v>24</v>
      </c>
      <c r="B9" s="42">
        <f ca="1">NOW()</f>
        <v>42349.9690849537</v>
      </c>
      <c r="D9" s="32" t="s">
        <v>25</v>
      </c>
      <c r="E9" s="43"/>
      <c r="F9" s="35"/>
      <c r="I9" s="25"/>
      <c r="J9" s="25"/>
    </row>
    <row r="10" spans="1:10" s="39" customFormat="1">
      <c r="C10" s="35"/>
      <c r="D10" s="35"/>
      <c r="E10" s="35"/>
      <c r="F10" s="35"/>
      <c r="I10" s="25"/>
      <c r="J10" s="25"/>
    </row>
    <row r="11" spans="1:10" s="39" customFormat="1">
      <c r="A11" s="34" t="str">
        <f ca="1">IF(F37&gt;E37,"BILL TO:","SELLER:")</f>
        <v>SELLER:</v>
      </c>
      <c r="B11" s="32" t="str">
        <f>IF($H$12="Grand Total","",VLOOKUP($H$12,'Link To Database 2'!$B$2:$L$2000,1,FALSE))</f>
        <v>Company14</v>
      </c>
      <c r="C11" s="35"/>
      <c r="F11" s="35"/>
      <c r="H11" s="25" t="s">
        <v>61</v>
      </c>
      <c r="I11"/>
      <c r="J11"/>
    </row>
    <row r="12" spans="1:10" s="39" customFormat="1">
      <c r="B12" s="39" t="str">
        <f>IFERROR(LEFT(H2,FIND(",",H2)-1),H2)</f>
        <v>[Address of Company14]</v>
      </c>
      <c r="C12" s="35"/>
      <c r="E12" s="35"/>
      <c r="F12" s="35"/>
      <c r="H12" s="66" t="s">
        <v>192</v>
      </c>
      <c r="I12"/>
      <c r="J12" s="25"/>
    </row>
    <row r="13" spans="1:10" s="39" customFormat="1">
      <c r="B13" s="39" t="str">
        <f>IFERROR(RIGHT(H2,LEN(H2)-FIND(",",H2)-1),"")</f>
        <v/>
      </c>
      <c r="C13" s="35"/>
      <c r="E13" s="35"/>
      <c r="F13" s="35"/>
      <c r="H13" s="66" t="s">
        <v>16</v>
      </c>
      <c r="I13"/>
      <c r="J13" s="25"/>
    </row>
    <row r="14" spans="1:10" s="39" customFormat="1">
      <c r="B14" s="40"/>
      <c r="C14" s="35"/>
      <c r="D14" s="35"/>
      <c r="E14" s="35"/>
      <c r="F14" s="35"/>
      <c r="H14"/>
      <c r="I14"/>
      <c r="J14" s="25"/>
    </row>
    <row r="15" spans="1:10" s="39" customFormat="1">
      <c r="A15" s="44" t="s">
        <v>12</v>
      </c>
      <c r="B15" s="40"/>
      <c r="C15" s="35"/>
      <c r="D15" s="35"/>
      <c r="E15" s="35"/>
      <c r="F15" s="35"/>
      <c r="H15"/>
      <c r="I15"/>
      <c r="J15" s="25"/>
    </row>
    <row r="16" spans="1:10" s="39" customFormat="1">
      <c r="A16" s="34" t="s">
        <v>26</v>
      </c>
      <c r="B16" s="45" t="str">
        <f>IFERROR(IF(VLOOKUP(B11,DbCustomers[[#All],[Company]:[Contact Person First]],3,FALSE)=0,"",CONCATENATE(VLOOKUP(B11,DbCustomers[[#All],[Company]:[Contact Person First]],4,FALSE)," ",VLOOKUP(B11,DbCustomers[[#All],[Company]:[Contact Person First]],3,FALSE))),"")</f>
        <v>[Contact Person First of Company14] [Contact Person Last of Company14]</v>
      </c>
      <c r="C16" s="35"/>
      <c r="D16" s="35"/>
      <c r="E16" s="35"/>
      <c r="F16" s="35"/>
      <c r="H16"/>
      <c r="I16"/>
      <c r="J16" s="25"/>
    </row>
    <row r="17" spans="1:10" s="39" customFormat="1">
      <c r="A17" s="46" t="s">
        <v>9</v>
      </c>
      <c r="B17" s="35"/>
      <c r="C17" s="121"/>
      <c r="D17" s="121"/>
      <c r="E17" s="121"/>
      <c r="F17" s="121"/>
      <c r="H17"/>
      <c r="I17"/>
      <c r="J17" s="25"/>
    </row>
    <row r="18" spans="1:10" s="39" customFormat="1">
      <c r="A18" s="46"/>
      <c r="B18" s="35"/>
      <c r="C18" s="121"/>
      <c r="D18" s="121"/>
      <c r="E18" s="122"/>
      <c r="F18" s="122"/>
      <c r="H18"/>
      <c r="I18"/>
      <c r="J18" s="25"/>
    </row>
    <row r="19" spans="1:10" s="47" customFormat="1" ht="15" customHeight="1">
      <c r="A19" s="67" t="s">
        <v>63</v>
      </c>
      <c r="B19" s="123" t="s">
        <v>10</v>
      </c>
      <c r="C19" s="124"/>
      <c r="D19" s="125"/>
      <c r="E19" s="60" t="s">
        <v>30</v>
      </c>
      <c r="F19" s="17" t="s">
        <v>31</v>
      </c>
      <c r="H19"/>
      <c r="I19"/>
      <c r="J19" s="25"/>
    </row>
    <row r="20" spans="1:10" s="47" customFormat="1" ht="15" customHeight="1">
      <c r="A20" s="68">
        <f ca="1">IFERROR(GETPIVOTDATA("Total Weight",Summary!$A$2,"Customer",$B$11,"Type",$B20),"")</f>
        <v>10929</v>
      </c>
      <c r="B20" s="117" t="str">
        <f ca="1">IFERROR(IF($I$2+1 &lt; $I$3,INDIRECT("'Summary'!A"&amp;($I$2+1)), ""),"")</f>
        <v>Cardboard - Corrugated</v>
      </c>
      <c r="C20" s="118"/>
      <c r="D20" s="119"/>
      <c r="E20" s="19">
        <f ca="1">IFERROR(GETPIVOTDATA("Total Credit",Summary!$A$2,"Customer",$B$11,"Type",$B20),"")</f>
        <v>54.645000000000003</v>
      </c>
      <c r="F20" s="19">
        <f ca="1">IFERROR(-GETPIVOTDATA("Total Charge",Summary!$A$2,"Customer",$B$11,"Type",$B20),"")</f>
        <v>0</v>
      </c>
      <c r="H20"/>
      <c r="I20"/>
      <c r="J20" s="25"/>
    </row>
    <row r="21" spans="1:10" s="47" customFormat="1" ht="15" customHeight="1">
      <c r="A21" s="68">
        <f ca="1">IFERROR(GETPIVOTDATA("Total Weight",Summary!$A$2,"Customer",$B$11,"Type",$B21),"")</f>
        <v>480</v>
      </c>
      <c r="B21" s="117" t="str">
        <f ca="1">IFERROR(IF($I$2+2 &lt; $I$3,INDIRECT("'Summary'!A"&amp;($I$2+2)), ""),"")</f>
        <v>Steel</v>
      </c>
      <c r="C21" s="118"/>
      <c r="D21" s="119"/>
      <c r="E21" s="19">
        <f ca="1">IFERROR(GETPIVOTDATA("Total Credit",Summary!$A$2,"Customer",$B$11,"Type",$B21),"")</f>
        <v>7.2</v>
      </c>
      <c r="F21" s="19">
        <f ca="1">IFERROR(-GETPIVOTDATA("Total Charge",Summary!$A$2,"Customer",$B$11,"Type",$B21),"")</f>
        <v>0</v>
      </c>
      <c r="H21"/>
      <c r="I21"/>
      <c r="J21" s="25"/>
    </row>
    <row r="22" spans="1:10" s="47" customFormat="1" ht="15" customHeight="1">
      <c r="A22" s="68">
        <f ca="1">IFERROR(GETPIVOTDATA("Total Weight",Summary!$A$2,"Customer",$B$11,"Type",$B22),"")</f>
        <v>460</v>
      </c>
      <c r="B22" s="117" t="str">
        <f ca="1">IFERROR(IF($I$2+3 &lt; $I$3,INDIRECT("'Summary'!A"&amp;($I$2+3)), ""),"")</f>
        <v>Trash</v>
      </c>
      <c r="C22" s="118"/>
      <c r="D22" s="119"/>
      <c r="E22" s="19">
        <f ca="1">IFERROR(GETPIVOTDATA("Total Credit",Summary!$A$2,"Customer",$B$11,"Type",$B22),"")</f>
        <v>0</v>
      </c>
      <c r="F22" s="19">
        <f ca="1">IFERROR(-GETPIVOTDATA("Total Charge",Summary!$A$2,"Customer",$B$11,"Type",$B22),"")</f>
        <v>32.200000000000003</v>
      </c>
      <c r="H22"/>
      <c r="I22"/>
      <c r="J22" s="25"/>
    </row>
    <row r="23" spans="1:10" s="47" customFormat="1" ht="15" customHeight="1">
      <c r="A23" s="68">
        <f ca="1">IFERROR(GETPIVOTDATA("Total Weight",Summary!$A$2,"Customer",$B$11,"Type",$B23),"")</f>
        <v>2630</v>
      </c>
      <c r="B23" s="117" t="str">
        <f ca="1">IFERROR(IF($I$2+4 &lt; $I$3,INDIRECT("'Summary'!A"&amp;($I$2+4)), ""),"")</f>
        <v>Wood</v>
      </c>
      <c r="C23" s="118"/>
      <c r="D23" s="119"/>
      <c r="E23" s="19">
        <f ca="1">IFERROR(GETPIVOTDATA("Total Credit",Summary!$A$2,"Customer",$B$11,"Type",$B23),"")</f>
        <v>0</v>
      </c>
      <c r="F23" s="19">
        <f ca="1">IFERROR(-GETPIVOTDATA("Total Charge",Summary!$A$2,"Customer",$B$11,"Type",$B23),"")</f>
        <v>0</v>
      </c>
      <c r="H23"/>
      <c r="I23"/>
      <c r="J23" s="25"/>
    </row>
    <row r="24" spans="1:10" s="47" customFormat="1" ht="15" customHeight="1">
      <c r="A24" s="68" t="str">
        <f ca="1">IFERROR(GETPIVOTDATA("Total Weight",Summary!$A$2,"Customer",$B$11,"Type",$B24),"")</f>
        <v/>
      </c>
      <c r="B24" s="117" t="str">
        <f ca="1">IFERROR(IF($I$2+5 &lt; $I$3,INDIRECT("'Summary'!A"&amp;($I$2+5)), ""),"")</f>
        <v/>
      </c>
      <c r="C24" s="118"/>
      <c r="D24" s="119"/>
      <c r="E24" s="19" t="str">
        <f ca="1">IFERROR(GETPIVOTDATA("Total Credit",Summary!$A$2,"Customer",$B$11,"Type",$B24),"")</f>
        <v/>
      </c>
      <c r="F24" s="19" t="str">
        <f ca="1">IFERROR(-GETPIVOTDATA("Total Charge",Summary!$A$2,"Customer",$B$11,"Type",$B24),"")</f>
        <v/>
      </c>
      <c r="H24"/>
      <c r="I24"/>
      <c r="J24" s="25"/>
    </row>
    <row r="25" spans="1:10" s="47" customFormat="1" ht="15" customHeight="1">
      <c r="A25" s="68" t="str">
        <f ca="1">IFERROR(GETPIVOTDATA("Total Weight",Summary!$A$2,"Customer",$B$11,"Type",$B25),"")</f>
        <v/>
      </c>
      <c r="B25" s="117" t="str">
        <f ca="1">IFERROR(IF($I$2+6 &lt; $I$3,INDIRECT("'Summary'!A"&amp;($I$2+6)), ""),"")</f>
        <v/>
      </c>
      <c r="C25" s="118"/>
      <c r="D25" s="119"/>
      <c r="E25" s="19" t="str">
        <f ca="1">IFERROR(GETPIVOTDATA("Total Credit",Summary!$A$2,"Customer",$B$11,"Type",$B25),"")</f>
        <v/>
      </c>
      <c r="F25" s="19" t="str">
        <f ca="1">IFERROR(-GETPIVOTDATA("Total Charge",Summary!$A$2,"Customer",$B$11,"Type",$B25),"")</f>
        <v/>
      </c>
      <c r="H25"/>
      <c r="I25"/>
      <c r="J25" s="25"/>
    </row>
    <row r="26" spans="1:10" s="47" customFormat="1" ht="15" customHeight="1">
      <c r="A26" s="68" t="str">
        <f ca="1">IFERROR(GETPIVOTDATA("Total Weight",Summary!$A$2,"Customer",$B$11,"Type",$B26),"")</f>
        <v/>
      </c>
      <c r="B26" s="117" t="str">
        <f ca="1">IFERROR(IF($I$2+7 &lt; $I$3,INDIRECT("'Summary'!A"&amp;($I$2+7)), ""),"")</f>
        <v/>
      </c>
      <c r="C26" s="118"/>
      <c r="D26" s="119"/>
      <c r="E26" s="19" t="str">
        <f ca="1">IFERROR(GETPIVOTDATA("Total Credit",Summary!$A$2,"Customer",$B$11,"Type",$B26),"")</f>
        <v/>
      </c>
      <c r="F26" s="19" t="str">
        <f ca="1">IFERROR(-GETPIVOTDATA("Total Charge",Summary!$A$2,"Customer",$B$11,"Type",$B26),"")</f>
        <v/>
      </c>
      <c r="H26"/>
      <c r="I26"/>
      <c r="J26" s="25"/>
    </row>
    <row r="27" spans="1:10" s="47" customFormat="1" ht="15" customHeight="1">
      <c r="A27" s="68" t="str">
        <f ca="1">IFERROR(GETPIVOTDATA("Total Weight",Summary!$A$2,"Customer",$B$11,"Type",$B27),"")</f>
        <v/>
      </c>
      <c r="B27" s="117" t="str">
        <f ca="1">IFERROR(IF($I$2+8 &lt; $I$3,INDIRECT("'Summary'!A"&amp;($I$2+8)), ""),"")</f>
        <v/>
      </c>
      <c r="C27" s="118"/>
      <c r="D27" s="119"/>
      <c r="E27" s="19" t="str">
        <f ca="1">IFERROR(GETPIVOTDATA("Total Credit",Summary!$A$2,"Customer",$B$11,"Type",$B27),"")</f>
        <v/>
      </c>
      <c r="F27" s="19" t="str">
        <f ca="1">IFERROR(-GETPIVOTDATA("Total Charge",Summary!$A$2,"Customer",$B$11,"Type",$B27),"")</f>
        <v/>
      </c>
      <c r="H27"/>
      <c r="I27"/>
      <c r="J27" s="25"/>
    </row>
    <row r="28" spans="1:10" s="47" customFormat="1" ht="15" customHeight="1">
      <c r="A28" s="68" t="str">
        <f ca="1">IFERROR(GETPIVOTDATA("Total Weight",Summary!$A$2,"Customer",$B$11,"Type",$B28),"")</f>
        <v/>
      </c>
      <c r="B28" s="117" t="str">
        <f ca="1">IFERROR(IF($I$2+9 &lt; $I$3,INDIRECT("'Summary'!A"&amp;($I$2+9)), ""),"")</f>
        <v/>
      </c>
      <c r="C28" s="118"/>
      <c r="D28" s="119"/>
      <c r="E28" s="19" t="str">
        <f ca="1">IFERROR(GETPIVOTDATA("Total Credit",Summary!$A$2,"Customer",$B$11,"Type",$B28),"")</f>
        <v/>
      </c>
      <c r="F28" s="19" t="str">
        <f ca="1">IFERROR(-GETPIVOTDATA("Total Charge",Summary!$A$2,"Customer",$B$11,"Type",$B28),"")</f>
        <v/>
      </c>
      <c r="H28"/>
      <c r="I28"/>
      <c r="J28" s="25"/>
    </row>
    <row r="29" spans="1:10" s="47" customFormat="1" ht="15" customHeight="1">
      <c r="A29" s="68" t="str">
        <f ca="1">IFERROR(GETPIVOTDATA("Total Weight",Summary!$A$2,"Customer",$B$11,"Type",$B29),"")</f>
        <v/>
      </c>
      <c r="B29" s="117" t="str">
        <f ca="1">IFERROR(IF($I$2+10 &lt; $I$3,INDIRECT("'Summary'!A"&amp;($I$2+10)), ""),"")</f>
        <v/>
      </c>
      <c r="C29" s="118"/>
      <c r="D29" s="119"/>
      <c r="E29" s="19" t="str">
        <f ca="1">IFERROR(GETPIVOTDATA("Total Credit",Summary!$A$2,"Customer",$B$11,"Type",$B29),"")</f>
        <v/>
      </c>
      <c r="F29" s="19" t="str">
        <f ca="1">IFERROR(-GETPIVOTDATA("Total Charge",Summary!$A$2,"Customer",$B$11,"Type",$B29),"")</f>
        <v/>
      </c>
      <c r="H29"/>
    </row>
    <row r="30" spans="1:10" s="39" customFormat="1">
      <c r="A30" s="68" t="str">
        <f ca="1">IFERROR(GETPIVOTDATA("Total Weight",Summary!$A$2,"Customer",$B$11,"Type",$B30),"")</f>
        <v/>
      </c>
      <c r="B30" s="117" t="str">
        <f ca="1">IFERROR(IF($I$2+11 &lt; $I$3,INDIRECT("'Summary'!A"&amp;($I$2+11)), ""),"")</f>
        <v/>
      </c>
      <c r="C30" s="118"/>
      <c r="D30" s="119"/>
      <c r="E30" s="19" t="str">
        <f ca="1">IFERROR(GETPIVOTDATA("Total Credit",Summary!$A$2,"Customer",$B$11,"Type",$B30),"")</f>
        <v/>
      </c>
      <c r="F30" s="19" t="str">
        <f ca="1">IFERROR(-GETPIVOTDATA("Total Charge",Summary!$A$2,"Customer",$B$11,"Type",$B30),"")</f>
        <v/>
      </c>
      <c r="H30"/>
      <c r="J30" s="61"/>
    </row>
    <row r="31" spans="1:10" s="39" customFormat="1">
      <c r="A31" s="68" t="str">
        <f ca="1">IFERROR(GETPIVOTDATA("Total Weight",Summary!$A$2,"Customer",$B$11,"Type",$B31),"")</f>
        <v/>
      </c>
      <c r="B31" s="117" t="str">
        <f ca="1">IFERROR(IF($I$2+12 &lt; $I$3,INDIRECT("'Summary'!A"&amp;($I$2+12)), ""),"")</f>
        <v/>
      </c>
      <c r="C31" s="118"/>
      <c r="D31" s="119"/>
      <c r="E31" s="19" t="str">
        <f ca="1">IFERROR(GETPIVOTDATA("Total Credit",Summary!$A$2,"Customer",$B$11,"Type",$B31),"")</f>
        <v/>
      </c>
      <c r="F31" s="19" t="str">
        <f ca="1">IFERROR(-GETPIVOTDATA("Total Charge",Summary!$A$2,"Customer",$B$11,"Type",$B31),"")</f>
        <v/>
      </c>
      <c r="H31"/>
    </row>
    <row r="32" spans="1:10" s="39" customFormat="1">
      <c r="A32" s="68" t="str">
        <f ca="1">IFERROR(GETPIVOTDATA("Total Weight",Summary!$A$2,"Customer",$B$11,"Type",$B32),"")</f>
        <v/>
      </c>
      <c r="B32" s="117" t="str">
        <f ca="1">IFERROR(IF($I$2+13 &lt; $I$3,INDIRECT("'Summary'!A"&amp;($I$2+13)), ""),"")</f>
        <v/>
      </c>
      <c r="C32" s="118"/>
      <c r="D32" s="119"/>
      <c r="E32" s="19" t="str">
        <f ca="1">IFERROR(GETPIVOTDATA("Total Credit",Summary!$A$2,"Customer",$B$11,"Type",$B32),"")</f>
        <v/>
      </c>
      <c r="F32" s="19" t="str">
        <f ca="1">IFERROR(-GETPIVOTDATA("Total Charge",Summary!$A$2,"Customer",$B$11,"Type",$B32),"")</f>
        <v/>
      </c>
      <c r="H32"/>
    </row>
    <row r="33" spans="1:8" s="39" customFormat="1">
      <c r="A33" s="68" t="str">
        <f ca="1">IFERROR(GETPIVOTDATA("Total Weight",Summary!$A$2,"Customer",$B$11,"Type",$B33),"")</f>
        <v/>
      </c>
      <c r="B33" s="117" t="str">
        <f ca="1">IFERROR(IF($I$2+14 &lt; $I$3,INDIRECT("'Summary'!A"&amp;($I$2+14)), ""),"")</f>
        <v/>
      </c>
      <c r="C33" s="118"/>
      <c r="D33" s="119"/>
      <c r="E33" s="19" t="str">
        <f ca="1">IFERROR(GETPIVOTDATA("Total Credit",Summary!$A$2,"Customer",$B$11,"Type",$B33),"")</f>
        <v/>
      </c>
      <c r="F33" s="19" t="str">
        <f ca="1">IFERROR(-GETPIVOTDATA("Total Charge",Summary!$A$2,"Customer",$B$11,"Type",$B33),"")</f>
        <v/>
      </c>
      <c r="H33"/>
    </row>
    <row r="34" spans="1:8" s="39" customFormat="1">
      <c r="A34" s="68" t="str">
        <f ca="1">IFERROR(GETPIVOTDATA("Total Weight",Summary!$A$2,"Customer",$B$11,"Type",$B34),"")</f>
        <v/>
      </c>
      <c r="B34" s="117" t="str">
        <f ca="1">IFERROR(IF($I$2+15 &lt; $I$3,INDIRECT("'Summary'!A"&amp;($I$2+15)), ""),"")</f>
        <v/>
      </c>
      <c r="C34" s="118"/>
      <c r="D34" s="119"/>
      <c r="E34" s="19" t="str">
        <f ca="1">IFERROR(GETPIVOTDATA("Total Credit",Summary!$A$2,"Customer",$B$11,"Type",$B34),"")</f>
        <v/>
      </c>
      <c r="F34" s="19" t="str">
        <f ca="1">IFERROR(-GETPIVOTDATA("Total Charge",Summary!$A$2,"Customer",$B$11,"Type",$B34),"")</f>
        <v/>
      </c>
      <c r="H34"/>
    </row>
    <row r="35" spans="1:8" s="39" customFormat="1">
      <c r="A35" s="68" t="str">
        <f ca="1">IFERROR(GETPIVOTDATA("Total Weight",Summary!$A$2,"Customer",$B$11,"Type",$B35),"")</f>
        <v/>
      </c>
      <c r="B35" s="117" t="str">
        <f ca="1">IFERROR(IF($I$2+16&lt;$I$3,INDIRECT("'Summary'!A"&amp;($I$2+16)),""),"")</f>
        <v/>
      </c>
      <c r="C35" s="118"/>
      <c r="D35" s="119"/>
      <c r="E35" s="19" t="str">
        <f ca="1">IFERROR(GETPIVOTDATA("Total Credit",Summary!$A$2,"Customer",$B$11,"Type",$B35),"")</f>
        <v/>
      </c>
      <c r="F35" s="19" t="str">
        <f ca="1">IFERROR(-GETPIVOTDATA("Total Charge",Summary!$A$2,"Customer",$B$11,"Type",$B35),"")</f>
        <v/>
      </c>
      <c r="H35"/>
    </row>
    <row r="36" spans="1:8" s="39" customFormat="1">
      <c r="A36" s="68" t="str">
        <f ca="1">IFERROR(GETPIVOTDATA("Total Weight",Summary!$A$2,"Customer",$B$11,"Type",$B36),"")</f>
        <v/>
      </c>
      <c r="B36" s="117" t="str">
        <f ca="1">IFERROR(IF($I$2+17 &lt; $I$3,INDIRECT("'Summary'!A"&amp;($I$2+17)), ""),"")</f>
        <v/>
      </c>
      <c r="C36" s="118"/>
      <c r="D36" s="119"/>
      <c r="E36" s="19" t="str">
        <f ca="1">IFERROR(GETPIVOTDATA("Total Credit",Summary!$A$2,"Customer",$B$11,"Type",$B36),"")</f>
        <v/>
      </c>
      <c r="F36" s="19" t="str">
        <f ca="1">IFERROR(-GETPIVOTDATA("Total Charge",Summary!$A$2,"Customer",$B$11,"Type",$B36),"")</f>
        <v/>
      </c>
      <c r="H36"/>
    </row>
    <row r="37" spans="1:8" s="47" customFormat="1" ht="15" customHeight="1">
      <c r="A37" s="48"/>
      <c r="B37" s="48"/>
      <c r="C37" s="48"/>
      <c r="D37" s="49" t="s">
        <v>11</v>
      </c>
      <c r="E37" s="63">
        <f ca="1">SUM(E20:E36)</f>
        <v>61.845000000000006</v>
      </c>
      <c r="F37" s="63">
        <f ca="1">SUM(F20:F36)</f>
        <v>32.200000000000003</v>
      </c>
      <c r="H37"/>
    </row>
    <row r="38" spans="1:8" s="47" customFormat="1" ht="15" customHeight="1">
      <c r="A38" s="50"/>
      <c r="B38" s="48"/>
      <c r="C38" s="126"/>
      <c r="D38" s="127"/>
      <c r="E38" s="51"/>
      <c r="F38" s="52"/>
      <c r="H38"/>
    </row>
    <row r="39" spans="1:8" s="47" customFormat="1" ht="15" customHeight="1">
      <c r="A39" s="50" t="s">
        <v>27</v>
      </c>
      <c r="B39" s="48"/>
      <c r="C39" s="53"/>
      <c r="D39" s="54"/>
      <c r="E39" s="49" t="s">
        <v>15</v>
      </c>
      <c r="F39" s="18"/>
      <c r="H39"/>
    </row>
    <row r="40" spans="1:8" s="47" customFormat="1" ht="15.75" thickBot="1">
      <c r="B40" s="48"/>
      <c r="C40" s="128"/>
      <c r="D40" s="129"/>
      <c r="E40" s="51"/>
      <c r="F40" s="55"/>
      <c r="H40"/>
    </row>
    <row r="41" spans="1:8" s="47" customFormat="1" ht="15.75" thickBot="1">
      <c r="E41" s="109" t="str">
        <f ca="1">IF(E37&lt;F37,"TOTAL CHARGE", "TOTAL CREDIT")</f>
        <v>TOTAL CREDIT</v>
      </c>
      <c r="F41" s="62">
        <f ca="1">(F39+(IF(E37-F37&gt;0,E37-F37,F37-E37)))</f>
        <v>29.645000000000003</v>
      </c>
      <c r="H41"/>
    </row>
    <row r="42" spans="1:8" s="47" customFormat="1">
      <c r="E42" s="56"/>
      <c r="F42" s="57"/>
      <c r="H42"/>
    </row>
    <row r="43" spans="1:8" s="47" customFormat="1">
      <c r="E43" s="56"/>
      <c r="F43" s="57"/>
      <c r="H43"/>
    </row>
    <row r="44" spans="1:8" s="39" customFormat="1">
      <c r="A44" s="58"/>
      <c r="H44"/>
    </row>
    <row r="45" spans="1:8" s="59" customFormat="1">
      <c r="A45" s="120" t="s">
        <v>81</v>
      </c>
      <c r="B45" s="120"/>
      <c r="C45" s="120"/>
      <c r="D45" s="120"/>
      <c r="E45" s="120"/>
      <c r="F45" s="120"/>
      <c r="H45"/>
    </row>
    <row r="46" spans="1:8" s="39" customFormat="1">
      <c r="H46"/>
    </row>
    <row r="47" spans="1:8">
      <c r="H47"/>
    </row>
    <row r="48" spans="1:8">
      <c r="H48"/>
    </row>
    <row r="49" spans="8:8">
      <c r="H49"/>
    </row>
    <row r="50" spans="8:8">
      <c r="H50"/>
    </row>
    <row r="51" spans="8:8">
      <c r="H51"/>
    </row>
    <row r="52" spans="8:8">
      <c r="H52"/>
    </row>
    <row r="53" spans="8:8">
      <c r="H53"/>
    </row>
    <row r="54" spans="8:8">
      <c r="H54"/>
    </row>
    <row r="55" spans="8:8">
      <c r="H55"/>
    </row>
    <row r="56" spans="8:8">
      <c r="H56"/>
    </row>
    <row r="57" spans="8:8">
      <c r="H57"/>
    </row>
    <row r="58" spans="8:8">
      <c r="H58"/>
    </row>
    <row r="59" spans="8:8">
      <c r="H59"/>
    </row>
    <row r="60" spans="8:8">
      <c r="H60"/>
    </row>
    <row r="61" spans="8:8">
      <c r="H61"/>
    </row>
    <row r="62" spans="8:8">
      <c r="H62"/>
    </row>
    <row r="63" spans="8:8">
      <c r="H63"/>
    </row>
    <row r="64" spans="8:8">
      <c r="H64"/>
    </row>
    <row r="65" spans="8:8">
      <c r="H65"/>
    </row>
    <row r="66" spans="8:8">
      <c r="H66"/>
    </row>
    <row r="67" spans="8:8">
      <c r="H67"/>
    </row>
    <row r="68" spans="8:8">
      <c r="H68"/>
    </row>
    <row r="69" spans="8:8">
      <c r="H69"/>
    </row>
    <row r="70" spans="8:8">
      <c r="H70"/>
    </row>
    <row r="71" spans="8:8">
      <c r="H71"/>
    </row>
    <row r="72" spans="8:8">
      <c r="H72"/>
    </row>
    <row r="73" spans="8:8">
      <c r="H73"/>
    </row>
    <row r="74" spans="8:8">
      <c r="H74"/>
    </row>
    <row r="75" spans="8:8">
      <c r="H75"/>
    </row>
    <row r="76" spans="8:8">
      <c r="H76"/>
    </row>
    <row r="77" spans="8:8">
      <c r="H77"/>
    </row>
    <row r="78" spans="8:8">
      <c r="H78"/>
    </row>
    <row r="79" spans="8:8">
      <c r="H79"/>
    </row>
    <row r="80" spans="8:8">
      <c r="H80"/>
    </row>
    <row r="81" spans="8:8">
      <c r="H81"/>
    </row>
    <row r="82" spans="8:8">
      <c r="H82"/>
    </row>
    <row r="83" spans="8:8">
      <c r="H83"/>
    </row>
    <row r="84" spans="8:8">
      <c r="H84"/>
    </row>
    <row r="85" spans="8:8">
      <c r="H85"/>
    </row>
    <row r="86" spans="8:8">
      <c r="H86"/>
    </row>
    <row r="87" spans="8:8">
      <c r="H87"/>
    </row>
    <row r="88" spans="8:8">
      <c r="H88"/>
    </row>
    <row r="89" spans="8:8">
      <c r="H89"/>
    </row>
    <row r="90" spans="8:8">
      <c r="H90"/>
    </row>
    <row r="91" spans="8:8">
      <c r="H91"/>
    </row>
    <row r="92" spans="8:8">
      <c r="H92"/>
    </row>
    <row r="93" spans="8:8">
      <c r="H93"/>
    </row>
    <row r="94" spans="8:8">
      <c r="H94"/>
    </row>
    <row r="95" spans="8:8">
      <c r="H95"/>
    </row>
    <row r="96" spans="8:8">
      <c r="H96"/>
    </row>
    <row r="97" spans="8:8">
      <c r="H97"/>
    </row>
    <row r="98" spans="8:8">
      <c r="H98"/>
    </row>
    <row r="99" spans="8:8">
      <c r="H99"/>
    </row>
    <row r="100" spans="8:8">
      <c r="H100"/>
    </row>
    <row r="101" spans="8:8">
      <c r="H101"/>
    </row>
    <row r="102" spans="8:8">
      <c r="H102"/>
    </row>
    <row r="103" spans="8:8">
      <c r="H103"/>
    </row>
    <row r="104" spans="8:8">
      <c r="H104"/>
    </row>
    <row r="105" spans="8:8">
      <c r="H105"/>
    </row>
    <row r="106" spans="8:8">
      <c r="H106"/>
    </row>
    <row r="107" spans="8:8">
      <c r="H107"/>
    </row>
    <row r="108" spans="8:8">
      <c r="H108"/>
    </row>
    <row r="109" spans="8:8">
      <c r="H109"/>
    </row>
    <row r="110" spans="8:8">
      <c r="H110"/>
    </row>
    <row r="111" spans="8:8">
      <c r="H111"/>
    </row>
    <row r="112" spans="8:8">
      <c r="H112"/>
    </row>
    <row r="113" spans="8:8">
      <c r="H113"/>
    </row>
    <row r="114" spans="8:8">
      <c r="H114"/>
    </row>
    <row r="115" spans="8:8">
      <c r="H115"/>
    </row>
    <row r="116" spans="8:8">
      <c r="H116"/>
    </row>
    <row r="117" spans="8:8">
      <c r="H117"/>
    </row>
    <row r="118" spans="8:8">
      <c r="H118"/>
    </row>
    <row r="119" spans="8:8">
      <c r="H119"/>
    </row>
    <row r="120" spans="8:8">
      <c r="H120"/>
    </row>
    <row r="121" spans="8:8">
      <c r="H121"/>
    </row>
    <row r="122" spans="8:8">
      <c r="H122"/>
    </row>
    <row r="123" spans="8:8">
      <c r="H123"/>
    </row>
    <row r="124" spans="8:8">
      <c r="H124"/>
    </row>
    <row r="125" spans="8:8">
      <c r="H125"/>
    </row>
    <row r="126" spans="8:8">
      <c r="H126"/>
    </row>
    <row r="127" spans="8:8">
      <c r="H127"/>
    </row>
    <row r="128" spans="8:8">
      <c r="H128"/>
    </row>
    <row r="129" spans="8:8">
      <c r="H129"/>
    </row>
    <row r="130" spans="8:8">
      <c r="H130"/>
    </row>
    <row r="131" spans="8:8">
      <c r="H131"/>
    </row>
    <row r="132" spans="8:8">
      <c r="H132"/>
    </row>
    <row r="133" spans="8:8">
      <c r="H133"/>
    </row>
    <row r="134" spans="8:8">
      <c r="H134"/>
    </row>
  </sheetData>
  <mergeCells count="22">
    <mergeCell ref="A45:F45"/>
    <mergeCell ref="C17:F18"/>
    <mergeCell ref="B19:D19"/>
    <mergeCell ref="C38:D38"/>
    <mergeCell ref="C40:D40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6:D36"/>
    <mergeCell ref="B32:D32"/>
    <mergeCell ref="B31:D31"/>
    <mergeCell ref="B33:D33"/>
    <mergeCell ref="B34:D34"/>
    <mergeCell ref="B35:D35"/>
  </mergeCells>
  <conditionalFormatting sqref="J30">
    <cfRule type="expression" dxfId="43" priority="1">
      <formula>$E$37&lt;$F$37</formula>
    </cfRule>
  </conditionalFormatting>
  <pageMargins left="0.7" right="0.7" top="0.75" bottom="0.75" header="0.3" footer="0.3"/>
  <pageSetup orientation="portrait" r:id="rId2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Y20000"/>
  <sheetViews>
    <sheetView zoomScale="70" zoomScaleNormal="70" workbookViewId="0">
      <selection activeCell="B4" sqref="B4"/>
    </sheetView>
  </sheetViews>
  <sheetFormatPr defaultRowHeight="15"/>
  <cols>
    <col min="1" max="1" width="12" bestFit="1" customWidth="1"/>
    <col min="2" max="2" width="31.5703125" bestFit="1" customWidth="1"/>
    <col min="3" max="3" width="13.42578125" bestFit="1" customWidth="1"/>
    <col min="4" max="4" width="12.85546875" bestFit="1" customWidth="1"/>
    <col min="5" max="5" width="20" style="85" bestFit="1" customWidth="1"/>
    <col min="6" max="6" width="16.140625" bestFit="1" customWidth="1"/>
    <col min="7" max="7" width="31.140625" style="85" bestFit="1" customWidth="1"/>
    <col min="8" max="8" width="8.5703125" style="85" customWidth="1"/>
    <col min="9" max="9" width="5.5703125" style="5" hidden="1" customWidth="1"/>
    <col min="10" max="10" width="4.5703125" hidden="1" customWidth="1"/>
    <col min="11" max="11" width="16.5703125" style="5" hidden="1" customWidth="1"/>
    <col min="12" max="12" width="14.5703125" hidden="1" customWidth="1"/>
    <col min="13" max="13" width="30.28515625" hidden="1" customWidth="1"/>
    <col min="14" max="14" width="19.28515625" hidden="1" customWidth="1"/>
    <col min="15" max="15" width="10.28515625" style="5" hidden="1" customWidth="1"/>
    <col min="16" max="16" width="18.28515625" bestFit="1" customWidth="1"/>
    <col min="17" max="17" width="13.5703125" bestFit="1" customWidth="1"/>
    <col min="18" max="18" width="13.85546875" style="6" bestFit="1" customWidth="1"/>
    <col min="19" max="19" width="10.140625" style="6" bestFit="1" customWidth="1"/>
    <col min="20" max="20" width="11.7109375" style="6" bestFit="1" customWidth="1"/>
    <col min="21" max="21" width="13.140625" style="6" bestFit="1" customWidth="1"/>
    <col min="22" max="22" width="19.7109375" style="5" bestFit="1" customWidth="1"/>
    <col min="23" max="23" width="35.7109375" bestFit="1" customWidth="1"/>
    <col min="24" max="24" width="12" bestFit="1" customWidth="1"/>
    <col min="25" max="25" width="20.7109375" bestFit="1" customWidth="1"/>
  </cols>
  <sheetData>
    <row r="1" spans="1:25" ht="15.75" thickBot="1">
      <c r="A1" s="81" t="s">
        <v>75</v>
      </c>
      <c r="B1" s="81" t="s">
        <v>35</v>
      </c>
      <c r="C1" s="81" t="s">
        <v>36</v>
      </c>
      <c r="D1" s="81" t="s">
        <v>40</v>
      </c>
      <c r="E1" s="84" t="s">
        <v>37</v>
      </c>
      <c r="F1" s="82" t="s">
        <v>38</v>
      </c>
      <c r="G1" s="84" t="s">
        <v>17</v>
      </c>
      <c r="H1" s="84" t="s">
        <v>39</v>
      </c>
      <c r="I1" s="83" t="s">
        <v>68</v>
      </c>
      <c r="J1" s="82" t="s">
        <v>67</v>
      </c>
      <c r="K1" s="83" t="s">
        <v>74</v>
      </c>
      <c r="L1" s="81" t="s">
        <v>69</v>
      </c>
      <c r="M1" s="81" t="s">
        <v>70</v>
      </c>
      <c r="N1" s="81" t="s">
        <v>71</v>
      </c>
      <c r="O1" s="83" t="s">
        <v>72</v>
      </c>
      <c r="P1" s="82" t="s">
        <v>73</v>
      </c>
      <c r="Q1" s="81" t="s">
        <v>76</v>
      </c>
      <c r="R1" s="91" t="s">
        <v>41</v>
      </c>
      <c r="S1" s="90" t="s">
        <v>42</v>
      </c>
      <c r="T1" s="90" t="s">
        <v>22</v>
      </c>
      <c r="U1" s="90" t="s">
        <v>0</v>
      </c>
      <c r="V1" s="89" t="s">
        <v>19</v>
      </c>
      <c r="W1" s="87" t="s">
        <v>23</v>
      </c>
      <c r="X1" s="87" t="s">
        <v>29</v>
      </c>
      <c r="Y1" s="87" t="s">
        <v>32</v>
      </c>
    </row>
    <row r="2" spans="1:25" ht="15.75" thickTop="1">
      <c r="A2">
        <v>414</v>
      </c>
      <c r="B2" t="s">
        <v>1508</v>
      </c>
      <c r="D2">
        <v>210</v>
      </c>
      <c r="E2" t="s">
        <v>1501</v>
      </c>
      <c r="F2" s="4">
        <v>41473</v>
      </c>
      <c r="G2" s="4" t="s">
        <v>192</v>
      </c>
      <c r="H2" s="4"/>
      <c r="I2" s="4">
        <v>-1</v>
      </c>
      <c r="J2" s="4">
        <v>41484</v>
      </c>
      <c r="K2" s="4">
        <v>0</v>
      </c>
      <c r="L2" s="4"/>
      <c r="M2" s="4"/>
      <c r="N2" s="4"/>
      <c r="O2" s="4">
        <v>0</v>
      </c>
      <c r="P2" s="4">
        <v>41484.630729166667</v>
      </c>
      <c r="Q2" s="4"/>
      <c r="R2" s="79"/>
      <c r="S2" s="79">
        <f>DbLinkTable[[#This Row],[Credit]]+DbLinkTable[[#This Row],[Charge]]</f>
        <v>0</v>
      </c>
      <c r="T2" s="79">
        <f>IF(DbLinkTable[[#This Row],[Price/lb]]*DbLinkTable[[#This Row],[Weight]]&gt;0,DbLinkTable[[#This Row],[Price/lb]]*DbLinkTable[[#This Row],[Weight]],0)</f>
        <v>0</v>
      </c>
      <c r="U2" s="79">
        <f>IF(DbLinkTable[[#This Row],[Price/lb]]*DbLinkTable[[#This Row],[Weight]]&lt;0,DbLinkTable[[#This Row],[Price/lb]]*DbLinkTable[[#This Row],[Weight]],0)</f>
        <v>0</v>
      </c>
      <c r="V2" s="4">
        <f>IF(COUNTIF($W$2:W2,W2)=1,1,"")</f>
        <v>1</v>
      </c>
      <c r="W2" s="4" t="str">
        <f>CONCATENATE(DbLinkTable[[#This Row],[Customer]],UPPER(DbLinkTable[[#This Row],[Trailer Number]]),DbLinkTable[[#This Row],[Day Received]])</f>
        <v>Company1441473</v>
      </c>
      <c r="X2" s="4">
        <f>DATEVALUE(TEXT(DbLinkTable[[#This Row],[Date Received]],"MMMM YYYY"))</f>
        <v>41456</v>
      </c>
      <c r="Y2" s="4">
        <f>INT(DbLinkTable[[#This Row],[Date Received]])</f>
        <v>41473</v>
      </c>
    </row>
    <row r="3" spans="1:25">
      <c r="A3">
        <v>415</v>
      </c>
      <c r="B3" t="s">
        <v>1508</v>
      </c>
      <c r="D3">
        <v>104</v>
      </c>
      <c r="E3" t="s">
        <v>1501</v>
      </c>
      <c r="F3" s="4">
        <v>41473</v>
      </c>
      <c r="G3" s="4" t="s">
        <v>192</v>
      </c>
      <c r="H3" s="4"/>
      <c r="I3" s="4">
        <v>-1</v>
      </c>
      <c r="J3" s="4">
        <v>41484</v>
      </c>
      <c r="K3" s="4">
        <v>0</v>
      </c>
      <c r="L3" s="4"/>
      <c r="M3" s="4"/>
      <c r="N3" s="4"/>
      <c r="O3" s="4">
        <v>0</v>
      </c>
      <c r="P3" s="4">
        <v>41484.630729166667</v>
      </c>
      <c r="Q3" s="4"/>
      <c r="R3" s="4"/>
      <c r="S3" s="79">
        <f>DbLinkTable[[#This Row],[Credit]]+DbLinkTable[[#This Row],[Charge]]</f>
        <v>0</v>
      </c>
      <c r="T3" s="79">
        <f>IF(DbLinkTable[[#This Row],[Price/lb]]*DbLinkTable[[#This Row],[Weight]]&gt;0,DbLinkTable[[#This Row],[Price/lb]]*DbLinkTable[[#This Row],[Weight]],0)</f>
        <v>0</v>
      </c>
      <c r="U3" s="79">
        <f>IF(DbLinkTable[[#This Row],[Price/lb]]*DbLinkTable[[#This Row],[Weight]]&lt;0,DbLinkTable[[#This Row],[Price/lb]]*DbLinkTable[[#This Row],[Weight]],0)</f>
        <v>0</v>
      </c>
      <c r="V3" s="4" t="str">
        <f>IF(COUNTIF($W$2:W3,W3)=1,1,"")</f>
        <v/>
      </c>
      <c r="W3" s="4" t="str">
        <f>CONCATENATE(DbLinkTable[[#This Row],[Customer]],UPPER(DbLinkTable[[#This Row],[Trailer Number]]),DbLinkTable[[#This Row],[Day Received]])</f>
        <v>Company1441473</v>
      </c>
      <c r="X3" s="4">
        <f>DATEVALUE(TEXT(DbLinkTable[[#This Row],[Date Received]],"MMMM YYYY"))</f>
        <v>41456</v>
      </c>
      <c r="Y3" s="4">
        <f>INT(DbLinkTable[[#This Row],[Date Received]])</f>
        <v>41473</v>
      </c>
    </row>
    <row r="4" spans="1:25">
      <c r="A4">
        <v>416</v>
      </c>
      <c r="B4" t="s">
        <v>1508</v>
      </c>
      <c r="D4">
        <v>490</v>
      </c>
      <c r="E4" t="s">
        <v>1501</v>
      </c>
      <c r="F4" s="4">
        <v>41473</v>
      </c>
      <c r="G4" s="4" t="s">
        <v>192</v>
      </c>
      <c r="H4" s="4"/>
      <c r="I4" s="4">
        <v>-1</v>
      </c>
      <c r="J4" s="4">
        <v>41484</v>
      </c>
      <c r="K4" s="4">
        <v>0</v>
      </c>
      <c r="L4" s="4"/>
      <c r="M4" s="4"/>
      <c r="N4" s="4"/>
      <c r="O4" s="4">
        <v>0</v>
      </c>
      <c r="P4" s="4">
        <v>41484.630729166667</v>
      </c>
      <c r="Q4" s="4"/>
      <c r="R4" s="4"/>
      <c r="S4" s="79">
        <f>DbLinkTable[[#This Row],[Credit]]+DbLinkTable[[#This Row],[Charge]]</f>
        <v>0</v>
      </c>
      <c r="T4" s="79">
        <f>IF(DbLinkTable[[#This Row],[Price/lb]]*DbLinkTable[[#This Row],[Weight]]&gt;0,DbLinkTable[[#This Row],[Price/lb]]*DbLinkTable[[#This Row],[Weight]],0)</f>
        <v>0</v>
      </c>
      <c r="U4" s="79">
        <f>IF(DbLinkTable[[#This Row],[Price/lb]]*DbLinkTable[[#This Row],[Weight]]&lt;0,DbLinkTable[[#This Row],[Price/lb]]*DbLinkTable[[#This Row],[Weight]],0)</f>
        <v>0</v>
      </c>
      <c r="V4" s="4" t="str">
        <f>IF(COUNTIF($W$2:W4,W4)=1,1,"")</f>
        <v/>
      </c>
      <c r="W4" s="4" t="str">
        <f>CONCATENATE(DbLinkTable[[#This Row],[Customer]],UPPER(DbLinkTable[[#This Row],[Trailer Number]]),DbLinkTable[[#This Row],[Day Received]])</f>
        <v>Company1441473</v>
      </c>
      <c r="X4" s="4">
        <f>DATEVALUE(TEXT(DbLinkTable[[#This Row],[Date Received]],"MMMM YYYY"))</f>
        <v>41456</v>
      </c>
      <c r="Y4" s="4">
        <f>INT(DbLinkTable[[#This Row],[Date Received]])</f>
        <v>41473</v>
      </c>
    </row>
    <row r="5" spans="1:25">
      <c r="A5">
        <v>417</v>
      </c>
      <c r="B5" t="s">
        <v>1508</v>
      </c>
      <c r="D5">
        <v>510</v>
      </c>
      <c r="E5" t="s">
        <v>1501</v>
      </c>
      <c r="F5" s="4">
        <v>41473</v>
      </c>
      <c r="G5" s="4" t="s">
        <v>192</v>
      </c>
      <c r="H5" s="4"/>
      <c r="I5" s="4">
        <v>-1</v>
      </c>
      <c r="J5" s="4">
        <v>41484</v>
      </c>
      <c r="K5" s="4">
        <v>0</v>
      </c>
      <c r="L5" s="4"/>
      <c r="M5" s="4"/>
      <c r="N5" s="4"/>
      <c r="O5" s="4">
        <v>0</v>
      </c>
      <c r="P5" s="4">
        <v>41484.630729166667</v>
      </c>
      <c r="Q5" s="4"/>
      <c r="R5" s="4"/>
      <c r="S5" s="79">
        <f>DbLinkTable[[#This Row],[Credit]]+DbLinkTable[[#This Row],[Charge]]</f>
        <v>0</v>
      </c>
      <c r="T5" s="79">
        <f>IF(DbLinkTable[[#This Row],[Price/lb]]*DbLinkTable[[#This Row],[Weight]]&gt;0,DbLinkTable[[#This Row],[Price/lb]]*DbLinkTable[[#This Row],[Weight]],0)</f>
        <v>0</v>
      </c>
      <c r="U5" s="79">
        <f>IF(DbLinkTable[[#This Row],[Price/lb]]*DbLinkTable[[#This Row],[Weight]]&lt;0,DbLinkTable[[#This Row],[Price/lb]]*DbLinkTable[[#This Row],[Weight]],0)</f>
        <v>0</v>
      </c>
      <c r="V5" s="4" t="str">
        <f>IF(COUNTIF($W$2:W5,W5)=1,1,"")</f>
        <v/>
      </c>
      <c r="W5" s="4" t="str">
        <f>CONCATENATE(DbLinkTable[[#This Row],[Customer]],UPPER(DbLinkTable[[#This Row],[Trailer Number]]),DbLinkTable[[#This Row],[Day Received]])</f>
        <v>Company1441473</v>
      </c>
      <c r="X5" s="4">
        <f>DATEVALUE(TEXT(DbLinkTable[[#This Row],[Date Received]],"MMMM YYYY"))</f>
        <v>41456</v>
      </c>
      <c r="Y5" s="4">
        <f>INT(DbLinkTable[[#This Row],[Date Received]])</f>
        <v>41473</v>
      </c>
    </row>
    <row r="6" spans="1:25">
      <c r="A6">
        <v>418</v>
      </c>
      <c r="B6" t="s">
        <v>1502</v>
      </c>
      <c r="D6">
        <v>116</v>
      </c>
      <c r="E6" t="s">
        <v>1501</v>
      </c>
      <c r="F6" s="4">
        <v>41473</v>
      </c>
      <c r="G6" s="4" t="s">
        <v>192</v>
      </c>
      <c r="H6" s="4"/>
      <c r="I6" s="4">
        <v>-1</v>
      </c>
      <c r="J6" s="4">
        <v>41484</v>
      </c>
      <c r="K6" s="4">
        <v>0</v>
      </c>
      <c r="L6" s="4"/>
      <c r="M6" s="4"/>
      <c r="N6" s="4"/>
      <c r="O6" s="4">
        <v>0</v>
      </c>
      <c r="P6" s="4">
        <v>41484.630729166667</v>
      </c>
      <c r="Q6" s="4"/>
      <c r="R6" s="4"/>
      <c r="S6" s="79">
        <f>DbLinkTable[[#This Row],[Credit]]+DbLinkTable[[#This Row],[Charge]]</f>
        <v>0</v>
      </c>
      <c r="T6" s="79">
        <f>IF(DbLinkTable[[#This Row],[Price/lb]]*DbLinkTable[[#This Row],[Weight]]&gt;0,DbLinkTable[[#This Row],[Price/lb]]*DbLinkTable[[#This Row],[Weight]],0)</f>
        <v>0</v>
      </c>
      <c r="U6" s="79">
        <f>IF(DbLinkTable[[#This Row],[Price/lb]]*DbLinkTable[[#This Row],[Weight]]&lt;0,DbLinkTable[[#This Row],[Price/lb]]*DbLinkTable[[#This Row],[Weight]],0)</f>
        <v>0</v>
      </c>
      <c r="V6" s="4" t="str">
        <f>IF(COUNTIF($W$2:W6,W6)=1,1,"")</f>
        <v/>
      </c>
      <c r="W6" s="4" t="str">
        <f>CONCATENATE(DbLinkTable[[#This Row],[Customer]],UPPER(DbLinkTable[[#This Row],[Trailer Number]]),DbLinkTable[[#This Row],[Day Received]])</f>
        <v>Company1441473</v>
      </c>
      <c r="X6" s="4">
        <f>DATEVALUE(TEXT(DbLinkTable[[#This Row],[Date Received]],"MMMM YYYY"))</f>
        <v>41456</v>
      </c>
      <c r="Y6" s="4">
        <f>INT(DbLinkTable[[#This Row],[Date Received]])</f>
        <v>41473</v>
      </c>
    </row>
    <row r="7" spans="1:25">
      <c r="A7">
        <v>419</v>
      </c>
      <c r="B7" t="s">
        <v>1502</v>
      </c>
      <c r="D7">
        <v>128</v>
      </c>
      <c r="E7" t="s">
        <v>1501</v>
      </c>
      <c r="F7" s="4">
        <v>41473</v>
      </c>
      <c r="G7" s="4" t="s">
        <v>192</v>
      </c>
      <c r="H7" s="4"/>
      <c r="I7" s="4">
        <v>-1</v>
      </c>
      <c r="J7" s="4">
        <v>41484</v>
      </c>
      <c r="K7" s="4">
        <v>0</v>
      </c>
      <c r="L7" s="4"/>
      <c r="M7" s="4"/>
      <c r="N7" s="4"/>
      <c r="O7" s="4">
        <v>0</v>
      </c>
      <c r="P7" s="4">
        <v>41484.630729166667</v>
      </c>
      <c r="Q7" s="4"/>
      <c r="R7" s="4"/>
      <c r="S7" s="79">
        <f>DbLinkTable[[#This Row],[Credit]]+DbLinkTable[[#This Row],[Charge]]</f>
        <v>0</v>
      </c>
      <c r="T7" s="79">
        <f>IF(DbLinkTable[[#This Row],[Price/lb]]*DbLinkTable[[#This Row],[Weight]]&gt;0,DbLinkTable[[#This Row],[Price/lb]]*DbLinkTable[[#This Row],[Weight]],0)</f>
        <v>0</v>
      </c>
      <c r="U7" s="79">
        <f>IF(DbLinkTable[[#This Row],[Price/lb]]*DbLinkTable[[#This Row],[Weight]]&lt;0,DbLinkTable[[#This Row],[Price/lb]]*DbLinkTable[[#This Row],[Weight]],0)</f>
        <v>0</v>
      </c>
      <c r="V7" s="4" t="str">
        <f>IF(COUNTIF($W$2:W7,W7)=1,1,"")</f>
        <v/>
      </c>
      <c r="W7" s="4" t="str">
        <f>CONCATENATE(DbLinkTable[[#This Row],[Customer]],UPPER(DbLinkTable[[#This Row],[Trailer Number]]),DbLinkTable[[#This Row],[Day Received]])</f>
        <v>Company1441473</v>
      </c>
      <c r="X7" s="4">
        <f>DATEVALUE(TEXT(DbLinkTable[[#This Row],[Date Received]],"MMMM YYYY"))</f>
        <v>41456</v>
      </c>
      <c r="Y7" s="4">
        <f>INT(DbLinkTable[[#This Row],[Date Received]])</f>
        <v>41473</v>
      </c>
    </row>
    <row r="8" spans="1:25">
      <c r="A8">
        <v>420</v>
      </c>
      <c r="B8" t="s">
        <v>1502</v>
      </c>
      <c r="D8">
        <v>1030</v>
      </c>
      <c r="E8" t="s">
        <v>1501</v>
      </c>
      <c r="F8" s="4">
        <v>41473</v>
      </c>
      <c r="G8" s="4" t="s">
        <v>192</v>
      </c>
      <c r="H8" s="4"/>
      <c r="I8" s="4">
        <v>-1</v>
      </c>
      <c r="J8" s="4">
        <v>41484</v>
      </c>
      <c r="K8" s="4">
        <v>0</v>
      </c>
      <c r="L8" s="4"/>
      <c r="M8" s="4"/>
      <c r="N8" s="4"/>
      <c r="O8" s="4">
        <v>0</v>
      </c>
      <c r="P8" s="4">
        <v>41484.630729166667</v>
      </c>
      <c r="Q8" s="4"/>
      <c r="R8" s="4"/>
      <c r="S8" s="79">
        <f>DbLinkTable[[#This Row],[Credit]]+DbLinkTable[[#This Row],[Charge]]</f>
        <v>0</v>
      </c>
      <c r="T8" s="79">
        <f>IF(DbLinkTable[[#This Row],[Price/lb]]*DbLinkTable[[#This Row],[Weight]]&gt;0,DbLinkTable[[#This Row],[Price/lb]]*DbLinkTable[[#This Row],[Weight]],0)</f>
        <v>0</v>
      </c>
      <c r="U8" s="79">
        <f>IF(DbLinkTable[[#This Row],[Price/lb]]*DbLinkTable[[#This Row],[Weight]]&lt;0,DbLinkTable[[#This Row],[Price/lb]]*DbLinkTable[[#This Row],[Weight]],0)</f>
        <v>0</v>
      </c>
      <c r="V8" s="4" t="str">
        <f>IF(COUNTIF($W$2:W8,W8)=1,1,"")</f>
        <v/>
      </c>
      <c r="W8" s="4" t="str">
        <f>CONCATENATE(DbLinkTable[[#This Row],[Customer]],UPPER(DbLinkTable[[#This Row],[Trailer Number]]),DbLinkTable[[#This Row],[Day Received]])</f>
        <v>Company1441473</v>
      </c>
      <c r="X8" s="4">
        <f>DATEVALUE(TEXT(DbLinkTable[[#This Row],[Date Received]],"MMMM YYYY"))</f>
        <v>41456</v>
      </c>
      <c r="Y8" s="4">
        <f>INT(DbLinkTable[[#This Row],[Date Received]])</f>
        <v>41473</v>
      </c>
    </row>
    <row r="9" spans="1:25">
      <c r="A9">
        <v>421</v>
      </c>
      <c r="B9" t="s">
        <v>46</v>
      </c>
      <c r="D9">
        <v>180</v>
      </c>
      <c r="E9" t="s">
        <v>1501</v>
      </c>
      <c r="F9" s="4">
        <v>41473</v>
      </c>
      <c r="G9" s="4" t="s">
        <v>192</v>
      </c>
      <c r="H9" s="4"/>
      <c r="I9" s="4">
        <v>-1</v>
      </c>
      <c r="J9" s="4">
        <v>41484</v>
      </c>
      <c r="K9" s="4">
        <v>0</v>
      </c>
      <c r="L9" s="4"/>
      <c r="M9" s="4"/>
      <c r="N9" s="4"/>
      <c r="O9" s="4">
        <v>0</v>
      </c>
      <c r="P9" s="4">
        <v>41484.630729166667</v>
      </c>
      <c r="Q9" s="4"/>
      <c r="R9" s="4"/>
      <c r="S9" s="79">
        <f>DbLinkTable[[#This Row],[Credit]]+DbLinkTable[[#This Row],[Charge]]</f>
        <v>0</v>
      </c>
      <c r="T9" s="79">
        <f>IF(DbLinkTable[[#This Row],[Price/lb]]*DbLinkTable[[#This Row],[Weight]]&gt;0,DbLinkTable[[#This Row],[Price/lb]]*DbLinkTable[[#This Row],[Weight]],0)</f>
        <v>0</v>
      </c>
      <c r="U9" s="79">
        <f>IF(DbLinkTable[[#This Row],[Price/lb]]*DbLinkTable[[#This Row],[Weight]]&lt;0,DbLinkTable[[#This Row],[Price/lb]]*DbLinkTable[[#This Row],[Weight]],0)</f>
        <v>0</v>
      </c>
      <c r="V9" s="4" t="str">
        <f>IF(COUNTIF($W$2:W9,W9)=1,1,"")</f>
        <v/>
      </c>
      <c r="W9" s="4" t="str">
        <f>CONCATENATE(DbLinkTable[[#This Row],[Customer]],UPPER(DbLinkTable[[#This Row],[Trailer Number]]),DbLinkTable[[#This Row],[Day Received]])</f>
        <v>Company1441473</v>
      </c>
      <c r="X9" s="4">
        <f>DATEVALUE(TEXT(DbLinkTable[[#This Row],[Date Received]],"MMMM YYYY"))</f>
        <v>41456</v>
      </c>
      <c r="Y9" s="4">
        <f>INT(DbLinkTable[[#This Row],[Date Received]])</f>
        <v>41473</v>
      </c>
    </row>
    <row r="10" spans="1:25">
      <c r="A10">
        <v>422</v>
      </c>
      <c r="B10" t="s">
        <v>46</v>
      </c>
      <c r="D10">
        <v>160</v>
      </c>
      <c r="E10" t="s">
        <v>1501</v>
      </c>
      <c r="F10" s="4">
        <v>41473</v>
      </c>
      <c r="G10" s="4" t="s">
        <v>192</v>
      </c>
      <c r="H10" s="4"/>
      <c r="I10" s="4">
        <v>-1</v>
      </c>
      <c r="J10" s="4">
        <v>41484</v>
      </c>
      <c r="K10" s="4">
        <v>0</v>
      </c>
      <c r="L10" s="4"/>
      <c r="M10" s="4"/>
      <c r="N10" s="4"/>
      <c r="O10" s="4">
        <v>0</v>
      </c>
      <c r="P10" s="4">
        <v>41484.630729166667</v>
      </c>
      <c r="Q10" s="4"/>
      <c r="R10" s="4"/>
      <c r="S10" s="79">
        <f>DbLinkTable[[#This Row],[Credit]]+DbLinkTable[[#This Row],[Charge]]</f>
        <v>0</v>
      </c>
      <c r="T10" s="79">
        <f>IF(DbLinkTable[[#This Row],[Price/lb]]*DbLinkTable[[#This Row],[Weight]]&gt;0,DbLinkTable[[#This Row],[Price/lb]]*DbLinkTable[[#This Row],[Weight]],0)</f>
        <v>0</v>
      </c>
      <c r="U10" s="79">
        <f>IF(DbLinkTable[[#This Row],[Price/lb]]*DbLinkTable[[#This Row],[Weight]]&lt;0,DbLinkTable[[#This Row],[Price/lb]]*DbLinkTable[[#This Row],[Weight]],0)</f>
        <v>0</v>
      </c>
      <c r="V10" s="4" t="str">
        <f>IF(COUNTIF($W$2:W10,W10)=1,1,"")</f>
        <v/>
      </c>
      <c r="W10" s="4" t="str">
        <f>CONCATENATE(DbLinkTable[[#This Row],[Customer]],UPPER(DbLinkTable[[#This Row],[Trailer Number]]),DbLinkTable[[#This Row],[Day Received]])</f>
        <v>Company1441473</v>
      </c>
      <c r="X10" s="4">
        <f>DATEVALUE(TEXT(DbLinkTable[[#This Row],[Date Received]],"MMMM YYYY"))</f>
        <v>41456</v>
      </c>
      <c r="Y10" s="4">
        <f>INT(DbLinkTable[[#This Row],[Date Received]])</f>
        <v>41473</v>
      </c>
    </row>
    <row r="11" spans="1:25">
      <c r="A11">
        <v>423</v>
      </c>
      <c r="B11" t="s">
        <v>46</v>
      </c>
      <c r="D11">
        <v>410</v>
      </c>
      <c r="E11" t="s">
        <v>1501</v>
      </c>
      <c r="F11" s="4">
        <v>41473</v>
      </c>
      <c r="G11" s="4" t="s">
        <v>192</v>
      </c>
      <c r="H11" s="4"/>
      <c r="I11" s="4">
        <v>-1</v>
      </c>
      <c r="J11" s="4">
        <v>41484</v>
      </c>
      <c r="K11" s="4">
        <v>0</v>
      </c>
      <c r="L11" s="4"/>
      <c r="M11" s="4"/>
      <c r="N11" s="4"/>
      <c r="O11" s="4">
        <v>0</v>
      </c>
      <c r="P11" s="4">
        <v>41484.630729166667</v>
      </c>
      <c r="Q11" s="4"/>
      <c r="R11" s="4"/>
      <c r="S11" s="79">
        <f>DbLinkTable[[#This Row],[Credit]]+DbLinkTable[[#This Row],[Charge]]</f>
        <v>0</v>
      </c>
      <c r="T11" s="79">
        <f>IF(DbLinkTable[[#This Row],[Price/lb]]*DbLinkTable[[#This Row],[Weight]]&gt;0,DbLinkTable[[#This Row],[Price/lb]]*DbLinkTable[[#This Row],[Weight]],0)</f>
        <v>0</v>
      </c>
      <c r="U11" s="79">
        <f>IF(DbLinkTable[[#This Row],[Price/lb]]*DbLinkTable[[#This Row],[Weight]]&lt;0,DbLinkTable[[#This Row],[Price/lb]]*DbLinkTable[[#This Row],[Weight]],0)</f>
        <v>0</v>
      </c>
      <c r="V11" s="4" t="str">
        <f>IF(COUNTIF($W$2:W11,W11)=1,1,"")</f>
        <v/>
      </c>
      <c r="W11" s="4" t="str">
        <f>CONCATENATE(DbLinkTable[[#This Row],[Customer]],UPPER(DbLinkTable[[#This Row],[Trailer Number]]),DbLinkTable[[#This Row],[Day Received]])</f>
        <v>Company1441473</v>
      </c>
      <c r="X11" s="4">
        <f>DATEVALUE(TEXT(DbLinkTable[[#This Row],[Date Received]],"MMMM YYYY"))</f>
        <v>41456</v>
      </c>
      <c r="Y11" s="4">
        <f>INT(DbLinkTable[[#This Row],[Date Received]])</f>
        <v>41473</v>
      </c>
    </row>
    <row r="12" spans="1:25">
      <c r="A12">
        <v>424</v>
      </c>
      <c r="B12" t="s">
        <v>46</v>
      </c>
      <c r="D12">
        <v>838</v>
      </c>
      <c r="E12" t="s">
        <v>1501</v>
      </c>
      <c r="F12" s="4">
        <v>41473</v>
      </c>
      <c r="G12" s="4" t="s">
        <v>192</v>
      </c>
      <c r="H12" s="4"/>
      <c r="I12" s="4">
        <v>-1</v>
      </c>
      <c r="J12" s="4">
        <v>41484</v>
      </c>
      <c r="K12" s="4">
        <v>0</v>
      </c>
      <c r="L12" s="4"/>
      <c r="M12" s="4"/>
      <c r="N12" s="4"/>
      <c r="O12" s="4">
        <v>0</v>
      </c>
      <c r="P12" s="4">
        <v>41484.630729166667</v>
      </c>
      <c r="Q12" s="4"/>
      <c r="R12" s="4"/>
      <c r="S12" s="79">
        <f>DbLinkTable[[#This Row],[Credit]]+DbLinkTable[[#This Row],[Charge]]</f>
        <v>0</v>
      </c>
      <c r="T12" s="79">
        <f>IF(DbLinkTable[[#This Row],[Price/lb]]*DbLinkTable[[#This Row],[Weight]]&gt;0,DbLinkTable[[#This Row],[Price/lb]]*DbLinkTable[[#This Row],[Weight]],0)</f>
        <v>0</v>
      </c>
      <c r="U12" s="79">
        <f>IF(DbLinkTable[[#This Row],[Price/lb]]*DbLinkTable[[#This Row],[Weight]]&lt;0,DbLinkTable[[#This Row],[Price/lb]]*DbLinkTable[[#This Row],[Weight]],0)</f>
        <v>0</v>
      </c>
      <c r="V12" s="4" t="str">
        <f>IF(COUNTIF($W$2:W12,W12)=1,1,"")</f>
        <v/>
      </c>
      <c r="W12" s="4" t="str">
        <f>CONCATENATE(DbLinkTable[[#This Row],[Customer]],UPPER(DbLinkTable[[#This Row],[Trailer Number]]),DbLinkTable[[#This Row],[Day Received]])</f>
        <v>Company1441473</v>
      </c>
      <c r="X12" s="4">
        <f>DATEVALUE(TEXT(DbLinkTable[[#This Row],[Date Received]],"MMMM YYYY"))</f>
        <v>41456</v>
      </c>
      <c r="Y12" s="4">
        <f>INT(DbLinkTable[[#This Row],[Date Received]])</f>
        <v>41473</v>
      </c>
    </row>
    <row r="13" spans="1:25">
      <c r="A13">
        <v>425</v>
      </c>
      <c r="B13" t="s">
        <v>46</v>
      </c>
      <c r="D13">
        <v>160</v>
      </c>
      <c r="E13" t="s">
        <v>1501</v>
      </c>
      <c r="F13" s="4">
        <v>41473</v>
      </c>
      <c r="G13" s="4" t="s">
        <v>192</v>
      </c>
      <c r="H13" s="4"/>
      <c r="I13" s="4">
        <v>-1</v>
      </c>
      <c r="J13" s="4">
        <v>41484</v>
      </c>
      <c r="K13" s="4">
        <v>0</v>
      </c>
      <c r="L13" s="4"/>
      <c r="M13" s="4"/>
      <c r="N13" s="4"/>
      <c r="O13" s="4">
        <v>0</v>
      </c>
      <c r="P13" s="4">
        <v>41484.630729166667</v>
      </c>
      <c r="Q13" s="4"/>
      <c r="R13" s="4"/>
      <c r="S13" s="79">
        <f>DbLinkTable[[#This Row],[Credit]]+DbLinkTable[[#This Row],[Charge]]</f>
        <v>0</v>
      </c>
      <c r="T13" s="79">
        <f>IF(DbLinkTable[[#This Row],[Price/lb]]*DbLinkTable[[#This Row],[Weight]]&gt;0,DbLinkTable[[#This Row],[Price/lb]]*DbLinkTable[[#This Row],[Weight]],0)</f>
        <v>0</v>
      </c>
      <c r="U13" s="79">
        <f>IF(DbLinkTable[[#This Row],[Price/lb]]*DbLinkTable[[#This Row],[Weight]]&lt;0,DbLinkTable[[#This Row],[Price/lb]]*DbLinkTable[[#This Row],[Weight]],0)</f>
        <v>0</v>
      </c>
      <c r="V13" s="4" t="str">
        <f>IF(COUNTIF($W$2:W13,W13)=1,1,"")</f>
        <v/>
      </c>
      <c r="W13" s="4" t="str">
        <f>CONCATENATE(DbLinkTable[[#This Row],[Customer]],UPPER(DbLinkTable[[#This Row],[Trailer Number]]),DbLinkTable[[#This Row],[Day Received]])</f>
        <v>Company1441473</v>
      </c>
      <c r="X13" s="4">
        <f>DATEVALUE(TEXT(DbLinkTable[[#This Row],[Date Received]],"MMMM YYYY"))</f>
        <v>41456</v>
      </c>
      <c r="Y13" s="4">
        <f>INT(DbLinkTable[[#This Row],[Date Received]])</f>
        <v>41473</v>
      </c>
    </row>
    <row r="14" spans="1:25">
      <c r="A14">
        <v>426</v>
      </c>
      <c r="B14" t="s">
        <v>46</v>
      </c>
      <c r="D14">
        <v>130</v>
      </c>
      <c r="E14" t="s">
        <v>1501</v>
      </c>
      <c r="F14" s="4">
        <v>41473</v>
      </c>
      <c r="G14" s="4" t="s">
        <v>192</v>
      </c>
      <c r="H14" s="4"/>
      <c r="I14" s="4">
        <v>-1</v>
      </c>
      <c r="J14" s="4">
        <v>41484</v>
      </c>
      <c r="K14" s="4">
        <v>0</v>
      </c>
      <c r="L14" s="4"/>
      <c r="M14" s="4"/>
      <c r="N14" s="4"/>
      <c r="O14" s="4">
        <v>0</v>
      </c>
      <c r="P14" s="4">
        <v>41484.630729166667</v>
      </c>
      <c r="Q14" s="4"/>
      <c r="R14" s="4"/>
      <c r="S14" s="79">
        <f>DbLinkTable[[#This Row],[Credit]]+DbLinkTable[[#This Row],[Charge]]</f>
        <v>0</v>
      </c>
      <c r="T14" s="79">
        <f>IF(DbLinkTable[[#This Row],[Price/lb]]*DbLinkTable[[#This Row],[Weight]]&gt;0,DbLinkTable[[#This Row],[Price/lb]]*DbLinkTable[[#This Row],[Weight]],0)</f>
        <v>0</v>
      </c>
      <c r="U14" s="79">
        <f>IF(DbLinkTable[[#This Row],[Price/lb]]*DbLinkTable[[#This Row],[Weight]]&lt;0,DbLinkTable[[#This Row],[Price/lb]]*DbLinkTable[[#This Row],[Weight]],0)</f>
        <v>0</v>
      </c>
      <c r="V14" s="4" t="str">
        <f>IF(COUNTIF($W$2:W14,W14)=1,1,"")</f>
        <v/>
      </c>
      <c r="W14" s="4" t="str">
        <f>CONCATENATE(DbLinkTable[[#This Row],[Customer]],UPPER(DbLinkTable[[#This Row],[Trailer Number]]),DbLinkTable[[#This Row],[Day Received]])</f>
        <v>Company1441473</v>
      </c>
      <c r="X14" s="4">
        <f>DATEVALUE(TEXT(DbLinkTable[[#This Row],[Date Received]],"MMMM YYYY"))</f>
        <v>41456</v>
      </c>
      <c r="Y14" s="4">
        <f>INT(DbLinkTable[[#This Row],[Date Received]])</f>
        <v>41473</v>
      </c>
    </row>
    <row r="15" spans="1:25">
      <c r="A15">
        <v>427</v>
      </c>
      <c r="B15" t="s">
        <v>46</v>
      </c>
      <c r="D15">
        <v>128</v>
      </c>
      <c r="E15" t="s">
        <v>1501</v>
      </c>
      <c r="F15" s="4">
        <v>41473</v>
      </c>
      <c r="G15" s="4" t="s">
        <v>192</v>
      </c>
      <c r="H15" s="4"/>
      <c r="I15" s="4">
        <v>-1</v>
      </c>
      <c r="J15" s="4">
        <v>41484</v>
      </c>
      <c r="K15" s="4">
        <v>0</v>
      </c>
      <c r="L15" s="4"/>
      <c r="M15" s="4"/>
      <c r="N15" s="4"/>
      <c r="O15" s="4">
        <v>0</v>
      </c>
      <c r="P15" s="4">
        <v>41484.630729166667</v>
      </c>
      <c r="Q15" s="4"/>
      <c r="R15" s="4"/>
      <c r="S15" s="79">
        <f>DbLinkTable[[#This Row],[Credit]]+DbLinkTable[[#This Row],[Charge]]</f>
        <v>0</v>
      </c>
      <c r="T15" s="79">
        <f>IF(DbLinkTable[[#This Row],[Price/lb]]*DbLinkTable[[#This Row],[Weight]]&gt;0,DbLinkTable[[#This Row],[Price/lb]]*DbLinkTable[[#This Row],[Weight]],0)</f>
        <v>0</v>
      </c>
      <c r="U15" s="79">
        <f>IF(DbLinkTable[[#This Row],[Price/lb]]*DbLinkTable[[#This Row],[Weight]]&lt;0,DbLinkTable[[#This Row],[Price/lb]]*DbLinkTable[[#This Row],[Weight]],0)</f>
        <v>0</v>
      </c>
      <c r="V15" s="4" t="str">
        <f>IF(COUNTIF($W$2:W15,W15)=1,1,"")</f>
        <v/>
      </c>
      <c r="W15" s="4" t="str">
        <f>CONCATENATE(DbLinkTable[[#This Row],[Customer]],UPPER(DbLinkTable[[#This Row],[Trailer Number]]),DbLinkTable[[#This Row],[Day Received]])</f>
        <v>Company1441473</v>
      </c>
      <c r="X15" s="4">
        <f>DATEVALUE(TEXT(DbLinkTable[[#This Row],[Date Received]],"MMMM YYYY"))</f>
        <v>41456</v>
      </c>
      <c r="Y15" s="4">
        <f>INT(DbLinkTable[[#This Row],[Date Received]])</f>
        <v>41473</v>
      </c>
    </row>
    <row r="16" spans="1:25">
      <c r="A16">
        <v>428</v>
      </c>
      <c r="B16" t="s">
        <v>46</v>
      </c>
      <c r="D16">
        <v>140</v>
      </c>
      <c r="E16" t="s">
        <v>1501</v>
      </c>
      <c r="F16" s="4">
        <v>41473</v>
      </c>
      <c r="G16" s="4" t="s">
        <v>192</v>
      </c>
      <c r="H16" s="4"/>
      <c r="I16" s="4">
        <v>-1</v>
      </c>
      <c r="J16" s="4">
        <v>41484</v>
      </c>
      <c r="K16" s="4">
        <v>0</v>
      </c>
      <c r="L16" s="4"/>
      <c r="M16" s="4"/>
      <c r="N16" s="4"/>
      <c r="O16" s="4">
        <v>0</v>
      </c>
      <c r="P16" s="4">
        <v>41484.630729166667</v>
      </c>
      <c r="Q16" s="4"/>
      <c r="R16" s="4"/>
      <c r="S16" s="79">
        <f>DbLinkTable[[#This Row],[Credit]]+DbLinkTable[[#This Row],[Charge]]</f>
        <v>0</v>
      </c>
      <c r="T16" s="79">
        <f>IF(DbLinkTable[[#This Row],[Price/lb]]*DbLinkTable[[#This Row],[Weight]]&gt;0,DbLinkTable[[#This Row],[Price/lb]]*DbLinkTable[[#This Row],[Weight]],0)</f>
        <v>0</v>
      </c>
      <c r="U16" s="79">
        <f>IF(DbLinkTable[[#This Row],[Price/lb]]*DbLinkTable[[#This Row],[Weight]]&lt;0,DbLinkTable[[#This Row],[Price/lb]]*DbLinkTable[[#This Row],[Weight]],0)</f>
        <v>0</v>
      </c>
      <c r="V16" s="4" t="str">
        <f>IF(COUNTIF($W$2:W16,W16)=1,1,"")</f>
        <v/>
      </c>
      <c r="W16" s="4" t="str">
        <f>CONCATENATE(DbLinkTable[[#This Row],[Customer]],UPPER(DbLinkTable[[#This Row],[Trailer Number]]),DbLinkTable[[#This Row],[Day Received]])</f>
        <v>Company1441473</v>
      </c>
      <c r="X16" s="4">
        <f>DATEVALUE(TEXT(DbLinkTable[[#This Row],[Date Received]],"MMMM YYYY"))</f>
        <v>41456</v>
      </c>
      <c r="Y16" s="4">
        <f>INT(DbLinkTable[[#This Row],[Date Received]])</f>
        <v>41473</v>
      </c>
    </row>
    <row r="17" spans="1:25">
      <c r="A17">
        <v>429</v>
      </c>
      <c r="B17" t="s">
        <v>46</v>
      </c>
      <c r="D17">
        <v>122</v>
      </c>
      <c r="E17" t="s">
        <v>1501</v>
      </c>
      <c r="F17" s="4">
        <v>41473</v>
      </c>
      <c r="G17" s="4" t="s">
        <v>192</v>
      </c>
      <c r="H17" s="4"/>
      <c r="I17" s="4">
        <v>-1</v>
      </c>
      <c r="J17" s="4">
        <v>41484</v>
      </c>
      <c r="K17" s="4">
        <v>0</v>
      </c>
      <c r="L17" s="4"/>
      <c r="M17" s="4"/>
      <c r="N17" s="4"/>
      <c r="O17" s="4">
        <v>0</v>
      </c>
      <c r="P17" s="4">
        <v>41484.630729166667</v>
      </c>
      <c r="Q17" s="4"/>
      <c r="R17" s="4"/>
      <c r="S17" s="79">
        <f>DbLinkTable[[#This Row],[Credit]]+DbLinkTable[[#This Row],[Charge]]</f>
        <v>0</v>
      </c>
      <c r="T17" s="79">
        <f>IF(DbLinkTable[[#This Row],[Price/lb]]*DbLinkTable[[#This Row],[Weight]]&gt;0,DbLinkTable[[#This Row],[Price/lb]]*DbLinkTable[[#This Row],[Weight]],0)</f>
        <v>0</v>
      </c>
      <c r="U17" s="79">
        <f>IF(DbLinkTable[[#This Row],[Price/lb]]*DbLinkTable[[#This Row],[Weight]]&lt;0,DbLinkTable[[#This Row],[Price/lb]]*DbLinkTable[[#This Row],[Weight]],0)</f>
        <v>0</v>
      </c>
      <c r="V17" s="4" t="str">
        <f>IF(COUNTIF($W$2:W17,W17)=1,1,"")</f>
        <v/>
      </c>
      <c r="W17" s="4" t="str">
        <f>CONCATENATE(DbLinkTable[[#This Row],[Customer]],UPPER(DbLinkTable[[#This Row],[Trailer Number]]),DbLinkTable[[#This Row],[Day Received]])</f>
        <v>Company1441473</v>
      </c>
      <c r="X17" s="4">
        <f>DATEVALUE(TEXT(DbLinkTable[[#This Row],[Date Received]],"MMMM YYYY"))</f>
        <v>41456</v>
      </c>
      <c r="Y17" s="4">
        <f>INT(DbLinkTable[[#This Row],[Date Received]])</f>
        <v>41473</v>
      </c>
    </row>
    <row r="18" spans="1:25">
      <c r="A18">
        <v>430</v>
      </c>
      <c r="B18" t="s">
        <v>46</v>
      </c>
      <c r="D18">
        <v>132</v>
      </c>
      <c r="E18" t="s">
        <v>1501</v>
      </c>
      <c r="F18" s="4">
        <v>41473</v>
      </c>
      <c r="G18" s="4" t="s">
        <v>192</v>
      </c>
      <c r="H18" s="4"/>
      <c r="I18" s="4">
        <v>-1</v>
      </c>
      <c r="J18" s="4">
        <v>41484</v>
      </c>
      <c r="K18" s="4">
        <v>0</v>
      </c>
      <c r="L18" s="4"/>
      <c r="M18" s="4"/>
      <c r="N18" s="4"/>
      <c r="O18" s="4">
        <v>0</v>
      </c>
      <c r="P18" s="4">
        <v>41484.630729166667</v>
      </c>
      <c r="Q18" s="4"/>
      <c r="R18" s="4"/>
      <c r="S18" s="79">
        <f>DbLinkTable[[#This Row],[Credit]]+DbLinkTable[[#This Row],[Charge]]</f>
        <v>0</v>
      </c>
      <c r="T18" s="79">
        <f>IF(DbLinkTable[[#This Row],[Price/lb]]*DbLinkTable[[#This Row],[Weight]]&gt;0,DbLinkTable[[#This Row],[Price/lb]]*DbLinkTable[[#This Row],[Weight]],0)</f>
        <v>0</v>
      </c>
      <c r="U18" s="79">
        <f>IF(DbLinkTable[[#This Row],[Price/lb]]*DbLinkTable[[#This Row],[Weight]]&lt;0,DbLinkTable[[#This Row],[Price/lb]]*DbLinkTable[[#This Row],[Weight]],0)</f>
        <v>0</v>
      </c>
      <c r="V18" s="4" t="str">
        <f>IF(COUNTIF($W$2:W18,W18)=1,1,"")</f>
        <v/>
      </c>
      <c r="W18" s="4" t="str">
        <f>CONCATENATE(DbLinkTable[[#This Row],[Customer]],UPPER(DbLinkTable[[#This Row],[Trailer Number]]),DbLinkTable[[#This Row],[Day Received]])</f>
        <v>Company1441473</v>
      </c>
      <c r="X18" s="4">
        <f>DATEVALUE(TEXT(DbLinkTable[[#This Row],[Date Received]],"MMMM YYYY"))</f>
        <v>41456</v>
      </c>
      <c r="Y18" s="4">
        <f>INT(DbLinkTable[[#This Row],[Date Received]])</f>
        <v>41473</v>
      </c>
    </row>
    <row r="19" spans="1:25">
      <c r="A19">
        <v>431</v>
      </c>
      <c r="B19" t="s">
        <v>46</v>
      </c>
      <c r="D19">
        <v>100</v>
      </c>
      <c r="E19" t="s">
        <v>1501</v>
      </c>
      <c r="F19" s="4">
        <v>41473</v>
      </c>
      <c r="G19" s="4" t="s">
        <v>192</v>
      </c>
      <c r="H19" s="4"/>
      <c r="I19" s="4">
        <v>-1</v>
      </c>
      <c r="J19" s="4">
        <v>41484</v>
      </c>
      <c r="K19" s="4">
        <v>0</v>
      </c>
      <c r="L19" s="4"/>
      <c r="M19" s="4"/>
      <c r="N19" s="4"/>
      <c r="O19" s="4">
        <v>0</v>
      </c>
      <c r="P19" s="4">
        <v>41484.630729166667</v>
      </c>
      <c r="Q19" s="4"/>
      <c r="R19" s="4"/>
      <c r="S19" s="79">
        <f>DbLinkTable[[#This Row],[Credit]]+DbLinkTable[[#This Row],[Charge]]</f>
        <v>0</v>
      </c>
      <c r="T19" s="79">
        <f>IF(DbLinkTable[[#This Row],[Price/lb]]*DbLinkTable[[#This Row],[Weight]]&gt;0,DbLinkTable[[#This Row],[Price/lb]]*DbLinkTable[[#This Row],[Weight]],0)</f>
        <v>0</v>
      </c>
      <c r="U19" s="79">
        <f>IF(DbLinkTable[[#This Row],[Price/lb]]*DbLinkTable[[#This Row],[Weight]]&lt;0,DbLinkTable[[#This Row],[Price/lb]]*DbLinkTable[[#This Row],[Weight]],0)</f>
        <v>0</v>
      </c>
      <c r="V19" s="4" t="str">
        <f>IF(COUNTIF($W$2:W19,W19)=1,1,"")</f>
        <v/>
      </c>
      <c r="W19" s="4" t="str">
        <f>CONCATENATE(DbLinkTable[[#This Row],[Customer]],UPPER(DbLinkTable[[#This Row],[Trailer Number]]),DbLinkTable[[#This Row],[Day Received]])</f>
        <v>Company1441473</v>
      </c>
      <c r="X19" s="4">
        <f>DATEVALUE(TEXT(DbLinkTable[[#This Row],[Date Received]],"MMMM YYYY"))</f>
        <v>41456</v>
      </c>
      <c r="Y19" s="4">
        <f>INT(DbLinkTable[[#This Row],[Date Received]])</f>
        <v>41473</v>
      </c>
    </row>
    <row r="20" spans="1:25">
      <c r="A20">
        <v>432</v>
      </c>
      <c r="B20" t="s">
        <v>46</v>
      </c>
      <c r="D20">
        <v>130</v>
      </c>
      <c r="E20" t="s">
        <v>1501</v>
      </c>
      <c r="F20" s="4">
        <v>41473</v>
      </c>
      <c r="G20" s="4" t="s">
        <v>192</v>
      </c>
      <c r="H20" s="4"/>
      <c r="I20" s="4">
        <v>-1</v>
      </c>
      <c r="J20" s="4">
        <v>41484</v>
      </c>
      <c r="K20" s="4">
        <v>0</v>
      </c>
      <c r="L20" s="4"/>
      <c r="M20" s="4"/>
      <c r="N20" s="4"/>
      <c r="O20" s="4">
        <v>0</v>
      </c>
      <c r="P20" s="4">
        <v>41484.630729166667</v>
      </c>
      <c r="Q20" s="4"/>
      <c r="R20" s="4"/>
      <c r="S20" s="79">
        <f>DbLinkTable[[#This Row],[Credit]]+DbLinkTable[[#This Row],[Charge]]</f>
        <v>0</v>
      </c>
      <c r="T20" s="79">
        <f>IF(DbLinkTable[[#This Row],[Price/lb]]*DbLinkTable[[#This Row],[Weight]]&gt;0,DbLinkTable[[#This Row],[Price/lb]]*DbLinkTable[[#This Row],[Weight]],0)</f>
        <v>0</v>
      </c>
      <c r="U20" s="79">
        <f>IF(DbLinkTable[[#This Row],[Price/lb]]*DbLinkTable[[#This Row],[Weight]]&lt;0,DbLinkTable[[#This Row],[Price/lb]]*DbLinkTable[[#This Row],[Weight]],0)</f>
        <v>0</v>
      </c>
      <c r="V20" s="4" t="str">
        <f>IF(COUNTIF($W$2:W20,W20)=1,1,"")</f>
        <v/>
      </c>
      <c r="W20" s="4" t="str">
        <f>CONCATENATE(DbLinkTable[[#This Row],[Customer]],UPPER(DbLinkTable[[#This Row],[Trailer Number]]),DbLinkTable[[#This Row],[Day Received]])</f>
        <v>Company1441473</v>
      </c>
      <c r="X20" s="4">
        <f>DATEVALUE(TEXT(DbLinkTable[[#This Row],[Date Received]],"MMMM YYYY"))</f>
        <v>41456</v>
      </c>
      <c r="Y20" s="4">
        <f>INT(DbLinkTable[[#This Row],[Date Received]])</f>
        <v>41473</v>
      </c>
    </row>
    <row r="21" spans="1:25">
      <c r="A21">
        <v>433</v>
      </c>
      <c r="B21" t="s">
        <v>46</v>
      </c>
      <c r="D21">
        <v>108</v>
      </c>
      <c r="E21" t="s">
        <v>1501</v>
      </c>
      <c r="F21" s="4">
        <v>41473</v>
      </c>
      <c r="G21" s="4" t="s">
        <v>192</v>
      </c>
      <c r="H21" s="4"/>
      <c r="I21" s="4">
        <v>-1</v>
      </c>
      <c r="J21" s="4">
        <v>41484</v>
      </c>
      <c r="K21" s="4">
        <v>0</v>
      </c>
      <c r="L21" s="4"/>
      <c r="M21" s="4"/>
      <c r="N21" s="4"/>
      <c r="O21" s="4">
        <v>0</v>
      </c>
      <c r="P21" s="4">
        <v>41484.630729166667</v>
      </c>
      <c r="Q21" s="4"/>
      <c r="R21" s="4"/>
      <c r="S21" s="79">
        <f>DbLinkTable[[#This Row],[Credit]]+DbLinkTable[[#This Row],[Charge]]</f>
        <v>0</v>
      </c>
      <c r="T21" s="79">
        <f>IF(DbLinkTable[[#This Row],[Price/lb]]*DbLinkTable[[#This Row],[Weight]]&gt;0,DbLinkTable[[#This Row],[Price/lb]]*DbLinkTable[[#This Row],[Weight]],0)</f>
        <v>0</v>
      </c>
      <c r="U21" s="79">
        <f>IF(DbLinkTable[[#This Row],[Price/lb]]*DbLinkTable[[#This Row],[Weight]]&lt;0,DbLinkTable[[#This Row],[Price/lb]]*DbLinkTable[[#This Row],[Weight]],0)</f>
        <v>0</v>
      </c>
      <c r="V21" s="4" t="str">
        <f>IF(COUNTIF($W$2:W21,W21)=1,1,"")</f>
        <v/>
      </c>
      <c r="W21" s="4" t="str">
        <f>CONCATENATE(DbLinkTable[[#This Row],[Customer]],UPPER(DbLinkTable[[#This Row],[Trailer Number]]),DbLinkTable[[#This Row],[Day Received]])</f>
        <v>Company1441473</v>
      </c>
      <c r="X21" s="4">
        <f>DATEVALUE(TEXT(DbLinkTable[[#This Row],[Date Received]],"MMMM YYYY"))</f>
        <v>41456</v>
      </c>
      <c r="Y21" s="4">
        <f>INT(DbLinkTable[[#This Row],[Date Received]])</f>
        <v>41473</v>
      </c>
    </row>
    <row r="22" spans="1:25">
      <c r="A22">
        <v>434</v>
      </c>
      <c r="B22" t="s">
        <v>46</v>
      </c>
      <c r="D22">
        <v>180</v>
      </c>
      <c r="E22" t="s">
        <v>1501</v>
      </c>
      <c r="F22" s="4">
        <v>41473</v>
      </c>
      <c r="G22" s="4" t="s">
        <v>192</v>
      </c>
      <c r="H22" s="4"/>
      <c r="I22" s="4">
        <v>-1</v>
      </c>
      <c r="J22" s="4">
        <v>41484</v>
      </c>
      <c r="K22" s="4">
        <v>0</v>
      </c>
      <c r="L22" s="4"/>
      <c r="M22" s="4"/>
      <c r="N22" s="4"/>
      <c r="O22" s="4">
        <v>0</v>
      </c>
      <c r="P22" s="4">
        <v>41484.630729166667</v>
      </c>
      <c r="Q22" s="4"/>
      <c r="R22" s="4"/>
      <c r="S22" s="79">
        <f>DbLinkTable[[#This Row],[Credit]]+DbLinkTable[[#This Row],[Charge]]</f>
        <v>0</v>
      </c>
      <c r="T22" s="79">
        <f>IF(DbLinkTable[[#This Row],[Price/lb]]*DbLinkTable[[#This Row],[Weight]]&gt;0,DbLinkTable[[#This Row],[Price/lb]]*DbLinkTable[[#This Row],[Weight]],0)</f>
        <v>0</v>
      </c>
      <c r="U22" s="79">
        <f>IF(DbLinkTable[[#This Row],[Price/lb]]*DbLinkTable[[#This Row],[Weight]]&lt;0,DbLinkTable[[#This Row],[Price/lb]]*DbLinkTable[[#This Row],[Weight]],0)</f>
        <v>0</v>
      </c>
      <c r="V22" s="4" t="str">
        <f>IF(COUNTIF($W$2:W22,W22)=1,1,"")</f>
        <v/>
      </c>
      <c r="W22" s="4" t="str">
        <f>CONCATENATE(DbLinkTable[[#This Row],[Customer]],UPPER(DbLinkTable[[#This Row],[Trailer Number]]),DbLinkTable[[#This Row],[Day Received]])</f>
        <v>Company1441473</v>
      </c>
      <c r="X22" s="4">
        <f>DATEVALUE(TEXT(DbLinkTable[[#This Row],[Date Received]],"MMMM YYYY"))</f>
        <v>41456</v>
      </c>
      <c r="Y22" s="4">
        <f>INT(DbLinkTable[[#This Row],[Date Received]])</f>
        <v>41473</v>
      </c>
    </row>
    <row r="23" spans="1:25">
      <c r="A23">
        <v>1822</v>
      </c>
      <c r="B23" t="s">
        <v>45</v>
      </c>
      <c r="D23">
        <v>106</v>
      </c>
      <c r="E23" t="s">
        <v>1504</v>
      </c>
      <c r="F23" s="4">
        <v>41542</v>
      </c>
      <c r="G23" s="4" t="s">
        <v>192</v>
      </c>
      <c r="H23" s="4" t="s">
        <v>1513</v>
      </c>
      <c r="I23" s="4">
        <v>0</v>
      </c>
      <c r="J23" s="4"/>
      <c r="K23" s="4"/>
      <c r="L23" s="4"/>
      <c r="M23" s="4"/>
      <c r="N23" s="4"/>
      <c r="O23" s="4">
        <v>0</v>
      </c>
      <c r="P23" s="4">
        <v>41544.387777777774</v>
      </c>
      <c r="Q23" s="4"/>
      <c r="R23" s="4"/>
      <c r="S23" s="79">
        <f>DbLinkTable[[#This Row],[Credit]]+DbLinkTable[[#This Row],[Charge]]</f>
        <v>0</v>
      </c>
      <c r="T23" s="79">
        <f>IF(DbLinkTable[[#This Row],[Price/lb]]*DbLinkTable[[#This Row],[Weight]]&gt;0,DbLinkTable[[#This Row],[Price/lb]]*DbLinkTable[[#This Row],[Weight]],0)</f>
        <v>0</v>
      </c>
      <c r="U23" s="79">
        <f>IF(DbLinkTable[[#This Row],[Price/lb]]*DbLinkTable[[#This Row],[Weight]]&lt;0,DbLinkTable[[#This Row],[Price/lb]]*DbLinkTable[[#This Row],[Weight]],0)</f>
        <v>0</v>
      </c>
      <c r="V23" s="4">
        <f>IF(COUNTIF($W$2:W23,W23)=1,1,"")</f>
        <v>1</v>
      </c>
      <c r="W23" s="4" t="str">
        <f>CONCATENATE(DbLinkTable[[#This Row],[Customer]],UPPER(DbLinkTable[[#This Row],[Trailer Number]]),DbLinkTable[[#This Row],[Day Received]])</f>
        <v>Company14161541542</v>
      </c>
      <c r="X23" s="4">
        <f>DATEVALUE(TEXT(DbLinkTable[[#This Row],[Date Received]],"MMMM YYYY"))</f>
        <v>41518</v>
      </c>
      <c r="Y23" s="4">
        <f>INT(DbLinkTable[[#This Row],[Date Received]])</f>
        <v>41542</v>
      </c>
    </row>
    <row r="24" spans="1:25">
      <c r="A24">
        <v>1823</v>
      </c>
      <c r="B24" t="s">
        <v>45</v>
      </c>
      <c r="D24">
        <v>99</v>
      </c>
      <c r="E24" t="s">
        <v>1504</v>
      </c>
      <c r="F24" s="4">
        <v>41542</v>
      </c>
      <c r="G24" s="4" t="s">
        <v>192</v>
      </c>
      <c r="H24" s="4" t="s">
        <v>1513</v>
      </c>
      <c r="I24" s="4">
        <v>0</v>
      </c>
      <c r="J24" s="4"/>
      <c r="K24" s="4"/>
      <c r="L24" s="4"/>
      <c r="M24" s="4"/>
      <c r="N24" s="4"/>
      <c r="O24" s="4">
        <v>0</v>
      </c>
      <c r="P24" s="4">
        <v>41544.395995370367</v>
      </c>
      <c r="Q24" s="4"/>
      <c r="R24" s="4"/>
      <c r="S24" s="79">
        <f>DbLinkTable[[#This Row],[Credit]]+DbLinkTable[[#This Row],[Charge]]</f>
        <v>0</v>
      </c>
      <c r="T24" s="79">
        <f>IF(DbLinkTable[[#This Row],[Price/lb]]*DbLinkTable[[#This Row],[Weight]]&gt;0,DbLinkTable[[#This Row],[Price/lb]]*DbLinkTable[[#This Row],[Weight]],0)</f>
        <v>0</v>
      </c>
      <c r="U24" s="79">
        <f>IF(DbLinkTable[[#This Row],[Price/lb]]*DbLinkTable[[#This Row],[Weight]]&lt;0,DbLinkTable[[#This Row],[Price/lb]]*DbLinkTable[[#This Row],[Weight]],0)</f>
        <v>0</v>
      </c>
      <c r="V24" s="4" t="str">
        <f>IF(COUNTIF($W$2:W24,W24)=1,1,"")</f>
        <v/>
      </c>
      <c r="W24" s="4" t="str">
        <f>CONCATENATE(DbLinkTable[[#This Row],[Customer]],UPPER(DbLinkTable[[#This Row],[Trailer Number]]),DbLinkTable[[#This Row],[Day Received]])</f>
        <v>Company14161541542</v>
      </c>
      <c r="X24" s="4">
        <f>DATEVALUE(TEXT(DbLinkTable[[#This Row],[Date Received]],"MMMM YYYY"))</f>
        <v>41518</v>
      </c>
      <c r="Y24" s="4">
        <f>INT(DbLinkTable[[#This Row],[Date Received]])</f>
        <v>41542</v>
      </c>
    </row>
    <row r="25" spans="1:25">
      <c r="A25">
        <v>1824</v>
      </c>
      <c r="B25" t="s">
        <v>45</v>
      </c>
      <c r="D25">
        <v>104</v>
      </c>
      <c r="E25" t="s">
        <v>1504</v>
      </c>
      <c r="F25" s="4">
        <v>41542</v>
      </c>
      <c r="G25" s="4" t="s">
        <v>192</v>
      </c>
      <c r="H25" s="4" t="s">
        <v>1513</v>
      </c>
      <c r="I25" s="4">
        <v>0</v>
      </c>
      <c r="J25" s="4"/>
      <c r="K25" s="4"/>
      <c r="L25" s="4"/>
      <c r="M25" s="4"/>
      <c r="N25" s="4"/>
      <c r="O25" s="4">
        <v>0</v>
      </c>
      <c r="P25" s="4">
        <v>41544.396018518521</v>
      </c>
      <c r="Q25" s="4"/>
      <c r="R25" s="4"/>
      <c r="S25" s="79">
        <f>DbLinkTable[[#This Row],[Credit]]+DbLinkTable[[#This Row],[Charge]]</f>
        <v>0</v>
      </c>
      <c r="T25" s="79">
        <f>IF(DbLinkTable[[#This Row],[Price/lb]]*DbLinkTable[[#This Row],[Weight]]&gt;0,DbLinkTable[[#This Row],[Price/lb]]*DbLinkTable[[#This Row],[Weight]],0)</f>
        <v>0</v>
      </c>
      <c r="U25" s="79">
        <f>IF(DbLinkTable[[#This Row],[Price/lb]]*DbLinkTable[[#This Row],[Weight]]&lt;0,DbLinkTable[[#This Row],[Price/lb]]*DbLinkTable[[#This Row],[Weight]],0)</f>
        <v>0</v>
      </c>
      <c r="V25" s="4" t="str">
        <f>IF(COUNTIF($W$2:W25,W25)=1,1,"")</f>
        <v/>
      </c>
      <c r="W25" s="4" t="str">
        <f>CONCATENATE(DbLinkTable[[#This Row],[Customer]],UPPER(DbLinkTable[[#This Row],[Trailer Number]]),DbLinkTable[[#This Row],[Day Received]])</f>
        <v>Company14161541542</v>
      </c>
      <c r="X25" s="4">
        <f>DATEVALUE(TEXT(DbLinkTable[[#This Row],[Date Received]],"MMMM YYYY"))</f>
        <v>41518</v>
      </c>
      <c r="Y25" s="4">
        <f>INT(DbLinkTable[[#This Row],[Date Received]])</f>
        <v>41542</v>
      </c>
    </row>
    <row r="26" spans="1:25">
      <c r="A26">
        <v>1825</v>
      </c>
      <c r="B26" t="s">
        <v>1527</v>
      </c>
      <c r="D26">
        <v>148</v>
      </c>
      <c r="E26" t="s">
        <v>1504</v>
      </c>
      <c r="F26" s="4">
        <v>41542</v>
      </c>
      <c r="G26" s="4" t="s">
        <v>192</v>
      </c>
      <c r="H26" s="4" t="s">
        <v>1513</v>
      </c>
      <c r="I26" s="4">
        <v>0</v>
      </c>
      <c r="J26" s="4"/>
      <c r="K26" s="4"/>
      <c r="L26" s="4"/>
      <c r="M26" s="4"/>
      <c r="N26" s="4"/>
      <c r="O26" s="4">
        <v>0</v>
      </c>
      <c r="P26" s="4">
        <v>41544.428449074076</v>
      </c>
      <c r="Q26" s="4"/>
      <c r="R26" s="4"/>
      <c r="S26" s="79">
        <f>DbLinkTable[[#This Row],[Credit]]+DbLinkTable[[#This Row],[Charge]]</f>
        <v>0</v>
      </c>
      <c r="T26" s="79">
        <f>IF(DbLinkTable[[#This Row],[Price/lb]]*DbLinkTable[[#This Row],[Weight]]&gt;0,DbLinkTable[[#This Row],[Price/lb]]*DbLinkTable[[#This Row],[Weight]],0)</f>
        <v>0</v>
      </c>
      <c r="U26" s="79">
        <f>IF(DbLinkTable[[#This Row],[Price/lb]]*DbLinkTable[[#This Row],[Weight]]&lt;0,DbLinkTable[[#This Row],[Price/lb]]*DbLinkTable[[#This Row],[Weight]],0)</f>
        <v>0</v>
      </c>
      <c r="V26" s="4" t="str">
        <f>IF(COUNTIF($W$2:W26,W26)=1,1,"")</f>
        <v/>
      </c>
      <c r="W26" s="4" t="str">
        <f>CONCATENATE(DbLinkTable[[#This Row],[Customer]],UPPER(DbLinkTable[[#This Row],[Trailer Number]]),DbLinkTable[[#This Row],[Day Received]])</f>
        <v>Company14161541542</v>
      </c>
      <c r="X26" s="4">
        <f>DATEVALUE(TEXT(DbLinkTable[[#This Row],[Date Received]],"MMMM YYYY"))</f>
        <v>41518</v>
      </c>
      <c r="Y26" s="4">
        <f>INT(DbLinkTable[[#This Row],[Date Received]])</f>
        <v>41542</v>
      </c>
    </row>
    <row r="27" spans="1:25">
      <c r="A27">
        <v>1826</v>
      </c>
      <c r="B27" t="s">
        <v>1527</v>
      </c>
      <c r="D27">
        <v>214</v>
      </c>
      <c r="E27" t="s">
        <v>1504</v>
      </c>
      <c r="F27" s="4">
        <v>41542</v>
      </c>
      <c r="G27" s="4" t="s">
        <v>192</v>
      </c>
      <c r="H27" s="4" t="s">
        <v>1513</v>
      </c>
      <c r="I27" s="4">
        <v>0</v>
      </c>
      <c r="J27" s="4"/>
      <c r="K27" s="4"/>
      <c r="L27" s="4"/>
      <c r="M27" s="4"/>
      <c r="N27" s="4"/>
      <c r="O27" s="4">
        <v>0</v>
      </c>
      <c r="P27" s="4">
        <v>41544.428703703707</v>
      </c>
      <c r="Q27" s="4"/>
      <c r="R27" s="4"/>
      <c r="S27" s="79">
        <f>DbLinkTable[[#This Row],[Credit]]+DbLinkTable[[#This Row],[Charge]]</f>
        <v>0</v>
      </c>
      <c r="T27" s="79">
        <f>IF(DbLinkTable[[#This Row],[Price/lb]]*DbLinkTable[[#This Row],[Weight]]&gt;0,DbLinkTable[[#This Row],[Price/lb]]*DbLinkTable[[#This Row],[Weight]],0)</f>
        <v>0</v>
      </c>
      <c r="U27" s="79">
        <f>IF(DbLinkTable[[#This Row],[Price/lb]]*DbLinkTable[[#This Row],[Weight]]&lt;0,DbLinkTable[[#This Row],[Price/lb]]*DbLinkTable[[#This Row],[Weight]],0)</f>
        <v>0</v>
      </c>
      <c r="V27" s="4" t="str">
        <f>IF(COUNTIF($W$2:W27,W27)=1,1,"")</f>
        <v/>
      </c>
      <c r="W27" s="4" t="str">
        <f>CONCATENATE(DbLinkTable[[#This Row],[Customer]],UPPER(DbLinkTable[[#This Row],[Trailer Number]]),DbLinkTable[[#This Row],[Day Received]])</f>
        <v>Company14161541542</v>
      </c>
      <c r="X27" s="4">
        <f>DATEVALUE(TEXT(DbLinkTable[[#This Row],[Date Received]],"MMMM YYYY"))</f>
        <v>41518</v>
      </c>
      <c r="Y27" s="4">
        <f>INT(DbLinkTable[[#This Row],[Date Received]])</f>
        <v>41542</v>
      </c>
    </row>
    <row r="28" spans="1:25">
      <c r="A28">
        <v>1827</v>
      </c>
      <c r="B28" t="s">
        <v>45</v>
      </c>
      <c r="D28">
        <v>98</v>
      </c>
      <c r="E28" t="s">
        <v>1504</v>
      </c>
      <c r="F28" s="4">
        <v>41542</v>
      </c>
      <c r="G28" s="4" t="s">
        <v>192</v>
      </c>
      <c r="H28" s="4" t="s">
        <v>1513</v>
      </c>
      <c r="I28" s="4">
        <v>0</v>
      </c>
      <c r="J28" s="4"/>
      <c r="K28" s="4"/>
      <c r="L28" s="4"/>
      <c r="M28" s="4"/>
      <c r="N28" s="4"/>
      <c r="O28" s="4">
        <v>0</v>
      </c>
      <c r="P28" s="4">
        <v>41544.458634259259</v>
      </c>
      <c r="Q28" s="4"/>
      <c r="R28" s="4"/>
      <c r="S28" s="79">
        <f>DbLinkTable[[#This Row],[Credit]]+DbLinkTable[[#This Row],[Charge]]</f>
        <v>0</v>
      </c>
      <c r="T28" s="79">
        <f>IF(DbLinkTable[[#This Row],[Price/lb]]*DbLinkTable[[#This Row],[Weight]]&gt;0,DbLinkTable[[#This Row],[Price/lb]]*DbLinkTable[[#This Row],[Weight]],0)</f>
        <v>0</v>
      </c>
      <c r="U28" s="79">
        <f>IF(DbLinkTable[[#This Row],[Price/lb]]*DbLinkTable[[#This Row],[Weight]]&lt;0,DbLinkTable[[#This Row],[Price/lb]]*DbLinkTable[[#This Row],[Weight]],0)</f>
        <v>0</v>
      </c>
      <c r="V28" s="4" t="str">
        <f>IF(COUNTIF($W$2:W28,W28)=1,1,"")</f>
        <v/>
      </c>
      <c r="W28" s="4" t="str">
        <f>CONCATENATE(DbLinkTable[[#This Row],[Customer]],UPPER(DbLinkTable[[#This Row],[Trailer Number]]),DbLinkTable[[#This Row],[Day Received]])</f>
        <v>Company14161541542</v>
      </c>
      <c r="X28" s="4">
        <f>DATEVALUE(TEXT(DbLinkTable[[#This Row],[Date Received]],"MMMM YYYY"))</f>
        <v>41518</v>
      </c>
      <c r="Y28" s="4">
        <f>INT(DbLinkTable[[#This Row],[Date Received]])</f>
        <v>41542</v>
      </c>
    </row>
    <row r="29" spans="1:25">
      <c r="A29">
        <v>1828</v>
      </c>
      <c r="B29" t="s">
        <v>45</v>
      </c>
      <c r="D29">
        <v>94</v>
      </c>
      <c r="E29" t="s">
        <v>1504</v>
      </c>
      <c r="F29" s="4">
        <v>41542</v>
      </c>
      <c r="G29" s="4" t="s">
        <v>192</v>
      </c>
      <c r="H29" s="4" t="s">
        <v>1513</v>
      </c>
      <c r="I29" s="4">
        <v>0</v>
      </c>
      <c r="J29" s="4"/>
      <c r="K29" s="4"/>
      <c r="L29" s="4"/>
      <c r="M29" s="4"/>
      <c r="N29" s="4"/>
      <c r="O29" s="4">
        <v>0</v>
      </c>
      <c r="P29" s="4">
        <v>41544.462083333332</v>
      </c>
      <c r="Q29" s="4"/>
      <c r="R29" s="4"/>
      <c r="S29" s="79">
        <f>DbLinkTable[[#This Row],[Credit]]+DbLinkTable[[#This Row],[Charge]]</f>
        <v>0</v>
      </c>
      <c r="T29" s="79">
        <f>IF(DbLinkTable[[#This Row],[Price/lb]]*DbLinkTable[[#This Row],[Weight]]&gt;0,DbLinkTable[[#This Row],[Price/lb]]*DbLinkTable[[#This Row],[Weight]],0)</f>
        <v>0</v>
      </c>
      <c r="U29" s="79">
        <f>IF(DbLinkTable[[#This Row],[Price/lb]]*DbLinkTable[[#This Row],[Weight]]&lt;0,DbLinkTable[[#This Row],[Price/lb]]*DbLinkTable[[#This Row],[Weight]],0)</f>
        <v>0</v>
      </c>
      <c r="V29" s="4" t="str">
        <f>IF(COUNTIF($W$2:W29,W29)=1,1,"")</f>
        <v/>
      </c>
      <c r="W29" s="4" t="str">
        <f>CONCATENATE(DbLinkTable[[#This Row],[Customer]],UPPER(DbLinkTable[[#This Row],[Trailer Number]]),DbLinkTable[[#This Row],[Day Received]])</f>
        <v>Company14161541542</v>
      </c>
      <c r="X29" s="4">
        <f>DATEVALUE(TEXT(DbLinkTable[[#This Row],[Date Received]],"MMMM YYYY"))</f>
        <v>41518</v>
      </c>
      <c r="Y29" s="4">
        <f>INT(DbLinkTable[[#This Row],[Date Received]])</f>
        <v>41542</v>
      </c>
    </row>
    <row r="30" spans="1:25">
      <c r="A30">
        <v>1829</v>
      </c>
      <c r="B30" t="s">
        <v>46</v>
      </c>
      <c r="D30">
        <v>716</v>
      </c>
      <c r="E30" t="s">
        <v>1504</v>
      </c>
      <c r="F30" s="4">
        <v>41542</v>
      </c>
      <c r="G30" s="4" t="s">
        <v>192</v>
      </c>
      <c r="H30" s="4" t="s">
        <v>1513</v>
      </c>
      <c r="I30" s="4">
        <v>0</v>
      </c>
      <c r="J30" s="4"/>
      <c r="K30" s="4"/>
      <c r="L30" s="4"/>
      <c r="M30" s="4"/>
      <c r="N30" s="4"/>
      <c r="O30" s="4">
        <v>0</v>
      </c>
      <c r="P30" s="4">
        <v>41544.471030092594</v>
      </c>
      <c r="Q30" s="4"/>
      <c r="R30" s="4"/>
      <c r="S30" s="79">
        <f>DbLinkTable[[#This Row],[Credit]]+DbLinkTable[[#This Row],[Charge]]</f>
        <v>0</v>
      </c>
      <c r="T30" s="79">
        <f>IF(DbLinkTable[[#This Row],[Price/lb]]*DbLinkTable[[#This Row],[Weight]]&gt;0,DbLinkTable[[#This Row],[Price/lb]]*DbLinkTable[[#This Row],[Weight]],0)</f>
        <v>0</v>
      </c>
      <c r="U30" s="79">
        <f>IF(DbLinkTable[[#This Row],[Price/lb]]*DbLinkTable[[#This Row],[Weight]]&lt;0,DbLinkTable[[#This Row],[Price/lb]]*DbLinkTable[[#This Row],[Weight]],0)</f>
        <v>0</v>
      </c>
      <c r="V30" s="4" t="str">
        <f>IF(COUNTIF($W$2:W30,W30)=1,1,"")</f>
        <v/>
      </c>
      <c r="W30" s="4" t="str">
        <f>CONCATENATE(DbLinkTable[[#This Row],[Customer]],UPPER(DbLinkTable[[#This Row],[Trailer Number]]),DbLinkTable[[#This Row],[Day Received]])</f>
        <v>Company14161541542</v>
      </c>
      <c r="X30" s="4">
        <f>DATEVALUE(TEXT(DbLinkTable[[#This Row],[Date Received]],"MMMM YYYY"))</f>
        <v>41518</v>
      </c>
      <c r="Y30" s="4">
        <f>INT(DbLinkTable[[#This Row],[Date Received]])</f>
        <v>41542</v>
      </c>
    </row>
    <row r="31" spans="1:25">
      <c r="A31">
        <v>1830</v>
      </c>
      <c r="B31" t="s">
        <v>1502</v>
      </c>
      <c r="D31">
        <v>126</v>
      </c>
      <c r="E31" t="s">
        <v>1504</v>
      </c>
      <c r="F31" s="4">
        <v>41542</v>
      </c>
      <c r="G31" s="4" t="s">
        <v>192</v>
      </c>
      <c r="H31" s="4" t="s">
        <v>1513</v>
      </c>
      <c r="I31" s="4">
        <v>0</v>
      </c>
      <c r="J31" s="4"/>
      <c r="K31" s="4"/>
      <c r="L31" s="4"/>
      <c r="M31" s="4"/>
      <c r="N31" s="4"/>
      <c r="O31" s="4">
        <v>0</v>
      </c>
      <c r="P31" s="4">
        <v>41544.482766203706</v>
      </c>
      <c r="Q31" s="4"/>
      <c r="R31" s="4"/>
      <c r="S31" s="79">
        <f>DbLinkTable[[#This Row],[Credit]]+DbLinkTable[[#This Row],[Charge]]</f>
        <v>0</v>
      </c>
      <c r="T31" s="79">
        <f>IF(DbLinkTable[[#This Row],[Price/lb]]*DbLinkTable[[#This Row],[Weight]]&gt;0,DbLinkTable[[#This Row],[Price/lb]]*DbLinkTable[[#This Row],[Weight]],0)</f>
        <v>0</v>
      </c>
      <c r="U31" s="79">
        <f>IF(DbLinkTable[[#This Row],[Price/lb]]*DbLinkTable[[#This Row],[Weight]]&lt;0,DbLinkTable[[#This Row],[Price/lb]]*DbLinkTable[[#This Row],[Weight]],0)</f>
        <v>0</v>
      </c>
      <c r="V31" s="4" t="str">
        <f>IF(COUNTIF($W$2:W31,W31)=1,1,"")</f>
        <v/>
      </c>
      <c r="W31" s="4" t="str">
        <f>CONCATENATE(DbLinkTable[[#This Row],[Customer]],UPPER(DbLinkTable[[#This Row],[Trailer Number]]),DbLinkTable[[#This Row],[Day Received]])</f>
        <v>Company14161541542</v>
      </c>
      <c r="X31" s="4">
        <f>DATEVALUE(TEXT(DbLinkTable[[#This Row],[Date Received]],"MMMM YYYY"))</f>
        <v>41518</v>
      </c>
      <c r="Y31" s="4">
        <f>INT(DbLinkTable[[#This Row],[Date Received]])</f>
        <v>41542</v>
      </c>
    </row>
    <row r="32" spans="1:25">
      <c r="A32">
        <v>1922</v>
      </c>
      <c r="B32" t="s">
        <v>46</v>
      </c>
      <c r="D32">
        <v>64</v>
      </c>
      <c r="E32" t="s">
        <v>1504</v>
      </c>
      <c r="F32" s="4">
        <v>41548</v>
      </c>
      <c r="G32" s="4" t="s">
        <v>192</v>
      </c>
      <c r="H32" s="4" t="s">
        <v>1513</v>
      </c>
      <c r="I32" s="4">
        <v>0</v>
      </c>
      <c r="J32" s="4"/>
      <c r="K32" s="4"/>
      <c r="L32" s="4"/>
      <c r="M32" s="4"/>
      <c r="N32" s="4"/>
      <c r="O32" s="4">
        <v>0</v>
      </c>
      <c r="P32" s="4">
        <v>41548.626666666663</v>
      </c>
      <c r="Q32" s="4"/>
      <c r="R32" s="4"/>
      <c r="S32" s="79">
        <f>DbLinkTable[[#This Row],[Credit]]+DbLinkTable[[#This Row],[Charge]]</f>
        <v>0</v>
      </c>
      <c r="T32" s="79">
        <f>IF(DbLinkTable[[#This Row],[Price/lb]]*DbLinkTable[[#This Row],[Weight]]&gt;0,DbLinkTable[[#This Row],[Price/lb]]*DbLinkTable[[#This Row],[Weight]],0)</f>
        <v>0</v>
      </c>
      <c r="U32" s="79">
        <f>IF(DbLinkTable[[#This Row],[Price/lb]]*DbLinkTable[[#This Row],[Weight]]&lt;0,DbLinkTable[[#This Row],[Price/lb]]*DbLinkTable[[#This Row],[Weight]],0)</f>
        <v>0</v>
      </c>
      <c r="V32" s="4">
        <f>IF(COUNTIF($W$2:W32,W32)=1,1,"")</f>
        <v>1</v>
      </c>
      <c r="W32" s="4" t="str">
        <f>CONCATENATE(DbLinkTable[[#This Row],[Customer]],UPPER(DbLinkTable[[#This Row],[Trailer Number]]),DbLinkTable[[#This Row],[Day Received]])</f>
        <v>Company14161541548</v>
      </c>
      <c r="X32" s="4">
        <f>DATEVALUE(TEXT(DbLinkTable[[#This Row],[Date Received]],"MMMM YYYY"))</f>
        <v>41548</v>
      </c>
      <c r="Y32" s="4">
        <f>INT(DbLinkTable[[#This Row],[Date Received]])</f>
        <v>41548</v>
      </c>
    </row>
    <row r="33" spans="1:25">
      <c r="A33">
        <v>1923</v>
      </c>
      <c r="B33" t="s">
        <v>1502</v>
      </c>
      <c r="D33">
        <v>168</v>
      </c>
      <c r="E33" t="s">
        <v>1504</v>
      </c>
      <c r="F33" s="4">
        <v>41548</v>
      </c>
      <c r="G33" s="4" t="s">
        <v>192</v>
      </c>
      <c r="H33" s="4" t="s">
        <v>1513</v>
      </c>
      <c r="I33" s="4">
        <v>0</v>
      </c>
      <c r="J33" s="4"/>
      <c r="K33" s="4"/>
      <c r="L33" s="4"/>
      <c r="M33" s="4"/>
      <c r="N33" s="4"/>
      <c r="O33" s="4">
        <v>0</v>
      </c>
      <c r="P33" s="4">
        <v>41548.627199074072</v>
      </c>
      <c r="Q33" s="4"/>
      <c r="R33" s="4"/>
      <c r="S33" s="79">
        <f>DbLinkTable[[#This Row],[Credit]]+DbLinkTable[[#This Row],[Charge]]</f>
        <v>0</v>
      </c>
      <c r="T33" s="79">
        <f>IF(DbLinkTable[[#This Row],[Price/lb]]*DbLinkTable[[#This Row],[Weight]]&gt;0,DbLinkTable[[#This Row],[Price/lb]]*DbLinkTable[[#This Row],[Weight]],0)</f>
        <v>0</v>
      </c>
      <c r="U33" s="79">
        <f>IF(DbLinkTable[[#This Row],[Price/lb]]*DbLinkTable[[#This Row],[Weight]]&lt;0,DbLinkTable[[#This Row],[Price/lb]]*DbLinkTable[[#This Row],[Weight]],0)</f>
        <v>0</v>
      </c>
      <c r="V33" s="4" t="str">
        <f>IF(COUNTIF($W$2:W33,W33)=1,1,"")</f>
        <v/>
      </c>
      <c r="W33" s="4" t="str">
        <f>CONCATENATE(DbLinkTable[[#This Row],[Customer]],UPPER(DbLinkTable[[#This Row],[Trailer Number]]),DbLinkTable[[#This Row],[Day Received]])</f>
        <v>Company14161541548</v>
      </c>
      <c r="X33" s="4">
        <f>DATEVALUE(TEXT(DbLinkTable[[#This Row],[Date Received]],"MMMM YYYY"))</f>
        <v>41548</v>
      </c>
      <c r="Y33" s="4">
        <f>INT(DbLinkTable[[#This Row],[Date Received]])</f>
        <v>41548</v>
      </c>
    </row>
    <row r="34" spans="1:25">
      <c r="A34">
        <v>1924</v>
      </c>
      <c r="B34" t="s">
        <v>1502</v>
      </c>
      <c r="D34">
        <v>214</v>
      </c>
      <c r="E34" t="s">
        <v>1504</v>
      </c>
      <c r="F34" s="4">
        <v>41548</v>
      </c>
      <c r="G34" s="4" t="s">
        <v>192</v>
      </c>
      <c r="H34" s="4" t="s">
        <v>1513</v>
      </c>
      <c r="I34" s="4">
        <v>0</v>
      </c>
      <c r="J34" s="4"/>
      <c r="K34" s="4"/>
      <c r="L34" s="4"/>
      <c r="M34" s="4"/>
      <c r="N34" s="4"/>
      <c r="O34" s="4">
        <v>0</v>
      </c>
      <c r="P34" s="4">
        <v>41548.630474537036</v>
      </c>
      <c r="Q34" s="4"/>
      <c r="R34" s="4"/>
      <c r="S34" s="79">
        <f>DbLinkTable[[#This Row],[Credit]]+DbLinkTable[[#This Row],[Charge]]</f>
        <v>0</v>
      </c>
      <c r="T34" s="79">
        <f>IF(DbLinkTable[[#This Row],[Price/lb]]*DbLinkTable[[#This Row],[Weight]]&gt;0,DbLinkTable[[#This Row],[Price/lb]]*DbLinkTable[[#This Row],[Weight]],0)</f>
        <v>0</v>
      </c>
      <c r="U34" s="79">
        <f>IF(DbLinkTable[[#This Row],[Price/lb]]*DbLinkTable[[#This Row],[Weight]]&lt;0,DbLinkTable[[#This Row],[Price/lb]]*DbLinkTable[[#This Row],[Weight]],0)</f>
        <v>0</v>
      </c>
      <c r="V34" s="4" t="str">
        <f>IF(COUNTIF($W$2:W34,W34)=1,1,"")</f>
        <v/>
      </c>
      <c r="W34" s="4" t="str">
        <f>CONCATENATE(DbLinkTable[[#This Row],[Customer]],UPPER(DbLinkTable[[#This Row],[Trailer Number]]),DbLinkTable[[#This Row],[Day Received]])</f>
        <v>Company14161541548</v>
      </c>
      <c r="X34" s="4">
        <f>DATEVALUE(TEXT(DbLinkTable[[#This Row],[Date Received]],"MMMM YYYY"))</f>
        <v>41548</v>
      </c>
      <c r="Y34" s="4">
        <f>INT(DbLinkTable[[#This Row],[Date Received]])</f>
        <v>41548</v>
      </c>
    </row>
    <row r="35" spans="1:25">
      <c r="A35">
        <v>1925</v>
      </c>
      <c r="B35" t="s">
        <v>43</v>
      </c>
      <c r="D35">
        <v>48</v>
      </c>
      <c r="E35" t="s">
        <v>1504</v>
      </c>
      <c r="F35" s="4">
        <v>41548</v>
      </c>
      <c r="G35" s="4" t="s">
        <v>192</v>
      </c>
      <c r="H35" s="4" t="s">
        <v>1513</v>
      </c>
      <c r="I35" s="4">
        <v>0</v>
      </c>
      <c r="J35" s="4"/>
      <c r="K35" s="4"/>
      <c r="L35" s="4"/>
      <c r="M35" s="4"/>
      <c r="N35" s="4"/>
      <c r="O35" s="4">
        <v>0</v>
      </c>
      <c r="P35" s="4">
        <v>41548.630856481483</v>
      </c>
      <c r="Q35" s="4"/>
      <c r="R35" s="4"/>
      <c r="S35" s="79">
        <f>DbLinkTable[[#This Row],[Credit]]+DbLinkTable[[#This Row],[Charge]]</f>
        <v>0</v>
      </c>
      <c r="T35" s="79">
        <f>IF(DbLinkTable[[#This Row],[Price/lb]]*DbLinkTable[[#This Row],[Weight]]&gt;0,DbLinkTable[[#This Row],[Price/lb]]*DbLinkTable[[#This Row],[Weight]],0)</f>
        <v>0</v>
      </c>
      <c r="U35" s="79">
        <f>IF(DbLinkTable[[#This Row],[Price/lb]]*DbLinkTable[[#This Row],[Weight]]&lt;0,DbLinkTable[[#This Row],[Price/lb]]*DbLinkTable[[#This Row],[Weight]],0)</f>
        <v>0</v>
      </c>
      <c r="V35" s="4" t="str">
        <f>IF(COUNTIF($W$2:W35,W35)=1,1,"")</f>
        <v/>
      </c>
      <c r="W35" s="4" t="str">
        <f>CONCATENATE(DbLinkTable[[#This Row],[Customer]],UPPER(DbLinkTable[[#This Row],[Trailer Number]]),DbLinkTable[[#This Row],[Day Received]])</f>
        <v>Company14161541548</v>
      </c>
      <c r="X35" s="4">
        <f>DATEVALUE(TEXT(DbLinkTable[[#This Row],[Date Received]],"MMMM YYYY"))</f>
        <v>41548</v>
      </c>
      <c r="Y35" s="4">
        <f>INT(DbLinkTable[[#This Row],[Date Received]])</f>
        <v>41548</v>
      </c>
    </row>
    <row r="36" spans="1:25">
      <c r="A36">
        <v>1926</v>
      </c>
      <c r="B36" t="s">
        <v>1527</v>
      </c>
      <c r="D36">
        <v>128</v>
      </c>
      <c r="E36" t="s">
        <v>1504</v>
      </c>
      <c r="F36" s="4">
        <v>41548</v>
      </c>
      <c r="G36" s="4" t="s">
        <v>192</v>
      </c>
      <c r="H36" s="4" t="s">
        <v>1513</v>
      </c>
      <c r="I36" s="4">
        <v>0</v>
      </c>
      <c r="J36" s="4"/>
      <c r="K36" s="4"/>
      <c r="L36" s="4"/>
      <c r="M36" s="4"/>
      <c r="N36" s="4"/>
      <c r="O36" s="4">
        <v>0</v>
      </c>
      <c r="P36" s="4">
        <v>41548.631203703706</v>
      </c>
      <c r="Q36" s="4"/>
      <c r="R36" s="4"/>
      <c r="S36" s="79">
        <f>DbLinkTable[[#This Row],[Credit]]+DbLinkTable[[#This Row],[Charge]]</f>
        <v>0</v>
      </c>
      <c r="T36" s="79">
        <f>IF(DbLinkTable[[#This Row],[Price/lb]]*DbLinkTable[[#This Row],[Weight]]&gt;0,DbLinkTable[[#This Row],[Price/lb]]*DbLinkTable[[#This Row],[Weight]],0)</f>
        <v>0</v>
      </c>
      <c r="U36" s="79">
        <f>IF(DbLinkTable[[#This Row],[Price/lb]]*DbLinkTable[[#This Row],[Weight]]&lt;0,DbLinkTable[[#This Row],[Price/lb]]*DbLinkTable[[#This Row],[Weight]],0)</f>
        <v>0</v>
      </c>
      <c r="V36" s="4" t="str">
        <f>IF(COUNTIF($W$2:W36,W36)=1,1,"")</f>
        <v/>
      </c>
      <c r="W36" s="4" t="str">
        <f>CONCATENATE(DbLinkTable[[#This Row],[Customer]],UPPER(DbLinkTable[[#This Row],[Trailer Number]]),DbLinkTable[[#This Row],[Day Received]])</f>
        <v>Company14161541548</v>
      </c>
      <c r="X36" s="4">
        <f>DATEVALUE(TEXT(DbLinkTable[[#This Row],[Date Received]],"MMMM YYYY"))</f>
        <v>41548</v>
      </c>
      <c r="Y36" s="4">
        <f>INT(DbLinkTable[[#This Row],[Date Received]])</f>
        <v>41548</v>
      </c>
    </row>
    <row r="37" spans="1:25">
      <c r="A37">
        <v>1927</v>
      </c>
      <c r="B37" t="s">
        <v>1527</v>
      </c>
      <c r="D37">
        <v>130</v>
      </c>
      <c r="E37" t="s">
        <v>1504</v>
      </c>
      <c r="F37" s="4">
        <v>41548</v>
      </c>
      <c r="G37" s="4" t="s">
        <v>192</v>
      </c>
      <c r="H37" s="4" t="s">
        <v>1513</v>
      </c>
      <c r="I37" s="4">
        <v>0</v>
      </c>
      <c r="J37" s="4"/>
      <c r="K37" s="4"/>
      <c r="L37" s="4"/>
      <c r="M37" s="4"/>
      <c r="N37" s="4"/>
      <c r="O37" s="4">
        <v>0</v>
      </c>
      <c r="P37" s="4">
        <v>41548.631620370368</v>
      </c>
      <c r="Q37" s="4"/>
      <c r="R37" s="4"/>
      <c r="S37" s="79">
        <f>DbLinkTable[[#This Row],[Credit]]+DbLinkTable[[#This Row],[Charge]]</f>
        <v>0</v>
      </c>
      <c r="T37" s="79">
        <f>IF(DbLinkTable[[#This Row],[Price/lb]]*DbLinkTable[[#This Row],[Weight]]&gt;0,DbLinkTable[[#This Row],[Price/lb]]*DbLinkTable[[#This Row],[Weight]],0)</f>
        <v>0</v>
      </c>
      <c r="U37" s="79">
        <f>IF(DbLinkTable[[#This Row],[Price/lb]]*DbLinkTable[[#This Row],[Weight]]&lt;0,DbLinkTable[[#This Row],[Price/lb]]*DbLinkTable[[#This Row],[Weight]],0)</f>
        <v>0</v>
      </c>
      <c r="V37" s="4" t="str">
        <f>IF(COUNTIF($W$2:W37,W37)=1,1,"")</f>
        <v/>
      </c>
      <c r="W37" s="4" t="str">
        <f>CONCATENATE(DbLinkTable[[#This Row],[Customer]],UPPER(DbLinkTable[[#This Row],[Trailer Number]]),DbLinkTable[[#This Row],[Day Received]])</f>
        <v>Company14161541548</v>
      </c>
      <c r="X37" s="4">
        <f>DATEVALUE(TEXT(DbLinkTable[[#This Row],[Date Received]],"MMMM YYYY"))</f>
        <v>41548</v>
      </c>
      <c r="Y37" s="4">
        <f>INT(DbLinkTable[[#This Row],[Date Received]])</f>
        <v>41548</v>
      </c>
    </row>
    <row r="38" spans="1:25">
      <c r="A38">
        <v>1928</v>
      </c>
      <c r="B38" t="s">
        <v>1508</v>
      </c>
      <c r="D38">
        <v>56</v>
      </c>
      <c r="E38" t="s">
        <v>1504</v>
      </c>
      <c r="F38" s="4">
        <v>41548</v>
      </c>
      <c r="G38" s="4" t="s">
        <v>192</v>
      </c>
      <c r="H38" s="4" t="s">
        <v>1513</v>
      </c>
      <c r="I38" s="4">
        <v>0</v>
      </c>
      <c r="J38" s="4"/>
      <c r="K38" s="4"/>
      <c r="L38" s="4"/>
      <c r="M38" s="4"/>
      <c r="N38" s="4"/>
      <c r="O38" s="4">
        <v>0</v>
      </c>
      <c r="P38" s="4">
        <v>41548.632094907407</v>
      </c>
      <c r="Q38" s="4"/>
      <c r="R38" s="4"/>
      <c r="S38" s="79">
        <f>DbLinkTable[[#This Row],[Credit]]+DbLinkTable[[#This Row],[Charge]]</f>
        <v>0</v>
      </c>
      <c r="T38" s="79">
        <f>IF(DbLinkTable[[#This Row],[Price/lb]]*DbLinkTable[[#This Row],[Weight]]&gt;0,DbLinkTable[[#This Row],[Price/lb]]*DbLinkTable[[#This Row],[Weight]],0)</f>
        <v>0</v>
      </c>
      <c r="U38" s="79">
        <f>IF(DbLinkTable[[#This Row],[Price/lb]]*DbLinkTable[[#This Row],[Weight]]&lt;0,DbLinkTable[[#This Row],[Price/lb]]*DbLinkTable[[#This Row],[Weight]],0)</f>
        <v>0</v>
      </c>
      <c r="V38" s="4" t="str">
        <f>IF(COUNTIF($W$2:W38,W38)=1,1,"")</f>
        <v/>
      </c>
      <c r="W38" s="4" t="str">
        <f>CONCATENATE(DbLinkTable[[#This Row],[Customer]],UPPER(DbLinkTable[[#This Row],[Trailer Number]]),DbLinkTable[[#This Row],[Day Received]])</f>
        <v>Company14161541548</v>
      </c>
      <c r="X38" s="4">
        <f>DATEVALUE(TEXT(DbLinkTable[[#This Row],[Date Received]],"MMMM YYYY"))</f>
        <v>41548</v>
      </c>
      <c r="Y38" s="4">
        <f>INT(DbLinkTable[[#This Row],[Date Received]])</f>
        <v>41548</v>
      </c>
    </row>
    <row r="39" spans="1:25">
      <c r="A39">
        <v>1929</v>
      </c>
      <c r="B39" t="s">
        <v>46</v>
      </c>
      <c r="D39">
        <v>138</v>
      </c>
      <c r="E39" t="s">
        <v>1504</v>
      </c>
      <c r="F39" s="4">
        <v>41548</v>
      </c>
      <c r="G39" s="4" t="s">
        <v>192</v>
      </c>
      <c r="H39" s="4" t="s">
        <v>1513</v>
      </c>
      <c r="I39" s="4">
        <v>0</v>
      </c>
      <c r="J39" s="4"/>
      <c r="K39" s="4"/>
      <c r="L39" s="4"/>
      <c r="M39" s="4"/>
      <c r="N39" s="4"/>
      <c r="O39" s="4">
        <v>0</v>
      </c>
      <c r="P39" s="4">
        <v>41548.632523148146</v>
      </c>
      <c r="Q39" s="4"/>
      <c r="R39" s="4"/>
      <c r="S39" s="79">
        <f>DbLinkTable[[#This Row],[Credit]]+DbLinkTable[[#This Row],[Charge]]</f>
        <v>0</v>
      </c>
      <c r="T39" s="79">
        <f>IF(DbLinkTable[[#This Row],[Price/lb]]*DbLinkTable[[#This Row],[Weight]]&gt;0,DbLinkTable[[#This Row],[Price/lb]]*DbLinkTable[[#This Row],[Weight]],0)</f>
        <v>0</v>
      </c>
      <c r="U39" s="79">
        <f>IF(DbLinkTable[[#This Row],[Price/lb]]*DbLinkTable[[#This Row],[Weight]]&lt;0,DbLinkTable[[#This Row],[Price/lb]]*DbLinkTable[[#This Row],[Weight]],0)</f>
        <v>0</v>
      </c>
      <c r="V39" s="4" t="str">
        <f>IF(COUNTIF($W$2:W39,W39)=1,1,"")</f>
        <v/>
      </c>
      <c r="W39" s="4" t="str">
        <f>CONCATENATE(DbLinkTable[[#This Row],[Customer]],UPPER(DbLinkTable[[#This Row],[Trailer Number]]),DbLinkTable[[#This Row],[Day Received]])</f>
        <v>Company14161541548</v>
      </c>
      <c r="X39" s="4">
        <f>DATEVALUE(TEXT(DbLinkTable[[#This Row],[Date Received]],"MMMM YYYY"))</f>
        <v>41548</v>
      </c>
      <c r="Y39" s="4">
        <f>INT(DbLinkTable[[#This Row],[Date Received]])</f>
        <v>41548</v>
      </c>
    </row>
    <row r="40" spans="1:25">
      <c r="A40">
        <v>1930</v>
      </c>
      <c r="B40" t="s">
        <v>46</v>
      </c>
      <c r="D40">
        <v>140</v>
      </c>
      <c r="E40" t="s">
        <v>1504</v>
      </c>
      <c r="F40" s="4">
        <v>41548</v>
      </c>
      <c r="G40" s="4" t="s">
        <v>192</v>
      </c>
      <c r="H40" s="4" t="s">
        <v>1513</v>
      </c>
      <c r="I40" s="4">
        <v>0</v>
      </c>
      <c r="J40" s="4"/>
      <c r="K40" s="4"/>
      <c r="L40" s="4"/>
      <c r="M40" s="4"/>
      <c r="N40" s="4"/>
      <c r="O40" s="4">
        <v>0</v>
      </c>
      <c r="P40" s="4">
        <v>41548.632800925923</v>
      </c>
      <c r="Q40" s="4"/>
      <c r="R40" s="4"/>
      <c r="S40" s="79">
        <f>DbLinkTable[[#This Row],[Credit]]+DbLinkTable[[#This Row],[Charge]]</f>
        <v>0</v>
      </c>
      <c r="T40" s="79">
        <f>IF(DbLinkTable[[#This Row],[Price/lb]]*DbLinkTable[[#This Row],[Weight]]&gt;0,DbLinkTable[[#This Row],[Price/lb]]*DbLinkTable[[#This Row],[Weight]],0)</f>
        <v>0</v>
      </c>
      <c r="U40" s="79">
        <f>IF(DbLinkTable[[#This Row],[Price/lb]]*DbLinkTable[[#This Row],[Weight]]&lt;0,DbLinkTable[[#This Row],[Price/lb]]*DbLinkTable[[#This Row],[Weight]],0)</f>
        <v>0</v>
      </c>
      <c r="V40" s="4" t="str">
        <f>IF(COUNTIF($W$2:W40,W40)=1,1,"")</f>
        <v/>
      </c>
      <c r="W40" s="4" t="str">
        <f>CONCATENATE(DbLinkTable[[#This Row],[Customer]],UPPER(DbLinkTable[[#This Row],[Trailer Number]]),DbLinkTable[[#This Row],[Day Received]])</f>
        <v>Company14161541548</v>
      </c>
      <c r="X40" s="4">
        <f>DATEVALUE(TEXT(DbLinkTable[[#This Row],[Date Received]],"MMMM YYYY"))</f>
        <v>41548</v>
      </c>
      <c r="Y40" s="4">
        <f>INT(DbLinkTable[[#This Row],[Date Received]])</f>
        <v>41548</v>
      </c>
    </row>
    <row r="41" spans="1:25">
      <c r="A41">
        <v>1931</v>
      </c>
      <c r="B41" t="s">
        <v>46</v>
      </c>
      <c r="D41">
        <v>138</v>
      </c>
      <c r="E41" t="s">
        <v>1504</v>
      </c>
      <c r="F41" s="4">
        <v>41548</v>
      </c>
      <c r="G41" s="4" t="s">
        <v>192</v>
      </c>
      <c r="H41" s="4" t="s">
        <v>1513</v>
      </c>
      <c r="I41" s="4">
        <v>0</v>
      </c>
      <c r="J41" s="4"/>
      <c r="K41" s="4"/>
      <c r="L41" s="4"/>
      <c r="M41" s="4"/>
      <c r="N41" s="4"/>
      <c r="O41" s="4">
        <v>0</v>
      </c>
      <c r="P41" s="4">
        <v>41548.633136574077</v>
      </c>
      <c r="Q41" s="4"/>
      <c r="R41" s="4"/>
      <c r="S41" s="79">
        <f>DbLinkTable[[#This Row],[Credit]]+DbLinkTable[[#This Row],[Charge]]</f>
        <v>0</v>
      </c>
      <c r="T41" s="79">
        <f>IF(DbLinkTable[[#This Row],[Price/lb]]*DbLinkTable[[#This Row],[Weight]]&gt;0,DbLinkTable[[#This Row],[Price/lb]]*DbLinkTable[[#This Row],[Weight]],0)</f>
        <v>0</v>
      </c>
      <c r="U41" s="79">
        <f>IF(DbLinkTable[[#This Row],[Price/lb]]*DbLinkTable[[#This Row],[Weight]]&lt;0,DbLinkTable[[#This Row],[Price/lb]]*DbLinkTable[[#This Row],[Weight]],0)</f>
        <v>0</v>
      </c>
      <c r="V41" s="4" t="str">
        <f>IF(COUNTIF($W$2:W41,W41)=1,1,"")</f>
        <v/>
      </c>
      <c r="W41" s="4" t="str">
        <f>CONCATENATE(DbLinkTable[[#This Row],[Customer]],UPPER(DbLinkTable[[#This Row],[Trailer Number]]),DbLinkTable[[#This Row],[Day Received]])</f>
        <v>Company14161541548</v>
      </c>
      <c r="X41" s="4">
        <f>DATEVALUE(TEXT(DbLinkTable[[#This Row],[Date Received]],"MMMM YYYY"))</f>
        <v>41548</v>
      </c>
      <c r="Y41" s="4">
        <f>INT(DbLinkTable[[#This Row],[Date Received]])</f>
        <v>41548</v>
      </c>
    </row>
    <row r="42" spans="1:25">
      <c r="A42">
        <v>1932</v>
      </c>
      <c r="B42" t="s">
        <v>46</v>
      </c>
      <c r="D42">
        <v>124</v>
      </c>
      <c r="E42" t="s">
        <v>1504</v>
      </c>
      <c r="F42" s="4">
        <v>41548</v>
      </c>
      <c r="G42" s="4" t="s">
        <v>192</v>
      </c>
      <c r="H42" s="4" t="s">
        <v>1513</v>
      </c>
      <c r="I42" s="4">
        <v>0</v>
      </c>
      <c r="J42" s="4"/>
      <c r="K42" s="4"/>
      <c r="L42" s="4"/>
      <c r="M42" s="4"/>
      <c r="N42" s="4"/>
      <c r="O42" s="4">
        <v>0</v>
      </c>
      <c r="P42" s="4">
        <v>41548.633414351854</v>
      </c>
      <c r="Q42" s="4"/>
      <c r="R42" s="4"/>
      <c r="S42" s="79">
        <f>DbLinkTable[[#This Row],[Credit]]+DbLinkTable[[#This Row],[Charge]]</f>
        <v>0</v>
      </c>
      <c r="T42" s="79">
        <f>IF(DbLinkTable[[#This Row],[Price/lb]]*DbLinkTable[[#This Row],[Weight]]&gt;0,DbLinkTable[[#This Row],[Price/lb]]*DbLinkTable[[#This Row],[Weight]],0)</f>
        <v>0</v>
      </c>
      <c r="U42" s="79">
        <f>IF(DbLinkTable[[#This Row],[Price/lb]]*DbLinkTable[[#This Row],[Weight]]&lt;0,DbLinkTable[[#This Row],[Price/lb]]*DbLinkTable[[#This Row],[Weight]],0)</f>
        <v>0</v>
      </c>
      <c r="V42" s="4" t="str">
        <f>IF(COUNTIF($W$2:W42,W42)=1,1,"")</f>
        <v/>
      </c>
      <c r="W42" s="4" t="str">
        <f>CONCATENATE(DbLinkTable[[#This Row],[Customer]],UPPER(DbLinkTable[[#This Row],[Trailer Number]]),DbLinkTable[[#This Row],[Day Received]])</f>
        <v>Company14161541548</v>
      </c>
      <c r="X42" s="4">
        <f>DATEVALUE(TEXT(DbLinkTable[[#This Row],[Date Received]],"MMMM YYYY"))</f>
        <v>41548</v>
      </c>
      <c r="Y42" s="4">
        <f>INT(DbLinkTable[[#This Row],[Date Received]])</f>
        <v>41548</v>
      </c>
    </row>
    <row r="43" spans="1:25">
      <c r="A43">
        <v>1933</v>
      </c>
      <c r="B43" t="s">
        <v>46</v>
      </c>
      <c r="D43">
        <v>124</v>
      </c>
      <c r="E43" t="s">
        <v>1504</v>
      </c>
      <c r="F43" s="4">
        <v>41548</v>
      </c>
      <c r="G43" s="4" t="s">
        <v>192</v>
      </c>
      <c r="H43" s="4" t="s">
        <v>1513</v>
      </c>
      <c r="I43" s="4">
        <v>0</v>
      </c>
      <c r="J43" s="4"/>
      <c r="K43" s="4"/>
      <c r="L43" s="4"/>
      <c r="M43" s="4"/>
      <c r="N43" s="4"/>
      <c r="O43" s="4">
        <v>0</v>
      </c>
      <c r="P43" s="4">
        <v>41548.633819444447</v>
      </c>
      <c r="Q43" s="4"/>
      <c r="R43" s="4"/>
      <c r="S43" s="79">
        <f>DbLinkTable[[#This Row],[Credit]]+DbLinkTable[[#This Row],[Charge]]</f>
        <v>0</v>
      </c>
      <c r="T43" s="79">
        <f>IF(DbLinkTable[[#This Row],[Price/lb]]*DbLinkTable[[#This Row],[Weight]]&gt;0,DbLinkTable[[#This Row],[Price/lb]]*DbLinkTable[[#This Row],[Weight]],0)</f>
        <v>0</v>
      </c>
      <c r="U43" s="79">
        <f>IF(DbLinkTable[[#This Row],[Price/lb]]*DbLinkTable[[#This Row],[Weight]]&lt;0,DbLinkTable[[#This Row],[Price/lb]]*DbLinkTable[[#This Row],[Weight]],0)</f>
        <v>0</v>
      </c>
      <c r="V43" s="4" t="str">
        <f>IF(COUNTIF($W$2:W43,W43)=1,1,"")</f>
        <v/>
      </c>
      <c r="W43" s="4" t="str">
        <f>CONCATENATE(DbLinkTable[[#This Row],[Customer]],UPPER(DbLinkTable[[#This Row],[Trailer Number]]),DbLinkTable[[#This Row],[Day Received]])</f>
        <v>Company14161541548</v>
      </c>
      <c r="X43" s="4">
        <f>DATEVALUE(TEXT(DbLinkTable[[#This Row],[Date Received]],"MMMM YYYY"))</f>
        <v>41548</v>
      </c>
      <c r="Y43" s="4">
        <f>INT(DbLinkTable[[#This Row],[Date Received]])</f>
        <v>41548</v>
      </c>
    </row>
    <row r="44" spans="1:25">
      <c r="A44">
        <v>1934</v>
      </c>
      <c r="B44" t="s">
        <v>46</v>
      </c>
      <c r="D44">
        <v>146</v>
      </c>
      <c r="E44" t="s">
        <v>1504</v>
      </c>
      <c r="F44" s="4">
        <v>41548</v>
      </c>
      <c r="G44" s="4" t="s">
        <v>192</v>
      </c>
      <c r="H44" s="4" t="s">
        <v>1513</v>
      </c>
      <c r="I44" s="4">
        <v>0</v>
      </c>
      <c r="J44" s="4"/>
      <c r="K44" s="4"/>
      <c r="L44" s="4"/>
      <c r="M44" s="4"/>
      <c r="N44" s="4"/>
      <c r="O44" s="4">
        <v>0</v>
      </c>
      <c r="P44" s="4">
        <v>41548.634155092594</v>
      </c>
      <c r="Q44" s="4"/>
      <c r="R44" s="4"/>
      <c r="S44" s="79">
        <f>DbLinkTable[[#This Row],[Credit]]+DbLinkTable[[#This Row],[Charge]]</f>
        <v>0</v>
      </c>
      <c r="T44" s="79">
        <f>IF(DbLinkTable[[#This Row],[Price/lb]]*DbLinkTable[[#This Row],[Weight]]&gt;0,DbLinkTable[[#This Row],[Price/lb]]*DbLinkTable[[#This Row],[Weight]],0)</f>
        <v>0</v>
      </c>
      <c r="U44" s="79">
        <f>IF(DbLinkTable[[#This Row],[Price/lb]]*DbLinkTable[[#This Row],[Weight]]&lt;0,DbLinkTable[[#This Row],[Price/lb]]*DbLinkTable[[#This Row],[Weight]],0)</f>
        <v>0</v>
      </c>
      <c r="V44" s="4" t="str">
        <f>IF(COUNTIF($W$2:W44,W44)=1,1,"")</f>
        <v/>
      </c>
      <c r="W44" s="4" t="str">
        <f>CONCATENATE(DbLinkTable[[#This Row],[Customer]],UPPER(DbLinkTable[[#This Row],[Trailer Number]]),DbLinkTable[[#This Row],[Day Received]])</f>
        <v>Company14161541548</v>
      </c>
      <c r="X44" s="4">
        <f>DATEVALUE(TEXT(DbLinkTable[[#This Row],[Date Received]],"MMMM YYYY"))</f>
        <v>41548</v>
      </c>
      <c r="Y44" s="4">
        <f>INT(DbLinkTable[[#This Row],[Date Received]])</f>
        <v>41548</v>
      </c>
    </row>
    <row r="45" spans="1:25">
      <c r="A45">
        <v>1935</v>
      </c>
      <c r="B45" t="s">
        <v>46</v>
      </c>
      <c r="D45">
        <v>140</v>
      </c>
      <c r="E45" t="s">
        <v>1504</v>
      </c>
      <c r="F45" s="4">
        <v>41548</v>
      </c>
      <c r="G45" s="4" t="s">
        <v>192</v>
      </c>
      <c r="H45" s="4" t="s">
        <v>1513</v>
      </c>
      <c r="I45" s="4">
        <v>0</v>
      </c>
      <c r="J45" s="4"/>
      <c r="K45" s="4"/>
      <c r="L45" s="4"/>
      <c r="M45" s="4"/>
      <c r="N45" s="4"/>
      <c r="O45" s="4">
        <v>0</v>
      </c>
      <c r="P45" s="4">
        <v>41548.634456018517</v>
      </c>
      <c r="Q45" s="4"/>
      <c r="R45" s="4"/>
      <c r="S45" s="79">
        <f>DbLinkTable[[#This Row],[Credit]]+DbLinkTable[[#This Row],[Charge]]</f>
        <v>0</v>
      </c>
      <c r="T45" s="79">
        <f>IF(DbLinkTable[[#This Row],[Price/lb]]*DbLinkTable[[#This Row],[Weight]]&gt;0,DbLinkTable[[#This Row],[Price/lb]]*DbLinkTable[[#This Row],[Weight]],0)</f>
        <v>0</v>
      </c>
      <c r="U45" s="79">
        <f>IF(DbLinkTable[[#This Row],[Price/lb]]*DbLinkTable[[#This Row],[Weight]]&lt;0,DbLinkTable[[#This Row],[Price/lb]]*DbLinkTable[[#This Row],[Weight]],0)</f>
        <v>0</v>
      </c>
      <c r="V45" s="4" t="str">
        <f>IF(COUNTIF($W$2:W45,W45)=1,1,"")</f>
        <v/>
      </c>
      <c r="W45" s="4" t="str">
        <f>CONCATENATE(DbLinkTable[[#This Row],[Customer]],UPPER(DbLinkTable[[#This Row],[Trailer Number]]),DbLinkTable[[#This Row],[Day Received]])</f>
        <v>Company14161541548</v>
      </c>
      <c r="X45" s="4">
        <f>DATEVALUE(TEXT(DbLinkTable[[#This Row],[Date Received]],"MMMM YYYY"))</f>
        <v>41548</v>
      </c>
      <c r="Y45" s="4">
        <f>INT(DbLinkTable[[#This Row],[Date Received]])</f>
        <v>41548</v>
      </c>
    </row>
    <row r="46" spans="1:25">
      <c r="A46">
        <v>1936</v>
      </c>
      <c r="B46" t="s">
        <v>46</v>
      </c>
      <c r="D46">
        <v>104</v>
      </c>
      <c r="E46" t="s">
        <v>1504</v>
      </c>
      <c r="F46" s="4">
        <v>41548</v>
      </c>
      <c r="G46" s="4" t="s">
        <v>192</v>
      </c>
      <c r="H46" s="4" t="s">
        <v>1513</v>
      </c>
      <c r="I46" s="4">
        <v>0</v>
      </c>
      <c r="J46" s="4"/>
      <c r="K46" s="4"/>
      <c r="L46" s="4"/>
      <c r="M46" s="4"/>
      <c r="N46" s="4"/>
      <c r="O46" s="4">
        <v>0</v>
      </c>
      <c r="P46" s="4">
        <v>41548.634733796294</v>
      </c>
      <c r="Q46" s="4"/>
      <c r="R46" s="4"/>
      <c r="S46" s="79">
        <f>DbLinkTable[[#This Row],[Credit]]+DbLinkTable[[#This Row],[Charge]]</f>
        <v>0</v>
      </c>
      <c r="T46" s="79">
        <f>IF(DbLinkTable[[#This Row],[Price/lb]]*DbLinkTable[[#This Row],[Weight]]&gt;0,DbLinkTable[[#This Row],[Price/lb]]*DbLinkTable[[#This Row],[Weight]],0)</f>
        <v>0</v>
      </c>
      <c r="U46" s="79">
        <f>IF(DbLinkTable[[#This Row],[Price/lb]]*DbLinkTable[[#This Row],[Weight]]&lt;0,DbLinkTable[[#This Row],[Price/lb]]*DbLinkTable[[#This Row],[Weight]],0)</f>
        <v>0</v>
      </c>
      <c r="V46" s="4" t="str">
        <f>IF(COUNTIF($W$2:W46,W46)=1,1,"")</f>
        <v/>
      </c>
      <c r="W46" s="4" t="str">
        <f>CONCATENATE(DbLinkTable[[#This Row],[Customer]],UPPER(DbLinkTable[[#This Row],[Trailer Number]]),DbLinkTable[[#This Row],[Day Received]])</f>
        <v>Company14161541548</v>
      </c>
      <c r="X46" s="4">
        <f>DATEVALUE(TEXT(DbLinkTable[[#This Row],[Date Received]],"MMMM YYYY"))</f>
        <v>41548</v>
      </c>
      <c r="Y46" s="4">
        <f>INT(DbLinkTable[[#This Row],[Date Received]])</f>
        <v>41548</v>
      </c>
    </row>
    <row r="47" spans="1:25">
      <c r="A47">
        <v>1937</v>
      </c>
      <c r="B47" t="s">
        <v>46</v>
      </c>
      <c r="D47">
        <v>148</v>
      </c>
      <c r="E47" t="s">
        <v>1504</v>
      </c>
      <c r="F47" s="4">
        <v>41548</v>
      </c>
      <c r="G47" s="4" t="s">
        <v>192</v>
      </c>
      <c r="H47" s="4" t="s">
        <v>1513</v>
      </c>
      <c r="I47" s="4">
        <v>0</v>
      </c>
      <c r="J47" s="4"/>
      <c r="K47" s="4"/>
      <c r="L47" s="4"/>
      <c r="M47" s="4"/>
      <c r="N47" s="4"/>
      <c r="O47" s="4">
        <v>0</v>
      </c>
      <c r="P47" s="4">
        <v>41548.635000000002</v>
      </c>
      <c r="Q47" s="4"/>
      <c r="R47" s="4"/>
      <c r="S47" s="79">
        <f>DbLinkTable[[#This Row],[Credit]]+DbLinkTable[[#This Row],[Charge]]</f>
        <v>0</v>
      </c>
      <c r="T47" s="79">
        <f>IF(DbLinkTable[[#This Row],[Price/lb]]*DbLinkTable[[#This Row],[Weight]]&gt;0,DbLinkTable[[#This Row],[Price/lb]]*DbLinkTable[[#This Row],[Weight]],0)</f>
        <v>0</v>
      </c>
      <c r="U47" s="79">
        <f>IF(DbLinkTable[[#This Row],[Price/lb]]*DbLinkTable[[#This Row],[Weight]]&lt;0,DbLinkTable[[#This Row],[Price/lb]]*DbLinkTable[[#This Row],[Weight]],0)</f>
        <v>0</v>
      </c>
      <c r="V47" s="4" t="str">
        <f>IF(COUNTIF($W$2:W47,W47)=1,1,"")</f>
        <v/>
      </c>
      <c r="W47" s="4" t="str">
        <f>CONCATENATE(DbLinkTable[[#This Row],[Customer]],UPPER(DbLinkTable[[#This Row],[Trailer Number]]),DbLinkTable[[#This Row],[Day Received]])</f>
        <v>Company14161541548</v>
      </c>
      <c r="X47" s="4">
        <f>DATEVALUE(TEXT(DbLinkTable[[#This Row],[Date Received]],"MMMM YYYY"))</f>
        <v>41548</v>
      </c>
      <c r="Y47" s="4">
        <f>INT(DbLinkTable[[#This Row],[Date Received]])</f>
        <v>41548</v>
      </c>
    </row>
    <row r="48" spans="1:25">
      <c r="A48">
        <v>1938</v>
      </c>
      <c r="B48" t="s">
        <v>46</v>
      </c>
      <c r="D48">
        <v>144</v>
      </c>
      <c r="E48" t="s">
        <v>1504</v>
      </c>
      <c r="F48" s="4">
        <v>41548</v>
      </c>
      <c r="G48" s="4" t="s">
        <v>192</v>
      </c>
      <c r="H48" s="4" t="s">
        <v>1513</v>
      </c>
      <c r="I48" s="4">
        <v>0</v>
      </c>
      <c r="J48" s="4"/>
      <c r="K48" s="4"/>
      <c r="L48" s="4"/>
      <c r="M48" s="4"/>
      <c r="N48" s="4"/>
      <c r="O48" s="4">
        <v>0</v>
      </c>
      <c r="P48" s="4">
        <v>41548.635324074072</v>
      </c>
      <c r="Q48" s="4"/>
      <c r="R48" s="4"/>
      <c r="S48" s="79">
        <f>DbLinkTable[[#This Row],[Credit]]+DbLinkTable[[#This Row],[Charge]]</f>
        <v>0</v>
      </c>
      <c r="T48" s="79">
        <f>IF(DbLinkTable[[#This Row],[Price/lb]]*DbLinkTable[[#This Row],[Weight]]&gt;0,DbLinkTable[[#This Row],[Price/lb]]*DbLinkTable[[#This Row],[Weight]],0)</f>
        <v>0</v>
      </c>
      <c r="U48" s="79">
        <f>IF(DbLinkTable[[#This Row],[Price/lb]]*DbLinkTable[[#This Row],[Weight]]&lt;0,DbLinkTable[[#This Row],[Price/lb]]*DbLinkTable[[#This Row],[Weight]],0)</f>
        <v>0</v>
      </c>
      <c r="V48" s="4" t="str">
        <f>IF(COUNTIF($W$2:W48,W48)=1,1,"")</f>
        <v/>
      </c>
      <c r="W48" s="4" t="str">
        <f>CONCATENATE(DbLinkTable[[#This Row],[Customer]],UPPER(DbLinkTable[[#This Row],[Trailer Number]]),DbLinkTable[[#This Row],[Day Received]])</f>
        <v>Company14161541548</v>
      </c>
      <c r="X48" s="4">
        <f>DATEVALUE(TEXT(DbLinkTable[[#This Row],[Date Received]],"MMMM YYYY"))</f>
        <v>41548</v>
      </c>
      <c r="Y48" s="4">
        <f>INT(DbLinkTable[[#This Row],[Date Received]])</f>
        <v>41548</v>
      </c>
    </row>
    <row r="49" spans="1:25">
      <c r="A49">
        <v>1939</v>
      </c>
      <c r="B49" t="s">
        <v>46</v>
      </c>
      <c r="D49">
        <v>242</v>
      </c>
      <c r="E49" t="s">
        <v>1504</v>
      </c>
      <c r="F49" s="4">
        <v>41548</v>
      </c>
      <c r="G49" s="4" t="s">
        <v>192</v>
      </c>
      <c r="H49" s="4" t="s">
        <v>1513</v>
      </c>
      <c r="I49" s="4">
        <v>0</v>
      </c>
      <c r="J49" s="4"/>
      <c r="K49" s="4"/>
      <c r="L49" s="4"/>
      <c r="M49" s="4"/>
      <c r="N49" s="4"/>
      <c r="O49" s="4">
        <v>0</v>
      </c>
      <c r="P49" s="4">
        <v>41548.635648148149</v>
      </c>
      <c r="Q49" s="4"/>
      <c r="R49" s="4"/>
      <c r="S49" s="79">
        <f>DbLinkTable[[#This Row],[Credit]]+DbLinkTable[[#This Row],[Charge]]</f>
        <v>0</v>
      </c>
      <c r="T49" s="79">
        <f>IF(DbLinkTable[[#This Row],[Price/lb]]*DbLinkTable[[#This Row],[Weight]]&gt;0,DbLinkTable[[#This Row],[Price/lb]]*DbLinkTable[[#This Row],[Weight]],0)</f>
        <v>0</v>
      </c>
      <c r="U49" s="79">
        <f>IF(DbLinkTable[[#This Row],[Price/lb]]*DbLinkTable[[#This Row],[Weight]]&lt;0,DbLinkTable[[#This Row],[Price/lb]]*DbLinkTable[[#This Row],[Weight]],0)</f>
        <v>0</v>
      </c>
      <c r="V49" s="4" t="str">
        <f>IF(COUNTIF($W$2:W49,W49)=1,1,"")</f>
        <v/>
      </c>
      <c r="W49" s="4" t="str">
        <f>CONCATENATE(DbLinkTable[[#This Row],[Customer]],UPPER(DbLinkTable[[#This Row],[Trailer Number]]),DbLinkTable[[#This Row],[Day Received]])</f>
        <v>Company14161541548</v>
      </c>
      <c r="X49" s="4">
        <f>DATEVALUE(TEXT(DbLinkTable[[#This Row],[Date Received]],"MMMM YYYY"))</f>
        <v>41548</v>
      </c>
      <c r="Y49" s="4">
        <f>INT(DbLinkTable[[#This Row],[Date Received]])</f>
        <v>41548</v>
      </c>
    </row>
    <row r="50" spans="1:25">
      <c r="A50">
        <v>1940</v>
      </c>
      <c r="B50" t="s">
        <v>48</v>
      </c>
      <c r="D50">
        <v>1124</v>
      </c>
      <c r="E50" t="s">
        <v>1504</v>
      </c>
      <c r="F50" s="4">
        <v>41548</v>
      </c>
      <c r="G50" s="4" t="s">
        <v>192</v>
      </c>
      <c r="H50" s="4" t="s">
        <v>1513</v>
      </c>
      <c r="I50" s="4">
        <v>0</v>
      </c>
      <c r="J50" s="4"/>
      <c r="K50" s="4"/>
      <c r="L50" s="4"/>
      <c r="M50" s="4"/>
      <c r="N50" s="4"/>
      <c r="O50" s="4">
        <v>0</v>
      </c>
      <c r="P50" s="4">
        <v>41548.636412037034</v>
      </c>
      <c r="Q50" s="4"/>
      <c r="R50" s="4"/>
      <c r="S50" s="79">
        <f>DbLinkTable[[#This Row],[Credit]]+DbLinkTable[[#This Row],[Charge]]</f>
        <v>0</v>
      </c>
      <c r="T50" s="79">
        <f>IF(DbLinkTable[[#This Row],[Price/lb]]*DbLinkTable[[#This Row],[Weight]]&gt;0,DbLinkTable[[#This Row],[Price/lb]]*DbLinkTable[[#This Row],[Weight]],0)</f>
        <v>0</v>
      </c>
      <c r="U50" s="79">
        <f>IF(DbLinkTable[[#This Row],[Price/lb]]*DbLinkTable[[#This Row],[Weight]]&lt;0,DbLinkTable[[#This Row],[Price/lb]]*DbLinkTable[[#This Row],[Weight]],0)</f>
        <v>0</v>
      </c>
      <c r="V50" s="4" t="str">
        <f>IF(COUNTIF($W$2:W50,W50)=1,1,"")</f>
        <v/>
      </c>
      <c r="W50" s="4" t="str">
        <f>CONCATENATE(DbLinkTable[[#This Row],[Customer]],UPPER(DbLinkTable[[#This Row],[Trailer Number]]),DbLinkTable[[#This Row],[Day Received]])</f>
        <v>Company14161541548</v>
      </c>
      <c r="X50" s="4">
        <f>DATEVALUE(TEXT(DbLinkTable[[#This Row],[Date Received]],"MMMM YYYY"))</f>
        <v>41548</v>
      </c>
      <c r="Y50" s="4">
        <f>INT(DbLinkTable[[#This Row],[Date Received]])</f>
        <v>41548</v>
      </c>
    </row>
    <row r="51" spans="1:25">
      <c r="A51">
        <v>1941</v>
      </c>
      <c r="B51" t="s">
        <v>1502</v>
      </c>
      <c r="D51">
        <v>430</v>
      </c>
      <c r="E51" t="s">
        <v>1504</v>
      </c>
      <c r="F51" s="4">
        <v>41548</v>
      </c>
      <c r="G51" s="4" t="s">
        <v>192</v>
      </c>
      <c r="H51" s="4" t="s">
        <v>1513</v>
      </c>
      <c r="I51" s="4">
        <v>0</v>
      </c>
      <c r="J51" s="4"/>
      <c r="K51" s="4"/>
      <c r="L51" s="4"/>
      <c r="M51" s="4"/>
      <c r="N51" s="4"/>
      <c r="O51" s="4">
        <v>0</v>
      </c>
      <c r="P51" s="4">
        <v>41548.636701388888</v>
      </c>
      <c r="Q51" s="4"/>
      <c r="R51" s="4"/>
      <c r="S51" s="79">
        <f>DbLinkTable[[#This Row],[Credit]]+DbLinkTable[[#This Row],[Charge]]</f>
        <v>0</v>
      </c>
      <c r="T51" s="79">
        <f>IF(DbLinkTable[[#This Row],[Price/lb]]*DbLinkTable[[#This Row],[Weight]]&gt;0,DbLinkTable[[#This Row],[Price/lb]]*DbLinkTable[[#This Row],[Weight]],0)</f>
        <v>0</v>
      </c>
      <c r="U51" s="79">
        <f>IF(DbLinkTable[[#This Row],[Price/lb]]*DbLinkTable[[#This Row],[Weight]]&lt;0,DbLinkTable[[#This Row],[Price/lb]]*DbLinkTable[[#This Row],[Weight]],0)</f>
        <v>0</v>
      </c>
      <c r="V51" s="4" t="str">
        <f>IF(COUNTIF($W$2:W51,W51)=1,1,"")</f>
        <v/>
      </c>
      <c r="W51" s="4" t="str">
        <f>CONCATENATE(DbLinkTable[[#This Row],[Customer]],UPPER(DbLinkTable[[#This Row],[Trailer Number]]),DbLinkTable[[#This Row],[Day Received]])</f>
        <v>Company14161541548</v>
      </c>
      <c r="X51" s="4">
        <f>DATEVALUE(TEXT(DbLinkTable[[#This Row],[Date Received]],"MMMM YYYY"))</f>
        <v>41548</v>
      </c>
      <c r="Y51" s="4">
        <f>INT(DbLinkTable[[#This Row],[Date Received]])</f>
        <v>41548</v>
      </c>
    </row>
    <row r="52" spans="1:25">
      <c r="A52">
        <v>1942</v>
      </c>
      <c r="B52" t="s">
        <v>46</v>
      </c>
      <c r="D52">
        <v>1508</v>
      </c>
      <c r="E52" t="s">
        <v>1504</v>
      </c>
      <c r="F52" s="4">
        <v>41548</v>
      </c>
      <c r="G52" s="4" t="s">
        <v>192</v>
      </c>
      <c r="H52" s="4" t="s">
        <v>1513</v>
      </c>
      <c r="I52" s="4">
        <v>0</v>
      </c>
      <c r="J52" s="4"/>
      <c r="K52" s="4"/>
      <c r="L52" s="4"/>
      <c r="M52" s="4"/>
      <c r="N52" s="4"/>
      <c r="O52" s="4">
        <v>0</v>
      </c>
      <c r="P52" s="4">
        <v>41548.638622685183</v>
      </c>
      <c r="Q52" s="4"/>
      <c r="R52" s="4"/>
      <c r="S52" s="79">
        <f>DbLinkTable[[#This Row],[Credit]]+DbLinkTable[[#This Row],[Charge]]</f>
        <v>0</v>
      </c>
      <c r="T52" s="79">
        <f>IF(DbLinkTable[[#This Row],[Price/lb]]*DbLinkTable[[#This Row],[Weight]]&gt;0,DbLinkTable[[#This Row],[Price/lb]]*DbLinkTable[[#This Row],[Weight]],0)</f>
        <v>0</v>
      </c>
      <c r="U52" s="79">
        <f>IF(DbLinkTable[[#This Row],[Price/lb]]*DbLinkTable[[#This Row],[Weight]]&lt;0,DbLinkTable[[#This Row],[Price/lb]]*DbLinkTable[[#This Row],[Weight]],0)</f>
        <v>0</v>
      </c>
      <c r="V52" s="4" t="str">
        <f>IF(COUNTIF($W$2:W52,W52)=1,1,"")</f>
        <v/>
      </c>
      <c r="W52" s="4" t="str">
        <f>CONCATENATE(DbLinkTable[[#This Row],[Customer]],UPPER(DbLinkTable[[#This Row],[Trailer Number]]),DbLinkTable[[#This Row],[Day Received]])</f>
        <v>Company14161541548</v>
      </c>
      <c r="X52" s="4">
        <f>DATEVALUE(TEXT(DbLinkTable[[#This Row],[Date Received]],"MMMM YYYY"))</f>
        <v>41548</v>
      </c>
      <c r="Y52" s="4">
        <f>INT(DbLinkTable[[#This Row],[Date Received]])</f>
        <v>41548</v>
      </c>
    </row>
    <row r="53" spans="1:25">
      <c r="A53">
        <v>1943</v>
      </c>
      <c r="B53" t="s">
        <v>45</v>
      </c>
      <c r="D53">
        <v>54</v>
      </c>
      <c r="E53" t="s">
        <v>1504</v>
      </c>
      <c r="F53" s="4">
        <v>41548</v>
      </c>
      <c r="G53" s="4" t="s">
        <v>192</v>
      </c>
      <c r="H53" s="4" t="s">
        <v>1513</v>
      </c>
      <c r="I53" s="4">
        <v>0</v>
      </c>
      <c r="J53" s="4"/>
      <c r="K53" s="4"/>
      <c r="L53" s="4"/>
      <c r="M53" s="4"/>
      <c r="N53" s="4"/>
      <c r="O53" s="4">
        <v>0</v>
      </c>
      <c r="P53" s="4">
        <v>41548.638969907406</v>
      </c>
      <c r="Q53" s="4"/>
      <c r="R53" s="4"/>
      <c r="S53" s="79">
        <f>DbLinkTable[[#This Row],[Credit]]+DbLinkTable[[#This Row],[Charge]]</f>
        <v>0</v>
      </c>
      <c r="T53" s="79">
        <f>IF(DbLinkTable[[#This Row],[Price/lb]]*DbLinkTable[[#This Row],[Weight]]&gt;0,DbLinkTable[[#This Row],[Price/lb]]*DbLinkTable[[#This Row],[Weight]],0)</f>
        <v>0</v>
      </c>
      <c r="U53" s="79">
        <f>IF(DbLinkTable[[#This Row],[Price/lb]]*DbLinkTable[[#This Row],[Weight]]&lt;0,DbLinkTable[[#This Row],[Price/lb]]*DbLinkTable[[#This Row],[Weight]],0)</f>
        <v>0</v>
      </c>
      <c r="V53" s="4" t="str">
        <f>IF(COUNTIF($W$2:W53,W53)=1,1,"")</f>
        <v/>
      </c>
      <c r="W53" s="4" t="str">
        <f>CONCATENATE(DbLinkTable[[#This Row],[Customer]],UPPER(DbLinkTable[[#This Row],[Trailer Number]]),DbLinkTable[[#This Row],[Day Received]])</f>
        <v>Company14161541548</v>
      </c>
      <c r="X53" s="4">
        <f>DATEVALUE(TEXT(DbLinkTable[[#This Row],[Date Received]],"MMMM YYYY"))</f>
        <v>41548</v>
      </c>
      <c r="Y53" s="4">
        <f>INT(DbLinkTable[[#This Row],[Date Received]])</f>
        <v>41548</v>
      </c>
    </row>
    <row r="54" spans="1:25">
      <c r="A54">
        <v>1944</v>
      </c>
      <c r="B54" t="s">
        <v>1527</v>
      </c>
      <c r="D54">
        <v>548</v>
      </c>
      <c r="E54" t="s">
        <v>1504</v>
      </c>
      <c r="F54" s="4">
        <v>41548</v>
      </c>
      <c r="G54" s="4" t="s">
        <v>192</v>
      </c>
      <c r="H54" s="4" t="s">
        <v>1513</v>
      </c>
      <c r="I54" s="4">
        <v>0</v>
      </c>
      <c r="J54" s="4"/>
      <c r="K54" s="4"/>
      <c r="L54" s="4"/>
      <c r="M54" s="4"/>
      <c r="N54" s="4"/>
      <c r="O54" s="4">
        <v>0</v>
      </c>
      <c r="P54" s="4">
        <v>41548.642523148148</v>
      </c>
      <c r="Q54" s="4"/>
      <c r="R54" s="4"/>
      <c r="S54" s="79">
        <f>DbLinkTable[[#This Row],[Credit]]+DbLinkTable[[#This Row],[Charge]]</f>
        <v>0</v>
      </c>
      <c r="T54" s="79">
        <f>IF(DbLinkTable[[#This Row],[Price/lb]]*DbLinkTable[[#This Row],[Weight]]&gt;0,DbLinkTable[[#This Row],[Price/lb]]*DbLinkTable[[#This Row],[Weight]],0)</f>
        <v>0</v>
      </c>
      <c r="U54" s="79">
        <f>IF(DbLinkTable[[#This Row],[Price/lb]]*DbLinkTable[[#This Row],[Weight]]&lt;0,DbLinkTable[[#This Row],[Price/lb]]*DbLinkTable[[#This Row],[Weight]],0)</f>
        <v>0</v>
      </c>
      <c r="V54" s="4" t="str">
        <f>IF(COUNTIF($W$2:W54,W54)=1,1,"")</f>
        <v/>
      </c>
      <c r="W54" s="4" t="str">
        <f>CONCATENATE(DbLinkTable[[#This Row],[Customer]],UPPER(DbLinkTable[[#This Row],[Trailer Number]]),DbLinkTable[[#This Row],[Day Received]])</f>
        <v>Company14161541548</v>
      </c>
      <c r="X54" s="4">
        <f>DATEVALUE(TEXT(DbLinkTable[[#This Row],[Date Received]],"MMMM YYYY"))</f>
        <v>41548</v>
      </c>
      <c r="Y54" s="4">
        <f>INT(DbLinkTable[[#This Row],[Date Received]])</f>
        <v>41548</v>
      </c>
    </row>
    <row r="55" spans="1:25">
      <c r="A55">
        <v>1946</v>
      </c>
      <c r="B55" t="s">
        <v>46</v>
      </c>
      <c r="D55">
        <v>150</v>
      </c>
      <c r="E55" t="s">
        <v>1504</v>
      </c>
      <c r="F55" s="4">
        <v>41548</v>
      </c>
      <c r="G55" s="4" t="s">
        <v>192</v>
      </c>
      <c r="H55" s="4" t="s">
        <v>1513</v>
      </c>
      <c r="I55" s="4">
        <v>0</v>
      </c>
      <c r="J55" s="4"/>
      <c r="K55" s="4"/>
      <c r="L55" s="4"/>
      <c r="M55" s="4"/>
      <c r="N55" s="4"/>
      <c r="O55" s="4">
        <v>0</v>
      </c>
      <c r="P55" s="4">
        <v>41549.361168981479</v>
      </c>
      <c r="Q55" s="4"/>
      <c r="R55" s="4"/>
      <c r="S55" s="79">
        <f>DbLinkTable[[#This Row],[Credit]]+DbLinkTable[[#This Row],[Charge]]</f>
        <v>0</v>
      </c>
      <c r="T55" s="79">
        <f>IF(DbLinkTable[[#This Row],[Price/lb]]*DbLinkTable[[#This Row],[Weight]]&gt;0,DbLinkTable[[#This Row],[Price/lb]]*DbLinkTable[[#This Row],[Weight]],0)</f>
        <v>0</v>
      </c>
      <c r="U55" s="79">
        <f>IF(DbLinkTable[[#This Row],[Price/lb]]*DbLinkTable[[#This Row],[Weight]]&lt;0,DbLinkTable[[#This Row],[Price/lb]]*DbLinkTable[[#This Row],[Weight]],0)</f>
        <v>0</v>
      </c>
      <c r="V55" s="4" t="str">
        <f>IF(COUNTIF($W$2:W55,W55)=1,1,"")</f>
        <v/>
      </c>
      <c r="W55" s="4" t="str">
        <f>CONCATENATE(DbLinkTable[[#This Row],[Customer]],UPPER(DbLinkTable[[#This Row],[Trailer Number]]),DbLinkTable[[#This Row],[Day Received]])</f>
        <v>Company14161541548</v>
      </c>
      <c r="X55" s="4">
        <f>DATEVALUE(TEXT(DbLinkTable[[#This Row],[Date Received]],"MMMM YYYY"))</f>
        <v>41548</v>
      </c>
      <c r="Y55" s="4">
        <f>INT(DbLinkTable[[#This Row],[Date Received]])</f>
        <v>41548</v>
      </c>
    </row>
    <row r="56" spans="1:25">
      <c r="A56">
        <v>1993</v>
      </c>
      <c r="B56" t="s">
        <v>1502</v>
      </c>
      <c r="D56">
        <v>66</v>
      </c>
      <c r="E56" t="s">
        <v>1504</v>
      </c>
      <c r="F56" s="4">
        <v>41548</v>
      </c>
      <c r="G56" s="4" t="s">
        <v>192</v>
      </c>
      <c r="H56" s="4" t="s">
        <v>1513</v>
      </c>
      <c r="I56" s="4">
        <v>0</v>
      </c>
      <c r="J56" s="4"/>
      <c r="K56" s="4"/>
      <c r="L56" s="4"/>
      <c r="M56" s="4"/>
      <c r="N56" s="4"/>
      <c r="O56" s="4">
        <v>0</v>
      </c>
      <c r="P56" s="4">
        <v>41549.400324074071</v>
      </c>
      <c r="Q56" s="4"/>
      <c r="R56" s="4"/>
      <c r="S56" s="79">
        <f>DbLinkTable[[#This Row],[Credit]]+DbLinkTable[[#This Row],[Charge]]</f>
        <v>0</v>
      </c>
      <c r="T56" s="79">
        <f>IF(DbLinkTable[[#This Row],[Price/lb]]*DbLinkTable[[#This Row],[Weight]]&gt;0,DbLinkTable[[#This Row],[Price/lb]]*DbLinkTable[[#This Row],[Weight]],0)</f>
        <v>0</v>
      </c>
      <c r="U56" s="79">
        <f>IF(DbLinkTable[[#This Row],[Price/lb]]*DbLinkTable[[#This Row],[Weight]]&lt;0,DbLinkTable[[#This Row],[Price/lb]]*DbLinkTable[[#This Row],[Weight]],0)</f>
        <v>0</v>
      </c>
      <c r="V56" s="4" t="str">
        <f>IF(COUNTIF($W$2:W56,W56)=1,1,"")</f>
        <v/>
      </c>
      <c r="W56" s="4" t="str">
        <f>CONCATENATE(DbLinkTable[[#This Row],[Customer]],UPPER(DbLinkTable[[#This Row],[Trailer Number]]),DbLinkTable[[#This Row],[Day Received]])</f>
        <v>Company14161541548</v>
      </c>
      <c r="X56" s="4">
        <f>DATEVALUE(TEXT(DbLinkTable[[#This Row],[Date Received]],"MMMM YYYY"))</f>
        <v>41548</v>
      </c>
      <c r="Y56" s="4">
        <f>INT(DbLinkTable[[#This Row],[Date Received]])</f>
        <v>41548</v>
      </c>
    </row>
    <row r="57" spans="1:25">
      <c r="A57">
        <v>4572</v>
      </c>
      <c r="B57" t="s">
        <v>47</v>
      </c>
      <c r="D57">
        <v>300</v>
      </c>
      <c r="E57" t="s">
        <v>1504</v>
      </c>
      <c r="F57" s="4">
        <v>41694</v>
      </c>
      <c r="G57" s="4" t="s">
        <v>192</v>
      </c>
      <c r="H57" s="4"/>
      <c r="I57" s="4">
        <v>0</v>
      </c>
      <c r="J57" s="4"/>
      <c r="K57" s="4"/>
      <c r="L57" s="4"/>
      <c r="M57" s="4"/>
      <c r="N57" s="4"/>
      <c r="O57" s="4">
        <v>0</v>
      </c>
      <c r="P57" s="4">
        <v>41705.528946759259</v>
      </c>
      <c r="Q57" s="4"/>
      <c r="R57" s="4"/>
      <c r="S57" s="79">
        <f>DbLinkTable[[#This Row],[Credit]]+DbLinkTable[[#This Row],[Charge]]</f>
        <v>0</v>
      </c>
      <c r="T57" s="79">
        <f>IF(DbLinkTable[[#This Row],[Price/lb]]*DbLinkTable[[#This Row],[Weight]]&gt;0,DbLinkTable[[#This Row],[Price/lb]]*DbLinkTable[[#This Row],[Weight]],0)</f>
        <v>0</v>
      </c>
      <c r="U57" s="79">
        <f>IF(DbLinkTable[[#This Row],[Price/lb]]*DbLinkTable[[#This Row],[Weight]]&lt;0,DbLinkTable[[#This Row],[Price/lb]]*DbLinkTable[[#This Row],[Weight]],0)</f>
        <v>0</v>
      </c>
      <c r="V57" s="4">
        <f>IF(COUNTIF($W$2:W57,W57)=1,1,"")</f>
        <v>1</v>
      </c>
      <c r="W57" s="4" t="str">
        <f>CONCATENATE(DbLinkTable[[#This Row],[Customer]],UPPER(DbLinkTable[[#This Row],[Trailer Number]]),DbLinkTable[[#This Row],[Day Received]])</f>
        <v>Company1441694</v>
      </c>
      <c r="X57" s="4">
        <f>DATEVALUE(TEXT(DbLinkTable[[#This Row],[Date Received]],"MMMM YYYY"))</f>
        <v>41671</v>
      </c>
      <c r="Y57" s="4">
        <f>INT(DbLinkTable[[#This Row],[Date Received]])</f>
        <v>41694</v>
      </c>
    </row>
    <row r="58" spans="1:25">
      <c r="A58">
        <v>4573</v>
      </c>
      <c r="B58" t="s">
        <v>47</v>
      </c>
      <c r="D58">
        <v>240</v>
      </c>
      <c r="E58" t="s">
        <v>1504</v>
      </c>
      <c r="F58" s="4">
        <v>41694</v>
      </c>
      <c r="G58" s="4" t="s">
        <v>192</v>
      </c>
      <c r="H58" s="4"/>
      <c r="I58" s="4">
        <v>0</v>
      </c>
      <c r="J58" s="4"/>
      <c r="K58" s="4"/>
      <c r="L58" s="4"/>
      <c r="M58" s="4"/>
      <c r="N58" s="4"/>
      <c r="O58" s="4">
        <v>0</v>
      </c>
      <c r="P58" s="4">
        <v>41705.528993055559</v>
      </c>
      <c r="Q58" s="4"/>
      <c r="R58" s="4"/>
      <c r="S58" s="79">
        <f>DbLinkTable[[#This Row],[Credit]]+DbLinkTable[[#This Row],[Charge]]</f>
        <v>0</v>
      </c>
      <c r="T58" s="79">
        <f>IF(DbLinkTable[[#This Row],[Price/lb]]*DbLinkTable[[#This Row],[Weight]]&gt;0,DbLinkTable[[#This Row],[Price/lb]]*DbLinkTable[[#This Row],[Weight]],0)</f>
        <v>0</v>
      </c>
      <c r="U58" s="79">
        <f>IF(DbLinkTable[[#This Row],[Price/lb]]*DbLinkTable[[#This Row],[Weight]]&lt;0,DbLinkTable[[#This Row],[Price/lb]]*DbLinkTable[[#This Row],[Weight]],0)</f>
        <v>0</v>
      </c>
      <c r="V58" s="4" t="str">
        <f>IF(COUNTIF($W$2:W58,W58)=1,1,"")</f>
        <v/>
      </c>
      <c r="W58" s="4" t="str">
        <f>CONCATENATE(DbLinkTable[[#This Row],[Customer]],UPPER(DbLinkTable[[#This Row],[Trailer Number]]),DbLinkTable[[#This Row],[Day Received]])</f>
        <v>Company1441694</v>
      </c>
      <c r="X58" s="4">
        <f>DATEVALUE(TEXT(DbLinkTable[[#This Row],[Date Received]],"MMMM YYYY"))</f>
        <v>41671</v>
      </c>
      <c r="Y58" s="4">
        <f>INT(DbLinkTable[[#This Row],[Date Received]])</f>
        <v>41694</v>
      </c>
    </row>
    <row r="59" spans="1:25">
      <c r="A59">
        <v>4574</v>
      </c>
      <c r="B59" t="s">
        <v>47</v>
      </c>
      <c r="D59">
        <v>200</v>
      </c>
      <c r="E59" t="s">
        <v>1504</v>
      </c>
      <c r="F59" s="4">
        <v>41694</v>
      </c>
      <c r="G59" s="4" t="s">
        <v>192</v>
      </c>
      <c r="H59" s="4"/>
      <c r="I59" s="4">
        <v>0</v>
      </c>
      <c r="J59" s="4"/>
      <c r="K59" s="4"/>
      <c r="L59" s="4"/>
      <c r="M59" s="4"/>
      <c r="N59" s="4"/>
      <c r="O59" s="4">
        <v>0</v>
      </c>
      <c r="P59" s="4">
        <v>41705.529039351852</v>
      </c>
      <c r="Q59" s="4"/>
      <c r="R59" s="4"/>
      <c r="S59" s="79">
        <f>DbLinkTable[[#This Row],[Credit]]+DbLinkTable[[#This Row],[Charge]]</f>
        <v>0</v>
      </c>
      <c r="T59" s="79">
        <f>IF(DbLinkTable[[#This Row],[Price/lb]]*DbLinkTable[[#This Row],[Weight]]&gt;0,DbLinkTable[[#This Row],[Price/lb]]*DbLinkTable[[#This Row],[Weight]],0)</f>
        <v>0</v>
      </c>
      <c r="U59" s="79">
        <f>IF(DbLinkTable[[#This Row],[Price/lb]]*DbLinkTable[[#This Row],[Weight]]&lt;0,DbLinkTable[[#This Row],[Price/lb]]*DbLinkTable[[#This Row],[Weight]],0)</f>
        <v>0</v>
      </c>
      <c r="V59" s="4" t="str">
        <f>IF(COUNTIF($W$2:W59,W59)=1,1,"")</f>
        <v/>
      </c>
      <c r="W59" s="4" t="str">
        <f>CONCATENATE(DbLinkTable[[#This Row],[Customer]],UPPER(DbLinkTable[[#This Row],[Trailer Number]]),DbLinkTable[[#This Row],[Day Received]])</f>
        <v>Company1441694</v>
      </c>
      <c r="X59" s="4">
        <f>DATEVALUE(TEXT(DbLinkTable[[#This Row],[Date Received]],"MMMM YYYY"))</f>
        <v>41671</v>
      </c>
      <c r="Y59" s="4">
        <f>INT(DbLinkTable[[#This Row],[Date Received]])</f>
        <v>41694</v>
      </c>
    </row>
    <row r="60" spans="1:25">
      <c r="A60">
        <v>4576</v>
      </c>
      <c r="B60" t="s">
        <v>1527</v>
      </c>
      <c r="D60">
        <v>320</v>
      </c>
      <c r="E60" t="s">
        <v>1504</v>
      </c>
      <c r="F60" s="4">
        <v>41694</v>
      </c>
      <c r="G60" s="4" t="s">
        <v>192</v>
      </c>
      <c r="H60" s="4"/>
      <c r="I60" s="4">
        <v>0</v>
      </c>
      <c r="J60" s="4"/>
      <c r="K60" s="4"/>
      <c r="L60" s="4"/>
      <c r="M60" s="4"/>
      <c r="N60" s="4"/>
      <c r="O60" s="4">
        <v>0</v>
      </c>
      <c r="P60" s="4">
        <v>41705.529224537036</v>
      </c>
      <c r="Q60" s="4"/>
      <c r="R60" s="4"/>
      <c r="S60" s="79">
        <f>DbLinkTable[[#This Row],[Credit]]+DbLinkTable[[#This Row],[Charge]]</f>
        <v>0</v>
      </c>
      <c r="T60" s="79">
        <f>IF(DbLinkTable[[#This Row],[Price/lb]]*DbLinkTable[[#This Row],[Weight]]&gt;0,DbLinkTable[[#This Row],[Price/lb]]*DbLinkTable[[#This Row],[Weight]],0)</f>
        <v>0</v>
      </c>
      <c r="U60" s="79">
        <f>IF(DbLinkTable[[#This Row],[Price/lb]]*DbLinkTable[[#This Row],[Weight]]&lt;0,DbLinkTable[[#This Row],[Price/lb]]*DbLinkTable[[#This Row],[Weight]],0)</f>
        <v>0</v>
      </c>
      <c r="V60" s="4" t="str">
        <f>IF(COUNTIF($W$2:W60,W60)=1,1,"")</f>
        <v/>
      </c>
      <c r="W60" s="4" t="str">
        <f>CONCATENATE(DbLinkTable[[#This Row],[Customer]],UPPER(DbLinkTable[[#This Row],[Trailer Number]]),DbLinkTable[[#This Row],[Day Received]])</f>
        <v>Company1441694</v>
      </c>
      <c r="X60" s="4">
        <f>DATEVALUE(TEXT(DbLinkTable[[#This Row],[Date Received]],"MMMM YYYY"))</f>
        <v>41671</v>
      </c>
      <c r="Y60" s="4">
        <f>INT(DbLinkTable[[#This Row],[Date Received]])</f>
        <v>41694</v>
      </c>
    </row>
    <row r="61" spans="1:25">
      <c r="A61">
        <v>4578</v>
      </c>
      <c r="B61" t="s">
        <v>46</v>
      </c>
      <c r="D61">
        <v>160</v>
      </c>
      <c r="E61" t="s">
        <v>1504</v>
      </c>
      <c r="F61" s="4">
        <v>41694</v>
      </c>
      <c r="G61" s="4" t="s">
        <v>192</v>
      </c>
      <c r="H61" s="4"/>
      <c r="I61" s="4">
        <v>0</v>
      </c>
      <c r="J61" s="4"/>
      <c r="K61" s="4"/>
      <c r="L61" s="4"/>
      <c r="M61" s="4"/>
      <c r="N61" s="4"/>
      <c r="O61" s="4">
        <v>0</v>
      </c>
      <c r="P61" s="4">
        <v>41705.529317129629</v>
      </c>
      <c r="Q61" s="4"/>
      <c r="R61" s="4"/>
      <c r="S61" s="79">
        <f>DbLinkTable[[#This Row],[Credit]]+DbLinkTable[[#This Row],[Charge]]</f>
        <v>0</v>
      </c>
      <c r="T61" s="79">
        <f>IF(DbLinkTable[[#This Row],[Price/lb]]*DbLinkTable[[#This Row],[Weight]]&gt;0,DbLinkTable[[#This Row],[Price/lb]]*DbLinkTable[[#This Row],[Weight]],0)</f>
        <v>0</v>
      </c>
      <c r="U61" s="79">
        <f>IF(DbLinkTable[[#This Row],[Price/lb]]*DbLinkTable[[#This Row],[Weight]]&lt;0,DbLinkTable[[#This Row],[Price/lb]]*DbLinkTable[[#This Row],[Weight]],0)</f>
        <v>0</v>
      </c>
      <c r="V61" s="4" t="str">
        <f>IF(COUNTIF($W$2:W61,W61)=1,1,"")</f>
        <v/>
      </c>
      <c r="W61" s="4" t="str">
        <f>CONCATENATE(DbLinkTable[[#This Row],[Customer]],UPPER(DbLinkTable[[#This Row],[Trailer Number]]),DbLinkTable[[#This Row],[Day Received]])</f>
        <v>Company1441694</v>
      </c>
      <c r="X61" s="4">
        <f>DATEVALUE(TEXT(DbLinkTable[[#This Row],[Date Received]],"MMMM YYYY"))</f>
        <v>41671</v>
      </c>
      <c r="Y61" s="4">
        <f>INT(DbLinkTable[[#This Row],[Date Received]])</f>
        <v>41694</v>
      </c>
    </row>
    <row r="62" spans="1:25">
      <c r="A62">
        <v>4579</v>
      </c>
      <c r="B62" t="s">
        <v>46</v>
      </c>
      <c r="D62">
        <v>160</v>
      </c>
      <c r="E62" t="s">
        <v>1504</v>
      </c>
      <c r="F62" s="4">
        <v>41694</v>
      </c>
      <c r="G62" s="4" t="s">
        <v>192</v>
      </c>
      <c r="H62" s="4"/>
      <c r="I62" s="4">
        <v>0</v>
      </c>
      <c r="J62" s="4"/>
      <c r="K62" s="4"/>
      <c r="L62" s="4"/>
      <c r="M62" s="4"/>
      <c r="N62" s="4"/>
      <c r="O62" s="4">
        <v>0</v>
      </c>
      <c r="P62" s="4">
        <v>41705.529340277775</v>
      </c>
      <c r="Q62" s="4"/>
      <c r="R62" s="4"/>
      <c r="S62" s="79">
        <f>DbLinkTable[[#This Row],[Credit]]+DbLinkTable[[#This Row],[Charge]]</f>
        <v>0</v>
      </c>
      <c r="T62" s="79">
        <f>IF(DbLinkTable[[#This Row],[Price/lb]]*DbLinkTable[[#This Row],[Weight]]&gt;0,DbLinkTable[[#This Row],[Price/lb]]*DbLinkTable[[#This Row],[Weight]],0)</f>
        <v>0</v>
      </c>
      <c r="U62" s="79">
        <f>IF(DbLinkTable[[#This Row],[Price/lb]]*DbLinkTable[[#This Row],[Weight]]&lt;0,DbLinkTable[[#This Row],[Price/lb]]*DbLinkTable[[#This Row],[Weight]],0)</f>
        <v>0</v>
      </c>
      <c r="V62" s="4" t="str">
        <f>IF(COUNTIF($W$2:W62,W62)=1,1,"")</f>
        <v/>
      </c>
      <c r="W62" s="4" t="str">
        <f>CONCATENATE(DbLinkTable[[#This Row],[Customer]],UPPER(DbLinkTable[[#This Row],[Trailer Number]]),DbLinkTable[[#This Row],[Day Received]])</f>
        <v>Company1441694</v>
      </c>
      <c r="X62" s="4">
        <f>DATEVALUE(TEXT(DbLinkTable[[#This Row],[Date Received]],"MMMM YYYY"))</f>
        <v>41671</v>
      </c>
      <c r="Y62" s="4">
        <f>INT(DbLinkTable[[#This Row],[Date Received]])</f>
        <v>41694</v>
      </c>
    </row>
    <row r="63" spans="1:25">
      <c r="A63">
        <v>4580</v>
      </c>
      <c r="B63" t="s">
        <v>46</v>
      </c>
      <c r="D63">
        <v>160</v>
      </c>
      <c r="E63" t="s">
        <v>1504</v>
      </c>
      <c r="F63" s="4">
        <v>41694</v>
      </c>
      <c r="G63" s="4" t="s">
        <v>192</v>
      </c>
      <c r="H63" s="4"/>
      <c r="I63" s="4">
        <v>0</v>
      </c>
      <c r="J63" s="4"/>
      <c r="K63" s="4"/>
      <c r="L63" s="4"/>
      <c r="M63" s="4"/>
      <c r="N63" s="4"/>
      <c r="O63" s="4">
        <v>0</v>
      </c>
      <c r="P63" s="4">
        <v>41705.529363425929</v>
      </c>
      <c r="Q63" s="4"/>
      <c r="R63" s="4"/>
      <c r="S63" s="79">
        <f>DbLinkTable[[#This Row],[Credit]]+DbLinkTable[[#This Row],[Charge]]</f>
        <v>0</v>
      </c>
      <c r="T63" s="79">
        <f>IF(DbLinkTable[[#This Row],[Price/lb]]*DbLinkTable[[#This Row],[Weight]]&gt;0,DbLinkTable[[#This Row],[Price/lb]]*DbLinkTable[[#This Row],[Weight]],0)</f>
        <v>0</v>
      </c>
      <c r="U63" s="79">
        <f>IF(DbLinkTable[[#This Row],[Price/lb]]*DbLinkTable[[#This Row],[Weight]]&lt;0,DbLinkTable[[#This Row],[Price/lb]]*DbLinkTable[[#This Row],[Weight]],0)</f>
        <v>0</v>
      </c>
      <c r="V63" s="4" t="str">
        <f>IF(COUNTIF($W$2:W63,W63)=1,1,"")</f>
        <v/>
      </c>
      <c r="W63" s="4" t="str">
        <f>CONCATENATE(DbLinkTable[[#This Row],[Customer]],UPPER(DbLinkTable[[#This Row],[Trailer Number]]),DbLinkTable[[#This Row],[Day Received]])</f>
        <v>Company1441694</v>
      </c>
      <c r="X63" s="4">
        <f>DATEVALUE(TEXT(DbLinkTable[[#This Row],[Date Received]],"MMMM YYYY"))</f>
        <v>41671</v>
      </c>
      <c r="Y63" s="4">
        <f>INT(DbLinkTable[[#This Row],[Date Received]])</f>
        <v>41694</v>
      </c>
    </row>
    <row r="64" spans="1:25">
      <c r="A64">
        <v>4582</v>
      </c>
      <c r="B64" t="s">
        <v>46</v>
      </c>
      <c r="D64">
        <v>160</v>
      </c>
      <c r="E64" t="s">
        <v>1504</v>
      </c>
      <c r="F64" s="4">
        <v>41694</v>
      </c>
      <c r="G64" s="4" t="s">
        <v>192</v>
      </c>
      <c r="H64" s="4"/>
      <c r="I64" s="4">
        <v>0</v>
      </c>
      <c r="J64" s="4"/>
      <c r="K64" s="4"/>
      <c r="L64" s="4"/>
      <c r="M64" s="4"/>
      <c r="N64" s="4"/>
      <c r="O64" s="4">
        <v>0</v>
      </c>
      <c r="P64" s="4">
        <v>41705.529374999998</v>
      </c>
      <c r="Q64" s="4"/>
      <c r="R64" s="4"/>
      <c r="S64" s="79">
        <f>DbLinkTable[[#This Row],[Credit]]+DbLinkTable[[#This Row],[Charge]]</f>
        <v>0</v>
      </c>
      <c r="T64" s="79">
        <f>IF(DbLinkTable[[#This Row],[Price/lb]]*DbLinkTable[[#This Row],[Weight]]&gt;0,DbLinkTable[[#This Row],[Price/lb]]*DbLinkTable[[#This Row],[Weight]],0)</f>
        <v>0</v>
      </c>
      <c r="U64" s="79">
        <f>IF(DbLinkTable[[#This Row],[Price/lb]]*DbLinkTable[[#This Row],[Weight]]&lt;0,DbLinkTable[[#This Row],[Price/lb]]*DbLinkTable[[#This Row],[Weight]],0)</f>
        <v>0</v>
      </c>
      <c r="V64" s="4" t="str">
        <f>IF(COUNTIF($W$2:W64,W64)=1,1,"")</f>
        <v/>
      </c>
      <c r="W64" s="4" t="str">
        <f>CONCATENATE(DbLinkTable[[#This Row],[Customer]],UPPER(DbLinkTable[[#This Row],[Trailer Number]]),DbLinkTable[[#This Row],[Day Received]])</f>
        <v>Company1441694</v>
      </c>
      <c r="X64" s="4">
        <f>DATEVALUE(TEXT(DbLinkTable[[#This Row],[Date Received]],"MMMM YYYY"))</f>
        <v>41671</v>
      </c>
      <c r="Y64" s="4">
        <f>INT(DbLinkTable[[#This Row],[Date Received]])</f>
        <v>41694</v>
      </c>
    </row>
    <row r="65" spans="1:25">
      <c r="A65">
        <v>4583</v>
      </c>
      <c r="B65" t="s">
        <v>46</v>
      </c>
      <c r="D65">
        <v>160</v>
      </c>
      <c r="E65" t="s">
        <v>1504</v>
      </c>
      <c r="F65" s="4">
        <v>41694</v>
      </c>
      <c r="G65" s="4" t="s">
        <v>192</v>
      </c>
      <c r="H65" s="4"/>
      <c r="I65" s="4">
        <v>0</v>
      </c>
      <c r="J65" s="4"/>
      <c r="K65" s="4"/>
      <c r="L65" s="4"/>
      <c r="M65" s="4"/>
      <c r="N65" s="4"/>
      <c r="O65" s="4">
        <v>0</v>
      </c>
      <c r="P65" s="4">
        <v>41705.529444444444</v>
      </c>
      <c r="Q65" s="4"/>
      <c r="R65" s="4"/>
      <c r="S65" s="79">
        <f>DbLinkTable[[#This Row],[Credit]]+DbLinkTable[[#This Row],[Charge]]</f>
        <v>0</v>
      </c>
      <c r="T65" s="79">
        <f>IF(DbLinkTable[[#This Row],[Price/lb]]*DbLinkTable[[#This Row],[Weight]]&gt;0,DbLinkTable[[#This Row],[Price/lb]]*DbLinkTable[[#This Row],[Weight]],0)</f>
        <v>0</v>
      </c>
      <c r="U65" s="79">
        <f>IF(DbLinkTable[[#This Row],[Price/lb]]*DbLinkTable[[#This Row],[Weight]]&lt;0,DbLinkTable[[#This Row],[Price/lb]]*DbLinkTable[[#This Row],[Weight]],0)</f>
        <v>0</v>
      </c>
      <c r="V65" s="4" t="str">
        <f>IF(COUNTIF($W$2:W65,W65)=1,1,"")</f>
        <v/>
      </c>
      <c r="W65" s="4" t="str">
        <f>CONCATENATE(DbLinkTable[[#This Row],[Customer]],UPPER(DbLinkTable[[#This Row],[Trailer Number]]),DbLinkTable[[#This Row],[Day Received]])</f>
        <v>Company1441694</v>
      </c>
      <c r="X65" s="4">
        <f>DATEVALUE(TEXT(DbLinkTable[[#This Row],[Date Received]],"MMMM YYYY"))</f>
        <v>41671</v>
      </c>
      <c r="Y65" s="4">
        <f>INT(DbLinkTable[[#This Row],[Date Received]])</f>
        <v>41694</v>
      </c>
    </row>
    <row r="66" spans="1:25">
      <c r="A66">
        <v>4584</v>
      </c>
      <c r="B66" t="s">
        <v>44</v>
      </c>
      <c r="D66">
        <v>1060</v>
      </c>
      <c r="E66" t="s">
        <v>1504</v>
      </c>
      <c r="F66" s="4">
        <v>41694</v>
      </c>
      <c r="G66" s="4" t="s">
        <v>192</v>
      </c>
      <c r="H66" s="4"/>
      <c r="I66" s="4">
        <v>0</v>
      </c>
      <c r="J66" s="4"/>
      <c r="K66" s="4"/>
      <c r="L66" s="4"/>
      <c r="M66" s="4"/>
      <c r="N66" s="4"/>
      <c r="O66" s="4">
        <v>0</v>
      </c>
      <c r="P66" s="4">
        <v>41705.529537037037</v>
      </c>
      <c r="Q66" s="4"/>
      <c r="R66" s="4"/>
      <c r="S66" s="79">
        <f>DbLinkTable[[#This Row],[Credit]]+DbLinkTable[[#This Row],[Charge]]</f>
        <v>0</v>
      </c>
      <c r="T66" s="79">
        <f>IF(DbLinkTable[[#This Row],[Price/lb]]*DbLinkTable[[#This Row],[Weight]]&gt;0,DbLinkTable[[#This Row],[Price/lb]]*DbLinkTable[[#This Row],[Weight]],0)</f>
        <v>0</v>
      </c>
      <c r="U66" s="79">
        <f>IF(DbLinkTable[[#This Row],[Price/lb]]*DbLinkTable[[#This Row],[Weight]]&lt;0,DbLinkTable[[#This Row],[Price/lb]]*DbLinkTable[[#This Row],[Weight]],0)</f>
        <v>0</v>
      </c>
      <c r="V66" s="4" t="str">
        <f>IF(COUNTIF($W$2:W66,W66)=1,1,"")</f>
        <v/>
      </c>
      <c r="W66" s="4" t="str">
        <f>CONCATENATE(DbLinkTable[[#This Row],[Customer]],UPPER(DbLinkTable[[#This Row],[Trailer Number]]),DbLinkTable[[#This Row],[Day Received]])</f>
        <v>Company1441694</v>
      </c>
      <c r="X66" s="4">
        <f>DATEVALUE(TEXT(DbLinkTable[[#This Row],[Date Received]],"MMMM YYYY"))</f>
        <v>41671</v>
      </c>
      <c r="Y66" s="4">
        <f>INT(DbLinkTable[[#This Row],[Date Received]])</f>
        <v>41694</v>
      </c>
    </row>
    <row r="67" spans="1:25">
      <c r="A67">
        <v>4585</v>
      </c>
      <c r="B67" t="s">
        <v>44</v>
      </c>
      <c r="D67">
        <v>940</v>
      </c>
      <c r="E67" t="s">
        <v>1504</v>
      </c>
      <c r="F67" s="4">
        <v>41694</v>
      </c>
      <c r="G67" s="4" t="s">
        <v>192</v>
      </c>
      <c r="H67" s="4"/>
      <c r="I67" s="4">
        <v>0</v>
      </c>
      <c r="J67" s="4"/>
      <c r="K67" s="4"/>
      <c r="L67" s="4"/>
      <c r="M67" s="4"/>
      <c r="N67" s="4"/>
      <c r="O67" s="4">
        <v>0</v>
      </c>
      <c r="P67" s="4">
        <v>41705.529560185183</v>
      </c>
      <c r="Q67" s="4"/>
      <c r="R67" s="4"/>
      <c r="S67" s="79">
        <f>DbLinkTable[[#This Row],[Credit]]+DbLinkTable[[#This Row],[Charge]]</f>
        <v>0</v>
      </c>
      <c r="T67" s="79">
        <f>IF(DbLinkTable[[#This Row],[Price/lb]]*DbLinkTable[[#This Row],[Weight]]&gt;0,DbLinkTable[[#This Row],[Price/lb]]*DbLinkTable[[#This Row],[Weight]],0)</f>
        <v>0</v>
      </c>
      <c r="U67" s="79">
        <f>IF(DbLinkTable[[#This Row],[Price/lb]]*DbLinkTable[[#This Row],[Weight]]&lt;0,DbLinkTable[[#This Row],[Price/lb]]*DbLinkTable[[#This Row],[Weight]],0)</f>
        <v>0</v>
      </c>
      <c r="V67" s="4" t="str">
        <f>IF(COUNTIF($W$2:W67,W67)=1,1,"")</f>
        <v/>
      </c>
      <c r="W67" s="4" t="str">
        <f>CONCATENATE(DbLinkTable[[#This Row],[Customer]],UPPER(DbLinkTable[[#This Row],[Trailer Number]]),DbLinkTable[[#This Row],[Day Received]])</f>
        <v>Company1441694</v>
      </c>
      <c r="X67" s="4">
        <f>DATEVALUE(TEXT(DbLinkTable[[#This Row],[Date Received]],"MMMM YYYY"))</f>
        <v>41671</v>
      </c>
      <c r="Y67" s="4">
        <f>INT(DbLinkTable[[#This Row],[Date Received]])</f>
        <v>41694</v>
      </c>
    </row>
    <row r="68" spans="1:25">
      <c r="A68">
        <v>4586</v>
      </c>
      <c r="B68" t="s">
        <v>44</v>
      </c>
      <c r="D68">
        <v>1740</v>
      </c>
      <c r="E68" t="s">
        <v>1504</v>
      </c>
      <c r="F68" s="4">
        <v>41694</v>
      </c>
      <c r="G68" s="4" t="s">
        <v>192</v>
      </c>
      <c r="H68" s="4"/>
      <c r="I68" s="4">
        <v>0</v>
      </c>
      <c r="J68" s="4"/>
      <c r="K68" s="4"/>
      <c r="L68" s="4"/>
      <c r="M68" s="4"/>
      <c r="N68" s="4"/>
      <c r="O68" s="4">
        <v>0</v>
      </c>
      <c r="P68" s="4">
        <v>41705.529594907406</v>
      </c>
      <c r="Q68" s="4"/>
      <c r="R68" s="4"/>
      <c r="S68" s="79">
        <f>DbLinkTable[[#This Row],[Credit]]+DbLinkTable[[#This Row],[Charge]]</f>
        <v>0</v>
      </c>
      <c r="T68" s="79">
        <f>IF(DbLinkTable[[#This Row],[Price/lb]]*DbLinkTable[[#This Row],[Weight]]&gt;0,DbLinkTable[[#This Row],[Price/lb]]*DbLinkTable[[#This Row],[Weight]],0)</f>
        <v>0</v>
      </c>
      <c r="U68" s="79">
        <f>IF(DbLinkTable[[#This Row],[Price/lb]]*DbLinkTable[[#This Row],[Weight]]&lt;0,DbLinkTable[[#This Row],[Price/lb]]*DbLinkTable[[#This Row],[Weight]],0)</f>
        <v>0</v>
      </c>
      <c r="V68" s="4" t="str">
        <f>IF(COUNTIF($W$2:W68,W68)=1,1,"")</f>
        <v/>
      </c>
      <c r="W68" s="4" t="str">
        <f>CONCATENATE(DbLinkTable[[#This Row],[Customer]],UPPER(DbLinkTable[[#This Row],[Trailer Number]]),DbLinkTable[[#This Row],[Day Received]])</f>
        <v>Company1441694</v>
      </c>
      <c r="X68" s="4">
        <f>DATEVALUE(TEXT(DbLinkTable[[#This Row],[Date Received]],"MMMM YYYY"))</f>
        <v>41671</v>
      </c>
      <c r="Y68" s="4">
        <f>INT(DbLinkTable[[#This Row],[Date Received]])</f>
        <v>41694</v>
      </c>
    </row>
    <row r="69" spans="1:25">
      <c r="A69">
        <v>4587</v>
      </c>
      <c r="B69" t="s">
        <v>44</v>
      </c>
      <c r="D69">
        <v>300</v>
      </c>
      <c r="E69" t="s">
        <v>1504</v>
      </c>
      <c r="F69" s="4">
        <v>41694</v>
      </c>
      <c r="G69" s="4" t="s">
        <v>192</v>
      </c>
      <c r="H69" s="4"/>
      <c r="I69" s="4">
        <v>0</v>
      </c>
      <c r="J69" s="4"/>
      <c r="K69" s="4"/>
      <c r="L69" s="4"/>
      <c r="M69" s="4"/>
      <c r="N69" s="4"/>
      <c r="O69" s="4">
        <v>0</v>
      </c>
      <c r="P69" s="4">
        <v>41705.529618055552</v>
      </c>
      <c r="Q69" s="4"/>
      <c r="R69" s="4"/>
      <c r="S69" s="79">
        <f>DbLinkTable[[#This Row],[Credit]]+DbLinkTable[[#This Row],[Charge]]</f>
        <v>0</v>
      </c>
      <c r="T69" s="79">
        <f>IF(DbLinkTable[[#This Row],[Price/lb]]*DbLinkTable[[#This Row],[Weight]]&gt;0,DbLinkTable[[#This Row],[Price/lb]]*DbLinkTable[[#This Row],[Weight]],0)</f>
        <v>0</v>
      </c>
      <c r="U69" s="79">
        <f>IF(DbLinkTable[[#This Row],[Price/lb]]*DbLinkTable[[#This Row],[Weight]]&lt;0,DbLinkTable[[#This Row],[Price/lb]]*DbLinkTable[[#This Row],[Weight]],0)</f>
        <v>0</v>
      </c>
      <c r="V69" s="4" t="str">
        <f>IF(COUNTIF($W$2:W69,W69)=1,1,"")</f>
        <v/>
      </c>
      <c r="W69" s="4" t="str">
        <f>CONCATENATE(DbLinkTable[[#This Row],[Customer]],UPPER(DbLinkTable[[#This Row],[Trailer Number]]),DbLinkTable[[#This Row],[Day Received]])</f>
        <v>Company1441694</v>
      </c>
      <c r="X69" s="4">
        <f>DATEVALUE(TEXT(DbLinkTable[[#This Row],[Date Received]],"MMMM YYYY"))</f>
        <v>41671</v>
      </c>
      <c r="Y69" s="4">
        <f>INT(DbLinkTable[[#This Row],[Date Received]])</f>
        <v>41694</v>
      </c>
    </row>
    <row r="70" spans="1:25">
      <c r="A70">
        <v>4588</v>
      </c>
      <c r="B70" t="s">
        <v>44</v>
      </c>
      <c r="D70">
        <v>1040</v>
      </c>
      <c r="E70" t="s">
        <v>1504</v>
      </c>
      <c r="F70" s="4">
        <v>41694</v>
      </c>
      <c r="G70" s="4" t="s">
        <v>192</v>
      </c>
      <c r="H70" s="4"/>
      <c r="I70" s="4">
        <v>0</v>
      </c>
      <c r="J70" s="4"/>
      <c r="K70" s="4"/>
      <c r="L70" s="4"/>
      <c r="M70" s="4"/>
      <c r="N70" s="4"/>
      <c r="O70" s="4">
        <v>0</v>
      </c>
      <c r="P70" s="4">
        <v>41705.529652777775</v>
      </c>
      <c r="Q70" s="4"/>
      <c r="R70" s="4"/>
      <c r="S70" s="79">
        <f>DbLinkTable[[#This Row],[Credit]]+DbLinkTable[[#This Row],[Charge]]</f>
        <v>0</v>
      </c>
      <c r="T70" s="79">
        <f>IF(DbLinkTable[[#This Row],[Price/lb]]*DbLinkTable[[#This Row],[Weight]]&gt;0,DbLinkTable[[#This Row],[Price/lb]]*DbLinkTable[[#This Row],[Weight]],0)</f>
        <v>0</v>
      </c>
      <c r="U70" s="79">
        <f>IF(DbLinkTable[[#This Row],[Price/lb]]*DbLinkTable[[#This Row],[Weight]]&lt;0,DbLinkTable[[#This Row],[Price/lb]]*DbLinkTable[[#This Row],[Weight]],0)</f>
        <v>0</v>
      </c>
      <c r="V70" s="4" t="str">
        <f>IF(COUNTIF($W$2:W70,W70)=1,1,"")</f>
        <v/>
      </c>
      <c r="W70" s="4" t="str">
        <f>CONCATENATE(DbLinkTable[[#This Row],[Customer]],UPPER(DbLinkTable[[#This Row],[Trailer Number]]),DbLinkTable[[#This Row],[Day Received]])</f>
        <v>Company1441694</v>
      </c>
      <c r="X70" s="4">
        <f>DATEVALUE(TEXT(DbLinkTable[[#This Row],[Date Received]],"MMMM YYYY"))</f>
        <v>41671</v>
      </c>
      <c r="Y70" s="4">
        <f>INT(DbLinkTable[[#This Row],[Date Received]])</f>
        <v>41694</v>
      </c>
    </row>
    <row r="71" spans="1:25">
      <c r="A71">
        <v>4589</v>
      </c>
      <c r="B71" t="s">
        <v>1502</v>
      </c>
      <c r="D71">
        <v>750</v>
      </c>
      <c r="E71" t="s">
        <v>1504</v>
      </c>
      <c r="F71" s="4">
        <v>41694</v>
      </c>
      <c r="G71" s="4" t="s">
        <v>192</v>
      </c>
      <c r="H71" s="4"/>
      <c r="I71" s="4">
        <v>0</v>
      </c>
      <c r="J71" s="4"/>
      <c r="K71" s="4"/>
      <c r="L71" s="4"/>
      <c r="M71" s="4"/>
      <c r="N71" s="4"/>
      <c r="O71" s="4">
        <v>0</v>
      </c>
      <c r="P71" s="4">
        <v>41705.529710648145</v>
      </c>
      <c r="Q71" s="4"/>
      <c r="R71" s="4"/>
      <c r="S71" s="79">
        <f>DbLinkTable[[#This Row],[Credit]]+DbLinkTable[[#This Row],[Charge]]</f>
        <v>0</v>
      </c>
      <c r="T71" s="79">
        <f>IF(DbLinkTable[[#This Row],[Price/lb]]*DbLinkTable[[#This Row],[Weight]]&gt;0,DbLinkTable[[#This Row],[Price/lb]]*DbLinkTable[[#This Row],[Weight]],0)</f>
        <v>0</v>
      </c>
      <c r="U71" s="79">
        <f>IF(DbLinkTable[[#This Row],[Price/lb]]*DbLinkTable[[#This Row],[Weight]]&lt;0,DbLinkTable[[#This Row],[Price/lb]]*DbLinkTable[[#This Row],[Weight]],0)</f>
        <v>0</v>
      </c>
      <c r="V71" s="4" t="str">
        <f>IF(COUNTIF($W$2:W71,W71)=1,1,"")</f>
        <v/>
      </c>
      <c r="W71" s="4" t="str">
        <f>CONCATENATE(DbLinkTable[[#This Row],[Customer]],UPPER(DbLinkTable[[#This Row],[Trailer Number]]),DbLinkTable[[#This Row],[Day Received]])</f>
        <v>Company1441694</v>
      </c>
      <c r="X71" s="4">
        <f>DATEVALUE(TEXT(DbLinkTable[[#This Row],[Date Received]],"MMMM YYYY"))</f>
        <v>41671</v>
      </c>
      <c r="Y71" s="4">
        <f>INT(DbLinkTable[[#This Row],[Date Received]])</f>
        <v>41694</v>
      </c>
    </row>
    <row r="72" spans="1:25">
      <c r="A72">
        <v>5818</v>
      </c>
      <c r="B72" t="s">
        <v>1517</v>
      </c>
      <c r="D72">
        <v>1</v>
      </c>
      <c r="E72" t="s">
        <v>1519</v>
      </c>
      <c r="F72" s="4">
        <v>41766</v>
      </c>
      <c r="G72" s="4" t="s">
        <v>192</v>
      </c>
      <c r="H72" s="4" t="s">
        <v>1525</v>
      </c>
      <c r="I72" s="4">
        <v>0</v>
      </c>
      <c r="J72" s="4"/>
      <c r="K72" s="4"/>
      <c r="L72" s="4"/>
      <c r="M72" s="4"/>
      <c r="N72" s="4"/>
      <c r="O72" s="4">
        <v>0</v>
      </c>
      <c r="P72" s="4">
        <v>41788.513287037036</v>
      </c>
      <c r="Q72" s="4"/>
      <c r="R72" s="4"/>
      <c r="S72" s="79">
        <f>DbLinkTable[[#This Row],[Credit]]+DbLinkTable[[#This Row],[Charge]]</f>
        <v>0</v>
      </c>
      <c r="T72" s="79">
        <f>IF(DbLinkTable[[#This Row],[Price/lb]]*DbLinkTable[[#This Row],[Weight]]&gt;0,DbLinkTable[[#This Row],[Price/lb]]*DbLinkTable[[#This Row],[Weight]],0)</f>
        <v>0</v>
      </c>
      <c r="U72" s="79">
        <f>IF(DbLinkTable[[#This Row],[Price/lb]]*DbLinkTable[[#This Row],[Weight]]&lt;0,DbLinkTable[[#This Row],[Price/lb]]*DbLinkTable[[#This Row],[Weight]],0)</f>
        <v>0</v>
      </c>
      <c r="V72" s="4">
        <f>IF(COUNTIF($W$2:W72,W72)=1,1,"")</f>
        <v>1</v>
      </c>
      <c r="W72" s="4" t="str">
        <f>CONCATENATE(DbLinkTable[[#This Row],[Customer]],UPPER(DbLinkTable[[#This Row],[Trailer Number]]),DbLinkTable[[#This Row],[Day Received]])</f>
        <v>Company1414441766</v>
      </c>
      <c r="X72" s="4">
        <f>DATEVALUE(TEXT(DbLinkTable[[#This Row],[Date Received]],"MMMM YYYY"))</f>
        <v>41760</v>
      </c>
      <c r="Y72" s="4">
        <f>INT(DbLinkTable[[#This Row],[Date Received]])</f>
        <v>41766</v>
      </c>
    </row>
    <row r="73" spans="1:25">
      <c r="A73">
        <v>5819</v>
      </c>
      <c r="B73" t="s">
        <v>46</v>
      </c>
      <c r="C73" t="s">
        <v>1528</v>
      </c>
      <c r="D73">
        <v>332</v>
      </c>
      <c r="E73" t="s">
        <v>1519</v>
      </c>
      <c r="F73" s="4">
        <v>41766</v>
      </c>
      <c r="G73" s="4" t="s">
        <v>192</v>
      </c>
      <c r="H73" s="4" t="s">
        <v>1525</v>
      </c>
      <c r="I73" s="4">
        <v>0</v>
      </c>
      <c r="J73" s="4"/>
      <c r="K73" s="4"/>
      <c r="L73" s="4"/>
      <c r="M73" s="4"/>
      <c r="N73" s="4"/>
      <c r="O73" s="4">
        <v>0</v>
      </c>
      <c r="P73" s="4">
        <v>41788.522858796299</v>
      </c>
      <c r="Q73" s="4"/>
      <c r="R73" s="4"/>
      <c r="S73" s="79">
        <f>DbLinkTable[[#This Row],[Credit]]+DbLinkTable[[#This Row],[Charge]]</f>
        <v>0</v>
      </c>
      <c r="T73" s="79">
        <f>IF(DbLinkTable[[#This Row],[Price/lb]]*DbLinkTable[[#This Row],[Weight]]&gt;0,DbLinkTable[[#This Row],[Price/lb]]*DbLinkTable[[#This Row],[Weight]],0)</f>
        <v>0</v>
      </c>
      <c r="U73" s="79">
        <f>IF(DbLinkTable[[#This Row],[Price/lb]]*DbLinkTable[[#This Row],[Weight]]&lt;0,DbLinkTable[[#This Row],[Price/lb]]*DbLinkTable[[#This Row],[Weight]],0)</f>
        <v>0</v>
      </c>
      <c r="V73" s="4" t="str">
        <f>IF(COUNTIF($W$2:W73,W73)=1,1,"")</f>
        <v/>
      </c>
      <c r="W73" s="4" t="str">
        <f>CONCATENATE(DbLinkTable[[#This Row],[Customer]],UPPER(DbLinkTable[[#This Row],[Trailer Number]]),DbLinkTable[[#This Row],[Day Received]])</f>
        <v>Company1414441766</v>
      </c>
      <c r="X73" s="4">
        <f>DATEVALUE(TEXT(DbLinkTable[[#This Row],[Date Received]],"MMMM YYYY"))</f>
        <v>41760</v>
      </c>
      <c r="Y73" s="4">
        <f>INT(DbLinkTable[[#This Row],[Date Received]])</f>
        <v>41766</v>
      </c>
    </row>
    <row r="74" spans="1:25">
      <c r="A74">
        <v>5820</v>
      </c>
      <c r="B74" t="s">
        <v>46</v>
      </c>
      <c r="C74" t="s">
        <v>1528</v>
      </c>
      <c r="D74">
        <v>100</v>
      </c>
      <c r="E74" t="s">
        <v>1519</v>
      </c>
      <c r="F74" s="4">
        <v>41766</v>
      </c>
      <c r="G74" s="4" t="s">
        <v>192</v>
      </c>
      <c r="H74" s="4" t="s">
        <v>1525</v>
      </c>
      <c r="I74" s="4">
        <v>0</v>
      </c>
      <c r="J74" s="4"/>
      <c r="K74" s="4"/>
      <c r="L74" s="4"/>
      <c r="M74" s="4"/>
      <c r="N74" s="4"/>
      <c r="O74" s="4">
        <v>0</v>
      </c>
      <c r="P74" s="4">
        <v>41788.522893518515</v>
      </c>
      <c r="Q74" s="4"/>
      <c r="R74" s="4"/>
      <c r="S74" s="79">
        <f>DbLinkTable[[#This Row],[Credit]]+DbLinkTable[[#This Row],[Charge]]</f>
        <v>0</v>
      </c>
      <c r="T74" s="79">
        <f>IF(DbLinkTable[[#This Row],[Price/lb]]*DbLinkTable[[#This Row],[Weight]]&gt;0,DbLinkTable[[#This Row],[Price/lb]]*DbLinkTable[[#This Row],[Weight]],0)</f>
        <v>0</v>
      </c>
      <c r="U74" s="79">
        <f>IF(DbLinkTable[[#This Row],[Price/lb]]*DbLinkTable[[#This Row],[Weight]]&lt;0,DbLinkTable[[#This Row],[Price/lb]]*DbLinkTable[[#This Row],[Weight]],0)</f>
        <v>0</v>
      </c>
      <c r="V74" s="4" t="str">
        <f>IF(COUNTIF($W$2:W74,W74)=1,1,"")</f>
        <v/>
      </c>
      <c r="W74" s="4" t="str">
        <f>CONCATENATE(DbLinkTable[[#This Row],[Customer]],UPPER(DbLinkTable[[#This Row],[Trailer Number]]),DbLinkTable[[#This Row],[Day Received]])</f>
        <v>Company1414441766</v>
      </c>
      <c r="X74" s="4">
        <f>DATEVALUE(TEXT(DbLinkTable[[#This Row],[Date Received]],"MMMM YYYY"))</f>
        <v>41760</v>
      </c>
      <c r="Y74" s="4">
        <f>INT(DbLinkTable[[#This Row],[Date Received]])</f>
        <v>41766</v>
      </c>
    </row>
    <row r="75" spans="1:25">
      <c r="A75">
        <v>5821</v>
      </c>
      <c r="B75" t="s">
        <v>46</v>
      </c>
      <c r="C75" t="s">
        <v>1528</v>
      </c>
      <c r="D75">
        <v>101</v>
      </c>
      <c r="E75" t="s">
        <v>1519</v>
      </c>
      <c r="F75" s="4">
        <v>41766</v>
      </c>
      <c r="G75" s="4" t="s">
        <v>192</v>
      </c>
      <c r="H75" s="4" t="s">
        <v>1525</v>
      </c>
      <c r="I75" s="4">
        <v>0</v>
      </c>
      <c r="J75" s="4"/>
      <c r="K75" s="4"/>
      <c r="L75" s="4"/>
      <c r="M75" s="4"/>
      <c r="N75" s="4"/>
      <c r="O75" s="4">
        <v>0</v>
      </c>
      <c r="P75" s="4">
        <v>41788.522916666669</v>
      </c>
      <c r="Q75" s="4"/>
      <c r="R75" s="4"/>
      <c r="S75" s="79">
        <f>DbLinkTable[[#This Row],[Credit]]+DbLinkTable[[#This Row],[Charge]]</f>
        <v>0</v>
      </c>
      <c r="T75" s="79">
        <f>IF(DbLinkTable[[#This Row],[Price/lb]]*DbLinkTable[[#This Row],[Weight]]&gt;0,DbLinkTable[[#This Row],[Price/lb]]*DbLinkTable[[#This Row],[Weight]],0)</f>
        <v>0</v>
      </c>
      <c r="U75" s="79">
        <f>IF(DbLinkTable[[#This Row],[Price/lb]]*DbLinkTable[[#This Row],[Weight]]&lt;0,DbLinkTable[[#This Row],[Price/lb]]*DbLinkTable[[#This Row],[Weight]],0)</f>
        <v>0</v>
      </c>
      <c r="V75" s="4" t="str">
        <f>IF(COUNTIF($W$2:W75,W75)=1,1,"")</f>
        <v/>
      </c>
      <c r="W75" s="4" t="str">
        <f>CONCATENATE(DbLinkTable[[#This Row],[Customer]],UPPER(DbLinkTable[[#This Row],[Trailer Number]]),DbLinkTable[[#This Row],[Day Received]])</f>
        <v>Company1414441766</v>
      </c>
      <c r="X75" s="4">
        <f>DATEVALUE(TEXT(DbLinkTable[[#This Row],[Date Received]],"MMMM YYYY"))</f>
        <v>41760</v>
      </c>
      <c r="Y75" s="4">
        <f>INT(DbLinkTable[[#This Row],[Date Received]])</f>
        <v>41766</v>
      </c>
    </row>
    <row r="76" spans="1:25">
      <c r="A76">
        <v>5822</v>
      </c>
      <c r="B76" t="s">
        <v>46</v>
      </c>
      <c r="C76" t="s">
        <v>1528</v>
      </c>
      <c r="D76">
        <v>51</v>
      </c>
      <c r="E76" t="s">
        <v>1519</v>
      </c>
      <c r="F76" s="4">
        <v>41766</v>
      </c>
      <c r="G76" s="4" t="s">
        <v>192</v>
      </c>
      <c r="H76" s="4" t="s">
        <v>1525</v>
      </c>
      <c r="I76" s="4">
        <v>0</v>
      </c>
      <c r="J76" s="4"/>
      <c r="K76" s="4"/>
      <c r="L76" s="4"/>
      <c r="M76" s="4"/>
      <c r="N76" s="4"/>
      <c r="O76" s="4">
        <v>0</v>
      </c>
      <c r="P76" s="4">
        <v>41788.522939814815</v>
      </c>
      <c r="Q76" s="4"/>
      <c r="R76" s="4"/>
      <c r="S76" s="79">
        <f>DbLinkTable[[#This Row],[Credit]]+DbLinkTable[[#This Row],[Charge]]</f>
        <v>0</v>
      </c>
      <c r="T76" s="79">
        <f>IF(DbLinkTable[[#This Row],[Price/lb]]*DbLinkTable[[#This Row],[Weight]]&gt;0,DbLinkTable[[#This Row],[Price/lb]]*DbLinkTable[[#This Row],[Weight]],0)</f>
        <v>0</v>
      </c>
      <c r="U76" s="79">
        <f>IF(DbLinkTable[[#This Row],[Price/lb]]*DbLinkTable[[#This Row],[Weight]]&lt;0,DbLinkTable[[#This Row],[Price/lb]]*DbLinkTable[[#This Row],[Weight]],0)</f>
        <v>0</v>
      </c>
      <c r="V76" s="4" t="str">
        <f>IF(COUNTIF($W$2:W76,W76)=1,1,"")</f>
        <v/>
      </c>
      <c r="W76" s="4" t="str">
        <f>CONCATENATE(DbLinkTable[[#This Row],[Customer]],UPPER(DbLinkTable[[#This Row],[Trailer Number]]),DbLinkTable[[#This Row],[Day Received]])</f>
        <v>Company1414441766</v>
      </c>
      <c r="X76" s="4">
        <f>DATEVALUE(TEXT(DbLinkTable[[#This Row],[Date Received]],"MMMM YYYY"))</f>
        <v>41760</v>
      </c>
      <c r="Y76" s="4">
        <f>INT(DbLinkTable[[#This Row],[Date Received]])</f>
        <v>41766</v>
      </c>
    </row>
    <row r="77" spans="1:25">
      <c r="A77">
        <v>5823</v>
      </c>
      <c r="B77" t="s">
        <v>46</v>
      </c>
      <c r="C77" t="s">
        <v>1528</v>
      </c>
      <c r="D77">
        <v>104</v>
      </c>
      <c r="E77" t="s">
        <v>1519</v>
      </c>
      <c r="F77" s="4">
        <v>41766</v>
      </c>
      <c r="G77" s="4" t="s">
        <v>192</v>
      </c>
      <c r="H77" s="4" t="s">
        <v>1525</v>
      </c>
      <c r="I77" s="4">
        <v>0</v>
      </c>
      <c r="J77" s="4"/>
      <c r="K77" s="4"/>
      <c r="L77" s="4"/>
      <c r="M77" s="4"/>
      <c r="N77" s="4"/>
      <c r="O77" s="4">
        <v>0</v>
      </c>
      <c r="P77" s="4">
        <v>41788.522962962961</v>
      </c>
      <c r="Q77" s="4"/>
      <c r="R77" s="4"/>
      <c r="S77" s="79">
        <f>DbLinkTable[[#This Row],[Credit]]+DbLinkTable[[#This Row],[Charge]]</f>
        <v>0</v>
      </c>
      <c r="T77" s="79">
        <f>IF(DbLinkTable[[#This Row],[Price/lb]]*DbLinkTable[[#This Row],[Weight]]&gt;0,DbLinkTable[[#This Row],[Price/lb]]*DbLinkTable[[#This Row],[Weight]],0)</f>
        <v>0</v>
      </c>
      <c r="U77" s="79">
        <f>IF(DbLinkTable[[#This Row],[Price/lb]]*DbLinkTable[[#This Row],[Weight]]&lt;0,DbLinkTable[[#This Row],[Price/lb]]*DbLinkTable[[#This Row],[Weight]],0)</f>
        <v>0</v>
      </c>
      <c r="V77" s="4" t="str">
        <f>IF(COUNTIF($W$2:W77,W77)=1,1,"")</f>
        <v/>
      </c>
      <c r="W77" s="4" t="str">
        <f>CONCATENATE(DbLinkTable[[#This Row],[Customer]],UPPER(DbLinkTable[[#This Row],[Trailer Number]]),DbLinkTable[[#This Row],[Day Received]])</f>
        <v>Company1414441766</v>
      </c>
      <c r="X77" s="4">
        <f>DATEVALUE(TEXT(DbLinkTable[[#This Row],[Date Received]],"MMMM YYYY"))</f>
        <v>41760</v>
      </c>
      <c r="Y77" s="4">
        <f>INT(DbLinkTable[[#This Row],[Date Received]])</f>
        <v>41766</v>
      </c>
    </row>
    <row r="78" spans="1:25">
      <c r="A78">
        <v>5824</v>
      </c>
      <c r="B78" t="s">
        <v>46</v>
      </c>
      <c r="C78" t="s">
        <v>1528</v>
      </c>
      <c r="D78">
        <v>150</v>
      </c>
      <c r="E78" t="s">
        <v>1519</v>
      </c>
      <c r="F78" s="4">
        <v>41766</v>
      </c>
      <c r="G78" s="4" t="s">
        <v>192</v>
      </c>
      <c r="H78" s="4" t="s">
        <v>1525</v>
      </c>
      <c r="I78" s="4">
        <v>0</v>
      </c>
      <c r="J78" s="4"/>
      <c r="K78" s="4"/>
      <c r="L78" s="4"/>
      <c r="M78" s="4"/>
      <c r="N78" s="4"/>
      <c r="O78" s="4">
        <v>0</v>
      </c>
      <c r="P78" s="4">
        <v>41788.523009259261</v>
      </c>
      <c r="Q78" s="4"/>
      <c r="R78" s="4"/>
      <c r="S78" s="79">
        <f>DbLinkTable[[#This Row],[Credit]]+DbLinkTable[[#This Row],[Charge]]</f>
        <v>0</v>
      </c>
      <c r="T78" s="79">
        <f>IF(DbLinkTable[[#This Row],[Price/lb]]*DbLinkTable[[#This Row],[Weight]]&gt;0,DbLinkTable[[#This Row],[Price/lb]]*DbLinkTable[[#This Row],[Weight]],0)</f>
        <v>0</v>
      </c>
      <c r="U78" s="79">
        <f>IF(DbLinkTable[[#This Row],[Price/lb]]*DbLinkTable[[#This Row],[Weight]]&lt;0,DbLinkTable[[#This Row],[Price/lb]]*DbLinkTable[[#This Row],[Weight]],0)</f>
        <v>0</v>
      </c>
      <c r="V78" s="4" t="str">
        <f>IF(COUNTIF($W$2:W78,W78)=1,1,"")</f>
        <v/>
      </c>
      <c r="W78" s="4" t="str">
        <f>CONCATENATE(DbLinkTable[[#This Row],[Customer]],UPPER(DbLinkTable[[#This Row],[Trailer Number]]),DbLinkTable[[#This Row],[Day Received]])</f>
        <v>Company1414441766</v>
      </c>
      <c r="X78" s="4">
        <f>DATEVALUE(TEXT(DbLinkTable[[#This Row],[Date Received]],"MMMM YYYY"))</f>
        <v>41760</v>
      </c>
      <c r="Y78" s="4">
        <f>INT(DbLinkTable[[#This Row],[Date Received]])</f>
        <v>41766</v>
      </c>
    </row>
    <row r="79" spans="1:25">
      <c r="A79">
        <v>5825</v>
      </c>
      <c r="B79" t="s">
        <v>46</v>
      </c>
      <c r="C79" t="s">
        <v>1528</v>
      </c>
      <c r="D79">
        <v>102</v>
      </c>
      <c r="E79" t="s">
        <v>1519</v>
      </c>
      <c r="F79" s="4">
        <v>41766</v>
      </c>
      <c r="G79" s="4" t="s">
        <v>192</v>
      </c>
      <c r="H79" s="4" t="s">
        <v>1525</v>
      </c>
      <c r="I79" s="4">
        <v>0</v>
      </c>
      <c r="J79" s="4"/>
      <c r="K79" s="4"/>
      <c r="L79" s="4"/>
      <c r="M79" s="4"/>
      <c r="N79" s="4"/>
      <c r="O79" s="4">
        <v>0</v>
      </c>
      <c r="P79" s="4">
        <v>41788.52306712963</v>
      </c>
      <c r="Q79" s="4"/>
      <c r="R79" s="4"/>
      <c r="S79" s="79">
        <f>DbLinkTable[[#This Row],[Credit]]+DbLinkTable[[#This Row],[Charge]]</f>
        <v>0</v>
      </c>
      <c r="T79" s="79">
        <f>IF(DbLinkTable[[#This Row],[Price/lb]]*DbLinkTable[[#This Row],[Weight]]&gt;0,DbLinkTable[[#This Row],[Price/lb]]*DbLinkTable[[#This Row],[Weight]],0)</f>
        <v>0</v>
      </c>
      <c r="U79" s="79">
        <f>IF(DbLinkTable[[#This Row],[Price/lb]]*DbLinkTable[[#This Row],[Weight]]&lt;0,DbLinkTable[[#This Row],[Price/lb]]*DbLinkTable[[#This Row],[Weight]],0)</f>
        <v>0</v>
      </c>
      <c r="V79" s="4" t="str">
        <f>IF(COUNTIF($W$2:W79,W79)=1,1,"")</f>
        <v/>
      </c>
      <c r="W79" s="4" t="str">
        <f>CONCATENATE(DbLinkTable[[#This Row],[Customer]],UPPER(DbLinkTable[[#This Row],[Trailer Number]]),DbLinkTable[[#This Row],[Day Received]])</f>
        <v>Company1414441766</v>
      </c>
      <c r="X79" s="4">
        <f>DATEVALUE(TEXT(DbLinkTable[[#This Row],[Date Received]],"MMMM YYYY"))</f>
        <v>41760</v>
      </c>
      <c r="Y79" s="4">
        <f>INT(DbLinkTable[[#This Row],[Date Received]])</f>
        <v>41766</v>
      </c>
    </row>
    <row r="80" spans="1:25">
      <c r="A80">
        <v>5826</v>
      </c>
      <c r="B80" t="s">
        <v>46</v>
      </c>
      <c r="C80" t="s">
        <v>1528</v>
      </c>
      <c r="D80">
        <v>103</v>
      </c>
      <c r="E80" t="s">
        <v>1519</v>
      </c>
      <c r="F80" s="4">
        <v>41766</v>
      </c>
      <c r="G80" s="4" t="s">
        <v>192</v>
      </c>
      <c r="H80" s="4" t="s">
        <v>1525</v>
      </c>
      <c r="I80" s="4">
        <v>0</v>
      </c>
      <c r="J80" s="4"/>
      <c r="K80" s="4"/>
      <c r="L80" s="4"/>
      <c r="M80" s="4"/>
      <c r="N80" s="4"/>
      <c r="O80" s="4">
        <v>0</v>
      </c>
      <c r="P80" s="4">
        <v>41788.523101851853</v>
      </c>
      <c r="Q80" s="4"/>
      <c r="R80" s="4"/>
      <c r="S80" s="79">
        <f>DbLinkTable[[#This Row],[Credit]]+DbLinkTable[[#This Row],[Charge]]</f>
        <v>0</v>
      </c>
      <c r="T80" s="79">
        <f>IF(DbLinkTable[[#This Row],[Price/lb]]*DbLinkTable[[#This Row],[Weight]]&gt;0,DbLinkTable[[#This Row],[Price/lb]]*DbLinkTable[[#This Row],[Weight]],0)</f>
        <v>0</v>
      </c>
      <c r="U80" s="79">
        <f>IF(DbLinkTable[[#This Row],[Price/lb]]*DbLinkTable[[#This Row],[Weight]]&lt;0,DbLinkTable[[#This Row],[Price/lb]]*DbLinkTable[[#This Row],[Weight]],0)</f>
        <v>0</v>
      </c>
      <c r="V80" s="4" t="str">
        <f>IF(COUNTIF($W$2:W80,W80)=1,1,"")</f>
        <v/>
      </c>
      <c r="W80" s="4" t="str">
        <f>CONCATENATE(DbLinkTable[[#This Row],[Customer]],UPPER(DbLinkTable[[#This Row],[Trailer Number]]),DbLinkTable[[#This Row],[Day Received]])</f>
        <v>Company1414441766</v>
      </c>
      <c r="X80" s="4">
        <f>DATEVALUE(TEXT(DbLinkTable[[#This Row],[Date Received]],"MMMM YYYY"))</f>
        <v>41760</v>
      </c>
      <c r="Y80" s="4">
        <f>INT(DbLinkTable[[#This Row],[Date Received]])</f>
        <v>41766</v>
      </c>
    </row>
    <row r="81" spans="1:25">
      <c r="A81">
        <v>5827</v>
      </c>
      <c r="B81" t="s">
        <v>46</v>
      </c>
      <c r="C81" t="s">
        <v>1528</v>
      </c>
      <c r="D81">
        <v>156</v>
      </c>
      <c r="E81" t="s">
        <v>1519</v>
      </c>
      <c r="F81" s="4">
        <v>41766</v>
      </c>
      <c r="G81" s="4" t="s">
        <v>192</v>
      </c>
      <c r="H81" s="4" t="s">
        <v>1525</v>
      </c>
      <c r="I81" s="4">
        <v>0</v>
      </c>
      <c r="J81" s="4"/>
      <c r="K81" s="4"/>
      <c r="L81" s="4"/>
      <c r="M81" s="4"/>
      <c r="N81" s="4"/>
      <c r="O81" s="4">
        <v>0</v>
      </c>
      <c r="P81" s="4">
        <v>41788.523148148146</v>
      </c>
      <c r="Q81" s="4"/>
      <c r="R81" s="4"/>
      <c r="S81" s="79">
        <f>DbLinkTable[[#This Row],[Credit]]+DbLinkTable[[#This Row],[Charge]]</f>
        <v>0</v>
      </c>
      <c r="T81" s="79">
        <f>IF(DbLinkTable[[#This Row],[Price/lb]]*DbLinkTable[[#This Row],[Weight]]&gt;0,DbLinkTable[[#This Row],[Price/lb]]*DbLinkTable[[#This Row],[Weight]],0)</f>
        <v>0</v>
      </c>
      <c r="U81" s="79">
        <f>IF(DbLinkTable[[#This Row],[Price/lb]]*DbLinkTable[[#This Row],[Weight]]&lt;0,DbLinkTable[[#This Row],[Price/lb]]*DbLinkTable[[#This Row],[Weight]],0)</f>
        <v>0</v>
      </c>
      <c r="V81" s="4" t="str">
        <f>IF(COUNTIF($W$2:W81,W81)=1,1,"")</f>
        <v/>
      </c>
      <c r="W81" s="4" t="str">
        <f>CONCATENATE(DbLinkTable[[#This Row],[Customer]],UPPER(DbLinkTable[[#This Row],[Trailer Number]]),DbLinkTable[[#This Row],[Day Received]])</f>
        <v>Company1414441766</v>
      </c>
      <c r="X81" s="4">
        <f>DATEVALUE(TEXT(DbLinkTable[[#This Row],[Date Received]],"MMMM YYYY"))</f>
        <v>41760</v>
      </c>
      <c r="Y81" s="4">
        <f>INT(DbLinkTable[[#This Row],[Date Received]])</f>
        <v>41766</v>
      </c>
    </row>
    <row r="82" spans="1:25">
      <c r="A82">
        <v>5828</v>
      </c>
      <c r="B82" t="s">
        <v>46</v>
      </c>
      <c r="C82" t="s">
        <v>1528</v>
      </c>
      <c r="D82">
        <v>101</v>
      </c>
      <c r="E82" t="s">
        <v>1519</v>
      </c>
      <c r="F82" s="4">
        <v>41766</v>
      </c>
      <c r="G82" s="4" t="s">
        <v>192</v>
      </c>
      <c r="H82" s="4" t="s">
        <v>1525</v>
      </c>
      <c r="I82" s="4">
        <v>0</v>
      </c>
      <c r="J82" s="4"/>
      <c r="K82" s="4"/>
      <c r="L82" s="4"/>
      <c r="M82" s="4"/>
      <c r="N82" s="4"/>
      <c r="O82" s="4">
        <v>0</v>
      </c>
      <c r="P82" s="4">
        <v>41788.523182870369</v>
      </c>
      <c r="Q82" s="4"/>
      <c r="R82" s="4"/>
      <c r="S82" s="79">
        <f>DbLinkTable[[#This Row],[Credit]]+DbLinkTable[[#This Row],[Charge]]</f>
        <v>0</v>
      </c>
      <c r="T82" s="79">
        <f>IF(DbLinkTable[[#This Row],[Price/lb]]*DbLinkTable[[#This Row],[Weight]]&gt;0,DbLinkTable[[#This Row],[Price/lb]]*DbLinkTable[[#This Row],[Weight]],0)</f>
        <v>0</v>
      </c>
      <c r="U82" s="79">
        <f>IF(DbLinkTable[[#This Row],[Price/lb]]*DbLinkTable[[#This Row],[Weight]]&lt;0,DbLinkTable[[#This Row],[Price/lb]]*DbLinkTable[[#This Row],[Weight]],0)</f>
        <v>0</v>
      </c>
      <c r="V82" s="4" t="str">
        <f>IF(COUNTIF($W$2:W82,W82)=1,1,"")</f>
        <v/>
      </c>
      <c r="W82" s="4" t="str">
        <f>CONCATENATE(DbLinkTable[[#This Row],[Customer]],UPPER(DbLinkTable[[#This Row],[Trailer Number]]),DbLinkTable[[#This Row],[Day Received]])</f>
        <v>Company1414441766</v>
      </c>
      <c r="X82" s="4">
        <f>DATEVALUE(TEXT(DbLinkTable[[#This Row],[Date Received]],"MMMM YYYY"))</f>
        <v>41760</v>
      </c>
      <c r="Y82" s="4">
        <f>INT(DbLinkTable[[#This Row],[Date Received]])</f>
        <v>41766</v>
      </c>
    </row>
    <row r="83" spans="1:25">
      <c r="A83">
        <v>5829</v>
      </c>
      <c r="B83" t="s">
        <v>46</v>
      </c>
      <c r="C83" t="s">
        <v>1528</v>
      </c>
      <c r="D83">
        <v>153</v>
      </c>
      <c r="E83" t="s">
        <v>1519</v>
      </c>
      <c r="F83" s="4">
        <v>41766</v>
      </c>
      <c r="G83" s="4" t="s">
        <v>192</v>
      </c>
      <c r="H83" s="4" t="s">
        <v>1525</v>
      </c>
      <c r="I83" s="4">
        <v>0</v>
      </c>
      <c r="J83" s="4"/>
      <c r="K83" s="4"/>
      <c r="L83" s="4"/>
      <c r="M83" s="4"/>
      <c r="N83" s="4"/>
      <c r="O83" s="4">
        <v>0</v>
      </c>
      <c r="P83" s="4">
        <v>41788.523229166669</v>
      </c>
      <c r="Q83" s="4"/>
      <c r="R83" s="4"/>
      <c r="S83" s="79">
        <f>DbLinkTable[[#This Row],[Credit]]+DbLinkTable[[#This Row],[Charge]]</f>
        <v>0</v>
      </c>
      <c r="T83" s="79">
        <f>IF(DbLinkTable[[#This Row],[Price/lb]]*DbLinkTable[[#This Row],[Weight]]&gt;0,DbLinkTable[[#This Row],[Price/lb]]*DbLinkTable[[#This Row],[Weight]],0)</f>
        <v>0</v>
      </c>
      <c r="U83" s="79">
        <f>IF(DbLinkTable[[#This Row],[Price/lb]]*DbLinkTable[[#This Row],[Weight]]&lt;0,DbLinkTable[[#This Row],[Price/lb]]*DbLinkTable[[#This Row],[Weight]],0)</f>
        <v>0</v>
      </c>
      <c r="V83" s="4" t="str">
        <f>IF(COUNTIF($W$2:W83,W83)=1,1,"")</f>
        <v/>
      </c>
      <c r="W83" s="4" t="str">
        <f>CONCATENATE(DbLinkTable[[#This Row],[Customer]],UPPER(DbLinkTable[[#This Row],[Trailer Number]]),DbLinkTable[[#This Row],[Day Received]])</f>
        <v>Company1414441766</v>
      </c>
      <c r="X83" s="4">
        <f>DATEVALUE(TEXT(DbLinkTable[[#This Row],[Date Received]],"MMMM YYYY"))</f>
        <v>41760</v>
      </c>
      <c r="Y83" s="4">
        <f>INT(DbLinkTable[[#This Row],[Date Received]])</f>
        <v>41766</v>
      </c>
    </row>
    <row r="84" spans="1:25">
      <c r="A84">
        <v>5830</v>
      </c>
      <c r="B84" t="s">
        <v>46</v>
      </c>
      <c r="C84" t="s">
        <v>1528</v>
      </c>
      <c r="D84">
        <v>101</v>
      </c>
      <c r="E84" t="s">
        <v>1519</v>
      </c>
      <c r="F84" s="4">
        <v>41766</v>
      </c>
      <c r="G84" s="4" t="s">
        <v>192</v>
      </c>
      <c r="H84" s="4" t="s">
        <v>1525</v>
      </c>
      <c r="I84" s="4">
        <v>0</v>
      </c>
      <c r="J84" s="4"/>
      <c r="K84" s="4"/>
      <c r="L84" s="4"/>
      <c r="M84" s="4"/>
      <c r="N84" s="4"/>
      <c r="O84" s="4">
        <v>0</v>
      </c>
      <c r="P84" s="4">
        <v>41788.523263888892</v>
      </c>
      <c r="Q84" s="4"/>
      <c r="R84" s="4"/>
      <c r="S84" s="79">
        <f>DbLinkTable[[#This Row],[Credit]]+DbLinkTable[[#This Row],[Charge]]</f>
        <v>0</v>
      </c>
      <c r="T84" s="79">
        <f>IF(DbLinkTable[[#This Row],[Price/lb]]*DbLinkTable[[#This Row],[Weight]]&gt;0,DbLinkTable[[#This Row],[Price/lb]]*DbLinkTable[[#This Row],[Weight]],0)</f>
        <v>0</v>
      </c>
      <c r="U84" s="79">
        <f>IF(DbLinkTable[[#This Row],[Price/lb]]*DbLinkTable[[#This Row],[Weight]]&lt;0,DbLinkTable[[#This Row],[Price/lb]]*DbLinkTable[[#This Row],[Weight]],0)</f>
        <v>0</v>
      </c>
      <c r="V84" s="4" t="str">
        <f>IF(COUNTIF($W$2:W84,W84)=1,1,"")</f>
        <v/>
      </c>
      <c r="W84" s="4" t="str">
        <f>CONCATENATE(DbLinkTable[[#This Row],[Customer]],UPPER(DbLinkTable[[#This Row],[Trailer Number]]),DbLinkTable[[#This Row],[Day Received]])</f>
        <v>Company1414441766</v>
      </c>
      <c r="X84" s="4">
        <f>DATEVALUE(TEXT(DbLinkTable[[#This Row],[Date Received]],"MMMM YYYY"))</f>
        <v>41760</v>
      </c>
      <c r="Y84" s="4">
        <f>INT(DbLinkTable[[#This Row],[Date Received]])</f>
        <v>41766</v>
      </c>
    </row>
    <row r="85" spans="1:25">
      <c r="A85">
        <v>5831</v>
      </c>
      <c r="B85" t="s">
        <v>46</v>
      </c>
      <c r="C85" t="s">
        <v>1528</v>
      </c>
      <c r="D85">
        <v>100</v>
      </c>
      <c r="E85" t="s">
        <v>1519</v>
      </c>
      <c r="F85" s="4">
        <v>41766</v>
      </c>
      <c r="G85" s="4" t="s">
        <v>192</v>
      </c>
      <c r="H85" s="4" t="s">
        <v>1525</v>
      </c>
      <c r="I85" s="4">
        <v>0</v>
      </c>
      <c r="J85" s="4"/>
      <c r="K85" s="4"/>
      <c r="L85" s="4"/>
      <c r="M85" s="4"/>
      <c r="N85" s="4"/>
      <c r="O85" s="4">
        <v>0</v>
      </c>
      <c r="P85" s="4">
        <v>41788.523310185185</v>
      </c>
      <c r="Q85" s="4"/>
      <c r="R85" s="4"/>
      <c r="S85" s="79">
        <f>DbLinkTable[[#This Row],[Credit]]+DbLinkTable[[#This Row],[Charge]]</f>
        <v>0</v>
      </c>
      <c r="T85" s="79">
        <f>IF(DbLinkTable[[#This Row],[Price/lb]]*DbLinkTable[[#This Row],[Weight]]&gt;0,DbLinkTable[[#This Row],[Price/lb]]*DbLinkTable[[#This Row],[Weight]],0)</f>
        <v>0</v>
      </c>
      <c r="U85" s="79">
        <f>IF(DbLinkTable[[#This Row],[Price/lb]]*DbLinkTable[[#This Row],[Weight]]&lt;0,DbLinkTable[[#This Row],[Price/lb]]*DbLinkTable[[#This Row],[Weight]],0)</f>
        <v>0</v>
      </c>
      <c r="V85" s="4" t="str">
        <f>IF(COUNTIF($W$2:W85,W85)=1,1,"")</f>
        <v/>
      </c>
      <c r="W85" s="4" t="str">
        <f>CONCATENATE(DbLinkTable[[#This Row],[Customer]],UPPER(DbLinkTable[[#This Row],[Trailer Number]]),DbLinkTable[[#This Row],[Day Received]])</f>
        <v>Company1414441766</v>
      </c>
      <c r="X85" s="4">
        <f>DATEVALUE(TEXT(DbLinkTable[[#This Row],[Date Received]],"MMMM YYYY"))</f>
        <v>41760</v>
      </c>
      <c r="Y85" s="4">
        <f>INT(DbLinkTable[[#This Row],[Date Received]])</f>
        <v>41766</v>
      </c>
    </row>
    <row r="86" spans="1:25">
      <c r="A86">
        <v>5832</v>
      </c>
      <c r="B86" t="s">
        <v>46</v>
      </c>
      <c r="D86">
        <v>65</v>
      </c>
      <c r="E86" t="s">
        <v>1519</v>
      </c>
      <c r="F86" s="4">
        <v>41766</v>
      </c>
      <c r="G86" s="4" t="s">
        <v>192</v>
      </c>
      <c r="H86" s="4" t="s">
        <v>1525</v>
      </c>
      <c r="I86" s="4">
        <v>0</v>
      </c>
      <c r="J86" s="4"/>
      <c r="K86" s="4"/>
      <c r="L86" s="4"/>
      <c r="M86" s="4"/>
      <c r="N86" s="4"/>
      <c r="O86" s="4">
        <v>0</v>
      </c>
      <c r="P86" s="4">
        <v>41788.524074074077</v>
      </c>
      <c r="Q86" s="4"/>
      <c r="R86" s="4"/>
      <c r="S86" s="79">
        <f>DbLinkTable[[#This Row],[Credit]]+DbLinkTable[[#This Row],[Charge]]</f>
        <v>0</v>
      </c>
      <c r="T86" s="79">
        <f>IF(DbLinkTable[[#This Row],[Price/lb]]*DbLinkTable[[#This Row],[Weight]]&gt;0,DbLinkTable[[#This Row],[Price/lb]]*DbLinkTable[[#This Row],[Weight]],0)</f>
        <v>0</v>
      </c>
      <c r="U86" s="79">
        <f>IF(DbLinkTable[[#This Row],[Price/lb]]*DbLinkTable[[#This Row],[Weight]]&lt;0,DbLinkTable[[#This Row],[Price/lb]]*DbLinkTable[[#This Row],[Weight]],0)</f>
        <v>0</v>
      </c>
      <c r="V86" s="4" t="str">
        <f>IF(COUNTIF($W$2:W86,W86)=1,1,"")</f>
        <v/>
      </c>
      <c r="W86" s="4" t="str">
        <f>CONCATENATE(DbLinkTable[[#This Row],[Customer]],UPPER(DbLinkTable[[#This Row],[Trailer Number]]),DbLinkTable[[#This Row],[Day Received]])</f>
        <v>Company1414441766</v>
      </c>
      <c r="X86" s="4">
        <f>DATEVALUE(TEXT(DbLinkTable[[#This Row],[Date Received]],"MMMM YYYY"))</f>
        <v>41760</v>
      </c>
      <c r="Y86" s="4">
        <f>INT(DbLinkTable[[#This Row],[Date Received]])</f>
        <v>41766</v>
      </c>
    </row>
    <row r="87" spans="1:25">
      <c r="A87">
        <v>5833</v>
      </c>
      <c r="B87" t="s">
        <v>46</v>
      </c>
      <c r="D87">
        <v>95</v>
      </c>
      <c r="E87" t="s">
        <v>1519</v>
      </c>
      <c r="F87" s="4">
        <v>41766</v>
      </c>
      <c r="G87" s="4" t="s">
        <v>192</v>
      </c>
      <c r="H87" s="4" t="s">
        <v>1525</v>
      </c>
      <c r="I87" s="4">
        <v>0</v>
      </c>
      <c r="J87" s="4"/>
      <c r="K87" s="4"/>
      <c r="L87" s="4"/>
      <c r="M87" s="4"/>
      <c r="N87" s="4"/>
      <c r="O87" s="4">
        <v>0</v>
      </c>
      <c r="P87" s="4">
        <v>41788.524097222224</v>
      </c>
      <c r="Q87" s="4"/>
      <c r="R87" s="4"/>
      <c r="S87" s="79">
        <f>DbLinkTable[[#This Row],[Credit]]+DbLinkTable[[#This Row],[Charge]]</f>
        <v>0</v>
      </c>
      <c r="T87" s="79">
        <f>IF(DbLinkTable[[#This Row],[Price/lb]]*DbLinkTable[[#This Row],[Weight]]&gt;0,DbLinkTable[[#This Row],[Price/lb]]*DbLinkTable[[#This Row],[Weight]],0)</f>
        <v>0</v>
      </c>
      <c r="U87" s="79">
        <f>IF(DbLinkTable[[#This Row],[Price/lb]]*DbLinkTable[[#This Row],[Weight]]&lt;0,DbLinkTable[[#This Row],[Price/lb]]*DbLinkTable[[#This Row],[Weight]],0)</f>
        <v>0</v>
      </c>
      <c r="V87" s="4" t="str">
        <f>IF(COUNTIF($W$2:W87,W87)=1,1,"")</f>
        <v/>
      </c>
      <c r="W87" s="4" t="str">
        <f>CONCATENATE(DbLinkTable[[#This Row],[Customer]],UPPER(DbLinkTable[[#This Row],[Trailer Number]]),DbLinkTable[[#This Row],[Day Received]])</f>
        <v>Company1414441766</v>
      </c>
      <c r="X87" s="4">
        <f>DATEVALUE(TEXT(DbLinkTable[[#This Row],[Date Received]],"MMMM YYYY"))</f>
        <v>41760</v>
      </c>
      <c r="Y87" s="4">
        <f>INT(DbLinkTable[[#This Row],[Date Received]])</f>
        <v>41766</v>
      </c>
    </row>
    <row r="88" spans="1:25">
      <c r="A88">
        <v>5834</v>
      </c>
      <c r="B88" t="s">
        <v>46</v>
      </c>
      <c r="D88">
        <v>70</v>
      </c>
      <c r="E88" t="s">
        <v>1519</v>
      </c>
      <c r="F88" s="4">
        <v>41766</v>
      </c>
      <c r="G88" s="4" t="s">
        <v>192</v>
      </c>
      <c r="H88" s="4" t="s">
        <v>1525</v>
      </c>
      <c r="I88" s="4">
        <v>0</v>
      </c>
      <c r="J88" s="4"/>
      <c r="K88" s="4"/>
      <c r="L88" s="4"/>
      <c r="M88" s="4"/>
      <c r="N88" s="4"/>
      <c r="O88" s="4">
        <v>0</v>
      </c>
      <c r="P88" s="4">
        <v>41788.524189814816</v>
      </c>
      <c r="Q88" s="4"/>
      <c r="R88" s="4"/>
      <c r="S88" s="79">
        <f>DbLinkTable[[#This Row],[Credit]]+DbLinkTable[[#This Row],[Charge]]</f>
        <v>0</v>
      </c>
      <c r="T88" s="79">
        <f>IF(DbLinkTable[[#This Row],[Price/lb]]*DbLinkTable[[#This Row],[Weight]]&gt;0,DbLinkTable[[#This Row],[Price/lb]]*DbLinkTable[[#This Row],[Weight]],0)</f>
        <v>0</v>
      </c>
      <c r="U88" s="79">
        <f>IF(DbLinkTable[[#This Row],[Price/lb]]*DbLinkTable[[#This Row],[Weight]]&lt;0,DbLinkTable[[#This Row],[Price/lb]]*DbLinkTable[[#This Row],[Weight]],0)</f>
        <v>0</v>
      </c>
      <c r="V88" s="4" t="str">
        <f>IF(COUNTIF($W$2:W88,W88)=1,1,"")</f>
        <v/>
      </c>
      <c r="W88" s="4" t="str">
        <f>CONCATENATE(DbLinkTable[[#This Row],[Customer]],UPPER(DbLinkTable[[#This Row],[Trailer Number]]),DbLinkTable[[#This Row],[Day Received]])</f>
        <v>Company1414441766</v>
      </c>
      <c r="X88" s="4">
        <f>DATEVALUE(TEXT(DbLinkTable[[#This Row],[Date Received]],"MMMM YYYY"))</f>
        <v>41760</v>
      </c>
      <c r="Y88" s="4">
        <f>INT(DbLinkTable[[#This Row],[Date Received]])</f>
        <v>41766</v>
      </c>
    </row>
    <row r="89" spans="1:25">
      <c r="A89">
        <v>5835</v>
      </c>
      <c r="B89" t="s">
        <v>46</v>
      </c>
      <c r="D89">
        <v>100</v>
      </c>
      <c r="E89" t="s">
        <v>1519</v>
      </c>
      <c r="F89" s="4">
        <v>41766</v>
      </c>
      <c r="G89" s="4" t="s">
        <v>192</v>
      </c>
      <c r="H89" s="4" t="s">
        <v>1525</v>
      </c>
      <c r="I89" s="4">
        <v>0</v>
      </c>
      <c r="J89" s="4"/>
      <c r="K89" s="4"/>
      <c r="L89" s="4"/>
      <c r="M89" s="4"/>
      <c r="N89" s="4"/>
      <c r="O89" s="4">
        <v>0</v>
      </c>
      <c r="P89" s="4">
        <v>41788.524212962962</v>
      </c>
      <c r="Q89" s="4"/>
      <c r="R89" s="4"/>
      <c r="S89" s="79">
        <f>DbLinkTable[[#This Row],[Credit]]+DbLinkTable[[#This Row],[Charge]]</f>
        <v>0</v>
      </c>
      <c r="T89" s="79">
        <f>IF(DbLinkTable[[#This Row],[Price/lb]]*DbLinkTable[[#This Row],[Weight]]&gt;0,DbLinkTable[[#This Row],[Price/lb]]*DbLinkTable[[#This Row],[Weight]],0)</f>
        <v>0</v>
      </c>
      <c r="U89" s="79">
        <f>IF(DbLinkTable[[#This Row],[Price/lb]]*DbLinkTable[[#This Row],[Weight]]&lt;0,DbLinkTable[[#This Row],[Price/lb]]*DbLinkTable[[#This Row],[Weight]],0)</f>
        <v>0</v>
      </c>
      <c r="V89" s="4" t="str">
        <f>IF(COUNTIF($W$2:W89,W89)=1,1,"")</f>
        <v/>
      </c>
      <c r="W89" s="4" t="str">
        <f>CONCATENATE(DbLinkTable[[#This Row],[Customer]],UPPER(DbLinkTable[[#This Row],[Trailer Number]]),DbLinkTable[[#This Row],[Day Received]])</f>
        <v>Company1414441766</v>
      </c>
      <c r="X89" s="4">
        <f>DATEVALUE(TEXT(DbLinkTable[[#This Row],[Date Received]],"MMMM YYYY"))</f>
        <v>41760</v>
      </c>
      <c r="Y89" s="4">
        <f>INT(DbLinkTable[[#This Row],[Date Received]])</f>
        <v>41766</v>
      </c>
    </row>
    <row r="90" spans="1:25">
      <c r="A90">
        <v>5836</v>
      </c>
      <c r="B90" t="s">
        <v>46</v>
      </c>
      <c r="D90">
        <v>104</v>
      </c>
      <c r="E90" t="s">
        <v>1519</v>
      </c>
      <c r="F90" s="4">
        <v>41766</v>
      </c>
      <c r="G90" s="4" t="s">
        <v>192</v>
      </c>
      <c r="H90" s="4" t="s">
        <v>1525</v>
      </c>
      <c r="I90" s="4">
        <v>0</v>
      </c>
      <c r="J90" s="4"/>
      <c r="K90" s="4"/>
      <c r="L90" s="4"/>
      <c r="M90" s="4"/>
      <c r="N90" s="4"/>
      <c r="O90" s="4">
        <v>0</v>
      </c>
      <c r="P90" s="4">
        <v>41788.525567129633</v>
      </c>
      <c r="Q90" s="4"/>
      <c r="R90" s="4"/>
      <c r="S90" s="79">
        <f>DbLinkTable[[#This Row],[Credit]]+DbLinkTable[[#This Row],[Charge]]</f>
        <v>0</v>
      </c>
      <c r="T90" s="79">
        <f>IF(DbLinkTable[[#This Row],[Price/lb]]*DbLinkTable[[#This Row],[Weight]]&gt;0,DbLinkTable[[#This Row],[Price/lb]]*DbLinkTable[[#This Row],[Weight]],0)</f>
        <v>0</v>
      </c>
      <c r="U90" s="79">
        <f>IF(DbLinkTable[[#This Row],[Price/lb]]*DbLinkTable[[#This Row],[Weight]]&lt;0,DbLinkTable[[#This Row],[Price/lb]]*DbLinkTable[[#This Row],[Weight]],0)</f>
        <v>0</v>
      </c>
      <c r="V90" s="4" t="str">
        <f>IF(COUNTIF($W$2:W90,W90)=1,1,"")</f>
        <v/>
      </c>
      <c r="W90" s="4" t="str">
        <f>CONCATENATE(DbLinkTable[[#This Row],[Customer]],UPPER(DbLinkTable[[#This Row],[Trailer Number]]),DbLinkTable[[#This Row],[Day Received]])</f>
        <v>Company1414441766</v>
      </c>
      <c r="X90" s="4">
        <f>DATEVALUE(TEXT(DbLinkTable[[#This Row],[Date Received]],"MMMM YYYY"))</f>
        <v>41760</v>
      </c>
      <c r="Y90" s="4">
        <f>INT(DbLinkTable[[#This Row],[Date Received]])</f>
        <v>41766</v>
      </c>
    </row>
    <row r="91" spans="1:25">
      <c r="A91">
        <v>5837</v>
      </c>
      <c r="B91" t="s">
        <v>1502</v>
      </c>
      <c r="D91">
        <v>584</v>
      </c>
      <c r="E91" t="s">
        <v>1519</v>
      </c>
      <c r="F91" s="4">
        <v>41766</v>
      </c>
      <c r="G91" s="4" t="s">
        <v>192</v>
      </c>
      <c r="H91" s="4" t="s">
        <v>1525</v>
      </c>
      <c r="I91" s="4">
        <v>0</v>
      </c>
      <c r="J91" s="4"/>
      <c r="K91" s="4"/>
      <c r="L91" s="4"/>
      <c r="M91" s="4"/>
      <c r="N91" s="4"/>
      <c r="O91" s="4">
        <v>0</v>
      </c>
      <c r="P91" s="4">
        <v>41788.525625000002</v>
      </c>
      <c r="Q91" s="4"/>
      <c r="R91" s="4"/>
      <c r="S91" s="79">
        <f>DbLinkTable[[#This Row],[Credit]]+DbLinkTable[[#This Row],[Charge]]</f>
        <v>0</v>
      </c>
      <c r="T91" s="79">
        <f>IF(DbLinkTable[[#This Row],[Price/lb]]*DbLinkTable[[#This Row],[Weight]]&gt;0,DbLinkTable[[#This Row],[Price/lb]]*DbLinkTable[[#This Row],[Weight]],0)</f>
        <v>0</v>
      </c>
      <c r="U91" s="79">
        <f>IF(DbLinkTable[[#This Row],[Price/lb]]*DbLinkTable[[#This Row],[Weight]]&lt;0,DbLinkTable[[#This Row],[Price/lb]]*DbLinkTable[[#This Row],[Weight]],0)</f>
        <v>0</v>
      </c>
      <c r="V91" s="4" t="str">
        <f>IF(COUNTIF($W$2:W91,W91)=1,1,"")</f>
        <v/>
      </c>
      <c r="W91" s="4" t="str">
        <f>CONCATENATE(DbLinkTable[[#This Row],[Customer]],UPPER(DbLinkTable[[#This Row],[Trailer Number]]),DbLinkTable[[#This Row],[Day Received]])</f>
        <v>Company1414441766</v>
      </c>
      <c r="X91" s="4">
        <f>DATEVALUE(TEXT(DbLinkTable[[#This Row],[Date Received]],"MMMM YYYY"))</f>
        <v>41760</v>
      </c>
      <c r="Y91" s="4">
        <f>INT(DbLinkTable[[#This Row],[Date Received]])</f>
        <v>41766</v>
      </c>
    </row>
    <row r="92" spans="1:25">
      <c r="A92">
        <v>5838</v>
      </c>
      <c r="B92" t="s">
        <v>1502</v>
      </c>
      <c r="D92">
        <v>465</v>
      </c>
      <c r="E92" t="s">
        <v>1519</v>
      </c>
      <c r="F92" s="4">
        <v>41766</v>
      </c>
      <c r="G92" s="4" t="s">
        <v>192</v>
      </c>
      <c r="H92" s="4" t="s">
        <v>1525</v>
      </c>
      <c r="I92" s="4">
        <v>0</v>
      </c>
      <c r="J92" s="4"/>
      <c r="K92" s="4"/>
      <c r="L92" s="4"/>
      <c r="M92" s="4"/>
      <c r="N92" s="4"/>
      <c r="O92" s="4">
        <v>0</v>
      </c>
      <c r="P92" s="4">
        <v>41788.525659722225</v>
      </c>
      <c r="Q92" s="4"/>
      <c r="R92" s="4"/>
      <c r="S92" s="79">
        <f>DbLinkTable[[#This Row],[Credit]]+DbLinkTable[[#This Row],[Charge]]</f>
        <v>0</v>
      </c>
      <c r="T92" s="79">
        <f>IF(DbLinkTable[[#This Row],[Price/lb]]*DbLinkTable[[#This Row],[Weight]]&gt;0,DbLinkTable[[#This Row],[Price/lb]]*DbLinkTable[[#This Row],[Weight]],0)</f>
        <v>0</v>
      </c>
      <c r="U92" s="79">
        <f>IF(DbLinkTable[[#This Row],[Price/lb]]*DbLinkTable[[#This Row],[Weight]]&lt;0,DbLinkTable[[#This Row],[Price/lb]]*DbLinkTable[[#This Row],[Weight]],0)</f>
        <v>0</v>
      </c>
      <c r="V92" s="4" t="str">
        <f>IF(COUNTIF($W$2:W92,W92)=1,1,"")</f>
        <v/>
      </c>
      <c r="W92" s="4" t="str">
        <f>CONCATENATE(DbLinkTable[[#This Row],[Customer]],UPPER(DbLinkTable[[#This Row],[Trailer Number]]),DbLinkTable[[#This Row],[Day Received]])</f>
        <v>Company1414441766</v>
      </c>
      <c r="X92" s="4">
        <f>DATEVALUE(TEXT(DbLinkTable[[#This Row],[Date Received]],"MMMM YYYY"))</f>
        <v>41760</v>
      </c>
      <c r="Y92" s="4">
        <f>INT(DbLinkTable[[#This Row],[Date Received]])</f>
        <v>41766</v>
      </c>
    </row>
    <row r="93" spans="1:25">
      <c r="A93">
        <v>5839</v>
      </c>
      <c r="B93" t="s">
        <v>1502</v>
      </c>
      <c r="D93">
        <v>20</v>
      </c>
      <c r="E93" t="s">
        <v>1519</v>
      </c>
      <c r="F93" s="4">
        <v>41766</v>
      </c>
      <c r="G93" s="4" t="s">
        <v>192</v>
      </c>
      <c r="H93" s="4" t="s">
        <v>1525</v>
      </c>
      <c r="I93" s="4">
        <v>0</v>
      </c>
      <c r="J93" s="4"/>
      <c r="K93" s="4"/>
      <c r="L93" s="4"/>
      <c r="M93" s="4"/>
      <c r="N93" s="4"/>
      <c r="O93" s="4">
        <v>0</v>
      </c>
      <c r="P93" s="4">
        <v>41788.525729166664</v>
      </c>
      <c r="Q93" s="4"/>
      <c r="R93" s="4"/>
      <c r="S93" s="79">
        <f>DbLinkTable[[#This Row],[Credit]]+DbLinkTable[[#This Row],[Charge]]</f>
        <v>0</v>
      </c>
      <c r="T93" s="79">
        <f>IF(DbLinkTable[[#This Row],[Price/lb]]*DbLinkTable[[#This Row],[Weight]]&gt;0,DbLinkTable[[#This Row],[Price/lb]]*DbLinkTable[[#This Row],[Weight]],0)</f>
        <v>0</v>
      </c>
      <c r="U93" s="79">
        <f>IF(DbLinkTable[[#This Row],[Price/lb]]*DbLinkTable[[#This Row],[Weight]]&lt;0,DbLinkTable[[#This Row],[Price/lb]]*DbLinkTable[[#This Row],[Weight]],0)</f>
        <v>0</v>
      </c>
      <c r="V93" s="4" t="str">
        <f>IF(COUNTIF($W$2:W93,W93)=1,1,"")</f>
        <v/>
      </c>
      <c r="W93" s="4" t="str">
        <f>CONCATENATE(DbLinkTable[[#This Row],[Customer]],UPPER(DbLinkTable[[#This Row],[Trailer Number]]),DbLinkTable[[#This Row],[Day Received]])</f>
        <v>Company1414441766</v>
      </c>
      <c r="X93" s="4">
        <f>DATEVALUE(TEXT(DbLinkTable[[#This Row],[Date Received]],"MMMM YYYY"))</f>
        <v>41760</v>
      </c>
      <c r="Y93" s="4">
        <f>INT(DbLinkTable[[#This Row],[Date Received]])</f>
        <v>41766</v>
      </c>
    </row>
    <row r="94" spans="1:25">
      <c r="A94">
        <v>5840</v>
      </c>
      <c r="B94" t="s">
        <v>1508</v>
      </c>
      <c r="D94">
        <v>250</v>
      </c>
      <c r="E94" t="s">
        <v>1519</v>
      </c>
      <c r="F94" s="4">
        <v>41766</v>
      </c>
      <c r="G94" s="4" t="s">
        <v>192</v>
      </c>
      <c r="H94" s="4" t="s">
        <v>1525</v>
      </c>
      <c r="I94" s="4">
        <v>0</v>
      </c>
      <c r="J94" s="4"/>
      <c r="K94" s="4"/>
      <c r="L94" s="4"/>
      <c r="M94" s="4"/>
      <c r="N94" s="4"/>
      <c r="O94" s="4">
        <v>0</v>
      </c>
      <c r="P94" s="4">
        <v>41788.52579861111</v>
      </c>
      <c r="Q94" s="4"/>
      <c r="R94" s="4"/>
      <c r="S94" s="79">
        <f>DbLinkTable[[#This Row],[Credit]]+DbLinkTable[[#This Row],[Charge]]</f>
        <v>0</v>
      </c>
      <c r="T94" s="79">
        <f>IF(DbLinkTable[[#This Row],[Price/lb]]*DbLinkTable[[#This Row],[Weight]]&gt;0,DbLinkTable[[#This Row],[Price/lb]]*DbLinkTable[[#This Row],[Weight]],0)</f>
        <v>0</v>
      </c>
      <c r="U94" s="79">
        <f>IF(DbLinkTable[[#This Row],[Price/lb]]*DbLinkTable[[#This Row],[Weight]]&lt;0,DbLinkTable[[#This Row],[Price/lb]]*DbLinkTable[[#This Row],[Weight]],0)</f>
        <v>0</v>
      </c>
      <c r="V94" s="4" t="str">
        <f>IF(COUNTIF($W$2:W94,W94)=1,1,"")</f>
        <v/>
      </c>
      <c r="W94" s="4" t="str">
        <f>CONCATENATE(DbLinkTable[[#This Row],[Customer]],UPPER(DbLinkTable[[#This Row],[Trailer Number]]),DbLinkTable[[#This Row],[Day Received]])</f>
        <v>Company1414441766</v>
      </c>
      <c r="X94" s="4">
        <f>DATEVALUE(TEXT(DbLinkTable[[#This Row],[Date Received]],"MMMM YYYY"))</f>
        <v>41760</v>
      </c>
      <c r="Y94" s="4">
        <f>INT(DbLinkTable[[#This Row],[Date Received]])</f>
        <v>41766</v>
      </c>
    </row>
    <row r="95" spans="1:25">
      <c r="A95">
        <v>5841</v>
      </c>
      <c r="B95" t="s">
        <v>1508</v>
      </c>
      <c r="D95">
        <v>171</v>
      </c>
      <c r="E95" t="s">
        <v>1519</v>
      </c>
      <c r="F95" s="4">
        <v>41766</v>
      </c>
      <c r="G95" s="4" t="s">
        <v>192</v>
      </c>
      <c r="H95" s="4" t="s">
        <v>1525</v>
      </c>
      <c r="I95" s="4">
        <v>0</v>
      </c>
      <c r="J95" s="4"/>
      <c r="K95" s="4"/>
      <c r="L95" s="4"/>
      <c r="M95" s="4"/>
      <c r="N95" s="4"/>
      <c r="O95" s="4">
        <v>0</v>
      </c>
      <c r="P95" s="4">
        <v>41788.52584490741</v>
      </c>
      <c r="Q95" s="4"/>
      <c r="R95" s="4"/>
      <c r="S95" s="79">
        <f>DbLinkTable[[#This Row],[Credit]]+DbLinkTable[[#This Row],[Charge]]</f>
        <v>0</v>
      </c>
      <c r="T95" s="79">
        <f>IF(DbLinkTable[[#This Row],[Price/lb]]*DbLinkTable[[#This Row],[Weight]]&gt;0,DbLinkTable[[#This Row],[Price/lb]]*DbLinkTable[[#This Row],[Weight]],0)</f>
        <v>0</v>
      </c>
      <c r="U95" s="79">
        <f>IF(DbLinkTable[[#This Row],[Price/lb]]*DbLinkTable[[#This Row],[Weight]]&lt;0,DbLinkTable[[#This Row],[Price/lb]]*DbLinkTable[[#This Row],[Weight]],0)</f>
        <v>0</v>
      </c>
      <c r="V95" s="4" t="str">
        <f>IF(COUNTIF($W$2:W95,W95)=1,1,"")</f>
        <v/>
      </c>
      <c r="W95" s="4" t="str">
        <f>CONCATENATE(DbLinkTable[[#This Row],[Customer]],UPPER(DbLinkTable[[#This Row],[Trailer Number]]),DbLinkTable[[#This Row],[Day Received]])</f>
        <v>Company1414441766</v>
      </c>
      <c r="X95" s="4">
        <f>DATEVALUE(TEXT(DbLinkTable[[#This Row],[Date Received]],"MMMM YYYY"))</f>
        <v>41760</v>
      </c>
      <c r="Y95" s="4">
        <f>INT(DbLinkTable[[#This Row],[Date Received]])</f>
        <v>41766</v>
      </c>
    </row>
    <row r="96" spans="1:25">
      <c r="A96">
        <v>5842</v>
      </c>
      <c r="B96" t="s">
        <v>1508</v>
      </c>
      <c r="D96">
        <v>490</v>
      </c>
      <c r="E96" t="s">
        <v>1519</v>
      </c>
      <c r="F96" s="4">
        <v>41766</v>
      </c>
      <c r="G96" s="4" t="s">
        <v>192</v>
      </c>
      <c r="H96" s="4" t="s">
        <v>1525</v>
      </c>
      <c r="I96" s="4">
        <v>0</v>
      </c>
      <c r="J96" s="4"/>
      <c r="K96" s="4"/>
      <c r="L96" s="4"/>
      <c r="M96" s="4"/>
      <c r="N96" s="4"/>
      <c r="O96" s="4">
        <v>0</v>
      </c>
      <c r="P96" s="4">
        <v>41788.525891203702</v>
      </c>
      <c r="Q96" s="4"/>
      <c r="R96" s="4"/>
      <c r="S96" s="79">
        <f>DbLinkTable[[#This Row],[Credit]]+DbLinkTable[[#This Row],[Charge]]</f>
        <v>0</v>
      </c>
      <c r="T96" s="79">
        <f>IF(DbLinkTable[[#This Row],[Price/lb]]*DbLinkTable[[#This Row],[Weight]]&gt;0,DbLinkTable[[#This Row],[Price/lb]]*DbLinkTable[[#This Row],[Weight]],0)</f>
        <v>0</v>
      </c>
      <c r="U96" s="79">
        <f>IF(DbLinkTable[[#This Row],[Price/lb]]*DbLinkTable[[#This Row],[Weight]]&lt;0,DbLinkTable[[#This Row],[Price/lb]]*DbLinkTable[[#This Row],[Weight]],0)</f>
        <v>0</v>
      </c>
      <c r="V96" s="4" t="str">
        <f>IF(COUNTIF($W$2:W96,W96)=1,1,"")</f>
        <v/>
      </c>
      <c r="W96" s="4" t="str">
        <f>CONCATENATE(DbLinkTable[[#This Row],[Customer]],UPPER(DbLinkTable[[#This Row],[Trailer Number]]),DbLinkTable[[#This Row],[Day Received]])</f>
        <v>Company1414441766</v>
      </c>
      <c r="X96" s="4">
        <f>DATEVALUE(TEXT(DbLinkTable[[#This Row],[Date Received]],"MMMM YYYY"))</f>
        <v>41760</v>
      </c>
      <c r="Y96" s="4">
        <f>INT(DbLinkTable[[#This Row],[Date Received]])</f>
        <v>41766</v>
      </c>
    </row>
    <row r="97" spans="1:25">
      <c r="A97">
        <v>5843</v>
      </c>
      <c r="B97" t="s">
        <v>44</v>
      </c>
      <c r="D97">
        <v>2564</v>
      </c>
      <c r="E97" t="s">
        <v>1519</v>
      </c>
      <c r="F97" s="4">
        <v>41766</v>
      </c>
      <c r="G97" s="4" t="s">
        <v>192</v>
      </c>
      <c r="H97" s="4" t="s">
        <v>1525</v>
      </c>
      <c r="I97" s="4">
        <v>0</v>
      </c>
      <c r="J97" s="4"/>
      <c r="K97" s="4"/>
      <c r="L97" s="4"/>
      <c r="M97" s="4"/>
      <c r="N97" s="4"/>
      <c r="O97" s="4">
        <v>0</v>
      </c>
      <c r="P97" s="4">
        <v>41788.526006944441</v>
      </c>
      <c r="Q97" s="4"/>
      <c r="R97" s="4"/>
      <c r="S97" s="79">
        <f>DbLinkTable[[#This Row],[Credit]]+DbLinkTable[[#This Row],[Charge]]</f>
        <v>0</v>
      </c>
      <c r="T97" s="79">
        <f>IF(DbLinkTable[[#This Row],[Price/lb]]*DbLinkTable[[#This Row],[Weight]]&gt;0,DbLinkTable[[#This Row],[Price/lb]]*DbLinkTable[[#This Row],[Weight]],0)</f>
        <v>0</v>
      </c>
      <c r="U97" s="79">
        <f>IF(DbLinkTable[[#This Row],[Price/lb]]*DbLinkTable[[#This Row],[Weight]]&lt;0,DbLinkTable[[#This Row],[Price/lb]]*DbLinkTable[[#This Row],[Weight]],0)</f>
        <v>0</v>
      </c>
      <c r="V97" s="4" t="str">
        <f>IF(COUNTIF($W$2:W97,W97)=1,1,"")</f>
        <v/>
      </c>
      <c r="W97" s="4" t="str">
        <f>CONCATENATE(DbLinkTable[[#This Row],[Customer]],UPPER(DbLinkTable[[#This Row],[Trailer Number]]),DbLinkTable[[#This Row],[Day Received]])</f>
        <v>Company1414441766</v>
      </c>
      <c r="X97" s="4">
        <f>DATEVALUE(TEXT(DbLinkTable[[#This Row],[Date Received]],"MMMM YYYY"))</f>
        <v>41760</v>
      </c>
      <c r="Y97" s="4">
        <f>INT(DbLinkTable[[#This Row],[Date Received]])</f>
        <v>41766</v>
      </c>
    </row>
    <row r="98" spans="1:25">
      <c r="A98">
        <v>7435</v>
      </c>
      <c r="B98" t="s">
        <v>43</v>
      </c>
      <c r="D98">
        <v>406</v>
      </c>
      <c r="E98" t="s">
        <v>1504</v>
      </c>
      <c r="F98" s="4">
        <v>41866</v>
      </c>
      <c r="G98" s="4" t="s">
        <v>192</v>
      </c>
      <c r="H98" s="4" t="s">
        <v>1512</v>
      </c>
      <c r="I98" s="4">
        <v>0</v>
      </c>
      <c r="J98" s="4"/>
      <c r="K98" s="4"/>
      <c r="L98" s="4"/>
      <c r="M98" s="4"/>
      <c r="N98" s="4"/>
      <c r="O98" s="4">
        <v>0</v>
      </c>
      <c r="P98" s="4">
        <v>41870.579016203701</v>
      </c>
      <c r="Q98" s="4"/>
      <c r="R98" s="4"/>
      <c r="S98" s="79">
        <f>DbLinkTable[[#This Row],[Credit]]+DbLinkTable[[#This Row],[Charge]]</f>
        <v>0</v>
      </c>
      <c r="T98" s="79">
        <f>IF(DbLinkTable[[#This Row],[Price/lb]]*DbLinkTable[[#This Row],[Weight]]&gt;0,DbLinkTable[[#This Row],[Price/lb]]*DbLinkTable[[#This Row],[Weight]],0)</f>
        <v>0</v>
      </c>
      <c r="U98" s="79">
        <f>IF(DbLinkTable[[#This Row],[Price/lb]]*DbLinkTable[[#This Row],[Weight]]&lt;0,DbLinkTable[[#This Row],[Price/lb]]*DbLinkTable[[#This Row],[Weight]],0)</f>
        <v>0</v>
      </c>
      <c r="V98" s="4">
        <f>IF(COUNTIF($W$2:W98,W98)=1,1,"")</f>
        <v>1</v>
      </c>
      <c r="W98" s="4" t="str">
        <f>CONCATENATE(DbLinkTable[[#This Row],[Customer]],UPPER(DbLinkTable[[#This Row],[Trailer Number]]),DbLinkTable[[#This Row],[Day Received]])</f>
        <v>Company1434341866</v>
      </c>
      <c r="X98" s="4">
        <f>DATEVALUE(TEXT(DbLinkTable[[#This Row],[Date Received]],"MMMM YYYY"))</f>
        <v>41852</v>
      </c>
      <c r="Y98" s="4">
        <f>INT(DbLinkTable[[#This Row],[Date Received]])</f>
        <v>41866</v>
      </c>
    </row>
    <row r="99" spans="1:25">
      <c r="A99">
        <v>7436</v>
      </c>
      <c r="B99" t="s">
        <v>43</v>
      </c>
      <c r="D99">
        <v>412</v>
      </c>
      <c r="E99" t="s">
        <v>1504</v>
      </c>
      <c r="F99" s="4">
        <v>41866</v>
      </c>
      <c r="G99" s="4" t="s">
        <v>192</v>
      </c>
      <c r="H99" s="4" t="s">
        <v>1512</v>
      </c>
      <c r="I99" s="4">
        <v>0</v>
      </c>
      <c r="J99" s="4"/>
      <c r="K99" s="4"/>
      <c r="L99" s="4"/>
      <c r="M99" s="4"/>
      <c r="N99" s="4"/>
      <c r="O99" s="4">
        <v>0</v>
      </c>
      <c r="P99" s="4">
        <v>41870.579074074078</v>
      </c>
      <c r="Q99" s="4"/>
      <c r="R99" s="4"/>
      <c r="S99" s="79">
        <f>DbLinkTable[[#This Row],[Credit]]+DbLinkTable[[#This Row],[Charge]]</f>
        <v>0</v>
      </c>
      <c r="T99" s="79">
        <f>IF(DbLinkTable[[#This Row],[Price/lb]]*DbLinkTable[[#This Row],[Weight]]&gt;0,DbLinkTable[[#This Row],[Price/lb]]*DbLinkTable[[#This Row],[Weight]],0)</f>
        <v>0</v>
      </c>
      <c r="U99" s="79">
        <f>IF(DbLinkTable[[#This Row],[Price/lb]]*DbLinkTable[[#This Row],[Weight]]&lt;0,DbLinkTable[[#This Row],[Price/lb]]*DbLinkTable[[#This Row],[Weight]],0)</f>
        <v>0</v>
      </c>
      <c r="V99" s="4" t="str">
        <f>IF(COUNTIF($W$2:W99,W99)=1,1,"")</f>
        <v/>
      </c>
      <c r="W99" s="4" t="str">
        <f>CONCATENATE(DbLinkTable[[#This Row],[Customer]],UPPER(DbLinkTable[[#This Row],[Trailer Number]]),DbLinkTable[[#This Row],[Day Received]])</f>
        <v>Company1434341866</v>
      </c>
      <c r="X99" s="4">
        <f>DATEVALUE(TEXT(DbLinkTable[[#This Row],[Date Received]],"MMMM YYYY"))</f>
        <v>41852</v>
      </c>
      <c r="Y99" s="4">
        <f>INT(DbLinkTable[[#This Row],[Date Received]])</f>
        <v>41866</v>
      </c>
    </row>
    <row r="100" spans="1:25">
      <c r="A100">
        <v>7437</v>
      </c>
      <c r="B100" t="s">
        <v>43</v>
      </c>
      <c r="D100">
        <v>416</v>
      </c>
      <c r="E100" t="s">
        <v>1504</v>
      </c>
      <c r="F100" s="4">
        <v>41866</v>
      </c>
      <c r="G100" s="4" t="s">
        <v>192</v>
      </c>
      <c r="H100" s="4" t="s">
        <v>1512</v>
      </c>
      <c r="I100" s="4">
        <v>0</v>
      </c>
      <c r="J100" s="4"/>
      <c r="K100" s="4"/>
      <c r="L100" s="4"/>
      <c r="M100" s="4"/>
      <c r="N100" s="4"/>
      <c r="O100" s="4">
        <v>0</v>
      </c>
      <c r="P100" s="4">
        <v>41870.579108796293</v>
      </c>
      <c r="Q100" s="4"/>
      <c r="R100" s="4"/>
      <c r="S100" s="79">
        <f>DbLinkTable[[#This Row],[Credit]]+DbLinkTable[[#This Row],[Charge]]</f>
        <v>0</v>
      </c>
      <c r="T100" s="79">
        <f>IF(DbLinkTable[[#This Row],[Price/lb]]*DbLinkTable[[#This Row],[Weight]]&gt;0,DbLinkTable[[#This Row],[Price/lb]]*DbLinkTable[[#This Row],[Weight]],0)</f>
        <v>0</v>
      </c>
      <c r="U100" s="79">
        <f>IF(DbLinkTable[[#This Row],[Price/lb]]*DbLinkTable[[#This Row],[Weight]]&lt;0,DbLinkTable[[#This Row],[Price/lb]]*DbLinkTable[[#This Row],[Weight]],0)</f>
        <v>0</v>
      </c>
      <c r="V100" s="4" t="str">
        <f>IF(COUNTIF($W$2:W100,W100)=1,1,"")</f>
        <v/>
      </c>
      <c r="W100" s="4" t="str">
        <f>CONCATENATE(DbLinkTable[[#This Row],[Customer]],UPPER(DbLinkTable[[#This Row],[Trailer Number]]),DbLinkTable[[#This Row],[Day Received]])</f>
        <v>Company1434341866</v>
      </c>
      <c r="X100" s="4">
        <f>DATEVALUE(TEXT(DbLinkTable[[#This Row],[Date Received]],"MMMM YYYY"))</f>
        <v>41852</v>
      </c>
      <c r="Y100" s="4">
        <f>INT(DbLinkTable[[#This Row],[Date Received]])</f>
        <v>41866</v>
      </c>
    </row>
    <row r="101" spans="1:25">
      <c r="A101">
        <v>7438</v>
      </c>
      <c r="B101" t="s">
        <v>43</v>
      </c>
      <c r="D101">
        <v>414</v>
      </c>
      <c r="E101" t="s">
        <v>1504</v>
      </c>
      <c r="F101" s="4">
        <v>41866</v>
      </c>
      <c r="G101" s="4" t="s">
        <v>192</v>
      </c>
      <c r="H101" s="4" t="s">
        <v>1512</v>
      </c>
      <c r="I101" s="4">
        <v>0</v>
      </c>
      <c r="J101" s="4"/>
      <c r="K101" s="4"/>
      <c r="L101" s="4"/>
      <c r="M101" s="4"/>
      <c r="N101" s="4"/>
      <c r="O101" s="4">
        <v>0</v>
      </c>
      <c r="P101" s="4">
        <v>41870.57916666667</v>
      </c>
      <c r="Q101" s="4"/>
      <c r="R101" s="4"/>
      <c r="S101" s="79">
        <f>DbLinkTable[[#This Row],[Credit]]+DbLinkTable[[#This Row],[Charge]]</f>
        <v>0</v>
      </c>
      <c r="T101" s="79">
        <f>IF(DbLinkTable[[#This Row],[Price/lb]]*DbLinkTable[[#This Row],[Weight]]&gt;0,DbLinkTable[[#This Row],[Price/lb]]*DbLinkTable[[#This Row],[Weight]],0)</f>
        <v>0</v>
      </c>
      <c r="U101" s="79">
        <f>IF(DbLinkTable[[#This Row],[Price/lb]]*DbLinkTable[[#This Row],[Weight]]&lt;0,DbLinkTable[[#This Row],[Price/lb]]*DbLinkTable[[#This Row],[Weight]],0)</f>
        <v>0</v>
      </c>
      <c r="V101" s="4" t="str">
        <f>IF(COUNTIF($W$2:W101,W101)=1,1,"")</f>
        <v/>
      </c>
      <c r="W101" s="4" t="str">
        <f>CONCATENATE(DbLinkTable[[#This Row],[Customer]],UPPER(DbLinkTable[[#This Row],[Trailer Number]]),DbLinkTable[[#This Row],[Day Received]])</f>
        <v>Company1434341866</v>
      </c>
      <c r="X101" s="4">
        <f>DATEVALUE(TEXT(DbLinkTable[[#This Row],[Date Received]],"MMMM YYYY"))</f>
        <v>41852</v>
      </c>
      <c r="Y101" s="4">
        <f>INT(DbLinkTable[[#This Row],[Date Received]])</f>
        <v>41866</v>
      </c>
    </row>
    <row r="102" spans="1:25">
      <c r="A102">
        <v>7439</v>
      </c>
      <c r="B102" t="s">
        <v>43</v>
      </c>
      <c r="D102">
        <v>292</v>
      </c>
      <c r="E102" t="s">
        <v>1504</v>
      </c>
      <c r="F102" s="4">
        <v>41866</v>
      </c>
      <c r="G102" s="4" t="s">
        <v>192</v>
      </c>
      <c r="H102" s="4" t="s">
        <v>1512</v>
      </c>
      <c r="I102" s="4">
        <v>0</v>
      </c>
      <c r="J102" s="4"/>
      <c r="K102" s="4"/>
      <c r="L102" s="4"/>
      <c r="M102" s="4"/>
      <c r="N102" s="4"/>
      <c r="O102" s="4">
        <v>0</v>
      </c>
      <c r="P102" s="4">
        <v>41870.579212962963</v>
      </c>
      <c r="Q102" s="4"/>
      <c r="R102" s="4"/>
      <c r="S102" s="79">
        <f>DbLinkTable[[#This Row],[Credit]]+DbLinkTable[[#This Row],[Charge]]</f>
        <v>0</v>
      </c>
      <c r="T102" s="79">
        <f>IF(DbLinkTable[[#This Row],[Price/lb]]*DbLinkTable[[#This Row],[Weight]]&gt;0,DbLinkTable[[#This Row],[Price/lb]]*DbLinkTable[[#This Row],[Weight]],0)</f>
        <v>0</v>
      </c>
      <c r="U102" s="79">
        <f>IF(DbLinkTable[[#This Row],[Price/lb]]*DbLinkTable[[#This Row],[Weight]]&lt;0,DbLinkTable[[#This Row],[Price/lb]]*DbLinkTable[[#This Row],[Weight]],0)</f>
        <v>0</v>
      </c>
      <c r="V102" s="4" t="str">
        <f>IF(COUNTIF($W$2:W102,W102)=1,1,"")</f>
        <v/>
      </c>
      <c r="W102" s="4" t="str">
        <f>CONCATENATE(DbLinkTable[[#This Row],[Customer]],UPPER(DbLinkTable[[#This Row],[Trailer Number]]),DbLinkTable[[#This Row],[Day Received]])</f>
        <v>Company1434341866</v>
      </c>
      <c r="X102" s="4">
        <f>DATEVALUE(TEXT(DbLinkTable[[#This Row],[Date Received]],"MMMM YYYY"))</f>
        <v>41852</v>
      </c>
      <c r="Y102" s="4">
        <f>INT(DbLinkTable[[#This Row],[Date Received]])</f>
        <v>41866</v>
      </c>
    </row>
    <row r="103" spans="1:25">
      <c r="A103">
        <v>7440</v>
      </c>
      <c r="B103" t="s">
        <v>43</v>
      </c>
      <c r="D103">
        <v>722</v>
      </c>
      <c r="E103" t="s">
        <v>1504</v>
      </c>
      <c r="F103" s="4">
        <v>41866</v>
      </c>
      <c r="G103" s="4" t="s">
        <v>192</v>
      </c>
      <c r="H103" s="4" t="s">
        <v>1512</v>
      </c>
      <c r="I103" s="4">
        <v>0</v>
      </c>
      <c r="J103" s="4"/>
      <c r="K103" s="4"/>
      <c r="L103" s="4"/>
      <c r="M103" s="4"/>
      <c r="N103" s="4"/>
      <c r="O103" s="4">
        <v>0</v>
      </c>
      <c r="P103" s="4">
        <v>41870.579270833332</v>
      </c>
      <c r="Q103" s="4"/>
      <c r="R103" s="4"/>
      <c r="S103" s="79">
        <f>DbLinkTable[[#This Row],[Credit]]+DbLinkTable[[#This Row],[Charge]]</f>
        <v>0</v>
      </c>
      <c r="T103" s="79">
        <f>IF(DbLinkTable[[#This Row],[Price/lb]]*DbLinkTable[[#This Row],[Weight]]&gt;0,DbLinkTable[[#This Row],[Price/lb]]*DbLinkTable[[#This Row],[Weight]],0)</f>
        <v>0</v>
      </c>
      <c r="U103" s="79">
        <f>IF(DbLinkTable[[#This Row],[Price/lb]]*DbLinkTable[[#This Row],[Weight]]&lt;0,DbLinkTable[[#This Row],[Price/lb]]*DbLinkTable[[#This Row],[Weight]],0)</f>
        <v>0</v>
      </c>
      <c r="V103" s="4" t="str">
        <f>IF(COUNTIF($W$2:W103,W103)=1,1,"")</f>
        <v/>
      </c>
      <c r="W103" s="4" t="str">
        <f>CONCATENATE(DbLinkTable[[#This Row],[Customer]],UPPER(DbLinkTable[[#This Row],[Trailer Number]]),DbLinkTable[[#This Row],[Day Received]])</f>
        <v>Company1434341866</v>
      </c>
      <c r="X103" s="4">
        <f>DATEVALUE(TEXT(DbLinkTable[[#This Row],[Date Received]],"MMMM YYYY"))</f>
        <v>41852</v>
      </c>
      <c r="Y103" s="4">
        <f>INT(DbLinkTable[[#This Row],[Date Received]])</f>
        <v>41866</v>
      </c>
    </row>
    <row r="104" spans="1:25">
      <c r="A104">
        <v>7441</v>
      </c>
      <c r="B104" t="s">
        <v>43</v>
      </c>
      <c r="D104">
        <v>750</v>
      </c>
      <c r="E104" t="s">
        <v>1504</v>
      </c>
      <c r="F104" s="4">
        <v>41866</v>
      </c>
      <c r="G104" s="4" t="s">
        <v>192</v>
      </c>
      <c r="H104" s="4" t="s">
        <v>1512</v>
      </c>
      <c r="I104" s="4">
        <v>0</v>
      </c>
      <c r="J104" s="4"/>
      <c r="K104" s="4"/>
      <c r="L104" s="4"/>
      <c r="M104" s="4"/>
      <c r="N104" s="4"/>
      <c r="O104" s="4">
        <v>0</v>
      </c>
      <c r="P104" s="4">
        <v>41870.579305555555</v>
      </c>
      <c r="Q104" s="4"/>
      <c r="R104" s="4"/>
      <c r="S104" s="79">
        <f>DbLinkTable[[#This Row],[Credit]]+DbLinkTable[[#This Row],[Charge]]</f>
        <v>0</v>
      </c>
      <c r="T104" s="79">
        <f>IF(DbLinkTable[[#This Row],[Price/lb]]*DbLinkTable[[#This Row],[Weight]]&gt;0,DbLinkTable[[#This Row],[Price/lb]]*DbLinkTable[[#This Row],[Weight]],0)</f>
        <v>0</v>
      </c>
      <c r="U104" s="79">
        <f>IF(DbLinkTable[[#This Row],[Price/lb]]*DbLinkTable[[#This Row],[Weight]]&lt;0,DbLinkTable[[#This Row],[Price/lb]]*DbLinkTable[[#This Row],[Weight]],0)</f>
        <v>0</v>
      </c>
      <c r="V104" s="4" t="str">
        <f>IF(COUNTIF($W$2:W104,W104)=1,1,"")</f>
        <v/>
      </c>
      <c r="W104" s="4" t="str">
        <f>CONCATENATE(DbLinkTable[[#This Row],[Customer]],UPPER(DbLinkTable[[#This Row],[Trailer Number]]),DbLinkTable[[#This Row],[Day Received]])</f>
        <v>Company1434341866</v>
      </c>
      <c r="X104" s="4">
        <f>DATEVALUE(TEXT(DbLinkTable[[#This Row],[Date Received]],"MMMM YYYY"))</f>
        <v>41852</v>
      </c>
      <c r="Y104" s="4">
        <f>INT(DbLinkTable[[#This Row],[Date Received]])</f>
        <v>41866</v>
      </c>
    </row>
    <row r="105" spans="1:25">
      <c r="A105">
        <v>7442</v>
      </c>
      <c r="B105" t="s">
        <v>43</v>
      </c>
      <c r="D105">
        <v>722</v>
      </c>
      <c r="E105" t="s">
        <v>1504</v>
      </c>
      <c r="F105" s="4">
        <v>41866</v>
      </c>
      <c r="G105" s="4" t="s">
        <v>192</v>
      </c>
      <c r="H105" s="4" t="s">
        <v>1512</v>
      </c>
      <c r="I105" s="4">
        <v>0</v>
      </c>
      <c r="J105" s="4"/>
      <c r="K105" s="4"/>
      <c r="L105" s="4"/>
      <c r="M105" s="4"/>
      <c r="N105" s="4"/>
      <c r="O105" s="4">
        <v>0</v>
      </c>
      <c r="P105" s="4">
        <v>41870.579340277778</v>
      </c>
      <c r="Q105" s="4"/>
      <c r="R105" s="4"/>
      <c r="S105" s="79">
        <f>DbLinkTable[[#This Row],[Credit]]+DbLinkTable[[#This Row],[Charge]]</f>
        <v>0</v>
      </c>
      <c r="T105" s="79">
        <f>IF(DbLinkTable[[#This Row],[Price/lb]]*DbLinkTable[[#This Row],[Weight]]&gt;0,DbLinkTable[[#This Row],[Price/lb]]*DbLinkTable[[#This Row],[Weight]],0)</f>
        <v>0</v>
      </c>
      <c r="U105" s="79">
        <f>IF(DbLinkTable[[#This Row],[Price/lb]]*DbLinkTable[[#This Row],[Weight]]&lt;0,DbLinkTable[[#This Row],[Price/lb]]*DbLinkTable[[#This Row],[Weight]],0)</f>
        <v>0</v>
      </c>
      <c r="V105" s="4" t="str">
        <f>IF(COUNTIF($W$2:W105,W105)=1,1,"")</f>
        <v/>
      </c>
      <c r="W105" s="4" t="str">
        <f>CONCATENATE(DbLinkTable[[#This Row],[Customer]],UPPER(DbLinkTable[[#This Row],[Trailer Number]]),DbLinkTable[[#This Row],[Day Received]])</f>
        <v>Company1434341866</v>
      </c>
      <c r="X105" s="4">
        <f>DATEVALUE(TEXT(DbLinkTable[[#This Row],[Date Received]],"MMMM YYYY"))</f>
        <v>41852</v>
      </c>
      <c r="Y105" s="4">
        <f>INT(DbLinkTable[[#This Row],[Date Received]])</f>
        <v>41866</v>
      </c>
    </row>
    <row r="106" spans="1:25">
      <c r="A106">
        <v>7443</v>
      </c>
      <c r="B106" t="s">
        <v>43</v>
      </c>
      <c r="D106">
        <v>534</v>
      </c>
      <c r="E106" t="s">
        <v>1504</v>
      </c>
      <c r="F106" s="4">
        <v>41866</v>
      </c>
      <c r="G106" s="4" t="s">
        <v>192</v>
      </c>
      <c r="H106" s="4" t="s">
        <v>1512</v>
      </c>
      <c r="I106" s="4">
        <v>0</v>
      </c>
      <c r="J106" s="4"/>
      <c r="K106" s="4"/>
      <c r="L106" s="4"/>
      <c r="M106" s="4"/>
      <c r="N106" s="4"/>
      <c r="O106" s="4">
        <v>0</v>
      </c>
      <c r="P106" s="4">
        <v>41870.579386574071</v>
      </c>
      <c r="Q106" s="4"/>
      <c r="R106" s="4"/>
      <c r="S106" s="79">
        <f>DbLinkTable[[#This Row],[Credit]]+DbLinkTable[[#This Row],[Charge]]</f>
        <v>0</v>
      </c>
      <c r="T106" s="79">
        <f>IF(DbLinkTable[[#This Row],[Price/lb]]*DbLinkTable[[#This Row],[Weight]]&gt;0,DbLinkTable[[#This Row],[Price/lb]]*DbLinkTable[[#This Row],[Weight]],0)</f>
        <v>0</v>
      </c>
      <c r="U106" s="79">
        <f>IF(DbLinkTable[[#This Row],[Price/lb]]*DbLinkTable[[#This Row],[Weight]]&lt;0,DbLinkTable[[#This Row],[Price/lb]]*DbLinkTable[[#This Row],[Weight]],0)</f>
        <v>0</v>
      </c>
      <c r="V106" s="4" t="str">
        <f>IF(COUNTIF($W$2:W106,W106)=1,1,"")</f>
        <v/>
      </c>
      <c r="W106" s="4" t="str">
        <f>CONCATENATE(DbLinkTable[[#This Row],[Customer]],UPPER(DbLinkTable[[#This Row],[Trailer Number]]),DbLinkTable[[#This Row],[Day Received]])</f>
        <v>Company1434341866</v>
      </c>
      <c r="X106" s="4">
        <f>DATEVALUE(TEXT(DbLinkTable[[#This Row],[Date Received]],"MMMM YYYY"))</f>
        <v>41852</v>
      </c>
      <c r="Y106" s="4">
        <f>INT(DbLinkTable[[#This Row],[Date Received]])</f>
        <v>41866</v>
      </c>
    </row>
    <row r="107" spans="1:25">
      <c r="A107">
        <v>7444</v>
      </c>
      <c r="B107" t="s">
        <v>43</v>
      </c>
      <c r="D107">
        <v>316</v>
      </c>
      <c r="E107" t="s">
        <v>1504</v>
      </c>
      <c r="F107" s="4">
        <v>41866</v>
      </c>
      <c r="G107" s="4" t="s">
        <v>192</v>
      </c>
      <c r="H107" s="4" t="s">
        <v>1512</v>
      </c>
      <c r="I107" s="4">
        <v>0</v>
      </c>
      <c r="J107" s="4"/>
      <c r="K107" s="4"/>
      <c r="L107" s="4"/>
      <c r="M107" s="4"/>
      <c r="N107" s="4"/>
      <c r="O107" s="4">
        <v>0</v>
      </c>
      <c r="P107" s="4">
        <v>41870.579409722224</v>
      </c>
      <c r="Q107" s="4"/>
      <c r="R107" s="4"/>
      <c r="S107" s="79">
        <f>DbLinkTable[[#This Row],[Credit]]+DbLinkTable[[#This Row],[Charge]]</f>
        <v>0</v>
      </c>
      <c r="T107" s="79">
        <f>IF(DbLinkTable[[#This Row],[Price/lb]]*DbLinkTable[[#This Row],[Weight]]&gt;0,DbLinkTable[[#This Row],[Price/lb]]*DbLinkTable[[#This Row],[Weight]],0)</f>
        <v>0</v>
      </c>
      <c r="U107" s="79">
        <f>IF(DbLinkTable[[#This Row],[Price/lb]]*DbLinkTable[[#This Row],[Weight]]&lt;0,DbLinkTable[[#This Row],[Price/lb]]*DbLinkTable[[#This Row],[Weight]],0)</f>
        <v>0</v>
      </c>
      <c r="V107" s="4" t="str">
        <f>IF(COUNTIF($W$2:W107,W107)=1,1,"")</f>
        <v/>
      </c>
      <c r="W107" s="4" t="str">
        <f>CONCATENATE(DbLinkTable[[#This Row],[Customer]],UPPER(DbLinkTable[[#This Row],[Trailer Number]]),DbLinkTable[[#This Row],[Day Received]])</f>
        <v>Company1434341866</v>
      </c>
      <c r="X107" s="4">
        <f>DATEVALUE(TEXT(DbLinkTable[[#This Row],[Date Received]],"MMMM YYYY"))</f>
        <v>41852</v>
      </c>
      <c r="Y107" s="4">
        <f>INT(DbLinkTable[[#This Row],[Date Received]])</f>
        <v>41866</v>
      </c>
    </row>
    <row r="108" spans="1:25">
      <c r="A108">
        <v>7445</v>
      </c>
      <c r="B108" t="s">
        <v>43</v>
      </c>
      <c r="D108">
        <v>652</v>
      </c>
      <c r="E108" t="s">
        <v>1504</v>
      </c>
      <c r="F108" s="4">
        <v>41866</v>
      </c>
      <c r="G108" s="4" t="s">
        <v>192</v>
      </c>
      <c r="H108" s="4" t="s">
        <v>1512</v>
      </c>
      <c r="I108" s="4">
        <v>0</v>
      </c>
      <c r="J108" s="4"/>
      <c r="K108" s="4"/>
      <c r="L108" s="4"/>
      <c r="M108" s="4"/>
      <c r="N108" s="4"/>
      <c r="O108" s="4">
        <v>0</v>
      </c>
      <c r="P108" s="4">
        <v>41870.579456018517</v>
      </c>
      <c r="Q108" s="4"/>
      <c r="R108" s="4"/>
      <c r="S108" s="79">
        <f>DbLinkTable[[#This Row],[Credit]]+DbLinkTable[[#This Row],[Charge]]</f>
        <v>0</v>
      </c>
      <c r="T108" s="79">
        <f>IF(DbLinkTable[[#This Row],[Price/lb]]*DbLinkTable[[#This Row],[Weight]]&gt;0,DbLinkTable[[#This Row],[Price/lb]]*DbLinkTable[[#This Row],[Weight]],0)</f>
        <v>0</v>
      </c>
      <c r="U108" s="79">
        <f>IF(DbLinkTable[[#This Row],[Price/lb]]*DbLinkTable[[#This Row],[Weight]]&lt;0,DbLinkTable[[#This Row],[Price/lb]]*DbLinkTable[[#This Row],[Weight]],0)</f>
        <v>0</v>
      </c>
      <c r="V108" s="4" t="str">
        <f>IF(COUNTIF($W$2:W108,W108)=1,1,"")</f>
        <v/>
      </c>
      <c r="W108" s="4" t="str">
        <f>CONCATENATE(DbLinkTable[[#This Row],[Customer]],UPPER(DbLinkTable[[#This Row],[Trailer Number]]),DbLinkTable[[#This Row],[Day Received]])</f>
        <v>Company1434341866</v>
      </c>
      <c r="X108" s="4">
        <f>DATEVALUE(TEXT(DbLinkTable[[#This Row],[Date Received]],"MMMM YYYY"))</f>
        <v>41852</v>
      </c>
      <c r="Y108" s="4">
        <f>INT(DbLinkTable[[#This Row],[Date Received]])</f>
        <v>41866</v>
      </c>
    </row>
    <row r="109" spans="1:25">
      <c r="A109">
        <v>7446</v>
      </c>
      <c r="B109" t="s">
        <v>43</v>
      </c>
      <c r="D109">
        <v>280</v>
      </c>
      <c r="E109" t="s">
        <v>1504</v>
      </c>
      <c r="F109" s="4">
        <v>41866</v>
      </c>
      <c r="G109" s="4" t="s">
        <v>192</v>
      </c>
      <c r="H109" s="4" t="s">
        <v>1512</v>
      </c>
      <c r="I109" s="4">
        <v>0</v>
      </c>
      <c r="J109" s="4"/>
      <c r="K109" s="4"/>
      <c r="L109" s="4"/>
      <c r="M109" s="4"/>
      <c r="N109" s="4"/>
      <c r="O109" s="4">
        <v>0</v>
      </c>
      <c r="P109" s="4">
        <v>41870.57949074074</v>
      </c>
      <c r="Q109" s="4"/>
      <c r="R109" s="4"/>
      <c r="S109" s="79">
        <f>DbLinkTable[[#This Row],[Credit]]+DbLinkTable[[#This Row],[Charge]]</f>
        <v>0</v>
      </c>
      <c r="T109" s="79">
        <f>IF(DbLinkTable[[#This Row],[Price/lb]]*DbLinkTable[[#This Row],[Weight]]&gt;0,DbLinkTable[[#This Row],[Price/lb]]*DbLinkTable[[#This Row],[Weight]],0)</f>
        <v>0</v>
      </c>
      <c r="U109" s="79">
        <f>IF(DbLinkTable[[#This Row],[Price/lb]]*DbLinkTable[[#This Row],[Weight]]&lt;0,DbLinkTable[[#This Row],[Price/lb]]*DbLinkTable[[#This Row],[Weight]],0)</f>
        <v>0</v>
      </c>
      <c r="V109" s="4" t="str">
        <f>IF(COUNTIF($W$2:W109,W109)=1,1,"")</f>
        <v/>
      </c>
      <c r="W109" s="4" t="str">
        <f>CONCATENATE(DbLinkTable[[#This Row],[Customer]],UPPER(DbLinkTable[[#This Row],[Trailer Number]]),DbLinkTable[[#This Row],[Day Received]])</f>
        <v>Company1434341866</v>
      </c>
      <c r="X109" s="4">
        <f>DATEVALUE(TEXT(DbLinkTable[[#This Row],[Date Received]],"MMMM YYYY"))</f>
        <v>41852</v>
      </c>
      <c r="Y109" s="4">
        <f>INT(DbLinkTable[[#This Row],[Date Received]])</f>
        <v>41866</v>
      </c>
    </row>
    <row r="110" spans="1:25">
      <c r="A110">
        <v>7447</v>
      </c>
      <c r="B110" t="s">
        <v>43</v>
      </c>
      <c r="D110">
        <v>670</v>
      </c>
      <c r="E110" t="s">
        <v>1504</v>
      </c>
      <c r="F110" s="4">
        <v>41866</v>
      </c>
      <c r="G110" s="4" t="s">
        <v>192</v>
      </c>
      <c r="H110" s="4" t="s">
        <v>1512</v>
      </c>
      <c r="I110" s="4">
        <v>0</v>
      </c>
      <c r="J110" s="4"/>
      <c r="K110" s="4"/>
      <c r="L110" s="4"/>
      <c r="M110" s="4"/>
      <c r="N110" s="4"/>
      <c r="O110" s="4">
        <v>0</v>
      </c>
      <c r="P110" s="4">
        <v>41870.579525462963</v>
      </c>
      <c r="Q110" s="4"/>
      <c r="R110" s="4"/>
      <c r="S110" s="79">
        <f>DbLinkTable[[#This Row],[Credit]]+DbLinkTable[[#This Row],[Charge]]</f>
        <v>0</v>
      </c>
      <c r="T110" s="79">
        <f>IF(DbLinkTable[[#This Row],[Price/lb]]*DbLinkTable[[#This Row],[Weight]]&gt;0,DbLinkTable[[#This Row],[Price/lb]]*DbLinkTable[[#This Row],[Weight]],0)</f>
        <v>0</v>
      </c>
      <c r="U110" s="79">
        <f>IF(DbLinkTable[[#This Row],[Price/lb]]*DbLinkTable[[#This Row],[Weight]]&lt;0,DbLinkTable[[#This Row],[Price/lb]]*DbLinkTable[[#This Row],[Weight]],0)</f>
        <v>0</v>
      </c>
      <c r="V110" s="4" t="str">
        <f>IF(COUNTIF($W$2:W110,W110)=1,1,"")</f>
        <v/>
      </c>
      <c r="W110" s="4" t="str">
        <f>CONCATENATE(DbLinkTable[[#This Row],[Customer]],UPPER(DbLinkTable[[#This Row],[Trailer Number]]),DbLinkTable[[#This Row],[Day Received]])</f>
        <v>Company1434341866</v>
      </c>
      <c r="X110" s="4">
        <f>DATEVALUE(TEXT(DbLinkTable[[#This Row],[Date Received]],"MMMM YYYY"))</f>
        <v>41852</v>
      </c>
      <c r="Y110" s="4">
        <f>INT(DbLinkTable[[#This Row],[Date Received]])</f>
        <v>41866</v>
      </c>
    </row>
    <row r="111" spans="1:25">
      <c r="A111">
        <v>7448</v>
      </c>
      <c r="B111" t="s">
        <v>43</v>
      </c>
      <c r="D111">
        <v>216</v>
      </c>
      <c r="E111" t="s">
        <v>1504</v>
      </c>
      <c r="F111" s="4">
        <v>41866</v>
      </c>
      <c r="G111" s="4" t="s">
        <v>192</v>
      </c>
      <c r="H111" s="4" t="s">
        <v>1512</v>
      </c>
      <c r="I111" s="4">
        <v>0</v>
      </c>
      <c r="J111" s="4"/>
      <c r="K111" s="4"/>
      <c r="L111" s="4"/>
      <c r="M111" s="4"/>
      <c r="N111" s="4"/>
      <c r="O111" s="4">
        <v>0</v>
      </c>
      <c r="P111" s="4">
        <v>41870.579571759263</v>
      </c>
      <c r="Q111" s="4"/>
      <c r="R111" s="4"/>
      <c r="S111" s="79">
        <f>DbLinkTable[[#This Row],[Credit]]+DbLinkTable[[#This Row],[Charge]]</f>
        <v>0</v>
      </c>
      <c r="T111" s="79">
        <f>IF(DbLinkTable[[#This Row],[Price/lb]]*DbLinkTable[[#This Row],[Weight]]&gt;0,DbLinkTable[[#This Row],[Price/lb]]*DbLinkTable[[#This Row],[Weight]],0)</f>
        <v>0</v>
      </c>
      <c r="U111" s="79">
        <f>IF(DbLinkTable[[#This Row],[Price/lb]]*DbLinkTable[[#This Row],[Weight]]&lt;0,DbLinkTable[[#This Row],[Price/lb]]*DbLinkTable[[#This Row],[Weight]],0)</f>
        <v>0</v>
      </c>
      <c r="V111" s="4" t="str">
        <f>IF(COUNTIF($W$2:W111,W111)=1,1,"")</f>
        <v/>
      </c>
      <c r="W111" s="4" t="str">
        <f>CONCATENATE(DbLinkTable[[#This Row],[Customer]],UPPER(DbLinkTable[[#This Row],[Trailer Number]]),DbLinkTable[[#This Row],[Day Received]])</f>
        <v>Company1434341866</v>
      </c>
      <c r="X111" s="4">
        <f>DATEVALUE(TEXT(DbLinkTable[[#This Row],[Date Received]],"MMMM YYYY"))</f>
        <v>41852</v>
      </c>
      <c r="Y111" s="4">
        <f>INT(DbLinkTable[[#This Row],[Date Received]])</f>
        <v>41866</v>
      </c>
    </row>
    <row r="112" spans="1:25">
      <c r="A112">
        <v>7449</v>
      </c>
      <c r="B112" t="s">
        <v>43</v>
      </c>
      <c r="D112">
        <v>254</v>
      </c>
      <c r="E112" t="s">
        <v>1504</v>
      </c>
      <c r="F112" s="4">
        <v>41866</v>
      </c>
      <c r="G112" s="4" t="s">
        <v>192</v>
      </c>
      <c r="H112" s="4" t="s">
        <v>1512</v>
      </c>
      <c r="I112" s="4">
        <v>0</v>
      </c>
      <c r="J112" s="4"/>
      <c r="K112" s="4"/>
      <c r="L112" s="4"/>
      <c r="M112" s="4"/>
      <c r="N112" s="4"/>
      <c r="O112" s="4">
        <v>0</v>
      </c>
      <c r="P112" s="4">
        <v>41870.579618055555</v>
      </c>
      <c r="Q112" s="4"/>
      <c r="R112" s="4"/>
      <c r="S112" s="79">
        <f>DbLinkTable[[#This Row],[Credit]]+DbLinkTable[[#This Row],[Charge]]</f>
        <v>0</v>
      </c>
      <c r="T112" s="79">
        <f>IF(DbLinkTable[[#This Row],[Price/lb]]*DbLinkTable[[#This Row],[Weight]]&gt;0,DbLinkTable[[#This Row],[Price/lb]]*DbLinkTable[[#This Row],[Weight]],0)</f>
        <v>0</v>
      </c>
      <c r="U112" s="79">
        <f>IF(DbLinkTable[[#This Row],[Price/lb]]*DbLinkTable[[#This Row],[Weight]]&lt;0,DbLinkTable[[#This Row],[Price/lb]]*DbLinkTable[[#This Row],[Weight]],0)</f>
        <v>0</v>
      </c>
      <c r="V112" s="4" t="str">
        <f>IF(COUNTIF($W$2:W112,W112)=1,1,"")</f>
        <v/>
      </c>
      <c r="W112" s="4" t="str">
        <f>CONCATENATE(DbLinkTable[[#This Row],[Customer]],UPPER(DbLinkTable[[#This Row],[Trailer Number]]),DbLinkTable[[#This Row],[Day Received]])</f>
        <v>Company1434341866</v>
      </c>
      <c r="X112" s="4">
        <f>DATEVALUE(TEXT(DbLinkTable[[#This Row],[Date Received]],"MMMM YYYY"))</f>
        <v>41852</v>
      </c>
      <c r="Y112" s="4">
        <f>INT(DbLinkTable[[#This Row],[Date Received]])</f>
        <v>41866</v>
      </c>
    </row>
    <row r="113" spans="1:25">
      <c r="A113">
        <v>7450</v>
      </c>
      <c r="B113" t="s">
        <v>43</v>
      </c>
      <c r="D113">
        <v>252</v>
      </c>
      <c r="E113" t="s">
        <v>1504</v>
      </c>
      <c r="F113" s="4">
        <v>41866</v>
      </c>
      <c r="G113" s="4" t="s">
        <v>192</v>
      </c>
      <c r="H113" s="4" t="s">
        <v>1512</v>
      </c>
      <c r="I113" s="4">
        <v>0</v>
      </c>
      <c r="J113" s="4"/>
      <c r="K113" s="4"/>
      <c r="L113" s="4"/>
      <c r="M113" s="4"/>
      <c r="N113" s="4"/>
      <c r="O113" s="4">
        <v>0</v>
      </c>
      <c r="P113" s="4">
        <v>41870.579641203702</v>
      </c>
      <c r="Q113" s="4"/>
      <c r="R113" s="4"/>
      <c r="S113" s="79">
        <f>DbLinkTable[[#This Row],[Credit]]+DbLinkTable[[#This Row],[Charge]]</f>
        <v>0</v>
      </c>
      <c r="T113" s="79">
        <f>IF(DbLinkTable[[#This Row],[Price/lb]]*DbLinkTable[[#This Row],[Weight]]&gt;0,DbLinkTable[[#This Row],[Price/lb]]*DbLinkTable[[#This Row],[Weight]],0)</f>
        <v>0</v>
      </c>
      <c r="U113" s="79">
        <f>IF(DbLinkTable[[#This Row],[Price/lb]]*DbLinkTable[[#This Row],[Weight]]&lt;0,DbLinkTable[[#This Row],[Price/lb]]*DbLinkTable[[#This Row],[Weight]],0)</f>
        <v>0</v>
      </c>
      <c r="V113" s="4" t="str">
        <f>IF(COUNTIF($W$2:W113,W113)=1,1,"")</f>
        <v/>
      </c>
      <c r="W113" s="4" t="str">
        <f>CONCATENATE(DbLinkTable[[#This Row],[Customer]],UPPER(DbLinkTable[[#This Row],[Trailer Number]]),DbLinkTable[[#This Row],[Day Received]])</f>
        <v>Company1434341866</v>
      </c>
      <c r="X113" s="4">
        <f>DATEVALUE(TEXT(DbLinkTable[[#This Row],[Date Received]],"MMMM YYYY"))</f>
        <v>41852</v>
      </c>
      <c r="Y113" s="4">
        <f>INT(DbLinkTable[[#This Row],[Date Received]])</f>
        <v>41866</v>
      </c>
    </row>
    <row r="114" spans="1:25">
      <c r="A114">
        <v>7451</v>
      </c>
      <c r="B114" t="s">
        <v>43</v>
      </c>
      <c r="D114">
        <v>254</v>
      </c>
      <c r="E114" t="s">
        <v>1504</v>
      </c>
      <c r="F114" s="4">
        <v>41866</v>
      </c>
      <c r="G114" s="4" t="s">
        <v>192</v>
      </c>
      <c r="H114" s="4" t="s">
        <v>1512</v>
      </c>
      <c r="I114" s="4">
        <v>0</v>
      </c>
      <c r="J114" s="4"/>
      <c r="K114" s="4"/>
      <c r="L114" s="4"/>
      <c r="M114" s="4"/>
      <c r="N114" s="4"/>
      <c r="O114" s="4">
        <v>0</v>
      </c>
      <c r="P114" s="4">
        <v>41870.579675925925</v>
      </c>
      <c r="Q114" s="4"/>
      <c r="R114" s="4"/>
      <c r="S114" s="79">
        <f>DbLinkTable[[#This Row],[Credit]]+DbLinkTable[[#This Row],[Charge]]</f>
        <v>0</v>
      </c>
      <c r="T114" s="79">
        <f>IF(DbLinkTable[[#This Row],[Price/lb]]*DbLinkTable[[#This Row],[Weight]]&gt;0,DbLinkTable[[#This Row],[Price/lb]]*DbLinkTable[[#This Row],[Weight]],0)</f>
        <v>0</v>
      </c>
      <c r="U114" s="79">
        <f>IF(DbLinkTable[[#This Row],[Price/lb]]*DbLinkTable[[#This Row],[Weight]]&lt;0,DbLinkTable[[#This Row],[Price/lb]]*DbLinkTable[[#This Row],[Weight]],0)</f>
        <v>0</v>
      </c>
      <c r="V114" s="4" t="str">
        <f>IF(COUNTIF($W$2:W114,W114)=1,1,"")</f>
        <v/>
      </c>
      <c r="W114" s="4" t="str">
        <f>CONCATENATE(DbLinkTable[[#This Row],[Customer]],UPPER(DbLinkTable[[#This Row],[Trailer Number]]),DbLinkTable[[#This Row],[Day Received]])</f>
        <v>Company1434341866</v>
      </c>
      <c r="X114" s="4">
        <f>DATEVALUE(TEXT(DbLinkTable[[#This Row],[Date Received]],"MMMM YYYY"))</f>
        <v>41852</v>
      </c>
      <c r="Y114" s="4">
        <f>INT(DbLinkTable[[#This Row],[Date Received]])</f>
        <v>41866</v>
      </c>
    </row>
    <row r="115" spans="1:25">
      <c r="A115">
        <v>7452</v>
      </c>
      <c r="B115" t="s">
        <v>43</v>
      </c>
      <c r="D115">
        <v>422</v>
      </c>
      <c r="E115" t="s">
        <v>1504</v>
      </c>
      <c r="F115" s="4">
        <v>41866</v>
      </c>
      <c r="G115" s="4" t="s">
        <v>192</v>
      </c>
      <c r="H115" s="4" t="s">
        <v>1512</v>
      </c>
      <c r="I115" s="4">
        <v>0</v>
      </c>
      <c r="J115" s="4"/>
      <c r="K115" s="4"/>
      <c r="L115" s="4"/>
      <c r="M115" s="4"/>
      <c r="N115" s="4"/>
      <c r="O115" s="4">
        <v>0</v>
      </c>
      <c r="P115" s="4">
        <v>41870.579710648148</v>
      </c>
      <c r="Q115" s="4"/>
      <c r="R115" s="4"/>
      <c r="S115" s="79">
        <f>DbLinkTable[[#This Row],[Credit]]+DbLinkTable[[#This Row],[Charge]]</f>
        <v>0</v>
      </c>
      <c r="T115" s="79">
        <f>IF(DbLinkTable[[#This Row],[Price/lb]]*DbLinkTable[[#This Row],[Weight]]&gt;0,DbLinkTable[[#This Row],[Price/lb]]*DbLinkTable[[#This Row],[Weight]],0)</f>
        <v>0</v>
      </c>
      <c r="U115" s="79">
        <f>IF(DbLinkTable[[#This Row],[Price/lb]]*DbLinkTable[[#This Row],[Weight]]&lt;0,DbLinkTable[[#This Row],[Price/lb]]*DbLinkTable[[#This Row],[Weight]],0)</f>
        <v>0</v>
      </c>
      <c r="V115" s="4" t="str">
        <f>IF(COUNTIF($W$2:W115,W115)=1,1,"")</f>
        <v/>
      </c>
      <c r="W115" s="4" t="str">
        <f>CONCATENATE(DbLinkTable[[#This Row],[Customer]],UPPER(DbLinkTable[[#This Row],[Trailer Number]]),DbLinkTable[[#This Row],[Day Received]])</f>
        <v>Company1434341866</v>
      </c>
      <c r="X115" s="4">
        <f>DATEVALUE(TEXT(DbLinkTable[[#This Row],[Date Received]],"MMMM YYYY"))</f>
        <v>41852</v>
      </c>
      <c r="Y115" s="4">
        <f>INT(DbLinkTable[[#This Row],[Date Received]])</f>
        <v>41866</v>
      </c>
    </row>
    <row r="116" spans="1:25">
      <c r="A116">
        <v>7453</v>
      </c>
      <c r="B116" t="s">
        <v>43</v>
      </c>
      <c r="D116">
        <v>144</v>
      </c>
      <c r="E116" t="s">
        <v>1504</v>
      </c>
      <c r="F116" s="4">
        <v>41866</v>
      </c>
      <c r="G116" s="4" t="s">
        <v>192</v>
      </c>
      <c r="H116" s="4" t="s">
        <v>1512</v>
      </c>
      <c r="I116" s="4">
        <v>0</v>
      </c>
      <c r="J116" s="4"/>
      <c r="K116" s="4"/>
      <c r="L116" s="4"/>
      <c r="M116" s="4"/>
      <c r="N116" s="4"/>
      <c r="O116" s="4">
        <v>0</v>
      </c>
      <c r="P116" s="4">
        <v>41870.579756944448</v>
      </c>
      <c r="Q116" s="4"/>
      <c r="R116" s="4"/>
      <c r="S116" s="79">
        <f>DbLinkTable[[#This Row],[Credit]]+DbLinkTable[[#This Row],[Charge]]</f>
        <v>0</v>
      </c>
      <c r="T116" s="79">
        <f>IF(DbLinkTable[[#This Row],[Price/lb]]*DbLinkTable[[#This Row],[Weight]]&gt;0,DbLinkTable[[#This Row],[Price/lb]]*DbLinkTable[[#This Row],[Weight]],0)</f>
        <v>0</v>
      </c>
      <c r="U116" s="79">
        <f>IF(DbLinkTable[[#This Row],[Price/lb]]*DbLinkTable[[#This Row],[Weight]]&lt;0,DbLinkTable[[#This Row],[Price/lb]]*DbLinkTable[[#This Row],[Weight]],0)</f>
        <v>0</v>
      </c>
      <c r="V116" s="4" t="str">
        <f>IF(COUNTIF($W$2:W116,W116)=1,1,"")</f>
        <v/>
      </c>
      <c r="W116" s="4" t="str">
        <f>CONCATENATE(DbLinkTable[[#This Row],[Customer]],UPPER(DbLinkTable[[#This Row],[Trailer Number]]),DbLinkTable[[#This Row],[Day Received]])</f>
        <v>Company1434341866</v>
      </c>
      <c r="X116" s="4">
        <f>DATEVALUE(TEXT(DbLinkTable[[#This Row],[Date Received]],"MMMM YYYY"))</f>
        <v>41852</v>
      </c>
      <c r="Y116" s="4">
        <f>INT(DbLinkTable[[#This Row],[Date Received]])</f>
        <v>41866</v>
      </c>
    </row>
    <row r="117" spans="1:25">
      <c r="A117">
        <v>7454</v>
      </c>
      <c r="B117" t="s">
        <v>43</v>
      </c>
      <c r="D117">
        <v>90</v>
      </c>
      <c r="E117" t="s">
        <v>1504</v>
      </c>
      <c r="F117" s="4">
        <v>41866</v>
      </c>
      <c r="G117" s="4" t="s">
        <v>192</v>
      </c>
      <c r="H117" s="4" t="s">
        <v>1512</v>
      </c>
      <c r="I117" s="4">
        <v>0</v>
      </c>
      <c r="J117" s="4"/>
      <c r="K117" s="4"/>
      <c r="L117" s="4"/>
      <c r="M117" s="4"/>
      <c r="N117" s="4"/>
      <c r="O117" s="4">
        <v>0</v>
      </c>
      <c r="P117" s="4">
        <v>41870.579791666663</v>
      </c>
      <c r="Q117" s="4"/>
      <c r="R117" s="4"/>
      <c r="S117" s="79">
        <f>DbLinkTable[[#This Row],[Credit]]+DbLinkTable[[#This Row],[Charge]]</f>
        <v>0</v>
      </c>
      <c r="T117" s="79">
        <f>IF(DbLinkTable[[#This Row],[Price/lb]]*DbLinkTable[[#This Row],[Weight]]&gt;0,DbLinkTable[[#This Row],[Price/lb]]*DbLinkTable[[#This Row],[Weight]],0)</f>
        <v>0</v>
      </c>
      <c r="U117" s="79">
        <f>IF(DbLinkTable[[#This Row],[Price/lb]]*DbLinkTable[[#This Row],[Weight]]&lt;0,DbLinkTable[[#This Row],[Price/lb]]*DbLinkTable[[#This Row],[Weight]],0)</f>
        <v>0</v>
      </c>
      <c r="V117" s="4" t="str">
        <f>IF(COUNTIF($W$2:W117,W117)=1,1,"")</f>
        <v/>
      </c>
      <c r="W117" s="4" t="str">
        <f>CONCATENATE(DbLinkTable[[#This Row],[Customer]],UPPER(DbLinkTable[[#This Row],[Trailer Number]]),DbLinkTable[[#This Row],[Day Received]])</f>
        <v>Company1434341866</v>
      </c>
      <c r="X117" s="4">
        <f>DATEVALUE(TEXT(DbLinkTable[[#This Row],[Date Received]],"MMMM YYYY"))</f>
        <v>41852</v>
      </c>
      <c r="Y117" s="4">
        <f>INT(DbLinkTable[[#This Row],[Date Received]])</f>
        <v>41866</v>
      </c>
    </row>
    <row r="118" spans="1:25">
      <c r="A118">
        <v>7455</v>
      </c>
      <c r="B118" t="s">
        <v>1505</v>
      </c>
      <c r="D118">
        <v>748</v>
      </c>
      <c r="E118" t="s">
        <v>1504</v>
      </c>
      <c r="F118" s="4">
        <v>41866</v>
      </c>
      <c r="G118" s="4" t="s">
        <v>192</v>
      </c>
      <c r="H118" s="4" t="s">
        <v>1512</v>
      </c>
      <c r="I118" s="4">
        <v>0</v>
      </c>
      <c r="J118" s="4"/>
      <c r="K118" s="4"/>
      <c r="L118" s="4"/>
      <c r="M118" s="4"/>
      <c r="N118" s="4"/>
      <c r="O118" s="4">
        <v>0</v>
      </c>
      <c r="P118" s="4">
        <v>41870.579907407409</v>
      </c>
      <c r="Q118" s="4"/>
      <c r="R118" s="4"/>
      <c r="S118" s="79">
        <f>DbLinkTable[[#This Row],[Credit]]+DbLinkTable[[#This Row],[Charge]]</f>
        <v>0</v>
      </c>
      <c r="T118" s="79">
        <f>IF(DbLinkTable[[#This Row],[Price/lb]]*DbLinkTable[[#This Row],[Weight]]&gt;0,DbLinkTable[[#This Row],[Price/lb]]*DbLinkTable[[#This Row],[Weight]],0)</f>
        <v>0</v>
      </c>
      <c r="U118" s="79">
        <f>IF(DbLinkTable[[#This Row],[Price/lb]]*DbLinkTable[[#This Row],[Weight]]&lt;0,DbLinkTable[[#This Row],[Price/lb]]*DbLinkTable[[#This Row],[Weight]],0)</f>
        <v>0</v>
      </c>
      <c r="V118" s="4" t="str">
        <f>IF(COUNTIF($W$2:W118,W118)=1,1,"")</f>
        <v/>
      </c>
      <c r="W118" s="4" t="str">
        <f>CONCATENATE(DbLinkTable[[#This Row],[Customer]],UPPER(DbLinkTable[[#This Row],[Trailer Number]]),DbLinkTable[[#This Row],[Day Received]])</f>
        <v>Company1434341866</v>
      </c>
      <c r="X118" s="4">
        <f>DATEVALUE(TEXT(DbLinkTable[[#This Row],[Date Received]],"MMMM YYYY"))</f>
        <v>41852</v>
      </c>
      <c r="Y118" s="4">
        <f>INT(DbLinkTable[[#This Row],[Date Received]])</f>
        <v>41866</v>
      </c>
    </row>
    <row r="119" spans="1:25">
      <c r="A119">
        <v>7456</v>
      </c>
      <c r="B119" t="s">
        <v>1505</v>
      </c>
      <c r="D119">
        <v>286</v>
      </c>
      <c r="E119" t="s">
        <v>1504</v>
      </c>
      <c r="F119" s="4">
        <v>41866</v>
      </c>
      <c r="G119" s="4" t="s">
        <v>192</v>
      </c>
      <c r="H119" s="4" t="s">
        <v>1512</v>
      </c>
      <c r="I119" s="4">
        <v>0</v>
      </c>
      <c r="J119" s="4"/>
      <c r="K119" s="4"/>
      <c r="L119" s="4"/>
      <c r="M119" s="4"/>
      <c r="N119" s="4"/>
      <c r="O119" s="4">
        <v>0</v>
      </c>
      <c r="P119" s="4">
        <v>41870.579953703702</v>
      </c>
      <c r="Q119" s="4"/>
      <c r="R119" s="4"/>
      <c r="S119" s="79">
        <f>DbLinkTable[[#This Row],[Credit]]+DbLinkTable[[#This Row],[Charge]]</f>
        <v>0</v>
      </c>
      <c r="T119" s="79">
        <f>IF(DbLinkTable[[#This Row],[Price/lb]]*DbLinkTable[[#This Row],[Weight]]&gt;0,DbLinkTable[[#This Row],[Price/lb]]*DbLinkTable[[#This Row],[Weight]],0)</f>
        <v>0</v>
      </c>
      <c r="U119" s="79">
        <f>IF(DbLinkTable[[#This Row],[Price/lb]]*DbLinkTable[[#This Row],[Weight]]&lt;0,DbLinkTable[[#This Row],[Price/lb]]*DbLinkTable[[#This Row],[Weight]],0)</f>
        <v>0</v>
      </c>
      <c r="V119" s="4" t="str">
        <f>IF(COUNTIF($W$2:W119,W119)=1,1,"")</f>
        <v/>
      </c>
      <c r="W119" s="4" t="str">
        <f>CONCATENATE(DbLinkTable[[#This Row],[Customer]],UPPER(DbLinkTable[[#This Row],[Trailer Number]]),DbLinkTable[[#This Row],[Day Received]])</f>
        <v>Company1434341866</v>
      </c>
      <c r="X119" s="4">
        <f>DATEVALUE(TEXT(DbLinkTable[[#This Row],[Date Received]],"MMMM YYYY"))</f>
        <v>41852</v>
      </c>
      <c r="Y119" s="4">
        <f>INT(DbLinkTable[[#This Row],[Date Received]])</f>
        <v>41866</v>
      </c>
    </row>
    <row r="120" spans="1:25">
      <c r="A120">
        <v>7457</v>
      </c>
      <c r="B120" t="s">
        <v>1505</v>
      </c>
      <c r="D120">
        <v>586</v>
      </c>
      <c r="E120" t="s">
        <v>1504</v>
      </c>
      <c r="F120" s="4">
        <v>41866</v>
      </c>
      <c r="G120" s="4" t="s">
        <v>192</v>
      </c>
      <c r="H120" s="4" t="s">
        <v>1512</v>
      </c>
      <c r="I120" s="4">
        <v>0</v>
      </c>
      <c r="J120" s="4"/>
      <c r="K120" s="4"/>
      <c r="L120" s="4"/>
      <c r="M120" s="4"/>
      <c r="N120" s="4"/>
      <c r="O120" s="4">
        <v>0</v>
      </c>
      <c r="P120" s="4">
        <v>41870.579988425925</v>
      </c>
      <c r="Q120" s="4"/>
      <c r="R120" s="4"/>
      <c r="S120" s="79">
        <f>DbLinkTable[[#This Row],[Credit]]+DbLinkTable[[#This Row],[Charge]]</f>
        <v>0</v>
      </c>
      <c r="T120" s="79">
        <f>IF(DbLinkTable[[#This Row],[Price/lb]]*DbLinkTable[[#This Row],[Weight]]&gt;0,DbLinkTable[[#This Row],[Price/lb]]*DbLinkTable[[#This Row],[Weight]],0)</f>
        <v>0</v>
      </c>
      <c r="U120" s="79">
        <f>IF(DbLinkTable[[#This Row],[Price/lb]]*DbLinkTable[[#This Row],[Weight]]&lt;0,DbLinkTable[[#This Row],[Price/lb]]*DbLinkTable[[#This Row],[Weight]],0)</f>
        <v>0</v>
      </c>
      <c r="V120" s="4" t="str">
        <f>IF(COUNTIF($W$2:W120,W120)=1,1,"")</f>
        <v/>
      </c>
      <c r="W120" s="4" t="str">
        <f>CONCATENATE(DbLinkTable[[#This Row],[Customer]],UPPER(DbLinkTable[[#This Row],[Trailer Number]]),DbLinkTable[[#This Row],[Day Received]])</f>
        <v>Company1434341866</v>
      </c>
      <c r="X120" s="4">
        <f>DATEVALUE(TEXT(DbLinkTable[[#This Row],[Date Received]],"MMMM YYYY"))</f>
        <v>41852</v>
      </c>
      <c r="Y120" s="4">
        <f>INT(DbLinkTable[[#This Row],[Date Received]])</f>
        <v>41866</v>
      </c>
    </row>
    <row r="121" spans="1:25">
      <c r="A121">
        <v>7458</v>
      </c>
      <c r="B121" t="s">
        <v>1505</v>
      </c>
      <c r="D121">
        <v>576</v>
      </c>
      <c r="E121" t="s">
        <v>1504</v>
      </c>
      <c r="F121" s="4">
        <v>41866</v>
      </c>
      <c r="G121" s="4" t="s">
        <v>192</v>
      </c>
      <c r="H121" s="4" t="s">
        <v>1512</v>
      </c>
      <c r="I121" s="4">
        <v>0</v>
      </c>
      <c r="J121" s="4"/>
      <c r="K121" s="4"/>
      <c r="L121" s="4"/>
      <c r="M121" s="4"/>
      <c r="N121" s="4"/>
      <c r="O121" s="4">
        <v>0</v>
      </c>
      <c r="P121" s="4">
        <v>41870.580046296294</v>
      </c>
      <c r="Q121" s="4"/>
      <c r="R121" s="4"/>
      <c r="S121" s="79">
        <f>DbLinkTable[[#This Row],[Credit]]+DbLinkTable[[#This Row],[Charge]]</f>
        <v>0</v>
      </c>
      <c r="T121" s="79">
        <f>IF(DbLinkTable[[#This Row],[Price/lb]]*DbLinkTable[[#This Row],[Weight]]&gt;0,DbLinkTable[[#This Row],[Price/lb]]*DbLinkTable[[#This Row],[Weight]],0)</f>
        <v>0</v>
      </c>
      <c r="U121" s="79">
        <f>IF(DbLinkTable[[#This Row],[Price/lb]]*DbLinkTable[[#This Row],[Weight]]&lt;0,DbLinkTable[[#This Row],[Price/lb]]*DbLinkTable[[#This Row],[Weight]],0)</f>
        <v>0</v>
      </c>
      <c r="V121" s="4" t="str">
        <f>IF(COUNTIF($W$2:W121,W121)=1,1,"")</f>
        <v/>
      </c>
      <c r="W121" s="4" t="str">
        <f>CONCATENATE(DbLinkTable[[#This Row],[Customer]],UPPER(DbLinkTable[[#This Row],[Trailer Number]]),DbLinkTable[[#This Row],[Day Received]])</f>
        <v>Company1434341866</v>
      </c>
      <c r="X121" s="4">
        <f>DATEVALUE(TEXT(DbLinkTable[[#This Row],[Date Received]],"MMMM YYYY"))</f>
        <v>41852</v>
      </c>
      <c r="Y121" s="4">
        <f>INT(DbLinkTable[[#This Row],[Date Received]])</f>
        <v>41866</v>
      </c>
    </row>
    <row r="122" spans="1:25">
      <c r="A122">
        <v>7459</v>
      </c>
      <c r="B122" t="s">
        <v>45</v>
      </c>
      <c r="D122">
        <v>36</v>
      </c>
      <c r="E122" t="s">
        <v>1504</v>
      </c>
      <c r="F122" s="4">
        <v>41866</v>
      </c>
      <c r="G122" s="4" t="s">
        <v>192</v>
      </c>
      <c r="H122" s="4" t="s">
        <v>1512</v>
      </c>
      <c r="I122" s="4">
        <v>0</v>
      </c>
      <c r="J122" s="4"/>
      <c r="K122" s="4"/>
      <c r="L122" s="4"/>
      <c r="M122" s="4"/>
      <c r="N122" s="4"/>
      <c r="O122" s="4">
        <v>0</v>
      </c>
      <c r="P122" s="4">
        <v>41870.580150462964</v>
      </c>
      <c r="Q122" s="4"/>
      <c r="R122" s="4"/>
      <c r="S122" s="79">
        <f>DbLinkTable[[#This Row],[Credit]]+DbLinkTable[[#This Row],[Charge]]</f>
        <v>0</v>
      </c>
      <c r="T122" s="79">
        <f>IF(DbLinkTable[[#This Row],[Price/lb]]*DbLinkTable[[#This Row],[Weight]]&gt;0,DbLinkTable[[#This Row],[Price/lb]]*DbLinkTable[[#This Row],[Weight]],0)</f>
        <v>0</v>
      </c>
      <c r="U122" s="79">
        <f>IF(DbLinkTable[[#This Row],[Price/lb]]*DbLinkTable[[#This Row],[Weight]]&lt;0,DbLinkTable[[#This Row],[Price/lb]]*DbLinkTable[[#This Row],[Weight]],0)</f>
        <v>0</v>
      </c>
      <c r="V122" s="4" t="str">
        <f>IF(COUNTIF($W$2:W122,W122)=1,1,"")</f>
        <v/>
      </c>
      <c r="W122" s="4" t="str">
        <f>CONCATENATE(DbLinkTable[[#This Row],[Customer]],UPPER(DbLinkTable[[#This Row],[Trailer Number]]),DbLinkTable[[#This Row],[Day Received]])</f>
        <v>Company1434341866</v>
      </c>
      <c r="X122" s="4">
        <f>DATEVALUE(TEXT(DbLinkTable[[#This Row],[Date Received]],"MMMM YYYY"))</f>
        <v>41852</v>
      </c>
      <c r="Y122" s="4">
        <f>INT(DbLinkTable[[#This Row],[Date Received]])</f>
        <v>41866</v>
      </c>
    </row>
    <row r="123" spans="1:25">
      <c r="A123">
        <v>7460</v>
      </c>
      <c r="B123" t="s">
        <v>45</v>
      </c>
      <c r="D123">
        <v>100</v>
      </c>
      <c r="E123" t="s">
        <v>1504</v>
      </c>
      <c r="F123" s="4">
        <v>41866</v>
      </c>
      <c r="G123" s="4" t="s">
        <v>192</v>
      </c>
      <c r="H123" s="4" t="s">
        <v>1512</v>
      </c>
      <c r="I123" s="4">
        <v>0</v>
      </c>
      <c r="J123" s="4"/>
      <c r="K123" s="4"/>
      <c r="L123" s="4"/>
      <c r="M123" s="4"/>
      <c r="N123" s="4"/>
      <c r="O123" s="4">
        <v>0</v>
      </c>
      <c r="P123" s="4">
        <v>41870.580185185187</v>
      </c>
      <c r="Q123" s="4"/>
      <c r="R123" s="4"/>
      <c r="S123" s="79">
        <f>DbLinkTable[[#This Row],[Credit]]+DbLinkTable[[#This Row],[Charge]]</f>
        <v>0</v>
      </c>
      <c r="T123" s="79">
        <f>IF(DbLinkTable[[#This Row],[Price/lb]]*DbLinkTable[[#This Row],[Weight]]&gt;0,DbLinkTable[[#This Row],[Price/lb]]*DbLinkTable[[#This Row],[Weight]],0)</f>
        <v>0</v>
      </c>
      <c r="U123" s="79">
        <f>IF(DbLinkTable[[#This Row],[Price/lb]]*DbLinkTable[[#This Row],[Weight]]&lt;0,DbLinkTable[[#This Row],[Price/lb]]*DbLinkTable[[#This Row],[Weight]],0)</f>
        <v>0</v>
      </c>
      <c r="V123" s="4" t="str">
        <f>IF(COUNTIF($W$2:W123,W123)=1,1,"")</f>
        <v/>
      </c>
      <c r="W123" s="4" t="str">
        <f>CONCATENATE(DbLinkTable[[#This Row],[Customer]],UPPER(DbLinkTable[[#This Row],[Trailer Number]]),DbLinkTable[[#This Row],[Day Received]])</f>
        <v>Company1434341866</v>
      </c>
      <c r="X123" s="4">
        <f>DATEVALUE(TEXT(DbLinkTable[[#This Row],[Date Received]],"MMMM YYYY"))</f>
        <v>41852</v>
      </c>
      <c r="Y123" s="4">
        <f>INT(DbLinkTable[[#This Row],[Date Received]])</f>
        <v>41866</v>
      </c>
    </row>
    <row r="124" spans="1:25">
      <c r="A124">
        <v>7461</v>
      </c>
      <c r="B124" t="s">
        <v>46</v>
      </c>
      <c r="D124">
        <v>1418</v>
      </c>
      <c r="E124" t="s">
        <v>1504</v>
      </c>
      <c r="F124" s="4">
        <v>41866</v>
      </c>
      <c r="G124" s="4" t="s">
        <v>192</v>
      </c>
      <c r="H124" s="4" t="s">
        <v>1512</v>
      </c>
      <c r="I124" s="4">
        <v>0</v>
      </c>
      <c r="J124" s="4"/>
      <c r="K124" s="4"/>
      <c r="L124" s="4"/>
      <c r="M124" s="4"/>
      <c r="N124" s="4"/>
      <c r="O124" s="4">
        <v>0</v>
      </c>
      <c r="P124" s="4">
        <v>41870.580300925925</v>
      </c>
      <c r="Q124" s="4"/>
      <c r="R124" s="4"/>
      <c r="S124" s="79">
        <f>DbLinkTable[[#This Row],[Credit]]+DbLinkTable[[#This Row],[Charge]]</f>
        <v>0</v>
      </c>
      <c r="T124" s="79">
        <f>IF(DbLinkTable[[#This Row],[Price/lb]]*DbLinkTable[[#This Row],[Weight]]&gt;0,DbLinkTable[[#This Row],[Price/lb]]*DbLinkTable[[#This Row],[Weight]],0)</f>
        <v>0</v>
      </c>
      <c r="U124" s="79">
        <f>IF(DbLinkTable[[#This Row],[Price/lb]]*DbLinkTable[[#This Row],[Weight]]&lt;0,DbLinkTable[[#This Row],[Price/lb]]*DbLinkTable[[#This Row],[Weight]],0)</f>
        <v>0</v>
      </c>
      <c r="V124" s="4" t="str">
        <f>IF(COUNTIF($W$2:W124,W124)=1,1,"")</f>
        <v/>
      </c>
      <c r="W124" s="4" t="str">
        <f>CONCATENATE(DbLinkTable[[#This Row],[Customer]],UPPER(DbLinkTable[[#This Row],[Trailer Number]]),DbLinkTable[[#This Row],[Day Received]])</f>
        <v>Company1434341866</v>
      </c>
      <c r="X124" s="4">
        <f>DATEVALUE(TEXT(DbLinkTable[[#This Row],[Date Received]],"MMMM YYYY"))</f>
        <v>41852</v>
      </c>
      <c r="Y124" s="4">
        <f>INT(DbLinkTable[[#This Row],[Date Received]])</f>
        <v>41866</v>
      </c>
    </row>
    <row r="125" spans="1:25">
      <c r="A125">
        <v>7462</v>
      </c>
      <c r="B125" t="s">
        <v>1527</v>
      </c>
      <c r="D125">
        <v>166</v>
      </c>
      <c r="E125" t="s">
        <v>1504</v>
      </c>
      <c r="F125" s="4">
        <v>41858</v>
      </c>
      <c r="G125" s="4" t="s">
        <v>192</v>
      </c>
      <c r="H125" s="4" t="s">
        <v>1529</v>
      </c>
      <c r="I125" s="4">
        <v>0</v>
      </c>
      <c r="J125" s="4"/>
      <c r="K125" s="4"/>
      <c r="L125" s="4"/>
      <c r="M125" s="4"/>
      <c r="N125" s="4"/>
      <c r="O125" s="4">
        <v>0</v>
      </c>
      <c r="P125" s="4">
        <v>41871.49009259259</v>
      </c>
      <c r="Q125" s="4"/>
      <c r="R125" s="4"/>
      <c r="S125" s="79">
        <f>DbLinkTable[[#This Row],[Credit]]+DbLinkTable[[#This Row],[Charge]]</f>
        <v>0</v>
      </c>
      <c r="T125" s="79">
        <f>IF(DbLinkTable[[#This Row],[Price/lb]]*DbLinkTable[[#This Row],[Weight]]&gt;0,DbLinkTable[[#This Row],[Price/lb]]*DbLinkTable[[#This Row],[Weight]],0)</f>
        <v>0</v>
      </c>
      <c r="U125" s="79">
        <f>IF(DbLinkTable[[#This Row],[Price/lb]]*DbLinkTable[[#This Row],[Weight]]&lt;0,DbLinkTable[[#This Row],[Price/lb]]*DbLinkTable[[#This Row],[Weight]],0)</f>
        <v>0</v>
      </c>
      <c r="V125" s="4">
        <f>IF(COUNTIF($W$2:W125,W125)=1,1,"")</f>
        <v>1</v>
      </c>
      <c r="W125" s="4" t="str">
        <f>CONCATENATE(DbLinkTable[[#This Row],[Customer]],UPPER(DbLinkTable[[#This Row],[Trailer Number]]),DbLinkTable[[#This Row],[Day Received]])</f>
        <v>Company14DV4850241858</v>
      </c>
      <c r="X125" s="4">
        <f>DATEVALUE(TEXT(DbLinkTable[[#This Row],[Date Received]],"MMMM YYYY"))</f>
        <v>41852</v>
      </c>
      <c r="Y125" s="4">
        <f>INT(DbLinkTable[[#This Row],[Date Received]])</f>
        <v>41858</v>
      </c>
    </row>
    <row r="126" spans="1:25">
      <c r="A126">
        <v>7463</v>
      </c>
      <c r="B126" t="s">
        <v>1530</v>
      </c>
      <c r="D126">
        <v>66</v>
      </c>
      <c r="E126" t="s">
        <v>1504</v>
      </c>
      <c r="F126" s="4">
        <v>41858</v>
      </c>
      <c r="G126" s="4" t="s">
        <v>192</v>
      </c>
      <c r="H126" s="4" t="s">
        <v>1529</v>
      </c>
      <c r="I126" s="4">
        <v>0</v>
      </c>
      <c r="J126" s="4"/>
      <c r="K126" s="4"/>
      <c r="L126" s="4"/>
      <c r="M126" s="4"/>
      <c r="N126" s="4"/>
      <c r="O126" s="4">
        <v>0</v>
      </c>
      <c r="P126" s="4">
        <v>41871.490590277775</v>
      </c>
      <c r="Q126" s="4"/>
      <c r="R126" s="4"/>
      <c r="S126" s="79">
        <f>DbLinkTable[[#This Row],[Credit]]+DbLinkTable[[#This Row],[Charge]]</f>
        <v>0</v>
      </c>
      <c r="T126" s="79">
        <f>IF(DbLinkTable[[#This Row],[Price/lb]]*DbLinkTable[[#This Row],[Weight]]&gt;0,DbLinkTable[[#This Row],[Price/lb]]*DbLinkTable[[#This Row],[Weight]],0)</f>
        <v>0</v>
      </c>
      <c r="U126" s="79">
        <f>IF(DbLinkTable[[#This Row],[Price/lb]]*DbLinkTable[[#This Row],[Weight]]&lt;0,DbLinkTable[[#This Row],[Price/lb]]*DbLinkTable[[#This Row],[Weight]],0)</f>
        <v>0</v>
      </c>
      <c r="V126" s="4" t="str">
        <f>IF(COUNTIF($W$2:W126,W126)=1,1,"")</f>
        <v/>
      </c>
      <c r="W126" s="4" t="str">
        <f>CONCATENATE(DbLinkTable[[#This Row],[Customer]],UPPER(DbLinkTable[[#This Row],[Trailer Number]]),DbLinkTable[[#This Row],[Day Received]])</f>
        <v>Company14DV4850241858</v>
      </c>
      <c r="X126" s="4">
        <f>DATEVALUE(TEXT(DbLinkTable[[#This Row],[Date Received]],"MMMM YYYY"))</f>
        <v>41852</v>
      </c>
      <c r="Y126" s="4">
        <f>INT(DbLinkTable[[#This Row],[Date Received]])</f>
        <v>41858</v>
      </c>
    </row>
    <row r="127" spans="1:25">
      <c r="A127">
        <v>7464</v>
      </c>
      <c r="B127" t="s">
        <v>46</v>
      </c>
      <c r="C127" t="s">
        <v>1531</v>
      </c>
      <c r="D127">
        <v>742</v>
      </c>
      <c r="E127" t="s">
        <v>1504</v>
      </c>
      <c r="F127" s="4">
        <v>41858</v>
      </c>
      <c r="G127" s="4" t="s">
        <v>192</v>
      </c>
      <c r="H127" s="4" t="s">
        <v>1529</v>
      </c>
      <c r="I127" s="4">
        <v>0</v>
      </c>
      <c r="J127" s="4"/>
      <c r="K127" s="4"/>
      <c r="L127" s="4"/>
      <c r="M127" s="4"/>
      <c r="N127" s="4"/>
      <c r="O127" s="4">
        <v>0</v>
      </c>
      <c r="P127" s="4">
        <v>41871.490798611114</v>
      </c>
      <c r="Q127" s="4"/>
      <c r="R127" s="4"/>
      <c r="S127" s="79">
        <f>DbLinkTable[[#This Row],[Credit]]+DbLinkTable[[#This Row],[Charge]]</f>
        <v>0</v>
      </c>
      <c r="T127" s="79">
        <f>IF(DbLinkTable[[#This Row],[Price/lb]]*DbLinkTable[[#This Row],[Weight]]&gt;0,DbLinkTable[[#This Row],[Price/lb]]*DbLinkTable[[#This Row],[Weight]],0)</f>
        <v>0</v>
      </c>
      <c r="U127" s="79">
        <f>IF(DbLinkTable[[#This Row],[Price/lb]]*DbLinkTable[[#This Row],[Weight]]&lt;0,DbLinkTable[[#This Row],[Price/lb]]*DbLinkTable[[#This Row],[Weight]],0)</f>
        <v>0</v>
      </c>
      <c r="V127" s="4" t="str">
        <f>IF(COUNTIF($W$2:W127,W127)=1,1,"")</f>
        <v/>
      </c>
      <c r="W127" s="4" t="str">
        <f>CONCATENATE(DbLinkTable[[#This Row],[Customer]],UPPER(DbLinkTable[[#This Row],[Trailer Number]]),DbLinkTable[[#This Row],[Day Received]])</f>
        <v>Company14DV4850241858</v>
      </c>
      <c r="X127" s="4">
        <f>DATEVALUE(TEXT(DbLinkTable[[#This Row],[Date Received]],"MMMM YYYY"))</f>
        <v>41852</v>
      </c>
      <c r="Y127" s="4">
        <f>INT(DbLinkTable[[#This Row],[Date Received]])</f>
        <v>41858</v>
      </c>
    </row>
    <row r="128" spans="1:25">
      <c r="A128">
        <v>7465</v>
      </c>
      <c r="B128" t="s">
        <v>1502</v>
      </c>
      <c r="D128">
        <v>502</v>
      </c>
      <c r="E128" t="s">
        <v>1504</v>
      </c>
      <c r="F128" s="4">
        <v>41858</v>
      </c>
      <c r="G128" s="4" t="s">
        <v>192</v>
      </c>
      <c r="H128" s="4" t="s">
        <v>1529</v>
      </c>
      <c r="I128" s="4">
        <v>0</v>
      </c>
      <c r="J128" s="4"/>
      <c r="K128" s="4"/>
      <c r="L128" s="4"/>
      <c r="M128" s="4"/>
      <c r="N128" s="4"/>
      <c r="O128" s="4">
        <v>0</v>
      </c>
      <c r="P128" s="4">
        <v>41871.490972222222</v>
      </c>
      <c r="Q128" s="4"/>
      <c r="R128" s="4"/>
      <c r="S128" s="79">
        <f>DbLinkTable[[#This Row],[Credit]]+DbLinkTable[[#This Row],[Charge]]</f>
        <v>0</v>
      </c>
      <c r="T128" s="79">
        <f>IF(DbLinkTable[[#This Row],[Price/lb]]*DbLinkTable[[#This Row],[Weight]]&gt;0,DbLinkTable[[#This Row],[Price/lb]]*DbLinkTable[[#This Row],[Weight]],0)</f>
        <v>0</v>
      </c>
      <c r="U128" s="79">
        <f>IF(DbLinkTable[[#This Row],[Price/lb]]*DbLinkTable[[#This Row],[Weight]]&lt;0,DbLinkTable[[#This Row],[Price/lb]]*DbLinkTable[[#This Row],[Weight]],0)</f>
        <v>0</v>
      </c>
      <c r="V128" s="4" t="str">
        <f>IF(COUNTIF($W$2:W128,W128)=1,1,"")</f>
        <v/>
      </c>
      <c r="W128" s="4" t="str">
        <f>CONCATENATE(DbLinkTable[[#This Row],[Customer]],UPPER(DbLinkTable[[#This Row],[Trailer Number]]),DbLinkTable[[#This Row],[Day Received]])</f>
        <v>Company14DV4850241858</v>
      </c>
      <c r="X128" s="4">
        <f>DATEVALUE(TEXT(DbLinkTable[[#This Row],[Date Received]],"MMMM YYYY"))</f>
        <v>41852</v>
      </c>
      <c r="Y128" s="4">
        <f>INT(DbLinkTable[[#This Row],[Date Received]])</f>
        <v>41858</v>
      </c>
    </row>
    <row r="129" spans="1:25">
      <c r="A129">
        <v>7466</v>
      </c>
      <c r="B129" t="s">
        <v>48</v>
      </c>
      <c r="D129">
        <v>356</v>
      </c>
      <c r="E129" t="s">
        <v>1504</v>
      </c>
      <c r="F129" s="4">
        <v>41858</v>
      </c>
      <c r="G129" s="4" t="s">
        <v>192</v>
      </c>
      <c r="H129" s="4" t="s">
        <v>1529</v>
      </c>
      <c r="I129" s="4">
        <v>0</v>
      </c>
      <c r="J129" s="4"/>
      <c r="K129" s="4"/>
      <c r="L129" s="4"/>
      <c r="M129" s="4"/>
      <c r="N129" s="4"/>
      <c r="O129" s="4">
        <v>0</v>
      </c>
      <c r="P129" s="4">
        <v>41871.491053240738</v>
      </c>
      <c r="Q129" s="4"/>
      <c r="R129" s="4"/>
      <c r="S129" s="79">
        <f>DbLinkTable[[#This Row],[Credit]]+DbLinkTable[[#This Row],[Charge]]</f>
        <v>0</v>
      </c>
      <c r="T129" s="79">
        <f>IF(DbLinkTable[[#This Row],[Price/lb]]*DbLinkTable[[#This Row],[Weight]]&gt;0,DbLinkTable[[#This Row],[Price/lb]]*DbLinkTable[[#This Row],[Weight]],0)</f>
        <v>0</v>
      </c>
      <c r="U129" s="79">
        <f>IF(DbLinkTable[[#This Row],[Price/lb]]*DbLinkTable[[#This Row],[Weight]]&lt;0,DbLinkTable[[#This Row],[Price/lb]]*DbLinkTable[[#This Row],[Weight]],0)</f>
        <v>0</v>
      </c>
      <c r="V129" s="4" t="str">
        <f>IF(COUNTIF($W$2:W129,W129)=1,1,"")</f>
        <v/>
      </c>
      <c r="W129" s="4" t="str">
        <f>CONCATENATE(DbLinkTable[[#This Row],[Customer]],UPPER(DbLinkTable[[#This Row],[Trailer Number]]),DbLinkTable[[#This Row],[Day Received]])</f>
        <v>Company14DV4850241858</v>
      </c>
      <c r="X129" s="4">
        <f>DATEVALUE(TEXT(DbLinkTable[[#This Row],[Date Received]],"MMMM YYYY"))</f>
        <v>41852</v>
      </c>
      <c r="Y129" s="4">
        <f>INT(DbLinkTable[[#This Row],[Date Received]])</f>
        <v>41858</v>
      </c>
    </row>
    <row r="130" spans="1:25">
      <c r="A130">
        <v>7467</v>
      </c>
      <c r="B130" t="s">
        <v>48</v>
      </c>
      <c r="D130">
        <v>272</v>
      </c>
      <c r="E130" t="s">
        <v>1504</v>
      </c>
      <c r="F130" s="4">
        <v>41858</v>
      </c>
      <c r="G130" s="4" t="s">
        <v>192</v>
      </c>
      <c r="H130" s="4" t="s">
        <v>1529</v>
      </c>
      <c r="I130" s="4">
        <v>0</v>
      </c>
      <c r="J130" s="4"/>
      <c r="K130" s="4"/>
      <c r="L130" s="4"/>
      <c r="M130" s="4"/>
      <c r="N130" s="4"/>
      <c r="O130" s="4">
        <v>0</v>
      </c>
      <c r="P130" s="4">
        <v>41871.491087962961</v>
      </c>
      <c r="Q130" s="4"/>
      <c r="R130" s="4"/>
      <c r="S130" s="79">
        <f>DbLinkTable[[#This Row],[Credit]]+DbLinkTable[[#This Row],[Charge]]</f>
        <v>0</v>
      </c>
      <c r="T130" s="79">
        <f>IF(DbLinkTable[[#This Row],[Price/lb]]*DbLinkTable[[#This Row],[Weight]]&gt;0,DbLinkTable[[#This Row],[Price/lb]]*DbLinkTable[[#This Row],[Weight]],0)</f>
        <v>0</v>
      </c>
      <c r="U130" s="79">
        <f>IF(DbLinkTable[[#This Row],[Price/lb]]*DbLinkTable[[#This Row],[Weight]]&lt;0,DbLinkTable[[#This Row],[Price/lb]]*DbLinkTable[[#This Row],[Weight]],0)</f>
        <v>0</v>
      </c>
      <c r="V130" s="4" t="str">
        <f>IF(COUNTIF($W$2:W130,W130)=1,1,"")</f>
        <v/>
      </c>
      <c r="W130" s="4" t="str">
        <f>CONCATENATE(DbLinkTable[[#This Row],[Customer]],UPPER(DbLinkTable[[#This Row],[Trailer Number]]),DbLinkTable[[#This Row],[Day Received]])</f>
        <v>Company14DV4850241858</v>
      </c>
      <c r="X130" s="4">
        <f>DATEVALUE(TEXT(DbLinkTable[[#This Row],[Date Received]],"MMMM YYYY"))</f>
        <v>41852</v>
      </c>
      <c r="Y130" s="4">
        <f>INT(DbLinkTable[[#This Row],[Date Received]])</f>
        <v>41858</v>
      </c>
    </row>
    <row r="131" spans="1:25">
      <c r="A131">
        <v>7468</v>
      </c>
      <c r="B131" t="s">
        <v>48</v>
      </c>
      <c r="D131">
        <v>1224</v>
      </c>
      <c r="E131" t="s">
        <v>1504</v>
      </c>
      <c r="F131" s="4">
        <v>41858</v>
      </c>
      <c r="G131" s="4" t="s">
        <v>192</v>
      </c>
      <c r="H131" s="4" t="s">
        <v>1529</v>
      </c>
      <c r="I131" s="4">
        <v>0</v>
      </c>
      <c r="J131" s="4"/>
      <c r="K131" s="4"/>
      <c r="L131" s="4"/>
      <c r="M131" s="4"/>
      <c r="N131" s="4"/>
      <c r="O131" s="4">
        <v>0</v>
      </c>
      <c r="P131" s="4">
        <v>41871.49114583333</v>
      </c>
      <c r="Q131" s="4"/>
      <c r="R131" s="4"/>
      <c r="S131" s="79">
        <f>DbLinkTable[[#This Row],[Credit]]+DbLinkTable[[#This Row],[Charge]]</f>
        <v>0</v>
      </c>
      <c r="T131" s="79">
        <f>IF(DbLinkTable[[#This Row],[Price/lb]]*DbLinkTable[[#This Row],[Weight]]&gt;0,DbLinkTable[[#This Row],[Price/lb]]*DbLinkTable[[#This Row],[Weight]],0)</f>
        <v>0</v>
      </c>
      <c r="U131" s="79">
        <f>IF(DbLinkTable[[#This Row],[Price/lb]]*DbLinkTable[[#This Row],[Weight]]&lt;0,DbLinkTable[[#This Row],[Price/lb]]*DbLinkTable[[#This Row],[Weight]],0)</f>
        <v>0</v>
      </c>
      <c r="V131" s="4" t="str">
        <f>IF(COUNTIF($W$2:W131,W131)=1,1,"")</f>
        <v/>
      </c>
      <c r="W131" s="4" t="str">
        <f>CONCATENATE(DbLinkTable[[#This Row],[Customer]],UPPER(DbLinkTable[[#This Row],[Trailer Number]]),DbLinkTable[[#This Row],[Day Received]])</f>
        <v>Company14DV4850241858</v>
      </c>
      <c r="X131" s="4">
        <f>DATEVALUE(TEXT(DbLinkTable[[#This Row],[Date Received]],"MMMM YYYY"))</f>
        <v>41852</v>
      </c>
      <c r="Y131" s="4">
        <f>INT(DbLinkTable[[#This Row],[Date Received]])</f>
        <v>41858</v>
      </c>
    </row>
    <row r="132" spans="1:25">
      <c r="A132">
        <v>7469</v>
      </c>
      <c r="B132" t="s">
        <v>1502</v>
      </c>
      <c r="D132">
        <v>584</v>
      </c>
      <c r="E132" t="s">
        <v>1504</v>
      </c>
      <c r="F132" s="4">
        <v>41858</v>
      </c>
      <c r="G132" s="4" t="s">
        <v>192</v>
      </c>
      <c r="H132" s="4" t="s">
        <v>1529</v>
      </c>
      <c r="I132" s="4">
        <v>0</v>
      </c>
      <c r="J132" s="4"/>
      <c r="K132" s="4"/>
      <c r="L132" s="4"/>
      <c r="M132" s="4"/>
      <c r="N132" s="4"/>
      <c r="O132" s="4">
        <v>0</v>
      </c>
      <c r="P132" s="4">
        <v>41871.491273148145</v>
      </c>
      <c r="Q132" s="4"/>
      <c r="R132" s="4"/>
      <c r="S132" s="99">
        <f>DbLinkTable[[#This Row],[Credit]]+DbLinkTable[[#This Row],[Charge]]</f>
        <v>0</v>
      </c>
      <c r="T132" s="99">
        <f>IF(DbLinkTable[[#This Row],[Price/lb]]*DbLinkTable[[#This Row],[Weight]]&gt;0,DbLinkTable[[#This Row],[Price/lb]]*DbLinkTable[[#This Row],[Weight]],0)</f>
        <v>0</v>
      </c>
      <c r="U132" s="99">
        <f>IF(DbLinkTable[[#This Row],[Price/lb]]*DbLinkTable[[#This Row],[Weight]]&lt;0,DbLinkTable[[#This Row],[Price/lb]]*DbLinkTable[[#This Row],[Weight]],0)</f>
        <v>0</v>
      </c>
      <c r="V132" s="88" t="str">
        <f>IF(COUNTIF($W$2:W132,W132)=1,1,"")</f>
        <v/>
      </c>
      <c r="W132" s="88" t="str">
        <f>CONCATENATE(DbLinkTable[[#This Row],[Customer]],UPPER(DbLinkTable[[#This Row],[Trailer Number]]),DbLinkTable[[#This Row],[Day Received]])</f>
        <v>Company14DV4850241858</v>
      </c>
      <c r="X132" s="88">
        <f>DATEVALUE(TEXT(DbLinkTable[[#This Row],[Date Received]],"MMMM YYYY"))</f>
        <v>41852</v>
      </c>
      <c r="Y132" s="88">
        <f>INT(DbLinkTable[[#This Row],[Date Received]])</f>
        <v>41858</v>
      </c>
    </row>
    <row r="133" spans="1:25">
      <c r="A133">
        <v>7470</v>
      </c>
      <c r="B133" t="s">
        <v>1502</v>
      </c>
      <c r="D133">
        <v>114</v>
      </c>
      <c r="E133" t="s">
        <v>1504</v>
      </c>
      <c r="F133" s="4">
        <v>41858</v>
      </c>
      <c r="G133" s="4" t="s">
        <v>192</v>
      </c>
      <c r="H133" s="4" t="s">
        <v>1529</v>
      </c>
      <c r="I133" s="4">
        <v>0</v>
      </c>
      <c r="J133" s="4"/>
      <c r="K133" s="4"/>
      <c r="L133" s="4"/>
      <c r="M133" s="4"/>
      <c r="N133" s="4"/>
      <c r="O133" s="4">
        <v>0</v>
      </c>
      <c r="P133" s="4">
        <v>41871.491446759261</v>
      </c>
      <c r="Q133" s="4"/>
      <c r="R133" s="4"/>
      <c r="S133" s="79">
        <f>DbLinkTable[[#This Row],[Credit]]+DbLinkTable[[#This Row],[Charge]]</f>
        <v>0</v>
      </c>
      <c r="T133" s="79">
        <f>IF(DbLinkTable[[#This Row],[Price/lb]]*DbLinkTable[[#This Row],[Weight]]&gt;0,DbLinkTable[[#This Row],[Price/lb]]*DbLinkTable[[#This Row],[Weight]],0)</f>
        <v>0</v>
      </c>
      <c r="U133" s="79">
        <f>IF(DbLinkTable[[#This Row],[Price/lb]]*DbLinkTable[[#This Row],[Weight]]&lt;0,DbLinkTable[[#This Row],[Price/lb]]*DbLinkTable[[#This Row],[Weight]],0)</f>
        <v>0</v>
      </c>
      <c r="V133" s="4" t="str">
        <f>IF(COUNTIF($W$2:W133,W133)=1,1,"")</f>
        <v/>
      </c>
      <c r="W133" s="4" t="str">
        <f>CONCATENATE(DbLinkTable[[#This Row],[Customer]],UPPER(DbLinkTable[[#This Row],[Trailer Number]]),DbLinkTable[[#This Row],[Day Received]])</f>
        <v>Company14DV4850241858</v>
      </c>
      <c r="X133" s="4">
        <f>DATEVALUE(TEXT(DbLinkTable[[#This Row],[Date Received]],"MMMM YYYY"))</f>
        <v>41852</v>
      </c>
      <c r="Y133" s="4">
        <f>INT(DbLinkTable[[#This Row],[Date Received]])</f>
        <v>41858</v>
      </c>
    </row>
    <row r="134" spans="1:25">
      <c r="A134">
        <v>7471</v>
      </c>
      <c r="B134" t="s">
        <v>44</v>
      </c>
      <c r="D134">
        <v>1518</v>
      </c>
      <c r="E134" t="s">
        <v>1504</v>
      </c>
      <c r="F134" s="4">
        <v>41858</v>
      </c>
      <c r="G134" s="4" t="s">
        <v>192</v>
      </c>
      <c r="H134" s="4" t="s">
        <v>1529</v>
      </c>
      <c r="I134" s="4">
        <v>0</v>
      </c>
      <c r="J134" s="4"/>
      <c r="K134" s="4"/>
      <c r="L134" s="4"/>
      <c r="M134" s="4"/>
      <c r="N134" s="4"/>
      <c r="O134" s="4">
        <v>0</v>
      </c>
      <c r="P134" s="4">
        <v>41871.491620370369</v>
      </c>
      <c r="Q134" s="4"/>
      <c r="R134" s="4"/>
      <c r="S134" s="79">
        <f>DbLinkTable[[#This Row],[Credit]]+DbLinkTable[[#This Row],[Charge]]</f>
        <v>0</v>
      </c>
      <c r="T134" s="79">
        <f>IF(DbLinkTable[[#This Row],[Price/lb]]*DbLinkTable[[#This Row],[Weight]]&gt;0,DbLinkTable[[#This Row],[Price/lb]]*DbLinkTable[[#This Row],[Weight]],0)</f>
        <v>0</v>
      </c>
      <c r="U134" s="79">
        <f>IF(DbLinkTable[[#This Row],[Price/lb]]*DbLinkTable[[#This Row],[Weight]]&lt;0,DbLinkTable[[#This Row],[Price/lb]]*DbLinkTable[[#This Row],[Weight]],0)</f>
        <v>0</v>
      </c>
      <c r="V134" s="4" t="str">
        <f>IF(COUNTIF($W$2:W134,W134)=1,1,"")</f>
        <v/>
      </c>
      <c r="W134" s="4" t="str">
        <f>CONCATENATE(DbLinkTable[[#This Row],[Customer]],UPPER(DbLinkTable[[#This Row],[Trailer Number]]),DbLinkTable[[#This Row],[Day Received]])</f>
        <v>Company14DV4850241858</v>
      </c>
      <c r="X134" s="4">
        <f>DATEVALUE(TEXT(DbLinkTable[[#This Row],[Date Received]],"MMMM YYYY"))</f>
        <v>41852</v>
      </c>
      <c r="Y134" s="4">
        <f>INT(DbLinkTable[[#This Row],[Date Received]])</f>
        <v>41858</v>
      </c>
    </row>
    <row r="135" spans="1:25">
      <c r="A135">
        <v>7472</v>
      </c>
      <c r="B135" t="s">
        <v>44</v>
      </c>
      <c r="D135">
        <v>2436</v>
      </c>
      <c r="E135" t="s">
        <v>1504</v>
      </c>
      <c r="F135" s="4">
        <v>41858</v>
      </c>
      <c r="G135" s="4" t="s">
        <v>192</v>
      </c>
      <c r="H135" s="4" t="s">
        <v>1529</v>
      </c>
      <c r="I135" s="4">
        <v>0</v>
      </c>
      <c r="J135" s="4"/>
      <c r="K135" s="4"/>
      <c r="L135" s="4"/>
      <c r="M135" s="4"/>
      <c r="N135" s="4"/>
      <c r="O135" s="4">
        <v>0</v>
      </c>
      <c r="P135" s="4">
        <v>41871.491666666669</v>
      </c>
      <c r="Q135" s="4"/>
      <c r="R135" s="4"/>
      <c r="S135" s="79">
        <f>DbLinkTable[[#This Row],[Credit]]+DbLinkTable[[#This Row],[Charge]]</f>
        <v>0</v>
      </c>
      <c r="T135" s="79">
        <f>IF(DbLinkTable[[#This Row],[Price/lb]]*DbLinkTable[[#This Row],[Weight]]&gt;0,DbLinkTable[[#This Row],[Price/lb]]*DbLinkTable[[#This Row],[Weight]],0)</f>
        <v>0</v>
      </c>
      <c r="U135" s="79">
        <f>IF(DbLinkTable[[#This Row],[Price/lb]]*DbLinkTable[[#This Row],[Weight]]&lt;0,DbLinkTable[[#This Row],[Price/lb]]*DbLinkTable[[#This Row],[Weight]],0)</f>
        <v>0</v>
      </c>
      <c r="V135" s="4" t="str">
        <f>IF(COUNTIF($W$2:W135,W135)=1,1,"")</f>
        <v/>
      </c>
      <c r="W135" s="4" t="str">
        <f>CONCATENATE(DbLinkTable[[#This Row],[Customer]],UPPER(DbLinkTable[[#This Row],[Trailer Number]]),DbLinkTable[[#This Row],[Day Received]])</f>
        <v>Company14DV4850241858</v>
      </c>
      <c r="X135" s="4">
        <f>DATEVALUE(TEXT(DbLinkTable[[#This Row],[Date Received]],"MMMM YYYY"))</f>
        <v>41852</v>
      </c>
      <c r="Y135" s="4">
        <f>INT(DbLinkTable[[#This Row],[Date Received]])</f>
        <v>41858</v>
      </c>
    </row>
    <row r="136" spans="1:25">
      <c r="A136">
        <v>7473</v>
      </c>
      <c r="B136" t="s">
        <v>44</v>
      </c>
      <c r="D136">
        <v>2426</v>
      </c>
      <c r="E136" t="s">
        <v>1504</v>
      </c>
      <c r="F136" s="4">
        <v>41858</v>
      </c>
      <c r="G136" s="4" t="s">
        <v>192</v>
      </c>
      <c r="H136" s="4" t="s">
        <v>1529</v>
      </c>
      <c r="I136" s="4">
        <v>0</v>
      </c>
      <c r="J136" s="4"/>
      <c r="K136" s="4"/>
      <c r="L136" s="4"/>
      <c r="M136" s="4"/>
      <c r="N136" s="4"/>
      <c r="O136" s="4">
        <v>0</v>
      </c>
      <c r="P136" s="4">
        <v>41871.491840277777</v>
      </c>
      <c r="Q136" s="4"/>
      <c r="R136" s="4"/>
      <c r="S136" s="79">
        <f>DbLinkTable[[#This Row],[Credit]]+DbLinkTable[[#This Row],[Charge]]</f>
        <v>0</v>
      </c>
      <c r="T136" s="79">
        <f>IF(DbLinkTable[[#This Row],[Price/lb]]*DbLinkTable[[#This Row],[Weight]]&gt;0,DbLinkTable[[#This Row],[Price/lb]]*DbLinkTable[[#This Row],[Weight]],0)</f>
        <v>0</v>
      </c>
      <c r="U136" s="79">
        <f>IF(DbLinkTable[[#This Row],[Price/lb]]*DbLinkTable[[#This Row],[Weight]]&lt;0,DbLinkTable[[#This Row],[Price/lb]]*DbLinkTable[[#This Row],[Weight]],0)</f>
        <v>0</v>
      </c>
      <c r="V136" s="4" t="str">
        <f>IF(COUNTIF($W$2:W136,W136)=1,1,"")</f>
        <v/>
      </c>
      <c r="W136" s="4" t="str">
        <f>CONCATENATE(DbLinkTable[[#This Row],[Customer]],UPPER(DbLinkTable[[#This Row],[Trailer Number]]),DbLinkTable[[#This Row],[Day Received]])</f>
        <v>Company14DV4850241858</v>
      </c>
      <c r="X136" s="4">
        <f>DATEVALUE(TEXT(DbLinkTable[[#This Row],[Date Received]],"MMMM YYYY"))</f>
        <v>41852</v>
      </c>
      <c r="Y136" s="4">
        <f>INT(DbLinkTable[[#This Row],[Date Received]])</f>
        <v>41858</v>
      </c>
    </row>
    <row r="137" spans="1:25">
      <c r="A137">
        <v>7474</v>
      </c>
      <c r="B137" t="s">
        <v>44</v>
      </c>
      <c r="D137">
        <v>2438</v>
      </c>
      <c r="E137" t="s">
        <v>1504</v>
      </c>
      <c r="F137" s="4">
        <v>41858</v>
      </c>
      <c r="G137" s="4" t="s">
        <v>192</v>
      </c>
      <c r="H137" s="4" t="s">
        <v>1529</v>
      </c>
      <c r="I137" s="4">
        <v>0</v>
      </c>
      <c r="J137" s="4"/>
      <c r="K137" s="4"/>
      <c r="L137" s="4"/>
      <c r="M137" s="4"/>
      <c r="N137" s="4"/>
      <c r="O137" s="4">
        <v>0</v>
      </c>
      <c r="P137" s="4">
        <v>41871.491932870369</v>
      </c>
      <c r="Q137" s="4"/>
      <c r="R137" s="4"/>
      <c r="S137" s="79">
        <f>DbLinkTable[[#This Row],[Credit]]+DbLinkTable[[#This Row],[Charge]]</f>
        <v>0</v>
      </c>
      <c r="T137" s="79">
        <f>IF(DbLinkTable[[#This Row],[Price/lb]]*DbLinkTable[[#This Row],[Weight]]&gt;0,DbLinkTable[[#This Row],[Price/lb]]*DbLinkTable[[#This Row],[Weight]],0)</f>
        <v>0</v>
      </c>
      <c r="U137" s="79">
        <f>IF(DbLinkTable[[#This Row],[Price/lb]]*DbLinkTable[[#This Row],[Weight]]&lt;0,DbLinkTable[[#This Row],[Price/lb]]*DbLinkTable[[#This Row],[Weight]],0)</f>
        <v>0</v>
      </c>
      <c r="V137" s="4" t="str">
        <f>IF(COUNTIF($W$2:W137,W137)=1,1,"")</f>
        <v/>
      </c>
      <c r="W137" s="4" t="str">
        <f>CONCATENATE(DbLinkTable[[#This Row],[Customer]],UPPER(DbLinkTable[[#This Row],[Trailer Number]]),DbLinkTable[[#This Row],[Day Received]])</f>
        <v>Company14DV4850241858</v>
      </c>
      <c r="X137" s="4">
        <f>DATEVALUE(TEXT(DbLinkTable[[#This Row],[Date Received]],"MMMM YYYY"))</f>
        <v>41852</v>
      </c>
      <c r="Y137" s="4">
        <f>INT(DbLinkTable[[#This Row],[Date Received]])</f>
        <v>41858</v>
      </c>
    </row>
    <row r="138" spans="1:25">
      <c r="A138">
        <v>7475</v>
      </c>
      <c r="B138" t="s">
        <v>45</v>
      </c>
      <c r="D138">
        <v>1424</v>
      </c>
      <c r="E138" t="s">
        <v>1504</v>
      </c>
      <c r="F138" s="4">
        <v>41858</v>
      </c>
      <c r="G138" s="4" t="s">
        <v>192</v>
      </c>
      <c r="H138" s="4" t="s">
        <v>1529</v>
      </c>
      <c r="I138" s="4">
        <v>0</v>
      </c>
      <c r="J138" s="4"/>
      <c r="K138" s="4"/>
      <c r="L138" s="4"/>
      <c r="M138" s="4"/>
      <c r="N138" s="4"/>
      <c r="O138" s="4">
        <v>0</v>
      </c>
      <c r="P138" s="4">
        <v>41871.492071759261</v>
      </c>
      <c r="Q138" s="4"/>
      <c r="R138" s="4"/>
      <c r="S138" s="79">
        <f>DbLinkTable[[#This Row],[Credit]]+DbLinkTable[[#This Row],[Charge]]</f>
        <v>0</v>
      </c>
      <c r="T138" s="79">
        <f>IF(DbLinkTable[[#This Row],[Price/lb]]*DbLinkTable[[#This Row],[Weight]]&gt;0,DbLinkTable[[#This Row],[Price/lb]]*DbLinkTable[[#This Row],[Weight]],0)</f>
        <v>0</v>
      </c>
      <c r="U138" s="79">
        <f>IF(DbLinkTable[[#This Row],[Price/lb]]*DbLinkTable[[#This Row],[Weight]]&lt;0,DbLinkTable[[#This Row],[Price/lb]]*DbLinkTable[[#This Row],[Weight]],0)</f>
        <v>0</v>
      </c>
      <c r="V138" s="4" t="str">
        <f>IF(COUNTIF($W$2:W138,W138)=1,1,"")</f>
        <v/>
      </c>
      <c r="W138" s="4" t="str">
        <f>CONCATENATE(DbLinkTable[[#This Row],[Customer]],UPPER(DbLinkTable[[#This Row],[Trailer Number]]),DbLinkTable[[#This Row],[Day Received]])</f>
        <v>Company14DV4850241858</v>
      </c>
      <c r="X138" s="4">
        <f>DATEVALUE(TEXT(DbLinkTable[[#This Row],[Date Received]],"MMMM YYYY"))</f>
        <v>41852</v>
      </c>
      <c r="Y138" s="4">
        <f>INT(DbLinkTable[[#This Row],[Date Received]])</f>
        <v>41858</v>
      </c>
    </row>
    <row r="139" spans="1:25">
      <c r="A139">
        <v>7476</v>
      </c>
      <c r="B139" t="s">
        <v>45</v>
      </c>
      <c r="D139">
        <v>154</v>
      </c>
      <c r="E139" t="s">
        <v>1504</v>
      </c>
      <c r="F139" s="4">
        <v>41858</v>
      </c>
      <c r="G139" s="4" t="s">
        <v>192</v>
      </c>
      <c r="H139" s="4" t="s">
        <v>1529</v>
      </c>
      <c r="I139" s="4">
        <v>0</v>
      </c>
      <c r="J139" s="4"/>
      <c r="K139" s="4"/>
      <c r="L139" s="4"/>
      <c r="M139" s="4"/>
      <c r="N139" s="4"/>
      <c r="O139" s="4">
        <v>0</v>
      </c>
      <c r="P139" s="4">
        <v>41871.492129629631</v>
      </c>
      <c r="Q139" s="4"/>
      <c r="R139" s="4"/>
      <c r="S139" s="79">
        <f>DbLinkTable[[#This Row],[Credit]]+DbLinkTable[[#This Row],[Charge]]</f>
        <v>0</v>
      </c>
      <c r="T139" s="79">
        <f>IF(DbLinkTable[[#This Row],[Price/lb]]*DbLinkTable[[#This Row],[Weight]]&gt;0,DbLinkTable[[#This Row],[Price/lb]]*DbLinkTable[[#This Row],[Weight]],0)</f>
        <v>0</v>
      </c>
      <c r="U139" s="79">
        <f>IF(DbLinkTable[[#This Row],[Price/lb]]*DbLinkTable[[#This Row],[Weight]]&lt;0,DbLinkTable[[#This Row],[Price/lb]]*DbLinkTable[[#This Row],[Weight]],0)</f>
        <v>0</v>
      </c>
      <c r="V139" s="4" t="str">
        <f>IF(COUNTIF($W$2:W139,W139)=1,1,"")</f>
        <v/>
      </c>
      <c r="W139" s="4" t="str">
        <f>CONCATENATE(DbLinkTable[[#This Row],[Customer]],UPPER(DbLinkTable[[#This Row],[Trailer Number]]),DbLinkTable[[#This Row],[Day Received]])</f>
        <v>Company14DV4850241858</v>
      </c>
      <c r="X139" s="4">
        <f>DATEVALUE(TEXT(DbLinkTable[[#This Row],[Date Received]],"MMMM YYYY"))</f>
        <v>41852</v>
      </c>
      <c r="Y139" s="4">
        <f>INT(DbLinkTable[[#This Row],[Date Received]])</f>
        <v>41858</v>
      </c>
    </row>
    <row r="140" spans="1:25">
      <c r="A140">
        <v>7477</v>
      </c>
      <c r="B140" t="s">
        <v>45</v>
      </c>
      <c r="D140">
        <v>134</v>
      </c>
      <c r="E140" t="s">
        <v>1504</v>
      </c>
      <c r="F140" s="4">
        <v>41858</v>
      </c>
      <c r="G140" s="4" t="s">
        <v>192</v>
      </c>
      <c r="H140" s="4" t="s">
        <v>1529</v>
      </c>
      <c r="I140" s="4">
        <v>0</v>
      </c>
      <c r="J140" s="4"/>
      <c r="K140" s="4"/>
      <c r="L140" s="4"/>
      <c r="M140" s="4"/>
      <c r="N140" s="4"/>
      <c r="O140" s="4">
        <v>0</v>
      </c>
      <c r="P140" s="4">
        <v>41871.492268518516</v>
      </c>
      <c r="Q140" s="4"/>
      <c r="R140" s="4"/>
      <c r="S140" s="79">
        <f>DbLinkTable[[#This Row],[Credit]]+DbLinkTable[[#This Row],[Charge]]</f>
        <v>0</v>
      </c>
      <c r="T140" s="79">
        <f>IF(DbLinkTable[[#This Row],[Price/lb]]*DbLinkTable[[#This Row],[Weight]]&gt;0,DbLinkTable[[#This Row],[Price/lb]]*DbLinkTable[[#This Row],[Weight]],0)</f>
        <v>0</v>
      </c>
      <c r="U140" s="79">
        <f>IF(DbLinkTable[[#This Row],[Price/lb]]*DbLinkTable[[#This Row],[Weight]]&lt;0,DbLinkTable[[#This Row],[Price/lb]]*DbLinkTable[[#This Row],[Weight]],0)</f>
        <v>0</v>
      </c>
      <c r="V140" s="4" t="str">
        <f>IF(COUNTIF($W$2:W140,W140)=1,1,"")</f>
        <v/>
      </c>
      <c r="W140" s="4" t="str">
        <f>CONCATENATE(DbLinkTable[[#This Row],[Customer]],UPPER(DbLinkTable[[#This Row],[Trailer Number]]),DbLinkTable[[#This Row],[Day Received]])</f>
        <v>Company14DV4850241858</v>
      </c>
      <c r="X140" s="4">
        <f>DATEVALUE(TEXT(DbLinkTable[[#This Row],[Date Received]],"MMMM YYYY"))</f>
        <v>41852</v>
      </c>
      <c r="Y140" s="4">
        <f>INT(DbLinkTable[[#This Row],[Date Received]])</f>
        <v>41858</v>
      </c>
    </row>
    <row r="141" spans="1:25">
      <c r="A141">
        <v>7478</v>
      </c>
      <c r="B141" t="s">
        <v>45</v>
      </c>
      <c r="D141">
        <v>146</v>
      </c>
      <c r="E141" t="s">
        <v>1504</v>
      </c>
      <c r="F141" s="4">
        <v>41858</v>
      </c>
      <c r="G141" s="4" t="s">
        <v>192</v>
      </c>
      <c r="H141" s="4" t="s">
        <v>1529</v>
      </c>
      <c r="I141" s="4">
        <v>0</v>
      </c>
      <c r="J141" s="4"/>
      <c r="K141" s="4"/>
      <c r="L141" s="4"/>
      <c r="M141" s="4"/>
      <c r="N141" s="4"/>
      <c r="O141" s="4">
        <v>0</v>
      </c>
      <c r="P141" s="4">
        <v>41871.492314814815</v>
      </c>
      <c r="Q141" s="4"/>
      <c r="R141" s="4"/>
      <c r="S141" s="79">
        <f>DbLinkTable[[#This Row],[Credit]]+DbLinkTable[[#This Row],[Charge]]</f>
        <v>0</v>
      </c>
      <c r="T141" s="79">
        <f>IF(DbLinkTable[[#This Row],[Price/lb]]*DbLinkTable[[#This Row],[Weight]]&gt;0,DbLinkTable[[#This Row],[Price/lb]]*DbLinkTable[[#This Row],[Weight]],0)</f>
        <v>0</v>
      </c>
      <c r="U141" s="79">
        <f>IF(DbLinkTable[[#This Row],[Price/lb]]*DbLinkTable[[#This Row],[Weight]]&lt;0,DbLinkTable[[#This Row],[Price/lb]]*DbLinkTable[[#This Row],[Weight]],0)</f>
        <v>0</v>
      </c>
      <c r="V141" s="4" t="str">
        <f>IF(COUNTIF($W$2:W141,W141)=1,1,"")</f>
        <v/>
      </c>
      <c r="W141" s="4" t="str">
        <f>CONCATENATE(DbLinkTable[[#This Row],[Customer]],UPPER(DbLinkTable[[#This Row],[Trailer Number]]),DbLinkTable[[#This Row],[Day Received]])</f>
        <v>Company14DV4850241858</v>
      </c>
      <c r="X141" s="4">
        <f>DATEVALUE(TEXT(DbLinkTable[[#This Row],[Date Received]],"MMMM YYYY"))</f>
        <v>41852</v>
      </c>
      <c r="Y141" s="4">
        <f>INT(DbLinkTable[[#This Row],[Date Received]])</f>
        <v>41858</v>
      </c>
    </row>
    <row r="142" spans="1:25">
      <c r="A142">
        <v>7479</v>
      </c>
      <c r="B142" t="s">
        <v>45</v>
      </c>
      <c r="D142">
        <v>124</v>
      </c>
      <c r="E142" t="s">
        <v>1504</v>
      </c>
      <c r="F142" s="4">
        <v>41858</v>
      </c>
      <c r="G142" s="4" t="s">
        <v>192</v>
      </c>
      <c r="H142" s="4" t="s">
        <v>1529</v>
      </c>
      <c r="I142" s="4">
        <v>0</v>
      </c>
      <c r="J142" s="4"/>
      <c r="K142" s="4"/>
      <c r="L142" s="4"/>
      <c r="M142" s="4"/>
      <c r="N142" s="4"/>
      <c r="O142" s="4">
        <v>0</v>
      </c>
      <c r="P142" s="4">
        <v>41871.492361111108</v>
      </c>
      <c r="Q142" s="4"/>
      <c r="R142" s="4"/>
      <c r="S142" s="79">
        <f>DbLinkTable[[#This Row],[Credit]]+DbLinkTable[[#This Row],[Charge]]</f>
        <v>0</v>
      </c>
      <c r="T142" s="79">
        <f>IF(DbLinkTable[[#This Row],[Price/lb]]*DbLinkTable[[#This Row],[Weight]]&gt;0,DbLinkTable[[#This Row],[Price/lb]]*DbLinkTable[[#This Row],[Weight]],0)</f>
        <v>0</v>
      </c>
      <c r="U142" s="79">
        <f>IF(DbLinkTable[[#This Row],[Price/lb]]*DbLinkTable[[#This Row],[Weight]]&lt;0,DbLinkTable[[#This Row],[Price/lb]]*DbLinkTable[[#This Row],[Weight]],0)</f>
        <v>0</v>
      </c>
      <c r="V142" s="4" t="str">
        <f>IF(COUNTIF($W$2:W142,W142)=1,1,"")</f>
        <v/>
      </c>
      <c r="W142" s="4" t="str">
        <f>CONCATENATE(DbLinkTable[[#This Row],[Customer]],UPPER(DbLinkTable[[#This Row],[Trailer Number]]),DbLinkTable[[#This Row],[Day Received]])</f>
        <v>Company14DV4850241858</v>
      </c>
      <c r="X142" s="4">
        <f>DATEVALUE(TEXT(DbLinkTable[[#This Row],[Date Received]],"MMMM YYYY"))</f>
        <v>41852</v>
      </c>
      <c r="Y142" s="4">
        <f>INT(DbLinkTable[[#This Row],[Date Received]])</f>
        <v>41858</v>
      </c>
    </row>
    <row r="143" spans="1:25">
      <c r="A143">
        <v>7480</v>
      </c>
      <c r="B143" t="s">
        <v>43</v>
      </c>
      <c r="D143">
        <v>140</v>
      </c>
      <c r="E143" t="s">
        <v>1504</v>
      </c>
      <c r="F143" s="4">
        <v>41858</v>
      </c>
      <c r="G143" s="4" t="s">
        <v>192</v>
      </c>
      <c r="H143" s="4" t="s">
        <v>1529</v>
      </c>
      <c r="I143" s="4">
        <v>0</v>
      </c>
      <c r="J143" s="4"/>
      <c r="K143" s="4"/>
      <c r="L143" s="4"/>
      <c r="M143" s="4"/>
      <c r="N143" s="4"/>
      <c r="O143" s="4">
        <v>0</v>
      </c>
      <c r="P143" s="4">
        <v>41871.492523148147</v>
      </c>
      <c r="Q143" s="4"/>
      <c r="R143" s="4"/>
      <c r="S143" s="79">
        <f>DbLinkTable[[#This Row],[Credit]]+DbLinkTable[[#This Row],[Charge]]</f>
        <v>0</v>
      </c>
      <c r="T143" s="79">
        <f>IF(DbLinkTable[[#This Row],[Price/lb]]*DbLinkTable[[#This Row],[Weight]]&gt;0,DbLinkTable[[#This Row],[Price/lb]]*DbLinkTable[[#This Row],[Weight]],0)</f>
        <v>0</v>
      </c>
      <c r="U143" s="79">
        <f>IF(DbLinkTable[[#This Row],[Price/lb]]*DbLinkTable[[#This Row],[Weight]]&lt;0,DbLinkTable[[#This Row],[Price/lb]]*DbLinkTable[[#This Row],[Weight]],0)</f>
        <v>0</v>
      </c>
      <c r="V143" s="4" t="str">
        <f>IF(COUNTIF($W$2:W143,W143)=1,1,"")</f>
        <v/>
      </c>
      <c r="W143" s="4" t="str">
        <f>CONCATENATE(DbLinkTable[[#This Row],[Customer]],UPPER(DbLinkTable[[#This Row],[Trailer Number]]),DbLinkTable[[#This Row],[Day Received]])</f>
        <v>Company14DV4850241858</v>
      </c>
      <c r="X143" s="4">
        <f>DATEVALUE(TEXT(DbLinkTable[[#This Row],[Date Received]],"MMMM YYYY"))</f>
        <v>41852</v>
      </c>
      <c r="Y143" s="4">
        <f>INT(DbLinkTable[[#This Row],[Date Received]])</f>
        <v>41858</v>
      </c>
    </row>
    <row r="144" spans="1:25">
      <c r="A144">
        <v>7481</v>
      </c>
      <c r="B144" t="s">
        <v>43</v>
      </c>
      <c r="D144">
        <v>750</v>
      </c>
      <c r="E144" t="s">
        <v>1504</v>
      </c>
      <c r="F144" s="4">
        <v>41858</v>
      </c>
      <c r="G144" s="4" t="s">
        <v>192</v>
      </c>
      <c r="H144" s="4" t="s">
        <v>1529</v>
      </c>
      <c r="I144" s="4">
        <v>0</v>
      </c>
      <c r="J144" s="4"/>
      <c r="K144" s="4"/>
      <c r="L144" s="4"/>
      <c r="M144" s="4"/>
      <c r="N144" s="4"/>
      <c r="O144" s="4">
        <v>0</v>
      </c>
      <c r="P144" s="4">
        <v>41871.492546296293</v>
      </c>
      <c r="Q144" s="4"/>
      <c r="R144" s="4"/>
      <c r="S144" s="79">
        <f>DbLinkTable[[#This Row],[Credit]]+DbLinkTable[[#This Row],[Charge]]</f>
        <v>0</v>
      </c>
      <c r="T144" s="79">
        <f>IF(DbLinkTable[[#This Row],[Price/lb]]*DbLinkTable[[#This Row],[Weight]]&gt;0,DbLinkTable[[#This Row],[Price/lb]]*DbLinkTable[[#This Row],[Weight]],0)</f>
        <v>0</v>
      </c>
      <c r="U144" s="79">
        <f>IF(DbLinkTable[[#This Row],[Price/lb]]*DbLinkTable[[#This Row],[Weight]]&lt;0,DbLinkTable[[#This Row],[Price/lb]]*DbLinkTable[[#This Row],[Weight]],0)</f>
        <v>0</v>
      </c>
      <c r="V144" s="4" t="str">
        <f>IF(COUNTIF($W$2:W144,W144)=1,1,"")</f>
        <v/>
      </c>
      <c r="W144" s="4" t="str">
        <f>CONCATENATE(DbLinkTable[[#This Row],[Customer]],UPPER(DbLinkTable[[#This Row],[Trailer Number]]),DbLinkTable[[#This Row],[Day Received]])</f>
        <v>Company14DV4850241858</v>
      </c>
      <c r="X144" s="4">
        <f>DATEVALUE(TEXT(DbLinkTable[[#This Row],[Date Received]],"MMMM YYYY"))</f>
        <v>41852</v>
      </c>
      <c r="Y144" s="4">
        <f>INT(DbLinkTable[[#This Row],[Date Received]])</f>
        <v>41858</v>
      </c>
    </row>
    <row r="145" spans="1:25">
      <c r="A145">
        <v>7482</v>
      </c>
      <c r="B145" t="s">
        <v>45</v>
      </c>
      <c r="D145">
        <v>138</v>
      </c>
      <c r="E145" t="s">
        <v>1504</v>
      </c>
      <c r="F145" s="4">
        <v>41858</v>
      </c>
      <c r="G145" s="4" t="s">
        <v>192</v>
      </c>
      <c r="H145" s="4" t="s">
        <v>1529</v>
      </c>
      <c r="I145" s="4">
        <v>0</v>
      </c>
      <c r="J145" s="4"/>
      <c r="K145" s="4"/>
      <c r="L145" s="4"/>
      <c r="M145" s="4"/>
      <c r="N145" s="4"/>
      <c r="O145" s="4">
        <v>0</v>
      </c>
      <c r="P145" s="4">
        <v>41871.492835648147</v>
      </c>
      <c r="Q145" s="4"/>
      <c r="R145" s="4"/>
      <c r="S145" s="79">
        <f>DbLinkTable[[#This Row],[Credit]]+DbLinkTable[[#This Row],[Charge]]</f>
        <v>0</v>
      </c>
      <c r="T145" s="79">
        <f>IF(DbLinkTable[[#This Row],[Price/lb]]*DbLinkTable[[#This Row],[Weight]]&gt;0,DbLinkTable[[#This Row],[Price/lb]]*DbLinkTable[[#This Row],[Weight]],0)</f>
        <v>0</v>
      </c>
      <c r="U145" s="79">
        <f>IF(DbLinkTable[[#This Row],[Price/lb]]*DbLinkTable[[#This Row],[Weight]]&lt;0,DbLinkTable[[#This Row],[Price/lb]]*DbLinkTable[[#This Row],[Weight]],0)</f>
        <v>0</v>
      </c>
      <c r="V145" s="4" t="str">
        <f>IF(COUNTIF($W$2:W145,W145)=1,1,"")</f>
        <v/>
      </c>
      <c r="W145" s="4" t="str">
        <f>CONCATENATE(DbLinkTable[[#This Row],[Customer]],UPPER(DbLinkTable[[#This Row],[Trailer Number]]),DbLinkTable[[#This Row],[Day Received]])</f>
        <v>Company14DV4850241858</v>
      </c>
      <c r="X145" s="4">
        <f>DATEVALUE(TEXT(DbLinkTable[[#This Row],[Date Received]],"MMMM YYYY"))</f>
        <v>41852</v>
      </c>
      <c r="Y145" s="4">
        <f>INT(DbLinkTable[[#This Row],[Date Received]])</f>
        <v>41858</v>
      </c>
    </row>
    <row r="146" spans="1:25">
      <c r="A146">
        <v>7483</v>
      </c>
      <c r="B146" t="s">
        <v>45</v>
      </c>
      <c r="D146">
        <v>162</v>
      </c>
      <c r="E146" t="s">
        <v>1504</v>
      </c>
      <c r="F146" s="4">
        <v>41858</v>
      </c>
      <c r="G146" s="4" t="s">
        <v>192</v>
      </c>
      <c r="H146" s="4" t="s">
        <v>1529</v>
      </c>
      <c r="I146" s="4">
        <v>0</v>
      </c>
      <c r="J146" s="4"/>
      <c r="K146" s="4"/>
      <c r="L146" s="4"/>
      <c r="M146" s="4"/>
      <c r="N146" s="4"/>
      <c r="O146" s="4">
        <v>0</v>
      </c>
      <c r="P146" s="4">
        <v>41871.492858796293</v>
      </c>
      <c r="Q146" s="4"/>
      <c r="R146" s="4"/>
      <c r="S146" s="79">
        <f>DbLinkTable[[#This Row],[Credit]]+DbLinkTable[[#This Row],[Charge]]</f>
        <v>0</v>
      </c>
      <c r="T146" s="79">
        <f>IF(DbLinkTable[[#This Row],[Price/lb]]*DbLinkTable[[#This Row],[Weight]]&gt;0,DbLinkTable[[#This Row],[Price/lb]]*DbLinkTable[[#This Row],[Weight]],0)</f>
        <v>0</v>
      </c>
      <c r="U146" s="79">
        <f>IF(DbLinkTable[[#This Row],[Price/lb]]*DbLinkTable[[#This Row],[Weight]]&lt;0,DbLinkTable[[#This Row],[Price/lb]]*DbLinkTable[[#This Row],[Weight]],0)</f>
        <v>0</v>
      </c>
      <c r="V146" s="4" t="str">
        <f>IF(COUNTIF($W$2:W146,W146)=1,1,"")</f>
        <v/>
      </c>
      <c r="W146" s="4" t="str">
        <f>CONCATENATE(DbLinkTable[[#This Row],[Customer]],UPPER(DbLinkTable[[#This Row],[Trailer Number]]),DbLinkTable[[#This Row],[Day Received]])</f>
        <v>Company14DV4850241858</v>
      </c>
      <c r="X146" s="4">
        <f>DATEVALUE(TEXT(DbLinkTable[[#This Row],[Date Received]],"MMMM YYYY"))</f>
        <v>41852</v>
      </c>
      <c r="Y146" s="4">
        <f>INT(DbLinkTable[[#This Row],[Date Received]])</f>
        <v>41858</v>
      </c>
    </row>
    <row r="147" spans="1:25">
      <c r="A147">
        <v>7831</v>
      </c>
      <c r="B147" t="s">
        <v>48</v>
      </c>
      <c r="D147">
        <v>1278</v>
      </c>
      <c r="E147" t="s">
        <v>1504</v>
      </c>
      <c r="F147" s="4">
        <v>41892</v>
      </c>
      <c r="G147" s="4" t="s">
        <v>192</v>
      </c>
      <c r="H147" s="4" t="s">
        <v>1532</v>
      </c>
      <c r="I147" s="4">
        <v>0</v>
      </c>
      <c r="J147" s="4"/>
      <c r="K147" s="4"/>
      <c r="L147" s="4"/>
      <c r="M147" s="4"/>
      <c r="N147" s="4"/>
      <c r="O147" s="4">
        <v>0</v>
      </c>
      <c r="P147" s="4">
        <v>41893.628032407411</v>
      </c>
      <c r="Q147" s="4"/>
      <c r="R147" s="4"/>
      <c r="S147" s="79">
        <f>DbLinkTable[[#This Row],[Credit]]+DbLinkTable[[#This Row],[Charge]]</f>
        <v>0</v>
      </c>
      <c r="T147" s="79">
        <f>IF(DbLinkTable[[#This Row],[Price/lb]]*DbLinkTable[[#This Row],[Weight]]&gt;0,DbLinkTable[[#This Row],[Price/lb]]*DbLinkTable[[#This Row],[Weight]],0)</f>
        <v>0</v>
      </c>
      <c r="U147" s="79">
        <f>IF(DbLinkTable[[#This Row],[Price/lb]]*DbLinkTable[[#This Row],[Weight]]&lt;0,DbLinkTable[[#This Row],[Price/lb]]*DbLinkTable[[#This Row],[Weight]],0)</f>
        <v>0</v>
      </c>
      <c r="V147" s="4">
        <f>IF(COUNTIF($W$2:W147,W147)=1,1,"")</f>
        <v>1</v>
      </c>
      <c r="W147" s="4" t="str">
        <f>CONCATENATE(DbLinkTable[[#This Row],[Customer]],UPPER(DbLinkTable[[#This Row],[Trailer Number]]),DbLinkTable[[#This Row],[Day Received]])</f>
        <v>Company1434241892</v>
      </c>
      <c r="X147" s="4">
        <f>DATEVALUE(TEXT(DbLinkTable[[#This Row],[Date Received]],"MMMM YYYY"))</f>
        <v>41883</v>
      </c>
      <c r="Y147" s="4">
        <f>INT(DbLinkTable[[#This Row],[Date Received]])</f>
        <v>41892</v>
      </c>
    </row>
    <row r="148" spans="1:25">
      <c r="A148">
        <v>7832</v>
      </c>
      <c r="B148" t="s">
        <v>45</v>
      </c>
      <c r="D148">
        <v>72</v>
      </c>
      <c r="E148" t="s">
        <v>1504</v>
      </c>
      <c r="F148" s="4">
        <v>41892</v>
      </c>
      <c r="G148" s="4" t="s">
        <v>192</v>
      </c>
      <c r="H148" s="4" t="s">
        <v>1532</v>
      </c>
      <c r="I148" s="4">
        <v>0</v>
      </c>
      <c r="J148" s="4"/>
      <c r="K148" s="4"/>
      <c r="L148" s="4"/>
      <c r="M148" s="4"/>
      <c r="N148" s="4"/>
      <c r="O148" s="4">
        <v>0</v>
      </c>
      <c r="P148" s="4">
        <v>41893.628182870372</v>
      </c>
      <c r="Q148" s="4"/>
      <c r="R148" s="4"/>
      <c r="S148" s="79">
        <f>DbLinkTable[[#This Row],[Credit]]+DbLinkTable[[#This Row],[Charge]]</f>
        <v>0</v>
      </c>
      <c r="T148" s="79">
        <f>IF(DbLinkTable[[#This Row],[Price/lb]]*DbLinkTable[[#This Row],[Weight]]&gt;0,DbLinkTable[[#This Row],[Price/lb]]*DbLinkTable[[#This Row],[Weight]],0)</f>
        <v>0</v>
      </c>
      <c r="U148" s="79">
        <f>IF(DbLinkTable[[#This Row],[Price/lb]]*DbLinkTable[[#This Row],[Weight]]&lt;0,DbLinkTable[[#This Row],[Price/lb]]*DbLinkTable[[#This Row],[Weight]],0)</f>
        <v>0</v>
      </c>
      <c r="V148" s="4" t="str">
        <f>IF(COUNTIF($W$2:W148,W148)=1,1,"")</f>
        <v/>
      </c>
      <c r="W148" s="4" t="str">
        <f>CONCATENATE(DbLinkTable[[#This Row],[Customer]],UPPER(DbLinkTable[[#This Row],[Trailer Number]]),DbLinkTable[[#This Row],[Day Received]])</f>
        <v>Company1434241892</v>
      </c>
      <c r="X148" s="4">
        <f>DATEVALUE(TEXT(DbLinkTable[[#This Row],[Date Received]],"MMMM YYYY"))</f>
        <v>41883</v>
      </c>
      <c r="Y148" s="4">
        <f>INT(DbLinkTable[[#This Row],[Date Received]])</f>
        <v>41892</v>
      </c>
    </row>
    <row r="149" spans="1:25">
      <c r="A149">
        <v>7833</v>
      </c>
      <c r="B149" t="s">
        <v>45</v>
      </c>
      <c r="D149">
        <v>100</v>
      </c>
      <c r="E149" t="s">
        <v>1504</v>
      </c>
      <c r="F149" s="4">
        <v>41892</v>
      </c>
      <c r="G149" s="4" t="s">
        <v>192</v>
      </c>
      <c r="H149" s="4" t="s">
        <v>1532</v>
      </c>
      <c r="I149" s="4">
        <v>0</v>
      </c>
      <c r="J149" s="4"/>
      <c r="K149" s="4"/>
      <c r="L149" s="4"/>
      <c r="M149" s="4"/>
      <c r="N149" s="4"/>
      <c r="O149" s="4">
        <v>0</v>
      </c>
      <c r="P149" s="4">
        <v>41893.628217592595</v>
      </c>
      <c r="Q149" s="4"/>
      <c r="R149" s="4"/>
      <c r="S149" s="79">
        <f>DbLinkTable[[#This Row],[Credit]]+DbLinkTable[[#This Row],[Charge]]</f>
        <v>0</v>
      </c>
      <c r="T149" s="79">
        <f>IF(DbLinkTable[[#This Row],[Price/lb]]*DbLinkTable[[#This Row],[Weight]]&gt;0,DbLinkTable[[#This Row],[Price/lb]]*DbLinkTable[[#This Row],[Weight]],0)</f>
        <v>0</v>
      </c>
      <c r="U149" s="79">
        <f>IF(DbLinkTable[[#This Row],[Price/lb]]*DbLinkTable[[#This Row],[Weight]]&lt;0,DbLinkTable[[#This Row],[Price/lb]]*DbLinkTable[[#This Row],[Weight]],0)</f>
        <v>0</v>
      </c>
      <c r="V149" s="4" t="str">
        <f>IF(COUNTIF($W$2:W149,W149)=1,1,"")</f>
        <v/>
      </c>
      <c r="W149" s="4" t="str">
        <f>CONCATENATE(DbLinkTable[[#This Row],[Customer]],UPPER(DbLinkTable[[#This Row],[Trailer Number]]),DbLinkTable[[#This Row],[Day Received]])</f>
        <v>Company1434241892</v>
      </c>
      <c r="X149" s="4">
        <f>DATEVALUE(TEXT(DbLinkTable[[#This Row],[Date Received]],"MMMM YYYY"))</f>
        <v>41883</v>
      </c>
      <c r="Y149" s="4">
        <f>INT(DbLinkTable[[#This Row],[Date Received]])</f>
        <v>41892</v>
      </c>
    </row>
    <row r="150" spans="1:25">
      <c r="A150">
        <v>7834</v>
      </c>
      <c r="B150" t="s">
        <v>45</v>
      </c>
      <c r="D150">
        <v>88</v>
      </c>
      <c r="E150" t="s">
        <v>1504</v>
      </c>
      <c r="F150" s="4">
        <v>41892</v>
      </c>
      <c r="G150" s="4" t="s">
        <v>192</v>
      </c>
      <c r="H150" s="4" t="s">
        <v>1532</v>
      </c>
      <c r="I150" s="4">
        <v>0</v>
      </c>
      <c r="J150" s="4"/>
      <c r="K150" s="4"/>
      <c r="L150" s="4"/>
      <c r="M150" s="4"/>
      <c r="N150" s="4"/>
      <c r="O150" s="4">
        <v>0</v>
      </c>
      <c r="P150" s="4">
        <v>41893.628240740742</v>
      </c>
      <c r="Q150" s="4"/>
      <c r="R150" s="4"/>
      <c r="S150" s="79">
        <f>DbLinkTable[[#This Row],[Credit]]+DbLinkTable[[#This Row],[Charge]]</f>
        <v>0</v>
      </c>
      <c r="T150" s="79">
        <f>IF(DbLinkTable[[#This Row],[Price/lb]]*DbLinkTable[[#This Row],[Weight]]&gt;0,DbLinkTable[[#This Row],[Price/lb]]*DbLinkTable[[#This Row],[Weight]],0)</f>
        <v>0</v>
      </c>
      <c r="U150" s="79">
        <f>IF(DbLinkTable[[#This Row],[Price/lb]]*DbLinkTable[[#This Row],[Weight]]&lt;0,DbLinkTable[[#This Row],[Price/lb]]*DbLinkTable[[#This Row],[Weight]],0)</f>
        <v>0</v>
      </c>
      <c r="V150" s="4" t="str">
        <f>IF(COUNTIF($W$2:W150,W150)=1,1,"")</f>
        <v/>
      </c>
      <c r="W150" s="4" t="str">
        <f>CONCATENATE(DbLinkTable[[#This Row],[Customer]],UPPER(DbLinkTable[[#This Row],[Trailer Number]]),DbLinkTable[[#This Row],[Day Received]])</f>
        <v>Company1434241892</v>
      </c>
      <c r="X150" s="4">
        <f>DATEVALUE(TEXT(DbLinkTable[[#This Row],[Date Received]],"MMMM YYYY"))</f>
        <v>41883</v>
      </c>
      <c r="Y150" s="4">
        <f>INT(DbLinkTable[[#This Row],[Date Received]])</f>
        <v>41892</v>
      </c>
    </row>
    <row r="151" spans="1:25">
      <c r="A151">
        <v>7835</v>
      </c>
      <c r="B151" t="s">
        <v>1508</v>
      </c>
      <c r="D151">
        <v>428</v>
      </c>
      <c r="E151" t="s">
        <v>1504</v>
      </c>
      <c r="F151" s="4">
        <v>41892</v>
      </c>
      <c r="G151" s="4" t="s">
        <v>192</v>
      </c>
      <c r="H151" s="4" t="s">
        <v>1532</v>
      </c>
      <c r="I151" s="4">
        <v>0</v>
      </c>
      <c r="J151" s="4"/>
      <c r="K151" s="4"/>
      <c r="L151" s="4"/>
      <c r="M151" s="4"/>
      <c r="N151" s="4"/>
      <c r="O151" s="4">
        <v>0</v>
      </c>
      <c r="P151" s="4">
        <v>41893.628888888888</v>
      </c>
      <c r="Q151" s="4"/>
      <c r="R151" s="4"/>
      <c r="S151" s="79">
        <f>DbLinkTable[[#This Row],[Credit]]+DbLinkTable[[#This Row],[Charge]]</f>
        <v>0</v>
      </c>
      <c r="T151" s="79">
        <f>IF(DbLinkTable[[#This Row],[Price/lb]]*DbLinkTable[[#This Row],[Weight]]&gt;0,DbLinkTable[[#This Row],[Price/lb]]*DbLinkTable[[#This Row],[Weight]],0)</f>
        <v>0</v>
      </c>
      <c r="U151" s="79">
        <f>IF(DbLinkTable[[#This Row],[Price/lb]]*DbLinkTable[[#This Row],[Weight]]&lt;0,DbLinkTable[[#This Row],[Price/lb]]*DbLinkTable[[#This Row],[Weight]],0)</f>
        <v>0</v>
      </c>
      <c r="V151" s="4" t="str">
        <f>IF(COUNTIF($W$2:W14,W151)=1,1,"")</f>
        <v/>
      </c>
      <c r="W151" s="4" t="str">
        <f>CONCATENATE(DbLinkTable[[#This Row],[Customer]],UPPER(DbLinkTable[[#This Row],[Trailer Number]]),DbLinkTable[[#This Row],[Day Received]])</f>
        <v>Company1434241892</v>
      </c>
      <c r="X151" s="4">
        <f>DATEVALUE(TEXT(DbLinkTable[[#This Row],[Date Received]],"MMMM YYYY"))</f>
        <v>41883</v>
      </c>
      <c r="Y151" s="4">
        <f>INT(DbLinkTable[[#This Row],[Date Received]])</f>
        <v>41892</v>
      </c>
    </row>
    <row r="152" spans="1:25">
      <c r="A152">
        <v>7853</v>
      </c>
      <c r="B152" t="s">
        <v>46</v>
      </c>
      <c r="C152" t="s">
        <v>1533</v>
      </c>
      <c r="D152">
        <v>28290</v>
      </c>
      <c r="E152" t="s">
        <v>1526</v>
      </c>
      <c r="F152" s="4">
        <v>41866</v>
      </c>
      <c r="G152" s="4" t="s">
        <v>192</v>
      </c>
      <c r="H152" s="4" t="s">
        <v>1534</v>
      </c>
      <c r="I152" s="4">
        <v>0</v>
      </c>
      <c r="J152" s="4"/>
      <c r="K152" s="4"/>
      <c r="L152" s="4"/>
      <c r="M152" s="4"/>
      <c r="N152" s="4"/>
      <c r="O152" s="4">
        <v>0</v>
      </c>
      <c r="P152" s="4">
        <v>41893.673807870371</v>
      </c>
      <c r="Q152" s="4"/>
      <c r="R152" s="4"/>
      <c r="S152" s="79">
        <f>DbLinkTable[[#This Row],[Credit]]+DbLinkTable[[#This Row],[Charge]]</f>
        <v>0</v>
      </c>
      <c r="T152" s="79">
        <f>IF(DbLinkTable[[#This Row],[Price/lb]]*DbLinkTable[[#This Row],[Weight]]&gt;0,DbLinkTable[[#This Row],[Price/lb]]*DbLinkTable[[#This Row],[Weight]],0)</f>
        <v>0</v>
      </c>
      <c r="U152" s="79">
        <f>IF(DbLinkTable[[#This Row],[Price/lb]]*DbLinkTable[[#This Row],[Weight]]&lt;0,DbLinkTable[[#This Row],[Price/lb]]*DbLinkTable[[#This Row],[Weight]],0)</f>
        <v>0</v>
      </c>
      <c r="V152" s="4">
        <f>IF(COUNTIF($W$2:W152,W152)=1,1,"")</f>
        <v>1</v>
      </c>
      <c r="W152" s="4" t="str">
        <f>CONCATENATE(DbLinkTable[[#This Row],[Customer]],UPPER(DbLinkTable[[#This Row],[Trailer Number]]),DbLinkTable[[#This Row],[Day Received]])</f>
        <v>Company14800141866</v>
      </c>
      <c r="X152" s="4">
        <f>DATEVALUE(TEXT(DbLinkTable[[#This Row],[Date Received]],"MMMM YYYY"))</f>
        <v>41852</v>
      </c>
      <c r="Y152" s="4">
        <f>INT(DbLinkTable[[#This Row],[Date Received]])</f>
        <v>41866</v>
      </c>
    </row>
    <row r="153" spans="1:25">
      <c r="A153">
        <v>7854</v>
      </c>
      <c r="B153" t="s">
        <v>46</v>
      </c>
      <c r="D153">
        <v>20850</v>
      </c>
      <c r="E153" t="s">
        <v>1526</v>
      </c>
      <c r="F153" s="4">
        <v>41859</v>
      </c>
      <c r="G153" s="4" t="s">
        <v>192</v>
      </c>
      <c r="H153" s="4" t="s">
        <v>1534</v>
      </c>
      <c r="I153" s="4">
        <v>0</v>
      </c>
      <c r="J153" s="4"/>
      <c r="K153" s="4"/>
      <c r="L153" s="4"/>
      <c r="M153" s="4"/>
      <c r="N153" s="4"/>
      <c r="O153" s="4">
        <v>0</v>
      </c>
      <c r="P153" s="4">
        <v>41893.677499999998</v>
      </c>
      <c r="Q153" s="4"/>
      <c r="R153" s="4"/>
      <c r="S153" s="79">
        <f>DbLinkTable[[#This Row],[Credit]]+DbLinkTable[[#This Row],[Charge]]</f>
        <v>0</v>
      </c>
      <c r="T153" s="79">
        <f>IF(DbLinkTable[[#This Row],[Price/lb]]*DbLinkTable[[#This Row],[Weight]]&gt;0,DbLinkTable[[#This Row],[Price/lb]]*DbLinkTable[[#This Row],[Weight]],0)</f>
        <v>0</v>
      </c>
      <c r="U153" s="79">
        <f>IF(DbLinkTable[[#This Row],[Price/lb]]*DbLinkTable[[#This Row],[Weight]]&lt;0,DbLinkTable[[#This Row],[Price/lb]]*DbLinkTable[[#This Row],[Weight]],0)</f>
        <v>0</v>
      </c>
      <c r="V153" s="4">
        <f>IF(COUNTIF($W$2:W153,W153)=1,1,"")</f>
        <v>1</v>
      </c>
      <c r="W153" s="4" t="str">
        <f>CONCATENATE(DbLinkTable[[#This Row],[Customer]],UPPER(DbLinkTable[[#This Row],[Trailer Number]]),DbLinkTable[[#This Row],[Day Received]])</f>
        <v>Company14800141859</v>
      </c>
      <c r="X153" s="4">
        <f>DATEVALUE(TEXT(DbLinkTable[[#This Row],[Date Received]],"MMMM YYYY"))</f>
        <v>41852</v>
      </c>
      <c r="Y153" s="4">
        <f>INT(DbLinkTable[[#This Row],[Date Received]])</f>
        <v>41859</v>
      </c>
    </row>
    <row r="154" spans="1:25">
      <c r="A154">
        <v>7855</v>
      </c>
      <c r="B154" t="s">
        <v>46</v>
      </c>
      <c r="D154">
        <v>17030</v>
      </c>
      <c r="E154" t="s">
        <v>1526</v>
      </c>
      <c r="F154" s="4">
        <v>41869</v>
      </c>
      <c r="G154" s="4" t="s">
        <v>192</v>
      </c>
      <c r="H154" s="4" t="s">
        <v>1535</v>
      </c>
      <c r="I154" s="4">
        <v>0</v>
      </c>
      <c r="J154" s="4"/>
      <c r="K154" s="4"/>
      <c r="L154" s="4"/>
      <c r="M154" s="4"/>
      <c r="N154" s="4"/>
      <c r="O154" s="4">
        <v>0</v>
      </c>
      <c r="P154" s="4">
        <v>41893.678449074076</v>
      </c>
      <c r="Q154" s="4"/>
      <c r="R154" s="4"/>
      <c r="S154" s="79">
        <f>DbLinkTable[[#This Row],[Credit]]+DbLinkTable[[#This Row],[Charge]]</f>
        <v>0</v>
      </c>
      <c r="T154" s="79">
        <f>IF(DbLinkTable[[#This Row],[Price/lb]]*DbLinkTable[[#This Row],[Weight]]&gt;0,DbLinkTable[[#This Row],[Price/lb]]*DbLinkTable[[#This Row],[Weight]],0)</f>
        <v>0</v>
      </c>
      <c r="U154" s="79">
        <f>IF(DbLinkTable[[#This Row],[Price/lb]]*DbLinkTable[[#This Row],[Weight]]&lt;0,DbLinkTable[[#This Row],[Price/lb]]*DbLinkTable[[#This Row],[Weight]],0)</f>
        <v>0</v>
      </c>
      <c r="V154" s="4">
        <f>IF(COUNTIF($W$2:W154,W154)=1,1,"")</f>
        <v>1</v>
      </c>
      <c r="W154" s="4" t="str">
        <f>CONCATENATE(DbLinkTable[[#This Row],[Customer]],UPPER(DbLinkTable[[#This Row],[Trailer Number]]),DbLinkTable[[#This Row],[Day Received]])</f>
        <v>Company14800241869</v>
      </c>
      <c r="X154" s="4">
        <f>DATEVALUE(TEXT(DbLinkTable[[#This Row],[Date Received]],"MMMM YYYY"))</f>
        <v>41852</v>
      </c>
      <c r="Y154" s="4">
        <f>INT(DbLinkTable[[#This Row],[Date Received]])</f>
        <v>41869</v>
      </c>
    </row>
    <row r="155" spans="1:25">
      <c r="A155">
        <v>7997</v>
      </c>
      <c r="B155" t="s">
        <v>1508</v>
      </c>
      <c r="D155">
        <v>616</v>
      </c>
      <c r="E155" t="s">
        <v>1504</v>
      </c>
      <c r="F155" s="4">
        <v>41897</v>
      </c>
      <c r="G155" s="4" t="s">
        <v>192</v>
      </c>
      <c r="H155" s="4" t="s">
        <v>1515</v>
      </c>
      <c r="I155" s="4">
        <v>0</v>
      </c>
      <c r="J155" s="4"/>
      <c r="K155" s="4"/>
      <c r="L155" s="4"/>
      <c r="M155" s="4"/>
      <c r="N155" s="4"/>
      <c r="O155" s="4">
        <v>0</v>
      </c>
      <c r="P155" s="4">
        <v>41898.476030092592</v>
      </c>
      <c r="Q155" s="4"/>
      <c r="R155" s="4"/>
      <c r="S155" s="79">
        <f>DbLinkTable[[#This Row],[Credit]]+DbLinkTable[[#This Row],[Charge]]</f>
        <v>0</v>
      </c>
      <c r="T155" s="79">
        <f>IF(DbLinkTable[[#This Row],[Price/lb]]*DbLinkTable[[#This Row],[Weight]]&gt;0,DbLinkTable[[#This Row],[Price/lb]]*DbLinkTable[[#This Row],[Weight]],0)</f>
        <v>0</v>
      </c>
      <c r="U155" s="79">
        <f>IF(DbLinkTable[[#This Row],[Price/lb]]*DbLinkTable[[#This Row],[Weight]]&lt;0,DbLinkTable[[#This Row],[Price/lb]]*DbLinkTable[[#This Row],[Weight]],0)</f>
        <v>0</v>
      </c>
      <c r="V155" s="4">
        <f>IF(COUNTIF($W$2:W155,W155)=1,1,"")</f>
        <v>1</v>
      </c>
      <c r="W155" s="4" t="str">
        <f>CONCATENATE(DbLinkTable[[#This Row],[Customer]],UPPER(DbLinkTable[[#This Row],[Trailer Number]]),DbLinkTable[[#This Row],[Day Received]])</f>
        <v>Company1434041897</v>
      </c>
      <c r="X155" s="4">
        <f>DATEVALUE(TEXT(DbLinkTable[[#This Row],[Date Received]],"MMMM YYYY"))</f>
        <v>41883</v>
      </c>
      <c r="Y155" s="4">
        <f>INT(DbLinkTable[[#This Row],[Date Received]])</f>
        <v>41897</v>
      </c>
    </row>
    <row r="156" spans="1:25">
      <c r="A156">
        <v>7998</v>
      </c>
      <c r="B156" t="s">
        <v>45</v>
      </c>
      <c r="D156">
        <v>224</v>
      </c>
      <c r="E156" t="s">
        <v>1504</v>
      </c>
      <c r="F156" s="4">
        <v>41897</v>
      </c>
      <c r="G156" s="4" t="s">
        <v>192</v>
      </c>
      <c r="H156" s="4" t="s">
        <v>1515</v>
      </c>
      <c r="I156" s="4">
        <v>0</v>
      </c>
      <c r="J156" s="4"/>
      <c r="K156" s="4"/>
      <c r="L156" s="4"/>
      <c r="M156" s="4"/>
      <c r="N156" s="4"/>
      <c r="O156" s="4">
        <v>0</v>
      </c>
      <c r="P156" s="4">
        <v>41898.476111111115</v>
      </c>
      <c r="Q156" s="4"/>
      <c r="R156" s="4"/>
      <c r="S156" s="79">
        <f>DbLinkTable[[#This Row],[Credit]]+DbLinkTable[[#This Row],[Charge]]</f>
        <v>0</v>
      </c>
      <c r="T156" s="79">
        <f>IF(DbLinkTable[[#This Row],[Price/lb]]*DbLinkTable[[#This Row],[Weight]]&gt;0,DbLinkTable[[#This Row],[Price/lb]]*DbLinkTable[[#This Row],[Weight]],0)</f>
        <v>0</v>
      </c>
      <c r="U156" s="79">
        <f>IF(DbLinkTable[[#This Row],[Price/lb]]*DbLinkTable[[#This Row],[Weight]]&lt;0,DbLinkTable[[#This Row],[Price/lb]]*DbLinkTable[[#This Row],[Weight]],0)</f>
        <v>0</v>
      </c>
      <c r="V156" s="4" t="str">
        <f>IF(COUNTIF($W$2:W156,W156)=1,1,"")</f>
        <v/>
      </c>
      <c r="W156" s="4" t="str">
        <f>CONCATENATE(DbLinkTable[[#This Row],[Customer]],UPPER(DbLinkTable[[#This Row],[Trailer Number]]),DbLinkTable[[#This Row],[Day Received]])</f>
        <v>Company1434041897</v>
      </c>
      <c r="X156" s="4">
        <f>DATEVALUE(TEXT(DbLinkTable[[#This Row],[Date Received]],"MMMM YYYY"))</f>
        <v>41883</v>
      </c>
      <c r="Y156" s="4">
        <f>INT(DbLinkTable[[#This Row],[Date Received]])</f>
        <v>41897</v>
      </c>
    </row>
    <row r="157" spans="1:25">
      <c r="A157">
        <v>7999</v>
      </c>
      <c r="B157" t="s">
        <v>48</v>
      </c>
      <c r="D157">
        <v>442</v>
      </c>
      <c r="E157" t="s">
        <v>1504</v>
      </c>
      <c r="F157" s="4">
        <v>41897</v>
      </c>
      <c r="G157" s="4" t="s">
        <v>192</v>
      </c>
      <c r="H157" s="4" t="s">
        <v>1515</v>
      </c>
      <c r="I157" s="4">
        <v>0</v>
      </c>
      <c r="J157" s="4"/>
      <c r="K157" s="4"/>
      <c r="L157" s="4"/>
      <c r="M157" s="4"/>
      <c r="N157" s="4"/>
      <c r="O157" s="4">
        <v>0</v>
      </c>
      <c r="P157" s="4">
        <v>41898.476307870369</v>
      </c>
      <c r="Q157" s="4"/>
      <c r="R157" s="4"/>
      <c r="S157" s="79">
        <f>DbLinkTable[[#This Row],[Credit]]+DbLinkTable[[#This Row],[Charge]]</f>
        <v>0</v>
      </c>
      <c r="T157" s="79">
        <f>IF(DbLinkTable[[#This Row],[Price/lb]]*DbLinkTable[[#This Row],[Weight]]&gt;0,DbLinkTable[[#This Row],[Price/lb]]*DbLinkTable[[#This Row],[Weight]],0)</f>
        <v>0</v>
      </c>
      <c r="U157" s="79">
        <f>IF(DbLinkTable[[#This Row],[Price/lb]]*DbLinkTable[[#This Row],[Weight]]&lt;0,DbLinkTable[[#This Row],[Price/lb]]*DbLinkTable[[#This Row],[Weight]],0)</f>
        <v>0</v>
      </c>
      <c r="V157" s="4" t="str">
        <f>IF(COUNTIF($W$2:W157,W157)=1,1,"")</f>
        <v/>
      </c>
      <c r="W157" s="4" t="str">
        <f>CONCATENATE(DbLinkTable[[#This Row],[Customer]],UPPER(DbLinkTable[[#This Row],[Trailer Number]]),DbLinkTable[[#This Row],[Day Received]])</f>
        <v>Company1434041897</v>
      </c>
      <c r="X157" s="4">
        <f>DATEVALUE(TEXT(DbLinkTable[[#This Row],[Date Received]],"MMMM YYYY"))</f>
        <v>41883</v>
      </c>
      <c r="Y157" s="4">
        <f>INT(DbLinkTable[[#This Row],[Date Received]])</f>
        <v>41897</v>
      </c>
    </row>
    <row r="158" spans="1:25">
      <c r="A158">
        <v>8254</v>
      </c>
      <c r="B158" t="s">
        <v>45</v>
      </c>
      <c r="D158">
        <v>80</v>
      </c>
      <c r="E158" t="s">
        <v>1504</v>
      </c>
      <c r="F158" s="4">
        <v>41905</v>
      </c>
      <c r="G158" s="4" t="s">
        <v>192</v>
      </c>
      <c r="H158" s="4" t="s">
        <v>1511</v>
      </c>
      <c r="I158" s="4">
        <v>0</v>
      </c>
      <c r="J158" s="4"/>
      <c r="K158" s="4"/>
      <c r="L158" s="4"/>
      <c r="M158" s="4"/>
      <c r="N158" s="4"/>
      <c r="O158" s="4">
        <v>0</v>
      </c>
      <c r="P158" s="4">
        <v>41918.416990740741</v>
      </c>
      <c r="Q158" s="4"/>
      <c r="R158" s="4"/>
      <c r="S158" s="79">
        <f>DbLinkTable[[#This Row],[Credit]]+DbLinkTable[[#This Row],[Charge]]</f>
        <v>0</v>
      </c>
      <c r="T158" s="79">
        <f>IF(DbLinkTable[[#This Row],[Price/lb]]*DbLinkTable[[#This Row],[Weight]]&gt;0,DbLinkTable[[#This Row],[Price/lb]]*DbLinkTable[[#This Row],[Weight]],0)</f>
        <v>0</v>
      </c>
      <c r="U158" s="79">
        <f>IF(DbLinkTable[[#This Row],[Price/lb]]*DbLinkTable[[#This Row],[Weight]]&lt;0,DbLinkTable[[#This Row],[Price/lb]]*DbLinkTable[[#This Row],[Weight]],0)</f>
        <v>0</v>
      </c>
      <c r="V158" s="4">
        <f>IF(COUNTIF($W$2:W158,W158)=1,1,"")</f>
        <v>1</v>
      </c>
      <c r="W158" s="4" t="str">
        <f>CONCATENATE(DbLinkTable[[#This Row],[Customer]],UPPER(DbLinkTable[[#This Row],[Trailer Number]]),DbLinkTable[[#This Row],[Day Received]])</f>
        <v>Company1416741905</v>
      </c>
      <c r="X158" s="4">
        <f>DATEVALUE(TEXT(DbLinkTable[[#This Row],[Date Received]],"MMMM YYYY"))</f>
        <v>41883</v>
      </c>
      <c r="Y158" s="4">
        <f>INT(DbLinkTable[[#This Row],[Date Received]])</f>
        <v>41905</v>
      </c>
    </row>
    <row r="159" spans="1:25">
      <c r="A159">
        <v>8255</v>
      </c>
      <c r="B159" t="s">
        <v>1508</v>
      </c>
      <c r="D159">
        <v>24</v>
      </c>
      <c r="E159" t="s">
        <v>1504</v>
      </c>
      <c r="F159" s="4">
        <v>41905</v>
      </c>
      <c r="G159" s="4" t="s">
        <v>192</v>
      </c>
      <c r="H159" s="4" t="s">
        <v>1511</v>
      </c>
      <c r="I159" s="4">
        <v>0</v>
      </c>
      <c r="J159" s="4"/>
      <c r="K159" s="4"/>
      <c r="L159" s="4"/>
      <c r="M159" s="4"/>
      <c r="N159" s="4"/>
      <c r="O159" s="4">
        <v>0</v>
      </c>
      <c r="P159" s="4">
        <v>41918.417141203703</v>
      </c>
      <c r="Q159" s="4"/>
      <c r="R159" s="4"/>
      <c r="S159" s="79">
        <f>DbLinkTable[[#This Row],[Credit]]+DbLinkTable[[#This Row],[Charge]]</f>
        <v>0</v>
      </c>
      <c r="T159" s="79">
        <f>IF(DbLinkTable[[#This Row],[Price/lb]]*DbLinkTable[[#This Row],[Weight]]&gt;0,DbLinkTable[[#This Row],[Price/lb]]*DbLinkTable[[#This Row],[Weight]],0)</f>
        <v>0</v>
      </c>
      <c r="U159" s="79">
        <f>IF(DbLinkTable[[#This Row],[Price/lb]]*DbLinkTable[[#This Row],[Weight]]&lt;0,DbLinkTable[[#This Row],[Price/lb]]*DbLinkTable[[#This Row],[Weight]],0)</f>
        <v>0</v>
      </c>
      <c r="V159" s="4" t="str">
        <f>IF(COUNTIF($W$2:W159,W159)=1,1,"")</f>
        <v/>
      </c>
      <c r="W159" s="4" t="str">
        <f>CONCATENATE(DbLinkTable[[#This Row],[Customer]],UPPER(DbLinkTable[[#This Row],[Trailer Number]]),DbLinkTable[[#This Row],[Day Received]])</f>
        <v>Company1416741905</v>
      </c>
      <c r="X159" s="4">
        <f>DATEVALUE(TEXT(DbLinkTable[[#This Row],[Date Received]],"MMMM YYYY"))</f>
        <v>41883</v>
      </c>
      <c r="Y159" s="4">
        <f>INT(DbLinkTable[[#This Row],[Date Received]])</f>
        <v>41905</v>
      </c>
    </row>
    <row r="160" spans="1:25">
      <c r="A160">
        <v>8256</v>
      </c>
      <c r="B160" t="s">
        <v>1508</v>
      </c>
      <c r="D160">
        <v>16</v>
      </c>
      <c r="E160" t="s">
        <v>1504</v>
      </c>
      <c r="F160" s="4">
        <v>41905</v>
      </c>
      <c r="G160" s="4" t="s">
        <v>192</v>
      </c>
      <c r="H160" s="4" t="s">
        <v>1511</v>
      </c>
      <c r="I160" s="4">
        <v>0</v>
      </c>
      <c r="J160" s="4"/>
      <c r="K160" s="4"/>
      <c r="L160" s="4"/>
      <c r="M160" s="4"/>
      <c r="N160" s="4"/>
      <c r="O160" s="4">
        <v>0</v>
      </c>
      <c r="P160" s="4">
        <v>41918.417233796295</v>
      </c>
      <c r="Q160" s="4"/>
      <c r="R160" s="4"/>
      <c r="S160" s="79">
        <f>DbLinkTable[[#This Row],[Credit]]+DbLinkTable[[#This Row],[Charge]]</f>
        <v>0</v>
      </c>
      <c r="T160" s="79">
        <f>IF(DbLinkTable[[#This Row],[Price/lb]]*DbLinkTable[[#This Row],[Weight]]&gt;0,DbLinkTable[[#This Row],[Price/lb]]*DbLinkTable[[#This Row],[Weight]],0)</f>
        <v>0</v>
      </c>
      <c r="U160" s="79">
        <f>IF(DbLinkTable[[#This Row],[Price/lb]]*DbLinkTable[[#This Row],[Weight]]&lt;0,DbLinkTable[[#This Row],[Price/lb]]*DbLinkTable[[#This Row],[Weight]],0)</f>
        <v>0</v>
      </c>
      <c r="V160" s="4" t="str">
        <f>IF(COUNTIF($W$2:W160,W160)=1,1,"")</f>
        <v/>
      </c>
      <c r="W160" s="4" t="str">
        <f>CONCATENATE(DbLinkTable[[#This Row],[Customer]],UPPER(DbLinkTable[[#This Row],[Trailer Number]]),DbLinkTable[[#This Row],[Day Received]])</f>
        <v>Company1416741905</v>
      </c>
      <c r="X160" s="4">
        <f>DATEVALUE(TEXT(DbLinkTable[[#This Row],[Date Received]],"MMMM YYYY"))</f>
        <v>41883</v>
      </c>
      <c r="Y160" s="4">
        <f>INT(DbLinkTable[[#This Row],[Date Received]])</f>
        <v>41905</v>
      </c>
    </row>
    <row r="161" spans="1:25">
      <c r="A161">
        <v>8257</v>
      </c>
      <c r="B161" t="s">
        <v>1508</v>
      </c>
      <c r="D161">
        <v>36</v>
      </c>
      <c r="E161" t="s">
        <v>1504</v>
      </c>
      <c r="F161" s="4">
        <v>41905</v>
      </c>
      <c r="G161" s="4" t="s">
        <v>192</v>
      </c>
      <c r="H161" s="4" t="s">
        <v>1511</v>
      </c>
      <c r="I161" s="4">
        <v>0</v>
      </c>
      <c r="J161" s="4"/>
      <c r="K161" s="4"/>
      <c r="L161" s="4"/>
      <c r="M161" s="4"/>
      <c r="N161" s="4"/>
      <c r="O161" s="4">
        <v>0</v>
      </c>
      <c r="P161" s="4">
        <v>41918.417303240742</v>
      </c>
      <c r="Q161" s="4"/>
      <c r="R161" s="4"/>
      <c r="S161" s="79">
        <f>DbLinkTable[[#This Row],[Credit]]+DbLinkTable[[#This Row],[Charge]]</f>
        <v>0</v>
      </c>
      <c r="T161" s="79">
        <f>IF(DbLinkTable[[#This Row],[Price/lb]]*DbLinkTable[[#This Row],[Weight]]&gt;0,DbLinkTable[[#This Row],[Price/lb]]*DbLinkTable[[#This Row],[Weight]],0)</f>
        <v>0</v>
      </c>
      <c r="U161" s="79">
        <f>IF(DbLinkTable[[#This Row],[Price/lb]]*DbLinkTable[[#This Row],[Weight]]&lt;0,DbLinkTable[[#This Row],[Price/lb]]*DbLinkTable[[#This Row],[Weight]],0)</f>
        <v>0</v>
      </c>
      <c r="V161" s="4" t="str">
        <f>IF(COUNTIF($W$2:W161,W161)=1,1,"")</f>
        <v/>
      </c>
      <c r="W161" s="4" t="str">
        <f>CONCATENATE(DbLinkTable[[#This Row],[Customer]],UPPER(DbLinkTable[[#This Row],[Trailer Number]]),DbLinkTable[[#This Row],[Day Received]])</f>
        <v>Company1416741905</v>
      </c>
      <c r="X161" s="4">
        <f>DATEVALUE(TEXT(DbLinkTable[[#This Row],[Date Received]],"MMMM YYYY"))</f>
        <v>41883</v>
      </c>
      <c r="Y161" s="4">
        <f>INT(DbLinkTable[[#This Row],[Date Received]])</f>
        <v>41905</v>
      </c>
    </row>
    <row r="162" spans="1:25">
      <c r="A162">
        <v>8258</v>
      </c>
      <c r="B162" t="s">
        <v>1508</v>
      </c>
      <c r="D162">
        <v>12</v>
      </c>
      <c r="E162" t="s">
        <v>1504</v>
      </c>
      <c r="F162" s="4">
        <v>41905</v>
      </c>
      <c r="G162" s="4" t="s">
        <v>192</v>
      </c>
      <c r="H162" s="4" t="s">
        <v>1511</v>
      </c>
      <c r="I162" s="4">
        <v>0</v>
      </c>
      <c r="J162" s="4"/>
      <c r="K162" s="4"/>
      <c r="L162" s="4"/>
      <c r="M162" s="4"/>
      <c r="N162" s="4"/>
      <c r="O162" s="4">
        <v>0</v>
      </c>
      <c r="P162" s="4">
        <v>41918.417337962965</v>
      </c>
      <c r="Q162" s="4"/>
      <c r="R162" s="4"/>
      <c r="S162" s="79">
        <f>DbLinkTable[[#This Row],[Credit]]+DbLinkTable[[#This Row],[Charge]]</f>
        <v>0</v>
      </c>
      <c r="T162" s="79">
        <f>IF(DbLinkTable[[#This Row],[Price/lb]]*DbLinkTable[[#This Row],[Weight]]&gt;0,DbLinkTable[[#This Row],[Price/lb]]*DbLinkTable[[#This Row],[Weight]],0)</f>
        <v>0</v>
      </c>
      <c r="U162" s="79">
        <f>IF(DbLinkTable[[#This Row],[Price/lb]]*DbLinkTable[[#This Row],[Weight]]&lt;0,DbLinkTable[[#This Row],[Price/lb]]*DbLinkTable[[#This Row],[Weight]],0)</f>
        <v>0</v>
      </c>
      <c r="V162" s="4" t="str">
        <f>IF(COUNTIF($W$2:W162,W162)=1,1,"")</f>
        <v/>
      </c>
      <c r="W162" s="4" t="str">
        <f>CONCATENATE(DbLinkTable[[#This Row],[Customer]],UPPER(DbLinkTable[[#This Row],[Trailer Number]]),DbLinkTable[[#This Row],[Day Received]])</f>
        <v>Company1416741905</v>
      </c>
      <c r="X162" s="4">
        <f>DATEVALUE(TEXT(DbLinkTable[[#This Row],[Date Received]],"MMMM YYYY"))</f>
        <v>41883</v>
      </c>
      <c r="Y162" s="4">
        <f>INT(DbLinkTable[[#This Row],[Date Received]])</f>
        <v>41905</v>
      </c>
    </row>
    <row r="163" spans="1:25">
      <c r="A163">
        <v>8259</v>
      </c>
      <c r="B163" t="s">
        <v>1508</v>
      </c>
      <c r="D163">
        <v>22</v>
      </c>
      <c r="E163" t="s">
        <v>1504</v>
      </c>
      <c r="F163" s="4">
        <v>41905</v>
      </c>
      <c r="G163" s="4" t="s">
        <v>192</v>
      </c>
      <c r="H163" s="4" t="s">
        <v>1511</v>
      </c>
      <c r="I163" s="4">
        <v>0</v>
      </c>
      <c r="J163" s="4"/>
      <c r="K163" s="4"/>
      <c r="L163" s="4"/>
      <c r="M163" s="4"/>
      <c r="N163" s="4"/>
      <c r="O163" s="4">
        <v>0</v>
      </c>
      <c r="P163" s="4">
        <v>41918.417372685188</v>
      </c>
      <c r="Q163" s="4"/>
      <c r="R163" s="4"/>
      <c r="S163" s="79">
        <f>DbLinkTable[[#This Row],[Credit]]+DbLinkTable[[#This Row],[Charge]]</f>
        <v>0</v>
      </c>
      <c r="T163" s="79">
        <f>IF(DbLinkTable[[#This Row],[Price/lb]]*DbLinkTable[[#This Row],[Weight]]&gt;0,DbLinkTable[[#This Row],[Price/lb]]*DbLinkTable[[#This Row],[Weight]],0)</f>
        <v>0</v>
      </c>
      <c r="U163" s="79">
        <f>IF(DbLinkTable[[#This Row],[Price/lb]]*DbLinkTable[[#This Row],[Weight]]&lt;0,DbLinkTable[[#This Row],[Price/lb]]*DbLinkTable[[#This Row],[Weight]],0)</f>
        <v>0</v>
      </c>
      <c r="V163" s="4" t="str">
        <f>IF(COUNTIF($W$2:W163,W163)=1,1,"")</f>
        <v/>
      </c>
      <c r="W163" s="4" t="str">
        <f>CONCATENATE(DbLinkTable[[#This Row],[Customer]],UPPER(DbLinkTable[[#This Row],[Trailer Number]]),DbLinkTable[[#This Row],[Day Received]])</f>
        <v>Company1416741905</v>
      </c>
      <c r="X163" s="4">
        <f>DATEVALUE(TEXT(DbLinkTable[[#This Row],[Date Received]],"MMMM YYYY"))</f>
        <v>41883</v>
      </c>
      <c r="Y163" s="4">
        <f>INT(DbLinkTable[[#This Row],[Date Received]])</f>
        <v>41905</v>
      </c>
    </row>
    <row r="164" spans="1:25">
      <c r="A164">
        <v>8260</v>
      </c>
      <c r="B164" t="s">
        <v>1508</v>
      </c>
      <c r="D164">
        <v>22</v>
      </c>
      <c r="E164" t="s">
        <v>1504</v>
      </c>
      <c r="F164" s="4">
        <v>41905</v>
      </c>
      <c r="G164" s="4" t="s">
        <v>192</v>
      </c>
      <c r="H164" s="4" t="s">
        <v>1511</v>
      </c>
      <c r="I164" s="4">
        <v>0</v>
      </c>
      <c r="J164" s="4"/>
      <c r="K164" s="4"/>
      <c r="L164" s="4"/>
      <c r="M164" s="4"/>
      <c r="N164" s="4"/>
      <c r="O164" s="4">
        <v>0</v>
      </c>
      <c r="P164" s="4">
        <v>41918.41741898148</v>
      </c>
      <c r="Q164" s="4"/>
      <c r="R164" s="4"/>
      <c r="S164" s="79">
        <f>DbLinkTable[[#This Row],[Credit]]+DbLinkTable[[#This Row],[Charge]]</f>
        <v>0</v>
      </c>
      <c r="T164" s="79">
        <f>IF(DbLinkTable[[#This Row],[Price/lb]]*DbLinkTable[[#This Row],[Weight]]&gt;0,DbLinkTable[[#This Row],[Price/lb]]*DbLinkTable[[#This Row],[Weight]],0)</f>
        <v>0</v>
      </c>
      <c r="U164" s="79">
        <f>IF(DbLinkTable[[#This Row],[Price/lb]]*DbLinkTable[[#This Row],[Weight]]&lt;0,DbLinkTable[[#This Row],[Price/lb]]*DbLinkTable[[#This Row],[Weight]],0)</f>
        <v>0</v>
      </c>
      <c r="V164" s="4" t="str">
        <f>IF(COUNTIF($W$2:W164,W164)=1,1,"")</f>
        <v/>
      </c>
      <c r="W164" s="4" t="str">
        <f>CONCATENATE(DbLinkTable[[#This Row],[Customer]],UPPER(DbLinkTable[[#This Row],[Trailer Number]]),DbLinkTable[[#This Row],[Day Received]])</f>
        <v>Company1416741905</v>
      </c>
      <c r="X164" s="4">
        <f>DATEVALUE(TEXT(DbLinkTable[[#This Row],[Date Received]],"MMMM YYYY"))</f>
        <v>41883</v>
      </c>
      <c r="Y164" s="4">
        <f>INT(DbLinkTable[[#This Row],[Date Received]])</f>
        <v>41905</v>
      </c>
    </row>
    <row r="165" spans="1:25">
      <c r="A165">
        <v>8261</v>
      </c>
      <c r="B165" t="s">
        <v>1508</v>
      </c>
      <c r="D165">
        <v>14</v>
      </c>
      <c r="E165" t="s">
        <v>1504</v>
      </c>
      <c r="F165" s="4">
        <v>41905</v>
      </c>
      <c r="G165" s="4" t="s">
        <v>192</v>
      </c>
      <c r="H165" s="4" t="s">
        <v>1511</v>
      </c>
      <c r="I165" s="4">
        <v>0</v>
      </c>
      <c r="J165" s="4"/>
      <c r="K165" s="4"/>
      <c r="L165" s="4"/>
      <c r="M165" s="4"/>
      <c r="N165" s="4"/>
      <c r="O165" s="4">
        <v>0</v>
      </c>
      <c r="P165" s="4">
        <v>41918.417430555557</v>
      </c>
      <c r="Q165" s="4"/>
      <c r="R165" s="4"/>
      <c r="S165" s="79">
        <f>DbLinkTable[[#This Row],[Credit]]+DbLinkTable[[#This Row],[Charge]]</f>
        <v>0</v>
      </c>
      <c r="T165" s="79">
        <f>IF(DbLinkTable[[#This Row],[Price/lb]]*DbLinkTable[[#This Row],[Weight]]&gt;0,DbLinkTable[[#This Row],[Price/lb]]*DbLinkTable[[#This Row],[Weight]],0)</f>
        <v>0</v>
      </c>
      <c r="U165" s="79">
        <f>IF(DbLinkTable[[#This Row],[Price/lb]]*DbLinkTable[[#This Row],[Weight]]&lt;0,DbLinkTable[[#This Row],[Price/lb]]*DbLinkTable[[#This Row],[Weight]],0)</f>
        <v>0</v>
      </c>
      <c r="V165" s="4" t="str">
        <f>IF(COUNTIF($W$2:W165,W165)=1,1,"")</f>
        <v/>
      </c>
      <c r="W165" s="4" t="str">
        <f>CONCATENATE(DbLinkTable[[#This Row],[Customer]],UPPER(DbLinkTable[[#This Row],[Trailer Number]]),DbLinkTable[[#This Row],[Day Received]])</f>
        <v>Company1416741905</v>
      </c>
      <c r="X165" s="4">
        <f>DATEVALUE(TEXT(DbLinkTable[[#This Row],[Date Received]],"MMMM YYYY"))</f>
        <v>41883</v>
      </c>
      <c r="Y165" s="4">
        <f>INT(DbLinkTable[[#This Row],[Date Received]])</f>
        <v>41905</v>
      </c>
    </row>
    <row r="166" spans="1:25">
      <c r="A166">
        <v>8262</v>
      </c>
      <c r="B166" t="s">
        <v>1508</v>
      </c>
      <c r="D166">
        <v>16</v>
      </c>
      <c r="E166" t="s">
        <v>1504</v>
      </c>
      <c r="F166" s="4">
        <v>41905</v>
      </c>
      <c r="G166" s="4" t="s">
        <v>192</v>
      </c>
      <c r="H166" s="4" t="s">
        <v>1511</v>
      </c>
      <c r="I166" s="4">
        <v>0</v>
      </c>
      <c r="J166" s="4"/>
      <c r="K166" s="4"/>
      <c r="L166" s="4"/>
      <c r="M166" s="4"/>
      <c r="N166" s="4"/>
      <c r="O166" s="4">
        <v>0</v>
      </c>
      <c r="P166" s="4">
        <v>41918.41747685185</v>
      </c>
      <c r="Q166" s="4"/>
      <c r="R166" s="4"/>
      <c r="S166" s="79">
        <f>DbLinkTable[[#This Row],[Credit]]+DbLinkTable[[#This Row],[Charge]]</f>
        <v>0</v>
      </c>
      <c r="T166" s="79">
        <f>IF(DbLinkTable[[#This Row],[Price/lb]]*DbLinkTable[[#This Row],[Weight]]&gt;0,DbLinkTable[[#This Row],[Price/lb]]*DbLinkTable[[#This Row],[Weight]],0)</f>
        <v>0</v>
      </c>
      <c r="U166" s="79">
        <f>IF(DbLinkTable[[#This Row],[Price/lb]]*DbLinkTable[[#This Row],[Weight]]&lt;0,DbLinkTable[[#This Row],[Price/lb]]*DbLinkTable[[#This Row],[Weight]],0)</f>
        <v>0</v>
      </c>
      <c r="V166" s="4" t="str">
        <f>IF(COUNTIF($W$2:W166,W166)=1,1,"")</f>
        <v/>
      </c>
      <c r="W166" s="4" t="str">
        <f>CONCATENATE(DbLinkTable[[#This Row],[Customer]],UPPER(DbLinkTable[[#This Row],[Trailer Number]]),DbLinkTable[[#This Row],[Day Received]])</f>
        <v>Company1416741905</v>
      </c>
      <c r="X166" s="4">
        <f>DATEVALUE(TEXT(DbLinkTable[[#This Row],[Date Received]],"MMMM YYYY"))</f>
        <v>41883</v>
      </c>
      <c r="Y166" s="4">
        <f>INT(DbLinkTable[[#This Row],[Date Received]])</f>
        <v>41905</v>
      </c>
    </row>
    <row r="167" spans="1:25">
      <c r="A167">
        <v>8263</v>
      </c>
      <c r="B167" t="s">
        <v>1508</v>
      </c>
      <c r="D167">
        <v>12</v>
      </c>
      <c r="E167" t="s">
        <v>1504</v>
      </c>
      <c r="F167" s="4">
        <v>41905</v>
      </c>
      <c r="G167" s="4" t="s">
        <v>192</v>
      </c>
      <c r="H167" s="4" t="s">
        <v>1511</v>
      </c>
      <c r="I167" s="4">
        <v>0</v>
      </c>
      <c r="J167" s="4"/>
      <c r="K167" s="4"/>
      <c r="L167" s="4"/>
      <c r="M167" s="4"/>
      <c r="N167" s="4"/>
      <c r="O167" s="4">
        <v>0</v>
      </c>
      <c r="P167" s="4">
        <v>41918.417500000003</v>
      </c>
      <c r="Q167" s="4"/>
      <c r="R167" s="4"/>
      <c r="S167" s="79">
        <f>DbLinkTable[[#This Row],[Credit]]+DbLinkTable[[#This Row],[Charge]]</f>
        <v>0</v>
      </c>
      <c r="T167" s="79">
        <f>IF(DbLinkTable[[#This Row],[Price/lb]]*DbLinkTable[[#This Row],[Weight]]&gt;0,DbLinkTable[[#This Row],[Price/lb]]*DbLinkTable[[#This Row],[Weight]],0)</f>
        <v>0</v>
      </c>
      <c r="U167" s="79">
        <f>IF(DbLinkTable[[#This Row],[Price/lb]]*DbLinkTable[[#This Row],[Weight]]&lt;0,DbLinkTable[[#This Row],[Price/lb]]*DbLinkTable[[#This Row],[Weight]],0)</f>
        <v>0</v>
      </c>
      <c r="V167" s="4" t="str">
        <f>IF(COUNTIF($W$2:W167,W167)=1,1,"")</f>
        <v/>
      </c>
      <c r="W167" s="4" t="str">
        <f>CONCATENATE(DbLinkTable[[#This Row],[Customer]],UPPER(DbLinkTable[[#This Row],[Trailer Number]]),DbLinkTable[[#This Row],[Day Received]])</f>
        <v>Company1416741905</v>
      </c>
      <c r="X167" s="4">
        <f>DATEVALUE(TEXT(DbLinkTable[[#This Row],[Date Received]],"MMMM YYYY"))</f>
        <v>41883</v>
      </c>
      <c r="Y167" s="4">
        <f>INT(DbLinkTable[[#This Row],[Date Received]])</f>
        <v>41905</v>
      </c>
    </row>
    <row r="168" spans="1:25">
      <c r="A168">
        <v>8264</v>
      </c>
      <c r="B168" t="s">
        <v>1508</v>
      </c>
      <c r="D168">
        <v>18</v>
      </c>
      <c r="E168" t="s">
        <v>1504</v>
      </c>
      <c r="F168" s="4">
        <v>41905</v>
      </c>
      <c r="G168" s="4" t="s">
        <v>192</v>
      </c>
      <c r="H168" s="4" t="s">
        <v>1511</v>
      </c>
      <c r="I168" s="4">
        <v>0</v>
      </c>
      <c r="J168" s="4"/>
      <c r="K168" s="4"/>
      <c r="L168" s="4"/>
      <c r="M168" s="4"/>
      <c r="N168" s="4"/>
      <c r="O168" s="4">
        <v>0</v>
      </c>
      <c r="P168" s="4">
        <v>41918.417523148149</v>
      </c>
      <c r="Q168" s="4"/>
      <c r="R168" s="4"/>
      <c r="S168" s="79">
        <f>DbLinkTable[[#This Row],[Credit]]+DbLinkTable[[#This Row],[Charge]]</f>
        <v>0</v>
      </c>
      <c r="T168" s="79">
        <f>IF(DbLinkTable[[#This Row],[Price/lb]]*DbLinkTable[[#This Row],[Weight]]&gt;0,DbLinkTable[[#This Row],[Price/lb]]*DbLinkTable[[#This Row],[Weight]],0)</f>
        <v>0</v>
      </c>
      <c r="U168" s="79">
        <f>IF(DbLinkTable[[#This Row],[Price/lb]]*DbLinkTable[[#This Row],[Weight]]&lt;0,DbLinkTable[[#This Row],[Price/lb]]*DbLinkTable[[#This Row],[Weight]],0)</f>
        <v>0</v>
      </c>
      <c r="V168" s="4" t="str">
        <f>IF(COUNTIF($W$2:W168,W168)=1,1,"")</f>
        <v/>
      </c>
      <c r="W168" s="4" t="str">
        <f>CONCATENATE(DbLinkTable[[#This Row],[Customer]],UPPER(DbLinkTable[[#This Row],[Trailer Number]]),DbLinkTable[[#This Row],[Day Received]])</f>
        <v>Company1416741905</v>
      </c>
      <c r="X168" s="4">
        <f>DATEVALUE(TEXT(DbLinkTable[[#This Row],[Date Received]],"MMMM YYYY"))</f>
        <v>41883</v>
      </c>
      <c r="Y168" s="4">
        <f>INT(DbLinkTable[[#This Row],[Date Received]])</f>
        <v>41905</v>
      </c>
    </row>
    <row r="169" spans="1:25">
      <c r="A169">
        <v>8265</v>
      </c>
      <c r="B169" t="s">
        <v>1508</v>
      </c>
      <c r="D169">
        <v>26</v>
      </c>
      <c r="E169" t="s">
        <v>1504</v>
      </c>
      <c r="F169" s="4">
        <v>41905</v>
      </c>
      <c r="G169" s="4" t="s">
        <v>192</v>
      </c>
      <c r="H169" s="4" t="s">
        <v>1511</v>
      </c>
      <c r="I169" s="4">
        <v>0</v>
      </c>
      <c r="J169" s="4"/>
      <c r="K169" s="4"/>
      <c r="L169" s="4"/>
      <c r="M169" s="4"/>
      <c r="N169" s="4"/>
      <c r="O169" s="4">
        <v>0</v>
      </c>
      <c r="P169" s="4">
        <v>41918.417546296296</v>
      </c>
      <c r="Q169" s="4"/>
      <c r="R169" s="4"/>
      <c r="S169" s="79">
        <f>DbLinkTable[[#This Row],[Credit]]+DbLinkTable[[#This Row],[Charge]]</f>
        <v>0</v>
      </c>
      <c r="T169" s="79">
        <f>IF(DbLinkTable[[#This Row],[Price/lb]]*DbLinkTable[[#This Row],[Weight]]&gt;0,DbLinkTable[[#This Row],[Price/lb]]*DbLinkTable[[#This Row],[Weight]],0)</f>
        <v>0</v>
      </c>
      <c r="U169" s="79">
        <f>IF(DbLinkTable[[#This Row],[Price/lb]]*DbLinkTable[[#This Row],[Weight]]&lt;0,DbLinkTable[[#This Row],[Price/lb]]*DbLinkTable[[#This Row],[Weight]],0)</f>
        <v>0</v>
      </c>
      <c r="V169" s="4" t="str">
        <f>IF(COUNTIF($W$2:W169,W169)=1,1,"")</f>
        <v/>
      </c>
      <c r="W169" s="4" t="str">
        <f>CONCATENATE(DbLinkTable[[#This Row],[Customer]],UPPER(DbLinkTable[[#This Row],[Trailer Number]]),DbLinkTable[[#This Row],[Day Received]])</f>
        <v>Company1416741905</v>
      </c>
      <c r="X169" s="4">
        <f>DATEVALUE(TEXT(DbLinkTable[[#This Row],[Date Received]],"MMMM YYYY"))</f>
        <v>41883</v>
      </c>
      <c r="Y169" s="4">
        <f>INT(DbLinkTable[[#This Row],[Date Received]])</f>
        <v>41905</v>
      </c>
    </row>
    <row r="170" spans="1:25">
      <c r="A170">
        <v>8266</v>
      </c>
      <c r="B170" t="s">
        <v>1508</v>
      </c>
      <c r="D170">
        <v>40</v>
      </c>
      <c r="E170" t="s">
        <v>1504</v>
      </c>
      <c r="F170" s="4">
        <v>41905</v>
      </c>
      <c r="G170" s="4" t="s">
        <v>192</v>
      </c>
      <c r="H170" s="4" t="s">
        <v>1511</v>
      </c>
      <c r="I170" s="4">
        <v>0</v>
      </c>
      <c r="J170" s="4"/>
      <c r="K170" s="4"/>
      <c r="L170" s="4"/>
      <c r="M170" s="4"/>
      <c r="N170" s="4"/>
      <c r="O170" s="4">
        <v>0</v>
      </c>
      <c r="P170" s="4">
        <v>41918.417569444442</v>
      </c>
      <c r="Q170" s="4"/>
      <c r="R170" s="4"/>
      <c r="S170" s="79">
        <f>DbLinkTable[[#This Row],[Credit]]+DbLinkTable[[#This Row],[Charge]]</f>
        <v>0</v>
      </c>
      <c r="T170" s="79">
        <f>IF(DbLinkTable[[#This Row],[Price/lb]]*DbLinkTable[[#This Row],[Weight]]&gt;0,DbLinkTable[[#This Row],[Price/lb]]*DbLinkTable[[#This Row],[Weight]],0)</f>
        <v>0</v>
      </c>
      <c r="U170" s="79">
        <f>IF(DbLinkTable[[#This Row],[Price/lb]]*DbLinkTable[[#This Row],[Weight]]&lt;0,DbLinkTable[[#This Row],[Price/lb]]*DbLinkTable[[#This Row],[Weight]],0)</f>
        <v>0</v>
      </c>
      <c r="V170" s="4" t="str">
        <f>IF(COUNTIF($W$2:W170,W170)=1,1,"")</f>
        <v/>
      </c>
      <c r="W170" s="4" t="str">
        <f>CONCATENATE(DbLinkTable[[#This Row],[Customer]],UPPER(DbLinkTable[[#This Row],[Trailer Number]]),DbLinkTable[[#This Row],[Day Received]])</f>
        <v>Company1416741905</v>
      </c>
      <c r="X170" s="4">
        <f>DATEVALUE(TEXT(DbLinkTable[[#This Row],[Date Received]],"MMMM YYYY"))</f>
        <v>41883</v>
      </c>
      <c r="Y170" s="4">
        <f>INT(DbLinkTable[[#This Row],[Date Received]])</f>
        <v>41905</v>
      </c>
    </row>
    <row r="171" spans="1:25">
      <c r="A171">
        <v>8267</v>
      </c>
      <c r="B171" t="s">
        <v>1508</v>
      </c>
      <c r="D171">
        <v>30</v>
      </c>
      <c r="E171" t="s">
        <v>1504</v>
      </c>
      <c r="F171" s="4">
        <v>41905</v>
      </c>
      <c r="G171" s="4" t="s">
        <v>192</v>
      </c>
      <c r="H171" s="4" t="s">
        <v>1511</v>
      </c>
      <c r="I171" s="4">
        <v>0</v>
      </c>
      <c r="J171" s="4"/>
      <c r="K171" s="4"/>
      <c r="L171" s="4"/>
      <c r="M171" s="4"/>
      <c r="N171" s="4"/>
      <c r="O171" s="4">
        <v>0</v>
      </c>
      <c r="P171" s="4">
        <v>41918.417592592596</v>
      </c>
      <c r="Q171" s="4"/>
      <c r="R171" s="4"/>
      <c r="S171" s="79">
        <f>DbLinkTable[[#This Row],[Credit]]+DbLinkTable[[#This Row],[Charge]]</f>
        <v>0</v>
      </c>
      <c r="T171" s="79">
        <f>IF(DbLinkTable[[#This Row],[Price/lb]]*DbLinkTable[[#This Row],[Weight]]&gt;0,DbLinkTable[[#This Row],[Price/lb]]*DbLinkTable[[#This Row],[Weight]],0)</f>
        <v>0</v>
      </c>
      <c r="U171" s="79">
        <f>IF(DbLinkTable[[#This Row],[Price/lb]]*DbLinkTable[[#This Row],[Weight]]&lt;0,DbLinkTable[[#This Row],[Price/lb]]*DbLinkTable[[#This Row],[Weight]],0)</f>
        <v>0</v>
      </c>
      <c r="V171" s="4" t="str">
        <f>IF(COUNTIF($W$2:W171,W171)=1,1,"")</f>
        <v/>
      </c>
      <c r="W171" s="4" t="str">
        <f>CONCATENATE(DbLinkTable[[#This Row],[Customer]],UPPER(DbLinkTable[[#This Row],[Trailer Number]]),DbLinkTable[[#This Row],[Day Received]])</f>
        <v>Company1416741905</v>
      </c>
      <c r="X171" s="4">
        <f>DATEVALUE(TEXT(DbLinkTable[[#This Row],[Date Received]],"MMMM YYYY"))</f>
        <v>41883</v>
      </c>
      <c r="Y171" s="4">
        <f>INT(DbLinkTable[[#This Row],[Date Received]])</f>
        <v>41905</v>
      </c>
    </row>
    <row r="172" spans="1:25">
      <c r="A172">
        <v>8268</v>
      </c>
      <c r="B172" t="s">
        <v>1508</v>
      </c>
      <c r="D172">
        <v>20</v>
      </c>
      <c r="E172" t="s">
        <v>1504</v>
      </c>
      <c r="F172" s="4">
        <v>41905</v>
      </c>
      <c r="G172" s="4" t="s">
        <v>192</v>
      </c>
      <c r="H172" s="4" t="s">
        <v>1511</v>
      </c>
      <c r="I172" s="4">
        <v>0</v>
      </c>
      <c r="J172" s="4"/>
      <c r="K172" s="4"/>
      <c r="L172" s="4"/>
      <c r="M172" s="4"/>
      <c r="N172" s="4"/>
      <c r="O172" s="4">
        <v>0</v>
      </c>
      <c r="P172" s="4">
        <v>41918.417627314811</v>
      </c>
      <c r="Q172" s="4"/>
      <c r="R172" s="4"/>
      <c r="S172" s="79">
        <f>DbLinkTable[[#This Row],[Credit]]+DbLinkTable[[#This Row],[Charge]]</f>
        <v>0</v>
      </c>
      <c r="T172" s="79">
        <f>IF(DbLinkTable[[#This Row],[Price/lb]]*DbLinkTable[[#This Row],[Weight]]&gt;0,DbLinkTable[[#This Row],[Price/lb]]*DbLinkTable[[#This Row],[Weight]],0)</f>
        <v>0</v>
      </c>
      <c r="U172" s="79">
        <f>IF(DbLinkTable[[#This Row],[Price/lb]]*DbLinkTable[[#This Row],[Weight]]&lt;0,DbLinkTable[[#This Row],[Price/lb]]*DbLinkTable[[#This Row],[Weight]],0)</f>
        <v>0</v>
      </c>
      <c r="V172" s="4" t="str">
        <f>IF(COUNTIF($W$2:W172,W172)=1,1,"")</f>
        <v/>
      </c>
      <c r="W172" s="4" t="str">
        <f>CONCATENATE(DbLinkTable[[#This Row],[Customer]],UPPER(DbLinkTable[[#This Row],[Trailer Number]]),DbLinkTable[[#This Row],[Day Received]])</f>
        <v>Company1416741905</v>
      </c>
      <c r="X172" s="4">
        <f>DATEVALUE(TEXT(DbLinkTable[[#This Row],[Date Received]],"MMMM YYYY"))</f>
        <v>41883</v>
      </c>
      <c r="Y172" s="4">
        <f>INT(DbLinkTable[[#This Row],[Date Received]])</f>
        <v>41905</v>
      </c>
    </row>
    <row r="173" spans="1:25">
      <c r="A173">
        <v>8269</v>
      </c>
      <c r="B173" t="s">
        <v>1508</v>
      </c>
      <c r="D173">
        <v>34</v>
      </c>
      <c r="E173" t="s">
        <v>1504</v>
      </c>
      <c r="F173" s="4">
        <v>41905</v>
      </c>
      <c r="G173" s="4" t="s">
        <v>192</v>
      </c>
      <c r="H173" s="4" t="s">
        <v>1511</v>
      </c>
      <c r="I173" s="4">
        <v>0</v>
      </c>
      <c r="J173" s="4"/>
      <c r="K173" s="4"/>
      <c r="L173" s="4"/>
      <c r="M173" s="4"/>
      <c r="N173" s="4"/>
      <c r="O173" s="4">
        <v>0</v>
      </c>
      <c r="P173" s="4">
        <v>41918.417650462965</v>
      </c>
      <c r="Q173" s="4"/>
      <c r="R173" s="4"/>
      <c r="S173" s="79">
        <f>DbLinkTable[[#This Row],[Credit]]+DbLinkTable[[#This Row],[Charge]]</f>
        <v>0</v>
      </c>
      <c r="T173" s="79">
        <f>IF(DbLinkTable[[#This Row],[Price/lb]]*DbLinkTable[[#This Row],[Weight]]&gt;0,DbLinkTable[[#This Row],[Price/lb]]*DbLinkTable[[#This Row],[Weight]],0)</f>
        <v>0</v>
      </c>
      <c r="U173" s="79">
        <f>IF(DbLinkTable[[#This Row],[Price/lb]]*DbLinkTable[[#This Row],[Weight]]&lt;0,DbLinkTable[[#This Row],[Price/lb]]*DbLinkTable[[#This Row],[Weight]],0)</f>
        <v>0</v>
      </c>
      <c r="V173" s="4" t="str">
        <f>IF(COUNTIF($W$2:W173,W173)=1,1,"")</f>
        <v/>
      </c>
      <c r="W173" s="4" t="str">
        <f>CONCATENATE(DbLinkTable[[#This Row],[Customer]],UPPER(DbLinkTable[[#This Row],[Trailer Number]]),DbLinkTable[[#This Row],[Day Received]])</f>
        <v>Company1416741905</v>
      </c>
      <c r="X173" s="4">
        <f>DATEVALUE(TEXT(DbLinkTable[[#This Row],[Date Received]],"MMMM YYYY"))</f>
        <v>41883</v>
      </c>
      <c r="Y173" s="4">
        <f>INT(DbLinkTable[[#This Row],[Date Received]])</f>
        <v>41905</v>
      </c>
    </row>
    <row r="174" spans="1:25">
      <c r="A174">
        <v>8270</v>
      </c>
      <c r="B174" t="s">
        <v>1508</v>
      </c>
      <c r="D174">
        <v>30</v>
      </c>
      <c r="E174" t="s">
        <v>1504</v>
      </c>
      <c r="F174" s="4">
        <v>41905</v>
      </c>
      <c r="G174" s="4" t="s">
        <v>192</v>
      </c>
      <c r="H174" s="4" t="s">
        <v>1511</v>
      </c>
      <c r="I174" s="4">
        <v>0</v>
      </c>
      <c r="J174" s="4"/>
      <c r="K174" s="4"/>
      <c r="L174" s="4"/>
      <c r="M174" s="4"/>
      <c r="N174" s="4"/>
      <c r="O174" s="4">
        <v>0</v>
      </c>
      <c r="P174" s="4">
        <v>41918.417673611111</v>
      </c>
      <c r="Q174" s="4"/>
      <c r="R174" s="4"/>
      <c r="S174" s="79">
        <f>DbLinkTable[[#This Row],[Credit]]+DbLinkTable[[#This Row],[Charge]]</f>
        <v>0</v>
      </c>
      <c r="T174" s="79">
        <f>IF(DbLinkTable[[#This Row],[Price/lb]]*DbLinkTable[[#This Row],[Weight]]&gt;0,DbLinkTable[[#This Row],[Price/lb]]*DbLinkTable[[#This Row],[Weight]],0)</f>
        <v>0</v>
      </c>
      <c r="U174" s="79">
        <f>IF(DbLinkTable[[#This Row],[Price/lb]]*DbLinkTable[[#This Row],[Weight]]&lt;0,DbLinkTable[[#This Row],[Price/lb]]*DbLinkTable[[#This Row],[Weight]],0)</f>
        <v>0</v>
      </c>
      <c r="V174" s="4" t="str">
        <f>IF(COUNTIF($W$2:W174,W174)=1,1,"")</f>
        <v/>
      </c>
      <c r="W174" s="4" t="str">
        <f>CONCATENATE(DbLinkTable[[#This Row],[Customer]],UPPER(DbLinkTable[[#This Row],[Trailer Number]]),DbLinkTable[[#This Row],[Day Received]])</f>
        <v>Company1416741905</v>
      </c>
      <c r="X174" s="4">
        <f>DATEVALUE(TEXT(DbLinkTable[[#This Row],[Date Received]],"MMMM YYYY"))</f>
        <v>41883</v>
      </c>
      <c r="Y174" s="4">
        <f>INT(DbLinkTable[[#This Row],[Date Received]])</f>
        <v>41905</v>
      </c>
    </row>
    <row r="175" spans="1:25">
      <c r="A175">
        <v>8271</v>
      </c>
      <c r="B175" t="s">
        <v>1508</v>
      </c>
      <c r="D175">
        <v>14</v>
      </c>
      <c r="E175" t="s">
        <v>1504</v>
      </c>
      <c r="F175" s="4">
        <v>41905</v>
      </c>
      <c r="G175" s="4" t="s">
        <v>192</v>
      </c>
      <c r="H175" s="4" t="s">
        <v>1511</v>
      </c>
      <c r="I175" s="4">
        <v>0</v>
      </c>
      <c r="J175" s="4"/>
      <c r="K175" s="4"/>
      <c r="L175" s="4"/>
      <c r="M175" s="4"/>
      <c r="N175" s="4"/>
      <c r="O175" s="4">
        <v>0</v>
      </c>
      <c r="P175" s="4">
        <v>41918.417696759258</v>
      </c>
      <c r="Q175" s="4"/>
      <c r="R175" s="4"/>
      <c r="S175" s="79">
        <f>DbLinkTable[[#This Row],[Credit]]+DbLinkTable[[#This Row],[Charge]]</f>
        <v>0</v>
      </c>
      <c r="T175" s="79">
        <f>IF(DbLinkTable[[#This Row],[Price/lb]]*DbLinkTable[[#This Row],[Weight]]&gt;0,DbLinkTable[[#This Row],[Price/lb]]*DbLinkTable[[#This Row],[Weight]],0)</f>
        <v>0</v>
      </c>
      <c r="U175" s="79">
        <f>IF(DbLinkTable[[#This Row],[Price/lb]]*DbLinkTable[[#This Row],[Weight]]&lt;0,DbLinkTable[[#This Row],[Price/lb]]*DbLinkTable[[#This Row],[Weight]],0)</f>
        <v>0</v>
      </c>
      <c r="V175" s="4" t="str">
        <f>IF(COUNTIF($W$2:W175,W175)=1,1,"")</f>
        <v/>
      </c>
      <c r="W175" s="4" t="str">
        <f>CONCATENATE(DbLinkTable[[#This Row],[Customer]],UPPER(DbLinkTable[[#This Row],[Trailer Number]]),DbLinkTable[[#This Row],[Day Received]])</f>
        <v>Company1416741905</v>
      </c>
      <c r="X175" s="4">
        <f>DATEVALUE(TEXT(DbLinkTable[[#This Row],[Date Received]],"MMMM YYYY"))</f>
        <v>41883</v>
      </c>
      <c r="Y175" s="4">
        <f>INT(DbLinkTable[[#This Row],[Date Received]])</f>
        <v>41905</v>
      </c>
    </row>
    <row r="176" spans="1:25">
      <c r="A176">
        <v>8272</v>
      </c>
      <c r="B176" t="s">
        <v>1508</v>
      </c>
      <c r="D176">
        <v>28</v>
      </c>
      <c r="E176" t="s">
        <v>1504</v>
      </c>
      <c r="F176" s="4">
        <v>41905</v>
      </c>
      <c r="G176" s="4" t="s">
        <v>192</v>
      </c>
      <c r="H176" s="4" t="s">
        <v>1511</v>
      </c>
      <c r="I176" s="4">
        <v>0</v>
      </c>
      <c r="J176" s="4"/>
      <c r="K176" s="4"/>
      <c r="L176" s="4"/>
      <c r="M176" s="4"/>
      <c r="N176" s="4"/>
      <c r="O176" s="4">
        <v>0</v>
      </c>
      <c r="P176" s="4">
        <v>41918.417719907404</v>
      </c>
      <c r="Q176" s="4"/>
      <c r="R176" s="4"/>
      <c r="S176" s="79">
        <f>DbLinkTable[[#This Row],[Credit]]+DbLinkTable[[#This Row],[Charge]]</f>
        <v>0</v>
      </c>
      <c r="T176" s="79">
        <f>IF(DbLinkTable[[#This Row],[Price/lb]]*DbLinkTable[[#This Row],[Weight]]&gt;0,DbLinkTable[[#This Row],[Price/lb]]*DbLinkTable[[#This Row],[Weight]],0)</f>
        <v>0</v>
      </c>
      <c r="U176" s="79">
        <f>IF(DbLinkTable[[#This Row],[Price/lb]]*DbLinkTable[[#This Row],[Weight]]&lt;0,DbLinkTable[[#This Row],[Price/lb]]*DbLinkTable[[#This Row],[Weight]],0)</f>
        <v>0</v>
      </c>
      <c r="V176" s="4" t="str">
        <f>IF(COUNTIF($W$2:W176,W176)=1,1,"")</f>
        <v/>
      </c>
      <c r="W176" s="4" t="str">
        <f>CONCATENATE(DbLinkTable[[#This Row],[Customer]],UPPER(DbLinkTable[[#This Row],[Trailer Number]]),DbLinkTable[[#This Row],[Day Received]])</f>
        <v>Company1416741905</v>
      </c>
      <c r="X176" s="4">
        <f>DATEVALUE(TEXT(DbLinkTable[[#This Row],[Date Received]],"MMMM YYYY"))</f>
        <v>41883</v>
      </c>
      <c r="Y176" s="4">
        <f>INT(DbLinkTable[[#This Row],[Date Received]])</f>
        <v>41905</v>
      </c>
    </row>
    <row r="177" spans="1:25">
      <c r="A177">
        <v>8273</v>
      </c>
      <c r="B177" t="s">
        <v>1508</v>
      </c>
      <c r="D177">
        <v>44</v>
      </c>
      <c r="E177" t="s">
        <v>1504</v>
      </c>
      <c r="F177" s="4">
        <v>41905</v>
      </c>
      <c r="G177" s="4" t="s">
        <v>192</v>
      </c>
      <c r="H177" s="4" t="s">
        <v>1511</v>
      </c>
      <c r="I177" s="4">
        <v>0</v>
      </c>
      <c r="J177" s="4"/>
      <c r="K177" s="4"/>
      <c r="L177" s="4"/>
      <c r="M177" s="4"/>
      <c r="N177" s="4"/>
      <c r="O177" s="4">
        <v>0</v>
      </c>
      <c r="P177" s="4">
        <v>41918.417743055557</v>
      </c>
      <c r="Q177" s="4"/>
      <c r="R177" s="4"/>
      <c r="S177" s="79">
        <f>DbLinkTable[[#This Row],[Credit]]+DbLinkTable[[#This Row],[Charge]]</f>
        <v>0</v>
      </c>
      <c r="T177" s="79">
        <f>IF(DbLinkTable[[#This Row],[Price/lb]]*DbLinkTable[[#This Row],[Weight]]&gt;0,DbLinkTable[[#This Row],[Price/lb]]*DbLinkTable[[#This Row],[Weight]],0)</f>
        <v>0</v>
      </c>
      <c r="U177" s="79">
        <f>IF(DbLinkTable[[#This Row],[Price/lb]]*DbLinkTable[[#This Row],[Weight]]&lt;0,DbLinkTable[[#This Row],[Price/lb]]*DbLinkTable[[#This Row],[Weight]],0)</f>
        <v>0</v>
      </c>
      <c r="V177" s="4" t="str">
        <f>IF(COUNTIF($W$2:W177,W177)=1,1,"")</f>
        <v/>
      </c>
      <c r="W177" s="4" t="str">
        <f>CONCATENATE(DbLinkTable[[#This Row],[Customer]],UPPER(DbLinkTable[[#This Row],[Trailer Number]]),DbLinkTable[[#This Row],[Day Received]])</f>
        <v>Company1416741905</v>
      </c>
      <c r="X177" s="4">
        <f>DATEVALUE(TEXT(DbLinkTable[[#This Row],[Date Received]],"MMMM YYYY"))</f>
        <v>41883</v>
      </c>
      <c r="Y177" s="4">
        <f>INT(DbLinkTable[[#This Row],[Date Received]])</f>
        <v>41905</v>
      </c>
    </row>
    <row r="178" spans="1:25">
      <c r="A178">
        <v>8274</v>
      </c>
      <c r="B178" t="s">
        <v>1508</v>
      </c>
      <c r="D178">
        <v>10</v>
      </c>
      <c r="E178" t="s">
        <v>1504</v>
      </c>
      <c r="F178" s="4">
        <v>41905</v>
      </c>
      <c r="G178" s="4" t="s">
        <v>192</v>
      </c>
      <c r="H178" s="4" t="s">
        <v>1511</v>
      </c>
      <c r="I178" s="4">
        <v>0</v>
      </c>
      <c r="J178" s="4"/>
      <c r="K178" s="4"/>
      <c r="L178" s="4"/>
      <c r="M178" s="4"/>
      <c r="N178" s="4"/>
      <c r="O178" s="4">
        <v>0</v>
      </c>
      <c r="P178" s="4">
        <v>41918.41777777778</v>
      </c>
      <c r="Q178" s="4"/>
      <c r="R178" s="4"/>
      <c r="S178" s="79">
        <f>DbLinkTable[[#This Row],[Credit]]+DbLinkTable[[#This Row],[Charge]]</f>
        <v>0</v>
      </c>
      <c r="T178" s="79">
        <f>IF(DbLinkTable[[#This Row],[Price/lb]]*DbLinkTable[[#This Row],[Weight]]&gt;0,DbLinkTable[[#This Row],[Price/lb]]*DbLinkTable[[#This Row],[Weight]],0)</f>
        <v>0</v>
      </c>
      <c r="U178" s="79">
        <f>IF(DbLinkTable[[#This Row],[Price/lb]]*DbLinkTable[[#This Row],[Weight]]&lt;0,DbLinkTable[[#This Row],[Price/lb]]*DbLinkTable[[#This Row],[Weight]],0)</f>
        <v>0</v>
      </c>
      <c r="V178" s="4" t="str">
        <f>IF(COUNTIF($W$2:W178,W178)=1,1,"")</f>
        <v/>
      </c>
      <c r="W178" s="4" t="str">
        <f>CONCATENATE(DbLinkTable[[#This Row],[Customer]],UPPER(DbLinkTable[[#This Row],[Trailer Number]]),DbLinkTable[[#This Row],[Day Received]])</f>
        <v>Company1416741905</v>
      </c>
      <c r="X178" s="4">
        <f>DATEVALUE(TEXT(DbLinkTable[[#This Row],[Date Received]],"MMMM YYYY"))</f>
        <v>41883</v>
      </c>
      <c r="Y178" s="4">
        <f>INT(DbLinkTable[[#This Row],[Date Received]])</f>
        <v>41905</v>
      </c>
    </row>
    <row r="179" spans="1:25">
      <c r="A179">
        <v>8275</v>
      </c>
      <c r="B179" t="s">
        <v>1508</v>
      </c>
      <c r="D179">
        <v>18</v>
      </c>
      <c r="E179" t="s">
        <v>1504</v>
      </c>
      <c r="F179" s="4">
        <v>41905</v>
      </c>
      <c r="G179" s="4" t="s">
        <v>192</v>
      </c>
      <c r="H179" s="4" t="s">
        <v>1511</v>
      </c>
      <c r="I179" s="4">
        <v>0</v>
      </c>
      <c r="J179" s="4"/>
      <c r="K179" s="4"/>
      <c r="L179" s="4"/>
      <c r="M179" s="4"/>
      <c r="N179" s="4"/>
      <c r="O179" s="4">
        <v>0</v>
      </c>
      <c r="P179" s="4">
        <v>41918.417800925927</v>
      </c>
      <c r="Q179" s="4"/>
      <c r="R179" s="4"/>
      <c r="S179" s="79">
        <f>DbLinkTable[[#This Row],[Credit]]+DbLinkTable[[#This Row],[Charge]]</f>
        <v>0</v>
      </c>
      <c r="T179" s="79">
        <f>IF(DbLinkTable[[#This Row],[Price/lb]]*DbLinkTable[[#This Row],[Weight]]&gt;0,DbLinkTable[[#This Row],[Price/lb]]*DbLinkTable[[#This Row],[Weight]],0)</f>
        <v>0</v>
      </c>
      <c r="U179" s="79">
        <f>IF(DbLinkTable[[#This Row],[Price/lb]]*DbLinkTable[[#This Row],[Weight]]&lt;0,DbLinkTable[[#This Row],[Price/lb]]*DbLinkTable[[#This Row],[Weight]],0)</f>
        <v>0</v>
      </c>
      <c r="V179" s="4" t="str">
        <f>IF(COUNTIF($W$2:W179,W179)=1,1,"")</f>
        <v/>
      </c>
      <c r="W179" s="4" t="str">
        <f>CONCATENATE(DbLinkTable[[#This Row],[Customer]],UPPER(DbLinkTable[[#This Row],[Trailer Number]]),DbLinkTable[[#This Row],[Day Received]])</f>
        <v>Company1416741905</v>
      </c>
      <c r="X179" s="4">
        <f>DATEVALUE(TEXT(DbLinkTable[[#This Row],[Date Received]],"MMMM YYYY"))</f>
        <v>41883</v>
      </c>
      <c r="Y179" s="4">
        <f>INT(DbLinkTable[[#This Row],[Date Received]])</f>
        <v>41905</v>
      </c>
    </row>
    <row r="180" spans="1:25">
      <c r="A180">
        <v>8276</v>
      </c>
      <c r="B180" t="s">
        <v>1508</v>
      </c>
      <c r="D180">
        <v>14</v>
      </c>
      <c r="E180" t="s">
        <v>1504</v>
      </c>
      <c r="F180" s="4">
        <v>41905</v>
      </c>
      <c r="G180" s="4" t="s">
        <v>192</v>
      </c>
      <c r="H180" s="4" t="s">
        <v>1511</v>
      </c>
      <c r="I180" s="4">
        <v>0</v>
      </c>
      <c r="J180" s="4"/>
      <c r="K180" s="4"/>
      <c r="L180" s="4"/>
      <c r="M180" s="4"/>
      <c r="N180" s="4"/>
      <c r="O180" s="4">
        <v>0</v>
      </c>
      <c r="P180" s="4">
        <v>41918.417847222219</v>
      </c>
      <c r="Q180" s="4"/>
      <c r="R180" s="4"/>
      <c r="S180" s="79">
        <f>DbLinkTable[[#This Row],[Credit]]+DbLinkTable[[#This Row],[Charge]]</f>
        <v>0</v>
      </c>
      <c r="T180" s="79">
        <f>IF(DbLinkTable[[#This Row],[Price/lb]]*DbLinkTable[[#This Row],[Weight]]&gt;0,DbLinkTable[[#This Row],[Price/lb]]*DbLinkTable[[#This Row],[Weight]],0)</f>
        <v>0</v>
      </c>
      <c r="U180" s="79">
        <f>IF(DbLinkTable[[#This Row],[Price/lb]]*DbLinkTable[[#This Row],[Weight]]&lt;0,DbLinkTable[[#This Row],[Price/lb]]*DbLinkTable[[#This Row],[Weight]],0)</f>
        <v>0</v>
      </c>
      <c r="V180" s="4" t="str">
        <f>IF(COUNTIF($W$2:W180,W180)=1,1,"")</f>
        <v/>
      </c>
      <c r="W180" s="4" t="str">
        <f>CONCATENATE(DbLinkTable[[#This Row],[Customer]],UPPER(DbLinkTable[[#This Row],[Trailer Number]]),DbLinkTable[[#This Row],[Day Received]])</f>
        <v>Company1416741905</v>
      </c>
      <c r="X180" s="4">
        <f>DATEVALUE(TEXT(DbLinkTable[[#This Row],[Date Received]],"MMMM YYYY"))</f>
        <v>41883</v>
      </c>
      <c r="Y180" s="4">
        <f>INT(DbLinkTable[[#This Row],[Date Received]])</f>
        <v>41905</v>
      </c>
    </row>
    <row r="181" spans="1:25">
      <c r="A181">
        <v>8277</v>
      </c>
      <c r="B181" t="s">
        <v>1508</v>
      </c>
      <c r="D181">
        <v>24</v>
      </c>
      <c r="E181" t="s">
        <v>1504</v>
      </c>
      <c r="F181" s="4">
        <v>41905</v>
      </c>
      <c r="G181" s="4" t="s">
        <v>192</v>
      </c>
      <c r="H181" s="4" t="s">
        <v>1511</v>
      </c>
      <c r="I181" s="4">
        <v>0</v>
      </c>
      <c r="J181" s="4"/>
      <c r="K181" s="4"/>
      <c r="L181" s="4"/>
      <c r="M181" s="4"/>
      <c r="N181" s="4"/>
      <c r="O181" s="4">
        <v>0</v>
      </c>
      <c r="P181" s="4">
        <v>41918.417893518519</v>
      </c>
      <c r="Q181" s="4"/>
      <c r="R181" s="4"/>
      <c r="S181" s="79">
        <f>DbLinkTable[[#This Row],[Credit]]+DbLinkTable[[#This Row],[Charge]]</f>
        <v>0</v>
      </c>
      <c r="T181" s="79">
        <f>IF(DbLinkTable[[#This Row],[Price/lb]]*DbLinkTable[[#This Row],[Weight]]&gt;0,DbLinkTable[[#This Row],[Price/lb]]*DbLinkTable[[#This Row],[Weight]],0)</f>
        <v>0</v>
      </c>
      <c r="U181" s="79">
        <f>IF(DbLinkTable[[#This Row],[Price/lb]]*DbLinkTable[[#This Row],[Weight]]&lt;0,DbLinkTable[[#This Row],[Price/lb]]*DbLinkTable[[#This Row],[Weight]],0)</f>
        <v>0</v>
      </c>
      <c r="V181" s="4" t="str">
        <f>IF(COUNTIF($W$2:W181,W181)=1,1,"")</f>
        <v/>
      </c>
      <c r="W181" s="4" t="str">
        <f>CONCATENATE(DbLinkTable[[#This Row],[Customer]],UPPER(DbLinkTable[[#This Row],[Trailer Number]]),DbLinkTable[[#This Row],[Day Received]])</f>
        <v>Company1416741905</v>
      </c>
      <c r="X181" s="4">
        <f>DATEVALUE(TEXT(DbLinkTable[[#This Row],[Date Received]],"MMMM YYYY"))</f>
        <v>41883</v>
      </c>
      <c r="Y181" s="4">
        <f>INT(DbLinkTable[[#This Row],[Date Received]])</f>
        <v>41905</v>
      </c>
    </row>
    <row r="182" spans="1:25">
      <c r="A182">
        <v>8278</v>
      </c>
      <c r="B182" t="s">
        <v>48</v>
      </c>
      <c r="D182">
        <v>72</v>
      </c>
      <c r="E182" t="s">
        <v>1504</v>
      </c>
      <c r="F182" s="4">
        <v>41912</v>
      </c>
      <c r="G182" s="4" t="s">
        <v>192</v>
      </c>
      <c r="H182" s="4" t="s">
        <v>1525</v>
      </c>
      <c r="I182" s="4">
        <v>0</v>
      </c>
      <c r="J182" s="4"/>
      <c r="K182" s="4"/>
      <c r="L182" s="4"/>
      <c r="M182" s="4"/>
      <c r="N182" s="4"/>
      <c r="O182" s="4">
        <v>0</v>
      </c>
      <c r="P182" s="4">
        <v>41918.41851851852</v>
      </c>
      <c r="Q182" s="4"/>
      <c r="R182" s="4"/>
      <c r="S182" s="79">
        <f>DbLinkTable[[#This Row],[Credit]]+DbLinkTable[[#This Row],[Charge]]</f>
        <v>0</v>
      </c>
      <c r="T182" s="79">
        <f>IF(DbLinkTable[[#This Row],[Price/lb]]*DbLinkTable[[#This Row],[Weight]]&gt;0,DbLinkTable[[#This Row],[Price/lb]]*DbLinkTable[[#This Row],[Weight]],0)</f>
        <v>0</v>
      </c>
      <c r="U182" s="79">
        <f>IF(DbLinkTable[[#This Row],[Price/lb]]*DbLinkTable[[#This Row],[Weight]]&lt;0,DbLinkTable[[#This Row],[Price/lb]]*DbLinkTable[[#This Row],[Weight]],0)</f>
        <v>0</v>
      </c>
      <c r="V182" s="4">
        <f>IF(COUNTIF($W$2:W182,W182)=1,1,"")</f>
        <v>1</v>
      </c>
      <c r="W182" s="4" t="str">
        <f>CONCATENATE(DbLinkTable[[#This Row],[Customer]],UPPER(DbLinkTable[[#This Row],[Trailer Number]]),DbLinkTable[[#This Row],[Day Received]])</f>
        <v>Company1414441912</v>
      </c>
      <c r="X182" s="4">
        <f>DATEVALUE(TEXT(DbLinkTable[[#This Row],[Date Received]],"MMMM YYYY"))</f>
        <v>41883</v>
      </c>
      <c r="Y182" s="4">
        <f>INT(DbLinkTable[[#This Row],[Date Received]])</f>
        <v>41912</v>
      </c>
    </row>
    <row r="183" spans="1:25">
      <c r="A183">
        <v>8279</v>
      </c>
      <c r="B183" t="s">
        <v>1502</v>
      </c>
      <c r="D183">
        <v>108</v>
      </c>
      <c r="E183" t="s">
        <v>1504</v>
      </c>
      <c r="F183" s="4">
        <v>41912</v>
      </c>
      <c r="G183" s="4" t="s">
        <v>192</v>
      </c>
      <c r="H183" s="4" t="s">
        <v>1525</v>
      </c>
      <c r="I183" s="4">
        <v>0</v>
      </c>
      <c r="J183" s="4"/>
      <c r="K183" s="4"/>
      <c r="L183" s="4"/>
      <c r="M183" s="4"/>
      <c r="N183" s="4"/>
      <c r="O183" s="4">
        <v>0</v>
      </c>
      <c r="P183" s="4">
        <v>41918.418622685182</v>
      </c>
      <c r="Q183" s="4"/>
      <c r="R183" s="4"/>
      <c r="S183" s="79">
        <f>DbLinkTable[[#This Row],[Credit]]+DbLinkTable[[#This Row],[Charge]]</f>
        <v>0</v>
      </c>
      <c r="T183" s="79">
        <f>IF(DbLinkTable[[#This Row],[Price/lb]]*DbLinkTable[[#This Row],[Weight]]&gt;0,DbLinkTable[[#This Row],[Price/lb]]*DbLinkTable[[#This Row],[Weight]],0)</f>
        <v>0</v>
      </c>
      <c r="U183" s="79">
        <f>IF(DbLinkTable[[#This Row],[Price/lb]]*DbLinkTable[[#This Row],[Weight]]&lt;0,DbLinkTable[[#This Row],[Price/lb]]*DbLinkTable[[#This Row],[Weight]],0)</f>
        <v>0</v>
      </c>
      <c r="V183" s="4" t="str">
        <f>IF(COUNTIF($W$2:W183,W183)=1,1,"")</f>
        <v/>
      </c>
      <c r="W183" s="4" t="str">
        <f>CONCATENATE(DbLinkTable[[#This Row],[Customer]],UPPER(DbLinkTable[[#This Row],[Trailer Number]]),DbLinkTable[[#This Row],[Day Received]])</f>
        <v>Company1414441912</v>
      </c>
      <c r="X183" s="4">
        <f>DATEVALUE(TEXT(DbLinkTable[[#This Row],[Date Received]],"MMMM YYYY"))</f>
        <v>41883</v>
      </c>
      <c r="Y183" s="4">
        <f>INT(DbLinkTable[[#This Row],[Date Received]])</f>
        <v>41912</v>
      </c>
    </row>
    <row r="184" spans="1:25">
      <c r="A184">
        <v>8280</v>
      </c>
      <c r="B184" t="s">
        <v>1507</v>
      </c>
      <c r="D184">
        <v>14</v>
      </c>
      <c r="E184" t="s">
        <v>1504</v>
      </c>
      <c r="F184" s="4">
        <v>41912</v>
      </c>
      <c r="G184" s="4" t="s">
        <v>192</v>
      </c>
      <c r="H184" s="4" t="s">
        <v>1525</v>
      </c>
      <c r="I184" s="4">
        <v>0</v>
      </c>
      <c r="J184" s="4"/>
      <c r="K184" s="4"/>
      <c r="L184" s="4"/>
      <c r="M184" s="4"/>
      <c r="N184" s="4"/>
      <c r="O184" s="4">
        <v>0</v>
      </c>
      <c r="P184" s="4">
        <v>41918.41878472222</v>
      </c>
      <c r="Q184" s="4"/>
      <c r="R184" s="4"/>
      <c r="S184" s="79">
        <f>DbLinkTable[[#This Row],[Credit]]+DbLinkTable[[#This Row],[Charge]]</f>
        <v>0</v>
      </c>
      <c r="T184" s="79">
        <f>IF(DbLinkTable[[#This Row],[Price/lb]]*DbLinkTable[[#This Row],[Weight]]&gt;0,DbLinkTable[[#This Row],[Price/lb]]*DbLinkTable[[#This Row],[Weight]],0)</f>
        <v>0</v>
      </c>
      <c r="U184" s="79">
        <f>IF(DbLinkTable[[#This Row],[Price/lb]]*DbLinkTable[[#This Row],[Weight]]&lt;0,DbLinkTable[[#This Row],[Price/lb]]*DbLinkTable[[#This Row],[Weight]],0)</f>
        <v>0</v>
      </c>
      <c r="V184" s="4" t="str">
        <f>IF(COUNTIF($W$2:W184,W184)=1,1,"")</f>
        <v/>
      </c>
      <c r="W184" s="4" t="str">
        <f>CONCATENATE(DbLinkTable[[#This Row],[Customer]],UPPER(DbLinkTable[[#This Row],[Trailer Number]]),DbLinkTable[[#This Row],[Day Received]])</f>
        <v>Company1414441912</v>
      </c>
      <c r="X184" s="4">
        <f>DATEVALUE(TEXT(DbLinkTable[[#This Row],[Date Received]],"MMMM YYYY"))</f>
        <v>41883</v>
      </c>
      <c r="Y184" s="4">
        <f>INT(DbLinkTable[[#This Row],[Date Received]])</f>
        <v>41912</v>
      </c>
    </row>
    <row r="185" spans="1:25">
      <c r="A185">
        <v>8281</v>
      </c>
      <c r="B185" t="s">
        <v>1508</v>
      </c>
      <c r="D185">
        <v>53</v>
      </c>
      <c r="E185" t="s">
        <v>1504</v>
      </c>
      <c r="F185" s="4">
        <v>41912</v>
      </c>
      <c r="G185" s="4" t="s">
        <v>192</v>
      </c>
      <c r="H185" s="4" t="s">
        <v>1525</v>
      </c>
      <c r="I185" s="4">
        <v>0</v>
      </c>
      <c r="J185" s="4"/>
      <c r="K185" s="4"/>
      <c r="L185" s="4"/>
      <c r="M185" s="4"/>
      <c r="N185" s="4"/>
      <c r="O185" s="4">
        <v>0</v>
      </c>
      <c r="P185" s="4">
        <v>41918.431886574072</v>
      </c>
      <c r="Q185" s="4"/>
      <c r="R185" s="4"/>
      <c r="S185" s="79">
        <f>DbLinkTable[[#This Row],[Credit]]+DbLinkTable[[#This Row],[Charge]]</f>
        <v>0</v>
      </c>
      <c r="T185" s="79">
        <f>IF(DbLinkTable[[#This Row],[Price/lb]]*DbLinkTable[[#This Row],[Weight]]&gt;0,DbLinkTable[[#This Row],[Price/lb]]*DbLinkTable[[#This Row],[Weight]],0)</f>
        <v>0</v>
      </c>
      <c r="U185" s="79">
        <f>IF(DbLinkTable[[#This Row],[Price/lb]]*DbLinkTable[[#This Row],[Weight]]&lt;0,DbLinkTable[[#This Row],[Price/lb]]*DbLinkTable[[#This Row],[Weight]],0)</f>
        <v>0</v>
      </c>
      <c r="V185" s="4" t="str">
        <f>IF(COUNTIF($W$2:W185,W185)=1,1,"")</f>
        <v/>
      </c>
      <c r="W185" s="4" t="str">
        <f>CONCATENATE(DbLinkTable[[#This Row],[Customer]],UPPER(DbLinkTable[[#This Row],[Trailer Number]]),DbLinkTable[[#This Row],[Day Received]])</f>
        <v>Company1414441912</v>
      </c>
      <c r="X185" s="4">
        <f>DATEVALUE(TEXT(DbLinkTable[[#This Row],[Date Received]],"MMMM YYYY"))</f>
        <v>41883</v>
      </c>
      <c r="Y185" s="4">
        <f>INT(DbLinkTable[[#This Row],[Date Received]])</f>
        <v>41912</v>
      </c>
    </row>
    <row r="186" spans="1:25">
      <c r="A186">
        <v>8282</v>
      </c>
      <c r="B186" t="s">
        <v>1508</v>
      </c>
      <c r="D186">
        <v>45</v>
      </c>
      <c r="E186" t="s">
        <v>1504</v>
      </c>
      <c r="F186" s="4">
        <v>41912</v>
      </c>
      <c r="G186" s="4" t="s">
        <v>192</v>
      </c>
      <c r="H186" s="4" t="s">
        <v>1525</v>
      </c>
      <c r="I186" s="4">
        <v>0</v>
      </c>
      <c r="J186" s="4"/>
      <c r="K186" s="4"/>
      <c r="L186" s="4"/>
      <c r="M186" s="4"/>
      <c r="N186" s="4"/>
      <c r="O186" s="4">
        <v>0</v>
      </c>
      <c r="P186" s="4">
        <v>41918.431921296295</v>
      </c>
      <c r="Q186" s="4"/>
      <c r="R186" s="4"/>
      <c r="S186" s="79">
        <f>DbLinkTable[[#This Row],[Credit]]+DbLinkTable[[#This Row],[Charge]]</f>
        <v>0</v>
      </c>
      <c r="T186" s="79">
        <f>IF(DbLinkTable[[#This Row],[Price/lb]]*DbLinkTable[[#This Row],[Weight]]&gt;0,DbLinkTable[[#This Row],[Price/lb]]*DbLinkTable[[#This Row],[Weight]],0)</f>
        <v>0</v>
      </c>
      <c r="U186" s="79">
        <f>IF(DbLinkTable[[#This Row],[Price/lb]]*DbLinkTable[[#This Row],[Weight]]&lt;0,DbLinkTable[[#This Row],[Price/lb]]*DbLinkTable[[#This Row],[Weight]],0)</f>
        <v>0</v>
      </c>
      <c r="V186" s="4" t="str">
        <f>IF(COUNTIF($W$2:W186,W186)=1,1,"")</f>
        <v/>
      </c>
      <c r="W186" s="4" t="str">
        <f>CONCATENATE(DbLinkTable[[#This Row],[Customer]],UPPER(DbLinkTable[[#This Row],[Trailer Number]]),DbLinkTable[[#This Row],[Day Received]])</f>
        <v>Company1414441912</v>
      </c>
      <c r="X186" s="4">
        <f>DATEVALUE(TEXT(DbLinkTable[[#This Row],[Date Received]],"MMMM YYYY"))</f>
        <v>41883</v>
      </c>
      <c r="Y186" s="4">
        <f>INT(DbLinkTable[[#This Row],[Date Received]])</f>
        <v>41912</v>
      </c>
    </row>
    <row r="187" spans="1:25">
      <c r="A187">
        <v>8283</v>
      </c>
      <c r="B187" t="s">
        <v>1508</v>
      </c>
      <c r="D187">
        <v>49</v>
      </c>
      <c r="E187" t="s">
        <v>1504</v>
      </c>
      <c r="F187" s="4">
        <v>41912</v>
      </c>
      <c r="G187" s="4" t="s">
        <v>192</v>
      </c>
      <c r="H187" s="4" t="s">
        <v>1525</v>
      </c>
      <c r="I187" s="4">
        <v>0</v>
      </c>
      <c r="J187" s="4"/>
      <c r="K187" s="4"/>
      <c r="L187" s="4"/>
      <c r="M187" s="4"/>
      <c r="N187" s="4"/>
      <c r="O187" s="4">
        <v>0</v>
      </c>
      <c r="P187" s="4">
        <v>41918.431944444441</v>
      </c>
      <c r="Q187" s="4"/>
      <c r="R187" s="4"/>
      <c r="S187" s="79">
        <f>DbLinkTable[[#This Row],[Credit]]+DbLinkTable[[#This Row],[Charge]]</f>
        <v>0</v>
      </c>
      <c r="T187" s="79">
        <f>IF(DbLinkTable[[#This Row],[Price/lb]]*DbLinkTable[[#This Row],[Weight]]&gt;0,DbLinkTable[[#This Row],[Price/lb]]*DbLinkTable[[#This Row],[Weight]],0)</f>
        <v>0</v>
      </c>
      <c r="U187" s="79">
        <f>IF(DbLinkTable[[#This Row],[Price/lb]]*DbLinkTable[[#This Row],[Weight]]&lt;0,DbLinkTable[[#This Row],[Price/lb]]*DbLinkTable[[#This Row],[Weight]],0)</f>
        <v>0</v>
      </c>
      <c r="V187" s="4" t="str">
        <f>IF(COUNTIF($W$2:W187,W187)=1,1,"")</f>
        <v/>
      </c>
      <c r="W187" s="4" t="str">
        <f>CONCATENATE(DbLinkTable[[#This Row],[Customer]],UPPER(DbLinkTable[[#This Row],[Trailer Number]]),DbLinkTable[[#This Row],[Day Received]])</f>
        <v>Company1414441912</v>
      </c>
      <c r="X187" s="4">
        <f>DATEVALUE(TEXT(DbLinkTable[[#This Row],[Date Received]],"MMMM YYYY"))</f>
        <v>41883</v>
      </c>
      <c r="Y187" s="4">
        <f>INT(DbLinkTable[[#This Row],[Date Received]])</f>
        <v>41912</v>
      </c>
    </row>
    <row r="188" spans="1:25">
      <c r="A188">
        <v>8284</v>
      </c>
      <c r="B188" t="s">
        <v>1508</v>
      </c>
      <c r="D188">
        <v>35</v>
      </c>
      <c r="E188" t="s">
        <v>1504</v>
      </c>
      <c r="F188" s="4">
        <v>41912</v>
      </c>
      <c r="G188" s="4" t="s">
        <v>192</v>
      </c>
      <c r="H188" s="4" t="s">
        <v>1525</v>
      </c>
      <c r="I188" s="4">
        <v>0</v>
      </c>
      <c r="J188" s="4"/>
      <c r="K188" s="4"/>
      <c r="L188" s="4"/>
      <c r="M188" s="4"/>
      <c r="N188" s="4"/>
      <c r="O188" s="4">
        <v>0</v>
      </c>
      <c r="P188" s="4">
        <v>41918.431990740741</v>
      </c>
      <c r="Q188" s="4"/>
      <c r="R188" s="4"/>
      <c r="S188" s="79">
        <f>DbLinkTable[[#This Row],[Credit]]+DbLinkTable[[#This Row],[Charge]]</f>
        <v>0</v>
      </c>
      <c r="T188" s="79">
        <f>IF(DbLinkTable[[#This Row],[Price/lb]]*DbLinkTable[[#This Row],[Weight]]&gt;0,DbLinkTable[[#This Row],[Price/lb]]*DbLinkTable[[#This Row],[Weight]],0)</f>
        <v>0</v>
      </c>
      <c r="U188" s="79">
        <f>IF(DbLinkTable[[#This Row],[Price/lb]]*DbLinkTable[[#This Row],[Weight]]&lt;0,DbLinkTable[[#This Row],[Price/lb]]*DbLinkTable[[#This Row],[Weight]],0)</f>
        <v>0</v>
      </c>
      <c r="V188" s="4" t="str">
        <f>IF(COUNTIF($W$2:W188,W188)=1,1,"")</f>
        <v/>
      </c>
      <c r="W188" s="4" t="str">
        <f>CONCATENATE(DbLinkTable[[#This Row],[Customer]],UPPER(DbLinkTable[[#This Row],[Trailer Number]]),DbLinkTable[[#This Row],[Day Received]])</f>
        <v>Company1414441912</v>
      </c>
      <c r="X188" s="4">
        <f>DATEVALUE(TEXT(DbLinkTable[[#This Row],[Date Received]],"MMMM YYYY"))</f>
        <v>41883</v>
      </c>
      <c r="Y188" s="4">
        <f>INT(DbLinkTable[[#This Row],[Date Received]])</f>
        <v>41912</v>
      </c>
    </row>
    <row r="189" spans="1:25">
      <c r="A189">
        <v>8285</v>
      </c>
      <c r="B189" t="s">
        <v>1508</v>
      </c>
      <c r="D189">
        <v>61</v>
      </c>
      <c r="E189" t="s">
        <v>1504</v>
      </c>
      <c r="F189" s="4">
        <v>41912</v>
      </c>
      <c r="G189" s="4" t="s">
        <v>192</v>
      </c>
      <c r="H189" s="4" t="s">
        <v>1525</v>
      </c>
      <c r="I189" s="4">
        <v>0</v>
      </c>
      <c r="J189" s="4"/>
      <c r="K189" s="4"/>
      <c r="L189" s="4"/>
      <c r="M189" s="4"/>
      <c r="N189" s="4"/>
      <c r="O189" s="4">
        <v>0</v>
      </c>
      <c r="P189" s="4">
        <v>41918.432013888887</v>
      </c>
      <c r="Q189" s="4"/>
      <c r="R189" s="4"/>
      <c r="S189" s="79">
        <f>DbLinkTable[[#This Row],[Credit]]+DbLinkTable[[#This Row],[Charge]]</f>
        <v>0</v>
      </c>
      <c r="T189" s="79">
        <f>IF(DbLinkTable[[#This Row],[Price/lb]]*DbLinkTable[[#This Row],[Weight]]&gt;0,DbLinkTable[[#This Row],[Price/lb]]*DbLinkTable[[#This Row],[Weight]],0)</f>
        <v>0</v>
      </c>
      <c r="U189" s="79">
        <f>IF(DbLinkTable[[#This Row],[Price/lb]]*DbLinkTable[[#This Row],[Weight]]&lt;0,DbLinkTable[[#This Row],[Price/lb]]*DbLinkTable[[#This Row],[Weight]],0)</f>
        <v>0</v>
      </c>
      <c r="V189" s="4" t="str">
        <f>IF(COUNTIF($W$2:W189,W189)=1,1,"")</f>
        <v/>
      </c>
      <c r="W189" s="4" t="str">
        <f>CONCATENATE(DbLinkTable[[#This Row],[Customer]],UPPER(DbLinkTable[[#This Row],[Trailer Number]]),DbLinkTable[[#This Row],[Day Received]])</f>
        <v>Company1414441912</v>
      </c>
      <c r="X189" s="4">
        <f>DATEVALUE(TEXT(DbLinkTable[[#This Row],[Date Received]],"MMMM YYYY"))</f>
        <v>41883</v>
      </c>
      <c r="Y189" s="4">
        <f>INT(DbLinkTable[[#This Row],[Date Received]])</f>
        <v>41912</v>
      </c>
    </row>
    <row r="190" spans="1:25">
      <c r="A190">
        <v>8286</v>
      </c>
      <c r="B190" t="s">
        <v>1508</v>
      </c>
      <c r="D190">
        <v>37</v>
      </c>
      <c r="E190" t="s">
        <v>1504</v>
      </c>
      <c r="F190" s="4">
        <v>41912</v>
      </c>
      <c r="G190" s="4" t="s">
        <v>192</v>
      </c>
      <c r="H190" s="4" t="s">
        <v>1525</v>
      </c>
      <c r="I190" s="4">
        <v>0</v>
      </c>
      <c r="J190" s="4"/>
      <c r="K190" s="4"/>
      <c r="L190" s="4"/>
      <c r="M190" s="4"/>
      <c r="N190" s="4"/>
      <c r="O190" s="4">
        <v>0</v>
      </c>
      <c r="P190" s="4">
        <v>41918.432083333333</v>
      </c>
      <c r="Q190" s="4"/>
      <c r="R190" s="4"/>
      <c r="S190" s="79">
        <f>DbLinkTable[[#This Row],[Credit]]+DbLinkTable[[#This Row],[Charge]]</f>
        <v>0</v>
      </c>
      <c r="T190" s="79">
        <f>IF(DbLinkTable[[#This Row],[Price/lb]]*DbLinkTable[[#This Row],[Weight]]&gt;0,DbLinkTable[[#This Row],[Price/lb]]*DbLinkTable[[#This Row],[Weight]],0)</f>
        <v>0</v>
      </c>
      <c r="U190" s="79">
        <f>IF(DbLinkTable[[#This Row],[Price/lb]]*DbLinkTable[[#This Row],[Weight]]&lt;0,DbLinkTable[[#This Row],[Price/lb]]*DbLinkTable[[#This Row],[Weight]],0)</f>
        <v>0</v>
      </c>
      <c r="V190" s="4" t="str">
        <f>IF(COUNTIF($W$2:W190,W190)=1,1,"")</f>
        <v/>
      </c>
      <c r="W190" s="4" t="str">
        <f>CONCATENATE(DbLinkTable[[#This Row],[Customer]],UPPER(DbLinkTable[[#This Row],[Trailer Number]]),DbLinkTable[[#This Row],[Day Received]])</f>
        <v>Company1414441912</v>
      </c>
      <c r="X190" s="4">
        <f>DATEVALUE(TEXT(DbLinkTable[[#This Row],[Date Received]],"MMMM YYYY"))</f>
        <v>41883</v>
      </c>
      <c r="Y190" s="4">
        <f>INT(DbLinkTable[[#This Row],[Date Received]])</f>
        <v>41912</v>
      </c>
    </row>
    <row r="191" spans="1:25">
      <c r="A191">
        <v>8287</v>
      </c>
      <c r="B191" t="s">
        <v>1508</v>
      </c>
      <c r="D191">
        <v>51</v>
      </c>
      <c r="E191" t="s">
        <v>1504</v>
      </c>
      <c r="F191" s="4">
        <v>41912</v>
      </c>
      <c r="G191" s="4" t="s">
        <v>192</v>
      </c>
      <c r="H191" s="4" t="s">
        <v>1525</v>
      </c>
      <c r="I191" s="4">
        <v>0</v>
      </c>
      <c r="J191" s="4"/>
      <c r="K191" s="4"/>
      <c r="L191" s="4"/>
      <c r="M191" s="4"/>
      <c r="N191" s="4"/>
      <c r="O191" s="4">
        <v>0</v>
      </c>
      <c r="P191" s="4">
        <v>41918.432118055556</v>
      </c>
      <c r="Q191" s="4"/>
      <c r="R191" s="4"/>
      <c r="S191" s="79">
        <f>DbLinkTable[[#This Row],[Credit]]+DbLinkTable[[#This Row],[Charge]]</f>
        <v>0</v>
      </c>
      <c r="T191" s="79">
        <f>IF(DbLinkTable[[#This Row],[Price/lb]]*DbLinkTable[[#This Row],[Weight]]&gt;0,DbLinkTable[[#This Row],[Price/lb]]*DbLinkTable[[#This Row],[Weight]],0)</f>
        <v>0</v>
      </c>
      <c r="U191" s="79">
        <f>IF(DbLinkTable[[#This Row],[Price/lb]]*DbLinkTable[[#This Row],[Weight]]&lt;0,DbLinkTable[[#This Row],[Price/lb]]*DbLinkTable[[#This Row],[Weight]],0)</f>
        <v>0</v>
      </c>
      <c r="V191" s="4" t="str">
        <f>IF(COUNTIF($W$2:W191,W191)=1,1,"")</f>
        <v/>
      </c>
      <c r="W191" s="4" t="str">
        <f>CONCATENATE(DbLinkTable[[#This Row],[Customer]],UPPER(DbLinkTable[[#This Row],[Trailer Number]]),DbLinkTable[[#This Row],[Day Received]])</f>
        <v>Company1414441912</v>
      </c>
      <c r="X191" s="4">
        <f>DATEVALUE(TEXT(DbLinkTable[[#This Row],[Date Received]],"MMMM YYYY"))</f>
        <v>41883</v>
      </c>
      <c r="Y191" s="4">
        <f>INT(DbLinkTable[[#This Row],[Date Received]])</f>
        <v>41912</v>
      </c>
    </row>
    <row r="192" spans="1:25">
      <c r="A192">
        <v>8288</v>
      </c>
      <c r="B192" t="s">
        <v>1508</v>
      </c>
      <c r="D192">
        <v>66</v>
      </c>
      <c r="E192" t="s">
        <v>1504</v>
      </c>
      <c r="F192" s="4">
        <v>41912</v>
      </c>
      <c r="G192" s="4" t="s">
        <v>192</v>
      </c>
      <c r="H192" s="4" t="s">
        <v>1525</v>
      </c>
      <c r="I192" s="4">
        <v>0</v>
      </c>
      <c r="J192" s="4"/>
      <c r="K192" s="4"/>
      <c r="L192" s="4"/>
      <c r="M192" s="4"/>
      <c r="N192" s="4"/>
      <c r="O192" s="4">
        <v>0</v>
      </c>
      <c r="P192" s="4">
        <v>41918.432152777779</v>
      </c>
      <c r="Q192" s="4"/>
      <c r="R192" s="4"/>
      <c r="S192" s="79">
        <f>DbLinkTable[[#This Row],[Credit]]+DbLinkTable[[#This Row],[Charge]]</f>
        <v>0</v>
      </c>
      <c r="T192" s="79">
        <f>IF(DbLinkTable[[#This Row],[Price/lb]]*DbLinkTable[[#This Row],[Weight]]&gt;0,DbLinkTable[[#This Row],[Price/lb]]*DbLinkTable[[#This Row],[Weight]],0)</f>
        <v>0</v>
      </c>
      <c r="U192" s="79">
        <f>IF(DbLinkTable[[#This Row],[Price/lb]]*DbLinkTable[[#This Row],[Weight]]&lt;0,DbLinkTable[[#This Row],[Price/lb]]*DbLinkTable[[#This Row],[Weight]],0)</f>
        <v>0</v>
      </c>
      <c r="V192" s="4" t="str">
        <f>IF(COUNTIF($W$2:W192,W192)=1,1,"")</f>
        <v/>
      </c>
      <c r="W192" s="4" t="str">
        <f>CONCATENATE(DbLinkTable[[#This Row],[Customer]],UPPER(DbLinkTable[[#This Row],[Trailer Number]]),DbLinkTable[[#This Row],[Day Received]])</f>
        <v>Company1414441912</v>
      </c>
      <c r="X192" s="4">
        <f>DATEVALUE(TEXT(DbLinkTable[[#This Row],[Date Received]],"MMMM YYYY"))</f>
        <v>41883</v>
      </c>
      <c r="Y192" s="4">
        <f>INT(DbLinkTable[[#This Row],[Date Received]])</f>
        <v>41912</v>
      </c>
    </row>
    <row r="193" spans="1:25">
      <c r="A193">
        <v>8289</v>
      </c>
      <c r="B193" t="s">
        <v>1508</v>
      </c>
      <c r="D193">
        <v>49</v>
      </c>
      <c r="E193" t="s">
        <v>1504</v>
      </c>
      <c r="F193" s="4">
        <v>41912</v>
      </c>
      <c r="G193" s="4" t="s">
        <v>192</v>
      </c>
      <c r="H193" s="4" t="s">
        <v>1525</v>
      </c>
      <c r="I193" s="4">
        <v>0</v>
      </c>
      <c r="J193" s="4"/>
      <c r="K193" s="4"/>
      <c r="L193" s="4"/>
      <c r="M193" s="4"/>
      <c r="N193" s="4"/>
      <c r="O193" s="4">
        <v>0</v>
      </c>
      <c r="P193" s="4">
        <v>41918.432175925926</v>
      </c>
      <c r="Q193" s="4"/>
      <c r="R193" s="4"/>
      <c r="S193" s="79">
        <f>DbLinkTable[[#This Row],[Credit]]+DbLinkTable[[#This Row],[Charge]]</f>
        <v>0</v>
      </c>
      <c r="T193" s="79">
        <f>IF(DbLinkTable[[#This Row],[Price/lb]]*DbLinkTable[[#This Row],[Weight]]&gt;0,DbLinkTable[[#This Row],[Price/lb]]*DbLinkTable[[#This Row],[Weight]],0)</f>
        <v>0</v>
      </c>
      <c r="U193" s="79">
        <f>IF(DbLinkTable[[#This Row],[Price/lb]]*DbLinkTable[[#This Row],[Weight]]&lt;0,DbLinkTable[[#This Row],[Price/lb]]*DbLinkTable[[#This Row],[Weight]],0)</f>
        <v>0</v>
      </c>
      <c r="V193" s="4" t="str">
        <f>IF(COUNTIF($W$2:W193,W193)=1,1,"")</f>
        <v/>
      </c>
      <c r="W193" s="4" t="str">
        <f>CONCATENATE(DbLinkTable[[#This Row],[Customer]],UPPER(DbLinkTable[[#This Row],[Trailer Number]]),DbLinkTable[[#This Row],[Day Received]])</f>
        <v>Company1414441912</v>
      </c>
      <c r="X193" s="4">
        <f>DATEVALUE(TEXT(DbLinkTable[[#This Row],[Date Received]],"MMMM YYYY"))</f>
        <v>41883</v>
      </c>
      <c r="Y193" s="4">
        <f>INT(DbLinkTable[[#This Row],[Date Received]])</f>
        <v>41912</v>
      </c>
    </row>
    <row r="194" spans="1:25">
      <c r="A194">
        <v>8290</v>
      </c>
      <c r="B194" t="s">
        <v>1508</v>
      </c>
      <c r="D194">
        <v>63</v>
      </c>
      <c r="E194" t="s">
        <v>1504</v>
      </c>
      <c r="F194" s="4">
        <v>41912</v>
      </c>
      <c r="G194" s="4" t="s">
        <v>192</v>
      </c>
      <c r="H194" s="4" t="s">
        <v>1525</v>
      </c>
      <c r="I194" s="4">
        <v>0</v>
      </c>
      <c r="J194" s="4"/>
      <c r="K194" s="4"/>
      <c r="L194" s="4"/>
      <c r="M194" s="4"/>
      <c r="N194" s="4"/>
      <c r="O194" s="4">
        <v>0</v>
      </c>
      <c r="P194" s="4">
        <v>41918.432222222225</v>
      </c>
      <c r="Q194" s="4"/>
      <c r="R194" s="4"/>
      <c r="S194" s="79">
        <f>DbLinkTable[[#This Row],[Credit]]+DbLinkTable[[#This Row],[Charge]]</f>
        <v>0</v>
      </c>
      <c r="T194" s="79">
        <f>IF(DbLinkTable[[#This Row],[Price/lb]]*DbLinkTable[[#This Row],[Weight]]&gt;0,DbLinkTable[[#This Row],[Price/lb]]*DbLinkTable[[#This Row],[Weight]],0)</f>
        <v>0</v>
      </c>
      <c r="U194" s="79">
        <f>IF(DbLinkTable[[#This Row],[Price/lb]]*DbLinkTable[[#This Row],[Weight]]&lt;0,DbLinkTable[[#This Row],[Price/lb]]*DbLinkTable[[#This Row],[Weight]],0)</f>
        <v>0</v>
      </c>
      <c r="V194" s="4" t="str">
        <f>IF(COUNTIF($W$2:W194,W194)=1,1,"")</f>
        <v/>
      </c>
      <c r="W194" s="4" t="str">
        <f>CONCATENATE(DbLinkTable[[#This Row],[Customer]],UPPER(DbLinkTable[[#This Row],[Trailer Number]]),DbLinkTable[[#This Row],[Day Received]])</f>
        <v>Company1414441912</v>
      </c>
      <c r="X194" s="4">
        <f>DATEVALUE(TEXT(DbLinkTable[[#This Row],[Date Received]],"MMMM YYYY"))</f>
        <v>41883</v>
      </c>
      <c r="Y194" s="4">
        <f>INT(DbLinkTable[[#This Row],[Date Received]])</f>
        <v>41912</v>
      </c>
    </row>
    <row r="195" spans="1:25">
      <c r="A195">
        <v>8291</v>
      </c>
      <c r="B195" t="s">
        <v>1508</v>
      </c>
      <c r="D195">
        <v>65</v>
      </c>
      <c r="E195" t="s">
        <v>1504</v>
      </c>
      <c r="F195" s="4">
        <v>41912</v>
      </c>
      <c r="G195" s="4" t="s">
        <v>192</v>
      </c>
      <c r="H195" s="4" t="s">
        <v>1525</v>
      </c>
      <c r="I195" s="4">
        <v>0</v>
      </c>
      <c r="J195" s="4"/>
      <c r="K195" s="4"/>
      <c r="L195" s="4"/>
      <c r="M195" s="4"/>
      <c r="N195" s="4"/>
      <c r="O195" s="4">
        <v>0</v>
      </c>
      <c r="P195" s="4">
        <v>41918.432256944441</v>
      </c>
      <c r="Q195" s="4"/>
      <c r="R195" s="4"/>
      <c r="S195" s="79">
        <f>DbLinkTable[[#This Row],[Credit]]+DbLinkTable[[#This Row],[Charge]]</f>
        <v>0</v>
      </c>
      <c r="T195" s="79">
        <f>IF(DbLinkTable[[#This Row],[Price/lb]]*DbLinkTable[[#This Row],[Weight]]&gt;0,DbLinkTable[[#This Row],[Price/lb]]*DbLinkTable[[#This Row],[Weight]],0)</f>
        <v>0</v>
      </c>
      <c r="U195" s="79">
        <f>IF(DbLinkTable[[#This Row],[Price/lb]]*DbLinkTable[[#This Row],[Weight]]&lt;0,DbLinkTable[[#This Row],[Price/lb]]*DbLinkTable[[#This Row],[Weight]],0)</f>
        <v>0</v>
      </c>
      <c r="V195" s="4" t="str">
        <f>IF(COUNTIF($W$2:W195,W195)=1,1,"")</f>
        <v/>
      </c>
      <c r="W195" s="4" t="str">
        <f>CONCATENATE(DbLinkTable[[#This Row],[Customer]],UPPER(DbLinkTable[[#This Row],[Trailer Number]]),DbLinkTable[[#This Row],[Day Received]])</f>
        <v>Company1414441912</v>
      </c>
      <c r="X195" s="4">
        <f>DATEVALUE(TEXT(DbLinkTable[[#This Row],[Date Received]],"MMMM YYYY"))</f>
        <v>41883</v>
      </c>
      <c r="Y195" s="4">
        <f>INT(DbLinkTable[[#This Row],[Date Received]])</f>
        <v>41912</v>
      </c>
    </row>
    <row r="196" spans="1:25">
      <c r="A196">
        <v>8292</v>
      </c>
      <c r="B196" t="s">
        <v>1508</v>
      </c>
      <c r="D196">
        <v>51</v>
      </c>
      <c r="E196" t="s">
        <v>1504</v>
      </c>
      <c r="F196" s="4">
        <v>41912</v>
      </c>
      <c r="G196" s="4" t="s">
        <v>192</v>
      </c>
      <c r="H196" s="4" t="s">
        <v>1525</v>
      </c>
      <c r="I196" s="4">
        <v>0</v>
      </c>
      <c r="J196" s="4"/>
      <c r="K196" s="4"/>
      <c r="L196" s="4"/>
      <c r="M196" s="4"/>
      <c r="N196" s="4"/>
      <c r="O196" s="4">
        <v>0</v>
      </c>
      <c r="P196" s="4">
        <v>41918.432291666664</v>
      </c>
      <c r="Q196" s="4"/>
      <c r="R196" s="4"/>
      <c r="S196" s="79">
        <f>DbLinkTable[[#This Row],[Credit]]+DbLinkTable[[#This Row],[Charge]]</f>
        <v>0</v>
      </c>
      <c r="T196" s="79">
        <f>IF(DbLinkTable[[#This Row],[Price/lb]]*DbLinkTable[[#This Row],[Weight]]&gt;0,DbLinkTable[[#This Row],[Price/lb]]*DbLinkTable[[#This Row],[Weight]],0)</f>
        <v>0</v>
      </c>
      <c r="U196" s="79">
        <f>IF(DbLinkTable[[#This Row],[Price/lb]]*DbLinkTable[[#This Row],[Weight]]&lt;0,DbLinkTable[[#This Row],[Price/lb]]*DbLinkTable[[#This Row],[Weight]],0)</f>
        <v>0</v>
      </c>
      <c r="V196" s="4" t="str">
        <f>IF(COUNTIF($W$2:W196,W196)=1,1,"")</f>
        <v/>
      </c>
      <c r="W196" s="4" t="str">
        <f>CONCATENATE(DbLinkTable[[#This Row],[Customer]],UPPER(DbLinkTable[[#This Row],[Trailer Number]]),DbLinkTable[[#This Row],[Day Received]])</f>
        <v>Company1414441912</v>
      </c>
      <c r="X196" s="4">
        <f>DATEVALUE(TEXT(DbLinkTable[[#This Row],[Date Received]],"MMMM YYYY"))</f>
        <v>41883</v>
      </c>
      <c r="Y196" s="4">
        <f>INT(DbLinkTable[[#This Row],[Date Received]])</f>
        <v>41912</v>
      </c>
    </row>
    <row r="197" spans="1:25">
      <c r="A197">
        <v>8293</v>
      </c>
      <c r="B197" t="s">
        <v>1508</v>
      </c>
      <c r="D197">
        <v>45</v>
      </c>
      <c r="E197" t="s">
        <v>1504</v>
      </c>
      <c r="F197" s="4">
        <v>41912</v>
      </c>
      <c r="G197" s="4" t="s">
        <v>192</v>
      </c>
      <c r="H197" s="4" t="s">
        <v>1525</v>
      </c>
      <c r="I197" s="4">
        <v>0</v>
      </c>
      <c r="J197" s="4"/>
      <c r="K197" s="4"/>
      <c r="L197" s="4"/>
      <c r="M197" s="4"/>
      <c r="N197" s="4"/>
      <c r="O197" s="4">
        <v>0</v>
      </c>
      <c r="P197" s="4">
        <v>41918.432314814818</v>
      </c>
      <c r="Q197" s="4"/>
      <c r="R197" s="4"/>
      <c r="S197" s="79">
        <f>DbLinkTable[[#This Row],[Credit]]+DbLinkTable[[#This Row],[Charge]]</f>
        <v>0</v>
      </c>
      <c r="T197" s="79">
        <f>IF(DbLinkTable[[#This Row],[Price/lb]]*DbLinkTable[[#This Row],[Weight]]&gt;0,DbLinkTable[[#This Row],[Price/lb]]*DbLinkTable[[#This Row],[Weight]],0)</f>
        <v>0</v>
      </c>
      <c r="U197" s="79">
        <f>IF(DbLinkTable[[#This Row],[Price/lb]]*DbLinkTable[[#This Row],[Weight]]&lt;0,DbLinkTable[[#This Row],[Price/lb]]*DbLinkTable[[#This Row],[Weight]],0)</f>
        <v>0</v>
      </c>
      <c r="V197" s="4" t="str">
        <f>IF(COUNTIF($W$2:W197,W197)=1,1,"")</f>
        <v/>
      </c>
      <c r="W197" s="4" t="str">
        <f>CONCATENATE(DbLinkTable[[#This Row],[Customer]],UPPER(DbLinkTable[[#This Row],[Trailer Number]]),DbLinkTable[[#This Row],[Day Received]])</f>
        <v>Company1414441912</v>
      </c>
      <c r="X197" s="4">
        <f>DATEVALUE(TEXT(DbLinkTable[[#This Row],[Date Received]],"MMMM YYYY"))</f>
        <v>41883</v>
      </c>
      <c r="Y197" s="4">
        <f>INT(DbLinkTable[[#This Row],[Date Received]])</f>
        <v>41912</v>
      </c>
    </row>
    <row r="198" spans="1:25">
      <c r="A198">
        <v>8294</v>
      </c>
      <c r="B198" t="s">
        <v>1508</v>
      </c>
      <c r="D198">
        <v>43</v>
      </c>
      <c r="E198" t="s">
        <v>1504</v>
      </c>
      <c r="F198" s="4">
        <v>41912</v>
      </c>
      <c r="G198" s="4" t="s">
        <v>192</v>
      </c>
      <c r="H198" s="4" t="s">
        <v>1525</v>
      </c>
      <c r="I198" s="4">
        <v>0</v>
      </c>
      <c r="J198" s="4"/>
      <c r="K198" s="4"/>
      <c r="L198" s="4"/>
      <c r="M198" s="4"/>
      <c r="N198" s="4"/>
      <c r="O198" s="4">
        <v>0</v>
      </c>
      <c r="P198" s="4">
        <v>41918.432349537034</v>
      </c>
      <c r="Q198" s="4"/>
      <c r="R198" s="4"/>
      <c r="S198" s="79">
        <f>DbLinkTable[[#This Row],[Credit]]+DbLinkTable[[#This Row],[Charge]]</f>
        <v>0</v>
      </c>
      <c r="T198" s="79">
        <f>IF(DbLinkTable[[#This Row],[Price/lb]]*DbLinkTable[[#This Row],[Weight]]&gt;0,DbLinkTable[[#This Row],[Price/lb]]*DbLinkTable[[#This Row],[Weight]],0)</f>
        <v>0</v>
      </c>
      <c r="U198" s="79">
        <f>IF(DbLinkTable[[#This Row],[Price/lb]]*DbLinkTable[[#This Row],[Weight]]&lt;0,DbLinkTable[[#This Row],[Price/lb]]*DbLinkTable[[#This Row],[Weight]],0)</f>
        <v>0</v>
      </c>
      <c r="V198" s="4" t="str">
        <f>IF(COUNTIF($W$2:W198,W198)=1,1,"")</f>
        <v/>
      </c>
      <c r="W198" s="4" t="str">
        <f>CONCATENATE(DbLinkTable[[#This Row],[Customer]],UPPER(DbLinkTable[[#This Row],[Trailer Number]]),DbLinkTable[[#This Row],[Day Received]])</f>
        <v>Company1414441912</v>
      </c>
      <c r="X198" s="4">
        <f>DATEVALUE(TEXT(DbLinkTable[[#This Row],[Date Received]],"MMMM YYYY"))</f>
        <v>41883</v>
      </c>
      <c r="Y198" s="4">
        <f>INT(DbLinkTable[[#This Row],[Date Received]])</f>
        <v>41912</v>
      </c>
    </row>
    <row r="199" spans="1:25">
      <c r="A199">
        <v>8295</v>
      </c>
      <c r="B199" t="s">
        <v>1508</v>
      </c>
      <c r="D199">
        <v>39</v>
      </c>
      <c r="E199" t="s">
        <v>1504</v>
      </c>
      <c r="F199" s="4">
        <v>41912</v>
      </c>
      <c r="G199" s="4" t="s">
        <v>192</v>
      </c>
      <c r="H199" s="4" t="s">
        <v>1525</v>
      </c>
      <c r="I199" s="4">
        <v>0</v>
      </c>
      <c r="J199" s="4"/>
      <c r="K199" s="4"/>
      <c r="L199" s="4"/>
      <c r="M199" s="4"/>
      <c r="N199" s="4"/>
      <c r="O199" s="4">
        <v>0</v>
      </c>
      <c r="P199" s="4">
        <v>41918.432384259257</v>
      </c>
      <c r="Q199" s="4"/>
      <c r="R199" s="4"/>
      <c r="S199" s="79">
        <f>DbLinkTable[[#This Row],[Credit]]+DbLinkTable[[#This Row],[Charge]]</f>
        <v>0</v>
      </c>
      <c r="T199" s="79">
        <f>IF(DbLinkTable[[#This Row],[Price/lb]]*DbLinkTable[[#This Row],[Weight]]&gt;0,DbLinkTable[[#This Row],[Price/lb]]*DbLinkTable[[#This Row],[Weight]],0)</f>
        <v>0</v>
      </c>
      <c r="U199" s="79">
        <f>IF(DbLinkTable[[#This Row],[Price/lb]]*DbLinkTable[[#This Row],[Weight]]&lt;0,DbLinkTable[[#This Row],[Price/lb]]*DbLinkTable[[#This Row],[Weight]],0)</f>
        <v>0</v>
      </c>
      <c r="V199" s="4" t="str">
        <f>IF(COUNTIF($W$2:W199,W199)=1,1,"")</f>
        <v/>
      </c>
      <c r="W199" s="4" t="str">
        <f>CONCATENATE(DbLinkTable[[#This Row],[Customer]],UPPER(DbLinkTable[[#This Row],[Trailer Number]]),DbLinkTable[[#This Row],[Day Received]])</f>
        <v>Company1414441912</v>
      </c>
      <c r="X199" s="4">
        <f>DATEVALUE(TEXT(DbLinkTable[[#This Row],[Date Received]],"MMMM YYYY"))</f>
        <v>41883</v>
      </c>
      <c r="Y199" s="4">
        <f>INT(DbLinkTable[[#This Row],[Date Received]])</f>
        <v>41912</v>
      </c>
    </row>
    <row r="200" spans="1:25">
      <c r="A200">
        <v>8296</v>
      </c>
      <c r="B200" t="s">
        <v>1508</v>
      </c>
      <c r="D200">
        <v>51</v>
      </c>
      <c r="E200" t="s">
        <v>1504</v>
      </c>
      <c r="F200" s="4">
        <v>41912</v>
      </c>
      <c r="G200" s="4" t="s">
        <v>192</v>
      </c>
      <c r="H200" s="4" t="s">
        <v>1525</v>
      </c>
      <c r="I200" s="4">
        <v>0</v>
      </c>
      <c r="J200" s="4"/>
      <c r="K200" s="4"/>
      <c r="L200" s="4"/>
      <c r="M200" s="4"/>
      <c r="N200" s="4"/>
      <c r="O200" s="4">
        <v>0</v>
      </c>
      <c r="P200" s="4">
        <v>41918.43240740741</v>
      </c>
      <c r="Q200" s="4"/>
      <c r="R200" s="4"/>
      <c r="S200" s="79">
        <f>DbLinkTable[[#This Row],[Credit]]+DbLinkTable[[#This Row],[Charge]]</f>
        <v>0</v>
      </c>
      <c r="T200" s="79">
        <f>IF(DbLinkTable[[#This Row],[Price/lb]]*DbLinkTable[[#This Row],[Weight]]&gt;0,DbLinkTable[[#This Row],[Price/lb]]*DbLinkTable[[#This Row],[Weight]],0)</f>
        <v>0</v>
      </c>
      <c r="U200" s="79">
        <f>IF(DbLinkTable[[#This Row],[Price/lb]]*DbLinkTable[[#This Row],[Weight]]&lt;0,DbLinkTable[[#This Row],[Price/lb]]*DbLinkTable[[#This Row],[Weight]],0)</f>
        <v>0</v>
      </c>
      <c r="V200" s="4" t="str">
        <f>IF(COUNTIF($W$2:W200,W200)=1,1,"")</f>
        <v/>
      </c>
      <c r="W200" s="4" t="str">
        <f>CONCATENATE(DbLinkTable[[#This Row],[Customer]],UPPER(DbLinkTable[[#This Row],[Trailer Number]]),DbLinkTable[[#This Row],[Day Received]])</f>
        <v>Company1414441912</v>
      </c>
      <c r="X200" s="4">
        <f>DATEVALUE(TEXT(DbLinkTable[[#This Row],[Date Received]],"MMMM YYYY"))</f>
        <v>41883</v>
      </c>
      <c r="Y200" s="4">
        <f>INT(DbLinkTable[[#This Row],[Date Received]])</f>
        <v>41912</v>
      </c>
    </row>
    <row r="201" spans="1:25">
      <c r="A201">
        <v>8297</v>
      </c>
      <c r="B201" t="s">
        <v>1508</v>
      </c>
      <c r="D201">
        <v>59</v>
      </c>
      <c r="E201" t="s">
        <v>1504</v>
      </c>
      <c r="F201" s="4">
        <v>41912</v>
      </c>
      <c r="G201" s="4" t="s">
        <v>192</v>
      </c>
      <c r="H201" s="4" t="s">
        <v>1525</v>
      </c>
      <c r="I201" s="4">
        <v>0</v>
      </c>
      <c r="J201" s="4"/>
      <c r="K201" s="4"/>
      <c r="L201" s="4"/>
      <c r="M201" s="4"/>
      <c r="N201" s="4"/>
      <c r="O201" s="4">
        <v>0</v>
      </c>
      <c r="P201" s="4">
        <v>41918.432430555556</v>
      </c>
      <c r="Q201" s="4"/>
      <c r="R201" s="4"/>
      <c r="S201" s="79">
        <f>DbLinkTable[[#This Row],[Credit]]+DbLinkTable[[#This Row],[Charge]]</f>
        <v>0</v>
      </c>
      <c r="T201" s="79">
        <f>IF(DbLinkTable[[#This Row],[Price/lb]]*DbLinkTable[[#This Row],[Weight]]&gt;0,DbLinkTable[[#This Row],[Price/lb]]*DbLinkTable[[#This Row],[Weight]],0)</f>
        <v>0</v>
      </c>
      <c r="U201" s="79">
        <f>IF(DbLinkTable[[#This Row],[Price/lb]]*DbLinkTable[[#This Row],[Weight]]&lt;0,DbLinkTable[[#This Row],[Price/lb]]*DbLinkTable[[#This Row],[Weight]],0)</f>
        <v>0</v>
      </c>
      <c r="V201" s="4" t="str">
        <f>IF(COUNTIF($W$2:W201,W201)=1,1,"")</f>
        <v/>
      </c>
      <c r="W201" s="4" t="str">
        <f>CONCATENATE(DbLinkTable[[#This Row],[Customer]],UPPER(DbLinkTable[[#This Row],[Trailer Number]]),DbLinkTable[[#This Row],[Day Received]])</f>
        <v>Company1414441912</v>
      </c>
      <c r="X201" s="4">
        <f>DATEVALUE(TEXT(DbLinkTable[[#This Row],[Date Received]],"MMMM YYYY"))</f>
        <v>41883</v>
      </c>
      <c r="Y201" s="4">
        <f>INT(DbLinkTable[[#This Row],[Date Received]])</f>
        <v>41912</v>
      </c>
    </row>
    <row r="202" spans="1:25">
      <c r="A202">
        <v>8298</v>
      </c>
      <c r="B202" t="s">
        <v>1508</v>
      </c>
      <c r="D202">
        <v>49</v>
      </c>
      <c r="E202" t="s">
        <v>1504</v>
      </c>
      <c r="F202" s="4">
        <v>41912</v>
      </c>
      <c r="G202" s="4" t="s">
        <v>192</v>
      </c>
      <c r="H202" s="4" t="s">
        <v>1525</v>
      </c>
      <c r="I202" s="4">
        <v>0</v>
      </c>
      <c r="J202" s="4"/>
      <c r="K202" s="4"/>
      <c r="L202" s="4"/>
      <c r="M202" s="4"/>
      <c r="N202" s="4"/>
      <c r="O202" s="4">
        <v>0</v>
      </c>
      <c r="P202" s="4">
        <v>41918.432453703703</v>
      </c>
      <c r="Q202" s="4"/>
      <c r="R202" s="4"/>
      <c r="S202" s="79">
        <f>DbLinkTable[[#This Row],[Credit]]+DbLinkTable[[#This Row],[Charge]]</f>
        <v>0</v>
      </c>
      <c r="T202" s="79">
        <f>IF(DbLinkTable[[#This Row],[Price/lb]]*DbLinkTable[[#This Row],[Weight]]&gt;0,DbLinkTable[[#This Row],[Price/lb]]*DbLinkTable[[#This Row],[Weight]],0)</f>
        <v>0</v>
      </c>
      <c r="U202" s="79">
        <f>IF(DbLinkTable[[#This Row],[Price/lb]]*DbLinkTable[[#This Row],[Weight]]&lt;0,DbLinkTable[[#This Row],[Price/lb]]*DbLinkTable[[#This Row],[Weight]],0)</f>
        <v>0</v>
      </c>
      <c r="V202" s="4" t="str">
        <f>IF(COUNTIF($W$2:W202,W202)=1,1,"")</f>
        <v/>
      </c>
      <c r="W202" s="4" t="str">
        <f>CONCATENATE(DbLinkTable[[#This Row],[Customer]],UPPER(DbLinkTable[[#This Row],[Trailer Number]]),DbLinkTable[[#This Row],[Day Received]])</f>
        <v>Company1414441912</v>
      </c>
      <c r="X202" s="4">
        <f>DATEVALUE(TEXT(DbLinkTable[[#This Row],[Date Received]],"MMMM YYYY"))</f>
        <v>41883</v>
      </c>
      <c r="Y202" s="4">
        <f>INT(DbLinkTable[[#This Row],[Date Received]])</f>
        <v>41912</v>
      </c>
    </row>
    <row r="203" spans="1:25">
      <c r="A203">
        <v>8299</v>
      </c>
      <c r="B203" t="s">
        <v>1508</v>
      </c>
      <c r="D203">
        <v>55</v>
      </c>
      <c r="E203" t="s">
        <v>1504</v>
      </c>
      <c r="F203" s="4">
        <v>41912</v>
      </c>
      <c r="G203" s="4" t="s">
        <v>192</v>
      </c>
      <c r="H203" s="4" t="s">
        <v>1525</v>
      </c>
      <c r="I203" s="4">
        <v>0</v>
      </c>
      <c r="J203" s="4"/>
      <c r="K203" s="4"/>
      <c r="L203" s="4"/>
      <c r="M203" s="4"/>
      <c r="N203" s="4"/>
      <c r="O203" s="4">
        <v>0</v>
      </c>
      <c r="P203" s="4">
        <v>41918.432488425926</v>
      </c>
      <c r="Q203" s="4"/>
      <c r="R203" s="4"/>
      <c r="S203" s="79">
        <f>DbLinkTable[[#This Row],[Credit]]+DbLinkTable[[#This Row],[Charge]]</f>
        <v>0</v>
      </c>
      <c r="T203" s="79">
        <f>IF(DbLinkTable[[#This Row],[Price/lb]]*DbLinkTable[[#This Row],[Weight]]&gt;0,DbLinkTable[[#This Row],[Price/lb]]*DbLinkTable[[#This Row],[Weight]],0)</f>
        <v>0</v>
      </c>
      <c r="U203" s="79">
        <f>IF(DbLinkTable[[#This Row],[Price/lb]]*DbLinkTable[[#This Row],[Weight]]&lt;0,DbLinkTable[[#This Row],[Price/lb]]*DbLinkTable[[#This Row],[Weight]],0)</f>
        <v>0</v>
      </c>
      <c r="V203" s="4" t="str">
        <f>IF(COUNTIF($W$2:W203,W203)=1,1,"")</f>
        <v/>
      </c>
      <c r="W203" s="4" t="str">
        <f>CONCATENATE(DbLinkTable[[#This Row],[Customer]],UPPER(DbLinkTable[[#This Row],[Trailer Number]]),DbLinkTable[[#This Row],[Day Received]])</f>
        <v>Company1414441912</v>
      </c>
      <c r="X203" s="4">
        <f>DATEVALUE(TEXT(DbLinkTable[[#This Row],[Date Received]],"MMMM YYYY"))</f>
        <v>41883</v>
      </c>
      <c r="Y203" s="4">
        <f>INT(DbLinkTable[[#This Row],[Date Received]])</f>
        <v>41912</v>
      </c>
    </row>
    <row r="204" spans="1:25">
      <c r="A204">
        <v>8300</v>
      </c>
      <c r="B204" t="s">
        <v>1508</v>
      </c>
      <c r="D204">
        <v>51</v>
      </c>
      <c r="E204" t="s">
        <v>1504</v>
      </c>
      <c r="F204" s="4">
        <v>41912</v>
      </c>
      <c r="G204" s="4" t="s">
        <v>192</v>
      </c>
      <c r="H204" s="4" t="s">
        <v>1525</v>
      </c>
      <c r="I204" s="4">
        <v>0</v>
      </c>
      <c r="J204" s="4"/>
      <c r="K204" s="4"/>
      <c r="L204" s="4"/>
      <c r="M204" s="4"/>
      <c r="N204" s="4"/>
      <c r="O204" s="4">
        <v>0</v>
      </c>
      <c r="P204" s="4">
        <v>41918.432523148149</v>
      </c>
      <c r="Q204" s="4"/>
      <c r="R204" s="4"/>
      <c r="S204" s="79">
        <f>DbLinkTable[[#This Row],[Credit]]+DbLinkTable[[#This Row],[Charge]]</f>
        <v>0</v>
      </c>
      <c r="T204" s="79">
        <f>IF(DbLinkTable[[#This Row],[Price/lb]]*DbLinkTable[[#This Row],[Weight]]&gt;0,DbLinkTable[[#This Row],[Price/lb]]*DbLinkTable[[#This Row],[Weight]],0)</f>
        <v>0</v>
      </c>
      <c r="U204" s="79">
        <f>IF(DbLinkTable[[#This Row],[Price/lb]]*DbLinkTable[[#This Row],[Weight]]&lt;0,DbLinkTable[[#This Row],[Price/lb]]*DbLinkTable[[#This Row],[Weight]],0)</f>
        <v>0</v>
      </c>
      <c r="V204" s="4" t="str">
        <f>IF(COUNTIF($W$2:W204,W204)=1,1,"")</f>
        <v/>
      </c>
      <c r="W204" s="4" t="str">
        <f>CONCATENATE(DbLinkTable[[#This Row],[Customer]],UPPER(DbLinkTable[[#This Row],[Trailer Number]]),DbLinkTable[[#This Row],[Day Received]])</f>
        <v>Company1414441912</v>
      </c>
      <c r="X204" s="4">
        <f>DATEVALUE(TEXT(DbLinkTable[[#This Row],[Date Received]],"MMMM YYYY"))</f>
        <v>41883</v>
      </c>
      <c r="Y204" s="4">
        <f>INT(DbLinkTable[[#This Row],[Date Received]])</f>
        <v>41912</v>
      </c>
    </row>
    <row r="205" spans="1:25">
      <c r="A205">
        <v>8301</v>
      </c>
      <c r="B205" t="s">
        <v>1508</v>
      </c>
      <c r="D205">
        <v>98</v>
      </c>
      <c r="E205" t="s">
        <v>1504</v>
      </c>
      <c r="F205" s="4">
        <v>41912</v>
      </c>
      <c r="G205" s="4" t="s">
        <v>192</v>
      </c>
      <c r="H205" s="4" t="s">
        <v>1525</v>
      </c>
      <c r="I205" s="4">
        <v>0</v>
      </c>
      <c r="J205" s="4"/>
      <c r="K205" s="4"/>
      <c r="L205" s="4"/>
      <c r="M205" s="4"/>
      <c r="N205" s="4"/>
      <c r="O205" s="4">
        <v>0</v>
      </c>
      <c r="P205" s="4">
        <v>41918.432557870372</v>
      </c>
      <c r="Q205" s="4"/>
      <c r="R205" s="4"/>
      <c r="S205" s="79">
        <f>DbLinkTable[[#This Row],[Credit]]+DbLinkTable[[#This Row],[Charge]]</f>
        <v>0</v>
      </c>
      <c r="T205" s="79">
        <f>IF(DbLinkTable[[#This Row],[Price/lb]]*DbLinkTable[[#This Row],[Weight]]&gt;0,DbLinkTable[[#This Row],[Price/lb]]*DbLinkTable[[#This Row],[Weight]],0)</f>
        <v>0</v>
      </c>
      <c r="U205" s="79">
        <f>IF(DbLinkTable[[#This Row],[Price/lb]]*DbLinkTable[[#This Row],[Weight]]&lt;0,DbLinkTable[[#This Row],[Price/lb]]*DbLinkTable[[#This Row],[Weight]],0)</f>
        <v>0</v>
      </c>
      <c r="V205" s="4" t="str">
        <f>IF(COUNTIF($W$2:W205,W205)=1,1,"")</f>
        <v/>
      </c>
      <c r="W205" s="4" t="str">
        <f>CONCATENATE(DbLinkTable[[#This Row],[Customer]],UPPER(DbLinkTable[[#This Row],[Trailer Number]]),DbLinkTable[[#This Row],[Day Received]])</f>
        <v>Company1414441912</v>
      </c>
      <c r="X205" s="4">
        <f>DATEVALUE(TEXT(DbLinkTable[[#This Row],[Date Received]],"MMMM YYYY"))</f>
        <v>41883</v>
      </c>
      <c r="Y205" s="4">
        <f>INT(DbLinkTable[[#This Row],[Date Received]])</f>
        <v>41912</v>
      </c>
    </row>
    <row r="206" spans="1:25">
      <c r="A206">
        <v>8302</v>
      </c>
      <c r="B206" t="s">
        <v>1508</v>
      </c>
      <c r="D206">
        <v>45</v>
      </c>
      <c r="E206" t="s">
        <v>1504</v>
      </c>
      <c r="F206" s="4">
        <v>41912</v>
      </c>
      <c r="G206" s="4" t="s">
        <v>192</v>
      </c>
      <c r="H206" s="4" t="s">
        <v>1525</v>
      </c>
      <c r="I206" s="4">
        <v>0</v>
      </c>
      <c r="J206" s="4"/>
      <c r="K206" s="4"/>
      <c r="L206" s="4"/>
      <c r="M206" s="4"/>
      <c r="N206" s="4"/>
      <c r="O206" s="4">
        <v>0</v>
      </c>
      <c r="P206" s="4">
        <v>41918.432569444441</v>
      </c>
      <c r="Q206" s="4"/>
      <c r="R206" s="4"/>
      <c r="S206" s="79">
        <f>DbLinkTable[[#This Row],[Credit]]+DbLinkTable[[#This Row],[Charge]]</f>
        <v>0</v>
      </c>
      <c r="T206" s="79">
        <f>IF(DbLinkTable[[#This Row],[Price/lb]]*DbLinkTable[[#This Row],[Weight]]&gt;0,DbLinkTable[[#This Row],[Price/lb]]*DbLinkTable[[#This Row],[Weight]],0)</f>
        <v>0</v>
      </c>
      <c r="U206" s="79">
        <f>IF(DbLinkTable[[#This Row],[Price/lb]]*DbLinkTable[[#This Row],[Weight]]&lt;0,DbLinkTable[[#This Row],[Price/lb]]*DbLinkTable[[#This Row],[Weight]],0)</f>
        <v>0</v>
      </c>
      <c r="V206" s="4" t="str">
        <f>IF(COUNTIF($W$2:W206,W206)=1,1,"")</f>
        <v/>
      </c>
      <c r="W206" s="4" t="str">
        <f>CONCATENATE(DbLinkTable[[#This Row],[Customer]],UPPER(DbLinkTable[[#This Row],[Trailer Number]]),DbLinkTable[[#This Row],[Day Received]])</f>
        <v>Company1414441912</v>
      </c>
      <c r="X206" s="4">
        <f>DATEVALUE(TEXT(DbLinkTable[[#This Row],[Date Received]],"MMMM YYYY"))</f>
        <v>41883</v>
      </c>
      <c r="Y206" s="4">
        <f>INT(DbLinkTable[[#This Row],[Date Received]])</f>
        <v>41912</v>
      </c>
    </row>
    <row r="207" spans="1:25">
      <c r="A207">
        <v>8303</v>
      </c>
      <c r="B207" t="s">
        <v>1508</v>
      </c>
      <c r="D207">
        <v>28</v>
      </c>
      <c r="E207" t="s">
        <v>1504</v>
      </c>
      <c r="F207" s="4">
        <v>41912</v>
      </c>
      <c r="G207" s="4" t="s">
        <v>192</v>
      </c>
      <c r="H207" s="4" t="s">
        <v>1525</v>
      </c>
      <c r="I207" s="4">
        <v>0</v>
      </c>
      <c r="J207" s="4"/>
      <c r="K207" s="4"/>
      <c r="L207" s="4"/>
      <c r="M207" s="4"/>
      <c r="N207" s="4"/>
      <c r="O207" s="4">
        <v>0</v>
      </c>
      <c r="P207" s="4">
        <v>41918.434629629628</v>
      </c>
      <c r="Q207" s="4"/>
      <c r="R207" s="4"/>
      <c r="S207" s="79">
        <f>DbLinkTable[[#This Row],[Credit]]+DbLinkTable[[#This Row],[Charge]]</f>
        <v>0</v>
      </c>
      <c r="T207" s="79">
        <f>IF(DbLinkTable[[#This Row],[Price/lb]]*DbLinkTable[[#This Row],[Weight]]&gt;0,DbLinkTable[[#This Row],[Price/lb]]*DbLinkTable[[#This Row],[Weight]],0)</f>
        <v>0</v>
      </c>
      <c r="U207" s="79">
        <f>IF(DbLinkTable[[#This Row],[Price/lb]]*DbLinkTable[[#This Row],[Weight]]&lt;0,DbLinkTable[[#This Row],[Price/lb]]*DbLinkTable[[#This Row],[Weight]],0)</f>
        <v>0</v>
      </c>
      <c r="V207" s="4" t="str">
        <f>IF(COUNTIF($W$2:W207,W207)=1,1,"")</f>
        <v/>
      </c>
      <c r="W207" s="4" t="str">
        <f>CONCATENATE(DbLinkTable[[#This Row],[Customer]],UPPER(DbLinkTable[[#This Row],[Trailer Number]]),DbLinkTable[[#This Row],[Day Received]])</f>
        <v>Company1414441912</v>
      </c>
      <c r="X207" s="4">
        <f>DATEVALUE(TEXT(DbLinkTable[[#This Row],[Date Received]],"MMMM YYYY"))</f>
        <v>41883</v>
      </c>
      <c r="Y207" s="4">
        <f>INT(DbLinkTable[[#This Row],[Date Received]])</f>
        <v>41912</v>
      </c>
    </row>
    <row r="208" spans="1:25">
      <c r="A208">
        <v>8304</v>
      </c>
      <c r="B208" t="s">
        <v>1508</v>
      </c>
      <c r="D208">
        <v>10</v>
      </c>
      <c r="E208" t="s">
        <v>1504</v>
      </c>
      <c r="F208" s="4">
        <v>41912</v>
      </c>
      <c r="G208" s="4" t="s">
        <v>192</v>
      </c>
      <c r="H208" s="4" t="s">
        <v>1525</v>
      </c>
      <c r="I208" s="4">
        <v>0</v>
      </c>
      <c r="J208" s="4"/>
      <c r="K208" s="4"/>
      <c r="L208" s="4"/>
      <c r="M208" s="4"/>
      <c r="N208" s="4"/>
      <c r="O208" s="4">
        <v>0</v>
      </c>
      <c r="P208" s="4">
        <v>41918.434664351851</v>
      </c>
      <c r="Q208" s="4"/>
      <c r="R208" s="4"/>
      <c r="S208" s="79">
        <f>DbLinkTable[[#This Row],[Credit]]+DbLinkTable[[#This Row],[Charge]]</f>
        <v>0</v>
      </c>
      <c r="T208" s="79">
        <f>IF(DbLinkTable[[#This Row],[Price/lb]]*DbLinkTable[[#This Row],[Weight]]&gt;0,DbLinkTable[[#This Row],[Price/lb]]*DbLinkTable[[#This Row],[Weight]],0)</f>
        <v>0</v>
      </c>
      <c r="U208" s="79">
        <f>IF(DbLinkTable[[#This Row],[Price/lb]]*DbLinkTable[[#This Row],[Weight]]&lt;0,DbLinkTable[[#This Row],[Price/lb]]*DbLinkTable[[#This Row],[Weight]],0)</f>
        <v>0</v>
      </c>
      <c r="V208" s="4" t="str">
        <f>IF(COUNTIF($W$2:W208,W208)=1,1,"")</f>
        <v/>
      </c>
      <c r="W208" s="4" t="str">
        <f>CONCATENATE(DbLinkTable[[#This Row],[Customer]],UPPER(DbLinkTable[[#This Row],[Trailer Number]]),DbLinkTable[[#This Row],[Day Received]])</f>
        <v>Company1414441912</v>
      </c>
      <c r="X208" s="4">
        <f>DATEVALUE(TEXT(DbLinkTable[[#This Row],[Date Received]],"MMMM YYYY"))</f>
        <v>41883</v>
      </c>
      <c r="Y208" s="4">
        <f>INT(DbLinkTable[[#This Row],[Date Received]])</f>
        <v>41912</v>
      </c>
    </row>
    <row r="209" spans="1:25">
      <c r="A209">
        <v>8305</v>
      </c>
      <c r="B209" t="s">
        <v>1508</v>
      </c>
      <c r="D209">
        <v>24</v>
      </c>
      <c r="E209" t="s">
        <v>1504</v>
      </c>
      <c r="F209" s="4">
        <v>41912</v>
      </c>
      <c r="G209" s="4" t="s">
        <v>192</v>
      </c>
      <c r="H209" s="4" t="s">
        <v>1525</v>
      </c>
      <c r="I209" s="4">
        <v>0</v>
      </c>
      <c r="J209" s="4"/>
      <c r="K209" s="4"/>
      <c r="L209" s="4"/>
      <c r="M209" s="4"/>
      <c r="N209" s="4"/>
      <c r="O209" s="4">
        <v>0</v>
      </c>
      <c r="P209" s="4">
        <v>41918.434675925928</v>
      </c>
      <c r="Q209" s="4"/>
      <c r="R209" s="4"/>
      <c r="S209" s="79">
        <f>DbLinkTable[[#This Row],[Credit]]+DbLinkTable[[#This Row],[Charge]]</f>
        <v>0</v>
      </c>
      <c r="T209" s="79">
        <f>IF(DbLinkTable[[#This Row],[Price/lb]]*DbLinkTable[[#This Row],[Weight]]&gt;0,DbLinkTable[[#This Row],[Price/lb]]*DbLinkTable[[#This Row],[Weight]],0)</f>
        <v>0</v>
      </c>
      <c r="U209" s="79">
        <f>IF(DbLinkTable[[#This Row],[Price/lb]]*DbLinkTable[[#This Row],[Weight]]&lt;0,DbLinkTable[[#This Row],[Price/lb]]*DbLinkTable[[#This Row],[Weight]],0)</f>
        <v>0</v>
      </c>
      <c r="V209" s="4" t="str">
        <f>IF(COUNTIF($W$2:W209,W209)=1,1,"")</f>
        <v/>
      </c>
      <c r="W209" s="4" t="str">
        <f>CONCATENATE(DbLinkTable[[#This Row],[Customer]],UPPER(DbLinkTable[[#This Row],[Trailer Number]]),DbLinkTable[[#This Row],[Day Received]])</f>
        <v>Company1414441912</v>
      </c>
      <c r="X209" s="4">
        <f>DATEVALUE(TEXT(DbLinkTable[[#This Row],[Date Received]],"MMMM YYYY"))</f>
        <v>41883</v>
      </c>
      <c r="Y209" s="4">
        <f>INT(DbLinkTable[[#This Row],[Date Received]])</f>
        <v>41912</v>
      </c>
    </row>
    <row r="210" spans="1:25">
      <c r="A210">
        <v>8306</v>
      </c>
      <c r="B210" t="s">
        <v>1508</v>
      </c>
      <c r="D210">
        <v>16</v>
      </c>
      <c r="E210" t="s">
        <v>1504</v>
      </c>
      <c r="F210" s="4">
        <v>41912</v>
      </c>
      <c r="G210" s="4" t="s">
        <v>192</v>
      </c>
      <c r="H210" s="4" t="s">
        <v>1525</v>
      </c>
      <c r="I210" s="4">
        <v>0</v>
      </c>
      <c r="J210" s="4"/>
      <c r="K210" s="4"/>
      <c r="L210" s="4"/>
      <c r="M210" s="4"/>
      <c r="N210" s="4"/>
      <c r="O210" s="4">
        <v>0</v>
      </c>
      <c r="P210" s="4">
        <v>41918.434699074074</v>
      </c>
      <c r="Q210" s="4"/>
      <c r="R210" s="4"/>
      <c r="S210" s="79">
        <f>DbLinkTable[[#This Row],[Credit]]+DbLinkTable[[#This Row],[Charge]]</f>
        <v>0</v>
      </c>
      <c r="T210" s="79">
        <f>IF(DbLinkTable[[#This Row],[Price/lb]]*DbLinkTable[[#This Row],[Weight]]&gt;0,DbLinkTable[[#This Row],[Price/lb]]*DbLinkTable[[#This Row],[Weight]],0)</f>
        <v>0</v>
      </c>
      <c r="U210" s="79">
        <f>IF(DbLinkTable[[#This Row],[Price/lb]]*DbLinkTable[[#This Row],[Weight]]&lt;0,DbLinkTable[[#This Row],[Price/lb]]*DbLinkTable[[#This Row],[Weight]],0)</f>
        <v>0</v>
      </c>
      <c r="V210" s="4" t="str">
        <f>IF(COUNTIF($W$2:W210,W210)=1,1,"")</f>
        <v/>
      </c>
      <c r="W210" s="4" t="str">
        <f>CONCATENATE(DbLinkTable[[#This Row],[Customer]],UPPER(DbLinkTable[[#This Row],[Trailer Number]]),DbLinkTable[[#This Row],[Day Received]])</f>
        <v>Company1414441912</v>
      </c>
      <c r="X210" s="4">
        <f>DATEVALUE(TEXT(DbLinkTable[[#This Row],[Date Received]],"MMMM YYYY"))</f>
        <v>41883</v>
      </c>
      <c r="Y210" s="4">
        <f>INT(DbLinkTable[[#This Row],[Date Received]])</f>
        <v>41912</v>
      </c>
    </row>
    <row r="211" spans="1:25">
      <c r="A211">
        <v>8307</v>
      </c>
      <c r="B211" t="s">
        <v>1508</v>
      </c>
      <c r="D211">
        <v>32</v>
      </c>
      <c r="E211" t="s">
        <v>1504</v>
      </c>
      <c r="F211" s="4">
        <v>41912</v>
      </c>
      <c r="G211" s="4" t="s">
        <v>192</v>
      </c>
      <c r="H211" s="4" t="s">
        <v>1525</v>
      </c>
      <c r="I211" s="4">
        <v>0</v>
      </c>
      <c r="J211" s="4"/>
      <c r="K211" s="4"/>
      <c r="L211" s="4"/>
      <c r="M211" s="4"/>
      <c r="N211" s="4"/>
      <c r="O211" s="4">
        <v>0</v>
      </c>
      <c r="P211" s="4">
        <v>41918.434756944444</v>
      </c>
      <c r="Q211" s="4"/>
      <c r="R211" s="4"/>
      <c r="S211" s="79">
        <f>DbLinkTable[[#This Row],[Credit]]+DbLinkTable[[#This Row],[Charge]]</f>
        <v>0</v>
      </c>
      <c r="T211" s="79">
        <f>IF(DbLinkTable[[#This Row],[Price/lb]]*DbLinkTable[[#This Row],[Weight]]&gt;0,DbLinkTable[[#This Row],[Price/lb]]*DbLinkTable[[#This Row],[Weight]],0)</f>
        <v>0</v>
      </c>
      <c r="U211" s="79">
        <f>IF(DbLinkTable[[#This Row],[Price/lb]]*DbLinkTable[[#This Row],[Weight]]&lt;0,DbLinkTable[[#This Row],[Price/lb]]*DbLinkTable[[#This Row],[Weight]],0)</f>
        <v>0</v>
      </c>
      <c r="V211" s="4" t="str">
        <f>IF(COUNTIF($W$2:W211,W211)=1,1,"")</f>
        <v/>
      </c>
      <c r="W211" s="4" t="str">
        <f>CONCATENATE(DbLinkTable[[#This Row],[Customer]],UPPER(DbLinkTable[[#This Row],[Trailer Number]]),DbLinkTable[[#This Row],[Day Received]])</f>
        <v>Company1414441912</v>
      </c>
      <c r="X211" s="4">
        <f>DATEVALUE(TEXT(DbLinkTable[[#This Row],[Date Received]],"MMMM YYYY"))</f>
        <v>41883</v>
      </c>
      <c r="Y211" s="4">
        <f>INT(DbLinkTable[[#This Row],[Date Received]])</f>
        <v>41912</v>
      </c>
    </row>
    <row r="212" spans="1:25">
      <c r="A212">
        <v>8308</v>
      </c>
      <c r="B212" t="s">
        <v>1508</v>
      </c>
      <c r="D212">
        <v>24</v>
      </c>
      <c r="E212" t="s">
        <v>1504</v>
      </c>
      <c r="F212" s="4">
        <v>41912</v>
      </c>
      <c r="G212" s="4" t="s">
        <v>192</v>
      </c>
      <c r="H212" s="4" t="s">
        <v>1525</v>
      </c>
      <c r="I212" s="4">
        <v>0</v>
      </c>
      <c r="J212" s="4"/>
      <c r="K212" s="4"/>
      <c r="L212" s="4"/>
      <c r="M212" s="4"/>
      <c r="N212" s="4"/>
      <c r="O212" s="4">
        <v>0</v>
      </c>
      <c r="P212" s="4">
        <v>41918.434814814813</v>
      </c>
      <c r="Q212" s="4"/>
      <c r="R212" s="4"/>
      <c r="S212" s="79">
        <f>DbLinkTable[[#This Row],[Credit]]+DbLinkTable[[#This Row],[Charge]]</f>
        <v>0</v>
      </c>
      <c r="T212" s="79">
        <f>IF(DbLinkTable[[#This Row],[Price/lb]]*DbLinkTable[[#This Row],[Weight]]&gt;0,DbLinkTable[[#This Row],[Price/lb]]*DbLinkTable[[#This Row],[Weight]],0)</f>
        <v>0</v>
      </c>
      <c r="U212" s="79">
        <f>IF(DbLinkTable[[#This Row],[Price/lb]]*DbLinkTable[[#This Row],[Weight]]&lt;0,DbLinkTable[[#This Row],[Price/lb]]*DbLinkTable[[#This Row],[Weight]],0)</f>
        <v>0</v>
      </c>
      <c r="V212" s="4" t="str">
        <f>IF(COUNTIF($W$2:W212,W212)=1,1,"")</f>
        <v/>
      </c>
      <c r="W212" s="4" t="str">
        <f>CONCATENATE(DbLinkTable[[#This Row],[Customer]],UPPER(DbLinkTable[[#This Row],[Trailer Number]]),DbLinkTable[[#This Row],[Day Received]])</f>
        <v>Company1414441912</v>
      </c>
      <c r="X212" s="4">
        <f>DATEVALUE(TEXT(DbLinkTable[[#This Row],[Date Received]],"MMMM YYYY"))</f>
        <v>41883</v>
      </c>
      <c r="Y212" s="4">
        <f>INT(DbLinkTable[[#This Row],[Date Received]])</f>
        <v>41912</v>
      </c>
    </row>
    <row r="213" spans="1:25">
      <c r="A213">
        <v>8309</v>
      </c>
      <c r="B213" t="s">
        <v>1508</v>
      </c>
      <c r="D213">
        <v>30</v>
      </c>
      <c r="E213" t="s">
        <v>1504</v>
      </c>
      <c r="F213" s="4">
        <v>41912</v>
      </c>
      <c r="G213" s="4" t="s">
        <v>192</v>
      </c>
      <c r="H213" s="4" t="s">
        <v>1525</v>
      </c>
      <c r="I213" s="4">
        <v>0</v>
      </c>
      <c r="J213" s="4"/>
      <c r="K213" s="4"/>
      <c r="L213" s="4"/>
      <c r="M213" s="4"/>
      <c r="N213" s="4"/>
      <c r="O213" s="4">
        <v>0</v>
      </c>
      <c r="P213" s="4">
        <v>41918.434837962966</v>
      </c>
      <c r="Q213" s="4"/>
      <c r="R213" s="4"/>
      <c r="S213" s="79">
        <f>DbLinkTable[[#This Row],[Credit]]+DbLinkTable[[#This Row],[Charge]]</f>
        <v>0</v>
      </c>
      <c r="T213" s="79">
        <f>IF(DbLinkTable[[#This Row],[Price/lb]]*DbLinkTable[[#This Row],[Weight]]&gt;0,DbLinkTable[[#This Row],[Price/lb]]*DbLinkTable[[#This Row],[Weight]],0)</f>
        <v>0</v>
      </c>
      <c r="U213" s="79">
        <f>IF(DbLinkTable[[#This Row],[Price/lb]]*DbLinkTable[[#This Row],[Weight]]&lt;0,DbLinkTable[[#This Row],[Price/lb]]*DbLinkTable[[#This Row],[Weight]],0)</f>
        <v>0</v>
      </c>
      <c r="V213" s="4" t="str">
        <f>IF(COUNTIF($W$2:W213,W213)=1,1,"")</f>
        <v/>
      </c>
      <c r="W213" s="4" t="str">
        <f>CONCATENATE(DbLinkTable[[#This Row],[Customer]],UPPER(DbLinkTable[[#This Row],[Trailer Number]]),DbLinkTable[[#This Row],[Day Received]])</f>
        <v>Company1414441912</v>
      </c>
      <c r="X213" s="4">
        <f>DATEVALUE(TEXT(DbLinkTable[[#This Row],[Date Received]],"MMMM YYYY"))</f>
        <v>41883</v>
      </c>
      <c r="Y213" s="4">
        <f>INT(DbLinkTable[[#This Row],[Date Received]])</f>
        <v>41912</v>
      </c>
    </row>
    <row r="214" spans="1:25">
      <c r="A214">
        <v>8310</v>
      </c>
      <c r="B214" t="s">
        <v>1508</v>
      </c>
      <c r="D214">
        <v>10</v>
      </c>
      <c r="E214" t="s">
        <v>1504</v>
      </c>
      <c r="F214" s="4">
        <v>41912</v>
      </c>
      <c r="G214" s="4" t="s">
        <v>192</v>
      </c>
      <c r="H214" s="4" t="s">
        <v>1525</v>
      </c>
      <c r="I214" s="4">
        <v>0</v>
      </c>
      <c r="J214" s="4"/>
      <c r="K214" s="4"/>
      <c r="L214" s="4"/>
      <c r="M214" s="4"/>
      <c r="N214" s="4"/>
      <c r="O214" s="4">
        <v>0</v>
      </c>
      <c r="P214" s="4">
        <v>41918.434849537036</v>
      </c>
      <c r="Q214" s="4"/>
      <c r="R214" s="4"/>
      <c r="S214" s="79">
        <f>DbLinkTable[[#This Row],[Credit]]+DbLinkTable[[#This Row],[Charge]]</f>
        <v>0</v>
      </c>
      <c r="T214" s="79">
        <f>IF(DbLinkTable[[#This Row],[Price/lb]]*DbLinkTable[[#This Row],[Weight]]&gt;0,DbLinkTable[[#This Row],[Price/lb]]*DbLinkTable[[#This Row],[Weight]],0)</f>
        <v>0</v>
      </c>
      <c r="U214" s="79">
        <f>IF(DbLinkTable[[#This Row],[Price/lb]]*DbLinkTable[[#This Row],[Weight]]&lt;0,DbLinkTable[[#This Row],[Price/lb]]*DbLinkTable[[#This Row],[Weight]],0)</f>
        <v>0</v>
      </c>
      <c r="V214" s="4" t="str">
        <f>IF(COUNTIF($W$2:W214,W214)=1,1,"")</f>
        <v/>
      </c>
      <c r="W214" s="4" t="str">
        <f>CONCATENATE(DbLinkTable[[#This Row],[Customer]],UPPER(DbLinkTable[[#This Row],[Trailer Number]]),DbLinkTable[[#This Row],[Day Received]])</f>
        <v>Company1414441912</v>
      </c>
      <c r="X214" s="4">
        <f>DATEVALUE(TEXT(DbLinkTable[[#This Row],[Date Received]],"MMMM YYYY"))</f>
        <v>41883</v>
      </c>
      <c r="Y214" s="4">
        <f>INT(DbLinkTable[[#This Row],[Date Received]])</f>
        <v>41912</v>
      </c>
    </row>
    <row r="215" spans="1:25">
      <c r="A215">
        <v>8311</v>
      </c>
      <c r="B215" t="s">
        <v>1508</v>
      </c>
      <c r="D215">
        <v>12</v>
      </c>
      <c r="E215" t="s">
        <v>1504</v>
      </c>
      <c r="F215" s="4">
        <v>41912</v>
      </c>
      <c r="G215" s="4" t="s">
        <v>192</v>
      </c>
      <c r="H215" s="4" t="s">
        <v>1525</v>
      </c>
      <c r="I215" s="4">
        <v>0</v>
      </c>
      <c r="J215" s="4"/>
      <c r="K215" s="4"/>
      <c r="L215" s="4"/>
      <c r="M215" s="4"/>
      <c r="N215" s="4"/>
      <c r="O215" s="4">
        <v>0</v>
      </c>
      <c r="P215" s="4">
        <v>41918.434861111113</v>
      </c>
      <c r="Q215" s="4"/>
      <c r="R215" s="4"/>
      <c r="S215" s="79">
        <f>DbLinkTable[[#This Row],[Credit]]+DbLinkTable[[#This Row],[Charge]]</f>
        <v>0</v>
      </c>
      <c r="T215" s="79">
        <f>IF(DbLinkTable[[#This Row],[Price/lb]]*DbLinkTable[[#This Row],[Weight]]&gt;0,DbLinkTable[[#This Row],[Price/lb]]*DbLinkTable[[#This Row],[Weight]],0)</f>
        <v>0</v>
      </c>
      <c r="U215" s="79">
        <f>IF(DbLinkTable[[#This Row],[Price/lb]]*DbLinkTable[[#This Row],[Weight]]&lt;0,DbLinkTable[[#This Row],[Price/lb]]*DbLinkTable[[#This Row],[Weight]],0)</f>
        <v>0</v>
      </c>
      <c r="V215" s="4" t="str">
        <f>IF(COUNTIF($W$2:W215,W215)=1,1,"")</f>
        <v/>
      </c>
      <c r="W215" s="4" t="str">
        <f>CONCATENATE(DbLinkTable[[#This Row],[Customer]],UPPER(DbLinkTable[[#This Row],[Trailer Number]]),DbLinkTable[[#This Row],[Day Received]])</f>
        <v>Company1414441912</v>
      </c>
      <c r="X215" s="4">
        <f>DATEVALUE(TEXT(DbLinkTable[[#This Row],[Date Received]],"MMMM YYYY"))</f>
        <v>41883</v>
      </c>
      <c r="Y215" s="4">
        <f>INT(DbLinkTable[[#This Row],[Date Received]])</f>
        <v>41912</v>
      </c>
    </row>
    <row r="216" spans="1:25">
      <c r="A216">
        <v>8312</v>
      </c>
      <c r="B216" t="s">
        <v>1508</v>
      </c>
      <c r="D216">
        <v>42</v>
      </c>
      <c r="E216" t="s">
        <v>1504</v>
      </c>
      <c r="F216" s="4">
        <v>41912</v>
      </c>
      <c r="G216" s="4" t="s">
        <v>192</v>
      </c>
      <c r="H216" s="4" t="s">
        <v>1525</v>
      </c>
      <c r="I216" s="4">
        <v>0</v>
      </c>
      <c r="J216" s="4"/>
      <c r="K216" s="4"/>
      <c r="L216" s="4"/>
      <c r="M216" s="4"/>
      <c r="N216" s="4"/>
      <c r="O216" s="4">
        <v>0</v>
      </c>
      <c r="P216" s="4">
        <v>41918.434895833336</v>
      </c>
      <c r="Q216" s="4"/>
      <c r="R216" s="4"/>
      <c r="S216" s="79">
        <f>DbLinkTable[[#This Row],[Credit]]+DbLinkTable[[#This Row],[Charge]]</f>
        <v>0</v>
      </c>
      <c r="T216" s="79">
        <f>IF(DbLinkTable[[#This Row],[Price/lb]]*DbLinkTable[[#This Row],[Weight]]&gt;0,DbLinkTable[[#This Row],[Price/lb]]*DbLinkTable[[#This Row],[Weight]],0)</f>
        <v>0</v>
      </c>
      <c r="U216" s="79">
        <f>IF(DbLinkTable[[#This Row],[Price/lb]]*DbLinkTable[[#This Row],[Weight]]&lt;0,DbLinkTable[[#This Row],[Price/lb]]*DbLinkTable[[#This Row],[Weight]],0)</f>
        <v>0</v>
      </c>
      <c r="V216" s="4" t="str">
        <f>IF(COUNTIF($W$2:W216,W216)=1,1,"")</f>
        <v/>
      </c>
      <c r="W216" s="4" t="str">
        <f>CONCATENATE(DbLinkTable[[#This Row],[Customer]],UPPER(DbLinkTable[[#This Row],[Trailer Number]]),DbLinkTable[[#This Row],[Day Received]])</f>
        <v>Company1414441912</v>
      </c>
      <c r="X216" s="4">
        <f>DATEVALUE(TEXT(DbLinkTable[[#This Row],[Date Received]],"MMMM YYYY"))</f>
        <v>41883</v>
      </c>
      <c r="Y216" s="4">
        <f>INT(DbLinkTable[[#This Row],[Date Received]])</f>
        <v>41912</v>
      </c>
    </row>
    <row r="217" spans="1:25">
      <c r="A217">
        <v>8313</v>
      </c>
      <c r="B217" t="s">
        <v>1508</v>
      </c>
      <c r="D217">
        <v>14</v>
      </c>
      <c r="E217" t="s">
        <v>1504</v>
      </c>
      <c r="F217" s="4">
        <v>41912</v>
      </c>
      <c r="G217" s="4" t="s">
        <v>192</v>
      </c>
      <c r="H217" s="4" t="s">
        <v>1525</v>
      </c>
      <c r="I217" s="4">
        <v>0</v>
      </c>
      <c r="J217" s="4"/>
      <c r="K217" s="4"/>
      <c r="L217" s="4"/>
      <c r="M217" s="4"/>
      <c r="N217" s="4"/>
      <c r="O217" s="4">
        <v>0</v>
      </c>
      <c r="P217" s="4">
        <v>41918.434930555559</v>
      </c>
      <c r="Q217" s="4"/>
      <c r="R217" s="4"/>
      <c r="S217" s="79">
        <f>DbLinkTable[[#This Row],[Credit]]+DbLinkTable[[#This Row],[Charge]]</f>
        <v>0</v>
      </c>
      <c r="T217" s="79">
        <f>IF(DbLinkTable[[#This Row],[Price/lb]]*DbLinkTable[[#This Row],[Weight]]&gt;0,DbLinkTable[[#This Row],[Price/lb]]*DbLinkTable[[#This Row],[Weight]],0)</f>
        <v>0</v>
      </c>
      <c r="U217" s="79">
        <f>IF(DbLinkTable[[#This Row],[Price/lb]]*DbLinkTable[[#This Row],[Weight]]&lt;0,DbLinkTable[[#This Row],[Price/lb]]*DbLinkTable[[#This Row],[Weight]],0)</f>
        <v>0</v>
      </c>
      <c r="V217" s="4" t="str">
        <f>IF(COUNTIF($W$2:W217,W217)=1,1,"")</f>
        <v/>
      </c>
      <c r="W217" s="4" t="str">
        <f>CONCATENATE(DbLinkTable[[#This Row],[Customer]],UPPER(DbLinkTable[[#This Row],[Trailer Number]]),DbLinkTable[[#This Row],[Day Received]])</f>
        <v>Company1414441912</v>
      </c>
      <c r="X217" s="4">
        <f>DATEVALUE(TEXT(DbLinkTable[[#This Row],[Date Received]],"MMMM YYYY"))</f>
        <v>41883</v>
      </c>
      <c r="Y217" s="4">
        <f>INT(DbLinkTable[[#This Row],[Date Received]])</f>
        <v>41912</v>
      </c>
    </row>
    <row r="218" spans="1:25">
      <c r="A218">
        <v>8314</v>
      </c>
      <c r="B218" t="s">
        <v>1508</v>
      </c>
      <c r="D218">
        <v>24</v>
      </c>
      <c r="E218" t="s">
        <v>1504</v>
      </c>
      <c r="F218" s="4">
        <v>41912</v>
      </c>
      <c r="G218" s="4" t="s">
        <v>192</v>
      </c>
      <c r="H218" s="4" t="s">
        <v>1525</v>
      </c>
      <c r="I218" s="4">
        <v>0</v>
      </c>
      <c r="J218" s="4"/>
      <c r="K218" s="4"/>
      <c r="L218" s="4"/>
      <c r="M218" s="4"/>
      <c r="N218" s="4"/>
      <c r="O218" s="4">
        <v>0</v>
      </c>
      <c r="P218" s="4">
        <v>41918.434942129628</v>
      </c>
      <c r="Q218" s="4"/>
      <c r="R218" s="4"/>
      <c r="S218" s="79">
        <f>DbLinkTable[[#This Row],[Credit]]+DbLinkTable[[#This Row],[Charge]]</f>
        <v>0</v>
      </c>
      <c r="T218" s="79">
        <f>IF(DbLinkTable[[#This Row],[Price/lb]]*DbLinkTable[[#This Row],[Weight]]&gt;0,DbLinkTable[[#This Row],[Price/lb]]*DbLinkTable[[#This Row],[Weight]],0)</f>
        <v>0</v>
      </c>
      <c r="U218" s="79">
        <f>IF(DbLinkTable[[#This Row],[Price/lb]]*DbLinkTable[[#This Row],[Weight]]&lt;0,DbLinkTable[[#This Row],[Price/lb]]*DbLinkTable[[#This Row],[Weight]],0)</f>
        <v>0</v>
      </c>
      <c r="V218" s="4" t="str">
        <f>IF(COUNTIF($W$2:W218,W218)=1,1,"")</f>
        <v/>
      </c>
      <c r="W218" s="4" t="str">
        <f>CONCATENATE(DbLinkTable[[#This Row],[Customer]],UPPER(DbLinkTable[[#This Row],[Trailer Number]]),DbLinkTable[[#This Row],[Day Received]])</f>
        <v>Company1414441912</v>
      </c>
      <c r="X218" s="4">
        <f>DATEVALUE(TEXT(DbLinkTable[[#This Row],[Date Received]],"MMMM YYYY"))</f>
        <v>41883</v>
      </c>
      <c r="Y218" s="4">
        <f>INT(DbLinkTable[[#This Row],[Date Received]])</f>
        <v>41912</v>
      </c>
    </row>
    <row r="219" spans="1:25">
      <c r="A219">
        <v>8315</v>
      </c>
      <c r="B219" t="s">
        <v>1508</v>
      </c>
      <c r="D219">
        <v>18</v>
      </c>
      <c r="E219" t="s">
        <v>1504</v>
      </c>
      <c r="F219" s="4">
        <v>41912</v>
      </c>
      <c r="G219" s="4" t="s">
        <v>192</v>
      </c>
      <c r="H219" s="4" t="s">
        <v>1525</v>
      </c>
      <c r="I219" s="4">
        <v>0</v>
      </c>
      <c r="J219" s="4"/>
      <c r="K219" s="4"/>
      <c r="L219" s="4"/>
      <c r="M219" s="4"/>
      <c r="N219" s="4"/>
      <c r="O219" s="4">
        <v>0</v>
      </c>
      <c r="P219" s="4">
        <v>41918.434965277775</v>
      </c>
      <c r="Q219" s="4"/>
      <c r="R219" s="4"/>
      <c r="S219" s="79">
        <f>DbLinkTable[[#This Row],[Credit]]+DbLinkTable[[#This Row],[Charge]]</f>
        <v>0</v>
      </c>
      <c r="T219" s="79">
        <f>IF(DbLinkTable[[#This Row],[Price/lb]]*DbLinkTable[[#This Row],[Weight]]&gt;0,DbLinkTable[[#This Row],[Price/lb]]*DbLinkTable[[#This Row],[Weight]],0)</f>
        <v>0</v>
      </c>
      <c r="U219" s="79">
        <f>IF(DbLinkTable[[#This Row],[Price/lb]]*DbLinkTable[[#This Row],[Weight]]&lt;0,DbLinkTable[[#This Row],[Price/lb]]*DbLinkTable[[#This Row],[Weight]],0)</f>
        <v>0</v>
      </c>
      <c r="V219" s="4" t="str">
        <f>IF(COUNTIF($W$2:W219,W219)=1,1,"")</f>
        <v/>
      </c>
      <c r="W219" s="4" t="str">
        <f>CONCATENATE(DbLinkTable[[#This Row],[Customer]],UPPER(DbLinkTable[[#This Row],[Trailer Number]]),DbLinkTable[[#This Row],[Day Received]])</f>
        <v>Company1414441912</v>
      </c>
      <c r="X219" s="4">
        <f>DATEVALUE(TEXT(DbLinkTable[[#This Row],[Date Received]],"MMMM YYYY"))</f>
        <v>41883</v>
      </c>
      <c r="Y219" s="4">
        <f>INT(DbLinkTable[[#This Row],[Date Received]])</f>
        <v>41912</v>
      </c>
    </row>
    <row r="220" spans="1:25">
      <c r="A220">
        <v>8316</v>
      </c>
      <c r="B220" t="s">
        <v>1508</v>
      </c>
      <c r="D220">
        <v>10</v>
      </c>
      <c r="E220" t="s">
        <v>1504</v>
      </c>
      <c r="F220" s="4">
        <v>41912</v>
      </c>
      <c r="G220" s="4" t="s">
        <v>192</v>
      </c>
      <c r="H220" s="4" t="s">
        <v>1525</v>
      </c>
      <c r="I220" s="4">
        <v>0</v>
      </c>
      <c r="J220" s="4"/>
      <c r="K220" s="4"/>
      <c r="L220" s="4"/>
      <c r="M220" s="4"/>
      <c r="N220" s="4"/>
      <c r="O220" s="4">
        <v>0</v>
      </c>
      <c r="P220" s="4">
        <v>41918.434988425928</v>
      </c>
      <c r="Q220" s="4"/>
      <c r="R220" s="4"/>
      <c r="S220" s="79">
        <f>DbLinkTable[[#This Row],[Credit]]+DbLinkTable[[#This Row],[Charge]]</f>
        <v>0</v>
      </c>
      <c r="T220" s="79">
        <f>IF(DbLinkTable[[#This Row],[Price/lb]]*DbLinkTable[[#This Row],[Weight]]&gt;0,DbLinkTable[[#This Row],[Price/lb]]*DbLinkTable[[#This Row],[Weight]],0)</f>
        <v>0</v>
      </c>
      <c r="U220" s="79">
        <f>IF(DbLinkTable[[#This Row],[Price/lb]]*DbLinkTable[[#This Row],[Weight]]&lt;0,DbLinkTable[[#This Row],[Price/lb]]*DbLinkTable[[#This Row],[Weight]],0)</f>
        <v>0</v>
      </c>
      <c r="V220" s="4" t="str">
        <f>IF(COUNTIF($W$2:W220,W220)=1,1,"")</f>
        <v/>
      </c>
      <c r="W220" s="4" t="str">
        <f>CONCATENATE(DbLinkTable[[#This Row],[Customer]],UPPER(DbLinkTable[[#This Row],[Trailer Number]]),DbLinkTable[[#This Row],[Day Received]])</f>
        <v>Company1414441912</v>
      </c>
      <c r="X220" s="4">
        <f>DATEVALUE(TEXT(DbLinkTable[[#This Row],[Date Received]],"MMMM YYYY"))</f>
        <v>41883</v>
      </c>
      <c r="Y220" s="4">
        <f>INT(DbLinkTable[[#This Row],[Date Received]])</f>
        <v>41912</v>
      </c>
    </row>
    <row r="221" spans="1:25">
      <c r="A221">
        <v>8317</v>
      </c>
      <c r="B221" t="s">
        <v>1508</v>
      </c>
      <c r="D221">
        <v>12</v>
      </c>
      <c r="E221" t="s">
        <v>1504</v>
      </c>
      <c r="F221" s="4">
        <v>41912</v>
      </c>
      <c r="G221" s="4" t="s">
        <v>192</v>
      </c>
      <c r="H221" s="4" t="s">
        <v>1525</v>
      </c>
      <c r="I221" s="4">
        <v>0</v>
      </c>
      <c r="J221" s="4"/>
      <c r="K221" s="4"/>
      <c r="L221" s="4"/>
      <c r="M221" s="4"/>
      <c r="N221" s="4"/>
      <c r="O221" s="4">
        <v>0</v>
      </c>
      <c r="P221" s="4">
        <v>41918.435011574074</v>
      </c>
      <c r="Q221" s="4"/>
      <c r="R221" s="4"/>
      <c r="S221" s="79">
        <f>DbLinkTable[[#This Row],[Credit]]+DbLinkTable[[#This Row],[Charge]]</f>
        <v>0</v>
      </c>
      <c r="T221" s="79">
        <f>IF(DbLinkTable[[#This Row],[Price/lb]]*DbLinkTable[[#This Row],[Weight]]&gt;0,DbLinkTable[[#This Row],[Price/lb]]*DbLinkTable[[#This Row],[Weight]],0)</f>
        <v>0</v>
      </c>
      <c r="U221" s="79">
        <f>IF(DbLinkTable[[#This Row],[Price/lb]]*DbLinkTable[[#This Row],[Weight]]&lt;0,DbLinkTable[[#This Row],[Price/lb]]*DbLinkTable[[#This Row],[Weight]],0)</f>
        <v>0</v>
      </c>
      <c r="V221" s="4" t="str">
        <f>IF(COUNTIF($W$2:W221,W221)=1,1,"")</f>
        <v/>
      </c>
      <c r="W221" s="4" t="str">
        <f>CONCATENATE(DbLinkTable[[#This Row],[Customer]],UPPER(DbLinkTable[[#This Row],[Trailer Number]]),DbLinkTable[[#This Row],[Day Received]])</f>
        <v>Company1414441912</v>
      </c>
      <c r="X221" s="4">
        <f>DATEVALUE(TEXT(DbLinkTable[[#This Row],[Date Received]],"MMMM YYYY"))</f>
        <v>41883</v>
      </c>
      <c r="Y221" s="4">
        <f>INT(DbLinkTable[[#This Row],[Date Received]])</f>
        <v>41912</v>
      </c>
    </row>
    <row r="222" spans="1:25">
      <c r="A222">
        <v>8318</v>
      </c>
      <c r="B222" t="s">
        <v>1508</v>
      </c>
      <c r="D222">
        <v>28</v>
      </c>
      <c r="E222" t="s">
        <v>1504</v>
      </c>
      <c r="F222" s="4">
        <v>41912</v>
      </c>
      <c r="G222" s="4" t="s">
        <v>192</v>
      </c>
      <c r="H222" s="4" t="s">
        <v>1525</v>
      </c>
      <c r="I222" s="4">
        <v>0</v>
      </c>
      <c r="J222" s="4"/>
      <c r="K222" s="4"/>
      <c r="L222" s="4"/>
      <c r="M222" s="4"/>
      <c r="N222" s="4"/>
      <c r="O222" s="4">
        <v>0</v>
      </c>
      <c r="P222" s="4">
        <v>41918.435023148151</v>
      </c>
      <c r="Q222" s="4"/>
      <c r="R222" s="4"/>
      <c r="S222" s="79">
        <f>DbLinkTable[[#This Row],[Credit]]+DbLinkTable[[#This Row],[Charge]]</f>
        <v>0</v>
      </c>
      <c r="T222" s="79">
        <f>IF(DbLinkTable[[#This Row],[Price/lb]]*DbLinkTable[[#This Row],[Weight]]&gt;0,DbLinkTable[[#This Row],[Price/lb]]*DbLinkTable[[#This Row],[Weight]],0)</f>
        <v>0</v>
      </c>
      <c r="U222" s="79">
        <f>IF(DbLinkTable[[#This Row],[Price/lb]]*DbLinkTable[[#This Row],[Weight]]&lt;0,DbLinkTable[[#This Row],[Price/lb]]*DbLinkTable[[#This Row],[Weight]],0)</f>
        <v>0</v>
      </c>
      <c r="V222" s="4" t="str">
        <f>IF(COUNTIF($W$2:W222,W222)=1,1,"")</f>
        <v/>
      </c>
      <c r="W222" s="4" t="str">
        <f>CONCATENATE(DbLinkTable[[#This Row],[Customer]],UPPER(DbLinkTable[[#This Row],[Trailer Number]]),DbLinkTable[[#This Row],[Day Received]])</f>
        <v>Company1414441912</v>
      </c>
      <c r="X222" s="4">
        <f>DATEVALUE(TEXT(DbLinkTable[[#This Row],[Date Received]],"MMMM YYYY"))</f>
        <v>41883</v>
      </c>
      <c r="Y222" s="4">
        <f>INT(DbLinkTable[[#This Row],[Date Received]])</f>
        <v>41912</v>
      </c>
    </row>
    <row r="223" spans="1:25">
      <c r="A223">
        <v>8319</v>
      </c>
      <c r="B223" t="s">
        <v>1508</v>
      </c>
      <c r="D223">
        <v>15</v>
      </c>
      <c r="E223" t="s">
        <v>1504</v>
      </c>
      <c r="F223" s="4">
        <v>41912</v>
      </c>
      <c r="G223" s="4" t="s">
        <v>192</v>
      </c>
      <c r="H223" s="4" t="s">
        <v>1525</v>
      </c>
      <c r="I223" s="4">
        <v>0</v>
      </c>
      <c r="J223" s="4"/>
      <c r="K223" s="4"/>
      <c r="L223" s="4"/>
      <c r="M223" s="4"/>
      <c r="N223" s="4"/>
      <c r="O223" s="4">
        <v>0</v>
      </c>
      <c r="P223" s="4">
        <v>41918.435046296298</v>
      </c>
      <c r="Q223" s="4"/>
      <c r="R223" s="4"/>
      <c r="S223" s="79">
        <f>DbLinkTable[[#This Row],[Credit]]+DbLinkTable[[#This Row],[Charge]]</f>
        <v>0</v>
      </c>
      <c r="T223" s="79">
        <f>IF(DbLinkTable[[#This Row],[Price/lb]]*DbLinkTable[[#This Row],[Weight]]&gt;0,DbLinkTable[[#This Row],[Price/lb]]*DbLinkTable[[#This Row],[Weight]],0)</f>
        <v>0</v>
      </c>
      <c r="U223" s="79">
        <f>IF(DbLinkTable[[#This Row],[Price/lb]]*DbLinkTable[[#This Row],[Weight]]&lt;0,DbLinkTable[[#This Row],[Price/lb]]*DbLinkTable[[#This Row],[Weight]],0)</f>
        <v>0</v>
      </c>
      <c r="V223" s="4" t="str">
        <f>IF(COUNTIF($W$2:W223,W223)=1,1,"")</f>
        <v/>
      </c>
      <c r="W223" s="4" t="str">
        <f>CONCATENATE(DbLinkTable[[#This Row],[Customer]],UPPER(DbLinkTable[[#This Row],[Trailer Number]]),DbLinkTable[[#This Row],[Day Received]])</f>
        <v>Company1414441912</v>
      </c>
      <c r="X223" s="4">
        <f>DATEVALUE(TEXT(DbLinkTable[[#This Row],[Date Received]],"MMMM YYYY"))</f>
        <v>41883</v>
      </c>
      <c r="Y223" s="4">
        <f>INT(DbLinkTable[[#This Row],[Date Received]])</f>
        <v>41912</v>
      </c>
    </row>
    <row r="224" spans="1:25">
      <c r="A224">
        <v>8320</v>
      </c>
      <c r="B224" t="s">
        <v>1508</v>
      </c>
      <c r="D224">
        <v>20</v>
      </c>
      <c r="E224" t="s">
        <v>1504</v>
      </c>
      <c r="F224" s="4">
        <v>41912</v>
      </c>
      <c r="G224" s="4" t="s">
        <v>192</v>
      </c>
      <c r="H224" s="4" t="s">
        <v>1525</v>
      </c>
      <c r="I224" s="4">
        <v>0</v>
      </c>
      <c r="J224" s="4"/>
      <c r="K224" s="4"/>
      <c r="L224" s="4"/>
      <c r="M224" s="4"/>
      <c r="N224" s="4"/>
      <c r="O224" s="4">
        <v>0</v>
      </c>
      <c r="P224" s="4">
        <v>41918.435069444444</v>
      </c>
      <c r="Q224" s="4"/>
      <c r="R224" s="4"/>
      <c r="S224" s="79">
        <f>DbLinkTable[[#This Row],[Credit]]+DbLinkTable[[#This Row],[Charge]]</f>
        <v>0</v>
      </c>
      <c r="T224" s="79">
        <f>IF(DbLinkTable[[#This Row],[Price/lb]]*DbLinkTable[[#This Row],[Weight]]&gt;0,DbLinkTable[[#This Row],[Price/lb]]*DbLinkTable[[#This Row],[Weight]],0)</f>
        <v>0</v>
      </c>
      <c r="U224" s="79">
        <f>IF(DbLinkTable[[#This Row],[Price/lb]]*DbLinkTable[[#This Row],[Weight]]&lt;0,DbLinkTable[[#This Row],[Price/lb]]*DbLinkTable[[#This Row],[Weight]],0)</f>
        <v>0</v>
      </c>
      <c r="V224" s="4" t="str">
        <f>IF(COUNTIF($W$2:W224,W224)=1,1,"")</f>
        <v/>
      </c>
      <c r="W224" s="4" t="str">
        <f>CONCATENATE(DbLinkTable[[#This Row],[Customer]],UPPER(DbLinkTable[[#This Row],[Trailer Number]]),DbLinkTable[[#This Row],[Day Received]])</f>
        <v>Company1414441912</v>
      </c>
      <c r="X224" s="4">
        <f>DATEVALUE(TEXT(DbLinkTable[[#This Row],[Date Received]],"MMMM YYYY"))</f>
        <v>41883</v>
      </c>
      <c r="Y224" s="4">
        <f>INT(DbLinkTable[[#This Row],[Date Received]])</f>
        <v>41912</v>
      </c>
    </row>
    <row r="225" spans="1:25">
      <c r="A225">
        <v>8321</v>
      </c>
      <c r="B225" t="s">
        <v>1508</v>
      </c>
      <c r="D225">
        <v>18</v>
      </c>
      <c r="E225" t="s">
        <v>1504</v>
      </c>
      <c r="F225" s="4">
        <v>41912</v>
      </c>
      <c r="G225" s="4" t="s">
        <v>192</v>
      </c>
      <c r="H225" s="4" t="s">
        <v>1525</v>
      </c>
      <c r="I225" s="4">
        <v>0</v>
      </c>
      <c r="J225" s="4"/>
      <c r="K225" s="4"/>
      <c r="L225" s="4"/>
      <c r="M225" s="4"/>
      <c r="N225" s="4"/>
      <c r="O225" s="4">
        <v>0</v>
      </c>
      <c r="P225" s="4">
        <v>41918.435081018521</v>
      </c>
      <c r="Q225" s="4"/>
      <c r="R225" s="4"/>
      <c r="S225" s="79">
        <f>DbLinkTable[[#This Row],[Credit]]+DbLinkTable[[#This Row],[Charge]]</f>
        <v>0</v>
      </c>
      <c r="T225" s="79">
        <f>IF(DbLinkTable[[#This Row],[Price/lb]]*DbLinkTable[[#This Row],[Weight]]&gt;0,DbLinkTable[[#This Row],[Price/lb]]*DbLinkTable[[#This Row],[Weight]],0)</f>
        <v>0</v>
      </c>
      <c r="U225" s="79">
        <f>IF(DbLinkTable[[#This Row],[Price/lb]]*DbLinkTable[[#This Row],[Weight]]&lt;0,DbLinkTable[[#This Row],[Price/lb]]*DbLinkTable[[#This Row],[Weight]],0)</f>
        <v>0</v>
      </c>
      <c r="V225" s="4" t="str">
        <f>IF(COUNTIF($W$2:W225,W225)=1,1,"")</f>
        <v/>
      </c>
      <c r="W225" s="4" t="str">
        <f>CONCATENATE(DbLinkTable[[#This Row],[Customer]],UPPER(DbLinkTable[[#This Row],[Trailer Number]]),DbLinkTable[[#This Row],[Day Received]])</f>
        <v>Company1414441912</v>
      </c>
      <c r="X225" s="4">
        <f>DATEVALUE(TEXT(DbLinkTable[[#This Row],[Date Received]],"MMMM YYYY"))</f>
        <v>41883</v>
      </c>
      <c r="Y225" s="4">
        <f>INT(DbLinkTable[[#This Row],[Date Received]])</f>
        <v>41912</v>
      </c>
    </row>
    <row r="226" spans="1:25">
      <c r="A226">
        <v>8322</v>
      </c>
      <c r="B226" t="s">
        <v>1508</v>
      </c>
      <c r="D226">
        <v>12</v>
      </c>
      <c r="E226" t="s">
        <v>1504</v>
      </c>
      <c r="F226" s="4">
        <v>41912</v>
      </c>
      <c r="G226" s="4" t="s">
        <v>192</v>
      </c>
      <c r="H226" s="4" t="s">
        <v>1525</v>
      </c>
      <c r="I226" s="4">
        <v>0</v>
      </c>
      <c r="J226" s="4"/>
      <c r="K226" s="4"/>
      <c r="L226" s="4"/>
      <c r="M226" s="4"/>
      <c r="N226" s="4"/>
      <c r="O226" s="4">
        <v>0</v>
      </c>
      <c r="P226" s="4">
        <v>41918.435104166667</v>
      </c>
      <c r="Q226" s="4"/>
      <c r="R226" s="4"/>
      <c r="S226" s="79">
        <f>DbLinkTable[[#This Row],[Credit]]+DbLinkTable[[#This Row],[Charge]]</f>
        <v>0</v>
      </c>
      <c r="T226" s="79">
        <f>IF(DbLinkTable[[#This Row],[Price/lb]]*DbLinkTable[[#This Row],[Weight]]&gt;0,DbLinkTable[[#This Row],[Price/lb]]*DbLinkTable[[#This Row],[Weight]],0)</f>
        <v>0</v>
      </c>
      <c r="U226" s="79">
        <f>IF(DbLinkTable[[#This Row],[Price/lb]]*DbLinkTable[[#This Row],[Weight]]&lt;0,DbLinkTable[[#This Row],[Price/lb]]*DbLinkTable[[#This Row],[Weight]],0)</f>
        <v>0</v>
      </c>
      <c r="V226" s="4" t="str">
        <f>IF(COUNTIF($W$2:W226,W226)=1,1,"")</f>
        <v/>
      </c>
      <c r="W226" s="4" t="str">
        <f>CONCATENATE(DbLinkTable[[#This Row],[Customer]],UPPER(DbLinkTable[[#This Row],[Trailer Number]]),DbLinkTable[[#This Row],[Day Received]])</f>
        <v>Company1414441912</v>
      </c>
      <c r="X226" s="4">
        <f>DATEVALUE(TEXT(DbLinkTable[[#This Row],[Date Received]],"MMMM YYYY"))</f>
        <v>41883</v>
      </c>
      <c r="Y226" s="4">
        <f>INT(DbLinkTable[[#This Row],[Date Received]])</f>
        <v>41912</v>
      </c>
    </row>
    <row r="227" spans="1:25">
      <c r="A227">
        <v>8323</v>
      </c>
      <c r="B227" t="s">
        <v>1508</v>
      </c>
      <c r="D227">
        <v>14</v>
      </c>
      <c r="E227" t="s">
        <v>1504</v>
      </c>
      <c r="F227" s="4">
        <v>41912</v>
      </c>
      <c r="G227" s="4" t="s">
        <v>192</v>
      </c>
      <c r="H227" s="4" t="s">
        <v>1525</v>
      </c>
      <c r="I227" s="4">
        <v>0</v>
      </c>
      <c r="J227" s="4"/>
      <c r="K227" s="4"/>
      <c r="L227" s="4"/>
      <c r="M227" s="4"/>
      <c r="N227" s="4"/>
      <c r="O227" s="4">
        <v>0</v>
      </c>
      <c r="P227" s="4">
        <v>41918.435115740744</v>
      </c>
      <c r="Q227" s="4"/>
      <c r="R227" s="4"/>
      <c r="S227" s="79">
        <f>DbLinkTable[[#This Row],[Credit]]+DbLinkTable[[#This Row],[Charge]]</f>
        <v>0</v>
      </c>
      <c r="T227" s="79">
        <f>IF(DbLinkTable[[#This Row],[Price/lb]]*DbLinkTable[[#This Row],[Weight]]&gt;0,DbLinkTable[[#This Row],[Price/lb]]*DbLinkTable[[#This Row],[Weight]],0)</f>
        <v>0</v>
      </c>
      <c r="U227" s="79">
        <f>IF(DbLinkTable[[#This Row],[Price/lb]]*DbLinkTable[[#This Row],[Weight]]&lt;0,DbLinkTable[[#This Row],[Price/lb]]*DbLinkTable[[#This Row],[Weight]],0)</f>
        <v>0</v>
      </c>
      <c r="V227" s="4" t="str">
        <f>IF(COUNTIF($W$2:W227,W227)=1,1,"")</f>
        <v/>
      </c>
      <c r="W227" s="4" t="str">
        <f>CONCATENATE(DbLinkTable[[#This Row],[Customer]],UPPER(DbLinkTable[[#This Row],[Trailer Number]]),DbLinkTable[[#This Row],[Day Received]])</f>
        <v>Company1414441912</v>
      </c>
      <c r="X227" s="4">
        <f>DATEVALUE(TEXT(DbLinkTable[[#This Row],[Date Received]],"MMMM YYYY"))</f>
        <v>41883</v>
      </c>
      <c r="Y227" s="4">
        <f>INT(DbLinkTable[[#This Row],[Date Received]])</f>
        <v>41912</v>
      </c>
    </row>
    <row r="228" spans="1:25">
      <c r="A228">
        <v>8324</v>
      </c>
      <c r="B228" t="s">
        <v>45</v>
      </c>
      <c r="D228">
        <v>120</v>
      </c>
      <c r="E228" t="s">
        <v>1504</v>
      </c>
      <c r="F228" s="4">
        <v>41912</v>
      </c>
      <c r="G228" s="4" t="s">
        <v>192</v>
      </c>
      <c r="H228" s="4" t="s">
        <v>1525</v>
      </c>
      <c r="I228" s="4">
        <v>0</v>
      </c>
      <c r="J228" s="4"/>
      <c r="K228" s="4"/>
      <c r="L228" s="4"/>
      <c r="M228" s="4"/>
      <c r="N228" s="4"/>
      <c r="O228" s="4">
        <v>0</v>
      </c>
      <c r="P228" s="4">
        <v>41918.435231481482</v>
      </c>
      <c r="Q228" s="4"/>
      <c r="R228" s="4"/>
      <c r="S228" s="79">
        <f>DbLinkTable[[#This Row],[Credit]]+DbLinkTable[[#This Row],[Charge]]</f>
        <v>0</v>
      </c>
      <c r="T228" s="79">
        <f>IF(DbLinkTable[[#This Row],[Price/lb]]*DbLinkTable[[#This Row],[Weight]]&gt;0,DbLinkTable[[#This Row],[Price/lb]]*DbLinkTable[[#This Row],[Weight]],0)</f>
        <v>0</v>
      </c>
      <c r="U228" s="79">
        <f>IF(DbLinkTable[[#This Row],[Price/lb]]*DbLinkTable[[#This Row],[Weight]]&lt;0,DbLinkTable[[#This Row],[Price/lb]]*DbLinkTable[[#This Row],[Weight]],0)</f>
        <v>0</v>
      </c>
      <c r="V228" s="4" t="str">
        <f>IF(COUNTIF($W$2:W228,W228)=1,1,"")</f>
        <v/>
      </c>
      <c r="W228" s="4" t="str">
        <f>CONCATENATE(DbLinkTable[[#This Row],[Customer]],UPPER(DbLinkTable[[#This Row],[Trailer Number]]),DbLinkTable[[#This Row],[Day Received]])</f>
        <v>Company1414441912</v>
      </c>
      <c r="X228" s="4">
        <f>DATEVALUE(TEXT(DbLinkTable[[#This Row],[Date Received]],"MMMM YYYY"))</f>
        <v>41883</v>
      </c>
      <c r="Y228" s="4">
        <f>INT(DbLinkTable[[#This Row],[Date Received]])</f>
        <v>41912</v>
      </c>
    </row>
    <row r="229" spans="1:25">
      <c r="A229">
        <v>8325</v>
      </c>
      <c r="B229" t="s">
        <v>1502</v>
      </c>
      <c r="D229">
        <v>284</v>
      </c>
      <c r="E229" t="s">
        <v>1504</v>
      </c>
      <c r="F229" s="4">
        <v>41912</v>
      </c>
      <c r="G229" s="4" t="s">
        <v>192</v>
      </c>
      <c r="H229" s="4" t="s">
        <v>1525</v>
      </c>
      <c r="I229" s="4">
        <v>0</v>
      </c>
      <c r="J229" s="4"/>
      <c r="K229" s="4"/>
      <c r="L229" s="4"/>
      <c r="M229" s="4"/>
      <c r="N229" s="4"/>
      <c r="O229" s="4">
        <v>0</v>
      </c>
      <c r="P229" s="4">
        <v>41918.435324074075</v>
      </c>
      <c r="Q229" s="4"/>
      <c r="R229" s="4"/>
      <c r="S229" s="79">
        <f>DbLinkTable[[#This Row],[Credit]]+DbLinkTable[[#This Row],[Charge]]</f>
        <v>0</v>
      </c>
      <c r="T229" s="79">
        <f>IF(DbLinkTable[[#This Row],[Price/lb]]*DbLinkTable[[#This Row],[Weight]]&gt;0,DbLinkTable[[#This Row],[Price/lb]]*DbLinkTable[[#This Row],[Weight]],0)</f>
        <v>0</v>
      </c>
      <c r="U229" s="79">
        <f>IF(DbLinkTable[[#This Row],[Price/lb]]*DbLinkTable[[#This Row],[Weight]]&lt;0,DbLinkTable[[#This Row],[Price/lb]]*DbLinkTable[[#This Row],[Weight]],0)</f>
        <v>0</v>
      </c>
      <c r="V229" s="4" t="str">
        <f>IF(COUNTIF($W$2:W229,W229)=1,1,"")</f>
        <v/>
      </c>
      <c r="W229" s="4" t="str">
        <f>CONCATENATE(DbLinkTable[[#This Row],[Customer]],UPPER(DbLinkTable[[#This Row],[Trailer Number]]),DbLinkTable[[#This Row],[Day Received]])</f>
        <v>Company1414441912</v>
      </c>
      <c r="X229" s="4">
        <f>DATEVALUE(TEXT(DbLinkTable[[#This Row],[Date Received]],"MMMM YYYY"))</f>
        <v>41883</v>
      </c>
      <c r="Y229" s="4">
        <f>INT(DbLinkTable[[#This Row],[Date Received]])</f>
        <v>41912</v>
      </c>
    </row>
    <row r="230" spans="1:25">
      <c r="A230">
        <v>8609</v>
      </c>
      <c r="B230" t="s">
        <v>45</v>
      </c>
      <c r="D230">
        <v>980</v>
      </c>
      <c r="E230" t="s">
        <v>1504</v>
      </c>
      <c r="F230" s="4">
        <v>41935</v>
      </c>
      <c r="G230" s="4" t="s">
        <v>192</v>
      </c>
      <c r="H230" s="4" t="s">
        <v>1536</v>
      </c>
      <c r="I230" s="4">
        <v>0</v>
      </c>
      <c r="J230" s="4"/>
      <c r="K230" s="4"/>
      <c r="L230" s="4"/>
      <c r="M230" s="4"/>
      <c r="N230" s="4"/>
      <c r="O230" s="4">
        <v>0</v>
      </c>
      <c r="P230" s="4">
        <v>41942.431863425925</v>
      </c>
      <c r="Q230" s="4"/>
      <c r="R230" s="4"/>
      <c r="S230" s="79">
        <f>DbLinkTable[[#This Row],[Credit]]+DbLinkTable[[#This Row],[Charge]]</f>
        <v>0</v>
      </c>
      <c r="T230" s="79">
        <f>IF(DbLinkTable[[#This Row],[Price/lb]]*DbLinkTable[[#This Row],[Weight]]&gt;0,DbLinkTable[[#This Row],[Price/lb]]*DbLinkTable[[#This Row],[Weight]],0)</f>
        <v>0</v>
      </c>
      <c r="U230" s="79">
        <f>IF(DbLinkTable[[#This Row],[Price/lb]]*DbLinkTable[[#This Row],[Weight]]&lt;0,DbLinkTable[[#This Row],[Price/lb]]*DbLinkTable[[#This Row],[Weight]],0)</f>
        <v>0</v>
      </c>
      <c r="V230" s="4">
        <f>IF(COUNTIF($W$2:W230,W230)=1,1,"")</f>
        <v>1</v>
      </c>
      <c r="W230" s="4" t="str">
        <f>CONCATENATE(DbLinkTable[[#This Row],[Customer]],UPPER(DbLinkTable[[#This Row],[Trailer Number]]),DbLinkTable[[#This Row],[Day Received]])</f>
        <v>Company1421441935</v>
      </c>
      <c r="X230" s="4">
        <f>DATEVALUE(TEXT(DbLinkTable[[#This Row],[Date Received]],"MMMM YYYY"))</f>
        <v>41913</v>
      </c>
      <c r="Y230" s="4">
        <f>INT(DbLinkTable[[#This Row],[Date Received]])</f>
        <v>41935</v>
      </c>
    </row>
    <row r="231" spans="1:25">
      <c r="A231">
        <v>8721</v>
      </c>
      <c r="B231" t="s">
        <v>43</v>
      </c>
      <c r="D231">
        <v>104</v>
      </c>
      <c r="E231" t="s">
        <v>1504</v>
      </c>
      <c r="F231" s="4">
        <v>41940</v>
      </c>
      <c r="G231" s="4" t="s">
        <v>192</v>
      </c>
      <c r="H231" s="4" t="s">
        <v>1516</v>
      </c>
      <c r="I231" s="4">
        <v>0</v>
      </c>
      <c r="J231" s="4"/>
      <c r="K231" s="4"/>
      <c r="L231" s="4"/>
      <c r="M231" s="4"/>
      <c r="N231" s="4"/>
      <c r="O231" s="4">
        <v>0</v>
      </c>
      <c r="P231" s="4">
        <v>41949.53465277778</v>
      </c>
      <c r="Q231" s="4"/>
      <c r="R231" s="4"/>
      <c r="S231" s="79">
        <f>DbLinkTable[[#This Row],[Credit]]+DbLinkTable[[#This Row],[Charge]]</f>
        <v>0</v>
      </c>
      <c r="T231" s="79">
        <f>IF(DbLinkTable[[#This Row],[Price/lb]]*DbLinkTable[[#This Row],[Weight]]&gt;0,DbLinkTable[[#This Row],[Price/lb]]*DbLinkTable[[#This Row],[Weight]],0)</f>
        <v>0</v>
      </c>
      <c r="U231" s="79">
        <f>IF(DbLinkTable[[#This Row],[Price/lb]]*DbLinkTable[[#This Row],[Weight]]&lt;0,DbLinkTable[[#This Row],[Price/lb]]*DbLinkTable[[#This Row],[Weight]],0)</f>
        <v>0</v>
      </c>
      <c r="V231" s="4">
        <f>IF(COUNTIF($W$2:W231,W231)=1,1,"")</f>
        <v>1</v>
      </c>
      <c r="W231" s="4" t="str">
        <f>CONCATENATE(DbLinkTable[[#This Row],[Customer]],UPPER(DbLinkTable[[#This Row],[Trailer Number]]),DbLinkTable[[#This Row],[Day Received]])</f>
        <v>Company1419241940</v>
      </c>
      <c r="X231" s="4">
        <f>DATEVALUE(TEXT(DbLinkTable[[#This Row],[Date Received]],"MMMM YYYY"))</f>
        <v>41913</v>
      </c>
      <c r="Y231" s="4">
        <f>INT(DbLinkTable[[#This Row],[Date Received]])</f>
        <v>41940</v>
      </c>
    </row>
    <row r="232" spans="1:25">
      <c r="A232">
        <v>8722</v>
      </c>
      <c r="B232" t="s">
        <v>43</v>
      </c>
      <c r="D232">
        <v>290</v>
      </c>
      <c r="E232" t="s">
        <v>1504</v>
      </c>
      <c r="F232" s="4">
        <v>41940</v>
      </c>
      <c r="G232" s="4" t="s">
        <v>192</v>
      </c>
      <c r="H232" s="4" t="s">
        <v>1516</v>
      </c>
      <c r="I232" s="4">
        <v>0</v>
      </c>
      <c r="J232" s="4"/>
      <c r="K232" s="4"/>
      <c r="L232" s="4"/>
      <c r="M232" s="4"/>
      <c r="N232" s="4"/>
      <c r="O232" s="4">
        <v>0</v>
      </c>
      <c r="P232" s="4">
        <v>41949.535381944443</v>
      </c>
      <c r="Q232" s="4"/>
      <c r="R232" s="4"/>
      <c r="S232" s="79">
        <f>DbLinkTable[[#This Row],[Credit]]+DbLinkTable[[#This Row],[Charge]]</f>
        <v>0</v>
      </c>
      <c r="T232" s="79">
        <f>IF(DbLinkTable[[#This Row],[Price/lb]]*DbLinkTable[[#This Row],[Weight]]&gt;0,DbLinkTable[[#This Row],[Price/lb]]*DbLinkTable[[#This Row],[Weight]],0)</f>
        <v>0</v>
      </c>
      <c r="U232" s="79">
        <f>IF(DbLinkTable[[#This Row],[Price/lb]]*DbLinkTable[[#This Row],[Weight]]&lt;0,DbLinkTable[[#This Row],[Price/lb]]*DbLinkTable[[#This Row],[Weight]],0)</f>
        <v>0</v>
      </c>
      <c r="V232" s="4" t="str">
        <f>IF(COUNTIF($W$2:W232,W232)=1,1,"")</f>
        <v/>
      </c>
      <c r="W232" s="4" t="str">
        <f>CONCATENATE(DbLinkTable[[#This Row],[Customer]],UPPER(DbLinkTable[[#This Row],[Trailer Number]]),DbLinkTable[[#This Row],[Day Received]])</f>
        <v>Company1419241940</v>
      </c>
      <c r="X232" s="4">
        <f>DATEVALUE(TEXT(DbLinkTable[[#This Row],[Date Received]],"MMMM YYYY"))</f>
        <v>41913</v>
      </c>
      <c r="Y232" s="4">
        <f>INT(DbLinkTable[[#This Row],[Date Received]])</f>
        <v>41940</v>
      </c>
    </row>
    <row r="233" spans="1:25">
      <c r="A233">
        <v>8723</v>
      </c>
      <c r="B233" t="s">
        <v>43</v>
      </c>
      <c r="D233">
        <v>134</v>
      </c>
      <c r="E233" t="s">
        <v>1504</v>
      </c>
      <c r="F233" s="4">
        <v>41940</v>
      </c>
      <c r="G233" s="4" t="s">
        <v>192</v>
      </c>
      <c r="H233" s="4" t="s">
        <v>1516</v>
      </c>
      <c r="I233" s="4">
        <v>0</v>
      </c>
      <c r="J233" s="4"/>
      <c r="K233" s="4"/>
      <c r="L233" s="4"/>
      <c r="M233" s="4"/>
      <c r="N233" s="4"/>
      <c r="O233" s="4">
        <v>0</v>
      </c>
      <c r="P233" s="4">
        <v>41949.535416666666</v>
      </c>
      <c r="Q233" s="4"/>
      <c r="R233" s="4"/>
      <c r="S233" s="79">
        <f>DbLinkTable[[#This Row],[Credit]]+DbLinkTable[[#This Row],[Charge]]</f>
        <v>0</v>
      </c>
      <c r="T233" s="79">
        <f>IF(DbLinkTable[[#This Row],[Price/lb]]*DbLinkTable[[#This Row],[Weight]]&gt;0,DbLinkTable[[#This Row],[Price/lb]]*DbLinkTable[[#This Row],[Weight]],0)</f>
        <v>0</v>
      </c>
      <c r="U233" s="79">
        <f>IF(DbLinkTable[[#This Row],[Price/lb]]*DbLinkTable[[#This Row],[Weight]]&lt;0,DbLinkTable[[#This Row],[Price/lb]]*DbLinkTable[[#This Row],[Weight]],0)</f>
        <v>0</v>
      </c>
      <c r="V233" s="4" t="str">
        <f>IF(COUNTIF($W$2:W233,W233)=1,1,"")</f>
        <v/>
      </c>
      <c r="W233" s="4" t="str">
        <f>CONCATENATE(DbLinkTable[[#This Row],[Customer]],UPPER(DbLinkTable[[#This Row],[Trailer Number]]),DbLinkTable[[#This Row],[Day Received]])</f>
        <v>Company1419241940</v>
      </c>
      <c r="X233" s="4">
        <f>DATEVALUE(TEXT(DbLinkTable[[#This Row],[Date Received]],"MMMM YYYY"))</f>
        <v>41913</v>
      </c>
      <c r="Y233" s="4">
        <f>INT(DbLinkTable[[#This Row],[Date Received]])</f>
        <v>41940</v>
      </c>
    </row>
    <row r="234" spans="1:25">
      <c r="A234">
        <v>8724</v>
      </c>
      <c r="B234" t="s">
        <v>43</v>
      </c>
      <c r="D234">
        <v>110</v>
      </c>
      <c r="E234" t="s">
        <v>1504</v>
      </c>
      <c r="F234" s="4">
        <v>41940</v>
      </c>
      <c r="G234" s="4" t="s">
        <v>192</v>
      </c>
      <c r="H234" s="4" t="s">
        <v>1516</v>
      </c>
      <c r="I234" s="4">
        <v>0</v>
      </c>
      <c r="J234" s="4"/>
      <c r="K234" s="4"/>
      <c r="L234" s="4"/>
      <c r="M234" s="4"/>
      <c r="N234" s="4"/>
      <c r="O234" s="4">
        <v>0</v>
      </c>
      <c r="P234" s="4">
        <v>41949.535439814812</v>
      </c>
      <c r="Q234" s="4"/>
      <c r="R234" s="4"/>
      <c r="S234" s="79">
        <f>DbLinkTable[[#This Row],[Credit]]+DbLinkTable[[#This Row],[Charge]]</f>
        <v>0</v>
      </c>
      <c r="T234" s="79">
        <f>IF(DbLinkTable[[#This Row],[Price/lb]]*DbLinkTable[[#This Row],[Weight]]&gt;0,DbLinkTable[[#This Row],[Price/lb]]*DbLinkTable[[#This Row],[Weight]],0)</f>
        <v>0</v>
      </c>
      <c r="U234" s="79">
        <f>IF(DbLinkTable[[#This Row],[Price/lb]]*DbLinkTable[[#This Row],[Weight]]&lt;0,DbLinkTable[[#This Row],[Price/lb]]*DbLinkTable[[#This Row],[Weight]],0)</f>
        <v>0</v>
      </c>
      <c r="V234" s="4" t="str">
        <f>IF(COUNTIF($W$2:W234,W234)=1,1,"")</f>
        <v/>
      </c>
      <c r="W234" s="4" t="str">
        <f>CONCATENATE(DbLinkTable[[#This Row],[Customer]],UPPER(DbLinkTable[[#This Row],[Trailer Number]]),DbLinkTable[[#This Row],[Day Received]])</f>
        <v>Company1419241940</v>
      </c>
      <c r="X234" s="4">
        <f>DATEVALUE(TEXT(DbLinkTable[[#This Row],[Date Received]],"MMMM YYYY"))</f>
        <v>41913</v>
      </c>
      <c r="Y234" s="4">
        <f>INT(DbLinkTable[[#This Row],[Date Received]])</f>
        <v>41940</v>
      </c>
    </row>
    <row r="235" spans="1:25">
      <c r="A235">
        <v>8725</v>
      </c>
      <c r="B235" t="s">
        <v>43</v>
      </c>
      <c r="D235">
        <v>166</v>
      </c>
      <c r="E235" t="s">
        <v>1504</v>
      </c>
      <c r="F235" s="4">
        <v>41940</v>
      </c>
      <c r="G235" s="4" t="s">
        <v>192</v>
      </c>
      <c r="H235" s="4" t="s">
        <v>1516</v>
      </c>
      <c r="I235" s="4">
        <v>0</v>
      </c>
      <c r="J235" s="4"/>
      <c r="K235" s="4"/>
      <c r="L235" s="4"/>
      <c r="M235" s="4"/>
      <c r="N235" s="4"/>
      <c r="O235" s="4">
        <v>0</v>
      </c>
      <c r="P235" s="4">
        <v>41949.535474537035</v>
      </c>
      <c r="Q235" s="4"/>
      <c r="R235" s="4"/>
      <c r="S235" s="79">
        <f>DbLinkTable[[#This Row],[Credit]]+DbLinkTable[[#This Row],[Charge]]</f>
        <v>0</v>
      </c>
      <c r="T235" s="79">
        <f>IF(DbLinkTable[[#This Row],[Price/lb]]*DbLinkTable[[#This Row],[Weight]]&gt;0,DbLinkTable[[#This Row],[Price/lb]]*DbLinkTable[[#This Row],[Weight]],0)</f>
        <v>0</v>
      </c>
      <c r="U235" s="79">
        <f>IF(DbLinkTable[[#This Row],[Price/lb]]*DbLinkTable[[#This Row],[Weight]]&lt;0,DbLinkTable[[#This Row],[Price/lb]]*DbLinkTable[[#This Row],[Weight]],0)</f>
        <v>0</v>
      </c>
      <c r="V235" s="4" t="str">
        <f>IF(COUNTIF($W$2:W235,W235)=1,1,"")</f>
        <v/>
      </c>
      <c r="W235" s="4" t="str">
        <f>CONCATENATE(DbLinkTable[[#This Row],[Customer]],UPPER(DbLinkTable[[#This Row],[Trailer Number]]),DbLinkTable[[#This Row],[Day Received]])</f>
        <v>Company1419241940</v>
      </c>
      <c r="X235" s="4">
        <f>DATEVALUE(TEXT(DbLinkTable[[#This Row],[Date Received]],"MMMM YYYY"))</f>
        <v>41913</v>
      </c>
      <c r="Y235" s="4">
        <f>INT(DbLinkTable[[#This Row],[Date Received]])</f>
        <v>41940</v>
      </c>
    </row>
    <row r="236" spans="1:25">
      <c r="A236">
        <v>8726</v>
      </c>
      <c r="B236" t="s">
        <v>45</v>
      </c>
      <c r="D236">
        <v>490</v>
      </c>
      <c r="E236" t="s">
        <v>1504</v>
      </c>
      <c r="F236" s="4">
        <v>41940</v>
      </c>
      <c r="G236" s="4" t="s">
        <v>192</v>
      </c>
      <c r="H236" s="4" t="s">
        <v>1516</v>
      </c>
      <c r="I236" s="4">
        <v>0</v>
      </c>
      <c r="J236" s="4"/>
      <c r="K236" s="4"/>
      <c r="L236" s="4"/>
      <c r="M236" s="4"/>
      <c r="N236" s="4"/>
      <c r="O236" s="4">
        <v>0</v>
      </c>
      <c r="P236" s="4">
        <v>41949.535856481481</v>
      </c>
      <c r="Q236" s="4"/>
      <c r="R236" s="4"/>
      <c r="S236" s="79">
        <f>DbLinkTable[[#This Row],[Credit]]+DbLinkTable[[#This Row],[Charge]]</f>
        <v>0</v>
      </c>
      <c r="T236" s="79">
        <f>IF(DbLinkTable[[#This Row],[Price/lb]]*DbLinkTable[[#This Row],[Weight]]&gt;0,DbLinkTable[[#This Row],[Price/lb]]*DbLinkTable[[#This Row],[Weight]],0)</f>
        <v>0</v>
      </c>
      <c r="U236" s="79">
        <f>IF(DbLinkTable[[#This Row],[Price/lb]]*DbLinkTable[[#This Row],[Weight]]&lt;0,DbLinkTable[[#This Row],[Price/lb]]*DbLinkTable[[#This Row],[Weight]],0)</f>
        <v>0</v>
      </c>
      <c r="V236" s="4" t="str">
        <f>IF(COUNTIF($W$2:W236,W236)=1,1,"")</f>
        <v/>
      </c>
      <c r="W236" s="4" t="str">
        <f>CONCATENATE(DbLinkTable[[#This Row],[Customer]],UPPER(DbLinkTable[[#This Row],[Trailer Number]]),DbLinkTable[[#This Row],[Day Received]])</f>
        <v>Company1419241940</v>
      </c>
      <c r="X236" s="4">
        <f>DATEVALUE(TEXT(DbLinkTable[[#This Row],[Date Received]],"MMMM YYYY"))</f>
        <v>41913</v>
      </c>
      <c r="Y236" s="4">
        <f>INT(DbLinkTable[[#This Row],[Date Received]])</f>
        <v>41940</v>
      </c>
    </row>
    <row r="237" spans="1:25">
      <c r="A237">
        <v>8727</v>
      </c>
      <c r="B237" t="s">
        <v>1530</v>
      </c>
      <c r="D237">
        <v>126</v>
      </c>
      <c r="E237" t="s">
        <v>1504</v>
      </c>
      <c r="F237" s="4">
        <v>41940</v>
      </c>
      <c r="G237" s="4" t="s">
        <v>192</v>
      </c>
      <c r="H237" s="4" t="s">
        <v>1516</v>
      </c>
      <c r="I237" s="4">
        <v>0</v>
      </c>
      <c r="J237" s="4"/>
      <c r="K237" s="4"/>
      <c r="L237" s="4"/>
      <c r="M237" s="4"/>
      <c r="N237" s="4"/>
      <c r="O237" s="4">
        <v>0</v>
      </c>
      <c r="P237" s="4">
        <v>41949.536099537036</v>
      </c>
      <c r="Q237" s="4"/>
      <c r="R237" s="4"/>
      <c r="S237" s="79">
        <f>DbLinkTable[[#This Row],[Credit]]+DbLinkTable[[#This Row],[Charge]]</f>
        <v>0</v>
      </c>
      <c r="T237" s="79">
        <f>IF(DbLinkTable[[#This Row],[Price/lb]]*DbLinkTable[[#This Row],[Weight]]&gt;0,DbLinkTable[[#This Row],[Price/lb]]*DbLinkTable[[#This Row],[Weight]],0)</f>
        <v>0</v>
      </c>
      <c r="U237" s="79">
        <f>IF(DbLinkTable[[#This Row],[Price/lb]]*DbLinkTable[[#This Row],[Weight]]&lt;0,DbLinkTable[[#This Row],[Price/lb]]*DbLinkTable[[#This Row],[Weight]],0)</f>
        <v>0</v>
      </c>
      <c r="V237" s="4" t="str">
        <f>IF(COUNTIF($W$2:W237,W237)=1,1,"")</f>
        <v/>
      </c>
      <c r="W237" s="4" t="str">
        <f>CONCATENATE(DbLinkTable[[#This Row],[Customer]],UPPER(DbLinkTable[[#This Row],[Trailer Number]]),DbLinkTable[[#This Row],[Day Received]])</f>
        <v>Company1419241940</v>
      </c>
      <c r="X237" s="4">
        <f>DATEVALUE(TEXT(DbLinkTable[[#This Row],[Date Received]],"MMMM YYYY"))</f>
        <v>41913</v>
      </c>
      <c r="Y237" s="4">
        <f>INT(DbLinkTable[[#This Row],[Date Received]])</f>
        <v>41940</v>
      </c>
    </row>
    <row r="238" spans="1:25">
      <c r="A238">
        <v>8728</v>
      </c>
      <c r="B238" t="s">
        <v>1530</v>
      </c>
      <c r="D238">
        <v>208</v>
      </c>
      <c r="E238" t="s">
        <v>1504</v>
      </c>
      <c r="F238" s="4">
        <v>41940</v>
      </c>
      <c r="G238" s="4" t="s">
        <v>192</v>
      </c>
      <c r="H238" s="4" t="s">
        <v>1516</v>
      </c>
      <c r="I238" s="4">
        <v>0</v>
      </c>
      <c r="J238" s="4"/>
      <c r="K238" s="4"/>
      <c r="L238" s="4"/>
      <c r="M238" s="4"/>
      <c r="N238" s="4"/>
      <c r="O238" s="4">
        <v>0</v>
      </c>
      <c r="P238" s="4">
        <v>41949.536122685182</v>
      </c>
      <c r="Q238" s="4"/>
      <c r="R238" s="4"/>
      <c r="S238" s="79">
        <f>DbLinkTable[[#This Row],[Credit]]+DbLinkTable[[#This Row],[Charge]]</f>
        <v>0</v>
      </c>
      <c r="T238" s="79">
        <f>IF(DbLinkTable[[#This Row],[Price/lb]]*DbLinkTable[[#This Row],[Weight]]&gt;0,DbLinkTable[[#This Row],[Price/lb]]*DbLinkTable[[#This Row],[Weight]],0)</f>
        <v>0</v>
      </c>
      <c r="U238" s="79">
        <f>IF(DbLinkTable[[#This Row],[Price/lb]]*DbLinkTable[[#This Row],[Weight]]&lt;0,DbLinkTable[[#This Row],[Price/lb]]*DbLinkTable[[#This Row],[Weight]],0)</f>
        <v>0</v>
      </c>
      <c r="V238" s="4" t="str">
        <f>IF(COUNTIF($W$2:W238,W238)=1,1,"")</f>
        <v/>
      </c>
      <c r="W238" s="4" t="str">
        <f>CONCATENATE(DbLinkTable[[#This Row],[Customer]],UPPER(DbLinkTable[[#This Row],[Trailer Number]]),DbLinkTable[[#This Row],[Day Received]])</f>
        <v>Company1419241940</v>
      </c>
      <c r="X238" s="4">
        <f>DATEVALUE(TEXT(DbLinkTable[[#This Row],[Date Received]],"MMMM YYYY"))</f>
        <v>41913</v>
      </c>
      <c r="Y238" s="4">
        <f>INT(DbLinkTable[[#This Row],[Date Received]])</f>
        <v>41940</v>
      </c>
    </row>
    <row r="239" spans="1:25">
      <c r="A239">
        <v>8729</v>
      </c>
      <c r="B239" t="s">
        <v>1509</v>
      </c>
      <c r="D239">
        <v>694</v>
      </c>
      <c r="E239" t="s">
        <v>1504</v>
      </c>
      <c r="F239" s="4">
        <v>41940</v>
      </c>
      <c r="G239" s="4" t="s">
        <v>192</v>
      </c>
      <c r="H239" s="4" t="s">
        <v>1516</v>
      </c>
      <c r="I239" s="4">
        <v>0</v>
      </c>
      <c r="J239" s="4"/>
      <c r="K239" s="4"/>
      <c r="L239" s="4"/>
      <c r="M239" s="4"/>
      <c r="N239" s="4"/>
      <c r="O239" s="4">
        <v>0</v>
      </c>
      <c r="P239" s="4">
        <v>41949.536261574074</v>
      </c>
      <c r="Q239" s="4"/>
      <c r="R239" s="4"/>
      <c r="S239" s="79">
        <f>DbLinkTable[[#This Row],[Credit]]+DbLinkTable[[#This Row],[Charge]]</f>
        <v>0</v>
      </c>
      <c r="T239" s="79">
        <f>IF(DbLinkTable[[#This Row],[Price/lb]]*DbLinkTable[[#This Row],[Weight]]&gt;0,DbLinkTable[[#This Row],[Price/lb]]*DbLinkTable[[#This Row],[Weight]],0)</f>
        <v>0</v>
      </c>
      <c r="U239" s="79">
        <f>IF(DbLinkTable[[#This Row],[Price/lb]]*DbLinkTable[[#This Row],[Weight]]&lt;0,DbLinkTable[[#This Row],[Price/lb]]*DbLinkTable[[#This Row],[Weight]],0)</f>
        <v>0</v>
      </c>
      <c r="V239" s="4" t="str">
        <f>IF(COUNTIF($W$2:W239,W239)=1,1,"")</f>
        <v/>
      </c>
      <c r="W239" s="4" t="str">
        <f>CONCATENATE(DbLinkTable[[#This Row],[Customer]],UPPER(DbLinkTable[[#This Row],[Trailer Number]]),DbLinkTable[[#This Row],[Day Received]])</f>
        <v>Company1419241940</v>
      </c>
      <c r="X239" s="4">
        <f>DATEVALUE(TEXT(DbLinkTable[[#This Row],[Date Received]],"MMMM YYYY"))</f>
        <v>41913</v>
      </c>
      <c r="Y239" s="4">
        <f>INT(DbLinkTable[[#This Row],[Date Received]])</f>
        <v>41940</v>
      </c>
    </row>
    <row r="240" spans="1:25">
      <c r="A240">
        <v>8730</v>
      </c>
      <c r="B240" t="s">
        <v>1502</v>
      </c>
      <c r="D240">
        <v>704</v>
      </c>
      <c r="E240" t="s">
        <v>1504</v>
      </c>
      <c r="F240" s="4">
        <v>41940</v>
      </c>
      <c r="G240" s="4" t="s">
        <v>192</v>
      </c>
      <c r="H240" s="4" t="s">
        <v>1516</v>
      </c>
      <c r="I240" s="4">
        <v>0</v>
      </c>
      <c r="J240" s="4"/>
      <c r="K240" s="4"/>
      <c r="L240" s="4"/>
      <c r="M240" s="4"/>
      <c r="N240" s="4"/>
      <c r="O240" s="4">
        <v>0</v>
      </c>
      <c r="P240" s="4">
        <v>41949.536469907405</v>
      </c>
      <c r="Q240" s="4"/>
      <c r="R240" s="4"/>
      <c r="S240" s="79">
        <f>DbLinkTable[[#This Row],[Credit]]+DbLinkTable[[#This Row],[Charge]]</f>
        <v>0</v>
      </c>
      <c r="T240" s="79">
        <f>IF(DbLinkTable[[#This Row],[Price/lb]]*DbLinkTable[[#This Row],[Weight]]&gt;0,DbLinkTable[[#This Row],[Price/lb]]*DbLinkTable[[#This Row],[Weight]],0)</f>
        <v>0</v>
      </c>
      <c r="U240" s="79">
        <f>IF(DbLinkTable[[#This Row],[Price/lb]]*DbLinkTable[[#This Row],[Weight]]&lt;0,DbLinkTable[[#This Row],[Price/lb]]*DbLinkTable[[#This Row],[Weight]],0)</f>
        <v>0</v>
      </c>
      <c r="V240" s="4" t="str">
        <f>IF(COUNTIF($W$2:W240,W240)=1,1,"")</f>
        <v/>
      </c>
      <c r="W240" s="4" t="str">
        <f>CONCATENATE(DbLinkTable[[#This Row],[Customer]],UPPER(DbLinkTable[[#This Row],[Trailer Number]]),DbLinkTable[[#This Row],[Day Received]])</f>
        <v>Company1419241940</v>
      </c>
      <c r="X240" s="4">
        <f>DATEVALUE(TEXT(DbLinkTable[[#This Row],[Date Received]],"MMMM YYYY"))</f>
        <v>41913</v>
      </c>
      <c r="Y240" s="4">
        <f>INT(DbLinkTable[[#This Row],[Date Received]])</f>
        <v>41940</v>
      </c>
    </row>
    <row r="241" spans="1:25">
      <c r="A241">
        <v>8731</v>
      </c>
      <c r="B241" t="s">
        <v>48</v>
      </c>
      <c r="D241">
        <v>122</v>
      </c>
      <c r="E241" t="s">
        <v>1504</v>
      </c>
      <c r="F241" s="4">
        <v>41940</v>
      </c>
      <c r="G241" s="4" t="s">
        <v>192</v>
      </c>
      <c r="H241" s="4" t="s">
        <v>1516</v>
      </c>
      <c r="I241" s="4">
        <v>0</v>
      </c>
      <c r="J241" s="4"/>
      <c r="K241" s="4"/>
      <c r="L241" s="4"/>
      <c r="M241" s="4"/>
      <c r="N241" s="4"/>
      <c r="O241" s="4">
        <v>0</v>
      </c>
      <c r="P241" s="4">
        <v>41949.536539351851</v>
      </c>
      <c r="Q241" s="4"/>
      <c r="R241" s="4"/>
      <c r="S241" s="79">
        <f>DbLinkTable[[#This Row],[Credit]]+DbLinkTable[[#This Row],[Charge]]</f>
        <v>0</v>
      </c>
      <c r="T241" s="79">
        <f>IF(DbLinkTable[[#This Row],[Price/lb]]*DbLinkTable[[#This Row],[Weight]]&gt;0,DbLinkTable[[#This Row],[Price/lb]]*DbLinkTable[[#This Row],[Weight]],0)</f>
        <v>0</v>
      </c>
      <c r="U241" s="79">
        <f>IF(DbLinkTable[[#This Row],[Price/lb]]*DbLinkTable[[#This Row],[Weight]]&lt;0,DbLinkTable[[#This Row],[Price/lb]]*DbLinkTable[[#This Row],[Weight]],0)</f>
        <v>0</v>
      </c>
      <c r="V241" s="4" t="str">
        <f>IF(COUNTIF($W$2:W241,W241)=1,1,"")</f>
        <v/>
      </c>
      <c r="W241" s="4" t="str">
        <f>CONCATENATE(DbLinkTable[[#This Row],[Customer]],UPPER(DbLinkTable[[#This Row],[Trailer Number]]),DbLinkTable[[#This Row],[Day Received]])</f>
        <v>Company1419241940</v>
      </c>
      <c r="X241" s="4">
        <f>DATEVALUE(TEXT(DbLinkTable[[#This Row],[Date Received]],"MMMM YYYY"))</f>
        <v>41913</v>
      </c>
      <c r="Y241" s="4">
        <f>INT(DbLinkTable[[#This Row],[Date Received]])</f>
        <v>41940</v>
      </c>
    </row>
    <row r="242" spans="1:25">
      <c r="A242">
        <v>8764</v>
      </c>
      <c r="B242" t="s">
        <v>45</v>
      </c>
      <c r="D242">
        <v>875</v>
      </c>
      <c r="E242" t="s">
        <v>1504</v>
      </c>
      <c r="F242" s="4">
        <v>41932</v>
      </c>
      <c r="G242" s="4" t="s">
        <v>192</v>
      </c>
      <c r="H242" s="4" t="s">
        <v>1512</v>
      </c>
      <c r="I242" s="4">
        <v>0</v>
      </c>
      <c r="J242" s="4"/>
      <c r="K242" s="4"/>
      <c r="L242" s="4"/>
      <c r="M242" s="4"/>
      <c r="N242" s="4"/>
      <c r="O242" s="4">
        <v>0</v>
      </c>
      <c r="P242" s="4">
        <v>41949.556597222225</v>
      </c>
      <c r="Q242" s="4"/>
      <c r="R242" s="4"/>
      <c r="S242" s="79">
        <f>DbLinkTable[[#This Row],[Credit]]+DbLinkTable[[#This Row],[Charge]]</f>
        <v>0</v>
      </c>
      <c r="T242" s="79">
        <f>IF(DbLinkTable[[#This Row],[Price/lb]]*DbLinkTable[[#This Row],[Weight]]&gt;0,DbLinkTable[[#This Row],[Price/lb]]*DbLinkTable[[#This Row],[Weight]],0)</f>
        <v>0</v>
      </c>
      <c r="U242" s="79">
        <f>IF(DbLinkTable[[#This Row],[Price/lb]]*DbLinkTable[[#This Row],[Weight]]&lt;0,DbLinkTable[[#This Row],[Price/lb]]*DbLinkTable[[#This Row],[Weight]],0)</f>
        <v>0</v>
      </c>
      <c r="V242" s="4">
        <f>IF(COUNTIF($W$2:W242,W242)=1,1,"")</f>
        <v>1</v>
      </c>
      <c r="W242" s="4" t="str">
        <f>CONCATENATE(DbLinkTable[[#This Row],[Customer]],UPPER(DbLinkTable[[#This Row],[Trailer Number]]),DbLinkTable[[#This Row],[Day Received]])</f>
        <v>Company1434341932</v>
      </c>
      <c r="X242" s="4">
        <f>DATEVALUE(TEXT(DbLinkTable[[#This Row],[Date Received]],"MMMM YYYY"))</f>
        <v>41913</v>
      </c>
      <c r="Y242" s="4">
        <f>INT(DbLinkTable[[#This Row],[Date Received]])</f>
        <v>41932</v>
      </c>
    </row>
    <row r="243" spans="1:25">
      <c r="A243">
        <v>8765</v>
      </c>
      <c r="B243" t="s">
        <v>43</v>
      </c>
      <c r="D243">
        <v>88</v>
      </c>
      <c r="E243" t="s">
        <v>1504</v>
      </c>
      <c r="F243" s="4">
        <v>41932</v>
      </c>
      <c r="G243" s="4" t="s">
        <v>192</v>
      </c>
      <c r="H243" s="4" t="s">
        <v>1512</v>
      </c>
      <c r="I243" s="4">
        <v>0</v>
      </c>
      <c r="J243" s="4"/>
      <c r="K243" s="4"/>
      <c r="L243" s="4"/>
      <c r="M243" s="4"/>
      <c r="N243" s="4"/>
      <c r="O243" s="4">
        <v>0</v>
      </c>
      <c r="P243" s="4">
        <v>41949.55667824074</v>
      </c>
      <c r="Q243" s="4"/>
      <c r="R243" s="4"/>
      <c r="S243" s="79">
        <f>DbLinkTable[[#This Row],[Credit]]+DbLinkTable[[#This Row],[Charge]]</f>
        <v>0</v>
      </c>
      <c r="T243" s="79">
        <f>IF(DbLinkTable[[#This Row],[Price/lb]]*DbLinkTable[[#This Row],[Weight]]&gt;0,DbLinkTable[[#This Row],[Price/lb]]*DbLinkTable[[#This Row],[Weight]],0)</f>
        <v>0</v>
      </c>
      <c r="U243" s="79">
        <f>IF(DbLinkTable[[#This Row],[Price/lb]]*DbLinkTable[[#This Row],[Weight]]&lt;0,DbLinkTable[[#This Row],[Price/lb]]*DbLinkTable[[#This Row],[Weight]],0)</f>
        <v>0</v>
      </c>
      <c r="V243" s="4" t="str">
        <f>IF(COUNTIF($W$2:W243,W243)=1,1,"")</f>
        <v/>
      </c>
      <c r="W243" s="4" t="str">
        <f>CONCATENATE(DbLinkTable[[#This Row],[Customer]],UPPER(DbLinkTable[[#This Row],[Trailer Number]]),DbLinkTable[[#This Row],[Day Received]])</f>
        <v>Company1434341932</v>
      </c>
      <c r="X243" s="4">
        <f>DATEVALUE(TEXT(DbLinkTable[[#This Row],[Date Received]],"MMMM YYYY"))</f>
        <v>41913</v>
      </c>
      <c r="Y243" s="4">
        <f>INT(DbLinkTable[[#This Row],[Date Received]])</f>
        <v>41932</v>
      </c>
    </row>
    <row r="244" spans="1:25">
      <c r="A244">
        <v>8766</v>
      </c>
      <c r="B244" t="s">
        <v>43</v>
      </c>
      <c r="D244">
        <v>170</v>
      </c>
      <c r="E244" t="s">
        <v>1504</v>
      </c>
      <c r="F244" s="4">
        <v>41932</v>
      </c>
      <c r="G244" s="4" t="s">
        <v>192</v>
      </c>
      <c r="H244" s="4" t="s">
        <v>1512</v>
      </c>
      <c r="I244" s="4">
        <v>0</v>
      </c>
      <c r="J244" s="4"/>
      <c r="K244" s="4"/>
      <c r="L244" s="4"/>
      <c r="M244" s="4"/>
      <c r="N244" s="4"/>
      <c r="O244" s="4">
        <v>0</v>
      </c>
      <c r="P244" s="4">
        <v>41949.576319444444</v>
      </c>
      <c r="Q244" s="4"/>
      <c r="R244" s="4"/>
      <c r="S244" s="79">
        <f>DbLinkTable[[#This Row],[Credit]]+DbLinkTable[[#This Row],[Charge]]</f>
        <v>0</v>
      </c>
      <c r="T244" s="79">
        <f>IF(DbLinkTable[[#This Row],[Price/lb]]*DbLinkTable[[#This Row],[Weight]]&gt;0,DbLinkTable[[#This Row],[Price/lb]]*DbLinkTable[[#This Row],[Weight]],0)</f>
        <v>0</v>
      </c>
      <c r="U244" s="79">
        <f>IF(DbLinkTable[[#This Row],[Price/lb]]*DbLinkTable[[#This Row],[Weight]]&lt;0,DbLinkTable[[#This Row],[Price/lb]]*DbLinkTable[[#This Row],[Weight]],0)</f>
        <v>0</v>
      </c>
      <c r="V244" s="4" t="str">
        <f>IF(COUNTIF($W$2:W244,W244)=1,1,"")</f>
        <v/>
      </c>
      <c r="W244" s="4" t="str">
        <f>CONCATENATE(DbLinkTable[[#This Row],[Customer]],UPPER(DbLinkTable[[#This Row],[Trailer Number]]),DbLinkTable[[#This Row],[Day Received]])</f>
        <v>Company1434341932</v>
      </c>
      <c r="X244" s="4">
        <f>DATEVALUE(TEXT(DbLinkTable[[#This Row],[Date Received]],"MMMM YYYY"))</f>
        <v>41913</v>
      </c>
      <c r="Y244" s="4">
        <f>INT(DbLinkTable[[#This Row],[Date Received]])</f>
        <v>41932</v>
      </c>
    </row>
    <row r="245" spans="1:25">
      <c r="A245">
        <v>8767</v>
      </c>
      <c r="B245" t="s">
        <v>43</v>
      </c>
      <c r="D245">
        <v>134</v>
      </c>
      <c r="E245" t="s">
        <v>1504</v>
      </c>
      <c r="F245" s="4">
        <v>41932</v>
      </c>
      <c r="G245" s="4" t="s">
        <v>192</v>
      </c>
      <c r="H245" s="4" t="s">
        <v>1512</v>
      </c>
      <c r="I245" s="4">
        <v>0</v>
      </c>
      <c r="J245" s="4"/>
      <c r="K245" s="4"/>
      <c r="L245" s="4"/>
      <c r="M245" s="4"/>
      <c r="N245" s="4"/>
      <c r="O245" s="4">
        <v>0</v>
      </c>
      <c r="P245" s="4">
        <v>41949.576388888891</v>
      </c>
      <c r="Q245" s="4"/>
      <c r="R245" s="4"/>
      <c r="S245" s="79">
        <f>DbLinkTable[[#This Row],[Credit]]+DbLinkTable[[#This Row],[Charge]]</f>
        <v>0</v>
      </c>
      <c r="T245" s="79">
        <f>IF(DbLinkTable[[#This Row],[Price/lb]]*DbLinkTable[[#This Row],[Weight]]&gt;0,DbLinkTable[[#This Row],[Price/lb]]*DbLinkTable[[#This Row],[Weight]],0)</f>
        <v>0</v>
      </c>
      <c r="U245" s="79">
        <f>IF(DbLinkTable[[#This Row],[Price/lb]]*DbLinkTable[[#This Row],[Weight]]&lt;0,DbLinkTable[[#This Row],[Price/lb]]*DbLinkTable[[#This Row],[Weight]],0)</f>
        <v>0</v>
      </c>
      <c r="V245" s="4" t="str">
        <f>IF(COUNTIF($W$2:W245,W245)=1,1,"")</f>
        <v/>
      </c>
      <c r="W245" s="4" t="str">
        <f>CONCATENATE(DbLinkTable[[#This Row],[Customer]],UPPER(DbLinkTable[[#This Row],[Trailer Number]]),DbLinkTable[[#This Row],[Day Received]])</f>
        <v>Company1434341932</v>
      </c>
      <c r="X245" s="4">
        <f>DATEVALUE(TEXT(DbLinkTable[[#This Row],[Date Received]],"MMMM YYYY"))</f>
        <v>41913</v>
      </c>
      <c r="Y245" s="4">
        <f>INT(DbLinkTable[[#This Row],[Date Received]])</f>
        <v>41932</v>
      </c>
    </row>
    <row r="246" spans="1:25">
      <c r="A246">
        <v>8768</v>
      </c>
      <c r="B246" t="s">
        <v>48</v>
      </c>
      <c r="D246">
        <v>196</v>
      </c>
      <c r="E246" t="s">
        <v>1504</v>
      </c>
      <c r="F246" s="4">
        <v>41932</v>
      </c>
      <c r="G246" s="4" t="s">
        <v>192</v>
      </c>
      <c r="H246" s="4" t="s">
        <v>1512</v>
      </c>
      <c r="I246" s="4">
        <v>0</v>
      </c>
      <c r="J246" s="4"/>
      <c r="K246" s="4"/>
      <c r="L246" s="4"/>
      <c r="M246" s="4"/>
      <c r="N246" s="4"/>
      <c r="O246" s="4">
        <v>0</v>
      </c>
      <c r="P246" s="4">
        <v>41949.576504629629</v>
      </c>
      <c r="Q246" s="4"/>
      <c r="R246" s="4"/>
      <c r="S246" s="79">
        <f>DbLinkTable[[#This Row],[Credit]]+DbLinkTable[[#This Row],[Charge]]</f>
        <v>0</v>
      </c>
      <c r="T246" s="79">
        <f>IF(DbLinkTable[[#This Row],[Price/lb]]*DbLinkTable[[#This Row],[Weight]]&gt;0,DbLinkTable[[#This Row],[Price/lb]]*DbLinkTable[[#This Row],[Weight]],0)</f>
        <v>0</v>
      </c>
      <c r="U246" s="79">
        <f>IF(DbLinkTable[[#This Row],[Price/lb]]*DbLinkTable[[#This Row],[Weight]]&lt;0,DbLinkTable[[#This Row],[Price/lb]]*DbLinkTable[[#This Row],[Weight]],0)</f>
        <v>0</v>
      </c>
      <c r="V246" s="4" t="str">
        <f>IF(COUNTIF($W$2:W246,W246)=1,1,"")</f>
        <v/>
      </c>
      <c r="W246" s="4" t="str">
        <f>CONCATENATE(DbLinkTable[[#This Row],[Customer]],UPPER(DbLinkTable[[#This Row],[Trailer Number]]),DbLinkTable[[#This Row],[Day Received]])</f>
        <v>Company1434341932</v>
      </c>
      <c r="X246" s="4">
        <f>DATEVALUE(TEXT(DbLinkTable[[#This Row],[Date Received]],"MMMM YYYY"))</f>
        <v>41913</v>
      </c>
      <c r="Y246" s="4">
        <f>INT(DbLinkTable[[#This Row],[Date Received]])</f>
        <v>41932</v>
      </c>
    </row>
    <row r="247" spans="1:25">
      <c r="A247">
        <v>8769</v>
      </c>
      <c r="B247" t="s">
        <v>48</v>
      </c>
      <c r="D247">
        <v>164</v>
      </c>
      <c r="E247" t="s">
        <v>1504</v>
      </c>
      <c r="F247" s="4">
        <v>41932</v>
      </c>
      <c r="G247" s="4" t="s">
        <v>192</v>
      </c>
      <c r="H247" s="4" t="s">
        <v>1512</v>
      </c>
      <c r="I247" s="4">
        <v>0</v>
      </c>
      <c r="J247" s="4"/>
      <c r="K247" s="4"/>
      <c r="L247" s="4"/>
      <c r="M247" s="4"/>
      <c r="N247" s="4"/>
      <c r="O247" s="4">
        <v>0</v>
      </c>
      <c r="P247" s="4">
        <v>41949.576527777775</v>
      </c>
      <c r="Q247" s="4"/>
      <c r="R247" s="4"/>
      <c r="S247" s="79">
        <f>DbLinkTable[[#This Row],[Credit]]+DbLinkTable[[#This Row],[Charge]]</f>
        <v>0</v>
      </c>
      <c r="T247" s="79">
        <f>IF(DbLinkTable[[#This Row],[Price/lb]]*DbLinkTable[[#This Row],[Weight]]&gt;0,DbLinkTable[[#This Row],[Price/lb]]*DbLinkTable[[#This Row],[Weight]],0)</f>
        <v>0</v>
      </c>
      <c r="U247" s="79">
        <f>IF(DbLinkTable[[#This Row],[Price/lb]]*DbLinkTable[[#This Row],[Weight]]&lt;0,DbLinkTable[[#This Row],[Price/lb]]*DbLinkTable[[#This Row],[Weight]],0)</f>
        <v>0</v>
      </c>
      <c r="V247" s="4" t="str">
        <f>IF(COUNTIF($W$2:W247,W247)=1,1,"")</f>
        <v/>
      </c>
      <c r="W247" s="4" t="str">
        <f>CONCATENATE(DbLinkTable[[#This Row],[Customer]],UPPER(DbLinkTable[[#This Row],[Trailer Number]]),DbLinkTable[[#This Row],[Day Received]])</f>
        <v>Company1434341932</v>
      </c>
      <c r="X247" s="4">
        <f>DATEVALUE(TEXT(DbLinkTable[[#This Row],[Date Received]],"MMMM YYYY"))</f>
        <v>41913</v>
      </c>
      <c r="Y247" s="4">
        <f>INT(DbLinkTable[[#This Row],[Date Received]])</f>
        <v>41932</v>
      </c>
    </row>
    <row r="248" spans="1:25">
      <c r="A248">
        <v>8771</v>
      </c>
      <c r="B248" t="s">
        <v>45</v>
      </c>
      <c r="D248">
        <v>980</v>
      </c>
      <c r="E248" t="s">
        <v>1504</v>
      </c>
      <c r="F248" s="4">
        <v>41948</v>
      </c>
      <c r="G248" s="4" t="s">
        <v>192</v>
      </c>
      <c r="H248" s="4" t="s">
        <v>1537</v>
      </c>
      <c r="I248" s="4">
        <v>0</v>
      </c>
      <c r="J248" s="4"/>
      <c r="K248" s="4"/>
      <c r="L248" s="4"/>
      <c r="M248" s="4"/>
      <c r="N248" s="4"/>
      <c r="O248" s="4">
        <v>0</v>
      </c>
      <c r="P248" s="4">
        <v>41950.554745370369</v>
      </c>
      <c r="Q248" s="4"/>
      <c r="R248" s="4"/>
      <c r="S248" s="79">
        <f>DbLinkTable[[#This Row],[Credit]]+DbLinkTable[[#This Row],[Charge]]</f>
        <v>0</v>
      </c>
      <c r="T248" s="79">
        <f>IF(DbLinkTable[[#This Row],[Price/lb]]*DbLinkTable[[#This Row],[Weight]]&gt;0,DbLinkTable[[#This Row],[Price/lb]]*DbLinkTable[[#This Row],[Weight]],0)</f>
        <v>0</v>
      </c>
      <c r="U248" s="79">
        <f>IF(DbLinkTable[[#This Row],[Price/lb]]*DbLinkTable[[#This Row],[Weight]]&lt;0,DbLinkTable[[#This Row],[Price/lb]]*DbLinkTable[[#This Row],[Weight]],0)</f>
        <v>0</v>
      </c>
      <c r="V248" s="4">
        <f>IF(COUNTIF($W$2:W248,W248)=1,1,"")</f>
        <v>1</v>
      </c>
      <c r="W248" s="4" t="str">
        <f>CONCATENATE(DbLinkTable[[#This Row],[Customer]],UPPER(DbLinkTable[[#This Row],[Trailer Number]]),DbLinkTable[[#This Row],[Day Received]])</f>
        <v>Company14TA98686341948</v>
      </c>
      <c r="X248" s="4">
        <f>DATEVALUE(TEXT(DbLinkTable[[#This Row],[Date Received]],"MMMM YYYY"))</f>
        <v>41944</v>
      </c>
      <c r="Y248" s="4">
        <f>INT(DbLinkTable[[#This Row],[Date Received]])</f>
        <v>41948</v>
      </c>
    </row>
    <row r="249" spans="1:25">
      <c r="A249">
        <v>8772</v>
      </c>
      <c r="B249" t="s">
        <v>43</v>
      </c>
      <c r="D249">
        <v>114</v>
      </c>
      <c r="E249" t="s">
        <v>1504</v>
      </c>
      <c r="F249" s="4">
        <v>41948</v>
      </c>
      <c r="G249" s="4" t="s">
        <v>192</v>
      </c>
      <c r="H249" s="4" t="s">
        <v>1537</v>
      </c>
      <c r="I249" s="4">
        <v>0</v>
      </c>
      <c r="J249" s="4"/>
      <c r="K249" s="4"/>
      <c r="L249" s="4"/>
      <c r="M249" s="4"/>
      <c r="N249" s="4"/>
      <c r="O249" s="4">
        <v>0</v>
      </c>
      <c r="P249" s="4">
        <v>41950.554930555554</v>
      </c>
      <c r="Q249" s="4"/>
      <c r="R249" s="4"/>
      <c r="S249" s="79">
        <f>DbLinkTable[[#This Row],[Credit]]+DbLinkTable[[#This Row],[Charge]]</f>
        <v>0</v>
      </c>
      <c r="T249" s="79">
        <f>IF(DbLinkTable[[#This Row],[Price/lb]]*DbLinkTable[[#This Row],[Weight]]&gt;0,DbLinkTable[[#This Row],[Price/lb]]*DbLinkTable[[#This Row],[Weight]],0)</f>
        <v>0</v>
      </c>
      <c r="U249" s="79">
        <f>IF(DbLinkTable[[#This Row],[Price/lb]]*DbLinkTable[[#This Row],[Weight]]&lt;0,DbLinkTable[[#This Row],[Price/lb]]*DbLinkTable[[#This Row],[Weight]],0)</f>
        <v>0</v>
      </c>
      <c r="V249" s="4" t="str">
        <f>IF(COUNTIF($W$2:W249,W249)=1,1,"")</f>
        <v/>
      </c>
      <c r="W249" s="4" t="str">
        <f>CONCATENATE(DbLinkTable[[#This Row],[Customer]],UPPER(DbLinkTable[[#This Row],[Trailer Number]]),DbLinkTable[[#This Row],[Day Received]])</f>
        <v>Company14TA98686341948</v>
      </c>
      <c r="X249" s="4">
        <f>DATEVALUE(TEXT(DbLinkTable[[#This Row],[Date Received]],"MMMM YYYY"))</f>
        <v>41944</v>
      </c>
      <c r="Y249" s="4">
        <f>INT(DbLinkTable[[#This Row],[Date Received]])</f>
        <v>41948</v>
      </c>
    </row>
    <row r="250" spans="1:25">
      <c r="A250">
        <v>8773</v>
      </c>
      <c r="B250" t="s">
        <v>43</v>
      </c>
      <c r="D250">
        <v>226</v>
      </c>
      <c r="E250" t="s">
        <v>1504</v>
      </c>
      <c r="F250" s="4">
        <v>41948</v>
      </c>
      <c r="G250" s="4" t="s">
        <v>192</v>
      </c>
      <c r="H250" s="4" t="s">
        <v>1537</v>
      </c>
      <c r="I250" s="4">
        <v>0</v>
      </c>
      <c r="J250" s="4"/>
      <c r="K250" s="4"/>
      <c r="L250" s="4"/>
      <c r="M250" s="4"/>
      <c r="N250" s="4"/>
      <c r="O250" s="4">
        <v>0</v>
      </c>
      <c r="P250" s="4">
        <v>41950.554965277777</v>
      </c>
      <c r="Q250" s="4"/>
      <c r="R250" s="4"/>
      <c r="S250" s="79">
        <f>DbLinkTable[[#This Row],[Credit]]+DbLinkTable[[#This Row],[Charge]]</f>
        <v>0</v>
      </c>
      <c r="T250" s="79">
        <f>IF(DbLinkTable[[#This Row],[Price/lb]]*DbLinkTable[[#This Row],[Weight]]&gt;0,DbLinkTable[[#This Row],[Price/lb]]*DbLinkTable[[#This Row],[Weight]],0)</f>
        <v>0</v>
      </c>
      <c r="U250" s="79">
        <f>IF(DbLinkTable[[#This Row],[Price/lb]]*DbLinkTable[[#This Row],[Weight]]&lt;0,DbLinkTable[[#This Row],[Price/lb]]*DbLinkTable[[#This Row],[Weight]],0)</f>
        <v>0</v>
      </c>
      <c r="V250" s="4" t="str">
        <f>IF(COUNTIF($W$2:W250,W250)=1,1,"")</f>
        <v/>
      </c>
      <c r="W250" s="4" t="str">
        <f>CONCATENATE(DbLinkTable[[#This Row],[Customer]],UPPER(DbLinkTable[[#This Row],[Trailer Number]]),DbLinkTable[[#This Row],[Day Received]])</f>
        <v>Company14TA98686341948</v>
      </c>
      <c r="X250" s="4">
        <f>DATEVALUE(TEXT(DbLinkTable[[#This Row],[Date Received]],"MMMM YYYY"))</f>
        <v>41944</v>
      </c>
      <c r="Y250" s="4">
        <f>INT(DbLinkTable[[#This Row],[Date Received]])</f>
        <v>41948</v>
      </c>
    </row>
    <row r="251" spans="1:25">
      <c r="A251">
        <v>8779</v>
      </c>
      <c r="B251" t="s">
        <v>45</v>
      </c>
      <c r="D251">
        <v>875</v>
      </c>
      <c r="E251" t="s">
        <v>1504</v>
      </c>
      <c r="F251" s="4">
        <v>41920</v>
      </c>
      <c r="G251" s="4" t="s">
        <v>192</v>
      </c>
      <c r="H251" s="4" t="s">
        <v>1521</v>
      </c>
      <c r="I251" s="4">
        <v>0</v>
      </c>
      <c r="J251" s="4"/>
      <c r="K251" s="4"/>
      <c r="L251" s="4"/>
      <c r="M251" s="4"/>
      <c r="N251" s="4"/>
      <c r="O251" s="4">
        <v>0</v>
      </c>
      <c r="P251" s="4">
        <v>41950.575324074074</v>
      </c>
      <c r="Q251" s="4"/>
      <c r="R251" s="4"/>
      <c r="S251" s="79">
        <f>DbLinkTable[[#This Row],[Credit]]+DbLinkTable[[#This Row],[Charge]]</f>
        <v>0</v>
      </c>
      <c r="T251" s="79">
        <f>IF(DbLinkTable[[#This Row],[Price/lb]]*DbLinkTable[[#This Row],[Weight]]&gt;0,DbLinkTable[[#This Row],[Price/lb]]*DbLinkTable[[#This Row],[Weight]],0)</f>
        <v>0</v>
      </c>
      <c r="U251" s="79">
        <f>IF(DbLinkTable[[#This Row],[Price/lb]]*DbLinkTable[[#This Row],[Weight]]&lt;0,DbLinkTable[[#This Row],[Price/lb]]*DbLinkTable[[#This Row],[Weight]],0)</f>
        <v>0</v>
      </c>
      <c r="V251" s="4">
        <f>IF(COUNTIF($W$2:W251,W251)=1,1,"")</f>
        <v>1</v>
      </c>
      <c r="W251" s="4" t="str">
        <f>CONCATENATE(DbLinkTable[[#This Row],[Customer]],UPPER(DbLinkTable[[#This Row],[Trailer Number]]),DbLinkTable[[#This Row],[Day Received]])</f>
        <v>Company1438641920</v>
      </c>
      <c r="X251" s="4">
        <f>DATEVALUE(TEXT(DbLinkTable[[#This Row],[Date Received]],"MMMM YYYY"))</f>
        <v>41913</v>
      </c>
      <c r="Y251" s="4">
        <f>INT(DbLinkTable[[#This Row],[Date Received]])</f>
        <v>41920</v>
      </c>
    </row>
    <row r="252" spans="1:25">
      <c r="A252">
        <v>8780</v>
      </c>
      <c r="B252" t="s">
        <v>45</v>
      </c>
      <c r="D252">
        <v>1035</v>
      </c>
      <c r="E252" t="s">
        <v>1504</v>
      </c>
      <c r="F252" s="4">
        <v>41922</v>
      </c>
      <c r="G252" s="4" t="s">
        <v>192</v>
      </c>
      <c r="H252" s="4" t="s">
        <v>1525</v>
      </c>
      <c r="I252" s="4">
        <v>0</v>
      </c>
      <c r="J252" s="4"/>
      <c r="K252" s="4"/>
      <c r="L252" s="4"/>
      <c r="M252" s="4"/>
      <c r="N252" s="4"/>
      <c r="O252" s="4">
        <v>0</v>
      </c>
      <c r="P252" s="4">
        <v>41950.581597222219</v>
      </c>
      <c r="Q252" s="4"/>
      <c r="R252" s="4"/>
      <c r="S252" s="79">
        <f>DbLinkTable[[#This Row],[Credit]]+DbLinkTable[[#This Row],[Charge]]</f>
        <v>0</v>
      </c>
      <c r="T252" s="79">
        <f>IF(DbLinkTable[[#This Row],[Price/lb]]*DbLinkTable[[#This Row],[Weight]]&gt;0,DbLinkTable[[#This Row],[Price/lb]]*DbLinkTable[[#This Row],[Weight]],0)</f>
        <v>0</v>
      </c>
      <c r="U252" s="79">
        <f>IF(DbLinkTable[[#This Row],[Price/lb]]*DbLinkTable[[#This Row],[Weight]]&lt;0,DbLinkTable[[#This Row],[Price/lb]]*DbLinkTable[[#This Row],[Weight]],0)</f>
        <v>0</v>
      </c>
      <c r="V252" s="4">
        <f>IF(COUNTIF($W$2:W252,W252)=1,1,"")</f>
        <v>1</v>
      </c>
      <c r="W252" s="4" t="str">
        <f>CONCATENATE(DbLinkTable[[#This Row],[Customer]],UPPER(DbLinkTable[[#This Row],[Trailer Number]]),DbLinkTable[[#This Row],[Day Received]])</f>
        <v>Company1414441922</v>
      </c>
      <c r="X252" s="4">
        <f>DATEVALUE(TEXT(DbLinkTable[[#This Row],[Date Received]],"MMMM YYYY"))</f>
        <v>41913</v>
      </c>
      <c r="Y252" s="4">
        <f>INT(DbLinkTable[[#This Row],[Date Received]])</f>
        <v>41922</v>
      </c>
    </row>
    <row r="253" spans="1:25">
      <c r="A253">
        <v>8781</v>
      </c>
      <c r="B253" t="s">
        <v>44</v>
      </c>
      <c r="D253">
        <v>700</v>
      </c>
      <c r="E253" t="s">
        <v>1504</v>
      </c>
      <c r="F253" s="4">
        <v>41922</v>
      </c>
      <c r="G253" s="4" t="s">
        <v>192</v>
      </c>
      <c r="H253" s="4" t="s">
        <v>1525</v>
      </c>
      <c r="I253" s="4">
        <v>0</v>
      </c>
      <c r="J253" s="4"/>
      <c r="K253" s="4"/>
      <c r="L253" s="4"/>
      <c r="M253" s="4"/>
      <c r="N253" s="4"/>
      <c r="O253" s="4">
        <v>0</v>
      </c>
      <c r="P253" s="4">
        <v>41950.586006944446</v>
      </c>
      <c r="Q253" s="4"/>
      <c r="R253" s="4"/>
      <c r="S253" s="79">
        <f>DbLinkTable[[#This Row],[Credit]]+DbLinkTable[[#This Row],[Charge]]</f>
        <v>0</v>
      </c>
      <c r="T253" s="79">
        <f>IF(DbLinkTable[[#This Row],[Price/lb]]*DbLinkTable[[#This Row],[Weight]]&gt;0,DbLinkTable[[#This Row],[Price/lb]]*DbLinkTable[[#This Row],[Weight]],0)</f>
        <v>0</v>
      </c>
      <c r="U253" s="79">
        <f>IF(DbLinkTable[[#This Row],[Price/lb]]*DbLinkTable[[#This Row],[Weight]]&lt;0,DbLinkTable[[#This Row],[Price/lb]]*DbLinkTable[[#This Row],[Weight]],0)</f>
        <v>0</v>
      </c>
      <c r="V253" s="4" t="str">
        <f>IF(COUNTIF($W$2:W253,W253)=1,1,"")</f>
        <v/>
      </c>
      <c r="W253" s="4" t="str">
        <f>CONCATENATE(DbLinkTable[[#This Row],[Customer]],UPPER(DbLinkTable[[#This Row],[Trailer Number]]),DbLinkTable[[#This Row],[Day Received]])</f>
        <v>Company1414441922</v>
      </c>
      <c r="X253" s="4">
        <f>DATEVALUE(TEXT(DbLinkTable[[#This Row],[Date Received]],"MMMM YYYY"))</f>
        <v>41913</v>
      </c>
      <c r="Y253" s="4">
        <f>INT(DbLinkTable[[#This Row],[Date Received]])</f>
        <v>41922</v>
      </c>
    </row>
    <row r="254" spans="1:25">
      <c r="A254">
        <v>8782</v>
      </c>
      <c r="B254" t="s">
        <v>44</v>
      </c>
      <c r="D254">
        <v>890</v>
      </c>
      <c r="E254" t="s">
        <v>1504</v>
      </c>
      <c r="F254" s="4">
        <v>41922</v>
      </c>
      <c r="G254" s="4" t="s">
        <v>192</v>
      </c>
      <c r="H254" s="4" t="s">
        <v>1525</v>
      </c>
      <c r="I254" s="4">
        <v>0</v>
      </c>
      <c r="J254" s="4"/>
      <c r="K254" s="4"/>
      <c r="L254" s="4"/>
      <c r="M254" s="4"/>
      <c r="N254" s="4"/>
      <c r="O254" s="4">
        <v>0</v>
      </c>
      <c r="P254" s="4">
        <v>41950.586030092592</v>
      </c>
      <c r="Q254" s="4"/>
      <c r="R254" s="4"/>
      <c r="S254" s="79">
        <f>DbLinkTable[[#This Row],[Credit]]+DbLinkTable[[#This Row],[Charge]]</f>
        <v>0</v>
      </c>
      <c r="T254" s="79">
        <f>IF(DbLinkTable[[#This Row],[Price/lb]]*DbLinkTable[[#This Row],[Weight]]&gt;0,DbLinkTable[[#This Row],[Price/lb]]*DbLinkTable[[#This Row],[Weight]],0)</f>
        <v>0</v>
      </c>
      <c r="U254" s="79">
        <f>IF(DbLinkTable[[#This Row],[Price/lb]]*DbLinkTable[[#This Row],[Weight]]&lt;0,DbLinkTable[[#This Row],[Price/lb]]*DbLinkTable[[#This Row],[Weight]],0)</f>
        <v>0</v>
      </c>
      <c r="V254" s="4" t="str">
        <f>IF(COUNTIF($W$2:W254,W254)=1,1,"")</f>
        <v/>
      </c>
      <c r="W254" s="4" t="str">
        <f>CONCATENATE(DbLinkTable[[#This Row],[Customer]],UPPER(DbLinkTable[[#This Row],[Trailer Number]]),DbLinkTable[[#This Row],[Day Received]])</f>
        <v>Company1414441922</v>
      </c>
      <c r="X254" s="4">
        <f>DATEVALUE(TEXT(DbLinkTable[[#This Row],[Date Received]],"MMMM YYYY"))</f>
        <v>41913</v>
      </c>
      <c r="Y254" s="4">
        <f>INT(DbLinkTable[[#This Row],[Date Received]])</f>
        <v>41922</v>
      </c>
    </row>
    <row r="255" spans="1:25">
      <c r="A255">
        <v>8783</v>
      </c>
      <c r="B255" t="s">
        <v>45</v>
      </c>
      <c r="D255">
        <v>712</v>
      </c>
      <c r="E255" t="s">
        <v>1504</v>
      </c>
      <c r="F255" s="4">
        <v>41927</v>
      </c>
      <c r="G255" s="4" t="s">
        <v>192</v>
      </c>
      <c r="H255" s="4" t="s">
        <v>1538</v>
      </c>
      <c r="I255" s="4">
        <v>0</v>
      </c>
      <c r="J255" s="4"/>
      <c r="K255" s="4"/>
      <c r="L255" s="4"/>
      <c r="M255" s="4"/>
      <c r="N255" s="4"/>
      <c r="O255" s="4">
        <v>0</v>
      </c>
      <c r="P255" s="4">
        <v>41950.586689814816</v>
      </c>
      <c r="Q255" s="4"/>
      <c r="R255" s="4"/>
      <c r="S255" s="79">
        <f>DbLinkTable[[#This Row],[Credit]]+DbLinkTable[[#This Row],[Charge]]</f>
        <v>0</v>
      </c>
      <c r="T255" s="79">
        <f>IF(DbLinkTable[[#This Row],[Price/lb]]*DbLinkTable[[#This Row],[Weight]]&gt;0,DbLinkTable[[#This Row],[Price/lb]]*DbLinkTable[[#This Row],[Weight]],0)</f>
        <v>0</v>
      </c>
      <c r="U255" s="79">
        <f>IF(DbLinkTable[[#This Row],[Price/lb]]*DbLinkTable[[#This Row],[Weight]]&lt;0,DbLinkTable[[#This Row],[Price/lb]]*DbLinkTable[[#This Row],[Weight]],0)</f>
        <v>0</v>
      </c>
      <c r="V255" s="4">
        <f>IF(COUNTIF($W$2:W255,W255)=1,1,"")</f>
        <v>1</v>
      </c>
      <c r="W255" s="4" t="str">
        <f>CONCATENATE(DbLinkTable[[#This Row],[Customer]],UPPER(DbLinkTable[[#This Row],[Trailer Number]]),DbLinkTable[[#This Row],[Day Received]])</f>
        <v>Company14TA93686341927</v>
      </c>
      <c r="X255" s="4">
        <f>DATEVALUE(TEXT(DbLinkTable[[#This Row],[Date Received]],"MMMM YYYY"))</f>
        <v>41913</v>
      </c>
      <c r="Y255" s="4">
        <f>INT(DbLinkTable[[#This Row],[Date Received]])</f>
        <v>41927</v>
      </c>
    </row>
    <row r="256" spans="1:25">
      <c r="A256">
        <v>8784</v>
      </c>
      <c r="B256" t="s">
        <v>46</v>
      </c>
      <c r="D256">
        <v>188</v>
      </c>
      <c r="E256" t="s">
        <v>1504</v>
      </c>
      <c r="F256" s="4">
        <v>41927</v>
      </c>
      <c r="G256" s="4" t="s">
        <v>192</v>
      </c>
      <c r="H256" s="4" t="s">
        <v>1538</v>
      </c>
      <c r="I256" s="4">
        <v>0</v>
      </c>
      <c r="J256" s="4"/>
      <c r="K256" s="4"/>
      <c r="L256" s="4"/>
      <c r="M256" s="4"/>
      <c r="N256" s="4"/>
      <c r="O256" s="4">
        <v>0</v>
      </c>
      <c r="P256" s="4">
        <v>41950.586747685185</v>
      </c>
      <c r="Q256" s="4"/>
      <c r="R256" s="4"/>
      <c r="S256" s="79">
        <f>DbLinkTable[[#This Row],[Credit]]+DbLinkTable[[#This Row],[Charge]]</f>
        <v>0</v>
      </c>
      <c r="T256" s="79">
        <f>IF(DbLinkTable[[#This Row],[Price/lb]]*DbLinkTable[[#This Row],[Weight]]&gt;0,DbLinkTable[[#This Row],[Price/lb]]*DbLinkTable[[#This Row],[Weight]],0)</f>
        <v>0</v>
      </c>
      <c r="U256" s="79">
        <f>IF(DbLinkTable[[#This Row],[Price/lb]]*DbLinkTable[[#This Row],[Weight]]&lt;0,DbLinkTable[[#This Row],[Price/lb]]*DbLinkTable[[#This Row],[Weight]],0)</f>
        <v>0</v>
      </c>
      <c r="V256" s="4" t="str">
        <f>IF(COUNTIF($W$2:W256,W256)=1,1,"")</f>
        <v/>
      </c>
      <c r="W256" s="4" t="str">
        <f>CONCATENATE(DbLinkTable[[#This Row],[Customer]],UPPER(DbLinkTable[[#This Row],[Trailer Number]]),DbLinkTable[[#This Row],[Day Received]])</f>
        <v>Company14TA93686341927</v>
      </c>
      <c r="X256" s="4">
        <f>DATEVALUE(TEXT(DbLinkTable[[#This Row],[Date Received]],"MMMM YYYY"))</f>
        <v>41913</v>
      </c>
      <c r="Y256" s="4">
        <f>INT(DbLinkTable[[#This Row],[Date Received]])</f>
        <v>41927</v>
      </c>
    </row>
    <row r="257" spans="1:25">
      <c r="A257">
        <v>8785</v>
      </c>
      <c r="B257" t="s">
        <v>43</v>
      </c>
      <c r="D257">
        <v>978</v>
      </c>
      <c r="E257" t="s">
        <v>1504</v>
      </c>
      <c r="F257" s="4">
        <v>41927</v>
      </c>
      <c r="G257" s="4" t="s">
        <v>192</v>
      </c>
      <c r="H257" s="4" t="s">
        <v>1538</v>
      </c>
      <c r="I257" s="4">
        <v>0</v>
      </c>
      <c r="J257" s="4"/>
      <c r="K257" s="4"/>
      <c r="L257" s="4"/>
      <c r="M257" s="4"/>
      <c r="N257" s="4"/>
      <c r="O257" s="4">
        <v>0</v>
      </c>
      <c r="P257" s="4">
        <v>41950.586886574078</v>
      </c>
      <c r="Q257" s="4"/>
      <c r="R257" s="4"/>
      <c r="S257" s="79">
        <f>DbLinkTable[[#This Row],[Credit]]+DbLinkTable[[#This Row],[Charge]]</f>
        <v>0</v>
      </c>
      <c r="T257" s="79">
        <f>IF(DbLinkTable[[#This Row],[Price/lb]]*DbLinkTable[[#This Row],[Weight]]&gt;0,DbLinkTable[[#This Row],[Price/lb]]*DbLinkTable[[#This Row],[Weight]],0)</f>
        <v>0</v>
      </c>
      <c r="U257" s="79">
        <f>IF(DbLinkTable[[#This Row],[Price/lb]]*DbLinkTable[[#This Row],[Weight]]&lt;0,DbLinkTable[[#This Row],[Price/lb]]*DbLinkTable[[#This Row],[Weight]],0)</f>
        <v>0</v>
      </c>
      <c r="V257" s="4" t="str">
        <f>IF(COUNTIF($W$2:W257,W257)=1,1,"")</f>
        <v/>
      </c>
      <c r="W257" s="4" t="str">
        <f>CONCATENATE(DbLinkTable[[#This Row],[Customer]],UPPER(DbLinkTable[[#This Row],[Trailer Number]]),DbLinkTable[[#This Row],[Day Received]])</f>
        <v>Company14TA93686341927</v>
      </c>
      <c r="X257" s="4">
        <f>DATEVALUE(TEXT(DbLinkTable[[#This Row],[Date Received]],"MMMM YYYY"))</f>
        <v>41913</v>
      </c>
      <c r="Y257" s="4">
        <f>INT(DbLinkTable[[#This Row],[Date Received]])</f>
        <v>41927</v>
      </c>
    </row>
    <row r="258" spans="1:25">
      <c r="A258">
        <v>8786</v>
      </c>
      <c r="B258" t="s">
        <v>43</v>
      </c>
      <c r="D258">
        <v>1010</v>
      </c>
      <c r="E258" t="s">
        <v>1504</v>
      </c>
      <c r="F258" s="4">
        <v>41927</v>
      </c>
      <c r="G258" s="4" t="s">
        <v>192</v>
      </c>
      <c r="H258" s="4" t="s">
        <v>1538</v>
      </c>
      <c r="I258" s="4">
        <v>0</v>
      </c>
      <c r="J258" s="4"/>
      <c r="K258" s="4"/>
      <c r="L258" s="4"/>
      <c r="M258" s="4"/>
      <c r="N258" s="4"/>
      <c r="O258" s="4">
        <v>0</v>
      </c>
      <c r="P258" s="4">
        <v>41950.586909722224</v>
      </c>
      <c r="Q258" s="4"/>
      <c r="R258" s="4"/>
      <c r="S258" s="79">
        <f>DbLinkTable[[#This Row],[Credit]]+DbLinkTable[[#This Row],[Charge]]</f>
        <v>0</v>
      </c>
      <c r="T258" s="79">
        <f>IF(DbLinkTable[[#This Row],[Price/lb]]*DbLinkTable[[#This Row],[Weight]]&gt;0,DbLinkTable[[#This Row],[Price/lb]]*DbLinkTable[[#This Row],[Weight]],0)</f>
        <v>0</v>
      </c>
      <c r="U258" s="79">
        <f>IF(DbLinkTable[[#This Row],[Price/lb]]*DbLinkTable[[#This Row],[Weight]]&lt;0,DbLinkTable[[#This Row],[Price/lb]]*DbLinkTable[[#This Row],[Weight]],0)</f>
        <v>0</v>
      </c>
      <c r="V258" s="4" t="str">
        <f>IF(COUNTIF($W$2:W258,W258)=1,1,"")</f>
        <v/>
      </c>
      <c r="W258" s="4" t="str">
        <f>CONCATENATE(DbLinkTable[[#This Row],[Customer]],UPPER(DbLinkTable[[#This Row],[Trailer Number]]),DbLinkTable[[#This Row],[Day Received]])</f>
        <v>Company14TA93686341927</v>
      </c>
      <c r="X258" s="4">
        <f>DATEVALUE(TEXT(DbLinkTable[[#This Row],[Date Received]],"MMMM YYYY"))</f>
        <v>41913</v>
      </c>
      <c r="Y258" s="4">
        <f>INT(DbLinkTable[[#This Row],[Date Received]])</f>
        <v>41927</v>
      </c>
    </row>
    <row r="259" spans="1:25">
      <c r="A259">
        <v>8787</v>
      </c>
      <c r="B259" t="s">
        <v>43</v>
      </c>
      <c r="D259">
        <v>1136</v>
      </c>
      <c r="E259" t="s">
        <v>1504</v>
      </c>
      <c r="F259" s="4">
        <v>41927</v>
      </c>
      <c r="G259" s="4" t="s">
        <v>192</v>
      </c>
      <c r="H259" s="4" t="s">
        <v>1538</v>
      </c>
      <c r="I259" s="4">
        <v>0</v>
      </c>
      <c r="J259" s="4"/>
      <c r="K259" s="4"/>
      <c r="L259" s="4"/>
      <c r="M259" s="4"/>
      <c r="N259" s="4"/>
      <c r="O259" s="4">
        <v>0</v>
      </c>
      <c r="P259" s="4">
        <v>41950.58693287037</v>
      </c>
      <c r="Q259" s="4"/>
      <c r="R259" s="4"/>
      <c r="S259" s="79">
        <f>DbLinkTable[[#This Row],[Credit]]+DbLinkTable[[#This Row],[Charge]]</f>
        <v>0</v>
      </c>
      <c r="T259" s="79">
        <f>IF(DbLinkTable[[#This Row],[Price/lb]]*DbLinkTable[[#This Row],[Weight]]&gt;0,DbLinkTable[[#This Row],[Price/lb]]*DbLinkTable[[#This Row],[Weight]],0)</f>
        <v>0</v>
      </c>
      <c r="U259" s="79">
        <f>IF(DbLinkTable[[#This Row],[Price/lb]]*DbLinkTable[[#This Row],[Weight]]&lt;0,DbLinkTable[[#This Row],[Price/lb]]*DbLinkTable[[#This Row],[Weight]],0)</f>
        <v>0</v>
      </c>
      <c r="V259" s="4" t="str">
        <f>IF(COUNTIF($W$2:W259,W259)=1,1,"")</f>
        <v/>
      </c>
      <c r="W259" s="4" t="str">
        <f>CONCATENATE(DbLinkTable[[#This Row],[Customer]],UPPER(DbLinkTable[[#This Row],[Trailer Number]]),DbLinkTable[[#This Row],[Day Received]])</f>
        <v>Company14TA93686341927</v>
      </c>
      <c r="X259" s="4">
        <f>DATEVALUE(TEXT(DbLinkTable[[#This Row],[Date Received]],"MMMM YYYY"))</f>
        <v>41913</v>
      </c>
      <c r="Y259" s="4">
        <f>INT(DbLinkTable[[#This Row],[Date Received]])</f>
        <v>41927</v>
      </c>
    </row>
    <row r="260" spans="1:25">
      <c r="A260">
        <v>8788</v>
      </c>
      <c r="B260" t="s">
        <v>43</v>
      </c>
      <c r="D260">
        <v>1002</v>
      </c>
      <c r="E260" t="s">
        <v>1504</v>
      </c>
      <c r="F260" s="4">
        <v>41927</v>
      </c>
      <c r="G260" s="4" t="s">
        <v>192</v>
      </c>
      <c r="H260" s="4" t="s">
        <v>1538</v>
      </c>
      <c r="I260" s="4">
        <v>0</v>
      </c>
      <c r="J260" s="4"/>
      <c r="K260" s="4"/>
      <c r="L260" s="4"/>
      <c r="M260" s="4"/>
      <c r="N260" s="4"/>
      <c r="O260" s="4">
        <v>0</v>
      </c>
      <c r="P260" s="4">
        <v>41950.586956018517</v>
      </c>
      <c r="Q260" s="4"/>
      <c r="R260" s="4"/>
      <c r="S260" s="79">
        <f>DbLinkTable[[#This Row],[Credit]]+DbLinkTable[[#This Row],[Charge]]</f>
        <v>0</v>
      </c>
      <c r="T260" s="79">
        <f>IF(DbLinkTable[[#This Row],[Price/lb]]*DbLinkTable[[#This Row],[Weight]]&gt;0,DbLinkTable[[#This Row],[Price/lb]]*DbLinkTable[[#This Row],[Weight]],0)</f>
        <v>0</v>
      </c>
      <c r="U260" s="79">
        <f>IF(DbLinkTable[[#This Row],[Price/lb]]*DbLinkTable[[#This Row],[Weight]]&lt;0,DbLinkTable[[#This Row],[Price/lb]]*DbLinkTable[[#This Row],[Weight]],0)</f>
        <v>0</v>
      </c>
      <c r="V260" s="4" t="str">
        <f>IF(COUNTIF($W$2:W260,W260)=1,1,"")</f>
        <v/>
      </c>
      <c r="W260" s="4" t="str">
        <f>CONCATENATE(DbLinkTable[[#This Row],[Customer]],UPPER(DbLinkTable[[#This Row],[Trailer Number]]),DbLinkTable[[#This Row],[Day Received]])</f>
        <v>Company14TA93686341927</v>
      </c>
      <c r="X260" s="4">
        <f>DATEVALUE(TEXT(DbLinkTable[[#This Row],[Date Received]],"MMMM YYYY"))</f>
        <v>41913</v>
      </c>
      <c r="Y260" s="4">
        <f>INT(DbLinkTable[[#This Row],[Date Received]])</f>
        <v>41927</v>
      </c>
    </row>
    <row r="261" spans="1:25">
      <c r="A261">
        <v>8789</v>
      </c>
      <c r="B261" t="s">
        <v>43</v>
      </c>
      <c r="D261">
        <v>1008</v>
      </c>
      <c r="E261" t="s">
        <v>1504</v>
      </c>
      <c r="F261" s="4">
        <v>41927</v>
      </c>
      <c r="G261" s="4" t="s">
        <v>192</v>
      </c>
      <c r="H261" s="4" t="s">
        <v>1538</v>
      </c>
      <c r="I261" s="4">
        <v>0</v>
      </c>
      <c r="J261" s="4"/>
      <c r="K261" s="4"/>
      <c r="L261" s="4"/>
      <c r="M261" s="4"/>
      <c r="N261" s="4"/>
      <c r="O261" s="4">
        <v>0</v>
      </c>
      <c r="P261" s="4">
        <v>41950.58699074074</v>
      </c>
      <c r="Q261" s="4"/>
      <c r="R261" s="4"/>
      <c r="S261" s="79">
        <f>DbLinkTable[[#This Row],[Credit]]+DbLinkTable[[#This Row],[Charge]]</f>
        <v>0</v>
      </c>
      <c r="T261" s="79">
        <f>IF(DbLinkTable[[#This Row],[Price/lb]]*DbLinkTable[[#This Row],[Weight]]&gt;0,DbLinkTable[[#This Row],[Price/lb]]*DbLinkTable[[#This Row],[Weight]],0)</f>
        <v>0</v>
      </c>
      <c r="U261" s="79">
        <f>IF(DbLinkTable[[#This Row],[Price/lb]]*DbLinkTable[[#This Row],[Weight]]&lt;0,DbLinkTable[[#This Row],[Price/lb]]*DbLinkTable[[#This Row],[Weight]],0)</f>
        <v>0</v>
      </c>
      <c r="V261" s="4" t="str">
        <f>IF(COUNTIF($W$2:W261,W261)=1,1,"")</f>
        <v/>
      </c>
      <c r="W261" s="4" t="str">
        <f>CONCATENATE(DbLinkTable[[#This Row],[Customer]],UPPER(DbLinkTable[[#This Row],[Trailer Number]]),DbLinkTable[[#This Row],[Day Received]])</f>
        <v>Company14TA93686341927</v>
      </c>
      <c r="X261" s="4">
        <f>DATEVALUE(TEXT(DbLinkTable[[#This Row],[Date Received]],"MMMM YYYY"))</f>
        <v>41913</v>
      </c>
      <c r="Y261" s="4">
        <f>INT(DbLinkTable[[#This Row],[Date Received]])</f>
        <v>41927</v>
      </c>
    </row>
    <row r="262" spans="1:25">
      <c r="A262">
        <v>8790</v>
      </c>
      <c r="B262" t="s">
        <v>43</v>
      </c>
      <c r="D262">
        <v>902</v>
      </c>
      <c r="E262" t="s">
        <v>1504</v>
      </c>
      <c r="F262" s="4">
        <v>41927</v>
      </c>
      <c r="G262" s="4" t="s">
        <v>192</v>
      </c>
      <c r="H262" s="4" t="s">
        <v>1538</v>
      </c>
      <c r="I262" s="4">
        <v>0</v>
      </c>
      <c r="J262" s="4"/>
      <c r="K262" s="4"/>
      <c r="L262" s="4"/>
      <c r="M262" s="4"/>
      <c r="N262" s="4"/>
      <c r="O262" s="4">
        <v>0</v>
      </c>
      <c r="P262" s="4">
        <v>41950.587025462963</v>
      </c>
      <c r="Q262" s="4"/>
      <c r="R262" s="4"/>
      <c r="S262" s="79">
        <f>DbLinkTable[[#This Row],[Credit]]+DbLinkTable[[#This Row],[Charge]]</f>
        <v>0</v>
      </c>
      <c r="T262" s="79">
        <f>IF(DbLinkTable[[#This Row],[Price/lb]]*DbLinkTable[[#This Row],[Weight]]&gt;0,DbLinkTable[[#This Row],[Price/lb]]*DbLinkTable[[#This Row],[Weight]],0)</f>
        <v>0</v>
      </c>
      <c r="U262" s="79">
        <f>IF(DbLinkTable[[#This Row],[Price/lb]]*DbLinkTable[[#This Row],[Weight]]&lt;0,DbLinkTable[[#This Row],[Price/lb]]*DbLinkTable[[#This Row],[Weight]],0)</f>
        <v>0</v>
      </c>
      <c r="V262" s="4" t="str">
        <f>IF(COUNTIF($W$2:W262,W262)=1,1,"")</f>
        <v/>
      </c>
      <c r="W262" s="4" t="str">
        <f>CONCATENATE(DbLinkTable[[#This Row],[Customer]],UPPER(DbLinkTable[[#This Row],[Trailer Number]]),DbLinkTable[[#This Row],[Day Received]])</f>
        <v>Company14TA93686341927</v>
      </c>
      <c r="X262" s="4">
        <f>DATEVALUE(TEXT(DbLinkTable[[#This Row],[Date Received]],"MMMM YYYY"))</f>
        <v>41913</v>
      </c>
      <c r="Y262" s="4">
        <f>INT(DbLinkTable[[#This Row],[Date Received]])</f>
        <v>41927</v>
      </c>
    </row>
    <row r="263" spans="1:25">
      <c r="A263">
        <v>8842</v>
      </c>
      <c r="B263" t="s">
        <v>45</v>
      </c>
      <c r="D263">
        <v>875</v>
      </c>
      <c r="E263" t="s">
        <v>1504</v>
      </c>
      <c r="F263" s="4">
        <v>41949</v>
      </c>
      <c r="G263" s="4" t="s">
        <v>192</v>
      </c>
      <c r="H263" s="4" t="s">
        <v>1525</v>
      </c>
      <c r="I263" s="4">
        <v>0</v>
      </c>
      <c r="J263" s="4"/>
      <c r="K263" s="4"/>
      <c r="L263" s="4"/>
      <c r="M263" s="4"/>
      <c r="N263" s="4"/>
      <c r="O263" s="4">
        <v>0</v>
      </c>
      <c r="P263" s="4">
        <v>41955.52820601852</v>
      </c>
      <c r="Q263" s="4"/>
      <c r="R263" s="4"/>
      <c r="S263" s="79">
        <f>DbLinkTable[[#This Row],[Credit]]+DbLinkTable[[#This Row],[Charge]]</f>
        <v>0</v>
      </c>
      <c r="T263" s="79">
        <f>IF(DbLinkTable[[#This Row],[Price/lb]]*DbLinkTable[[#This Row],[Weight]]&gt;0,DbLinkTable[[#This Row],[Price/lb]]*DbLinkTable[[#This Row],[Weight]],0)</f>
        <v>0</v>
      </c>
      <c r="U263" s="79">
        <f>IF(DbLinkTable[[#This Row],[Price/lb]]*DbLinkTable[[#This Row],[Weight]]&lt;0,DbLinkTable[[#This Row],[Price/lb]]*DbLinkTable[[#This Row],[Weight]],0)</f>
        <v>0</v>
      </c>
      <c r="V263" s="4">
        <f>IF(COUNTIF($W$2:W263,W263)=1,1,"")</f>
        <v>1</v>
      </c>
      <c r="W263" s="4" t="str">
        <f>CONCATENATE(DbLinkTable[[#This Row],[Customer]],UPPER(DbLinkTable[[#This Row],[Trailer Number]]),DbLinkTable[[#This Row],[Day Received]])</f>
        <v>Company1414441949</v>
      </c>
      <c r="X263" s="4">
        <f>DATEVALUE(TEXT(DbLinkTable[[#This Row],[Date Received]],"MMMM YYYY"))</f>
        <v>41944</v>
      </c>
      <c r="Y263" s="4">
        <f>INT(DbLinkTable[[#This Row],[Date Received]])</f>
        <v>41949</v>
      </c>
    </row>
    <row r="264" spans="1:25">
      <c r="A264">
        <v>8979</v>
      </c>
      <c r="B264" t="s">
        <v>1508</v>
      </c>
      <c r="D264">
        <v>910</v>
      </c>
      <c r="E264" t="s">
        <v>1504</v>
      </c>
      <c r="F264" s="4">
        <v>41957</v>
      </c>
      <c r="G264" s="4" t="s">
        <v>192</v>
      </c>
      <c r="H264" s="4" t="s">
        <v>1516</v>
      </c>
      <c r="I264" s="4">
        <v>0</v>
      </c>
      <c r="J264" s="4"/>
      <c r="K264" s="4"/>
      <c r="L264" s="4"/>
      <c r="M264" s="4"/>
      <c r="N264" s="4"/>
      <c r="O264" s="4">
        <v>0</v>
      </c>
      <c r="P264" s="4">
        <v>41974.489201388889</v>
      </c>
      <c r="Q264" s="4"/>
      <c r="R264" s="4"/>
      <c r="S264" s="79">
        <f>DbLinkTable[[#This Row],[Credit]]+DbLinkTable[[#This Row],[Charge]]</f>
        <v>0</v>
      </c>
      <c r="T264" s="79">
        <f>IF(DbLinkTable[[#This Row],[Price/lb]]*DbLinkTable[[#This Row],[Weight]]&gt;0,DbLinkTable[[#This Row],[Price/lb]]*DbLinkTable[[#This Row],[Weight]],0)</f>
        <v>0</v>
      </c>
      <c r="U264" s="79">
        <f>IF(DbLinkTable[[#This Row],[Price/lb]]*DbLinkTable[[#This Row],[Weight]]&lt;0,DbLinkTable[[#This Row],[Price/lb]]*DbLinkTable[[#This Row],[Weight]],0)</f>
        <v>0</v>
      </c>
      <c r="V264" s="4">
        <f>IF(COUNTIF($W$2:W264,W264)=1,1,"")</f>
        <v>1</v>
      </c>
      <c r="W264" s="4" t="str">
        <f>CONCATENATE(DbLinkTable[[#This Row],[Customer]],UPPER(DbLinkTable[[#This Row],[Trailer Number]]),DbLinkTable[[#This Row],[Day Received]])</f>
        <v>Company1419241957</v>
      </c>
      <c r="X264" s="4">
        <f>DATEVALUE(TEXT(DbLinkTable[[#This Row],[Date Received]],"MMMM YYYY"))</f>
        <v>41944</v>
      </c>
      <c r="Y264" s="4">
        <f>INT(DbLinkTable[[#This Row],[Date Received]])</f>
        <v>41957</v>
      </c>
    </row>
    <row r="265" spans="1:25">
      <c r="A265">
        <v>8980</v>
      </c>
      <c r="B265" t="s">
        <v>47</v>
      </c>
      <c r="D265">
        <v>1662</v>
      </c>
      <c r="E265" t="s">
        <v>1504</v>
      </c>
      <c r="F265" s="4">
        <v>41957</v>
      </c>
      <c r="G265" s="4" t="s">
        <v>192</v>
      </c>
      <c r="H265" s="4" t="s">
        <v>1516</v>
      </c>
      <c r="I265" s="4">
        <v>0</v>
      </c>
      <c r="J265" s="4"/>
      <c r="K265" s="4"/>
      <c r="L265" s="4"/>
      <c r="M265" s="4"/>
      <c r="N265" s="4"/>
      <c r="O265" s="4">
        <v>0</v>
      </c>
      <c r="P265" s="4">
        <v>41974.489282407405</v>
      </c>
      <c r="Q265" s="4"/>
      <c r="R265" s="4"/>
      <c r="S265" s="79">
        <f>DbLinkTable[[#This Row],[Credit]]+DbLinkTable[[#This Row],[Charge]]</f>
        <v>0</v>
      </c>
      <c r="T265" s="79">
        <f>IF(DbLinkTable[[#This Row],[Price/lb]]*DbLinkTable[[#This Row],[Weight]]&gt;0,DbLinkTable[[#This Row],[Price/lb]]*DbLinkTable[[#This Row],[Weight]],0)</f>
        <v>0</v>
      </c>
      <c r="U265" s="79">
        <f>IF(DbLinkTable[[#This Row],[Price/lb]]*DbLinkTable[[#This Row],[Weight]]&lt;0,DbLinkTable[[#This Row],[Price/lb]]*DbLinkTable[[#This Row],[Weight]],0)</f>
        <v>0</v>
      </c>
      <c r="V265" s="4" t="str">
        <f>IF(COUNTIF($W$2:W265,W265)=1,1,"")</f>
        <v/>
      </c>
      <c r="W265" s="4" t="str">
        <f>CONCATENATE(DbLinkTable[[#This Row],[Customer]],UPPER(DbLinkTable[[#This Row],[Trailer Number]]),DbLinkTable[[#This Row],[Day Received]])</f>
        <v>Company1419241957</v>
      </c>
      <c r="X265" s="4">
        <f>DATEVALUE(TEXT(DbLinkTable[[#This Row],[Date Received]],"MMMM YYYY"))</f>
        <v>41944</v>
      </c>
      <c r="Y265" s="4">
        <f>INT(DbLinkTable[[#This Row],[Date Received]])</f>
        <v>41957</v>
      </c>
    </row>
    <row r="266" spans="1:25">
      <c r="A266">
        <v>8981</v>
      </c>
      <c r="B266" t="s">
        <v>1530</v>
      </c>
      <c r="D266">
        <v>150</v>
      </c>
      <c r="E266" t="s">
        <v>1504</v>
      </c>
      <c r="F266" s="4">
        <v>41957</v>
      </c>
      <c r="G266" s="4" t="s">
        <v>192</v>
      </c>
      <c r="H266" s="4" t="s">
        <v>1516</v>
      </c>
      <c r="I266" s="4">
        <v>0</v>
      </c>
      <c r="J266" s="4"/>
      <c r="K266" s="4"/>
      <c r="L266" s="4"/>
      <c r="M266" s="4"/>
      <c r="N266" s="4"/>
      <c r="O266" s="4">
        <v>0</v>
      </c>
      <c r="P266" s="4">
        <v>41974.489398148151</v>
      </c>
      <c r="Q266" s="4"/>
      <c r="R266" s="4"/>
      <c r="S266" s="79">
        <f>DbLinkTable[[#This Row],[Credit]]+DbLinkTable[[#This Row],[Charge]]</f>
        <v>0</v>
      </c>
      <c r="T266" s="79">
        <f>IF(DbLinkTable[[#This Row],[Price/lb]]*DbLinkTable[[#This Row],[Weight]]&gt;0,DbLinkTable[[#This Row],[Price/lb]]*DbLinkTable[[#This Row],[Weight]],0)</f>
        <v>0</v>
      </c>
      <c r="U266" s="79">
        <f>IF(DbLinkTable[[#This Row],[Price/lb]]*DbLinkTable[[#This Row],[Weight]]&lt;0,DbLinkTable[[#This Row],[Price/lb]]*DbLinkTable[[#This Row],[Weight]],0)</f>
        <v>0</v>
      </c>
      <c r="V266" s="4" t="str">
        <f>IF(COUNTIF($W$2:W266,W266)=1,1,"")</f>
        <v/>
      </c>
      <c r="W266" s="4" t="str">
        <f>CONCATENATE(DbLinkTable[[#This Row],[Customer]],UPPER(DbLinkTable[[#This Row],[Trailer Number]]),DbLinkTable[[#This Row],[Day Received]])</f>
        <v>Company1419241957</v>
      </c>
      <c r="X266" s="4">
        <f>DATEVALUE(TEXT(DbLinkTable[[#This Row],[Date Received]],"MMMM YYYY"))</f>
        <v>41944</v>
      </c>
      <c r="Y266" s="4">
        <f>INT(DbLinkTable[[#This Row],[Date Received]])</f>
        <v>41957</v>
      </c>
    </row>
    <row r="267" spans="1:25">
      <c r="A267">
        <v>8982</v>
      </c>
      <c r="B267" t="s">
        <v>1514</v>
      </c>
      <c r="C267" t="s">
        <v>1539</v>
      </c>
      <c r="D267">
        <v>226</v>
      </c>
      <c r="E267" t="s">
        <v>1504</v>
      </c>
      <c r="F267" s="4">
        <v>41968</v>
      </c>
      <c r="G267" s="4" t="s">
        <v>192</v>
      </c>
      <c r="H267" s="4" t="s">
        <v>1515</v>
      </c>
      <c r="I267" s="4">
        <v>0</v>
      </c>
      <c r="J267" s="4"/>
      <c r="K267" s="4"/>
      <c r="L267" s="4"/>
      <c r="M267" s="4"/>
      <c r="N267" s="4"/>
      <c r="O267" s="4">
        <v>0</v>
      </c>
      <c r="P267" s="4">
        <v>41974.490428240744</v>
      </c>
      <c r="Q267" s="4"/>
      <c r="R267" s="4"/>
      <c r="S267" s="79">
        <f>DbLinkTable[[#This Row],[Credit]]+DbLinkTable[[#This Row],[Charge]]</f>
        <v>0</v>
      </c>
      <c r="T267" s="79">
        <f>IF(DbLinkTable[[#This Row],[Price/lb]]*DbLinkTable[[#This Row],[Weight]]&gt;0,DbLinkTable[[#This Row],[Price/lb]]*DbLinkTable[[#This Row],[Weight]],0)</f>
        <v>0</v>
      </c>
      <c r="U267" s="79">
        <f>IF(DbLinkTable[[#This Row],[Price/lb]]*DbLinkTable[[#This Row],[Weight]]&lt;0,DbLinkTable[[#This Row],[Price/lb]]*DbLinkTable[[#This Row],[Weight]],0)</f>
        <v>0</v>
      </c>
      <c r="V267" s="4">
        <f>IF(COUNTIF($W$2:W267,W267)=1,1,"")</f>
        <v>1</v>
      </c>
      <c r="W267" s="4" t="str">
        <f>CONCATENATE(DbLinkTable[[#This Row],[Customer]],UPPER(DbLinkTable[[#This Row],[Trailer Number]]),DbLinkTable[[#This Row],[Day Received]])</f>
        <v>Company1434041968</v>
      </c>
      <c r="X267" s="4">
        <f>DATEVALUE(TEXT(DbLinkTable[[#This Row],[Date Received]],"MMMM YYYY"))</f>
        <v>41944</v>
      </c>
      <c r="Y267" s="4">
        <f>INT(DbLinkTable[[#This Row],[Date Received]])</f>
        <v>41968</v>
      </c>
    </row>
    <row r="268" spans="1:25">
      <c r="A268">
        <v>8983</v>
      </c>
      <c r="B268" t="s">
        <v>1514</v>
      </c>
      <c r="D268">
        <v>192</v>
      </c>
      <c r="E268" t="s">
        <v>1504</v>
      </c>
      <c r="F268" s="4">
        <v>41968</v>
      </c>
      <c r="G268" s="4" t="s">
        <v>192</v>
      </c>
      <c r="H268" s="4" t="s">
        <v>1515</v>
      </c>
      <c r="I268" s="4">
        <v>0</v>
      </c>
      <c r="J268" s="4"/>
      <c r="K268" s="4"/>
      <c r="L268" s="4"/>
      <c r="M268" s="4"/>
      <c r="N268" s="4"/>
      <c r="O268" s="4">
        <v>0</v>
      </c>
      <c r="P268" s="4">
        <v>41974.49046296296</v>
      </c>
      <c r="Q268" s="4"/>
      <c r="R268" s="4"/>
      <c r="S268" s="79">
        <f>DbLinkTable[[#This Row],[Credit]]+DbLinkTable[[#This Row],[Charge]]</f>
        <v>0</v>
      </c>
      <c r="T268" s="79">
        <f>IF(DbLinkTable[[#This Row],[Price/lb]]*DbLinkTable[[#This Row],[Weight]]&gt;0,DbLinkTable[[#This Row],[Price/lb]]*DbLinkTable[[#This Row],[Weight]],0)</f>
        <v>0</v>
      </c>
      <c r="U268" s="79">
        <f>IF(DbLinkTable[[#This Row],[Price/lb]]*DbLinkTable[[#This Row],[Weight]]&lt;0,DbLinkTable[[#This Row],[Price/lb]]*DbLinkTable[[#This Row],[Weight]],0)</f>
        <v>0</v>
      </c>
      <c r="V268" s="4" t="str">
        <f>IF(COUNTIF($W$2:W268,W268)=1,1,"")</f>
        <v/>
      </c>
      <c r="W268" s="4" t="str">
        <f>CONCATENATE(DbLinkTable[[#This Row],[Customer]],UPPER(DbLinkTable[[#This Row],[Trailer Number]]),DbLinkTable[[#This Row],[Day Received]])</f>
        <v>Company1434041968</v>
      </c>
      <c r="X268" s="4">
        <f>DATEVALUE(TEXT(DbLinkTable[[#This Row],[Date Received]],"MMMM YYYY"))</f>
        <v>41944</v>
      </c>
      <c r="Y268" s="4">
        <f>INT(DbLinkTable[[#This Row],[Date Received]])</f>
        <v>41968</v>
      </c>
    </row>
    <row r="269" spans="1:25">
      <c r="A269">
        <v>8984</v>
      </c>
      <c r="B269" t="s">
        <v>1514</v>
      </c>
      <c r="D269">
        <v>102</v>
      </c>
      <c r="E269" t="s">
        <v>1504</v>
      </c>
      <c r="F269" s="4">
        <v>41968</v>
      </c>
      <c r="G269" s="4" t="s">
        <v>192</v>
      </c>
      <c r="H269" s="4" t="s">
        <v>1515</v>
      </c>
      <c r="I269" s="4">
        <v>0</v>
      </c>
      <c r="J269" s="4"/>
      <c r="K269" s="4"/>
      <c r="L269" s="4"/>
      <c r="M269" s="4"/>
      <c r="N269" s="4"/>
      <c r="O269" s="4">
        <v>0</v>
      </c>
      <c r="P269" s="4">
        <v>41974.490486111114</v>
      </c>
      <c r="Q269" s="4"/>
      <c r="R269" s="4"/>
      <c r="S269" s="79">
        <f>DbLinkTable[[#This Row],[Credit]]+DbLinkTable[[#This Row],[Charge]]</f>
        <v>0</v>
      </c>
      <c r="T269" s="79">
        <f>IF(DbLinkTable[[#This Row],[Price/lb]]*DbLinkTable[[#This Row],[Weight]]&gt;0,DbLinkTable[[#This Row],[Price/lb]]*DbLinkTable[[#This Row],[Weight]],0)</f>
        <v>0</v>
      </c>
      <c r="U269" s="79">
        <f>IF(DbLinkTable[[#This Row],[Price/lb]]*DbLinkTable[[#This Row],[Weight]]&lt;0,DbLinkTable[[#This Row],[Price/lb]]*DbLinkTable[[#This Row],[Weight]],0)</f>
        <v>0</v>
      </c>
      <c r="V269" s="4" t="str">
        <f>IF(COUNTIF($W$2:W269,W269)=1,1,"")</f>
        <v/>
      </c>
      <c r="W269" s="4" t="str">
        <f>CONCATENATE(DbLinkTable[[#This Row],[Customer]],UPPER(DbLinkTable[[#This Row],[Trailer Number]]),DbLinkTable[[#This Row],[Day Received]])</f>
        <v>Company1434041968</v>
      </c>
      <c r="X269" s="4">
        <f>DATEVALUE(TEXT(DbLinkTable[[#This Row],[Date Received]],"MMMM YYYY"))</f>
        <v>41944</v>
      </c>
      <c r="Y269" s="4">
        <f>INT(DbLinkTable[[#This Row],[Date Received]])</f>
        <v>41968</v>
      </c>
    </row>
    <row r="270" spans="1:25">
      <c r="A270">
        <v>8985</v>
      </c>
      <c r="B270" t="s">
        <v>1502</v>
      </c>
      <c r="D270">
        <v>334</v>
      </c>
      <c r="E270" t="s">
        <v>1504</v>
      </c>
      <c r="F270" s="4">
        <v>41968</v>
      </c>
      <c r="G270" s="4" t="s">
        <v>192</v>
      </c>
      <c r="H270" s="4" t="s">
        <v>1515</v>
      </c>
      <c r="I270" s="4">
        <v>0</v>
      </c>
      <c r="J270" s="4"/>
      <c r="K270" s="4"/>
      <c r="L270" s="4"/>
      <c r="M270" s="4"/>
      <c r="N270" s="4"/>
      <c r="O270" s="4">
        <v>0</v>
      </c>
      <c r="P270" s="4">
        <v>41974.490624999999</v>
      </c>
      <c r="Q270" s="4"/>
      <c r="R270" s="4"/>
      <c r="S270" s="79">
        <f>DbLinkTable[[#This Row],[Credit]]+DbLinkTable[[#This Row],[Charge]]</f>
        <v>0</v>
      </c>
      <c r="T270" s="79">
        <f>IF(DbLinkTable[[#This Row],[Price/lb]]*DbLinkTable[[#This Row],[Weight]]&gt;0,DbLinkTable[[#This Row],[Price/lb]]*DbLinkTable[[#This Row],[Weight]],0)</f>
        <v>0</v>
      </c>
      <c r="U270" s="79">
        <f>IF(DbLinkTable[[#This Row],[Price/lb]]*DbLinkTable[[#This Row],[Weight]]&lt;0,DbLinkTable[[#This Row],[Price/lb]]*DbLinkTable[[#This Row],[Weight]],0)</f>
        <v>0</v>
      </c>
      <c r="V270" s="4" t="str">
        <f>IF(COUNTIF($W$2:W270,W270)=1,1,"")</f>
        <v/>
      </c>
      <c r="W270" s="4" t="str">
        <f>CONCATENATE(DbLinkTable[[#This Row],[Customer]],UPPER(DbLinkTable[[#This Row],[Trailer Number]]),DbLinkTable[[#This Row],[Day Received]])</f>
        <v>Company1434041968</v>
      </c>
      <c r="X270" s="4">
        <f>DATEVALUE(TEXT(DbLinkTable[[#This Row],[Date Received]],"MMMM YYYY"))</f>
        <v>41944</v>
      </c>
      <c r="Y270" s="4">
        <f>INT(DbLinkTable[[#This Row],[Date Received]])</f>
        <v>41968</v>
      </c>
    </row>
    <row r="271" spans="1:25">
      <c r="A271">
        <v>8986</v>
      </c>
      <c r="B271" t="s">
        <v>1514</v>
      </c>
      <c r="C271" t="s">
        <v>1540</v>
      </c>
      <c r="D271">
        <v>3122</v>
      </c>
      <c r="E271" t="s">
        <v>1504</v>
      </c>
      <c r="F271" s="4">
        <v>41968</v>
      </c>
      <c r="G271" s="4" t="s">
        <v>192</v>
      </c>
      <c r="H271" s="4" t="s">
        <v>1515</v>
      </c>
      <c r="I271" s="4">
        <v>0</v>
      </c>
      <c r="J271" s="4"/>
      <c r="K271" s="4"/>
      <c r="L271" s="4"/>
      <c r="M271" s="4"/>
      <c r="N271" s="4"/>
      <c r="O271" s="4">
        <v>0</v>
      </c>
      <c r="P271" s="4">
        <v>41974.490682870368</v>
      </c>
      <c r="Q271" s="4"/>
      <c r="R271" s="4"/>
      <c r="S271" s="79">
        <f>DbLinkTable[[#This Row],[Credit]]+DbLinkTable[[#This Row],[Charge]]</f>
        <v>0</v>
      </c>
      <c r="T271" s="79">
        <f>IF(DbLinkTable[[#This Row],[Price/lb]]*DbLinkTable[[#This Row],[Weight]]&gt;0,DbLinkTable[[#This Row],[Price/lb]]*DbLinkTable[[#This Row],[Weight]],0)</f>
        <v>0</v>
      </c>
      <c r="U271" s="79">
        <f>IF(DbLinkTable[[#This Row],[Price/lb]]*DbLinkTable[[#This Row],[Weight]]&lt;0,DbLinkTable[[#This Row],[Price/lb]]*DbLinkTable[[#This Row],[Weight]],0)</f>
        <v>0</v>
      </c>
      <c r="V271" s="4" t="str">
        <f>IF(COUNTIF($W$2:W271,W271)=1,1,"")</f>
        <v/>
      </c>
      <c r="W271" s="4" t="str">
        <f>CONCATENATE(DbLinkTable[[#This Row],[Customer]],UPPER(DbLinkTable[[#This Row],[Trailer Number]]),DbLinkTable[[#This Row],[Day Received]])</f>
        <v>Company1434041968</v>
      </c>
      <c r="X271" s="4">
        <f>DATEVALUE(TEXT(DbLinkTable[[#This Row],[Date Received]],"MMMM YYYY"))</f>
        <v>41944</v>
      </c>
      <c r="Y271" s="4">
        <f>INT(DbLinkTable[[#This Row],[Date Received]])</f>
        <v>41968</v>
      </c>
    </row>
    <row r="272" spans="1:25">
      <c r="A272">
        <v>8988</v>
      </c>
      <c r="B272" t="s">
        <v>1508</v>
      </c>
      <c r="D272">
        <v>105</v>
      </c>
      <c r="E272" t="s">
        <v>1504</v>
      </c>
      <c r="F272" s="4">
        <v>41968</v>
      </c>
      <c r="G272" s="4" t="s">
        <v>192</v>
      </c>
      <c r="H272" s="4" t="s">
        <v>1515</v>
      </c>
      <c r="I272" s="4">
        <v>0</v>
      </c>
      <c r="J272" s="4"/>
      <c r="K272" s="4"/>
      <c r="L272" s="4"/>
      <c r="M272" s="4"/>
      <c r="N272" s="4"/>
      <c r="O272" s="4">
        <v>0</v>
      </c>
      <c r="P272" s="4">
        <v>41974.491238425922</v>
      </c>
      <c r="Q272" s="4"/>
      <c r="R272" s="4"/>
      <c r="S272" s="79">
        <f>DbLinkTable[[#This Row],[Credit]]+DbLinkTable[[#This Row],[Charge]]</f>
        <v>0</v>
      </c>
      <c r="T272" s="79">
        <f>IF(DbLinkTable[[#This Row],[Price/lb]]*DbLinkTable[[#This Row],[Weight]]&gt;0,DbLinkTable[[#This Row],[Price/lb]]*DbLinkTable[[#This Row],[Weight]],0)</f>
        <v>0</v>
      </c>
      <c r="U272" s="79">
        <f>IF(DbLinkTable[[#This Row],[Price/lb]]*DbLinkTable[[#This Row],[Weight]]&lt;0,DbLinkTable[[#This Row],[Price/lb]]*DbLinkTable[[#This Row],[Weight]],0)</f>
        <v>0</v>
      </c>
      <c r="V272" s="4" t="str">
        <f>IF(COUNTIF($W$2:W272,W272)=1,1,"")</f>
        <v/>
      </c>
      <c r="W272" s="4" t="str">
        <f>CONCATENATE(DbLinkTable[[#This Row],[Customer]],UPPER(DbLinkTable[[#This Row],[Trailer Number]]),DbLinkTable[[#This Row],[Day Received]])</f>
        <v>Company1434041968</v>
      </c>
      <c r="X272" s="4">
        <f>DATEVALUE(TEXT(DbLinkTable[[#This Row],[Date Received]],"MMMM YYYY"))</f>
        <v>41944</v>
      </c>
      <c r="Y272" s="4">
        <f>INT(DbLinkTable[[#This Row],[Date Received]])</f>
        <v>41968</v>
      </c>
    </row>
    <row r="273" spans="1:25">
      <c r="A273">
        <v>9116</v>
      </c>
      <c r="B273" t="s">
        <v>43</v>
      </c>
      <c r="C273" t="s">
        <v>1541</v>
      </c>
      <c r="D273">
        <v>1044</v>
      </c>
      <c r="E273" t="s">
        <v>1504</v>
      </c>
      <c r="F273" s="4">
        <v>41983.669814814813</v>
      </c>
      <c r="G273" s="4" t="s">
        <v>192</v>
      </c>
      <c r="H273" s="4" t="s">
        <v>1524</v>
      </c>
      <c r="I273" s="4">
        <v>0</v>
      </c>
      <c r="J273" s="4"/>
      <c r="K273" s="4"/>
      <c r="L273" s="4"/>
      <c r="M273" s="4"/>
      <c r="N273" s="4"/>
      <c r="O273" s="4">
        <v>0</v>
      </c>
      <c r="P273" s="4">
        <v>41990.669814814813</v>
      </c>
      <c r="Q273" s="4"/>
      <c r="R273" s="4"/>
      <c r="S273" s="79">
        <f>DbLinkTable[[#This Row],[Credit]]+DbLinkTable[[#This Row],[Charge]]</f>
        <v>0</v>
      </c>
      <c r="T273" s="79">
        <f>IF(DbLinkTable[[#This Row],[Price/lb]]*DbLinkTable[[#This Row],[Weight]]&gt;0,DbLinkTable[[#This Row],[Price/lb]]*DbLinkTable[[#This Row],[Weight]],0)</f>
        <v>0</v>
      </c>
      <c r="U273" s="79">
        <f>IF(DbLinkTable[[#This Row],[Price/lb]]*DbLinkTable[[#This Row],[Weight]]&lt;0,DbLinkTable[[#This Row],[Price/lb]]*DbLinkTable[[#This Row],[Weight]],0)</f>
        <v>0</v>
      </c>
      <c r="V273" s="4">
        <f>IF(COUNTIF($W$2:W273,W273)=1,1,"")</f>
        <v>1</v>
      </c>
      <c r="W273" s="4" t="str">
        <f>CONCATENATE(DbLinkTable[[#This Row],[Customer]],UPPER(DbLinkTable[[#This Row],[Trailer Number]]),DbLinkTable[[#This Row],[Day Received]])</f>
        <v>Company14TA93460141983</v>
      </c>
      <c r="X273" s="4">
        <f>DATEVALUE(TEXT(DbLinkTable[[#This Row],[Date Received]],"MMMM YYYY"))</f>
        <v>41974</v>
      </c>
      <c r="Y273" s="4">
        <f>INT(DbLinkTable[[#This Row],[Date Received]])</f>
        <v>41983</v>
      </c>
    </row>
    <row r="274" spans="1:25">
      <c r="A274">
        <v>9117</v>
      </c>
      <c r="B274" t="s">
        <v>47</v>
      </c>
      <c r="C274" t="s">
        <v>1542</v>
      </c>
      <c r="D274">
        <v>1044</v>
      </c>
      <c r="E274" t="s">
        <v>1504</v>
      </c>
      <c r="F274" s="4">
        <v>41983.67050925926</v>
      </c>
      <c r="G274" s="4" t="s">
        <v>192</v>
      </c>
      <c r="H274" s="4" t="s">
        <v>1524</v>
      </c>
      <c r="I274" s="4">
        <v>0</v>
      </c>
      <c r="J274" s="4"/>
      <c r="K274" s="4"/>
      <c r="L274" s="4"/>
      <c r="M274" s="4"/>
      <c r="N274" s="4"/>
      <c r="O274" s="4">
        <v>0</v>
      </c>
      <c r="P274" s="4">
        <v>41990.67050925926</v>
      </c>
      <c r="Q274" s="4"/>
      <c r="R274" s="4"/>
      <c r="S274" s="79">
        <f>DbLinkTable[[#This Row],[Credit]]+DbLinkTable[[#This Row],[Charge]]</f>
        <v>0</v>
      </c>
      <c r="T274" s="79">
        <f>IF(DbLinkTable[[#This Row],[Price/lb]]*DbLinkTable[[#This Row],[Weight]]&gt;0,DbLinkTable[[#This Row],[Price/lb]]*DbLinkTable[[#This Row],[Weight]],0)</f>
        <v>0</v>
      </c>
      <c r="U274" s="79">
        <f>IF(DbLinkTable[[#This Row],[Price/lb]]*DbLinkTable[[#This Row],[Weight]]&lt;0,DbLinkTable[[#This Row],[Price/lb]]*DbLinkTable[[#This Row],[Weight]],0)</f>
        <v>0</v>
      </c>
      <c r="V274" s="4" t="str">
        <f>IF(COUNTIF($W$2:W274,W274)=1,1,"")</f>
        <v/>
      </c>
      <c r="W274" s="4" t="str">
        <f>CONCATENATE(DbLinkTable[[#This Row],[Customer]],UPPER(DbLinkTable[[#This Row],[Trailer Number]]),DbLinkTable[[#This Row],[Day Received]])</f>
        <v>Company14TA93460141983</v>
      </c>
      <c r="X274" s="4">
        <f>DATEVALUE(TEXT(DbLinkTable[[#This Row],[Date Received]],"MMMM YYYY"))</f>
        <v>41974</v>
      </c>
      <c r="Y274" s="4">
        <f>INT(DbLinkTable[[#This Row],[Date Received]])</f>
        <v>41983</v>
      </c>
    </row>
    <row r="275" spans="1:25">
      <c r="A275">
        <v>9118</v>
      </c>
      <c r="B275" t="s">
        <v>47</v>
      </c>
      <c r="C275" t="s">
        <v>1543</v>
      </c>
      <c r="D275">
        <v>522</v>
      </c>
      <c r="E275" t="s">
        <v>1504</v>
      </c>
      <c r="F275" s="4">
        <v>41983.670717592591</v>
      </c>
      <c r="G275" s="4" t="s">
        <v>192</v>
      </c>
      <c r="H275" s="4" t="s">
        <v>1524</v>
      </c>
      <c r="I275" s="4">
        <v>0</v>
      </c>
      <c r="J275" s="4"/>
      <c r="K275" s="4"/>
      <c r="L275" s="4"/>
      <c r="M275" s="4"/>
      <c r="N275" s="4"/>
      <c r="O275" s="4">
        <v>0</v>
      </c>
      <c r="P275" s="4">
        <v>41990.670717592591</v>
      </c>
      <c r="Q275" s="4"/>
      <c r="R275" s="4"/>
      <c r="S275" s="79">
        <f>DbLinkTable[[#This Row],[Credit]]+DbLinkTable[[#This Row],[Charge]]</f>
        <v>0</v>
      </c>
      <c r="T275" s="79">
        <f>IF(DbLinkTable[[#This Row],[Price/lb]]*DbLinkTable[[#This Row],[Weight]]&gt;0,DbLinkTable[[#This Row],[Price/lb]]*DbLinkTable[[#This Row],[Weight]],0)</f>
        <v>0</v>
      </c>
      <c r="U275" s="79">
        <f>IF(DbLinkTable[[#This Row],[Price/lb]]*DbLinkTable[[#This Row],[Weight]]&lt;0,DbLinkTable[[#This Row],[Price/lb]]*DbLinkTable[[#This Row],[Weight]],0)</f>
        <v>0</v>
      </c>
      <c r="V275" s="4" t="str">
        <f>IF(COUNTIF($W$2:W275,W275)=1,1,"")</f>
        <v/>
      </c>
      <c r="W275" s="4" t="str">
        <f>CONCATENATE(DbLinkTable[[#This Row],[Customer]],UPPER(DbLinkTable[[#This Row],[Trailer Number]]),DbLinkTable[[#This Row],[Day Received]])</f>
        <v>Company14TA93460141983</v>
      </c>
      <c r="X275" s="4">
        <f>DATEVALUE(TEXT(DbLinkTable[[#This Row],[Date Received]],"MMMM YYYY"))</f>
        <v>41974</v>
      </c>
      <c r="Y275" s="4">
        <f>INT(DbLinkTable[[#This Row],[Date Received]])</f>
        <v>41983</v>
      </c>
    </row>
    <row r="276" spans="1:25">
      <c r="A276">
        <v>9119</v>
      </c>
      <c r="B276" t="s">
        <v>47</v>
      </c>
      <c r="C276" t="s">
        <v>1544</v>
      </c>
      <c r="D276">
        <v>1566</v>
      </c>
      <c r="E276" t="s">
        <v>1504</v>
      </c>
      <c r="F276" s="4">
        <v>41983.670891203707</v>
      </c>
      <c r="G276" s="4" t="s">
        <v>192</v>
      </c>
      <c r="H276" s="4" t="s">
        <v>1524</v>
      </c>
      <c r="I276" s="4">
        <v>0</v>
      </c>
      <c r="J276" s="4"/>
      <c r="K276" s="4"/>
      <c r="L276" s="4"/>
      <c r="M276" s="4"/>
      <c r="N276" s="4"/>
      <c r="O276" s="4">
        <v>0</v>
      </c>
      <c r="P276" s="4">
        <v>41990.670891203707</v>
      </c>
      <c r="Q276" s="4"/>
      <c r="R276" s="4"/>
      <c r="S276" s="79">
        <f>DbLinkTable[[#This Row],[Credit]]+DbLinkTable[[#This Row],[Charge]]</f>
        <v>0</v>
      </c>
      <c r="T276" s="79">
        <f>IF(DbLinkTable[[#This Row],[Price/lb]]*DbLinkTable[[#This Row],[Weight]]&gt;0,DbLinkTable[[#This Row],[Price/lb]]*DbLinkTable[[#This Row],[Weight]],0)</f>
        <v>0</v>
      </c>
      <c r="U276" s="79">
        <f>IF(DbLinkTable[[#This Row],[Price/lb]]*DbLinkTable[[#This Row],[Weight]]&lt;0,DbLinkTable[[#This Row],[Price/lb]]*DbLinkTable[[#This Row],[Weight]],0)</f>
        <v>0</v>
      </c>
      <c r="V276" s="4" t="str">
        <f>IF(COUNTIF($W$2:W276,W276)=1,1,"")</f>
        <v/>
      </c>
      <c r="W276" s="4" t="str">
        <f>CONCATENATE(DbLinkTable[[#This Row],[Customer]],UPPER(DbLinkTable[[#This Row],[Trailer Number]]),DbLinkTable[[#This Row],[Day Received]])</f>
        <v>Company14TA93460141983</v>
      </c>
      <c r="X276" s="4">
        <f>DATEVALUE(TEXT(DbLinkTable[[#This Row],[Date Received]],"MMMM YYYY"))</f>
        <v>41974</v>
      </c>
      <c r="Y276" s="4">
        <f>INT(DbLinkTable[[#This Row],[Date Received]])</f>
        <v>41983</v>
      </c>
    </row>
    <row r="277" spans="1:25">
      <c r="A277">
        <v>9120</v>
      </c>
      <c r="B277" t="s">
        <v>46</v>
      </c>
      <c r="C277" t="s">
        <v>1545</v>
      </c>
      <c r="D277">
        <v>3132</v>
      </c>
      <c r="E277" t="s">
        <v>1504</v>
      </c>
      <c r="F277" s="4">
        <v>41983.671342592592</v>
      </c>
      <c r="G277" s="4" t="s">
        <v>192</v>
      </c>
      <c r="H277" s="4" t="s">
        <v>1524</v>
      </c>
      <c r="I277" s="4">
        <v>0</v>
      </c>
      <c r="J277" s="4"/>
      <c r="K277" s="4"/>
      <c r="L277" s="4"/>
      <c r="M277" s="4"/>
      <c r="N277" s="4"/>
      <c r="O277" s="4">
        <v>0</v>
      </c>
      <c r="P277" s="4">
        <v>41990.671342592592</v>
      </c>
      <c r="Q277" s="4"/>
      <c r="R277" s="4"/>
      <c r="S277" s="79">
        <f>DbLinkTable[[#This Row],[Credit]]+DbLinkTable[[#This Row],[Charge]]</f>
        <v>0</v>
      </c>
      <c r="T277" s="79">
        <f>IF(DbLinkTable[[#This Row],[Price/lb]]*DbLinkTable[[#This Row],[Weight]]&gt;0,DbLinkTable[[#This Row],[Price/lb]]*DbLinkTable[[#This Row],[Weight]],0)</f>
        <v>0</v>
      </c>
      <c r="U277" s="79">
        <f>IF(DbLinkTable[[#This Row],[Price/lb]]*DbLinkTable[[#This Row],[Weight]]&lt;0,DbLinkTable[[#This Row],[Price/lb]]*DbLinkTable[[#This Row],[Weight]],0)</f>
        <v>0</v>
      </c>
      <c r="V277" s="4" t="str">
        <f>IF(COUNTIF($W$2:W277,W277)=1,1,"")</f>
        <v/>
      </c>
      <c r="W277" s="4" t="str">
        <f>CONCATENATE(DbLinkTable[[#This Row],[Customer]],UPPER(DbLinkTable[[#This Row],[Trailer Number]]),DbLinkTable[[#This Row],[Day Received]])</f>
        <v>Company14TA93460141983</v>
      </c>
      <c r="X277" s="4">
        <f>DATEVALUE(TEXT(DbLinkTable[[#This Row],[Date Received]],"MMMM YYYY"))</f>
        <v>41974</v>
      </c>
      <c r="Y277" s="4">
        <f>INT(DbLinkTable[[#This Row],[Date Received]])</f>
        <v>41983</v>
      </c>
    </row>
    <row r="278" spans="1:25">
      <c r="A278">
        <v>9121</v>
      </c>
      <c r="B278" t="s">
        <v>1508</v>
      </c>
      <c r="C278" t="s">
        <v>1546</v>
      </c>
      <c r="D278">
        <v>768</v>
      </c>
      <c r="E278" t="s">
        <v>1504</v>
      </c>
      <c r="F278" s="4">
        <v>41983.671342592592</v>
      </c>
      <c r="G278" s="4" t="s">
        <v>192</v>
      </c>
      <c r="H278" s="4" t="s">
        <v>1524</v>
      </c>
      <c r="I278" s="4">
        <v>0</v>
      </c>
      <c r="J278" s="4"/>
      <c r="K278" s="4"/>
      <c r="L278" s="4"/>
      <c r="M278" s="4"/>
      <c r="N278" s="4"/>
      <c r="O278" s="4">
        <v>0</v>
      </c>
      <c r="P278" s="4">
        <v>41990.685520833336</v>
      </c>
      <c r="Q278" s="4"/>
      <c r="R278" s="4"/>
      <c r="S278" s="79">
        <f>DbLinkTable[[#This Row],[Credit]]+DbLinkTable[[#This Row],[Charge]]</f>
        <v>0</v>
      </c>
      <c r="T278" s="79">
        <f>IF(DbLinkTable[[#This Row],[Price/lb]]*DbLinkTable[[#This Row],[Weight]]&gt;0,DbLinkTable[[#This Row],[Price/lb]]*DbLinkTable[[#This Row],[Weight]],0)</f>
        <v>0</v>
      </c>
      <c r="U278" s="79">
        <f>IF(DbLinkTable[[#This Row],[Price/lb]]*DbLinkTable[[#This Row],[Weight]]&lt;0,DbLinkTable[[#This Row],[Price/lb]]*DbLinkTable[[#This Row],[Weight]],0)</f>
        <v>0</v>
      </c>
      <c r="V278" s="4" t="str">
        <f>IF(COUNTIF($W$2:W278,W278)=1,1,"")</f>
        <v/>
      </c>
      <c r="W278" s="4" t="str">
        <f>CONCATENATE(DbLinkTable[[#This Row],[Customer]],UPPER(DbLinkTable[[#This Row],[Trailer Number]]),DbLinkTable[[#This Row],[Day Received]])</f>
        <v>Company14TA93460141983</v>
      </c>
      <c r="X278" s="4">
        <f>DATEVALUE(TEXT(DbLinkTable[[#This Row],[Date Received]],"MMMM YYYY"))</f>
        <v>41974</v>
      </c>
      <c r="Y278" s="4">
        <f>INT(DbLinkTable[[#This Row],[Date Received]])</f>
        <v>41983</v>
      </c>
    </row>
    <row r="279" spans="1:25">
      <c r="A279">
        <v>9363</v>
      </c>
      <c r="B279" t="s">
        <v>1502</v>
      </c>
      <c r="D279">
        <v>1224</v>
      </c>
      <c r="E279" t="s">
        <v>1504</v>
      </c>
      <c r="F279" s="4">
        <v>42002</v>
      </c>
      <c r="G279" s="4" t="s">
        <v>192</v>
      </c>
      <c r="H279" s="4" t="s">
        <v>1547</v>
      </c>
      <c r="I279" s="4">
        <v>0</v>
      </c>
      <c r="J279" s="4"/>
      <c r="K279" s="4"/>
      <c r="L279" s="4"/>
      <c r="M279" s="4"/>
      <c r="N279" s="4"/>
      <c r="O279" s="4">
        <v>0</v>
      </c>
      <c r="P279" s="4">
        <v>42004.447523148148</v>
      </c>
      <c r="Q279" s="4"/>
      <c r="R279" s="4"/>
      <c r="S279" s="79">
        <f>DbLinkTable[[#This Row],[Credit]]+DbLinkTable[[#This Row],[Charge]]</f>
        <v>0</v>
      </c>
      <c r="T279" s="79">
        <f>IF(DbLinkTable[[#This Row],[Price/lb]]*DbLinkTable[[#This Row],[Weight]]&gt;0,DbLinkTable[[#This Row],[Price/lb]]*DbLinkTable[[#This Row],[Weight]],0)</f>
        <v>0</v>
      </c>
      <c r="U279" s="79">
        <f>IF(DbLinkTable[[#This Row],[Price/lb]]*DbLinkTable[[#This Row],[Weight]]&lt;0,DbLinkTable[[#This Row],[Price/lb]]*DbLinkTable[[#This Row],[Weight]],0)</f>
        <v>0</v>
      </c>
      <c r="V279" s="4">
        <f>IF(COUNTIF($W$2:W279,W279)=1,1,"")</f>
        <v>1</v>
      </c>
      <c r="W279" s="4" t="str">
        <f>CONCATENATE(DbLinkTable[[#This Row],[Customer]],UPPER(DbLinkTable[[#This Row],[Trailer Number]]),DbLinkTable[[#This Row],[Day Received]])</f>
        <v>Company1476042002</v>
      </c>
      <c r="X279" s="4">
        <f>DATEVALUE(TEXT(DbLinkTable[[#This Row],[Date Received]],"MMMM YYYY"))</f>
        <v>41974</v>
      </c>
      <c r="Y279" s="4">
        <f>INT(DbLinkTable[[#This Row],[Date Received]])</f>
        <v>42002</v>
      </c>
    </row>
    <row r="280" spans="1:25">
      <c r="A280">
        <v>9364</v>
      </c>
      <c r="B280" t="s">
        <v>1502</v>
      </c>
      <c r="D280">
        <v>676</v>
      </c>
      <c r="E280" t="s">
        <v>1504</v>
      </c>
      <c r="F280" s="4">
        <v>42002</v>
      </c>
      <c r="G280" s="4" t="s">
        <v>192</v>
      </c>
      <c r="H280" s="4" t="s">
        <v>1547</v>
      </c>
      <c r="I280" s="4">
        <v>0</v>
      </c>
      <c r="J280" s="4"/>
      <c r="K280" s="4"/>
      <c r="L280" s="4"/>
      <c r="M280" s="4"/>
      <c r="N280" s="4"/>
      <c r="O280" s="4">
        <v>0</v>
      </c>
      <c r="P280" s="4">
        <v>42004.449108796296</v>
      </c>
      <c r="Q280" s="4"/>
      <c r="R280" s="4"/>
      <c r="S280" s="79">
        <f>DbLinkTable[[#This Row],[Credit]]+DbLinkTable[[#This Row],[Charge]]</f>
        <v>0</v>
      </c>
      <c r="T280" s="79">
        <f>IF(DbLinkTable[[#This Row],[Price/lb]]*DbLinkTable[[#This Row],[Weight]]&gt;0,DbLinkTable[[#This Row],[Price/lb]]*DbLinkTable[[#This Row],[Weight]],0)</f>
        <v>0</v>
      </c>
      <c r="U280" s="79">
        <f>IF(DbLinkTable[[#This Row],[Price/lb]]*DbLinkTable[[#This Row],[Weight]]&lt;0,DbLinkTable[[#This Row],[Price/lb]]*DbLinkTable[[#This Row],[Weight]],0)</f>
        <v>0</v>
      </c>
      <c r="V280" s="4" t="str">
        <f>IF(COUNTIF($W$2:W280,W280)=1,1,"")</f>
        <v/>
      </c>
      <c r="W280" s="4" t="str">
        <f>CONCATENATE(DbLinkTable[[#This Row],[Customer]],UPPER(DbLinkTable[[#This Row],[Trailer Number]]),DbLinkTable[[#This Row],[Day Received]])</f>
        <v>Company1476042002</v>
      </c>
      <c r="X280" s="4">
        <f>DATEVALUE(TEXT(DbLinkTable[[#This Row],[Date Received]],"MMMM YYYY"))</f>
        <v>41974</v>
      </c>
      <c r="Y280" s="4">
        <f>INT(DbLinkTable[[#This Row],[Date Received]])</f>
        <v>42002</v>
      </c>
    </row>
    <row r="281" spans="1:25">
      <c r="A281">
        <v>9365</v>
      </c>
      <c r="B281" t="s">
        <v>1502</v>
      </c>
      <c r="D281">
        <v>2400</v>
      </c>
      <c r="E281" t="s">
        <v>1504</v>
      </c>
      <c r="F281" s="4">
        <v>42002</v>
      </c>
      <c r="G281" s="4" t="s">
        <v>192</v>
      </c>
      <c r="H281" s="4" t="s">
        <v>1547</v>
      </c>
      <c r="I281" s="4">
        <v>0</v>
      </c>
      <c r="J281" s="4"/>
      <c r="K281" s="4"/>
      <c r="L281" s="4"/>
      <c r="M281" s="4"/>
      <c r="N281" s="4"/>
      <c r="O281" s="4">
        <v>0</v>
      </c>
      <c r="P281" s="4">
        <v>42004.460185185184</v>
      </c>
      <c r="Q281" s="4"/>
      <c r="R281" s="4"/>
      <c r="S281" s="79">
        <f>DbLinkTable[[#This Row],[Credit]]+DbLinkTable[[#This Row],[Charge]]</f>
        <v>0</v>
      </c>
      <c r="T281" s="79">
        <f>IF(DbLinkTable[[#This Row],[Price/lb]]*DbLinkTable[[#This Row],[Weight]]&gt;0,DbLinkTable[[#This Row],[Price/lb]]*DbLinkTable[[#This Row],[Weight]],0)</f>
        <v>0</v>
      </c>
      <c r="U281" s="79">
        <f>IF(DbLinkTable[[#This Row],[Price/lb]]*DbLinkTable[[#This Row],[Weight]]&lt;0,DbLinkTable[[#This Row],[Price/lb]]*DbLinkTable[[#This Row],[Weight]],0)</f>
        <v>0</v>
      </c>
      <c r="V281" s="4" t="str">
        <f>IF(COUNTIF($W$2:W281,W281)=1,1,"")</f>
        <v/>
      </c>
      <c r="W281" s="4" t="str">
        <f>CONCATENATE(DbLinkTable[[#This Row],[Customer]],UPPER(DbLinkTable[[#This Row],[Trailer Number]]),DbLinkTable[[#This Row],[Day Received]])</f>
        <v>Company1476042002</v>
      </c>
      <c r="X281" s="4">
        <f>DATEVALUE(TEXT(DbLinkTable[[#This Row],[Date Received]],"MMMM YYYY"))</f>
        <v>41974</v>
      </c>
      <c r="Y281" s="4">
        <f>INT(DbLinkTable[[#This Row],[Date Received]])</f>
        <v>42002</v>
      </c>
    </row>
    <row r="282" spans="1:25">
      <c r="A282">
        <v>9366</v>
      </c>
      <c r="B282" t="s">
        <v>1502</v>
      </c>
      <c r="D282">
        <v>2048</v>
      </c>
      <c r="E282" t="s">
        <v>1504</v>
      </c>
      <c r="F282" s="4">
        <v>42002</v>
      </c>
      <c r="G282" s="4" t="s">
        <v>192</v>
      </c>
      <c r="H282" s="4" t="s">
        <v>1547</v>
      </c>
      <c r="I282" s="4">
        <v>0</v>
      </c>
      <c r="J282" s="4"/>
      <c r="K282" s="4"/>
      <c r="L282" s="4"/>
      <c r="M282" s="4"/>
      <c r="N282" s="4"/>
      <c r="O282" s="4">
        <v>0</v>
      </c>
      <c r="P282" s="4">
        <v>42004.462268518517</v>
      </c>
      <c r="Q282" s="4"/>
      <c r="R282" s="4"/>
      <c r="S282" s="79">
        <f>DbLinkTable[[#This Row],[Credit]]+DbLinkTable[[#This Row],[Charge]]</f>
        <v>0</v>
      </c>
      <c r="T282" s="79">
        <f>IF(DbLinkTable[[#This Row],[Price/lb]]*DbLinkTable[[#This Row],[Weight]]&gt;0,DbLinkTable[[#This Row],[Price/lb]]*DbLinkTable[[#This Row],[Weight]],0)</f>
        <v>0</v>
      </c>
      <c r="U282" s="79">
        <f>IF(DbLinkTable[[#This Row],[Price/lb]]*DbLinkTable[[#This Row],[Weight]]&lt;0,DbLinkTable[[#This Row],[Price/lb]]*DbLinkTable[[#This Row],[Weight]],0)</f>
        <v>0</v>
      </c>
      <c r="V282" s="4" t="str">
        <f>IF(COUNTIF($W$2:W282,W282)=1,1,"")</f>
        <v/>
      </c>
      <c r="W282" s="4" t="str">
        <f>CONCATENATE(DbLinkTable[[#This Row],[Customer]],UPPER(DbLinkTable[[#This Row],[Trailer Number]]),DbLinkTable[[#This Row],[Day Received]])</f>
        <v>Company1476042002</v>
      </c>
      <c r="X282" s="4">
        <f>DATEVALUE(TEXT(DbLinkTable[[#This Row],[Date Received]],"MMMM YYYY"))</f>
        <v>41974</v>
      </c>
      <c r="Y282" s="4">
        <f>INT(DbLinkTable[[#This Row],[Date Received]])</f>
        <v>42002</v>
      </c>
    </row>
    <row r="283" spans="1:25">
      <c r="A283">
        <v>9367</v>
      </c>
      <c r="B283" t="s">
        <v>1502</v>
      </c>
      <c r="D283">
        <v>608</v>
      </c>
      <c r="E283" t="s">
        <v>1504</v>
      </c>
      <c r="F283" s="4">
        <v>42002</v>
      </c>
      <c r="G283" s="4" t="s">
        <v>192</v>
      </c>
      <c r="H283" s="4" t="s">
        <v>1547</v>
      </c>
      <c r="I283" s="4">
        <v>0</v>
      </c>
      <c r="J283" s="4"/>
      <c r="K283" s="4"/>
      <c r="L283" s="4"/>
      <c r="M283" s="4"/>
      <c r="N283" s="4"/>
      <c r="O283" s="4">
        <v>0</v>
      </c>
      <c r="P283" s="4">
        <v>42004.463738425926</v>
      </c>
      <c r="Q283" s="4"/>
      <c r="R283" s="4"/>
      <c r="S283" s="79">
        <f>DbLinkTable[[#This Row],[Credit]]+DbLinkTable[[#This Row],[Charge]]</f>
        <v>0</v>
      </c>
      <c r="T283" s="79">
        <f>IF(DbLinkTable[[#This Row],[Price/lb]]*DbLinkTable[[#This Row],[Weight]]&gt;0,DbLinkTable[[#This Row],[Price/lb]]*DbLinkTable[[#This Row],[Weight]],0)</f>
        <v>0</v>
      </c>
      <c r="U283" s="79">
        <f>IF(DbLinkTable[[#This Row],[Price/lb]]*DbLinkTable[[#This Row],[Weight]]&lt;0,DbLinkTable[[#This Row],[Price/lb]]*DbLinkTable[[#This Row],[Weight]],0)</f>
        <v>0</v>
      </c>
      <c r="V283" s="4" t="str">
        <f>IF(COUNTIF($W$2:W283,W283)=1,1,"")</f>
        <v/>
      </c>
      <c r="W283" s="4" t="str">
        <f>CONCATENATE(DbLinkTable[[#This Row],[Customer]],UPPER(DbLinkTable[[#This Row],[Trailer Number]]),DbLinkTable[[#This Row],[Day Received]])</f>
        <v>Company1476042002</v>
      </c>
      <c r="X283" s="4">
        <f>DATEVALUE(TEXT(DbLinkTable[[#This Row],[Date Received]],"MMMM YYYY"))</f>
        <v>41974</v>
      </c>
      <c r="Y283" s="4">
        <f>INT(DbLinkTable[[#This Row],[Date Received]])</f>
        <v>42002</v>
      </c>
    </row>
    <row r="284" spans="1:25">
      <c r="A284">
        <v>9368</v>
      </c>
      <c r="B284" t="s">
        <v>1502</v>
      </c>
      <c r="D284">
        <v>1676</v>
      </c>
      <c r="E284" t="s">
        <v>1504</v>
      </c>
      <c r="F284" s="4">
        <v>42002</v>
      </c>
      <c r="G284" s="4" t="s">
        <v>192</v>
      </c>
      <c r="H284" s="4" t="s">
        <v>1547</v>
      </c>
      <c r="I284" s="4">
        <v>0</v>
      </c>
      <c r="J284" s="4"/>
      <c r="K284" s="4"/>
      <c r="L284" s="4"/>
      <c r="M284" s="4"/>
      <c r="N284" s="4"/>
      <c r="O284" s="4">
        <v>0</v>
      </c>
      <c r="P284" s="4">
        <v>42004.465069444443</v>
      </c>
      <c r="Q284" s="4"/>
      <c r="R284" s="4"/>
      <c r="S284" s="79">
        <f>DbLinkTable[[#This Row],[Credit]]+DbLinkTable[[#This Row],[Charge]]</f>
        <v>0</v>
      </c>
      <c r="T284" s="79">
        <f>IF(DbLinkTable[[#This Row],[Price/lb]]*DbLinkTable[[#This Row],[Weight]]&gt;0,DbLinkTable[[#This Row],[Price/lb]]*DbLinkTable[[#This Row],[Weight]],0)</f>
        <v>0</v>
      </c>
      <c r="U284" s="79">
        <f>IF(DbLinkTable[[#This Row],[Price/lb]]*DbLinkTable[[#This Row],[Weight]]&lt;0,DbLinkTable[[#This Row],[Price/lb]]*DbLinkTable[[#This Row],[Weight]],0)</f>
        <v>0</v>
      </c>
      <c r="V284" s="4" t="str">
        <f>IF(COUNTIF($W$2:W284,W284)=1,1,"")</f>
        <v/>
      </c>
      <c r="W284" s="4" t="str">
        <f>CONCATENATE(DbLinkTable[[#This Row],[Customer]],UPPER(DbLinkTable[[#This Row],[Trailer Number]]),DbLinkTable[[#This Row],[Day Received]])</f>
        <v>Company1476042002</v>
      </c>
      <c r="X284" s="4">
        <f>DATEVALUE(TEXT(DbLinkTable[[#This Row],[Date Received]],"MMMM YYYY"))</f>
        <v>41974</v>
      </c>
      <c r="Y284" s="4">
        <f>INT(DbLinkTable[[#This Row],[Date Received]])</f>
        <v>42002</v>
      </c>
    </row>
    <row r="285" spans="1:25">
      <c r="A285">
        <v>9369</v>
      </c>
      <c r="B285" t="s">
        <v>1502</v>
      </c>
      <c r="D285">
        <v>948</v>
      </c>
      <c r="E285" t="s">
        <v>1504</v>
      </c>
      <c r="F285" s="4">
        <v>42002</v>
      </c>
      <c r="G285" s="4" t="s">
        <v>192</v>
      </c>
      <c r="H285" s="4" t="s">
        <v>1547</v>
      </c>
      <c r="I285" s="4">
        <v>0</v>
      </c>
      <c r="J285" s="4"/>
      <c r="K285" s="4"/>
      <c r="L285" s="4"/>
      <c r="M285" s="4"/>
      <c r="N285" s="4"/>
      <c r="O285" s="4">
        <v>0</v>
      </c>
      <c r="P285" s="4">
        <v>42004.466412037036</v>
      </c>
      <c r="Q285" s="4"/>
      <c r="R285" s="4"/>
      <c r="S285" s="79">
        <f>DbLinkTable[[#This Row],[Credit]]+DbLinkTable[[#This Row],[Charge]]</f>
        <v>0</v>
      </c>
      <c r="T285" s="79">
        <f>IF(DbLinkTable[[#This Row],[Price/lb]]*DbLinkTable[[#This Row],[Weight]]&gt;0,DbLinkTable[[#This Row],[Price/lb]]*DbLinkTable[[#This Row],[Weight]],0)</f>
        <v>0</v>
      </c>
      <c r="U285" s="79">
        <f>IF(DbLinkTable[[#This Row],[Price/lb]]*DbLinkTable[[#This Row],[Weight]]&lt;0,DbLinkTable[[#This Row],[Price/lb]]*DbLinkTable[[#This Row],[Weight]],0)</f>
        <v>0</v>
      </c>
      <c r="V285" s="4" t="str">
        <f>IF(COUNTIF($W$2:W285,W285)=1,1,"")</f>
        <v/>
      </c>
      <c r="W285" s="4" t="str">
        <f>CONCATENATE(DbLinkTable[[#This Row],[Customer]],UPPER(DbLinkTable[[#This Row],[Trailer Number]]),DbLinkTable[[#This Row],[Day Received]])</f>
        <v>Company1476042002</v>
      </c>
      <c r="X285" s="4">
        <f>DATEVALUE(TEXT(DbLinkTable[[#This Row],[Date Received]],"MMMM YYYY"))</f>
        <v>41974</v>
      </c>
      <c r="Y285" s="4">
        <f>INT(DbLinkTable[[#This Row],[Date Received]])</f>
        <v>42002</v>
      </c>
    </row>
    <row r="286" spans="1:25">
      <c r="A286">
        <v>9370</v>
      </c>
      <c r="B286" t="s">
        <v>1502</v>
      </c>
      <c r="D286">
        <v>514</v>
      </c>
      <c r="E286" t="s">
        <v>1504</v>
      </c>
      <c r="F286" s="4">
        <v>42002</v>
      </c>
      <c r="G286" s="4" t="s">
        <v>192</v>
      </c>
      <c r="H286" s="4" t="s">
        <v>1547</v>
      </c>
      <c r="I286" s="4">
        <v>0</v>
      </c>
      <c r="J286" s="4"/>
      <c r="K286" s="4"/>
      <c r="L286" s="4"/>
      <c r="M286" s="4"/>
      <c r="N286" s="4"/>
      <c r="O286" s="4">
        <v>0</v>
      </c>
      <c r="P286" s="4">
        <v>42004.467418981483</v>
      </c>
      <c r="Q286" s="4"/>
      <c r="R286" s="4"/>
      <c r="S286" s="79">
        <f>DbLinkTable[[#This Row],[Credit]]+DbLinkTable[[#This Row],[Charge]]</f>
        <v>0</v>
      </c>
      <c r="T286" s="79">
        <f>IF(DbLinkTable[[#This Row],[Price/lb]]*DbLinkTable[[#This Row],[Weight]]&gt;0,DbLinkTable[[#This Row],[Price/lb]]*DbLinkTable[[#This Row],[Weight]],0)</f>
        <v>0</v>
      </c>
      <c r="U286" s="79">
        <f>IF(DbLinkTable[[#This Row],[Price/lb]]*DbLinkTable[[#This Row],[Weight]]&lt;0,DbLinkTable[[#This Row],[Price/lb]]*DbLinkTable[[#This Row],[Weight]],0)</f>
        <v>0</v>
      </c>
      <c r="V286" s="4" t="str">
        <f>IF(COUNTIF($W$2:W286,W286)=1,1,"")</f>
        <v/>
      </c>
      <c r="W286" s="4" t="str">
        <f>CONCATENATE(DbLinkTable[[#This Row],[Customer]],UPPER(DbLinkTable[[#This Row],[Trailer Number]]),DbLinkTable[[#This Row],[Day Received]])</f>
        <v>Company1476042002</v>
      </c>
      <c r="X286" s="4">
        <f>DATEVALUE(TEXT(DbLinkTable[[#This Row],[Date Received]],"MMMM YYYY"))</f>
        <v>41974</v>
      </c>
      <c r="Y286" s="4">
        <f>INT(DbLinkTable[[#This Row],[Date Received]])</f>
        <v>42002</v>
      </c>
    </row>
    <row r="287" spans="1:25">
      <c r="A287">
        <v>9371</v>
      </c>
      <c r="B287" t="s">
        <v>1502</v>
      </c>
      <c r="D287">
        <v>1402</v>
      </c>
      <c r="E287" t="s">
        <v>1504</v>
      </c>
      <c r="F287" s="4">
        <v>42002</v>
      </c>
      <c r="G287" s="4" t="s">
        <v>192</v>
      </c>
      <c r="H287" s="4" t="s">
        <v>1547</v>
      </c>
      <c r="I287" s="4">
        <v>0</v>
      </c>
      <c r="J287" s="4"/>
      <c r="K287" s="4"/>
      <c r="L287" s="4"/>
      <c r="M287" s="4"/>
      <c r="N287" s="4"/>
      <c r="O287" s="4">
        <v>0</v>
      </c>
      <c r="P287" s="4">
        <v>42004.469027777777</v>
      </c>
      <c r="Q287" s="4"/>
      <c r="R287" s="4"/>
      <c r="S287" s="79">
        <f>DbLinkTable[[#This Row],[Credit]]+DbLinkTable[[#This Row],[Charge]]</f>
        <v>0</v>
      </c>
      <c r="T287" s="79">
        <f>IF(DbLinkTable[[#This Row],[Price/lb]]*DbLinkTable[[#This Row],[Weight]]&gt;0,DbLinkTable[[#This Row],[Price/lb]]*DbLinkTable[[#This Row],[Weight]],0)</f>
        <v>0</v>
      </c>
      <c r="U287" s="79">
        <f>IF(DbLinkTable[[#This Row],[Price/lb]]*DbLinkTable[[#This Row],[Weight]]&lt;0,DbLinkTable[[#This Row],[Price/lb]]*DbLinkTable[[#This Row],[Weight]],0)</f>
        <v>0</v>
      </c>
      <c r="V287" s="4" t="str">
        <f>IF(COUNTIF($W$2:W287,W287)=1,1,"")</f>
        <v/>
      </c>
      <c r="W287" s="4" t="str">
        <f>CONCATENATE(DbLinkTable[[#This Row],[Customer]],UPPER(DbLinkTable[[#This Row],[Trailer Number]]),DbLinkTable[[#This Row],[Day Received]])</f>
        <v>Company1476042002</v>
      </c>
      <c r="X287" s="4">
        <f>DATEVALUE(TEXT(DbLinkTable[[#This Row],[Date Received]],"MMMM YYYY"))</f>
        <v>41974</v>
      </c>
      <c r="Y287" s="4">
        <f>INT(DbLinkTable[[#This Row],[Date Received]])</f>
        <v>42002</v>
      </c>
    </row>
    <row r="288" spans="1:25">
      <c r="A288">
        <v>9372</v>
      </c>
      <c r="B288" t="s">
        <v>1502</v>
      </c>
      <c r="D288">
        <v>1658</v>
      </c>
      <c r="E288" t="s">
        <v>1504</v>
      </c>
      <c r="F288" s="4">
        <v>42002</v>
      </c>
      <c r="G288" s="4" t="s">
        <v>192</v>
      </c>
      <c r="H288" s="4" t="s">
        <v>1547</v>
      </c>
      <c r="I288" s="4">
        <v>0</v>
      </c>
      <c r="J288" s="4"/>
      <c r="K288" s="4"/>
      <c r="L288" s="4"/>
      <c r="M288" s="4"/>
      <c r="N288" s="4"/>
      <c r="O288" s="4">
        <v>0</v>
      </c>
      <c r="P288" s="4">
        <v>42004.470034722224</v>
      </c>
      <c r="Q288" s="4"/>
      <c r="R288" s="4"/>
      <c r="S288" s="79">
        <f>DbLinkTable[[#This Row],[Credit]]+DbLinkTable[[#This Row],[Charge]]</f>
        <v>0</v>
      </c>
      <c r="T288" s="79">
        <f>IF(DbLinkTable[[#This Row],[Price/lb]]*DbLinkTable[[#This Row],[Weight]]&gt;0,DbLinkTable[[#This Row],[Price/lb]]*DbLinkTable[[#This Row],[Weight]],0)</f>
        <v>0</v>
      </c>
      <c r="U288" s="79">
        <f>IF(DbLinkTable[[#This Row],[Price/lb]]*DbLinkTable[[#This Row],[Weight]]&lt;0,DbLinkTable[[#This Row],[Price/lb]]*DbLinkTable[[#This Row],[Weight]],0)</f>
        <v>0</v>
      </c>
      <c r="V288" s="4" t="str">
        <f>IF(COUNTIF($W$2:W288,W288)=1,1,"")</f>
        <v/>
      </c>
      <c r="W288" s="4" t="str">
        <f>CONCATENATE(DbLinkTable[[#This Row],[Customer]],UPPER(DbLinkTable[[#This Row],[Trailer Number]]),DbLinkTable[[#This Row],[Day Received]])</f>
        <v>Company1476042002</v>
      </c>
      <c r="X288" s="4">
        <f>DATEVALUE(TEXT(DbLinkTable[[#This Row],[Date Received]],"MMMM YYYY"))</f>
        <v>41974</v>
      </c>
      <c r="Y288" s="4">
        <f>INT(DbLinkTable[[#This Row],[Date Received]])</f>
        <v>42002</v>
      </c>
    </row>
    <row r="289" spans="1:25">
      <c r="A289">
        <v>9373</v>
      </c>
      <c r="B289" t="s">
        <v>1502</v>
      </c>
      <c r="D289">
        <v>454</v>
      </c>
      <c r="E289" t="s">
        <v>1504</v>
      </c>
      <c r="F289" s="4">
        <v>42002</v>
      </c>
      <c r="G289" s="4" t="s">
        <v>192</v>
      </c>
      <c r="H289" s="4" t="s">
        <v>1547</v>
      </c>
      <c r="I289" s="4">
        <v>0</v>
      </c>
      <c r="J289" s="4"/>
      <c r="K289" s="4"/>
      <c r="L289" s="4"/>
      <c r="M289" s="4"/>
      <c r="N289" s="4"/>
      <c r="O289" s="4">
        <v>0</v>
      </c>
      <c r="P289" s="4">
        <v>42004.470902777779</v>
      </c>
      <c r="Q289" s="4"/>
      <c r="R289" s="4"/>
      <c r="S289" s="79">
        <f>DbLinkTable[[#This Row],[Credit]]+DbLinkTable[[#This Row],[Charge]]</f>
        <v>0</v>
      </c>
      <c r="T289" s="79">
        <f>IF(DbLinkTable[[#This Row],[Price/lb]]*DbLinkTable[[#This Row],[Weight]]&gt;0,DbLinkTable[[#This Row],[Price/lb]]*DbLinkTable[[#This Row],[Weight]],0)</f>
        <v>0</v>
      </c>
      <c r="U289" s="79">
        <f>IF(DbLinkTable[[#This Row],[Price/lb]]*DbLinkTable[[#This Row],[Weight]]&lt;0,DbLinkTable[[#This Row],[Price/lb]]*DbLinkTable[[#This Row],[Weight]],0)</f>
        <v>0</v>
      </c>
      <c r="V289" s="4" t="str">
        <f>IF(COUNTIF($W$2:W289,W289)=1,1,"")</f>
        <v/>
      </c>
      <c r="W289" s="4" t="str">
        <f>CONCATENATE(DbLinkTable[[#This Row],[Customer]],UPPER(DbLinkTable[[#This Row],[Trailer Number]]),DbLinkTable[[#This Row],[Day Received]])</f>
        <v>Company1476042002</v>
      </c>
      <c r="X289" s="4">
        <f>DATEVALUE(TEXT(DbLinkTable[[#This Row],[Date Received]],"MMMM YYYY"))</f>
        <v>41974</v>
      </c>
      <c r="Y289" s="4">
        <f>INT(DbLinkTable[[#This Row],[Date Received]])</f>
        <v>42002</v>
      </c>
    </row>
    <row r="290" spans="1:25">
      <c r="A290">
        <v>9374</v>
      </c>
      <c r="B290" t="s">
        <v>45</v>
      </c>
      <c r="D290">
        <v>124</v>
      </c>
      <c r="E290" t="s">
        <v>1504</v>
      </c>
      <c r="F290" s="4">
        <v>42002</v>
      </c>
      <c r="G290" s="4" t="s">
        <v>192</v>
      </c>
      <c r="H290" s="4" t="s">
        <v>1547</v>
      </c>
      <c r="I290" s="4">
        <v>0</v>
      </c>
      <c r="J290" s="4"/>
      <c r="K290" s="4"/>
      <c r="L290" s="4"/>
      <c r="M290" s="4"/>
      <c r="N290" s="4"/>
      <c r="O290" s="4">
        <v>0</v>
      </c>
      <c r="P290" s="4">
        <v>42004.473969907405</v>
      </c>
      <c r="Q290" s="4"/>
      <c r="R290" s="4"/>
      <c r="S290" s="79">
        <f>DbLinkTable[[#This Row],[Credit]]+DbLinkTable[[#This Row],[Charge]]</f>
        <v>0</v>
      </c>
      <c r="T290" s="79">
        <f>IF(DbLinkTable[[#This Row],[Price/lb]]*DbLinkTable[[#This Row],[Weight]]&gt;0,DbLinkTable[[#This Row],[Price/lb]]*DbLinkTable[[#This Row],[Weight]],0)</f>
        <v>0</v>
      </c>
      <c r="U290" s="79">
        <f>IF(DbLinkTable[[#This Row],[Price/lb]]*DbLinkTable[[#This Row],[Weight]]&lt;0,DbLinkTable[[#This Row],[Price/lb]]*DbLinkTable[[#This Row],[Weight]],0)</f>
        <v>0</v>
      </c>
      <c r="V290" s="4" t="str">
        <f>IF(COUNTIF($W$2:W290,W290)=1,1,"")</f>
        <v/>
      </c>
      <c r="W290" s="4" t="str">
        <f>CONCATENATE(DbLinkTable[[#This Row],[Customer]],UPPER(DbLinkTable[[#This Row],[Trailer Number]]),DbLinkTable[[#This Row],[Day Received]])</f>
        <v>Company1476042002</v>
      </c>
      <c r="X290" s="4">
        <f>DATEVALUE(TEXT(DbLinkTable[[#This Row],[Date Received]],"MMMM YYYY"))</f>
        <v>41974</v>
      </c>
      <c r="Y290" s="4">
        <f>INT(DbLinkTable[[#This Row],[Date Received]])</f>
        <v>42002</v>
      </c>
    </row>
    <row r="291" spans="1:25">
      <c r="A291">
        <v>9375</v>
      </c>
      <c r="B291" t="s">
        <v>45</v>
      </c>
      <c r="D291">
        <v>110</v>
      </c>
      <c r="E291" t="s">
        <v>1504</v>
      </c>
      <c r="F291" s="4">
        <v>42002</v>
      </c>
      <c r="G291" s="4" t="s">
        <v>192</v>
      </c>
      <c r="H291" s="4" t="s">
        <v>1547</v>
      </c>
      <c r="I291" s="4">
        <v>0</v>
      </c>
      <c r="J291" s="4"/>
      <c r="K291" s="4"/>
      <c r="L291" s="4"/>
      <c r="M291" s="4"/>
      <c r="N291" s="4"/>
      <c r="O291" s="4">
        <v>0</v>
      </c>
      <c r="P291" s="4">
        <v>42004.474826388891</v>
      </c>
      <c r="Q291" s="4"/>
      <c r="R291" s="4"/>
      <c r="S291" s="79">
        <f>DbLinkTable[[#This Row],[Credit]]+DbLinkTable[[#This Row],[Charge]]</f>
        <v>0</v>
      </c>
      <c r="T291" s="79">
        <f>IF(DbLinkTable[[#This Row],[Price/lb]]*DbLinkTable[[#This Row],[Weight]]&gt;0,DbLinkTable[[#This Row],[Price/lb]]*DbLinkTable[[#This Row],[Weight]],0)</f>
        <v>0</v>
      </c>
      <c r="U291" s="79">
        <f>IF(DbLinkTable[[#This Row],[Price/lb]]*DbLinkTable[[#This Row],[Weight]]&lt;0,DbLinkTable[[#This Row],[Price/lb]]*DbLinkTable[[#This Row],[Weight]],0)</f>
        <v>0</v>
      </c>
      <c r="V291" s="4" t="str">
        <f>IF(COUNTIF($W$2:W291,W291)=1,1,"")</f>
        <v/>
      </c>
      <c r="W291" s="4" t="str">
        <f>CONCATENATE(DbLinkTable[[#This Row],[Customer]],UPPER(DbLinkTable[[#This Row],[Trailer Number]]),DbLinkTable[[#This Row],[Day Received]])</f>
        <v>Company1476042002</v>
      </c>
      <c r="X291" s="4">
        <f>DATEVALUE(TEXT(DbLinkTable[[#This Row],[Date Received]],"MMMM YYYY"))</f>
        <v>41974</v>
      </c>
      <c r="Y291" s="4">
        <f>INT(DbLinkTable[[#This Row],[Date Received]])</f>
        <v>42002</v>
      </c>
    </row>
    <row r="292" spans="1:25">
      <c r="A292">
        <v>9376</v>
      </c>
      <c r="B292" t="s">
        <v>45</v>
      </c>
      <c r="D292">
        <v>126</v>
      </c>
      <c r="E292" t="s">
        <v>1504</v>
      </c>
      <c r="F292" s="4">
        <v>42002</v>
      </c>
      <c r="G292" s="4" t="s">
        <v>192</v>
      </c>
      <c r="H292" s="4" t="s">
        <v>1547</v>
      </c>
      <c r="I292" s="4">
        <v>0</v>
      </c>
      <c r="J292" s="4"/>
      <c r="K292" s="4"/>
      <c r="L292" s="4"/>
      <c r="M292" s="4"/>
      <c r="N292" s="4"/>
      <c r="O292" s="4">
        <v>0</v>
      </c>
      <c r="P292" s="4">
        <v>42004.478946759256</v>
      </c>
      <c r="Q292" s="4"/>
      <c r="R292" s="4"/>
      <c r="S292" s="79">
        <f>DbLinkTable[[#This Row],[Credit]]+DbLinkTable[[#This Row],[Charge]]</f>
        <v>0</v>
      </c>
      <c r="T292" s="79">
        <f>IF(DbLinkTable[[#This Row],[Price/lb]]*DbLinkTable[[#This Row],[Weight]]&gt;0,DbLinkTable[[#This Row],[Price/lb]]*DbLinkTable[[#This Row],[Weight]],0)</f>
        <v>0</v>
      </c>
      <c r="U292" s="79">
        <f>IF(DbLinkTable[[#This Row],[Price/lb]]*DbLinkTable[[#This Row],[Weight]]&lt;0,DbLinkTable[[#This Row],[Price/lb]]*DbLinkTable[[#This Row],[Weight]],0)</f>
        <v>0</v>
      </c>
      <c r="V292" s="4" t="str">
        <f>IF(COUNTIF($W$2:W292,W292)=1,1,"")</f>
        <v/>
      </c>
      <c r="W292" s="4" t="str">
        <f>CONCATENATE(DbLinkTable[[#This Row],[Customer]],UPPER(DbLinkTable[[#This Row],[Trailer Number]]),DbLinkTable[[#This Row],[Day Received]])</f>
        <v>Company1476042002</v>
      </c>
      <c r="X292" s="4">
        <f>DATEVALUE(TEXT(DbLinkTable[[#This Row],[Date Received]],"MMMM YYYY"))</f>
        <v>41974</v>
      </c>
      <c r="Y292" s="4">
        <f>INT(DbLinkTable[[#This Row],[Date Received]])</f>
        <v>42002</v>
      </c>
    </row>
    <row r="293" spans="1:25">
      <c r="A293">
        <v>9377</v>
      </c>
      <c r="B293" t="s">
        <v>46</v>
      </c>
      <c r="D293">
        <v>30</v>
      </c>
      <c r="E293" t="s">
        <v>1504</v>
      </c>
      <c r="F293" s="4">
        <v>42002</v>
      </c>
      <c r="G293" s="4" t="s">
        <v>192</v>
      </c>
      <c r="H293" s="4" t="s">
        <v>1547</v>
      </c>
      <c r="I293" s="4">
        <v>0</v>
      </c>
      <c r="J293" s="4"/>
      <c r="K293" s="4"/>
      <c r="L293" s="4"/>
      <c r="M293" s="4"/>
      <c r="N293" s="4"/>
      <c r="O293" s="4">
        <v>0</v>
      </c>
      <c r="P293" s="4">
        <v>42004.484120370369</v>
      </c>
      <c r="Q293" s="4"/>
      <c r="R293" s="4"/>
      <c r="S293" s="79">
        <f>DbLinkTable[[#This Row],[Credit]]+DbLinkTable[[#This Row],[Charge]]</f>
        <v>0</v>
      </c>
      <c r="T293" s="79">
        <f>IF(DbLinkTable[[#This Row],[Price/lb]]*DbLinkTable[[#This Row],[Weight]]&gt;0,DbLinkTable[[#This Row],[Price/lb]]*DbLinkTable[[#This Row],[Weight]],0)</f>
        <v>0</v>
      </c>
      <c r="U293" s="79">
        <f>IF(DbLinkTable[[#This Row],[Price/lb]]*DbLinkTable[[#This Row],[Weight]]&lt;0,DbLinkTable[[#This Row],[Price/lb]]*DbLinkTable[[#This Row],[Weight]],0)</f>
        <v>0</v>
      </c>
      <c r="V293" s="4" t="str">
        <f>IF(COUNTIF($W$2:W293,W293)=1,1,"")</f>
        <v/>
      </c>
      <c r="W293" s="4" t="str">
        <f>CONCATENATE(DbLinkTable[[#This Row],[Customer]],UPPER(DbLinkTable[[#This Row],[Trailer Number]]),DbLinkTable[[#This Row],[Day Received]])</f>
        <v>Company1476042002</v>
      </c>
      <c r="X293" s="4">
        <f>DATEVALUE(TEXT(DbLinkTable[[#This Row],[Date Received]],"MMMM YYYY"))</f>
        <v>41974</v>
      </c>
      <c r="Y293" s="4">
        <f>INT(DbLinkTable[[#This Row],[Date Received]])</f>
        <v>42002</v>
      </c>
    </row>
    <row r="294" spans="1:25">
      <c r="A294">
        <v>9434</v>
      </c>
      <c r="B294" t="s">
        <v>45</v>
      </c>
      <c r="D294">
        <v>164</v>
      </c>
      <c r="E294" t="s">
        <v>1504</v>
      </c>
      <c r="F294" s="4">
        <v>42011</v>
      </c>
      <c r="G294" s="4" t="s">
        <v>192</v>
      </c>
      <c r="H294" s="4" t="s">
        <v>1516</v>
      </c>
      <c r="I294" s="4">
        <v>0</v>
      </c>
      <c r="J294" s="4"/>
      <c r="K294" s="4"/>
      <c r="L294" s="4"/>
      <c r="M294" s="4"/>
      <c r="N294" s="4"/>
      <c r="O294" s="4">
        <v>0</v>
      </c>
      <c r="P294" s="4">
        <v>42023.529930555553</v>
      </c>
      <c r="Q294" s="4"/>
      <c r="R294" s="4"/>
      <c r="S294" s="79">
        <f>DbLinkTable[[#This Row],[Credit]]+DbLinkTable[[#This Row],[Charge]]</f>
        <v>0</v>
      </c>
      <c r="T294" s="79">
        <f>IF(DbLinkTable[[#This Row],[Price/lb]]*DbLinkTable[[#This Row],[Weight]]&gt;0,DbLinkTable[[#This Row],[Price/lb]]*DbLinkTable[[#This Row],[Weight]],0)</f>
        <v>0</v>
      </c>
      <c r="U294" s="79">
        <f>IF(DbLinkTable[[#This Row],[Price/lb]]*DbLinkTable[[#This Row],[Weight]]&lt;0,DbLinkTable[[#This Row],[Price/lb]]*DbLinkTable[[#This Row],[Weight]],0)</f>
        <v>0</v>
      </c>
      <c r="V294" s="4">
        <f>IF(COUNTIF($W$2:W294,W294)=1,1,"")</f>
        <v>1</v>
      </c>
      <c r="W294" s="4" t="str">
        <f>CONCATENATE(DbLinkTable[[#This Row],[Customer]],UPPER(DbLinkTable[[#This Row],[Trailer Number]]),DbLinkTable[[#This Row],[Day Received]])</f>
        <v>Company1419242011</v>
      </c>
      <c r="X294" s="4">
        <f>DATEVALUE(TEXT(DbLinkTable[[#This Row],[Date Received]],"MMMM YYYY"))</f>
        <v>42005</v>
      </c>
      <c r="Y294" s="4">
        <f>INT(DbLinkTable[[#This Row],[Date Received]])</f>
        <v>42011</v>
      </c>
    </row>
    <row r="295" spans="1:25">
      <c r="A295">
        <v>9435</v>
      </c>
      <c r="B295" t="s">
        <v>45</v>
      </c>
      <c r="D295">
        <v>140</v>
      </c>
      <c r="E295" t="s">
        <v>1504</v>
      </c>
      <c r="F295" s="4">
        <v>42011</v>
      </c>
      <c r="G295" s="4" t="s">
        <v>192</v>
      </c>
      <c r="H295" s="4" t="s">
        <v>1516</v>
      </c>
      <c r="I295" s="4">
        <v>0</v>
      </c>
      <c r="J295" s="4"/>
      <c r="K295" s="4"/>
      <c r="L295" s="4"/>
      <c r="M295" s="4"/>
      <c r="N295" s="4"/>
      <c r="O295" s="4">
        <v>0</v>
      </c>
      <c r="P295" s="4">
        <v>42023.529988425929</v>
      </c>
      <c r="Q295" s="4"/>
      <c r="R295" s="4"/>
      <c r="S295" s="79">
        <f>DbLinkTable[[#This Row],[Credit]]+DbLinkTable[[#This Row],[Charge]]</f>
        <v>0</v>
      </c>
      <c r="T295" s="79">
        <f>IF(DbLinkTable[[#This Row],[Price/lb]]*DbLinkTable[[#This Row],[Weight]]&gt;0,DbLinkTable[[#This Row],[Price/lb]]*DbLinkTable[[#This Row],[Weight]],0)</f>
        <v>0</v>
      </c>
      <c r="U295" s="79">
        <f>IF(DbLinkTable[[#This Row],[Price/lb]]*DbLinkTable[[#This Row],[Weight]]&lt;0,DbLinkTable[[#This Row],[Price/lb]]*DbLinkTable[[#This Row],[Weight]],0)</f>
        <v>0</v>
      </c>
      <c r="V295" s="4" t="str">
        <f>IF(COUNTIF($W$2:W295,W295)=1,1,"")</f>
        <v/>
      </c>
      <c r="W295" s="4" t="str">
        <f>CONCATENATE(DbLinkTable[[#This Row],[Customer]],UPPER(DbLinkTable[[#This Row],[Trailer Number]]),DbLinkTable[[#This Row],[Day Received]])</f>
        <v>Company1419242011</v>
      </c>
      <c r="X295" s="4">
        <f>DATEVALUE(TEXT(DbLinkTable[[#This Row],[Date Received]],"MMMM YYYY"))</f>
        <v>42005</v>
      </c>
      <c r="Y295" s="4">
        <f>INT(DbLinkTable[[#This Row],[Date Received]])</f>
        <v>42011</v>
      </c>
    </row>
    <row r="296" spans="1:25">
      <c r="A296">
        <v>9436</v>
      </c>
      <c r="B296" t="s">
        <v>45</v>
      </c>
      <c r="D296">
        <v>100</v>
      </c>
      <c r="E296" t="s">
        <v>1504</v>
      </c>
      <c r="F296" s="4">
        <v>42011</v>
      </c>
      <c r="G296" s="4" t="s">
        <v>192</v>
      </c>
      <c r="H296" s="4" t="s">
        <v>1516</v>
      </c>
      <c r="I296" s="4">
        <v>0</v>
      </c>
      <c r="J296" s="4"/>
      <c r="K296" s="4"/>
      <c r="L296" s="4"/>
      <c r="M296" s="4"/>
      <c r="N296" s="4"/>
      <c r="O296" s="4">
        <v>0</v>
      </c>
      <c r="P296" s="4">
        <v>42023.530034722222</v>
      </c>
      <c r="Q296" s="4"/>
      <c r="R296" s="4"/>
      <c r="S296" s="79">
        <f>DbLinkTable[[#This Row],[Credit]]+DbLinkTable[[#This Row],[Charge]]</f>
        <v>0</v>
      </c>
      <c r="T296" s="79">
        <f>IF(DbLinkTable[[#This Row],[Price/lb]]*DbLinkTable[[#This Row],[Weight]]&gt;0,DbLinkTable[[#This Row],[Price/lb]]*DbLinkTable[[#This Row],[Weight]],0)</f>
        <v>0</v>
      </c>
      <c r="U296" s="79">
        <f>IF(DbLinkTable[[#This Row],[Price/lb]]*DbLinkTable[[#This Row],[Weight]]&lt;0,DbLinkTable[[#This Row],[Price/lb]]*DbLinkTable[[#This Row],[Weight]],0)</f>
        <v>0</v>
      </c>
      <c r="V296" s="4" t="str">
        <f>IF(COUNTIF($W$2:W296,W296)=1,1,"")</f>
        <v/>
      </c>
      <c r="W296" s="4" t="str">
        <f>CONCATENATE(DbLinkTable[[#This Row],[Customer]],UPPER(DbLinkTable[[#This Row],[Trailer Number]]),DbLinkTable[[#This Row],[Day Received]])</f>
        <v>Company1419242011</v>
      </c>
      <c r="X296" s="4">
        <f>DATEVALUE(TEXT(DbLinkTable[[#This Row],[Date Received]],"MMMM YYYY"))</f>
        <v>42005</v>
      </c>
      <c r="Y296" s="4">
        <f>INT(DbLinkTable[[#This Row],[Date Received]])</f>
        <v>42011</v>
      </c>
    </row>
    <row r="297" spans="1:25">
      <c r="A297">
        <v>9437</v>
      </c>
      <c r="B297" t="s">
        <v>45</v>
      </c>
      <c r="D297">
        <v>126</v>
      </c>
      <c r="E297" t="s">
        <v>1504</v>
      </c>
      <c r="F297" s="4">
        <v>42011</v>
      </c>
      <c r="G297" s="4" t="s">
        <v>192</v>
      </c>
      <c r="H297" s="4" t="s">
        <v>1516</v>
      </c>
      <c r="I297" s="4">
        <v>0</v>
      </c>
      <c r="J297" s="4"/>
      <c r="K297" s="4"/>
      <c r="L297" s="4"/>
      <c r="M297" s="4"/>
      <c r="N297" s="4"/>
      <c r="O297" s="4">
        <v>0</v>
      </c>
      <c r="P297" s="4">
        <v>42023.530104166668</v>
      </c>
      <c r="Q297" s="4"/>
      <c r="R297" s="4"/>
      <c r="S297" s="79">
        <f>DbLinkTable[[#This Row],[Credit]]+DbLinkTable[[#This Row],[Charge]]</f>
        <v>0</v>
      </c>
      <c r="T297" s="79">
        <f>IF(DbLinkTable[[#This Row],[Price/lb]]*DbLinkTable[[#This Row],[Weight]]&gt;0,DbLinkTable[[#This Row],[Price/lb]]*DbLinkTable[[#This Row],[Weight]],0)</f>
        <v>0</v>
      </c>
      <c r="U297" s="79">
        <f>IF(DbLinkTable[[#This Row],[Price/lb]]*DbLinkTable[[#This Row],[Weight]]&lt;0,DbLinkTable[[#This Row],[Price/lb]]*DbLinkTable[[#This Row],[Weight]],0)</f>
        <v>0</v>
      </c>
      <c r="V297" s="4" t="str">
        <f>IF(COUNTIF($W$2:W297,W297)=1,1,"")</f>
        <v/>
      </c>
      <c r="W297" s="4" t="str">
        <f>CONCATENATE(DbLinkTable[[#This Row],[Customer]],UPPER(DbLinkTable[[#This Row],[Trailer Number]]),DbLinkTable[[#This Row],[Day Received]])</f>
        <v>Company1419242011</v>
      </c>
      <c r="X297" s="4">
        <f>DATEVALUE(TEXT(DbLinkTable[[#This Row],[Date Received]],"MMMM YYYY"))</f>
        <v>42005</v>
      </c>
      <c r="Y297" s="4">
        <f>INT(DbLinkTable[[#This Row],[Date Received]])</f>
        <v>42011</v>
      </c>
    </row>
    <row r="298" spans="1:25">
      <c r="A298">
        <v>9438</v>
      </c>
      <c r="B298" t="s">
        <v>48</v>
      </c>
      <c r="D298">
        <v>368</v>
      </c>
      <c r="E298" t="s">
        <v>1504</v>
      </c>
      <c r="F298" s="4">
        <v>42011</v>
      </c>
      <c r="G298" s="4" t="s">
        <v>192</v>
      </c>
      <c r="H298" s="4" t="s">
        <v>1516</v>
      </c>
      <c r="I298" s="4">
        <v>0</v>
      </c>
      <c r="J298" s="4"/>
      <c r="K298" s="4"/>
      <c r="L298" s="4"/>
      <c r="M298" s="4"/>
      <c r="N298" s="4"/>
      <c r="O298" s="4">
        <v>0</v>
      </c>
      <c r="P298" s="4">
        <v>42023.530300925922</v>
      </c>
      <c r="Q298" s="4"/>
      <c r="R298" s="4"/>
      <c r="S298" s="79">
        <f>DbLinkTable[[#This Row],[Credit]]+DbLinkTable[[#This Row],[Charge]]</f>
        <v>0</v>
      </c>
      <c r="T298" s="79">
        <f>IF(DbLinkTable[[#This Row],[Price/lb]]*DbLinkTable[[#This Row],[Weight]]&gt;0,DbLinkTable[[#This Row],[Price/lb]]*DbLinkTable[[#This Row],[Weight]],0)</f>
        <v>0</v>
      </c>
      <c r="U298" s="79">
        <f>IF(DbLinkTable[[#This Row],[Price/lb]]*DbLinkTable[[#This Row],[Weight]]&lt;0,DbLinkTable[[#This Row],[Price/lb]]*DbLinkTable[[#This Row],[Weight]],0)</f>
        <v>0</v>
      </c>
      <c r="V298" s="4" t="str">
        <f>IF(COUNTIF($W$2:W298,W298)=1,1,"")</f>
        <v/>
      </c>
      <c r="W298" s="4" t="str">
        <f>CONCATENATE(DbLinkTable[[#This Row],[Customer]],UPPER(DbLinkTable[[#This Row],[Trailer Number]]),DbLinkTable[[#This Row],[Day Received]])</f>
        <v>Company1419242011</v>
      </c>
      <c r="X298" s="4">
        <f>DATEVALUE(TEXT(DbLinkTable[[#This Row],[Date Received]],"MMMM YYYY"))</f>
        <v>42005</v>
      </c>
      <c r="Y298" s="4">
        <f>INT(DbLinkTable[[#This Row],[Date Received]])</f>
        <v>42011</v>
      </c>
    </row>
    <row r="299" spans="1:25">
      <c r="A299">
        <v>9439</v>
      </c>
      <c r="B299" t="s">
        <v>1503</v>
      </c>
      <c r="D299">
        <v>470</v>
      </c>
      <c r="E299" t="s">
        <v>1504</v>
      </c>
      <c r="F299" s="4">
        <v>42011</v>
      </c>
      <c r="G299" s="4" t="s">
        <v>192</v>
      </c>
      <c r="H299" s="4" t="s">
        <v>1516</v>
      </c>
      <c r="I299" s="4">
        <v>0</v>
      </c>
      <c r="J299" s="4"/>
      <c r="K299" s="4"/>
      <c r="L299" s="4"/>
      <c r="M299" s="4"/>
      <c r="N299" s="4"/>
      <c r="O299" s="4">
        <v>0</v>
      </c>
      <c r="P299" s="4">
        <v>42023.530555555553</v>
      </c>
      <c r="Q299" s="4"/>
      <c r="R299" s="4"/>
      <c r="S299" s="79">
        <f>DbLinkTable[[#This Row],[Credit]]+DbLinkTable[[#This Row],[Charge]]</f>
        <v>0</v>
      </c>
      <c r="T299" s="79">
        <f>IF(DbLinkTable[[#This Row],[Price/lb]]*DbLinkTable[[#This Row],[Weight]]&gt;0,DbLinkTable[[#This Row],[Price/lb]]*DbLinkTable[[#This Row],[Weight]],0)</f>
        <v>0</v>
      </c>
      <c r="U299" s="79">
        <f>IF(DbLinkTable[[#This Row],[Price/lb]]*DbLinkTable[[#This Row],[Weight]]&lt;0,DbLinkTable[[#This Row],[Price/lb]]*DbLinkTable[[#This Row],[Weight]],0)</f>
        <v>0</v>
      </c>
      <c r="V299" s="4" t="str">
        <f>IF(COUNTIF($W$2:W299,W299)=1,1,"")</f>
        <v/>
      </c>
      <c r="W299" s="4" t="str">
        <f>CONCATENATE(DbLinkTable[[#This Row],[Customer]],UPPER(DbLinkTable[[#This Row],[Trailer Number]]),DbLinkTable[[#This Row],[Day Received]])</f>
        <v>Company1419242011</v>
      </c>
      <c r="X299" s="4">
        <f>DATEVALUE(TEXT(DbLinkTable[[#This Row],[Date Received]],"MMMM YYYY"))</f>
        <v>42005</v>
      </c>
      <c r="Y299" s="4">
        <f>INT(DbLinkTable[[#This Row],[Date Received]])</f>
        <v>42011</v>
      </c>
    </row>
    <row r="300" spans="1:25">
      <c r="A300">
        <v>9440</v>
      </c>
      <c r="B300" t="s">
        <v>1503</v>
      </c>
      <c r="D300">
        <v>476</v>
      </c>
      <c r="E300" t="s">
        <v>1504</v>
      </c>
      <c r="F300" s="4">
        <v>42011</v>
      </c>
      <c r="G300" s="4" t="s">
        <v>192</v>
      </c>
      <c r="H300" s="4" t="s">
        <v>1516</v>
      </c>
      <c r="I300" s="4">
        <v>0</v>
      </c>
      <c r="J300" s="4"/>
      <c r="K300" s="4"/>
      <c r="L300" s="4"/>
      <c r="M300" s="4"/>
      <c r="N300" s="4"/>
      <c r="O300" s="4">
        <v>0</v>
      </c>
      <c r="P300" s="4">
        <v>42023.530648148146</v>
      </c>
      <c r="Q300" s="4"/>
      <c r="R300" s="4"/>
      <c r="S300" s="79">
        <f>DbLinkTable[[#This Row],[Credit]]+DbLinkTable[[#This Row],[Charge]]</f>
        <v>0</v>
      </c>
      <c r="T300" s="79">
        <f>IF(DbLinkTable[[#This Row],[Price/lb]]*DbLinkTable[[#This Row],[Weight]]&gt;0,DbLinkTable[[#This Row],[Price/lb]]*DbLinkTable[[#This Row],[Weight]],0)</f>
        <v>0</v>
      </c>
      <c r="U300" s="79">
        <f>IF(DbLinkTable[[#This Row],[Price/lb]]*DbLinkTable[[#This Row],[Weight]]&lt;0,DbLinkTable[[#This Row],[Price/lb]]*DbLinkTable[[#This Row],[Weight]],0)</f>
        <v>0</v>
      </c>
      <c r="V300" s="4" t="str">
        <f>IF(COUNTIF($W$2:W300,W300)=1,1,"")</f>
        <v/>
      </c>
      <c r="W300" s="4" t="str">
        <f>CONCATENATE(DbLinkTable[[#This Row],[Customer]],UPPER(DbLinkTable[[#This Row],[Trailer Number]]),DbLinkTable[[#This Row],[Day Received]])</f>
        <v>Company1419242011</v>
      </c>
      <c r="X300" s="4">
        <f>DATEVALUE(TEXT(DbLinkTable[[#This Row],[Date Received]],"MMMM YYYY"))</f>
        <v>42005</v>
      </c>
      <c r="Y300" s="4">
        <f>INT(DbLinkTable[[#This Row],[Date Received]])</f>
        <v>42011</v>
      </c>
    </row>
    <row r="301" spans="1:25">
      <c r="A301">
        <v>9441</v>
      </c>
      <c r="B301" t="s">
        <v>1503</v>
      </c>
      <c r="D301">
        <v>468</v>
      </c>
      <c r="E301" t="s">
        <v>1504</v>
      </c>
      <c r="F301" s="4">
        <v>42011</v>
      </c>
      <c r="G301" s="4" t="s">
        <v>192</v>
      </c>
      <c r="H301" s="4" t="s">
        <v>1516</v>
      </c>
      <c r="I301" s="4">
        <v>0</v>
      </c>
      <c r="J301" s="4"/>
      <c r="K301" s="4"/>
      <c r="L301" s="4"/>
      <c r="M301" s="4"/>
      <c r="N301" s="4"/>
      <c r="O301" s="4">
        <v>0</v>
      </c>
      <c r="P301" s="4">
        <v>42023.530706018515</v>
      </c>
      <c r="Q301" s="4"/>
      <c r="R301" s="4"/>
      <c r="S301" s="79">
        <f>DbLinkTable[[#This Row],[Credit]]+DbLinkTable[[#This Row],[Charge]]</f>
        <v>0</v>
      </c>
      <c r="T301" s="79">
        <f>IF(DbLinkTable[[#This Row],[Price/lb]]*DbLinkTable[[#This Row],[Weight]]&gt;0,DbLinkTable[[#This Row],[Price/lb]]*DbLinkTable[[#This Row],[Weight]],0)</f>
        <v>0</v>
      </c>
      <c r="U301" s="79">
        <f>IF(DbLinkTable[[#This Row],[Price/lb]]*DbLinkTable[[#This Row],[Weight]]&lt;0,DbLinkTable[[#This Row],[Price/lb]]*DbLinkTable[[#This Row],[Weight]],0)</f>
        <v>0</v>
      </c>
      <c r="V301" s="4" t="str">
        <f>IF(COUNTIF($W$2:W301,W301)=1,1,"")</f>
        <v/>
      </c>
      <c r="W301" s="4" t="str">
        <f>CONCATENATE(DbLinkTable[[#This Row],[Customer]],UPPER(DbLinkTable[[#This Row],[Trailer Number]]),DbLinkTable[[#This Row],[Day Received]])</f>
        <v>Company1419242011</v>
      </c>
      <c r="X301" s="4">
        <f>DATEVALUE(TEXT(DbLinkTable[[#This Row],[Date Received]],"MMMM YYYY"))</f>
        <v>42005</v>
      </c>
      <c r="Y301" s="4">
        <f>INT(DbLinkTable[[#This Row],[Date Received]])</f>
        <v>42011</v>
      </c>
    </row>
    <row r="302" spans="1:25">
      <c r="A302">
        <v>9442</v>
      </c>
      <c r="B302" t="s">
        <v>1503</v>
      </c>
      <c r="D302">
        <v>470</v>
      </c>
      <c r="E302" t="s">
        <v>1504</v>
      </c>
      <c r="F302" s="4">
        <v>42011</v>
      </c>
      <c r="G302" s="4" t="s">
        <v>192</v>
      </c>
      <c r="H302" s="4" t="s">
        <v>1516</v>
      </c>
      <c r="I302" s="4">
        <v>0</v>
      </c>
      <c r="J302" s="4"/>
      <c r="K302" s="4"/>
      <c r="L302" s="4"/>
      <c r="M302" s="4"/>
      <c r="N302" s="4"/>
      <c r="O302" s="4">
        <v>0</v>
      </c>
      <c r="P302" s="4">
        <v>42023.530810185184</v>
      </c>
      <c r="Q302" s="4"/>
      <c r="R302" s="4"/>
      <c r="S302" s="79">
        <f>DbLinkTable[[#This Row],[Credit]]+DbLinkTable[[#This Row],[Charge]]</f>
        <v>0</v>
      </c>
      <c r="T302" s="79">
        <f>IF(DbLinkTable[[#This Row],[Price/lb]]*DbLinkTable[[#This Row],[Weight]]&gt;0,DbLinkTable[[#This Row],[Price/lb]]*DbLinkTable[[#This Row],[Weight]],0)</f>
        <v>0</v>
      </c>
      <c r="U302" s="79">
        <f>IF(DbLinkTable[[#This Row],[Price/lb]]*DbLinkTable[[#This Row],[Weight]]&lt;0,DbLinkTable[[#This Row],[Price/lb]]*DbLinkTable[[#This Row],[Weight]],0)</f>
        <v>0</v>
      </c>
      <c r="V302" s="4" t="str">
        <f>IF(COUNTIF($W$2:W302,W302)=1,1,"")</f>
        <v/>
      </c>
      <c r="W302" s="4" t="str">
        <f>CONCATENATE(DbLinkTable[[#This Row],[Customer]],UPPER(DbLinkTable[[#This Row],[Trailer Number]]),DbLinkTable[[#This Row],[Day Received]])</f>
        <v>Company1419242011</v>
      </c>
      <c r="X302" s="4">
        <f>DATEVALUE(TEXT(DbLinkTable[[#This Row],[Date Received]],"MMMM YYYY"))</f>
        <v>42005</v>
      </c>
      <c r="Y302" s="4">
        <f>INT(DbLinkTable[[#This Row],[Date Received]])</f>
        <v>42011</v>
      </c>
    </row>
    <row r="303" spans="1:25">
      <c r="A303">
        <v>9443</v>
      </c>
      <c r="B303" t="s">
        <v>1503</v>
      </c>
      <c r="D303">
        <v>472</v>
      </c>
      <c r="E303" t="s">
        <v>1504</v>
      </c>
      <c r="F303" s="4">
        <v>42011</v>
      </c>
      <c r="G303" s="4" t="s">
        <v>192</v>
      </c>
      <c r="H303" s="4" t="s">
        <v>1516</v>
      </c>
      <c r="I303" s="4">
        <v>0</v>
      </c>
      <c r="J303" s="4"/>
      <c r="K303" s="4"/>
      <c r="L303" s="4"/>
      <c r="M303" s="4"/>
      <c r="N303" s="4"/>
      <c r="O303" s="4">
        <v>0</v>
      </c>
      <c r="P303" s="4">
        <v>42023.530891203707</v>
      </c>
      <c r="Q303" s="4"/>
      <c r="R303" s="4"/>
      <c r="S303" s="79">
        <f>DbLinkTable[[#This Row],[Credit]]+DbLinkTable[[#This Row],[Charge]]</f>
        <v>0</v>
      </c>
      <c r="T303" s="79">
        <f>IF(DbLinkTable[[#This Row],[Price/lb]]*DbLinkTable[[#This Row],[Weight]]&gt;0,DbLinkTable[[#This Row],[Price/lb]]*DbLinkTable[[#This Row],[Weight]],0)</f>
        <v>0</v>
      </c>
      <c r="U303" s="79">
        <f>IF(DbLinkTable[[#This Row],[Price/lb]]*DbLinkTable[[#This Row],[Weight]]&lt;0,DbLinkTable[[#This Row],[Price/lb]]*DbLinkTable[[#This Row],[Weight]],0)</f>
        <v>0</v>
      </c>
      <c r="V303" s="4" t="str">
        <f>IF(COUNTIF($W$2:W303,W303)=1,1,"")</f>
        <v/>
      </c>
      <c r="W303" s="4" t="str">
        <f>CONCATENATE(DbLinkTable[[#This Row],[Customer]],UPPER(DbLinkTable[[#This Row],[Trailer Number]]),DbLinkTable[[#This Row],[Day Received]])</f>
        <v>Company1419242011</v>
      </c>
      <c r="X303" s="4">
        <f>DATEVALUE(TEXT(DbLinkTable[[#This Row],[Date Received]],"MMMM YYYY"))</f>
        <v>42005</v>
      </c>
      <c r="Y303" s="4">
        <f>INT(DbLinkTable[[#This Row],[Date Received]])</f>
        <v>42011</v>
      </c>
    </row>
    <row r="304" spans="1:25">
      <c r="A304">
        <v>9444</v>
      </c>
      <c r="B304" t="s">
        <v>1503</v>
      </c>
      <c r="D304">
        <v>460</v>
      </c>
      <c r="E304" t="s">
        <v>1504</v>
      </c>
      <c r="F304" s="4">
        <v>42011</v>
      </c>
      <c r="G304" s="4" t="s">
        <v>192</v>
      </c>
      <c r="H304" s="4" t="s">
        <v>1516</v>
      </c>
      <c r="I304" s="4">
        <v>0</v>
      </c>
      <c r="J304" s="4"/>
      <c r="K304" s="4"/>
      <c r="L304" s="4"/>
      <c r="M304" s="4"/>
      <c r="N304" s="4"/>
      <c r="O304" s="4">
        <v>0</v>
      </c>
      <c r="P304" s="4">
        <v>42023.530960648146</v>
      </c>
      <c r="Q304" s="4"/>
      <c r="R304" s="4"/>
      <c r="S304" s="79">
        <f>DbLinkTable[[#This Row],[Credit]]+DbLinkTable[[#This Row],[Charge]]</f>
        <v>0</v>
      </c>
      <c r="T304" s="79">
        <f>IF(DbLinkTable[[#This Row],[Price/lb]]*DbLinkTable[[#This Row],[Weight]]&gt;0,DbLinkTable[[#This Row],[Price/lb]]*DbLinkTable[[#This Row],[Weight]],0)</f>
        <v>0</v>
      </c>
      <c r="U304" s="79">
        <f>IF(DbLinkTable[[#This Row],[Price/lb]]*DbLinkTable[[#This Row],[Weight]]&lt;0,DbLinkTable[[#This Row],[Price/lb]]*DbLinkTable[[#This Row],[Weight]],0)</f>
        <v>0</v>
      </c>
      <c r="V304" s="4" t="str">
        <f>IF(COUNTIF($W$2:W304,W304)=1,1,"")</f>
        <v/>
      </c>
      <c r="W304" s="4" t="str">
        <f>CONCATENATE(DbLinkTable[[#This Row],[Customer]],UPPER(DbLinkTable[[#This Row],[Trailer Number]]),DbLinkTable[[#This Row],[Day Received]])</f>
        <v>Company1419242011</v>
      </c>
      <c r="X304" s="4">
        <f>DATEVALUE(TEXT(DbLinkTable[[#This Row],[Date Received]],"MMMM YYYY"))</f>
        <v>42005</v>
      </c>
      <c r="Y304" s="4">
        <f>INT(DbLinkTable[[#This Row],[Date Received]])</f>
        <v>42011</v>
      </c>
    </row>
    <row r="305" spans="1:25">
      <c r="A305">
        <v>9445</v>
      </c>
      <c r="B305" t="s">
        <v>1503</v>
      </c>
      <c r="D305">
        <v>466</v>
      </c>
      <c r="E305" t="s">
        <v>1504</v>
      </c>
      <c r="F305" s="4">
        <v>42011</v>
      </c>
      <c r="G305" s="4" t="s">
        <v>192</v>
      </c>
      <c r="H305" s="4" t="s">
        <v>1516</v>
      </c>
      <c r="I305" s="4">
        <v>0</v>
      </c>
      <c r="J305" s="4"/>
      <c r="K305" s="4"/>
      <c r="L305" s="4"/>
      <c r="M305" s="4"/>
      <c r="N305" s="4"/>
      <c r="O305" s="4">
        <v>0</v>
      </c>
      <c r="P305" s="4">
        <v>42023.531006944446</v>
      </c>
      <c r="Q305" s="4"/>
      <c r="R305" s="4"/>
      <c r="S305" s="79">
        <f>DbLinkTable[[#This Row],[Credit]]+DbLinkTable[[#This Row],[Charge]]</f>
        <v>0</v>
      </c>
      <c r="T305" s="79">
        <f>IF(DbLinkTable[[#This Row],[Price/lb]]*DbLinkTable[[#This Row],[Weight]]&gt;0,DbLinkTable[[#This Row],[Price/lb]]*DbLinkTable[[#This Row],[Weight]],0)</f>
        <v>0</v>
      </c>
      <c r="U305" s="79">
        <f>IF(DbLinkTable[[#This Row],[Price/lb]]*DbLinkTable[[#This Row],[Weight]]&lt;0,DbLinkTable[[#This Row],[Price/lb]]*DbLinkTable[[#This Row],[Weight]],0)</f>
        <v>0</v>
      </c>
      <c r="V305" s="4" t="str">
        <f>IF(COUNTIF($W$2:W305,W305)=1,1,"")</f>
        <v/>
      </c>
      <c r="W305" s="4" t="str">
        <f>CONCATENATE(DbLinkTable[[#This Row],[Customer]],UPPER(DbLinkTable[[#This Row],[Trailer Number]]),DbLinkTable[[#This Row],[Day Received]])</f>
        <v>Company1419242011</v>
      </c>
      <c r="X305" s="4">
        <f>DATEVALUE(TEXT(DbLinkTable[[#This Row],[Date Received]],"MMMM YYYY"))</f>
        <v>42005</v>
      </c>
      <c r="Y305" s="4">
        <f>INT(DbLinkTable[[#This Row],[Date Received]])</f>
        <v>42011</v>
      </c>
    </row>
    <row r="306" spans="1:25">
      <c r="A306">
        <v>9446</v>
      </c>
      <c r="B306" t="s">
        <v>1503</v>
      </c>
      <c r="D306">
        <v>474</v>
      </c>
      <c r="E306" t="s">
        <v>1504</v>
      </c>
      <c r="F306" s="4">
        <v>42011</v>
      </c>
      <c r="G306" s="4" t="s">
        <v>192</v>
      </c>
      <c r="H306" s="4" t="s">
        <v>1516</v>
      </c>
      <c r="I306" s="4">
        <v>0</v>
      </c>
      <c r="J306" s="4"/>
      <c r="K306" s="4"/>
      <c r="L306" s="4"/>
      <c r="M306" s="4"/>
      <c r="N306" s="4"/>
      <c r="O306" s="4">
        <v>0</v>
      </c>
      <c r="P306" s="4">
        <v>42023.531076388892</v>
      </c>
      <c r="Q306" s="4"/>
      <c r="R306" s="4"/>
      <c r="S306" s="79">
        <f>DbLinkTable[[#This Row],[Credit]]+DbLinkTable[[#This Row],[Charge]]</f>
        <v>0</v>
      </c>
      <c r="T306" s="79">
        <f>IF(DbLinkTable[[#This Row],[Price/lb]]*DbLinkTable[[#This Row],[Weight]]&gt;0,DbLinkTable[[#This Row],[Price/lb]]*DbLinkTable[[#This Row],[Weight]],0)</f>
        <v>0</v>
      </c>
      <c r="U306" s="79">
        <f>IF(DbLinkTable[[#This Row],[Price/lb]]*DbLinkTable[[#This Row],[Weight]]&lt;0,DbLinkTable[[#This Row],[Price/lb]]*DbLinkTable[[#This Row],[Weight]],0)</f>
        <v>0</v>
      </c>
      <c r="V306" s="4" t="str">
        <f>IF(COUNTIF($W$2:W306,W306)=1,1,"")</f>
        <v/>
      </c>
      <c r="W306" s="4" t="str">
        <f>CONCATENATE(DbLinkTable[[#This Row],[Customer]],UPPER(DbLinkTable[[#This Row],[Trailer Number]]),DbLinkTable[[#This Row],[Day Received]])</f>
        <v>Company1419242011</v>
      </c>
      <c r="X306" s="4">
        <f>DATEVALUE(TEXT(DbLinkTable[[#This Row],[Date Received]],"MMMM YYYY"))</f>
        <v>42005</v>
      </c>
      <c r="Y306" s="4">
        <f>INT(DbLinkTable[[#This Row],[Date Received]])</f>
        <v>42011</v>
      </c>
    </row>
    <row r="307" spans="1:25">
      <c r="A307">
        <v>9447</v>
      </c>
      <c r="B307" t="s">
        <v>1503</v>
      </c>
      <c r="D307">
        <v>468</v>
      </c>
      <c r="E307" t="s">
        <v>1504</v>
      </c>
      <c r="F307" s="4">
        <v>42011</v>
      </c>
      <c r="G307" s="4" t="s">
        <v>192</v>
      </c>
      <c r="H307" s="4" t="s">
        <v>1516</v>
      </c>
      <c r="I307" s="4">
        <v>0</v>
      </c>
      <c r="J307" s="4"/>
      <c r="K307" s="4"/>
      <c r="L307" s="4"/>
      <c r="M307" s="4"/>
      <c r="N307" s="4"/>
      <c r="O307" s="4">
        <v>0</v>
      </c>
      <c r="P307" s="4">
        <v>42023.531122685185</v>
      </c>
      <c r="Q307" s="4"/>
      <c r="R307" s="4"/>
      <c r="S307" s="79">
        <f>DbLinkTable[[#This Row],[Credit]]+DbLinkTable[[#This Row],[Charge]]</f>
        <v>0</v>
      </c>
      <c r="T307" s="79">
        <f>IF(DbLinkTable[[#This Row],[Price/lb]]*DbLinkTable[[#This Row],[Weight]]&gt;0,DbLinkTable[[#This Row],[Price/lb]]*DbLinkTable[[#This Row],[Weight]],0)</f>
        <v>0</v>
      </c>
      <c r="U307" s="79">
        <f>IF(DbLinkTable[[#This Row],[Price/lb]]*DbLinkTable[[#This Row],[Weight]]&lt;0,DbLinkTable[[#This Row],[Price/lb]]*DbLinkTable[[#This Row],[Weight]],0)</f>
        <v>0</v>
      </c>
      <c r="V307" s="4" t="str">
        <f>IF(COUNTIF($W$2:W307,W307)=1,1,"")</f>
        <v/>
      </c>
      <c r="W307" s="4" t="str">
        <f>CONCATENATE(DbLinkTable[[#This Row],[Customer]],UPPER(DbLinkTable[[#This Row],[Trailer Number]]),DbLinkTable[[#This Row],[Day Received]])</f>
        <v>Company1419242011</v>
      </c>
      <c r="X307" s="4">
        <f>DATEVALUE(TEXT(DbLinkTable[[#This Row],[Date Received]],"MMMM YYYY"))</f>
        <v>42005</v>
      </c>
      <c r="Y307" s="4">
        <f>INT(DbLinkTable[[#This Row],[Date Received]])</f>
        <v>42011</v>
      </c>
    </row>
    <row r="308" spans="1:25">
      <c r="A308">
        <v>9448</v>
      </c>
      <c r="B308" t="s">
        <v>1503</v>
      </c>
      <c r="D308">
        <v>470</v>
      </c>
      <c r="E308" t="s">
        <v>1504</v>
      </c>
      <c r="F308" s="4">
        <v>42011</v>
      </c>
      <c r="G308" s="4" t="s">
        <v>192</v>
      </c>
      <c r="H308" s="4" t="s">
        <v>1516</v>
      </c>
      <c r="I308" s="4">
        <v>0</v>
      </c>
      <c r="J308" s="4"/>
      <c r="K308" s="4"/>
      <c r="L308" s="4"/>
      <c r="M308" s="4"/>
      <c r="N308" s="4"/>
      <c r="O308" s="4">
        <v>0</v>
      </c>
      <c r="P308" s="4">
        <v>42023.5312037037</v>
      </c>
      <c r="Q308" s="4"/>
      <c r="R308" s="4"/>
      <c r="S308" s="79">
        <f>DbLinkTable[[#This Row],[Credit]]+DbLinkTable[[#This Row],[Charge]]</f>
        <v>0</v>
      </c>
      <c r="T308" s="79">
        <f>IF(DbLinkTable[[#This Row],[Price/lb]]*DbLinkTable[[#This Row],[Weight]]&gt;0,DbLinkTable[[#This Row],[Price/lb]]*DbLinkTable[[#This Row],[Weight]],0)</f>
        <v>0</v>
      </c>
      <c r="U308" s="79">
        <f>IF(DbLinkTable[[#This Row],[Price/lb]]*DbLinkTable[[#This Row],[Weight]]&lt;0,DbLinkTable[[#This Row],[Price/lb]]*DbLinkTable[[#This Row],[Weight]],0)</f>
        <v>0</v>
      </c>
      <c r="V308" s="4" t="str">
        <f>IF(COUNTIF($W$2:W308,W308)=1,1,"")</f>
        <v/>
      </c>
      <c r="W308" s="4" t="str">
        <f>CONCATENATE(DbLinkTable[[#This Row],[Customer]],UPPER(DbLinkTable[[#This Row],[Trailer Number]]),DbLinkTable[[#This Row],[Day Received]])</f>
        <v>Company1419242011</v>
      </c>
      <c r="X308" s="4">
        <f>DATEVALUE(TEXT(DbLinkTable[[#This Row],[Date Received]],"MMMM YYYY"))</f>
        <v>42005</v>
      </c>
      <c r="Y308" s="4">
        <f>INT(DbLinkTable[[#This Row],[Date Received]])</f>
        <v>42011</v>
      </c>
    </row>
    <row r="309" spans="1:25">
      <c r="A309">
        <v>9449</v>
      </c>
      <c r="B309" t="s">
        <v>1503</v>
      </c>
      <c r="D309">
        <v>444</v>
      </c>
      <c r="E309" t="s">
        <v>1504</v>
      </c>
      <c r="F309" s="4">
        <v>42011</v>
      </c>
      <c r="G309" s="4" t="s">
        <v>192</v>
      </c>
      <c r="H309" s="4" t="s">
        <v>1516</v>
      </c>
      <c r="I309" s="4">
        <v>0</v>
      </c>
      <c r="J309" s="4"/>
      <c r="K309" s="4"/>
      <c r="L309" s="4"/>
      <c r="M309" s="4"/>
      <c r="N309" s="4"/>
      <c r="O309" s="4">
        <v>0</v>
      </c>
      <c r="P309" s="4">
        <v>42023.531238425923</v>
      </c>
      <c r="Q309" s="4"/>
      <c r="R309" s="4"/>
      <c r="S309" s="79">
        <f>DbLinkTable[[#This Row],[Credit]]+DbLinkTable[[#This Row],[Charge]]</f>
        <v>0</v>
      </c>
      <c r="T309" s="79">
        <f>IF(DbLinkTable[[#This Row],[Price/lb]]*DbLinkTable[[#This Row],[Weight]]&gt;0,DbLinkTable[[#This Row],[Price/lb]]*DbLinkTable[[#This Row],[Weight]],0)</f>
        <v>0</v>
      </c>
      <c r="U309" s="79">
        <f>IF(DbLinkTable[[#This Row],[Price/lb]]*DbLinkTable[[#This Row],[Weight]]&lt;0,DbLinkTable[[#This Row],[Price/lb]]*DbLinkTable[[#This Row],[Weight]],0)</f>
        <v>0</v>
      </c>
      <c r="V309" s="4" t="str">
        <f>IF(COUNTIF($W$2:W309,W309)=1,1,"")</f>
        <v/>
      </c>
      <c r="W309" s="4" t="str">
        <f>CONCATENATE(DbLinkTable[[#This Row],[Customer]],UPPER(DbLinkTable[[#This Row],[Trailer Number]]),DbLinkTable[[#This Row],[Day Received]])</f>
        <v>Company1419242011</v>
      </c>
      <c r="X309" s="4">
        <f>DATEVALUE(TEXT(DbLinkTable[[#This Row],[Date Received]],"MMMM YYYY"))</f>
        <v>42005</v>
      </c>
      <c r="Y309" s="4">
        <f>INT(DbLinkTable[[#This Row],[Date Received]])</f>
        <v>42011</v>
      </c>
    </row>
    <row r="310" spans="1:25">
      <c r="A310">
        <v>9450</v>
      </c>
      <c r="B310" t="s">
        <v>1506</v>
      </c>
      <c r="D310">
        <v>370</v>
      </c>
      <c r="E310" t="s">
        <v>1504</v>
      </c>
      <c r="F310" s="4">
        <v>42011</v>
      </c>
      <c r="G310" s="4" t="s">
        <v>192</v>
      </c>
      <c r="H310" s="4" t="s">
        <v>1516</v>
      </c>
      <c r="I310" s="4">
        <v>0</v>
      </c>
      <c r="J310" s="4"/>
      <c r="K310" s="4"/>
      <c r="L310" s="4"/>
      <c r="M310" s="4"/>
      <c r="N310" s="4"/>
      <c r="O310" s="4">
        <v>0</v>
      </c>
      <c r="P310" s="4">
        <v>42023.531481481485</v>
      </c>
      <c r="Q310" s="4"/>
      <c r="R310" s="4"/>
      <c r="S310" s="79">
        <f>DbLinkTable[[#This Row],[Credit]]+DbLinkTable[[#This Row],[Charge]]</f>
        <v>0</v>
      </c>
      <c r="T310" s="79">
        <f>IF(DbLinkTable[[#This Row],[Price/lb]]*DbLinkTable[[#This Row],[Weight]]&gt;0,DbLinkTable[[#This Row],[Price/lb]]*DbLinkTable[[#This Row],[Weight]],0)</f>
        <v>0</v>
      </c>
      <c r="U310" s="79">
        <f>IF(DbLinkTable[[#This Row],[Price/lb]]*DbLinkTable[[#This Row],[Weight]]&lt;0,DbLinkTable[[#This Row],[Price/lb]]*DbLinkTable[[#This Row],[Weight]],0)</f>
        <v>0</v>
      </c>
      <c r="V310" s="4" t="str">
        <f>IF(COUNTIF($W$2:W310,W310)=1,1,"")</f>
        <v/>
      </c>
      <c r="W310" s="4" t="str">
        <f>CONCATENATE(DbLinkTable[[#This Row],[Customer]],UPPER(DbLinkTable[[#This Row],[Trailer Number]]),DbLinkTable[[#This Row],[Day Received]])</f>
        <v>Company1419242011</v>
      </c>
      <c r="X310" s="4">
        <f>DATEVALUE(TEXT(DbLinkTable[[#This Row],[Date Received]],"MMMM YYYY"))</f>
        <v>42005</v>
      </c>
      <c r="Y310" s="4">
        <f>INT(DbLinkTable[[#This Row],[Date Received]])</f>
        <v>42011</v>
      </c>
    </row>
    <row r="311" spans="1:25">
      <c r="A311">
        <v>9451</v>
      </c>
      <c r="B311" t="s">
        <v>1506</v>
      </c>
      <c r="D311">
        <v>456</v>
      </c>
      <c r="E311" t="s">
        <v>1504</v>
      </c>
      <c r="F311" s="4">
        <v>42011</v>
      </c>
      <c r="G311" s="4" t="s">
        <v>192</v>
      </c>
      <c r="H311" s="4" t="s">
        <v>1516</v>
      </c>
      <c r="I311" s="4">
        <v>0</v>
      </c>
      <c r="J311" s="4"/>
      <c r="K311" s="4"/>
      <c r="L311" s="4"/>
      <c r="M311" s="4"/>
      <c r="N311" s="4"/>
      <c r="O311" s="4">
        <v>0</v>
      </c>
      <c r="P311" s="4">
        <v>42023.531527777777</v>
      </c>
      <c r="Q311" s="4"/>
      <c r="R311" s="4"/>
      <c r="S311" s="79">
        <f>DbLinkTable[[#This Row],[Credit]]+DbLinkTable[[#This Row],[Charge]]</f>
        <v>0</v>
      </c>
      <c r="T311" s="79">
        <f>IF(DbLinkTable[[#This Row],[Price/lb]]*DbLinkTable[[#This Row],[Weight]]&gt;0,DbLinkTable[[#This Row],[Price/lb]]*DbLinkTable[[#This Row],[Weight]],0)</f>
        <v>0</v>
      </c>
      <c r="U311" s="79">
        <f>IF(DbLinkTable[[#This Row],[Price/lb]]*DbLinkTable[[#This Row],[Weight]]&lt;0,DbLinkTable[[#This Row],[Price/lb]]*DbLinkTable[[#This Row],[Weight]],0)</f>
        <v>0</v>
      </c>
      <c r="V311" s="4" t="str">
        <f>IF(COUNTIF($W$2:W311,W311)=1,1,"")</f>
        <v/>
      </c>
      <c r="W311" s="4" t="str">
        <f>CONCATENATE(DbLinkTable[[#This Row],[Customer]],UPPER(DbLinkTable[[#This Row],[Trailer Number]]),DbLinkTable[[#This Row],[Day Received]])</f>
        <v>Company1419242011</v>
      </c>
      <c r="X311" s="4">
        <f>DATEVALUE(TEXT(DbLinkTable[[#This Row],[Date Received]],"MMMM YYYY"))</f>
        <v>42005</v>
      </c>
      <c r="Y311" s="4">
        <f>INT(DbLinkTable[[#This Row],[Date Received]])</f>
        <v>42011</v>
      </c>
    </row>
    <row r="312" spans="1:25">
      <c r="A312">
        <v>9452</v>
      </c>
      <c r="B312" t="s">
        <v>1506</v>
      </c>
      <c r="D312">
        <v>432</v>
      </c>
      <c r="E312" t="s">
        <v>1504</v>
      </c>
      <c r="F312" s="4">
        <v>42011</v>
      </c>
      <c r="G312" s="4" t="s">
        <v>192</v>
      </c>
      <c r="H312" s="4" t="s">
        <v>1516</v>
      </c>
      <c r="I312" s="4">
        <v>0</v>
      </c>
      <c r="J312" s="4"/>
      <c r="K312" s="4"/>
      <c r="L312" s="4"/>
      <c r="M312" s="4"/>
      <c r="N312" s="4"/>
      <c r="O312" s="4">
        <v>0</v>
      </c>
      <c r="P312" s="4">
        <v>42023.531585648147</v>
      </c>
      <c r="Q312" s="4"/>
      <c r="R312" s="4"/>
      <c r="S312" s="79">
        <f>DbLinkTable[[#This Row],[Credit]]+DbLinkTable[[#This Row],[Charge]]</f>
        <v>0</v>
      </c>
      <c r="T312" s="79">
        <f>IF(DbLinkTable[[#This Row],[Price/lb]]*DbLinkTable[[#This Row],[Weight]]&gt;0,DbLinkTable[[#This Row],[Price/lb]]*DbLinkTable[[#This Row],[Weight]],0)</f>
        <v>0</v>
      </c>
      <c r="U312" s="79">
        <f>IF(DbLinkTable[[#This Row],[Price/lb]]*DbLinkTable[[#This Row],[Weight]]&lt;0,DbLinkTable[[#This Row],[Price/lb]]*DbLinkTable[[#This Row],[Weight]],0)</f>
        <v>0</v>
      </c>
      <c r="V312" s="4" t="str">
        <f>IF(COUNTIF($W$2:W312,W312)=1,1,"")</f>
        <v/>
      </c>
      <c r="W312" s="4" t="str">
        <f>CONCATENATE(DbLinkTable[[#This Row],[Customer]],UPPER(DbLinkTable[[#This Row],[Trailer Number]]),DbLinkTable[[#This Row],[Day Received]])</f>
        <v>Company1419242011</v>
      </c>
      <c r="X312" s="4">
        <f>DATEVALUE(TEXT(DbLinkTable[[#This Row],[Date Received]],"MMMM YYYY"))</f>
        <v>42005</v>
      </c>
      <c r="Y312" s="4">
        <f>INT(DbLinkTable[[#This Row],[Date Received]])</f>
        <v>42011</v>
      </c>
    </row>
    <row r="313" spans="1:25">
      <c r="A313">
        <v>9783</v>
      </c>
      <c r="B313" t="s">
        <v>45</v>
      </c>
      <c r="D313">
        <v>164</v>
      </c>
      <c r="E313" t="s">
        <v>1504</v>
      </c>
      <c r="F313" s="4">
        <v>42011</v>
      </c>
      <c r="G313" s="4" t="s">
        <v>192</v>
      </c>
      <c r="H313" s="4" t="s">
        <v>1516</v>
      </c>
      <c r="I313" s="4">
        <v>0</v>
      </c>
      <c r="J313" s="4"/>
      <c r="K313" s="4"/>
      <c r="L313" s="4"/>
      <c r="M313" s="4"/>
      <c r="N313" s="4"/>
      <c r="O313" s="4">
        <v>0</v>
      </c>
      <c r="P313" s="4">
        <v>42038.347500000003</v>
      </c>
      <c r="Q313" s="4"/>
      <c r="R313" s="4"/>
      <c r="S313" s="79">
        <f>DbLinkTable[[#This Row],[Credit]]+DbLinkTable[[#This Row],[Charge]]</f>
        <v>0</v>
      </c>
      <c r="T313" s="79">
        <f>IF(DbLinkTable[[#This Row],[Price/lb]]*DbLinkTable[[#This Row],[Weight]]&gt;0,DbLinkTable[[#This Row],[Price/lb]]*DbLinkTable[[#This Row],[Weight]],0)</f>
        <v>0</v>
      </c>
      <c r="U313" s="79">
        <f>IF(DbLinkTable[[#This Row],[Price/lb]]*DbLinkTable[[#This Row],[Weight]]&lt;0,DbLinkTable[[#This Row],[Price/lb]]*DbLinkTable[[#This Row],[Weight]],0)</f>
        <v>0</v>
      </c>
      <c r="V313" s="4" t="str">
        <f>IF(COUNTIF($W$2:W313,W313)=1,1,"")</f>
        <v/>
      </c>
      <c r="W313" s="4" t="str">
        <f>CONCATENATE(DbLinkTable[[#This Row],[Customer]],UPPER(DbLinkTable[[#This Row],[Trailer Number]]),DbLinkTable[[#This Row],[Day Received]])</f>
        <v>Company1419242011</v>
      </c>
      <c r="X313" s="4">
        <f>DATEVALUE(TEXT(DbLinkTable[[#This Row],[Date Received]],"MMMM YYYY"))</f>
        <v>42005</v>
      </c>
      <c r="Y313" s="4">
        <f>INT(DbLinkTable[[#This Row],[Date Received]])</f>
        <v>42011</v>
      </c>
    </row>
    <row r="314" spans="1:25">
      <c r="A314">
        <v>9784</v>
      </c>
      <c r="B314" t="s">
        <v>45</v>
      </c>
      <c r="D314">
        <v>140</v>
      </c>
      <c r="E314" t="s">
        <v>1504</v>
      </c>
      <c r="F314" s="4">
        <v>42011</v>
      </c>
      <c r="G314" s="4" t="s">
        <v>192</v>
      </c>
      <c r="H314" s="4" t="s">
        <v>1516</v>
      </c>
      <c r="I314" s="4">
        <v>0</v>
      </c>
      <c r="J314" s="4"/>
      <c r="K314" s="4"/>
      <c r="L314" s="4"/>
      <c r="M314" s="4"/>
      <c r="N314" s="4"/>
      <c r="O314" s="4">
        <v>0</v>
      </c>
      <c r="P314" s="4">
        <v>42038.347581018519</v>
      </c>
      <c r="Q314" s="4"/>
      <c r="R314" s="4"/>
      <c r="S314" s="79">
        <f>DbLinkTable[[#This Row],[Credit]]+DbLinkTable[[#This Row],[Charge]]</f>
        <v>0</v>
      </c>
      <c r="T314" s="79">
        <f>IF(DbLinkTable[[#This Row],[Price/lb]]*DbLinkTable[[#This Row],[Weight]]&gt;0,DbLinkTable[[#This Row],[Price/lb]]*DbLinkTable[[#This Row],[Weight]],0)</f>
        <v>0</v>
      </c>
      <c r="U314" s="79">
        <f>IF(DbLinkTable[[#This Row],[Price/lb]]*DbLinkTable[[#This Row],[Weight]]&lt;0,DbLinkTable[[#This Row],[Price/lb]]*DbLinkTable[[#This Row],[Weight]],0)</f>
        <v>0</v>
      </c>
      <c r="V314" s="4" t="str">
        <f>IF(COUNTIF($W$2:W314,W314)=1,1,"")</f>
        <v/>
      </c>
      <c r="W314" s="4" t="str">
        <f>CONCATENATE(DbLinkTable[[#This Row],[Customer]],UPPER(DbLinkTable[[#This Row],[Trailer Number]]),DbLinkTable[[#This Row],[Day Received]])</f>
        <v>Company1419242011</v>
      </c>
      <c r="X314" s="4">
        <f>DATEVALUE(TEXT(DbLinkTable[[#This Row],[Date Received]],"MMMM YYYY"))</f>
        <v>42005</v>
      </c>
      <c r="Y314" s="4">
        <f>INT(DbLinkTable[[#This Row],[Date Received]])</f>
        <v>42011</v>
      </c>
    </row>
    <row r="315" spans="1:25">
      <c r="A315">
        <v>9785</v>
      </c>
      <c r="B315" t="s">
        <v>45</v>
      </c>
      <c r="D315">
        <v>100</v>
      </c>
      <c r="E315" t="s">
        <v>1504</v>
      </c>
      <c r="F315" s="4">
        <v>42011</v>
      </c>
      <c r="G315" s="4" t="s">
        <v>192</v>
      </c>
      <c r="H315" s="4" t="s">
        <v>1516</v>
      </c>
      <c r="I315" s="4">
        <v>0</v>
      </c>
      <c r="J315" s="4"/>
      <c r="K315" s="4"/>
      <c r="L315" s="4"/>
      <c r="M315" s="4"/>
      <c r="N315" s="4"/>
      <c r="O315" s="4">
        <v>0</v>
      </c>
      <c r="P315" s="4">
        <v>42038.347662037035</v>
      </c>
      <c r="Q315" s="4"/>
      <c r="R315" s="4"/>
      <c r="S315" s="79">
        <f>DbLinkTable[[#This Row],[Credit]]+DbLinkTable[[#This Row],[Charge]]</f>
        <v>0</v>
      </c>
      <c r="T315" s="79">
        <f>IF(DbLinkTable[[#This Row],[Price/lb]]*DbLinkTable[[#This Row],[Weight]]&gt;0,DbLinkTable[[#This Row],[Price/lb]]*DbLinkTable[[#This Row],[Weight]],0)</f>
        <v>0</v>
      </c>
      <c r="U315" s="79">
        <f>IF(DbLinkTable[[#This Row],[Price/lb]]*DbLinkTable[[#This Row],[Weight]]&lt;0,DbLinkTable[[#This Row],[Price/lb]]*DbLinkTable[[#This Row],[Weight]],0)</f>
        <v>0</v>
      </c>
      <c r="V315" s="4" t="str">
        <f>IF(COUNTIF($W$2:W315,W315)=1,1,"")</f>
        <v/>
      </c>
      <c r="W315" s="4" t="str">
        <f>CONCATENATE(DbLinkTable[[#This Row],[Customer]],UPPER(DbLinkTable[[#This Row],[Trailer Number]]),DbLinkTable[[#This Row],[Day Received]])</f>
        <v>Company1419242011</v>
      </c>
      <c r="X315" s="4">
        <f>DATEVALUE(TEXT(DbLinkTable[[#This Row],[Date Received]],"MMMM YYYY"))</f>
        <v>42005</v>
      </c>
      <c r="Y315" s="4">
        <f>INT(DbLinkTable[[#This Row],[Date Received]])</f>
        <v>42011</v>
      </c>
    </row>
    <row r="316" spans="1:25">
      <c r="A316">
        <v>9786</v>
      </c>
      <c r="B316" t="s">
        <v>45</v>
      </c>
      <c r="D316">
        <v>126</v>
      </c>
      <c r="E316" t="s">
        <v>1504</v>
      </c>
      <c r="F316" s="4">
        <v>42011</v>
      </c>
      <c r="G316" s="4" t="s">
        <v>192</v>
      </c>
      <c r="H316" s="4" t="s">
        <v>1516</v>
      </c>
      <c r="I316" s="4">
        <v>0</v>
      </c>
      <c r="J316" s="4"/>
      <c r="K316" s="4"/>
      <c r="L316" s="4"/>
      <c r="M316" s="4"/>
      <c r="N316" s="4"/>
      <c r="O316" s="4">
        <v>0</v>
      </c>
      <c r="P316" s="4">
        <v>42038.347731481481</v>
      </c>
      <c r="Q316" s="4"/>
      <c r="R316" s="4"/>
      <c r="S316" s="79">
        <f>DbLinkTable[[#This Row],[Credit]]+DbLinkTable[[#This Row],[Charge]]</f>
        <v>0</v>
      </c>
      <c r="T316" s="79">
        <f>IF(DbLinkTable[[#This Row],[Price/lb]]*DbLinkTable[[#This Row],[Weight]]&gt;0,DbLinkTable[[#This Row],[Price/lb]]*DbLinkTable[[#This Row],[Weight]],0)</f>
        <v>0</v>
      </c>
      <c r="U316" s="79">
        <f>IF(DbLinkTable[[#This Row],[Price/lb]]*DbLinkTable[[#This Row],[Weight]]&lt;0,DbLinkTable[[#This Row],[Price/lb]]*DbLinkTable[[#This Row],[Weight]],0)</f>
        <v>0</v>
      </c>
      <c r="V316" s="4" t="str">
        <f>IF(COUNTIF($W$2:W316,W316)=1,1,"")</f>
        <v/>
      </c>
      <c r="W316" s="4" t="str">
        <f>CONCATENATE(DbLinkTable[[#This Row],[Customer]],UPPER(DbLinkTable[[#This Row],[Trailer Number]]),DbLinkTable[[#This Row],[Day Received]])</f>
        <v>Company1419242011</v>
      </c>
      <c r="X316" s="4">
        <f>DATEVALUE(TEXT(DbLinkTable[[#This Row],[Date Received]],"MMMM YYYY"))</f>
        <v>42005</v>
      </c>
      <c r="Y316" s="4">
        <f>INT(DbLinkTable[[#This Row],[Date Received]])</f>
        <v>42011</v>
      </c>
    </row>
    <row r="317" spans="1:25">
      <c r="A317">
        <v>9787</v>
      </c>
      <c r="B317" t="s">
        <v>1502</v>
      </c>
      <c r="D317">
        <v>368</v>
      </c>
      <c r="E317" t="s">
        <v>1504</v>
      </c>
      <c r="F317" s="4">
        <v>42011</v>
      </c>
      <c r="G317" s="4" t="s">
        <v>192</v>
      </c>
      <c r="H317" s="4" t="s">
        <v>1516</v>
      </c>
      <c r="I317" s="4">
        <v>0</v>
      </c>
      <c r="J317" s="4"/>
      <c r="K317" s="4"/>
      <c r="L317" s="4"/>
      <c r="M317" s="4"/>
      <c r="N317" s="4"/>
      <c r="O317" s="4">
        <v>0</v>
      </c>
      <c r="P317" s="4">
        <v>42038.347997685189</v>
      </c>
      <c r="Q317" s="4"/>
      <c r="R317" s="4"/>
      <c r="S317" s="79">
        <f>DbLinkTable[[#This Row],[Credit]]+DbLinkTable[[#This Row],[Charge]]</f>
        <v>0</v>
      </c>
      <c r="T317" s="79">
        <f>IF(DbLinkTable[[#This Row],[Price/lb]]*DbLinkTable[[#This Row],[Weight]]&gt;0,DbLinkTable[[#This Row],[Price/lb]]*DbLinkTable[[#This Row],[Weight]],0)</f>
        <v>0</v>
      </c>
      <c r="U317" s="79">
        <f>IF(DbLinkTable[[#This Row],[Price/lb]]*DbLinkTable[[#This Row],[Weight]]&lt;0,DbLinkTable[[#This Row],[Price/lb]]*DbLinkTable[[#This Row],[Weight]],0)</f>
        <v>0</v>
      </c>
      <c r="V317" s="4" t="str">
        <f>IF(COUNTIF($W$2:W317,W317)=1,1,"")</f>
        <v/>
      </c>
      <c r="W317" s="4" t="str">
        <f>CONCATENATE(DbLinkTable[[#This Row],[Customer]],UPPER(DbLinkTable[[#This Row],[Trailer Number]]),DbLinkTable[[#This Row],[Day Received]])</f>
        <v>Company1419242011</v>
      </c>
      <c r="X317" s="4">
        <f>DATEVALUE(TEXT(DbLinkTable[[#This Row],[Date Received]],"MMMM YYYY"))</f>
        <v>42005</v>
      </c>
      <c r="Y317" s="4">
        <f>INT(DbLinkTable[[#This Row],[Date Received]])</f>
        <v>42011</v>
      </c>
    </row>
    <row r="318" spans="1:25">
      <c r="A318">
        <v>9788</v>
      </c>
      <c r="B318" t="s">
        <v>1503</v>
      </c>
      <c r="D318">
        <v>470</v>
      </c>
      <c r="E318" t="s">
        <v>1504</v>
      </c>
      <c r="F318" s="4">
        <v>42011</v>
      </c>
      <c r="G318" s="4" t="s">
        <v>192</v>
      </c>
      <c r="H318" s="4" t="s">
        <v>1516</v>
      </c>
      <c r="I318" s="4">
        <v>0</v>
      </c>
      <c r="J318" s="4"/>
      <c r="K318" s="4"/>
      <c r="L318" s="4"/>
      <c r="M318" s="4"/>
      <c r="N318" s="4"/>
      <c r="O318" s="4">
        <v>0</v>
      </c>
      <c r="P318" s="4">
        <v>42038.348449074074</v>
      </c>
      <c r="Q318" s="4"/>
      <c r="R318" s="4"/>
      <c r="S318" s="79">
        <f>DbLinkTable[[#This Row],[Credit]]+DbLinkTable[[#This Row],[Charge]]</f>
        <v>0</v>
      </c>
      <c r="T318" s="79">
        <f>IF(DbLinkTable[[#This Row],[Price/lb]]*DbLinkTable[[#This Row],[Weight]]&gt;0,DbLinkTable[[#This Row],[Price/lb]]*DbLinkTable[[#This Row],[Weight]],0)</f>
        <v>0</v>
      </c>
      <c r="U318" s="79">
        <f>IF(DbLinkTable[[#This Row],[Price/lb]]*DbLinkTable[[#This Row],[Weight]]&lt;0,DbLinkTable[[#This Row],[Price/lb]]*DbLinkTable[[#This Row],[Weight]],0)</f>
        <v>0</v>
      </c>
      <c r="V318" s="4" t="str">
        <f>IF(COUNTIF($W$2:W318,W318)=1,1,"")</f>
        <v/>
      </c>
      <c r="W318" s="4" t="str">
        <f>CONCATENATE(DbLinkTable[[#This Row],[Customer]],UPPER(DbLinkTable[[#This Row],[Trailer Number]]),DbLinkTable[[#This Row],[Day Received]])</f>
        <v>Company1419242011</v>
      </c>
      <c r="X318" s="4">
        <f>DATEVALUE(TEXT(DbLinkTable[[#This Row],[Date Received]],"MMMM YYYY"))</f>
        <v>42005</v>
      </c>
      <c r="Y318" s="4">
        <f>INT(DbLinkTable[[#This Row],[Date Received]])</f>
        <v>42011</v>
      </c>
    </row>
    <row r="319" spans="1:25">
      <c r="A319">
        <v>9789</v>
      </c>
      <c r="B319" t="s">
        <v>1503</v>
      </c>
      <c r="D319">
        <v>476</v>
      </c>
      <c r="E319" t="s">
        <v>1504</v>
      </c>
      <c r="F319" s="4">
        <v>42011</v>
      </c>
      <c r="G319" s="4" t="s">
        <v>192</v>
      </c>
      <c r="H319" s="4" t="s">
        <v>1516</v>
      </c>
      <c r="I319" s="4">
        <v>0</v>
      </c>
      <c r="J319" s="4"/>
      <c r="K319" s="4"/>
      <c r="L319" s="4"/>
      <c r="M319" s="4"/>
      <c r="N319" s="4"/>
      <c r="O319" s="4">
        <v>0</v>
      </c>
      <c r="P319" s="4">
        <v>42038.348553240743</v>
      </c>
      <c r="Q319" s="4"/>
      <c r="R319" s="4"/>
      <c r="S319" s="79">
        <f>DbLinkTable[[#This Row],[Credit]]+DbLinkTable[[#This Row],[Charge]]</f>
        <v>0</v>
      </c>
      <c r="T319" s="79">
        <f>IF(DbLinkTable[[#This Row],[Price/lb]]*DbLinkTable[[#This Row],[Weight]]&gt;0,DbLinkTable[[#This Row],[Price/lb]]*DbLinkTable[[#This Row],[Weight]],0)</f>
        <v>0</v>
      </c>
      <c r="U319" s="79">
        <f>IF(DbLinkTable[[#This Row],[Price/lb]]*DbLinkTable[[#This Row],[Weight]]&lt;0,DbLinkTable[[#This Row],[Price/lb]]*DbLinkTable[[#This Row],[Weight]],0)</f>
        <v>0</v>
      </c>
      <c r="V319" s="4" t="str">
        <f>IF(COUNTIF($W$2:W319,W319)=1,1,"")</f>
        <v/>
      </c>
      <c r="W319" s="4" t="str">
        <f>CONCATENATE(DbLinkTable[[#This Row],[Customer]],UPPER(DbLinkTable[[#This Row],[Trailer Number]]),DbLinkTable[[#This Row],[Day Received]])</f>
        <v>Company1419242011</v>
      </c>
      <c r="X319" s="4">
        <f>DATEVALUE(TEXT(DbLinkTable[[#This Row],[Date Received]],"MMMM YYYY"))</f>
        <v>42005</v>
      </c>
      <c r="Y319" s="4">
        <f>INT(DbLinkTable[[#This Row],[Date Received]])</f>
        <v>42011</v>
      </c>
    </row>
    <row r="320" spans="1:25">
      <c r="A320">
        <v>9790</v>
      </c>
      <c r="B320" t="s">
        <v>1503</v>
      </c>
      <c r="D320">
        <v>468</v>
      </c>
      <c r="E320" t="s">
        <v>1504</v>
      </c>
      <c r="F320" s="4">
        <v>42011</v>
      </c>
      <c r="G320" s="4" t="s">
        <v>192</v>
      </c>
      <c r="H320" s="4" t="s">
        <v>1516</v>
      </c>
      <c r="I320" s="4">
        <v>0</v>
      </c>
      <c r="J320" s="4"/>
      <c r="K320" s="4"/>
      <c r="L320" s="4"/>
      <c r="M320" s="4"/>
      <c r="N320" s="4"/>
      <c r="O320" s="4">
        <v>0</v>
      </c>
      <c r="P320" s="4">
        <v>42038.348622685182</v>
      </c>
      <c r="Q320" s="4"/>
      <c r="R320" s="4"/>
      <c r="S320" s="79">
        <f>DbLinkTable[[#This Row],[Credit]]+DbLinkTable[[#This Row],[Charge]]</f>
        <v>0</v>
      </c>
      <c r="T320" s="79">
        <f>IF(DbLinkTable[[#This Row],[Price/lb]]*DbLinkTable[[#This Row],[Weight]]&gt;0,DbLinkTable[[#This Row],[Price/lb]]*DbLinkTable[[#This Row],[Weight]],0)</f>
        <v>0</v>
      </c>
      <c r="U320" s="79">
        <f>IF(DbLinkTable[[#This Row],[Price/lb]]*DbLinkTable[[#This Row],[Weight]]&lt;0,DbLinkTable[[#This Row],[Price/lb]]*DbLinkTable[[#This Row],[Weight]],0)</f>
        <v>0</v>
      </c>
      <c r="V320" s="4" t="str">
        <f>IF(COUNTIF($W$2:W320,W320)=1,1,"")</f>
        <v/>
      </c>
      <c r="W320" s="4" t="str">
        <f>CONCATENATE(DbLinkTable[[#This Row],[Customer]],UPPER(DbLinkTable[[#This Row],[Trailer Number]]),DbLinkTable[[#This Row],[Day Received]])</f>
        <v>Company1419242011</v>
      </c>
      <c r="X320" s="4">
        <f>DATEVALUE(TEXT(DbLinkTable[[#This Row],[Date Received]],"MMMM YYYY"))</f>
        <v>42005</v>
      </c>
      <c r="Y320" s="4">
        <f>INT(DbLinkTable[[#This Row],[Date Received]])</f>
        <v>42011</v>
      </c>
    </row>
    <row r="321" spans="1:25">
      <c r="A321">
        <v>9791</v>
      </c>
      <c r="B321" t="s">
        <v>1503</v>
      </c>
      <c r="D321">
        <v>470</v>
      </c>
      <c r="E321" t="s">
        <v>1504</v>
      </c>
      <c r="F321" s="4">
        <v>42011</v>
      </c>
      <c r="G321" s="4" t="s">
        <v>192</v>
      </c>
      <c r="H321" s="4" t="s">
        <v>1516</v>
      </c>
      <c r="I321" s="4">
        <v>0</v>
      </c>
      <c r="J321" s="4"/>
      <c r="K321" s="4"/>
      <c r="L321" s="4"/>
      <c r="M321" s="4"/>
      <c r="N321" s="4"/>
      <c r="O321" s="4">
        <v>0</v>
      </c>
      <c r="P321" s="4">
        <v>42038.34878472222</v>
      </c>
      <c r="Q321" s="4"/>
      <c r="R321" s="4"/>
      <c r="S321" s="79">
        <f>DbLinkTable[[#This Row],[Credit]]+DbLinkTable[[#This Row],[Charge]]</f>
        <v>0</v>
      </c>
      <c r="T321" s="79">
        <f>IF(DbLinkTable[[#This Row],[Price/lb]]*DbLinkTable[[#This Row],[Weight]]&gt;0,DbLinkTable[[#This Row],[Price/lb]]*DbLinkTable[[#This Row],[Weight]],0)</f>
        <v>0</v>
      </c>
      <c r="U321" s="79">
        <f>IF(DbLinkTable[[#This Row],[Price/lb]]*DbLinkTable[[#This Row],[Weight]]&lt;0,DbLinkTable[[#This Row],[Price/lb]]*DbLinkTable[[#This Row],[Weight]],0)</f>
        <v>0</v>
      </c>
      <c r="V321" s="4" t="str">
        <f>IF(COUNTIF($W$2:W321,W321)=1,1,"")</f>
        <v/>
      </c>
      <c r="W321" s="4" t="str">
        <f>CONCATENATE(DbLinkTable[[#This Row],[Customer]],UPPER(DbLinkTable[[#This Row],[Trailer Number]]),DbLinkTable[[#This Row],[Day Received]])</f>
        <v>Company1419242011</v>
      </c>
      <c r="X321" s="4">
        <f>DATEVALUE(TEXT(DbLinkTable[[#This Row],[Date Received]],"MMMM YYYY"))</f>
        <v>42005</v>
      </c>
      <c r="Y321" s="4">
        <f>INT(DbLinkTable[[#This Row],[Date Received]])</f>
        <v>42011</v>
      </c>
    </row>
    <row r="322" spans="1:25">
      <c r="A322">
        <v>9792</v>
      </c>
      <c r="B322" t="s">
        <v>1503</v>
      </c>
      <c r="D322">
        <v>472</v>
      </c>
      <c r="E322" t="s">
        <v>1504</v>
      </c>
      <c r="F322" s="4">
        <v>42011</v>
      </c>
      <c r="G322" s="4" t="s">
        <v>192</v>
      </c>
      <c r="H322" s="4" t="s">
        <v>1516</v>
      </c>
      <c r="I322" s="4">
        <v>0</v>
      </c>
      <c r="J322" s="4"/>
      <c r="K322" s="4"/>
      <c r="L322" s="4"/>
      <c r="M322" s="4"/>
      <c r="N322" s="4"/>
      <c r="O322" s="4">
        <v>0</v>
      </c>
      <c r="P322" s="4">
        <v>42038.348865740743</v>
      </c>
      <c r="Q322" s="4"/>
      <c r="R322" s="4"/>
      <c r="S322" s="79">
        <f>DbLinkTable[[#This Row],[Credit]]+DbLinkTable[[#This Row],[Charge]]</f>
        <v>0</v>
      </c>
      <c r="T322" s="79">
        <f>IF(DbLinkTable[[#This Row],[Price/lb]]*DbLinkTable[[#This Row],[Weight]]&gt;0,DbLinkTable[[#This Row],[Price/lb]]*DbLinkTable[[#This Row],[Weight]],0)</f>
        <v>0</v>
      </c>
      <c r="U322" s="79">
        <f>IF(DbLinkTable[[#This Row],[Price/lb]]*DbLinkTable[[#This Row],[Weight]]&lt;0,DbLinkTable[[#This Row],[Price/lb]]*DbLinkTable[[#This Row],[Weight]],0)</f>
        <v>0</v>
      </c>
      <c r="V322" s="4" t="str">
        <f>IF(COUNTIF($W$2:W322,W322)=1,1,"")</f>
        <v/>
      </c>
      <c r="W322" s="4" t="str">
        <f>CONCATENATE(DbLinkTable[[#This Row],[Customer]],UPPER(DbLinkTable[[#This Row],[Trailer Number]]),DbLinkTable[[#This Row],[Day Received]])</f>
        <v>Company1419242011</v>
      </c>
      <c r="X322" s="4">
        <f>DATEVALUE(TEXT(DbLinkTable[[#This Row],[Date Received]],"MMMM YYYY"))</f>
        <v>42005</v>
      </c>
      <c r="Y322" s="4">
        <f>INT(DbLinkTable[[#This Row],[Date Received]])</f>
        <v>42011</v>
      </c>
    </row>
    <row r="323" spans="1:25">
      <c r="A323">
        <v>9793</v>
      </c>
      <c r="B323" t="s">
        <v>1503</v>
      </c>
      <c r="D323">
        <v>460</v>
      </c>
      <c r="E323" t="s">
        <v>1504</v>
      </c>
      <c r="F323" s="4">
        <v>42011</v>
      </c>
      <c r="G323" s="4" t="s">
        <v>192</v>
      </c>
      <c r="H323" s="4" t="s">
        <v>1516</v>
      </c>
      <c r="I323" s="4">
        <v>0</v>
      </c>
      <c r="J323" s="4"/>
      <c r="K323" s="4"/>
      <c r="L323" s="4"/>
      <c r="M323" s="4"/>
      <c r="N323" s="4"/>
      <c r="O323" s="4">
        <v>0</v>
      </c>
      <c r="P323" s="4">
        <v>42038.348958333336</v>
      </c>
      <c r="Q323" s="4"/>
      <c r="R323" s="4"/>
      <c r="S323" s="79">
        <f>DbLinkTable[[#This Row],[Credit]]+DbLinkTable[[#This Row],[Charge]]</f>
        <v>0</v>
      </c>
      <c r="T323" s="79">
        <f>IF(DbLinkTable[[#This Row],[Price/lb]]*DbLinkTable[[#This Row],[Weight]]&gt;0,DbLinkTable[[#This Row],[Price/lb]]*DbLinkTable[[#This Row],[Weight]],0)</f>
        <v>0</v>
      </c>
      <c r="U323" s="79">
        <f>IF(DbLinkTable[[#This Row],[Price/lb]]*DbLinkTable[[#This Row],[Weight]]&lt;0,DbLinkTable[[#This Row],[Price/lb]]*DbLinkTable[[#This Row],[Weight]],0)</f>
        <v>0</v>
      </c>
      <c r="V323" s="4" t="str">
        <f>IF(COUNTIF($W$2:W323,W323)=1,1,"")</f>
        <v/>
      </c>
      <c r="W323" s="4" t="str">
        <f>CONCATENATE(DbLinkTable[[#This Row],[Customer]],UPPER(DbLinkTable[[#This Row],[Trailer Number]]),DbLinkTable[[#This Row],[Day Received]])</f>
        <v>Company1419242011</v>
      </c>
      <c r="X323" s="4">
        <f>DATEVALUE(TEXT(DbLinkTable[[#This Row],[Date Received]],"MMMM YYYY"))</f>
        <v>42005</v>
      </c>
      <c r="Y323" s="4">
        <f>INT(DbLinkTable[[#This Row],[Date Received]])</f>
        <v>42011</v>
      </c>
    </row>
    <row r="324" spans="1:25">
      <c r="A324">
        <v>9794</v>
      </c>
      <c r="B324" t="s">
        <v>1503</v>
      </c>
      <c r="D324">
        <v>466</v>
      </c>
      <c r="E324" t="s">
        <v>1504</v>
      </c>
      <c r="F324" s="4">
        <v>42011</v>
      </c>
      <c r="G324" s="4" t="s">
        <v>192</v>
      </c>
      <c r="H324" s="4" t="s">
        <v>1516</v>
      </c>
      <c r="I324" s="4">
        <v>0</v>
      </c>
      <c r="J324" s="4"/>
      <c r="K324" s="4"/>
      <c r="L324" s="4"/>
      <c r="M324" s="4"/>
      <c r="N324" s="4"/>
      <c r="O324" s="4">
        <v>0</v>
      </c>
      <c r="P324" s="4">
        <v>42038.349016203705</v>
      </c>
      <c r="Q324" s="4"/>
      <c r="R324" s="4"/>
      <c r="S324" s="79">
        <f>DbLinkTable[[#This Row],[Credit]]+DbLinkTable[[#This Row],[Charge]]</f>
        <v>0</v>
      </c>
      <c r="T324" s="79">
        <f>IF(DbLinkTable[[#This Row],[Price/lb]]*DbLinkTable[[#This Row],[Weight]]&gt;0,DbLinkTable[[#This Row],[Price/lb]]*DbLinkTable[[#This Row],[Weight]],0)</f>
        <v>0</v>
      </c>
      <c r="U324" s="79">
        <f>IF(DbLinkTable[[#This Row],[Price/lb]]*DbLinkTable[[#This Row],[Weight]]&lt;0,DbLinkTable[[#This Row],[Price/lb]]*DbLinkTable[[#This Row],[Weight]],0)</f>
        <v>0</v>
      </c>
      <c r="V324" s="4" t="str">
        <f>IF(COUNTIF($W$2:W324,W324)=1,1,"")</f>
        <v/>
      </c>
      <c r="W324" s="4" t="str">
        <f>CONCATENATE(DbLinkTable[[#This Row],[Customer]],UPPER(DbLinkTable[[#This Row],[Trailer Number]]),DbLinkTable[[#This Row],[Day Received]])</f>
        <v>Company1419242011</v>
      </c>
      <c r="X324" s="4">
        <f>DATEVALUE(TEXT(DbLinkTable[[#This Row],[Date Received]],"MMMM YYYY"))</f>
        <v>42005</v>
      </c>
      <c r="Y324" s="4">
        <f>INT(DbLinkTable[[#This Row],[Date Received]])</f>
        <v>42011</v>
      </c>
    </row>
    <row r="325" spans="1:25">
      <c r="A325">
        <v>9795</v>
      </c>
      <c r="B325" t="s">
        <v>1503</v>
      </c>
      <c r="D325">
        <v>474</v>
      </c>
      <c r="E325" t="s">
        <v>1504</v>
      </c>
      <c r="F325" s="4">
        <v>42011</v>
      </c>
      <c r="G325" s="4" t="s">
        <v>192</v>
      </c>
      <c r="H325" s="4" t="s">
        <v>1516</v>
      </c>
      <c r="I325" s="4">
        <v>0</v>
      </c>
      <c r="J325" s="4"/>
      <c r="K325" s="4"/>
      <c r="L325" s="4"/>
      <c r="M325" s="4"/>
      <c r="N325" s="4"/>
      <c r="O325" s="4">
        <v>0</v>
      </c>
      <c r="P325" s="4">
        <v>42038.349085648151</v>
      </c>
      <c r="Q325" s="4"/>
      <c r="R325" s="4"/>
      <c r="S325" s="79">
        <f>DbLinkTable[[#This Row],[Credit]]+DbLinkTable[[#This Row],[Charge]]</f>
        <v>0</v>
      </c>
      <c r="T325" s="79">
        <f>IF(DbLinkTable[[#This Row],[Price/lb]]*DbLinkTable[[#This Row],[Weight]]&gt;0,DbLinkTable[[#This Row],[Price/lb]]*DbLinkTable[[#This Row],[Weight]],0)</f>
        <v>0</v>
      </c>
      <c r="U325" s="79">
        <f>IF(DbLinkTable[[#This Row],[Price/lb]]*DbLinkTable[[#This Row],[Weight]]&lt;0,DbLinkTable[[#This Row],[Price/lb]]*DbLinkTable[[#This Row],[Weight]],0)</f>
        <v>0</v>
      </c>
      <c r="V325" s="4" t="str">
        <f>IF(COUNTIF($W$2:W325,W325)=1,1,"")</f>
        <v/>
      </c>
      <c r="W325" s="4" t="str">
        <f>CONCATENATE(DbLinkTable[[#This Row],[Customer]],UPPER(DbLinkTable[[#This Row],[Trailer Number]]),DbLinkTable[[#This Row],[Day Received]])</f>
        <v>Company1419242011</v>
      </c>
      <c r="X325" s="4">
        <f>DATEVALUE(TEXT(DbLinkTable[[#This Row],[Date Received]],"MMMM YYYY"))</f>
        <v>42005</v>
      </c>
      <c r="Y325" s="4">
        <f>INT(DbLinkTable[[#This Row],[Date Received]])</f>
        <v>42011</v>
      </c>
    </row>
    <row r="326" spans="1:25">
      <c r="A326">
        <v>9796</v>
      </c>
      <c r="B326" t="s">
        <v>1503</v>
      </c>
      <c r="D326">
        <v>468</v>
      </c>
      <c r="E326" t="s">
        <v>1504</v>
      </c>
      <c r="F326" s="4">
        <v>42011</v>
      </c>
      <c r="G326" s="4" t="s">
        <v>192</v>
      </c>
      <c r="H326" s="4" t="s">
        <v>1516</v>
      </c>
      <c r="I326" s="4">
        <v>0</v>
      </c>
      <c r="J326" s="4"/>
      <c r="K326" s="4"/>
      <c r="L326" s="4"/>
      <c r="M326" s="4"/>
      <c r="N326" s="4"/>
      <c r="O326" s="4">
        <v>0</v>
      </c>
      <c r="P326" s="4">
        <v>42038.34915509259</v>
      </c>
      <c r="Q326" s="4"/>
      <c r="R326" s="4"/>
      <c r="S326" s="79">
        <f>DbLinkTable[[#This Row],[Credit]]+DbLinkTable[[#This Row],[Charge]]</f>
        <v>0</v>
      </c>
      <c r="T326" s="79">
        <f>IF(DbLinkTable[[#This Row],[Price/lb]]*DbLinkTable[[#This Row],[Weight]]&gt;0,DbLinkTable[[#This Row],[Price/lb]]*DbLinkTable[[#This Row],[Weight]],0)</f>
        <v>0</v>
      </c>
      <c r="U326" s="79">
        <f>IF(DbLinkTable[[#This Row],[Price/lb]]*DbLinkTable[[#This Row],[Weight]]&lt;0,DbLinkTable[[#This Row],[Price/lb]]*DbLinkTable[[#This Row],[Weight]],0)</f>
        <v>0</v>
      </c>
      <c r="V326" s="4" t="str">
        <f>IF(COUNTIF($W$2:W326,W326)=1,1,"")</f>
        <v/>
      </c>
      <c r="W326" s="4" t="str">
        <f>CONCATENATE(DbLinkTable[[#This Row],[Customer]],UPPER(DbLinkTable[[#This Row],[Trailer Number]]),DbLinkTable[[#This Row],[Day Received]])</f>
        <v>Company1419242011</v>
      </c>
      <c r="X326" s="4">
        <f>DATEVALUE(TEXT(DbLinkTable[[#This Row],[Date Received]],"MMMM YYYY"))</f>
        <v>42005</v>
      </c>
      <c r="Y326" s="4">
        <f>INT(DbLinkTable[[#This Row],[Date Received]])</f>
        <v>42011</v>
      </c>
    </row>
    <row r="327" spans="1:25">
      <c r="A327">
        <v>9797</v>
      </c>
      <c r="B327" t="s">
        <v>1503</v>
      </c>
      <c r="D327">
        <v>470</v>
      </c>
      <c r="E327" t="s">
        <v>1504</v>
      </c>
      <c r="F327" s="4">
        <v>42011</v>
      </c>
      <c r="G327" s="4" t="s">
        <v>192</v>
      </c>
      <c r="H327" s="4" t="s">
        <v>1516</v>
      </c>
      <c r="I327" s="4">
        <v>0</v>
      </c>
      <c r="J327" s="4"/>
      <c r="K327" s="4"/>
      <c r="L327" s="4"/>
      <c r="M327" s="4"/>
      <c r="N327" s="4"/>
      <c r="O327" s="4">
        <v>0</v>
      </c>
      <c r="P327" s="4">
        <v>42038.349236111113</v>
      </c>
      <c r="Q327" s="4"/>
      <c r="R327" s="4"/>
      <c r="S327" s="79">
        <f>DbLinkTable[[#This Row],[Credit]]+DbLinkTable[[#This Row],[Charge]]</f>
        <v>0</v>
      </c>
      <c r="T327" s="79">
        <f>IF(DbLinkTable[[#This Row],[Price/lb]]*DbLinkTable[[#This Row],[Weight]]&gt;0,DbLinkTable[[#This Row],[Price/lb]]*DbLinkTable[[#This Row],[Weight]],0)</f>
        <v>0</v>
      </c>
      <c r="U327" s="79">
        <f>IF(DbLinkTable[[#This Row],[Price/lb]]*DbLinkTable[[#This Row],[Weight]]&lt;0,DbLinkTable[[#This Row],[Price/lb]]*DbLinkTable[[#This Row],[Weight]],0)</f>
        <v>0</v>
      </c>
      <c r="V327" s="4" t="str">
        <f>IF(COUNTIF($W$2:W327,W327)=1,1,"")</f>
        <v/>
      </c>
      <c r="W327" s="4" t="str">
        <f>CONCATENATE(DbLinkTable[[#This Row],[Customer]],UPPER(DbLinkTable[[#This Row],[Trailer Number]]),DbLinkTable[[#This Row],[Day Received]])</f>
        <v>Company1419242011</v>
      </c>
      <c r="X327" s="4">
        <f>DATEVALUE(TEXT(DbLinkTable[[#This Row],[Date Received]],"MMMM YYYY"))</f>
        <v>42005</v>
      </c>
      <c r="Y327" s="4">
        <f>INT(DbLinkTable[[#This Row],[Date Received]])</f>
        <v>42011</v>
      </c>
    </row>
    <row r="328" spans="1:25">
      <c r="A328">
        <v>9798</v>
      </c>
      <c r="B328" t="s">
        <v>1503</v>
      </c>
      <c r="D328">
        <v>444</v>
      </c>
      <c r="E328" t="s">
        <v>1504</v>
      </c>
      <c r="F328" s="4">
        <v>42011</v>
      </c>
      <c r="G328" s="4" t="s">
        <v>192</v>
      </c>
      <c r="H328" s="4" t="s">
        <v>1516</v>
      </c>
      <c r="I328" s="4">
        <v>0</v>
      </c>
      <c r="J328" s="4"/>
      <c r="K328" s="4"/>
      <c r="L328" s="4"/>
      <c r="M328" s="4"/>
      <c r="N328" s="4"/>
      <c r="O328" s="4">
        <v>0</v>
      </c>
      <c r="P328" s="4">
        <v>42038.349386574075</v>
      </c>
      <c r="Q328" s="4"/>
      <c r="R328" s="4"/>
      <c r="S328" s="79">
        <f>DbLinkTable[[#This Row],[Credit]]+DbLinkTable[[#This Row],[Charge]]</f>
        <v>0</v>
      </c>
      <c r="T328" s="79">
        <f>IF(DbLinkTable[[#This Row],[Price/lb]]*DbLinkTable[[#This Row],[Weight]]&gt;0,DbLinkTable[[#This Row],[Price/lb]]*DbLinkTable[[#This Row],[Weight]],0)</f>
        <v>0</v>
      </c>
      <c r="U328" s="79">
        <f>IF(DbLinkTable[[#This Row],[Price/lb]]*DbLinkTable[[#This Row],[Weight]]&lt;0,DbLinkTable[[#This Row],[Price/lb]]*DbLinkTable[[#This Row],[Weight]],0)</f>
        <v>0</v>
      </c>
      <c r="V328" s="4" t="str">
        <f>IF(COUNTIF($W$2:W328,W328)=1,1,"")</f>
        <v/>
      </c>
      <c r="W328" s="4" t="str">
        <f>CONCATENATE(DbLinkTable[[#This Row],[Customer]],UPPER(DbLinkTable[[#This Row],[Trailer Number]]),DbLinkTable[[#This Row],[Day Received]])</f>
        <v>Company1419242011</v>
      </c>
      <c r="X328" s="4">
        <f>DATEVALUE(TEXT(DbLinkTable[[#This Row],[Date Received]],"MMMM YYYY"))</f>
        <v>42005</v>
      </c>
      <c r="Y328" s="4">
        <f>INT(DbLinkTable[[#This Row],[Date Received]])</f>
        <v>42011</v>
      </c>
    </row>
    <row r="329" spans="1:25">
      <c r="A329">
        <v>9799</v>
      </c>
      <c r="B329" t="s">
        <v>1508</v>
      </c>
      <c r="D329">
        <v>370</v>
      </c>
      <c r="E329" t="s">
        <v>1504</v>
      </c>
      <c r="F329" s="4">
        <v>42011</v>
      </c>
      <c r="G329" s="4" t="s">
        <v>192</v>
      </c>
      <c r="H329" s="4" t="s">
        <v>1516</v>
      </c>
      <c r="I329" s="4">
        <v>0</v>
      </c>
      <c r="J329" s="4"/>
      <c r="K329" s="4"/>
      <c r="L329" s="4"/>
      <c r="M329" s="4"/>
      <c r="N329" s="4"/>
      <c r="O329" s="4">
        <v>0</v>
      </c>
      <c r="P329" s="4">
        <v>42038.349745370368</v>
      </c>
      <c r="Q329" s="4"/>
      <c r="R329" s="4"/>
      <c r="S329" s="79">
        <f>DbLinkTable[[#This Row],[Credit]]+DbLinkTable[[#This Row],[Charge]]</f>
        <v>0</v>
      </c>
      <c r="T329" s="79">
        <f>IF(DbLinkTable[[#This Row],[Price/lb]]*DbLinkTable[[#This Row],[Weight]]&gt;0,DbLinkTable[[#This Row],[Price/lb]]*DbLinkTable[[#This Row],[Weight]],0)</f>
        <v>0</v>
      </c>
      <c r="U329" s="79">
        <f>IF(DbLinkTable[[#This Row],[Price/lb]]*DbLinkTable[[#This Row],[Weight]]&lt;0,DbLinkTable[[#This Row],[Price/lb]]*DbLinkTable[[#This Row],[Weight]],0)</f>
        <v>0</v>
      </c>
      <c r="V329" s="4" t="str">
        <f>IF(COUNTIF($W$2:W329,W329)=1,1,"")</f>
        <v/>
      </c>
      <c r="W329" s="4" t="str">
        <f>CONCATENATE(DbLinkTable[[#This Row],[Customer]],UPPER(DbLinkTable[[#This Row],[Trailer Number]]),DbLinkTable[[#This Row],[Day Received]])</f>
        <v>Company1419242011</v>
      </c>
      <c r="X329" s="4">
        <f>DATEVALUE(TEXT(DbLinkTable[[#This Row],[Date Received]],"MMMM YYYY"))</f>
        <v>42005</v>
      </c>
      <c r="Y329" s="4">
        <f>INT(DbLinkTable[[#This Row],[Date Received]])</f>
        <v>42011</v>
      </c>
    </row>
    <row r="330" spans="1:25">
      <c r="A330">
        <v>9800</v>
      </c>
      <c r="B330" t="s">
        <v>1508</v>
      </c>
      <c r="D330">
        <v>456</v>
      </c>
      <c r="E330" t="s">
        <v>1504</v>
      </c>
      <c r="F330" s="4">
        <v>42011</v>
      </c>
      <c r="G330" s="4" t="s">
        <v>192</v>
      </c>
      <c r="H330" s="4" t="s">
        <v>1516</v>
      </c>
      <c r="I330" s="4">
        <v>0</v>
      </c>
      <c r="J330" s="4"/>
      <c r="K330" s="4"/>
      <c r="L330" s="4"/>
      <c r="M330" s="4"/>
      <c r="N330" s="4"/>
      <c r="O330" s="4">
        <v>0</v>
      </c>
      <c r="P330" s="4">
        <v>42038.349814814814</v>
      </c>
      <c r="Q330" s="4"/>
      <c r="R330" s="4"/>
      <c r="S330" s="79">
        <f>DbLinkTable[[#This Row],[Credit]]+DbLinkTable[[#This Row],[Charge]]</f>
        <v>0</v>
      </c>
      <c r="T330" s="79">
        <f>IF(DbLinkTable[[#This Row],[Price/lb]]*DbLinkTable[[#This Row],[Weight]]&gt;0,DbLinkTable[[#This Row],[Price/lb]]*DbLinkTable[[#This Row],[Weight]],0)</f>
        <v>0</v>
      </c>
      <c r="U330" s="79">
        <f>IF(DbLinkTable[[#This Row],[Price/lb]]*DbLinkTable[[#This Row],[Weight]]&lt;0,DbLinkTable[[#This Row],[Price/lb]]*DbLinkTable[[#This Row],[Weight]],0)</f>
        <v>0</v>
      </c>
      <c r="V330" s="4" t="str">
        <f>IF(COUNTIF($W$2:W330,W330)=1,1,"")</f>
        <v/>
      </c>
      <c r="W330" s="4" t="str">
        <f>CONCATENATE(DbLinkTable[[#This Row],[Customer]],UPPER(DbLinkTable[[#This Row],[Trailer Number]]),DbLinkTable[[#This Row],[Day Received]])</f>
        <v>Company1419242011</v>
      </c>
      <c r="X330" s="4">
        <f>DATEVALUE(TEXT(DbLinkTable[[#This Row],[Date Received]],"MMMM YYYY"))</f>
        <v>42005</v>
      </c>
      <c r="Y330" s="4">
        <f>INT(DbLinkTable[[#This Row],[Date Received]])</f>
        <v>42011</v>
      </c>
    </row>
    <row r="331" spans="1:25">
      <c r="A331">
        <v>9801</v>
      </c>
      <c r="B331" t="s">
        <v>1508</v>
      </c>
      <c r="D331">
        <v>432</v>
      </c>
      <c r="E331" t="s">
        <v>1504</v>
      </c>
      <c r="F331" s="4">
        <v>42011</v>
      </c>
      <c r="G331" s="4" t="s">
        <v>192</v>
      </c>
      <c r="H331" s="4" t="s">
        <v>1516</v>
      </c>
      <c r="I331" s="4">
        <v>0</v>
      </c>
      <c r="J331" s="4"/>
      <c r="K331" s="4"/>
      <c r="L331" s="4"/>
      <c r="M331" s="4"/>
      <c r="N331" s="4"/>
      <c r="O331" s="4">
        <v>0</v>
      </c>
      <c r="P331" s="4">
        <v>42038.350648148145</v>
      </c>
      <c r="Q331" s="4"/>
      <c r="R331" s="4"/>
      <c r="S331" s="79">
        <f>DbLinkTable[[#This Row],[Credit]]+DbLinkTable[[#This Row],[Charge]]</f>
        <v>0</v>
      </c>
      <c r="T331" s="79">
        <f>IF(DbLinkTable[[#This Row],[Price/lb]]*DbLinkTable[[#This Row],[Weight]]&gt;0,DbLinkTable[[#This Row],[Price/lb]]*DbLinkTable[[#This Row],[Weight]],0)</f>
        <v>0</v>
      </c>
      <c r="U331" s="79">
        <f>IF(DbLinkTable[[#This Row],[Price/lb]]*DbLinkTable[[#This Row],[Weight]]&lt;0,DbLinkTable[[#This Row],[Price/lb]]*DbLinkTable[[#This Row],[Weight]],0)</f>
        <v>0</v>
      </c>
      <c r="V331" s="4" t="str">
        <f>IF(COUNTIF($W$2:W331,W331)=1,1,"")</f>
        <v/>
      </c>
      <c r="W331" s="4" t="str">
        <f>CONCATENATE(DbLinkTable[[#This Row],[Customer]],UPPER(DbLinkTable[[#This Row],[Trailer Number]]),DbLinkTable[[#This Row],[Day Received]])</f>
        <v>Company1419242011</v>
      </c>
      <c r="X331" s="4">
        <f>DATEVALUE(TEXT(DbLinkTable[[#This Row],[Date Received]],"MMMM YYYY"))</f>
        <v>42005</v>
      </c>
      <c r="Y331" s="4">
        <f>INT(DbLinkTable[[#This Row],[Date Received]])</f>
        <v>42011</v>
      </c>
    </row>
    <row r="332" spans="1:25">
      <c r="A332">
        <v>10523</v>
      </c>
      <c r="B332" t="s">
        <v>46</v>
      </c>
      <c r="D332">
        <v>402</v>
      </c>
      <c r="E332" t="s">
        <v>1504</v>
      </c>
      <c r="F332" s="4">
        <v>42076</v>
      </c>
      <c r="G332" s="4" t="s">
        <v>192</v>
      </c>
      <c r="H332" s="4" t="s">
        <v>1520</v>
      </c>
      <c r="I332" s="4">
        <v>0</v>
      </c>
      <c r="J332" s="4"/>
      <c r="K332" s="4"/>
      <c r="L332" s="4"/>
      <c r="M332" s="4"/>
      <c r="N332" s="4"/>
      <c r="O332" s="4">
        <v>0</v>
      </c>
      <c r="P332" s="4">
        <v>42076.480868055558</v>
      </c>
      <c r="Q332" s="4"/>
      <c r="R332" s="4"/>
      <c r="S332" s="79">
        <f>DbLinkTable[[#This Row],[Credit]]+DbLinkTable[[#This Row],[Charge]]</f>
        <v>0</v>
      </c>
      <c r="T332" s="79">
        <f>IF(DbLinkTable[[#This Row],[Price/lb]]*DbLinkTable[[#This Row],[Weight]]&gt;0,DbLinkTable[[#This Row],[Price/lb]]*DbLinkTable[[#This Row],[Weight]],0)</f>
        <v>0</v>
      </c>
      <c r="U332" s="79">
        <f>IF(DbLinkTable[[#This Row],[Price/lb]]*DbLinkTable[[#This Row],[Weight]]&lt;0,DbLinkTable[[#This Row],[Price/lb]]*DbLinkTable[[#This Row],[Weight]],0)</f>
        <v>0</v>
      </c>
      <c r="V332" s="4">
        <f>IF(COUNTIF($W$2:W332,W332)=1,1,"")</f>
        <v>1</v>
      </c>
      <c r="W332" s="4" t="str">
        <f>CONCATENATE(DbLinkTable[[#This Row],[Customer]],UPPER(DbLinkTable[[#This Row],[Trailer Number]]),DbLinkTable[[#This Row],[Day Received]])</f>
        <v>Company1438742076</v>
      </c>
      <c r="X332" s="4">
        <f>DATEVALUE(TEXT(DbLinkTable[[#This Row],[Date Received]],"MMMM YYYY"))</f>
        <v>42064</v>
      </c>
      <c r="Y332" s="4">
        <f>INT(DbLinkTable[[#This Row],[Date Received]])</f>
        <v>42076</v>
      </c>
    </row>
    <row r="333" spans="1:25">
      <c r="A333">
        <v>10524</v>
      </c>
      <c r="B333" t="s">
        <v>43</v>
      </c>
      <c r="D333">
        <v>1012</v>
      </c>
      <c r="E333" t="s">
        <v>1504</v>
      </c>
      <c r="F333" s="4">
        <v>42076</v>
      </c>
      <c r="G333" s="4" t="s">
        <v>192</v>
      </c>
      <c r="H333" s="4" t="s">
        <v>1520</v>
      </c>
      <c r="I333" s="4">
        <v>0</v>
      </c>
      <c r="J333" s="4"/>
      <c r="K333" s="4"/>
      <c r="L333" s="4"/>
      <c r="M333" s="4"/>
      <c r="N333" s="4"/>
      <c r="O333" s="4">
        <v>0</v>
      </c>
      <c r="P333" s="4">
        <v>42076.48537037037</v>
      </c>
      <c r="Q333" s="4"/>
      <c r="R333" s="4"/>
      <c r="S333" s="79">
        <f>DbLinkTable[[#This Row],[Credit]]+DbLinkTable[[#This Row],[Charge]]</f>
        <v>0</v>
      </c>
      <c r="T333" s="79">
        <f>IF(DbLinkTable[[#This Row],[Price/lb]]*DbLinkTable[[#This Row],[Weight]]&gt;0,DbLinkTable[[#This Row],[Price/lb]]*DbLinkTable[[#This Row],[Weight]],0)</f>
        <v>0</v>
      </c>
      <c r="U333" s="79">
        <f>IF(DbLinkTable[[#This Row],[Price/lb]]*DbLinkTable[[#This Row],[Weight]]&lt;0,DbLinkTable[[#This Row],[Price/lb]]*DbLinkTable[[#This Row],[Weight]],0)</f>
        <v>0</v>
      </c>
      <c r="V333" s="4" t="str">
        <f>IF(COUNTIF($W$2:W333,W333)=1,1,"")</f>
        <v/>
      </c>
      <c r="W333" s="4" t="str">
        <f>CONCATENATE(DbLinkTable[[#This Row],[Customer]],UPPER(DbLinkTable[[#This Row],[Trailer Number]]),DbLinkTable[[#This Row],[Day Received]])</f>
        <v>Company1438742076</v>
      </c>
      <c r="X333" s="4">
        <f>DATEVALUE(TEXT(DbLinkTable[[#This Row],[Date Received]],"MMMM YYYY"))</f>
        <v>42064</v>
      </c>
      <c r="Y333" s="4">
        <f>INT(DbLinkTable[[#This Row],[Date Received]])</f>
        <v>42076</v>
      </c>
    </row>
    <row r="334" spans="1:25">
      <c r="A334">
        <v>10525</v>
      </c>
      <c r="B334" t="s">
        <v>43</v>
      </c>
      <c r="D334">
        <v>995</v>
      </c>
      <c r="E334" t="s">
        <v>1504</v>
      </c>
      <c r="F334" s="4">
        <v>42076</v>
      </c>
      <c r="G334" s="4" t="s">
        <v>192</v>
      </c>
      <c r="H334" s="4" t="s">
        <v>1520</v>
      </c>
      <c r="I334" s="4">
        <v>0</v>
      </c>
      <c r="J334" s="4"/>
      <c r="K334" s="4"/>
      <c r="L334" s="4"/>
      <c r="M334" s="4"/>
      <c r="N334" s="4"/>
      <c r="O334" s="4">
        <v>0</v>
      </c>
      <c r="P334" s="4">
        <v>42076.488078703704</v>
      </c>
      <c r="Q334" s="4"/>
      <c r="R334" s="4"/>
      <c r="S334" s="79">
        <f>DbLinkTable[[#This Row],[Credit]]+DbLinkTable[[#This Row],[Charge]]</f>
        <v>0</v>
      </c>
      <c r="T334" s="79">
        <f>IF(DbLinkTable[[#This Row],[Price/lb]]*DbLinkTable[[#This Row],[Weight]]&gt;0,DbLinkTable[[#This Row],[Price/lb]]*DbLinkTable[[#This Row],[Weight]],0)</f>
        <v>0</v>
      </c>
      <c r="U334" s="79">
        <f>IF(DbLinkTable[[#This Row],[Price/lb]]*DbLinkTable[[#This Row],[Weight]]&lt;0,DbLinkTable[[#This Row],[Price/lb]]*DbLinkTable[[#This Row],[Weight]],0)</f>
        <v>0</v>
      </c>
      <c r="V334" s="4" t="str">
        <f>IF(COUNTIF($W$2:W334,W334)=1,1,"")</f>
        <v/>
      </c>
      <c r="W334" s="4" t="str">
        <f>CONCATENATE(DbLinkTable[[#This Row],[Customer]],UPPER(DbLinkTable[[#This Row],[Trailer Number]]),DbLinkTable[[#This Row],[Day Received]])</f>
        <v>Company1438742076</v>
      </c>
      <c r="X334" s="4">
        <f>DATEVALUE(TEXT(DbLinkTable[[#This Row],[Date Received]],"MMMM YYYY"))</f>
        <v>42064</v>
      </c>
      <c r="Y334" s="4">
        <f>INT(DbLinkTable[[#This Row],[Date Received]])</f>
        <v>42076</v>
      </c>
    </row>
    <row r="335" spans="1:25">
      <c r="A335">
        <v>10526</v>
      </c>
      <c r="B335" t="s">
        <v>43</v>
      </c>
      <c r="D335">
        <v>1157</v>
      </c>
      <c r="E335" t="s">
        <v>1504</v>
      </c>
      <c r="F335" s="4">
        <v>42076</v>
      </c>
      <c r="G335" s="4" t="s">
        <v>192</v>
      </c>
      <c r="H335" s="4" t="s">
        <v>1520</v>
      </c>
      <c r="I335" s="4">
        <v>0</v>
      </c>
      <c r="J335" s="4"/>
      <c r="K335" s="4"/>
      <c r="L335" s="4"/>
      <c r="M335" s="4"/>
      <c r="N335" s="4"/>
      <c r="O335" s="4">
        <v>0</v>
      </c>
      <c r="P335" s="4">
        <v>42076.489918981482</v>
      </c>
      <c r="Q335" s="4"/>
      <c r="R335" s="4"/>
      <c r="S335" s="79">
        <f>DbLinkTable[[#This Row],[Credit]]+DbLinkTable[[#This Row],[Charge]]</f>
        <v>0</v>
      </c>
      <c r="T335" s="79">
        <f>IF(DbLinkTable[[#This Row],[Price/lb]]*DbLinkTable[[#This Row],[Weight]]&gt;0,DbLinkTable[[#This Row],[Price/lb]]*DbLinkTable[[#This Row],[Weight]],0)</f>
        <v>0</v>
      </c>
      <c r="U335" s="79">
        <f>IF(DbLinkTable[[#This Row],[Price/lb]]*DbLinkTable[[#This Row],[Weight]]&lt;0,DbLinkTable[[#This Row],[Price/lb]]*DbLinkTable[[#This Row],[Weight]],0)</f>
        <v>0</v>
      </c>
      <c r="V335" s="4" t="str">
        <f>IF(COUNTIF($W$2:W335,W335)=1,1,"")</f>
        <v/>
      </c>
      <c r="W335" s="4" t="str">
        <f>CONCATENATE(DbLinkTable[[#This Row],[Customer]],UPPER(DbLinkTable[[#This Row],[Trailer Number]]),DbLinkTable[[#This Row],[Day Received]])</f>
        <v>Company1438742076</v>
      </c>
      <c r="X335" s="4">
        <f>DATEVALUE(TEXT(DbLinkTable[[#This Row],[Date Received]],"MMMM YYYY"))</f>
        <v>42064</v>
      </c>
      <c r="Y335" s="4">
        <f>INT(DbLinkTable[[#This Row],[Date Received]])</f>
        <v>42076</v>
      </c>
    </row>
    <row r="336" spans="1:25">
      <c r="A336">
        <v>10527</v>
      </c>
      <c r="B336" t="s">
        <v>43</v>
      </c>
      <c r="D336">
        <v>1135</v>
      </c>
      <c r="E336" t="s">
        <v>1504</v>
      </c>
      <c r="F336" s="4">
        <v>42076</v>
      </c>
      <c r="G336" s="4" t="s">
        <v>192</v>
      </c>
      <c r="H336" s="4" t="s">
        <v>1520</v>
      </c>
      <c r="I336" s="4">
        <v>0</v>
      </c>
      <c r="J336" s="4"/>
      <c r="K336" s="4"/>
      <c r="L336" s="4"/>
      <c r="M336" s="4"/>
      <c r="N336" s="4"/>
      <c r="O336" s="4">
        <v>0</v>
      </c>
      <c r="P336" s="4">
        <v>42076.493564814817</v>
      </c>
      <c r="Q336" s="4"/>
      <c r="R336" s="4"/>
      <c r="S336" s="79">
        <f>DbLinkTable[[#This Row],[Credit]]+DbLinkTable[[#This Row],[Charge]]</f>
        <v>0</v>
      </c>
      <c r="T336" s="79">
        <f>IF(DbLinkTable[[#This Row],[Price/lb]]*DbLinkTable[[#This Row],[Weight]]&gt;0,DbLinkTable[[#This Row],[Price/lb]]*DbLinkTable[[#This Row],[Weight]],0)</f>
        <v>0</v>
      </c>
      <c r="U336" s="79">
        <f>IF(DbLinkTable[[#This Row],[Price/lb]]*DbLinkTable[[#This Row],[Weight]]&lt;0,DbLinkTable[[#This Row],[Price/lb]]*DbLinkTable[[#This Row],[Weight]],0)</f>
        <v>0</v>
      </c>
      <c r="V336" s="4" t="str">
        <f>IF(COUNTIF($W$2:W336,W336)=1,1,"")</f>
        <v/>
      </c>
      <c r="W336" s="4" t="str">
        <f>CONCATENATE(DbLinkTable[[#This Row],[Customer]],UPPER(DbLinkTable[[#This Row],[Trailer Number]]),DbLinkTable[[#This Row],[Day Received]])</f>
        <v>Company1438742076</v>
      </c>
      <c r="X336" s="4">
        <f>DATEVALUE(TEXT(DbLinkTable[[#This Row],[Date Received]],"MMMM YYYY"))</f>
        <v>42064</v>
      </c>
      <c r="Y336" s="4">
        <f>INT(DbLinkTable[[#This Row],[Date Received]])</f>
        <v>42076</v>
      </c>
    </row>
    <row r="337" spans="1:25">
      <c r="A337">
        <v>10528</v>
      </c>
      <c r="B337" t="s">
        <v>43</v>
      </c>
      <c r="D337">
        <v>1076</v>
      </c>
      <c r="E337" t="s">
        <v>1504</v>
      </c>
      <c r="F337" s="4">
        <v>42076</v>
      </c>
      <c r="G337" s="4" t="s">
        <v>192</v>
      </c>
      <c r="H337" s="4" t="s">
        <v>1520</v>
      </c>
      <c r="I337" s="4">
        <v>0</v>
      </c>
      <c r="J337" s="4"/>
      <c r="K337" s="4"/>
      <c r="L337" s="4"/>
      <c r="M337" s="4"/>
      <c r="N337" s="4"/>
      <c r="O337" s="4">
        <v>0</v>
      </c>
      <c r="P337" s="4">
        <v>42076.495810185188</v>
      </c>
      <c r="Q337" s="4"/>
      <c r="R337" s="4"/>
      <c r="S337" s="79">
        <f>DbLinkTable[[#This Row],[Credit]]+DbLinkTable[[#This Row],[Charge]]</f>
        <v>0</v>
      </c>
      <c r="T337" s="79">
        <f>IF(DbLinkTable[[#This Row],[Price/lb]]*DbLinkTable[[#This Row],[Weight]]&gt;0,DbLinkTable[[#This Row],[Price/lb]]*DbLinkTable[[#This Row],[Weight]],0)</f>
        <v>0</v>
      </c>
      <c r="U337" s="79">
        <f>IF(DbLinkTable[[#This Row],[Price/lb]]*DbLinkTable[[#This Row],[Weight]]&lt;0,DbLinkTable[[#This Row],[Price/lb]]*DbLinkTable[[#This Row],[Weight]],0)</f>
        <v>0</v>
      </c>
      <c r="V337" s="4" t="str">
        <f>IF(COUNTIF($W$2:W337,W337)=1,1,"")</f>
        <v/>
      </c>
      <c r="W337" s="4" t="str">
        <f>CONCATENATE(DbLinkTable[[#This Row],[Customer]],UPPER(DbLinkTable[[#This Row],[Trailer Number]]),DbLinkTable[[#This Row],[Day Received]])</f>
        <v>Company1438742076</v>
      </c>
      <c r="X337" s="4">
        <f>DATEVALUE(TEXT(DbLinkTable[[#This Row],[Date Received]],"MMMM YYYY"))</f>
        <v>42064</v>
      </c>
      <c r="Y337" s="4">
        <f>INT(DbLinkTable[[#This Row],[Date Received]])</f>
        <v>42076</v>
      </c>
    </row>
    <row r="338" spans="1:25">
      <c r="A338">
        <v>10529</v>
      </c>
      <c r="B338" t="s">
        <v>43</v>
      </c>
      <c r="D338">
        <v>905</v>
      </c>
      <c r="E338" t="s">
        <v>1504</v>
      </c>
      <c r="F338" s="4">
        <v>42076</v>
      </c>
      <c r="G338" s="4" t="s">
        <v>192</v>
      </c>
      <c r="H338" s="4" t="s">
        <v>1520</v>
      </c>
      <c r="I338" s="4">
        <v>0</v>
      </c>
      <c r="J338" s="4"/>
      <c r="K338" s="4"/>
      <c r="L338" s="4"/>
      <c r="M338" s="4"/>
      <c r="N338" s="4"/>
      <c r="O338" s="4">
        <v>0</v>
      </c>
      <c r="P338" s="4">
        <v>42076.497974537036</v>
      </c>
      <c r="Q338" s="4"/>
      <c r="R338" s="4"/>
      <c r="S338" s="79">
        <f>DbLinkTable[[#This Row],[Credit]]+DbLinkTable[[#This Row],[Charge]]</f>
        <v>0</v>
      </c>
      <c r="T338" s="79">
        <f>IF(DbLinkTable[[#This Row],[Price/lb]]*DbLinkTable[[#This Row],[Weight]]&gt;0,DbLinkTable[[#This Row],[Price/lb]]*DbLinkTable[[#This Row],[Weight]],0)</f>
        <v>0</v>
      </c>
      <c r="U338" s="79">
        <f>IF(DbLinkTable[[#This Row],[Price/lb]]*DbLinkTable[[#This Row],[Weight]]&lt;0,DbLinkTable[[#This Row],[Price/lb]]*DbLinkTable[[#This Row],[Weight]],0)</f>
        <v>0</v>
      </c>
      <c r="V338" s="4" t="str">
        <f>IF(COUNTIF($W$2:W338,W338)=1,1,"")</f>
        <v/>
      </c>
      <c r="W338" s="4" t="str">
        <f>CONCATENATE(DbLinkTable[[#This Row],[Customer]],UPPER(DbLinkTable[[#This Row],[Trailer Number]]),DbLinkTable[[#This Row],[Day Received]])</f>
        <v>Company1438742076</v>
      </c>
      <c r="X338" s="4">
        <f>DATEVALUE(TEXT(DbLinkTable[[#This Row],[Date Received]],"MMMM YYYY"))</f>
        <v>42064</v>
      </c>
      <c r="Y338" s="4">
        <f>INT(DbLinkTable[[#This Row],[Date Received]])</f>
        <v>42076</v>
      </c>
    </row>
    <row r="339" spans="1:25">
      <c r="A339">
        <v>10530</v>
      </c>
      <c r="B339" t="s">
        <v>43</v>
      </c>
      <c r="D339">
        <v>1062</v>
      </c>
      <c r="E339" t="s">
        <v>1504</v>
      </c>
      <c r="F339" s="4">
        <v>42076</v>
      </c>
      <c r="G339" s="4" t="s">
        <v>192</v>
      </c>
      <c r="H339" s="4" t="s">
        <v>1520</v>
      </c>
      <c r="I339" s="4">
        <v>0</v>
      </c>
      <c r="J339" s="4"/>
      <c r="K339" s="4"/>
      <c r="L339" s="4"/>
      <c r="M339" s="4"/>
      <c r="N339" s="4"/>
      <c r="O339" s="4">
        <v>0</v>
      </c>
      <c r="P339" s="4">
        <v>42076.499722222223</v>
      </c>
      <c r="Q339" s="4"/>
      <c r="R339" s="4"/>
      <c r="S339" s="79">
        <f>DbLinkTable[[#This Row],[Credit]]+DbLinkTable[[#This Row],[Charge]]</f>
        <v>0</v>
      </c>
      <c r="T339" s="79">
        <f>IF(DbLinkTable[[#This Row],[Price/lb]]*DbLinkTable[[#This Row],[Weight]]&gt;0,DbLinkTable[[#This Row],[Price/lb]]*DbLinkTable[[#This Row],[Weight]],0)</f>
        <v>0</v>
      </c>
      <c r="U339" s="79">
        <f>IF(DbLinkTable[[#This Row],[Price/lb]]*DbLinkTable[[#This Row],[Weight]]&lt;0,DbLinkTable[[#This Row],[Price/lb]]*DbLinkTable[[#This Row],[Weight]],0)</f>
        <v>0</v>
      </c>
      <c r="V339" s="4" t="str">
        <f>IF(COUNTIF($W$2:W339,W339)=1,1,"")</f>
        <v/>
      </c>
      <c r="W339" s="4" t="str">
        <f>CONCATENATE(DbLinkTable[[#This Row],[Customer]],UPPER(DbLinkTable[[#This Row],[Trailer Number]]),DbLinkTable[[#This Row],[Day Received]])</f>
        <v>Company1438742076</v>
      </c>
      <c r="X339" s="4">
        <f>DATEVALUE(TEXT(DbLinkTable[[#This Row],[Date Received]],"MMMM YYYY"))</f>
        <v>42064</v>
      </c>
      <c r="Y339" s="4">
        <f>INT(DbLinkTable[[#This Row],[Date Received]])</f>
        <v>42076</v>
      </c>
    </row>
    <row r="340" spans="1:25">
      <c r="A340">
        <v>10531</v>
      </c>
      <c r="B340" t="s">
        <v>43</v>
      </c>
      <c r="D340">
        <v>1058</v>
      </c>
      <c r="E340" t="s">
        <v>1504</v>
      </c>
      <c r="F340" s="4">
        <v>42076</v>
      </c>
      <c r="G340" s="4" t="s">
        <v>192</v>
      </c>
      <c r="H340" s="4" t="s">
        <v>1520</v>
      </c>
      <c r="I340" s="4">
        <v>0</v>
      </c>
      <c r="J340" s="4"/>
      <c r="K340" s="4"/>
      <c r="L340" s="4"/>
      <c r="M340" s="4"/>
      <c r="N340" s="4"/>
      <c r="O340" s="4">
        <v>0</v>
      </c>
      <c r="P340" s="4">
        <v>42076.501562500001</v>
      </c>
      <c r="Q340" s="4"/>
      <c r="R340" s="4"/>
      <c r="S340" s="79">
        <f>DbLinkTable[[#This Row],[Credit]]+DbLinkTable[[#This Row],[Charge]]</f>
        <v>0</v>
      </c>
      <c r="T340" s="79">
        <f>IF(DbLinkTable[[#This Row],[Price/lb]]*DbLinkTable[[#This Row],[Weight]]&gt;0,DbLinkTable[[#This Row],[Price/lb]]*DbLinkTable[[#This Row],[Weight]],0)</f>
        <v>0</v>
      </c>
      <c r="U340" s="79">
        <f>IF(DbLinkTable[[#This Row],[Price/lb]]*DbLinkTable[[#This Row],[Weight]]&lt;0,DbLinkTable[[#This Row],[Price/lb]]*DbLinkTable[[#This Row],[Weight]],0)</f>
        <v>0</v>
      </c>
      <c r="V340" s="4" t="str">
        <f>IF(COUNTIF($W$2:W340,W340)=1,1,"")</f>
        <v/>
      </c>
      <c r="W340" s="4" t="str">
        <f>CONCATENATE(DbLinkTable[[#This Row],[Customer]],UPPER(DbLinkTable[[#This Row],[Trailer Number]]),DbLinkTable[[#This Row],[Day Received]])</f>
        <v>Company1438742076</v>
      </c>
      <c r="X340" s="4">
        <f>DATEVALUE(TEXT(DbLinkTable[[#This Row],[Date Received]],"MMMM YYYY"))</f>
        <v>42064</v>
      </c>
      <c r="Y340" s="4">
        <f>INT(DbLinkTable[[#This Row],[Date Received]])</f>
        <v>42076</v>
      </c>
    </row>
    <row r="341" spans="1:25">
      <c r="A341">
        <v>10532</v>
      </c>
      <c r="B341" t="s">
        <v>1530</v>
      </c>
      <c r="D341">
        <v>119</v>
      </c>
      <c r="E341" t="s">
        <v>1504</v>
      </c>
      <c r="F341" s="4">
        <v>42076</v>
      </c>
      <c r="G341" s="4" t="s">
        <v>192</v>
      </c>
      <c r="H341" s="4" t="s">
        <v>1520</v>
      </c>
      <c r="I341" s="4">
        <v>0</v>
      </c>
      <c r="J341" s="4"/>
      <c r="K341" s="4"/>
      <c r="L341" s="4"/>
      <c r="M341" s="4"/>
      <c r="N341" s="4"/>
      <c r="O341" s="4">
        <v>0</v>
      </c>
      <c r="P341" s="4">
        <v>42076.526192129626</v>
      </c>
      <c r="Q341" s="4"/>
      <c r="R341" s="4"/>
      <c r="S341" s="79">
        <f>DbLinkTable[[#This Row],[Credit]]+DbLinkTable[[#This Row],[Charge]]</f>
        <v>0</v>
      </c>
      <c r="T341" s="79">
        <f>IF(DbLinkTable[[#This Row],[Price/lb]]*DbLinkTable[[#This Row],[Weight]]&gt;0,DbLinkTable[[#This Row],[Price/lb]]*DbLinkTable[[#This Row],[Weight]],0)</f>
        <v>0</v>
      </c>
      <c r="U341" s="79">
        <f>IF(DbLinkTable[[#This Row],[Price/lb]]*DbLinkTable[[#This Row],[Weight]]&lt;0,DbLinkTable[[#This Row],[Price/lb]]*DbLinkTable[[#This Row],[Weight]],0)</f>
        <v>0</v>
      </c>
      <c r="V341" s="4" t="str">
        <f>IF(COUNTIF($W$2:W341,W341)=1,1,"")</f>
        <v/>
      </c>
      <c r="W341" s="4" t="str">
        <f>CONCATENATE(DbLinkTable[[#This Row],[Customer]],UPPER(DbLinkTable[[#This Row],[Trailer Number]]),DbLinkTable[[#This Row],[Day Received]])</f>
        <v>Company1438742076</v>
      </c>
      <c r="X341" s="4">
        <f>DATEVALUE(TEXT(DbLinkTable[[#This Row],[Date Received]],"MMMM YYYY"))</f>
        <v>42064</v>
      </c>
      <c r="Y341" s="4">
        <f>INT(DbLinkTable[[#This Row],[Date Received]])</f>
        <v>42076</v>
      </c>
    </row>
    <row r="342" spans="1:25">
      <c r="A342">
        <v>10534</v>
      </c>
      <c r="B342" t="s">
        <v>45</v>
      </c>
      <c r="D342">
        <v>197</v>
      </c>
      <c r="E342" t="s">
        <v>1504</v>
      </c>
      <c r="F342" s="4">
        <v>42076</v>
      </c>
      <c r="G342" s="4" t="s">
        <v>192</v>
      </c>
      <c r="H342" s="4" t="s">
        <v>1520</v>
      </c>
      <c r="I342" s="4">
        <v>0</v>
      </c>
      <c r="J342" s="4"/>
      <c r="K342" s="4"/>
      <c r="L342" s="4"/>
      <c r="M342" s="4"/>
      <c r="N342" s="4"/>
      <c r="O342" s="4">
        <v>0</v>
      </c>
      <c r="P342" s="4">
        <v>42076.529722222222</v>
      </c>
      <c r="Q342" s="4"/>
      <c r="R342" s="4"/>
      <c r="S342" s="79">
        <f>DbLinkTable[[#This Row],[Credit]]+DbLinkTable[[#This Row],[Charge]]</f>
        <v>0</v>
      </c>
      <c r="T342" s="79">
        <f>IF(DbLinkTable[[#This Row],[Price/lb]]*DbLinkTable[[#This Row],[Weight]]&gt;0,DbLinkTable[[#This Row],[Price/lb]]*DbLinkTable[[#This Row],[Weight]],0)</f>
        <v>0</v>
      </c>
      <c r="U342" s="79">
        <f>IF(DbLinkTable[[#This Row],[Price/lb]]*DbLinkTable[[#This Row],[Weight]]&lt;0,DbLinkTable[[#This Row],[Price/lb]]*DbLinkTable[[#This Row],[Weight]],0)</f>
        <v>0</v>
      </c>
      <c r="V342" s="4" t="str">
        <f>IF(COUNTIF($W$2:W342,W342)=1,1,"")</f>
        <v/>
      </c>
      <c r="W342" s="4" t="str">
        <f>CONCATENATE(DbLinkTable[[#This Row],[Customer]],UPPER(DbLinkTable[[#This Row],[Trailer Number]]),DbLinkTable[[#This Row],[Day Received]])</f>
        <v>Company1438742076</v>
      </c>
      <c r="X342" s="4">
        <f>DATEVALUE(TEXT(DbLinkTable[[#This Row],[Date Received]],"MMMM YYYY"))</f>
        <v>42064</v>
      </c>
      <c r="Y342" s="4">
        <f>INT(DbLinkTable[[#This Row],[Date Received]])</f>
        <v>42076</v>
      </c>
    </row>
    <row r="343" spans="1:25">
      <c r="A343">
        <v>10535</v>
      </c>
      <c r="B343" t="s">
        <v>1527</v>
      </c>
      <c r="D343">
        <v>100</v>
      </c>
      <c r="E343" t="s">
        <v>1504</v>
      </c>
      <c r="F343" s="4">
        <v>42076</v>
      </c>
      <c r="G343" s="4" t="s">
        <v>192</v>
      </c>
      <c r="H343" s="4" t="s">
        <v>1520</v>
      </c>
      <c r="I343" s="4">
        <v>0</v>
      </c>
      <c r="J343" s="4"/>
      <c r="K343" s="4"/>
      <c r="L343" s="4"/>
      <c r="M343" s="4"/>
      <c r="N343" s="4"/>
      <c r="O343" s="4">
        <v>0</v>
      </c>
      <c r="P343" s="4">
        <v>42076.531944444447</v>
      </c>
      <c r="Q343" s="4"/>
      <c r="R343" s="4"/>
      <c r="S343" s="79">
        <f>DbLinkTable[[#This Row],[Credit]]+DbLinkTable[[#This Row],[Charge]]</f>
        <v>0</v>
      </c>
      <c r="T343" s="79">
        <f>IF(DbLinkTable[[#This Row],[Price/lb]]*DbLinkTable[[#This Row],[Weight]]&gt;0,DbLinkTable[[#This Row],[Price/lb]]*DbLinkTable[[#This Row],[Weight]],0)</f>
        <v>0</v>
      </c>
      <c r="U343" s="79">
        <f>IF(DbLinkTable[[#This Row],[Price/lb]]*DbLinkTable[[#This Row],[Weight]]&lt;0,DbLinkTable[[#This Row],[Price/lb]]*DbLinkTable[[#This Row],[Weight]],0)</f>
        <v>0</v>
      </c>
      <c r="V343" s="4" t="str">
        <f>IF(COUNTIF($W$2:W343,W343)=1,1,"")</f>
        <v/>
      </c>
      <c r="W343" s="4" t="str">
        <f>CONCATENATE(DbLinkTable[[#This Row],[Customer]],UPPER(DbLinkTable[[#This Row],[Trailer Number]]),DbLinkTable[[#This Row],[Day Received]])</f>
        <v>Company1438742076</v>
      </c>
      <c r="X343" s="4">
        <f>DATEVALUE(TEXT(DbLinkTable[[#This Row],[Date Received]],"MMMM YYYY"))</f>
        <v>42064</v>
      </c>
      <c r="Y343" s="4">
        <f>INT(DbLinkTable[[#This Row],[Date Received]])</f>
        <v>42076</v>
      </c>
    </row>
    <row r="344" spans="1:25">
      <c r="A344">
        <v>10537</v>
      </c>
      <c r="B344" t="s">
        <v>48</v>
      </c>
      <c r="D344">
        <v>318</v>
      </c>
      <c r="E344" t="s">
        <v>1504</v>
      </c>
      <c r="F344" s="4">
        <v>42076</v>
      </c>
      <c r="G344" s="4" t="s">
        <v>192</v>
      </c>
      <c r="H344" s="4" t="s">
        <v>1520</v>
      </c>
      <c r="I344" s="4">
        <v>0</v>
      </c>
      <c r="J344" s="4"/>
      <c r="K344" s="4"/>
      <c r="L344" s="4"/>
      <c r="M344" s="4"/>
      <c r="N344" s="4"/>
      <c r="O344" s="4">
        <v>0</v>
      </c>
      <c r="P344" s="4">
        <v>42076.53601851852</v>
      </c>
      <c r="Q344" s="4"/>
      <c r="R344" s="4"/>
      <c r="S344" s="79">
        <f>DbLinkTable[[#This Row],[Credit]]+DbLinkTable[[#This Row],[Charge]]</f>
        <v>0</v>
      </c>
      <c r="T344" s="79">
        <f>IF(DbLinkTable[[#This Row],[Price/lb]]*DbLinkTable[[#This Row],[Weight]]&gt;0,DbLinkTable[[#This Row],[Price/lb]]*DbLinkTable[[#This Row],[Weight]],0)</f>
        <v>0</v>
      </c>
      <c r="U344" s="79">
        <f>IF(DbLinkTable[[#This Row],[Price/lb]]*DbLinkTable[[#This Row],[Weight]]&lt;0,DbLinkTable[[#This Row],[Price/lb]]*DbLinkTable[[#This Row],[Weight]],0)</f>
        <v>0</v>
      </c>
      <c r="V344" s="4" t="str">
        <f>IF(COUNTIF($W$2:W344,W344)=1,1,"")</f>
        <v/>
      </c>
      <c r="W344" s="4" t="str">
        <f>CONCATENATE(DbLinkTable[[#This Row],[Customer]],UPPER(DbLinkTable[[#This Row],[Trailer Number]]),DbLinkTable[[#This Row],[Day Received]])</f>
        <v>Company1438742076</v>
      </c>
      <c r="X344" s="4">
        <f>DATEVALUE(TEXT(DbLinkTable[[#This Row],[Date Received]],"MMMM YYYY"))</f>
        <v>42064</v>
      </c>
      <c r="Y344" s="4">
        <f>INT(DbLinkTable[[#This Row],[Date Received]])</f>
        <v>42076</v>
      </c>
    </row>
    <row r="345" spans="1:25">
      <c r="A345">
        <v>10538</v>
      </c>
      <c r="B345" t="s">
        <v>48</v>
      </c>
      <c r="D345">
        <v>529</v>
      </c>
      <c r="E345" t="s">
        <v>1504</v>
      </c>
      <c r="F345" s="4">
        <v>42076</v>
      </c>
      <c r="G345" s="4" t="s">
        <v>192</v>
      </c>
      <c r="H345" s="4" t="s">
        <v>1520</v>
      </c>
      <c r="I345" s="4">
        <v>0</v>
      </c>
      <c r="J345" s="4"/>
      <c r="K345" s="4"/>
      <c r="L345" s="4"/>
      <c r="M345" s="4"/>
      <c r="N345" s="4"/>
      <c r="O345" s="4">
        <v>0</v>
      </c>
      <c r="P345" s="4">
        <v>42076.545104166667</v>
      </c>
      <c r="Q345" s="4"/>
      <c r="R345" s="4"/>
      <c r="S345" s="79">
        <f>DbLinkTable[[#This Row],[Credit]]+DbLinkTable[[#This Row],[Charge]]</f>
        <v>0</v>
      </c>
      <c r="T345" s="79">
        <f>IF(DbLinkTable[[#This Row],[Price/lb]]*DbLinkTable[[#This Row],[Weight]]&gt;0,DbLinkTable[[#This Row],[Price/lb]]*DbLinkTable[[#This Row],[Weight]],0)</f>
        <v>0</v>
      </c>
      <c r="U345" s="79">
        <f>IF(DbLinkTable[[#This Row],[Price/lb]]*DbLinkTable[[#This Row],[Weight]]&lt;0,DbLinkTable[[#This Row],[Price/lb]]*DbLinkTable[[#This Row],[Weight]],0)</f>
        <v>0</v>
      </c>
      <c r="V345" s="4" t="str">
        <f>IF(COUNTIF($W$2:W345,W345)=1,1,"")</f>
        <v/>
      </c>
      <c r="W345" s="4" t="str">
        <f>CONCATENATE(DbLinkTable[[#This Row],[Customer]],UPPER(DbLinkTable[[#This Row],[Trailer Number]]),DbLinkTable[[#This Row],[Day Received]])</f>
        <v>Company1438742076</v>
      </c>
      <c r="X345" s="4">
        <f>DATEVALUE(TEXT(DbLinkTable[[#This Row],[Date Received]],"MMMM YYYY"))</f>
        <v>42064</v>
      </c>
      <c r="Y345" s="4">
        <f>INT(DbLinkTable[[#This Row],[Date Received]])</f>
        <v>42076</v>
      </c>
    </row>
    <row r="346" spans="1:25">
      <c r="A346">
        <v>10539</v>
      </c>
      <c r="B346" t="s">
        <v>45</v>
      </c>
      <c r="D346">
        <v>84</v>
      </c>
      <c r="E346" t="s">
        <v>1504</v>
      </c>
      <c r="F346" s="4">
        <v>42076</v>
      </c>
      <c r="G346" s="4" t="s">
        <v>192</v>
      </c>
      <c r="H346" s="4" t="s">
        <v>1520</v>
      </c>
      <c r="I346" s="4">
        <v>0</v>
      </c>
      <c r="J346" s="4"/>
      <c r="K346" s="4"/>
      <c r="L346" s="4"/>
      <c r="M346" s="4"/>
      <c r="N346" s="4"/>
      <c r="O346" s="4">
        <v>0</v>
      </c>
      <c r="P346" s="4">
        <v>42076.550844907404</v>
      </c>
      <c r="Q346" s="4"/>
      <c r="R346" s="4"/>
      <c r="S346" s="79">
        <f>DbLinkTable[[#This Row],[Credit]]+DbLinkTable[[#This Row],[Charge]]</f>
        <v>0</v>
      </c>
      <c r="T346" s="79">
        <f>IF(DbLinkTable[[#This Row],[Price/lb]]*DbLinkTable[[#This Row],[Weight]]&gt;0,DbLinkTable[[#This Row],[Price/lb]]*DbLinkTable[[#This Row],[Weight]],0)</f>
        <v>0</v>
      </c>
      <c r="U346" s="79">
        <f>IF(DbLinkTable[[#This Row],[Price/lb]]*DbLinkTable[[#This Row],[Weight]]&lt;0,DbLinkTable[[#This Row],[Price/lb]]*DbLinkTable[[#This Row],[Weight]],0)</f>
        <v>0</v>
      </c>
      <c r="V346" s="4" t="str">
        <f>IF(COUNTIF($W$2:W346,W346)=1,1,"")</f>
        <v/>
      </c>
      <c r="W346" s="4" t="str">
        <f>CONCATENATE(DbLinkTable[[#This Row],[Customer]],UPPER(DbLinkTable[[#This Row],[Trailer Number]]),DbLinkTable[[#This Row],[Day Received]])</f>
        <v>Company1438742076</v>
      </c>
      <c r="X346" s="4">
        <f>DATEVALUE(TEXT(DbLinkTable[[#This Row],[Date Received]],"MMMM YYYY"))</f>
        <v>42064</v>
      </c>
      <c r="Y346" s="4">
        <f>INT(DbLinkTable[[#This Row],[Date Received]])</f>
        <v>42076</v>
      </c>
    </row>
    <row r="347" spans="1:25">
      <c r="A347">
        <v>10540</v>
      </c>
      <c r="B347" t="s">
        <v>48</v>
      </c>
      <c r="D347">
        <v>272</v>
      </c>
      <c r="E347" t="s">
        <v>1504</v>
      </c>
      <c r="F347" s="4">
        <v>42076</v>
      </c>
      <c r="G347" s="4" t="s">
        <v>192</v>
      </c>
      <c r="H347" s="4" t="s">
        <v>1520</v>
      </c>
      <c r="I347" s="4">
        <v>0</v>
      </c>
      <c r="J347" s="4"/>
      <c r="K347" s="4"/>
      <c r="L347" s="4"/>
      <c r="M347" s="4"/>
      <c r="N347" s="4"/>
      <c r="O347" s="4">
        <v>0</v>
      </c>
      <c r="P347" s="4">
        <v>42076.553402777776</v>
      </c>
      <c r="Q347" s="4"/>
      <c r="R347" s="4"/>
      <c r="S347" s="79">
        <f>DbLinkTable[[#This Row],[Credit]]+DbLinkTable[[#This Row],[Charge]]</f>
        <v>0</v>
      </c>
      <c r="T347" s="79">
        <f>IF(DbLinkTable[[#This Row],[Price/lb]]*DbLinkTable[[#This Row],[Weight]]&gt;0,DbLinkTable[[#This Row],[Price/lb]]*DbLinkTable[[#This Row],[Weight]],0)</f>
        <v>0</v>
      </c>
      <c r="U347" s="79">
        <f>IF(DbLinkTable[[#This Row],[Price/lb]]*DbLinkTable[[#This Row],[Weight]]&lt;0,DbLinkTable[[#This Row],[Price/lb]]*DbLinkTable[[#This Row],[Weight]],0)</f>
        <v>0</v>
      </c>
      <c r="V347" s="4" t="str">
        <f>IF(COUNTIF($W$2:W347,W347)=1,1,"")</f>
        <v/>
      </c>
      <c r="W347" s="4" t="str">
        <f>CONCATENATE(DbLinkTable[[#This Row],[Customer]],UPPER(DbLinkTable[[#This Row],[Trailer Number]]),DbLinkTable[[#This Row],[Day Received]])</f>
        <v>Company1438742076</v>
      </c>
      <c r="X347" s="4">
        <f>DATEVALUE(TEXT(DbLinkTable[[#This Row],[Date Received]],"MMMM YYYY"))</f>
        <v>42064</v>
      </c>
      <c r="Y347" s="4">
        <f>INT(DbLinkTable[[#This Row],[Date Received]])</f>
        <v>42076</v>
      </c>
    </row>
    <row r="348" spans="1:25">
      <c r="A348">
        <v>10541</v>
      </c>
      <c r="B348" t="s">
        <v>48</v>
      </c>
      <c r="D348">
        <v>238</v>
      </c>
      <c r="E348" t="s">
        <v>1504</v>
      </c>
      <c r="F348" s="4">
        <v>42076</v>
      </c>
      <c r="G348" s="4" t="s">
        <v>192</v>
      </c>
      <c r="H348" s="4" t="s">
        <v>1520</v>
      </c>
      <c r="I348" s="4">
        <v>0</v>
      </c>
      <c r="J348" s="4"/>
      <c r="K348" s="4"/>
      <c r="L348" s="4"/>
      <c r="M348" s="4"/>
      <c r="N348" s="4"/>
      <c r="O348" s="4">
        <v>0</v>
      </c>
      <c r="P348" s="4">
        <v>42076.55841435185</v>
      </c>
      <c r="Q348" s="4"/>
      <c r="R348" s="4"/>
      <c r="S348" s="79">
        <f>DbLinkTable[[#This Row],[Credit]]+DbLinkTable[[#This Row],[Charge]]</f>
        <v>0</v>
      </c>
      <c r="T348" s="79">
        <f>IF(DbLinkTable[[#This Row],[Price/lb]]*DbLinkTable[[#This Row],[Weight]]&gt;0,DbLinkTable[[#This Row],[Price/lb]]*DbLinkTable[[#This Row],[Weight]],0)</f>
        <v>0</v>
      </c>
      <c r="U348" s="79">
        <f>IF(DbLinkTable[[#This Row],[Price/lb]]*DbLinkTable[[#This Row],[Weight]]&lt;0,DbLinkTable[[#This Row],[Price/lb]]*DbLinkTable[[#This Row],[Weight]],0)</f>
        <v>0</v>
      </c>
      <c r="V348" s="4" t="str">
        <f>IF(COUNTIF($W$2:W348,W348)=1,1,"")</f>
        <v/>
      </c>
      <c r="W348" s="4" t="str">
        <f>CONCATENATE(DbLinkTable[[#This Row],[Customer]],UPPER(DbLinkTable[[#This Row],[Trailer Number]]),DbLinkTable[[#This Row],[Day Received]])</f>
        <v>Company1438742076</v>
      </c>
      <c r="X348" s="4">
        <f>DATEVALUE(TEXT(DbLinkTable[[#This Row],[Date Received]],"MMMM YYYY"))</f>
        <v>42064</v>
      </c>
      <c r="Y348" s="4">
        <f>INT(DbLinkTable[[#This Row],[Date Received]])</f>
        <v>42076</v>
      </c>
    </row>
    <row r="349" spans="1:25">
      <c r="A349">
        <v>10542</v>
      </c>
      <c r="B349" t="s">
        <v>45</v>
      </c>
      <c r="D349">
        <v>100</v>
      </c>
      <c r="E349" t="s">
        <v>1504</v>
      </c>
      <c r="F349" s="4">
        <v>42076</v>
      </c>
      <c r="G349" s="4" t="s">
        <v>192</v>
      </c>
      <c r="H349" s="4" t="s">
        <v>1520</v>
      </c>
      <c r="I349" s="4">
        <v>0</v>
      </c>
      <c r="J349" s="4"/>
      <c r="K349" s="4"/>
      <c r="L349" s="4"/>
      <c r="M349" s="4"/>
      <c r="N349" s="4"/>
      <c r="O349" s="4">
        <v>0</v>
      </c>
      <c r="P349" s="4">
        <v>42076.565752314818</v>
      </c>
      <c r="Q349" s="4"/>
      <c r="R349" s="4"/>
      <c r="S349" s="79">
        <f>DbLinkTable[[#This Row],[Credit]]+DbLinkTable[[#This Row],[Charge]]</f>
        <v>0</v>
      </c>
      <c r="T349" s="79">
        <f>IF(DbLinkTable[[#This Row],[Price/lb]]*DbLinkTable[[#This Row],[Weight]]&gt;0,DbLinkTable[[#This Row],[Price/lb]]*DbLinkTable[[#This Row],[Weight]],0)</f>
        <v>0</v>
      </c>
      <c r="U349" s="79">
        <f>IF(DbLinkTable[[#This Row],[Price/lb]]*DbLinkTable[[#This Row],[Weight]]&lt;0,DbLinkTable[[#This Row],[Price/lb]]*DbLinkTable[[#This Row],[Weight]],0)</f>
        <v>0</v>
      </c>
      <c r="V349" s="4" t="str">
        <f>IF(COUNTIF($W$2:W349,W349)=1,1,"")</f>
        <v/>
      </c>
      <c r="W349" s="4" t="str">
        <f>CONCATENATE(DbLinkTable[[#This Row],[Customer]],UPPER(DbLinkTable[[#This Row],[Trailer Number]]),DbLinkTable[[#This Row],[Day Received]])</f>
        <v>Company1438742076</v>
      </c>
      <c r="X349" s="4">
        <f>DATEVALUE(TEXT(DbLinkTable[[#This Row],[Date Received]],"MMMM YYYY"))</f>
        <v>42064</v>
      </c>
      <c r="Y349" s="4">
        <f>INT(DbLinkTable[[#This Row],[Date Received]])</f>
        <v>42076</v>
      </c>
    </row>
    <row r="350" spans="1:25">
      <c r="A350">
        <v>10543</v>
      </c>
      <c r="B350" t="s">
        <v>45</v>
      </c>
      <c r="D350">
        <v>97</v>
      </c>
      <c r="E350" t="s">
        <v>1504</v>
      </c>
      <c r="F350" s="4">
        <v>42076</v>
      </c>
      <c r="G350" s="4" t="s">
        <v>192</v>
      </c>
      <c r="H350" s="4" t="s">
        <v>1520</v>
      </c>
      <c r="I350" s="4">
        <v>0</v>
      </c>
      <c r="J350" s="4"/>
      <c r="K350" s="4"/>
      <c r="L350" s="4"/>
      <c r="M350" s="4"/>
      <c r="N350" s="4"/>
      <c r="O350" s="4">
        <v>0</v>
      </c>
      <c r="P350" s="4">
        <v>42076.567789351851</v>
      </c>
      <c r="Q350" s="4"/>
      <c r="R350" s="4"/>
      <c r="S350" s="79">
        <f>DbLinkTable[[#This Row],[Credit]]+DbLinkTable[[#This Row],[Charge]]</f>
        <v>0</v>
      </c>
      <c r="T350" s="79">
        <f>IF(DbLinkTable[[#This Row],[Price/lb]]*DbLinkTable[[#This Row],[Weight]]&gt;0,DbLinkTable[[#This Row],[Price/lb]]*DbLinkTable[[#This Row],[Weight]],0)</f>
        <v>0</v>
      </c>
      <c r="U350" s="79">
        <f>IF(DbLinkTable[[#This Row],[Price/lb]]*DbLinkTable[[#This Row],[Weight]]&lt;0,DbLinkTable[[#This Row],[Price/lb]]*DbLinkTable[[#This Row],[Weight]],0)</f>
        <v>0</v>
      </c>
      <c r="V350" s="4" t="str">
        <f>IF(COUNTIF($W$2:W350,W350)=1,1,"")</f>
        <v/>
      </c>
      <c r="W350" s="4" t="str">
        <f>CONCATENATE(DbLinkTable[[#This Row],[Customer]],UPPER(DbLinkTable[[#This Row],[Trailer Number]]),DbLinkTable[[#This Row],[Day Received]])</f>
        <v>Company1438742076</v>
      </c>
      <c r="X350" s="4">
        <f>DATEVALUE(TEXT(DbLinkTable[[#This Row],[Date Received]],"MMMM YYYY"))</f>
        <v>42064</v>
      </c>
      <c r="Y350" s="4">
        <f>INT(DbLinkTable[[#This Row],[Date Received]])</f>
        <v>42076</v>
      </c>
    </row>
    <row r="351" spans="1:25">
      <c r="A351">
        <v>10544</v>
      </c>
      <c r="B351" t="s">
        <v>48</v>
      </c>
      <c r="D351">
        <v>745</v>
      </c>
      <c r="E351" t="s">
        <v>1504</v>
      </c>
      <c r="F351" s="4">
        <v>42076</v>
      </c>
      <c r="G351" s="4" t="s">
        <v>192</v>
      </c>
      <c r="H351" s="4" t="s">
        <v>1520</v>
      </c>
      <c r="I351" s="4">
        <v>0</v>
      </c>
      <c r="J351" s="4"/>
      <c r="K351" s="4"/>
      <c r="L351" s="4"/>
      <c r="M351" s="4"/>
      <c r="N351" s="4"/>
      <c r="O351" s="4">
        <v>0</v>
      </c>
      <c r="P351" s="4">
        <v>42076.571157407408</v>
      </c>
      <c r="Q351" s="4"/>
      <c r="R351" s="4"/>
      <c r="S351" s="79">
        <f>DbLinkTable[[#This Row],[Credit]]+DbLinkTable[[#This Row],[Charge]]</f>
        <v>0</v>
      </c>
      <c r="T351" s="79">
        <f>IF(DbLinkTable[[#This Row],[Price/lb]]*DbLinkTable[[#This Row],[Weight]]&gt;0,DbLinkTable[[#This Row],[Price/lb]]*DbLinkTable[[#This Row],[Weight]],0)</f>
        <v>0</v>
      </c>
      <c r="U351" s="79">
        <f>IF(DbLinkTable[[#This Row],[Price/lb]]*DbLinkTable[[#This Row],[Weight]]&lt;0,DbLinkTable[[#This Row],[Price/lb]]*DbLinkTable[[#This Row],[Weight]],0)</f>
        <v>0</v>
      </c>
      <c r="V351" s="4" t="str">
        <f>IF(COUNTIF($W$2:W351,W351)=1,1,"")</f>
        <v/>
      </c>
      <c r="W351" s="4" t="str">
        <f>CONCATENATE(DbLinkTable[[#This Row],[Customer]],UPPER(DbLinkTable[[#This Row],[Trailer Number]]),DbLinkTable[[#This Row],[Day Received]])</f>
        <v>Company1438742076</v>
      </c>
      <c r="X351" s="4">
        <f>DATEVALUE(TEXT(DbLinkTable[[#This Row],[Date Received]],"MMMM YYYY"))</f>
        <v>42064</v>
      </c>
      <c r="Y351" s="4">
        <f>INT(DbLinkTable[[#This Row],[Date Received]])</f>
        <v>42076</v>
      </c>
    </row>
    <row r="352" spans="1:25">
      <c r="A352">
        <v>10545</v>
      </c>
      <c r="B352" t="s">
        <v>1527</v>
      </c>
      <c r="D352">
        <v>180</v>
      </c>
      <c r="E352" t="s">
        <v>1504</v>
      </c>
      <c r="F352" s="4">
        <v>42076</v>
      </c>
      <c r="G352" s="4" t="s">
        <v>192</v>
      </c>
      <c r="H352" s="4" t="s">
        <v>1520</v>
      </c>
      <c r="I352" s="4">
        <v>0</v>
      </c>
      <c r="J352" s="4"/>
      <c r="K352" s="4"/>
      <c r="L352" s="4"/>
      <c r="M352" s="4"/>
      <c r="N352" s="4"/>
      <c r="O352" s="4">
        <v>0</v>
      </c>
      <c r="P352" s="4">
        <v>42076.575821759259</v>
      </c>
      <c r="Q352" s="4"/>
      <c r="R352" s="4"/>
      <c r="S352" s="79">
        <f>DbLinkTable[[#This Row],[Credit]]+DbLinkTable[[#This Row],[Charge]]</f>
        <v>0</v>
      </c>
      <c r="T352" s="79">
        <f>IF(DbLinkTable[[#This Row],[Price/lb]]*DbLinkTable[[#This Row],[Weight]]&gt;0,DbLinkTable[[#This Row],[Price/lb]]*DbLinkTable[[#This Row],[Weight]],0)</f>
        <v>0</v>
      </c>
      <c r="U352" s="79">
        <f>IF(DbLinkTable[[#This Row],[Price/lb]]*DbLinkTable[[#This Row],[Weight]]&lt;0,DbLinkTable[[#This Row],[Price/lb]]*DbLinkTable[[#This Row],[Weight]],0)</f>
        <v>0</v>
      </c>
      <c r="V352" s="4" t="str">
        <f>IF(COUNTIF($W$2:W352,W352)=1,1,"")</f>
        <v/>
      </c>
      <c r="W352" s="4" t="str">
        <f>CONCATENATE(DbLinkTable[[#This Row],[Customer]],UPPER(DbLinkTable[[#This Row],[Trailer Number]]),DbLinkTable[[#This Row],[Day Received]])</f>
        <v>Company1438742076</v>
      </c>
      <c r="X352" s="4">
        <f>DATEVALUE(TEXT(DbLinkTable[[#This Row],[Date Received]],"MMMM YYYY"))</f>
        <v>42064</v>
      </c>
      <c r="Y352" s="4">
        <f>INT(DbLinkTable[[#This Row],[Date Received]])</f>
        <v>42076</v>
      </c>
    </row>
    <row r="353" spans="1:25">
      <c r="A353">
        <v>10546</v>
      </c>
      <c r="B353" t="s">
        <v>48</v>
      </c>
      <c r="D353">
        <v>283</v>
      </c>
      <c r="E353" t="s">
        <v>1504</v>
      </c>
      <c r="F353" s="4">
        <v>42076</v>
      </c>
      <c r="G353" s="4" t="s">
        <v>192</v>
      </c>
      <c r="H353" s="4" t="s">
        <v>1520</v>
      </c>
      <c r="I353" s="4">
        <v>0</v>
      </c>
      <c r="J353" s="4"/>
      <c r="K353" s="4"/>
      <c r="L353" s="4"/>
      <c r="M353" s="4"/>
      <c r="N353" s="4"/>
      <c r="O353" s="4">
        <v>0</v>
      </c>
      <c r="P353" s="4">
        <v>42076.578912037039</v>
      </c>
      <c r="Q353" s="4"/>
      <c r="R353" s="4"/>
      <c r="S353" s="79">
        <f>DbLinkTable[[#This Row],[Credit]]+DbLinkTable[[#This Row],[Charge]]</f>
        <v>0</v>
      </c>
      <c r="T353" s="79">
        <f>IF(DbLinkTable[[#This Row],[Price/lb]]*DbLinkTable[[#This Row],[Weight]]&gt;0,DbLinkTable[[#This Row],[Price/lb]]*DbLinkTable[[#This Row],[Weight]],0)</f>
        <v>0</v>
      </c>
      <c r="U353" s="79">
        <f>IF(DbLinkTable[[#This Row],[Price/lb]]*DbLinkTable[[#This Row],[Weight]]&lt;0,DbLinkTable[[#This Row],[Price/lb]]*DbLinkTable[[#This Row],[Weight]],0)</f>
        <v>0</v>
      </c>
      <c r="V353" s="4" t="str">
        <f>IF(COUNTIF($W$2:W353,W353)=1,1,"")</f>
        <v/>
      </c>
      <c r="W353" s="4" t="str">
        <f>CONCATENATE(DbLinkTable[[#This Row],[Customer]],UPPER(DbLinkTable[[#This Row],[Trailer Number]]),DbLinkTable[[#This Row],[Day Received]])</f>
        <v>Company1438742076</v>
      </c>
      <c r="X353" s="4">
        <f>DATEVALUE(TEXT(DbLinkTable[[#This Row],[Date Received]],"MMMM YYYY"))</f>
        <v>42064</v>
      </c>
      <c r="Y353" s="4">
        <f>INT(DbLinkTable[[#This Row],[Date Received]])</f>
        <v>42076</v>
      </c>
    </row>
    <row r="354" spans="1:25">
      <c r="A354">
        <v>10671</v>
      </c>
      <c r="B354" t="s">
        <v>48</v>
      </c>
      <c r="D354">
        <v>408</v>
      </c>
      <c r="E354" t="s">
        <v>1504</v>
      </c>
      <c r="F354" s="4">
        <v>42088</v>
      </c>
      <c r="G354" s="4" t="s">
        <v>192</v>
      </c>
      <c r="H354" s="4" t="s">
        <v>1512</v>
      </c>
      <c r="I354" s="4">
        <v>0</v>
      </c>
      <c r="J354" s="4"/>
      <c r="K354" s="4"/>
      <c r="L354" s="4"/>
      <c r="M354" s="4"/>
      <c r="N354" s="4"/>
      <c r="O354" s="4">
        <v>0</v>
      </c>
      <c r="P354" s="4">
        <v>42089.321863425925</v>
      </c>
      <c r="Q354" s="4"/>
      <c r="R354" s="4"/>
      <c r="S354" s="79">
        <f>DbLinkTable[[#This Row],[Credit]]+DbLinkTable[[#This Row],[Charge]]</f>
        <v>0</v>
      </c>
      <c r="T354" s="79">
        <f>IF(DbLinkTable[[#This Row],[Price/lb]]*DbLinkTable[[#This Row],[Weight]]&gt;0,DbLinkTable[[#This Row],[Price/lb]]*DbLinkTable[[#This Row],[Weight]],0)</f>
        <v>0</v>
      </c>
      <c r="U354" s="79">
        <f>IF(DbLinkTable[[#This Row],[Price/lb]]*DbLinkTable[[#This Row],[Weight]]&lt;0,DbLinkTable[[#This Row],[Price/lb]]*DbLinkTable[[#This Row],[Weight]],0)</f>
        <v>0</v>
      </c>
      <c r="V354" s="4">
        <f>IF(COUNTIF($W$2:W354,W354)=1,1,"")</f>
        <v>1</v>
      </c>
      <c r="W354" s="4" t="str">
        <f>CONCATENATE(DbLinkTable[[#This Row],[Customer]],UPPER(DbLinkTable[[#This Row],[Trailer Number]]),DbLinkTable[[#This Row],[Day Received]])</f>
        <v>Company1434342088</v>
      </c>
      <c r="X354" s="4">
        <f>DATEVALUE(TEXT(DbLinkTable[[#This Row],[Date Received]],"MMMM YYYY"))</f>
        <v>42064</v>
      </c>
      <c r="Y354" s="4">
        <f>INT(DbLinkTable[[#This Row],[Date Received]])</f>
        <v>42088</v>
      </c>
    </row>
    <row r="355" spans="1:25">
      <c r="A355">
        <v>10672</v>
      </c>
      <c r="B355" t="s">
        <v>47</v>
      </c>
      <c r="C355" t="s">
        <v>1548</v>
      </c>
      <c r="D355">
        <v>466</v>
      </c>
      <c r="E355" t="s">
        <v>1504</v>
      </c>
      <c r="F355" s="4">
        <v>42088</v>
      </c>
      <c r="G355" s="4" t="s">
        <v>192</v>
      </c>
      <c r="H355" s="4" t="s">
        <v>1512</v>
      </c>
      <c r="I355" s="4">
        <v>0</v>
      </c>
      <c r="J355" s="4"/>
      <c r="K355" s="4"/>
      <c r="L355" s="4"/>
      <c r="M355" s="4"/>
      <c r="N355" s="4"/>
      <c r="O355" s="4">
        <v>0</v>
      </c>
      <c r="P355" s="4">
        <v>42089.324976851851</v>
      </c>
      <c r="Q355" s="4"/>
      <c r="R355" s="4"/>
      <c r="S355" s="79">
        <f>DbLinkTable[[#This Row],[Credit]]+DbLinkTable[[#This Row],[Charge]]</f>
        <v>0</v>
      </c>
      <c r="T355" s="79">
        <f>IF(DbLinkTable[[#This Row],[Price/lb]]*DbLinkTable[[#This Row],[Weight]]&gt;0,DbLinkTable[[#This Row],[Price/lb]]*DbLinkTable[[#This Row],[Weight]],0)</f>
        <v>0</v>
      </c>
      <c r="U355" s="79">
        <f>IF(DbLinkTable[[#This Row],[Price/lb]]*DbLinkTable[[#This Row],[Weight]]&lt;0,DbLinkTable[[#This Row],[Price/lb]]*DbLinkTable[[#This Row],[Weight]],0)</f>
        <v>0</v>
      </c>
      <c r="V355" s="4" t="str">
        <f>IF(COUNTIF($W$2:W355,W355)=1,1,"")</f>
        <v/>
      </c>
      <c r="W355" s="4" t="str">
        <f>CONCATENATE(DbLinkTable[[#This Row],[Customer]],UPPER(DbLinkTable[[#This Row],[Trailer Number]]),DbLinkTable[[#This Row],[Day Received]])</f>
        <v>Company1434342088</v>
      </c>
      <c r="X355" s="4">
        <f>DATEVALUE(TEXT(DbLinkTable[[#This Row],[Date Received]],"MMMM YYYY"))</f>
        <v>42064</v>
      </c>
      <c r="Y355" s="4">
        <f>INT(DbLinkTable[[#This Row],[Date Received]])</f>
        <v>42088</v>
      </c>
    </row>
    <row r="356" spans="1:25">
      <c r="A356">
        <v>10673</v>
      </c>
      <c r="B356" t="s">
        <v>48</v>
      </c>
      <c r="D356">
        <v>192</v>
      </c>
      <c r="E356" t="s">
        <v>1504</v>
      </c>
      <c r="F356" s="4">
        <v>42088</v>
      </c>
      <c r="G356" s="4" t="s">
        <v>192</v>
      </c>
      <c r="H356" s="4" t="s">
        <v>1512</v>
      </c>
      <c r="I356" s="4">
        <v>0</v>
      </c>
      <c r="J356" s="4"/>
      <c r="K356" s="4"/>
      <c r="L356" s="4"/>
      <c r="M356" s="4"/>
      <c r="N356" s="4"/>
      <c r="O356" s="4">
        <v>0</v>
      </c>
      <c r="P356" s="4">
        <v>42089.331145833334</v>
      </c>
      <c r="Q356" s="4"/>
      <c r="R356" s="4"/>
      <c r="S356" s="79">
        <f>DbLinkTable[[#This Row],[Credit]]+DbLinkTable[[#This Row],[Charge]]</f>
        <v>0</v>
      </c>
      <c r="T356" s="79">
        <f>IF(DbLinkTable[[#This Row],[Price/lb]]*DbLinkTable[[#This Row],[Weight]]&gt;0,DbLinkTable[[#This Row],[Price/lb]]*DbLinkTable[[#This Row],[Weight]],0)</f>
        <v>0</v>
      </c>
      <c r="U356" s="79">
        <f>IF(DbLinkTable[[#This Row],[Price/lb]]*DbLinkTable[[#This Row],[Weight]]&lt;0,DbLinkTable[[#This Row],[Price/lb]]*DbLinkTable[[#This Row],[Weight]],0)</f>
        <v>0</v>
      </c>
      <c r="V356" s="4" t="str">
        <f>IF(COUNTIF($W$2:W356,W356)=1,1,"")</f>
        <v/>
      </c>
      <c r="W356" s="4" t="str">
        <f>CONCATENATE(DbLinkTable[[#This Row],[Customer]],UPPER(DbLinkTable[[#This Row],[Trailer Number]]),DbLinkTable[[#This Row],[Day Received]])</f>
        <v>Company1434342088</v>
      </c>
      <c r="X356" s="4">
        <f>DATEVALUE(TEXT(DbLinkTable[[#This Row],[Date Received]],"MMMM YYYY"))</f>
        <v>42064</v>
      </c>
      <c r="Y356" s="4">
        <f>INT(DbLinkTable[[#This Row],[Date Received]])</f>
        <v>42088</v>
      </c>
    </row>
    <row r="357" spans="1:25">
      <c r="A357">
        <v>10674</v>
      </c>
      <c r="B357" t="s">
        <v>44</v>
      </c>
      <c r="D357">
        <v>1269</v>
      </c>
      <c r="E357" t="s">
        <v>1504</v>
      </c>
      <c r="F357" s="4">
        <v>42088</v>
      </c>
      <c r="G357" s="4" t="s">
        <v>192</v>
      </c>
      <c r="H357" s="4" t="s">
        <v>1512</v>
      </c>
      <c r="I357" s="4">
        <v>0</v>
      </c>
      <c r="J357" s="4"/>
      <c r="K357" s="4"/>
      <c r="L357" s="4"/>
      <c r="M357" s="4"/>
      <c r="N357" s="4"/>
      <c r="O357" s="4">
        <v>0</v>
      </c>
      <c r="P357" s="4">
        <v>42089.332708333335</v>
      </c>
      <c r="Q357" s="4"/>
      <c r="R357" s="4"/>
      <c r="S357" s="79">
        <f>DbLinkTable[[#This Row],[Credit]]+DbLinkTable[[#This Row],[Charge]]</f>
        <v>0</v>
      </c>
      <c r="T357" s="79">
        <f>IF(DbLinkTable[[#This Row],[Price/lb]]*DbLinkTable[[#This Row],[Weight]]&gt;0,DbLinkTable[[#This Row],[Price/lb]]*DbLinkTable[[#This Row],[Weight]],0)</f>
        <v>0</v>
      </c>
      <c r="U357" s="79">
        <f>IF(DbLinkTable[[#This Row],[Price/lb]]*DbLinkTable[[#This Row],[Weight]]&lt;0,DbLinkTable[[#This Row],[Price/lb]]*DbLinkTable[[#This Row],[Weight]],0)</f>
        <v>0</v>
      </c>
      <c r="V357" s="4" t="str">
        <f>IF(COUNTIF($W$2:W357,W357)=1,1,"")</f>
        <v/>
      </c>
      <c r="W357" s="4" t="str">
        <f>CONCATENATE(DbLinkTable[[#This Row],[Customer]],UPPER(DbLinkTable[[#This Row],[Trailer Number]]),DbLinkTable[[#This Row],[Day Received]])</f>
        <v>Company1434342088</v>
      </c>
      <c r="X357" s="4">
        <f>DATEVALUE(TEXT(DbLinkTable[[#This Row],[Date Received]],"MMMM YYYY"))</f>
        <v>42064</v>
      </c>
      <c r="Y357" s="4">
        <f>INT(DbLinkTable[[#This Row],[Date Received]])</f>
        <v>42088</v>
      </c>
    </row>
    <row r="358" spans="1:25">
      <c r="A358">
        <v>10675</v>
      </c>
      <c r="B358" t="s">
        <v>45</v>
      </c>
      <c r="D358">
        <v>112</v>
      </c>
      <c r="E358" t="s">
        <v>1504</v>
      </c>
      <c r="F358" s="4">
        <v>42088</v>
      </c>
      <c r="G358" s="4" t="s">
        <v>192</v>
      </c>
      <c r="H358" s="4" t="s">
        <v>1512</v>
      </c>
      <c r="I358" s="4">
        <v>0</v>
      </c>
      <c r="J358" s="4"/>
      <c r="K358" s="4"/>
      <c r="L358" s="4"/>
      <c r="M358" s="4"/>
      <c r="N358" s="4"/>
      <c r="O358" s="4">
        <v>0</v>
      </c>
      <c r="P358" s="4">
        <v>42089.334270833337</v>
      </c>
      <c r="Q358" s="4"/>
      <c r="R358" s="4"/>
      <c r="S358" s="79">
        <f>DbLinkTable[[#This Row],[Credit]]+DbLinkTable[[#This Row],[Charge]]</f>
        <v>0</v>
      </c>
      <c r="T358" s="79">
        <f>IF(DbLinkTable[[#This Row],[Price/lb]]*DbLinkTable[[#This Row],[Weight]]&gt;0,DbLinkTable[[#This Row],[Price/lb]]*DbLinkTable[[#This Row],[Weight]],0)</f>
        <v>0</v>
      </c>
      <c r="U358" s="79">
        <f>IF(DbLinkTable[[#This Row],[Price/lb]]*DbLinkTable[[#This Row],[Weight]]&lt;0,DbLinkTable[[#This Row],[Price/lb]]*DbLinkTable[[#This Row],[Weight]],0)</f>
        <v>0</v>
      </c>
      <c r="V358" s="4" t="str">
        <f>IF(COUNTIF($W$2:W358,W358)=1,1,"")</f>
        <v/>
      </c>
      <c r="W358" s="4" t="str">
        <f>CONCATENATE(DbLinkTable[[#This Row],[Customer]],UPPER(DbLinkTable[[#This Row],[Trailer Number]]),DbLinkTable[[#This Row],[Day Received]])</f>
        <v>Company1434342088</v>
      </c>
      <c r="X358" s="4">
        <f>DATEVALUE(TEXT(DbLinkTable[[#This Row],[Date Received]],"MMMM YYYY"))</f>
        <v>42064</v>
      </c>
      <c r="Y358" s="4">
        <f>INT(DbLinkTable[[#This Row],[Date Received]])</f>
        <v>42088</v>
      </c>
    </row>
    <row r="359" spans="1:25">
      <c r="A359">
        <v>10676</v>
      </c>
      <c r="B359" t="s">
        <v>47</v>
      </c>
      <c r="C359" t="s">
        <v>1548</v>
      </c>
      <c r="D359">
        <v>370</v>
      </c>
      <c r="E359" t="s">
        <v>1504</v>
      </c>
      <c r="F359" s="4">
        <v>42088</v>
      </c>
      <c r="G359" s="4" t="s">
        <v>192</v>
      </c>
      <c r="H359" s="4" t="s">
        <v>1512</v>
      </c>
      <c r="I359" s="4">
        <v>0</v>
      </c>
      <c r="J359" s="4"/>
      <c r="K359" s="4"/>
      <c r="L359" s="4"/>
      <c r="M359" s="4"/>
      <c r="N359" s="4"/>
      <c r="O359" s="4">
        <v>0</v>
      </c>
      <c r="P359" s="4">
        <v>42089.336608796293</v>
      </c>
      <c r="Q359" s="4"/>
      <c r="R359" s="4"/>
      <c r="S359" s="79">
        <f>DbLinkTable[[#This Row],[Credit]]+DbLinkTable[[#This Row],[Charge]]</f>
        <v>0</v>
      </c>
      <c r="T359" s="79">
        <f>IF(DbLinkTable[[#This Row],[Price/lb]]*DbLinkTable[[#This Row],[Weight]]&gt;0,DbLinkTable[[#This Row],[Price/lb]]*DbLinkTable[[#This Row],[Weight]],0)</f>
        <v>0</v>
      </c>
      <c r="U359" s="79">
        <f>IF(DbLinkTable[[#This Row],[Price/lb]]*DbLinkTable[[#This Row],[Weight]]&lt;0,DbLinkTable[[#This Row],[Price/lb]]*DbLinkTable[[#This Row],[Weight]],0)</f>
        <v>0</v>
      </c>
      <c r="V359" s="4" t="str">
        <f>IF(COUNTIF($W$2:W359,W359)=1,1,"")</f>
        <v/>
      </c>
      <c r="W359" s="4" t="str">
        <f>CONCATENATE(DbLinkTable[[#This Row],[Customer]],UPPER(DbLinkTable[[#This Row],[Trailer Number]]),DbLinkTable[[#This Row],[Day Received]])</f>
        <v>Company1434342088</v>
      </c>
      <c r="X359" s="4">
        <f>DATEVALUE(TEXT(DbLinkTable[[#This Row],[Date Received]],"MMMM YYYY"))</f>
        <v>42064</v>
      </c>
      <c r="Y359" s="4">
        <f>INT(DbLinkTable[[#This Row],[Date Received]])</f>
        <v>42088</v>
      </c>
    </row>
    <row r="360" spans="1:25">
      <c r="A360">
        <v>10677</v>
      </c>
      <c r="B360" t="s">
        <v>45</v>
      </c>
      <c r="D360">
        <v>132</v>
      </c>
      <c r="E360" t="s">
        <v>1504</v>
      </c>
      <c r="F360" s="4">
        <v>42088</v>
      </c>
      <c r="G360" s="4" t="s">
        <v>192</v>
      </c>
      <c r="H360" s="4" t="s">
        <v>1512</v>
      </c>
      <c r="I360" s="4">
        <v>0</v>
      </c>
      <c r="J360" s="4"/>
      <c r="K360" s="4"/>
      <c r="L360" s="4"/>
      <c r="M360" s="4"/>
      <c r="N360" s="4"/>
      <c r="O360" s="4">
        <v>0</v>
      </c>
      <c r="P360" s="4">
        <v>42089.339942129627</v>
      </c>
      <c r="Q360" s="4"/>
      <c r="R360" s="4"/>
      <c r="S360" s="79">
        <f>DbLinkTable[[#This Row],[Credit]]+DbLinkTable[[#This Row],[Charge]]</f>
        <v>0</v>
      </c>
      <c r="T360" s="79">
        <f>IF(DbLinkTable[[#This Row],[Price/lb]]*DbLinkTable[[#This Row],[Weight]]&gt;0,DbLinkTable[[#This Row],[Price/lb]]*DbLinkTable[[#This Row],[Weight]],0)</f>
        <v>0</v>
      </c>
      <c r="U360" s="79">
        <f>IF(DbLinkTable[[#This Row],[Price/lb]]*DbLinkTable[[#This Row],[Weight]]&lt;0,DbLinkTable[[#This Row],[Price/lb]]*DbLinkTable[[#This Row],[Weight]],0)</f>
        <v>0</v>
      </c>
      <c r="V360" s="4" t="str">
        <f>IF(COUNTIF($W$2:W360,W360)=1,1,"")</f>
        <v/>
      </c>
      <c r="W360" s="4" t="str">
        <f>CONCATENATE(DbLinkTable[[#This Row],[Customer]],UPPER(DbLinkTable[[#This Row],[Trailer Number]]),DbLinkTable[[#This Row],[Day Received]])</f>
        <v>Company1434342088</v>
      </c>
      <c r="X360" s="4">
        <f>DATEVALUE(TEXT(DbLinkTable[[#This Row],[Date Received]],"MMMM YYYY"))</f>
        <v>42064</v>
      </c>
      <c r="Y360" s="4">
        <f>INT(DbLinkTable[[#This Row],[Date Received]])</f>
        <v>42088</v>
      </c>
    </row>
    <row r="361" spans="1:25">
      <c r="A361">
        <v>10678</v>
      </c>
      <c r="B361" t="s">
        <v>47</v>
      </c>
      <c r="C361" t="s">
        <v>1548</v>
      </c>
      <c r="D361">
        <v>337</v>
      </c>
      <c r="E361" t="s">
        <v>1504</v>
      </c>
      <c r="F361" s="4">
        <v>42088</v>
      </c>
      <c r="G361" s="4" t="s">
        <v>192</v>
      </c>
      <c r="H361" s="4" t="s">
        <v>1512</v>
      </c>
      <c r="I361" s="4">
        <v>0</v>
      </c>
      <c r="J361" s="4"/>
      <c r="K361" s="4"/>
      <c r="L361" s="4"/>
      <c r="M361" s="4"/>
      <c r="N361" s="4"/>
      <c r="O361" s="4">
        <v>0</v>
      </c>
      <c r="P361" s="4">
        <v>42089.34207175926</v>
      </c>
      <c r="Q361" s="4"/>
      <c r="R361" s="4"/>
      <c r="S361" s="79">
        <f>DbLinkTable[[#This Row],[Credit]]+DbLinkTable[[#This Row],[Charge]]</f>
        <v>0</v>
      </c>
      <c r="T361" s="79">
        <f>IF(DbLinkTable[[#This Row],[Price/lb]]*DbLinkTable[[#This Row],[Weight]]&gt;0,DbLinkTable[[#This Row],[Price/lb]]*DbLinkTable[[#This Row],[Weight]],0)</f>
        <v>0</v>
      </c>
      <c r="U361" s="79">
        <f>IF(DbLinkTable[[#This Row],[Price/lb]]*DbLinkTable[[#This Row],[Weight]]&lt;0,DbLinkTable[[#This Row],[Price/lb]]*DbLinkTable[[#This Row],[Weight]],0)</f>
        <v>0</v>
      </c>
      <c r="V361" s="4" t="str">
        <f>IF(COUNTIF($W$2:W361,W361)=1,1,"")</f>
        <v/>
      </c>
      <c r="W361" s="4" t="str">
        <f>CONCATENATE(DbLinkTable[[#This Row],[Customer]],UPPER(DbLinkTable[[#This Row],[Trailer Number]]),DbLinkTable[[#This Row],[Day Received]])</f>
        <v>Company1434342088</v>
      </c>
      <c r="X361" s="4">
        <f>DATEVALUE(TEXT(DbLinkTable[[#This Row],[Date Received]],"MMMM YYYY"))</f>
        <v>42064</v>
      </c>
      <c r="Y361" s="4">
        <f>INT(DbLinkTable[[#This Row],[Date Received]])</f>
        <v>42088</v>
      </c>
    </row>
    <row r="362" spans="1:25">
      <c r="A362">
        <v>10679</v>
      </c>
      <c r="B362" t="s">
        <v>44</v>
      </c>
      <c r="D362">
        <v>1282</v>
      </c>
      <c r="E362" t="s">
        <v>1504</v>
      </c>
      <c r="F362" s="4">
        <v>42088</v>
      </c>
      <c r="G362" s="4" t="s">
        <v>192</v>
      </c>
      <c r="H362" s="4" t="s">
        <v>1512</v>
      </c>
      <c r="I362" s="4">
        <v>0</v>
      </c>
      <c r="J362" s="4"/>
      <c r="K362" s="4"/>
      <c r="L362" s="4"/>
      <c r="M362" s="4"/>
      <c r="N362" s="4"/>
      <c r="O362" s="4">
        <v>0</v>
      </c>
      <c r="P362" s="4">
        <v>42089.343935185185</v>
      </c>
      <c r="Q362" s="4"/>
      <c r="R362" s="4"/>
      <c r="S362" s="79">
        <f>DbLinkTable[[#This Row],[Credit]]+DbLinkTable[[#This Row],[Charge]]</f>
        <v>0</v>
      </c>
      <c r="T362" s="79">
        <f>IF(DbLinkTable[[#This Row],[Price/lb]]*DbLinkTable[[#This Row],[Weight]]&gt;0,DbLinkTable[[#This Row],[Price/lb]]*DbLinkTable[[#This Row],[Weight]],0)</f>
        <v>0</v>
      </c>
      <c r="U362" s="79">
        <f>IF(DbLinkTable[[#This Row],[Price/lb]]*DbLinkTable[[#This Row],[Weight]]&lt;0,DbLinkTable[[#This Row],[Price/lb]]*DbLinkTable[[#This Row],[Weight]],0)</f>
        <v>0</v>
      </c>
      <c r="V362" s="4" t="str">
        <f>IF(COUNTIF($W$2:W362,W362)=1,1,"")</f>
        <v/>
      </c>
      <c r="W362" s="4" t="str">
        <f>CONCATENATE(DbLinkTable[[#This Row],[Customer]],UPPER(DbLinkTable[[#This Row],[Trailer Number]]),DbLinkTable[[#This Row],[Day Received]])</f>
        <v>Company1434342088</v>
      </c>
      <c r="X362" s="4">
        <f>DATEVALUE(TEXT(DbLinkTable[[#This Row],[Date Received]],"MMMM YYYY"))</f>
        <v>42064</v>
      </c>
      <c r="Y362" s="4">
        <f>INT(DbLinkTable[[#This Row],[Date Received]])</f>
        <v>42088</v>
      </c>
    </row>
    <row r="363" spans="1:25">
      <c r="A363">
        <v>10680</v>
      </c>
      <c r="B363" t="s">
        <v>47</v>
      </c>
      <c r="C363" t="s">
        <v>1548</v>
      </c>
      <c r="D363">
        <v>203</v>
      </c>
      <c r="E363" t="s">
        <v>1504</v>
      </c>
      <c r="F363" s="4">
        <v>42088</v>
      </c>
      <c r="G363" s="4" t="s">
        <v>192</v>
      </c>
      <c r="H363" s="4" t="s">
        <v>1512</v>
      </c>
      <c r="I363" s="4">
        <v>0</v>
      </c>
      <c r="J363" s="4"/>
      <c r="K363" s="4"/>
      <c r="L363" s="4"/>
      <c r="M363" s="4"/>
      <c r="N363" s="4"/>
      <c r="O363" s="4">
        <v>0</v>
      </c>
      <c r="P363" s="4">
        <v>42089.346921296295</v>
      </c>
      <c r="Q363" s="4"/>
      <c r="R363" s="4"/>
      <c r="S363" s="79">
        <f>DbLinkTable[[#This Row],[Credit]]+DbLinkTable[[#This Row],[Charge]]</f>
        <v>0</v>
      </c>
      <c r="T363" s="79">
        <f>IF(DbLinkTable[[#This Row],[Price/lb]]*DbLinkTable[[#This Row],[Weight]]&gt;0,DbLinkTable[[#This Row],[Price/lb]]*DbLinkTable[[#This Row],[Weight]],0)</f>
        <v>0</v>
      </c>
      <c r="U363" s="79">
        <f>IF(DbLinkTable[[#This Row],[Price/lb]]*DbLinkTable[[#This Row],[Weight]]&lt;0,DbLinkTable[[#This Row],[Price/lb]]*DbLinkTable[[#This Row],[Weight]],0)</f>
        <v>0</v>
      </c>
      <c r="V363" s="4" t="str">
        <f>IF(COUNTIF($W$2:W363,W363)=1,1,"")</f>
        <v/>
      </c>
      <c r="W363" s="4" t="str">
        <f>CONCATENATE(DbLinkTable[[#This Row],[Customer]],UPPER(DbLinkTable[[#This Row],[Trailer Number]]),DbLinkTable[[#This Row],[Day Received]])</f>
        <v>Company1434342088</v>
      </c>
      <c r="X363" s="4">
        <f>DATEVALUE(TEXT(DbLinkTable[[#This Row],[Date Received]],"MMMM YYYY"))</f>
        <v>42064</v>
      </c>
      <c r="Y363" s="4">
        <f>INT(DbLinkTable[[#This Row],[Date Received]])</f>
        <v>42088</v>
      </c>
    </row>
    <row r="364" spans="1:25">
      <c r="A364">
        <v>10681</v>
      </c>
      <c r="B364" t="s">
        <v>47</v>
      </c>
      <c r="C364" t="s">
        <v>1548</v>
      </c>
      <c r="D364">
        <v>355</v>
      </c>
      <c r="E364" t="s">
        <v>1504</v>
      </c>
      <c r="F364" s="4">
        <v>42088</v>
      </c>
      <c r="G364" s="4" t="s">
        <v>192</v>
      </c>
      <c r="H364" s="4" t="s">
        <v>1512</v>
      </c>
      <c r="I364" s="4">
        <v>0</v>
      </c>
      <c r="J364" s="4"/>
      <c r="K364" s="4"/>
      <c r="L364" s="4"/>
      <c r="M364" s="4"/>
      <c r="N364" s="4"/>
      <c r="O364" s="4">
        <v>0</v>
      </c>
      <c r="P364" s="4">
        <v>42089.354270833333</v>
      </c>
      <c r="Q364" s="4"/>
      <c r="R364" s="4"/>
      <c r="S364" s="79">
        <f>DbLinkTable[[#This Row],[Credit]]+DbLinkTable[[#This Row],[Charge]]</f>
        <v>0</v>
      </c>
      <c r="T364" s="79">
        <f>IF(DbLinkTable[[#This Row],[Price/lb]]*DbLinkTable[[#This Row],[Weight]]&gt;0,DbLinkTable[[#This Row],[Price/lb]]*DbLinkTable[[#This Row],[Weight]],0)</f>
        <v>0</v>
      </c>
      <c r="U364" s="79">
        <f>IF(DbLinkTable[[#This Row],[Price/lb]]*DbLinkTable[[#This Row],[Weight]]&lt;0,DbLinkTable[[#This Row],[Price/lb]]*DbLinkTable[[#This Row],[Weight]],0)</f>
        <v>0</v>
      </c>
      <c r="V364" s="4" t="str">
        <f>IF(COUNTIF($W$2:W364,W364)=1,1,"")</f>
        <v/>
      </c>
      <c r="W364" s="4" t="str">
        <f>CONCATENATE(DbLinkTable[[#This Row],[Customer]],UPPER(DbLinkTable[[#This Row],[Trailer Number]]),DbLinkTable[[#This Row],[Day Received]])</f>
        <v>Company1434342088</v>
      </c>
      <c r="X364" s="4">
        <f>DATEVALUE(TEXT(DbLinkTable[[#This Row],[Date Received]],"MMMM YYYY"))</f>
        <v>42064</v>
      </c>
      <c r="Y364" s="4">
        <f>INT(DbLinkTable[[#This Row],[Date Received]])</f>
        <v>42088</v>
      </c>
    </row>
    <row r="365" spans="1:25">
      <c r="A365">
        <v>10682</v>
      </c>
      <c r="B365" t="s">
        <v>47</v>
      </c>
      <c r="C365" t="s">
        <v>1548</v>
      </c>
      <c r="D365">
        <v>338</v>
      </c>
      <c r="E365" t="s">
        <v>1504</v>
      </c>
      <c r="F365" s="4">
        <v>42088</v>
      </c>
      <c r="G365" s="4" t="s">
        <v>192</v>
      </c>
      <c r="H365" s="4" t="s">
        <v>1512</v>
      </c>
      <c r="I365" s="4">
        <v>0</v>
      </c>
      <c r="J365" s="4"/>
      <c r="K365" s="4"/>
      <c r="L365" s="4"/>
      <c r="M365" s="4"/>
      <c r="N365" s="4"/>
      <c r="O365" s="4">
        <v>0</v>
      </c>
      <c r="P365" s="4">
        <v>42089.356064814812</v>
      </c>
      <c r="Q365" s="4"/>
      <c r="R365" s="4"/>
      <c r="S365" s="79">
        <f>DbLinkTable[[#This Row],[Credit]]+DbLinkTable[[#This Row],[Charge]]</f>
        <v>0</v>
      </c>
      <c r="T365" s="79">
        <f>IF(DbLinkTable[[#This Row],[Price/lb]]*DbLinkTable[[#This Row],[Weight]]&gt;0,DbLinkTable[[#This Row],[Price/lb]]*DbLinkTable[[#This Row],[Weight]],0)</f>
        <v>0</v>
      </c>
      <c r="U365" s="79">
        <f>IF(DbLinkTable[[#This Row],[Price/lb]]*DbLinkTable[[#This Row],[Weight]]&lt;0,DbLinkTable[[#This Row],[Price/lb]]*DbLinkTable[[#This Row],[Weight]],0)</f>
        <v>0</v>
      </c>
      <c r="V365" s="4" t="str">
        <f>IF(COUNTIF($W$2:W365,W365)=1,1,"")</f>
        <v/>
      </c>
      <c r="W365" s="4" t="str">
        <f>CONCATENATE(DbLinkTable[[#This Row],[Customer]],UPPER(DbLinkTable[[#This Row],[Trailer Number]]),DbLinkTable[[#This Row],[Day Received]])</f>
        <v>Company1434342088</v>
      </c>
      <c r="X365" s="4">
        <f>DATEVALUE(TEXT(DbLinkTable[[#This Row],[Date Received]],"MMMM YYYY"))</f>
        <v>42064</v>
      </c>
      <c r="Y365" s="4">
        <f>INT(DbLinkTable[[#This Row],[Date Received]])</f>
        <v>42088</v>
      </c>
    </row>
    <row r="366" spans="1:25">
      <c r="A366">
        <v>10683</v>
      </c>
      <c r="B366" t="s">
        <v>44</v>
      </c>
      <c r="D366">
        <v>1107</v>
      </c>
      <c r="E366" t="s">
        <v>1504</v>
      </c>
      <c r="F366" s="4">
        <v>42088</v>
      </c>
      <c r="G366" s="4" t="s">
        <v>192</v>
      </c>
      <c r="H366" s="4" t="s">
        <v>1512</v>
      </c>
      <c r="I366" s="4">
        <v>0</v>
      </c>
      <c r="J366" s="4"/>
      <c r="K366" s="4"/>
      <c r="L366" s="4"/>
      <c r="M366" s="4"/>
      <c r="N366" s="4"/>
      <c r="O366" s="4">
        <v>0</v>
      </c>
      <c r="P366" s="4">
        <v>42089.357870370368</v>
      </c>
      <c r="Q366" s="4"/>
      <c r="R366" s="4"/>
      <c r="S366" s="79">
        <f>DbLinkTable[[#This Row],[Credit]]+DbLinkTable[[#This Row],[Charge]]</f>
        <v>0</v>
      </c>
      <c r="T366" s="79">
        <f>IF(DbLinkTable[[#This Row],[Price/lb]]*DbLinkTable[[#This Row],[Weight]]&gt;0,DbLinkTable[[#This Row],[Price/lb]]*DbLinkTable[[#This Row],[Weight]],0)</f>
        <v>0</v>
      </c>
      <c r="U366" s="79">
        <f>IF(DbLinkTable[[#This Row],[Price/lb]]*DbLinkTable[[#This Row],[Weight]]&lt;0,DbLinkTable[[#This Row],[Price/lb]]*DbLinkTable[[#This Row],[Weight]],0)</f>
        <v>0</v>
      </c>
      <c r="V366" s="4" t="str">
        <f>IF(COUNTIF($W$2:W366,W366)=1,1,"")</f>
        <v/>
      </c>
      <c r="W366" s="4" t="str">
        <f>CONCATENATE(DbLinkTable[[#This Row],[Customer]],UPPER(DbLinkTable[[#This Row],[Trailer Number]]),DbLinkTable[[#This Row],[Day Received]])</f>
        <v>Company1434342088</v>
      </c>
      <c r="X366" s="4">
        <f>DATEVALUE(TEXT(DbLinkTable[[#This Row],[Date Received]],"MMMM YYYY"))</f>
        <v>42064</v>
      </c>
      <c r="Y366" s="4">
        <f>INT(DbLinkTable[[#This Row],[Date Received]])</f>
        <v>42088</v>
      </c>
    </row>
    <row r="367" spans="1:25">
      <c r="A367">
        <v>10684</v>
      </c>
      <c r="B367" t="s">
        <v>47</v>
      </c>
      <c r="C367" t="s">
        <v>1548</v>
      </c>
      <c r="D367">
        <v>214</v>
      </c>
      <c r="E367" t="s">
        <v>1504</v>
      </c>
      <c r="F367" s="4">
        <v>42088</v>
      </c>
      <c r="G367" s="4" t="s">
        <v>192</v>
      </c>
      <c r="H367" s="4" t="s">
        <v>1512</v>
      </c>
      <c r="I367" s="4">
        <v>0</v>
      </c>
      <c r="J367" s="4"/>
      <c r="K367" s="4"/>
      <c r="L367" s="4"/>
      <c r="M367" s="4"/>
      <c r="N367" s="4"/>
      <c r="O367" s="4">
        <v>0</v>
      </c>
      <c r="P367" s="4">
        <v>42089.35974537037</v>
      </c>
      <c r="Q367" s="4"/>
      <c r="R367" s="4"/>
      <c r="S367" s="79">
        <f>DbLinkTable[[#This Row],[Credit]]+DbLinkTable[[#This Row],[Charge]]</f>
        <v>0</v>
      </c>
      <c r="T367" s="79">
        <f>IF(DbLinkTable[[#This Row],[Price/lb]]*DbLinkTable[[#This Row],[Weight]]&gt;0,DbLinkTable[[#This Row],[Price/lb]]*DbLinkTable[[#This Row],[Weight]],0)</f>
        <v>0</v>
      </c>
      <c r="U367" s="79">
        <f>IF(DbLinkTable[[#This Row],[Price/lb]]*DbLinkTable[[#This Row],[Weight]]&lt;0,DbLinkTable[[#This Row],[Price/lb]]*DbLinkTable[[#This Row],[Weight]],0)</f>
        <v>0</v>
      </c>
      <c r="V367" s="4" t="str">
        <f>IF(COUNTIF($W$2:W367,W367)=1,1,"")</f>
        <v/>
      </c>
      <c r="W367" s="4" t="str">
        <f>CONCATENATE(DbLinkTable[[#This Row],[Customer]],UPPER(DbLinkTable[[#This Row],[Trailer Number]]),DbLinkTable[[#This Row],[Day Received]])</f>
        <v>Company1434342088</v>
      </c>
      <c r="X367" s="4">
        <f>DATEVALUE(TEXT(DbLinkTable[[#This Row],[Date Received]],"MMMM YYYY"))</f>
        <v>42064</v>
      </c>
      <c r="Y367" s="4">
        <f>INT(DbLinkTable[[#This Row],[Date Received]])</f>
        <v>42088</v>
      </c>
    </row>
    <row r="368" spans="1:25">
      <c r="A368">
        <v>10685</v>
      </c>
      <c r="B368" t="s">
        <v>47</v>
      </c>
      <c r="C368" t="s">
        <v>1548</v>
      </c>
      <c r="D368">
        <v>269</v>
      </c>
      <c r="E368" t="s">
        <v>1504</v>
      </c>
      <c r="F368" s="4">
        <v>42088</v>
      </c>
      <c r="G368" s="4" t="s">
        <v>192</v>
      </c>
      <c r="H368" s="4" t="s">
        <v>1512</v>
      </c>
      <c r="I368" s="4">
        <v>0</v>
      </c>
      <c r="J368" s="4"/>
      <c r="K368" s="4"/>
      <c r="L368" s="4"/>
      <c r="M368" s="4"/>
      <c r="N368" s="4"/>
      <c r="O368" s="4">
        <v>0</v>
      </c>
      <c r="P368" s="4">
        <v>42089.361574074072</v>
      </c>
      <c r="Q368" s="4"/>
      <c r="R368" s="4"/>
      <c r="S368" s="79">
        <f>DbLinkTable[[#This Row],[Credit]]+DbLinkTable[[#This Row],[Charge]]</f>
        <v>0</v>
      </c>
      <c r="T368" s="79">
        <f>IF(DbLinkTable[[#This Row],[Price/lb]]*DbLinkTable[[#This Row],[Weight]]&gt;0,DbLinkTable[[#This Row],[Price/lb]]*DbLinkTable[[#This Row],[Weight]],0)</f>
        <v>0</v>
      </c>
      <c r="U368" s="79">
        <f>IF(DbLinkTable[[#This Row],[Price/lb]]*DbLinkTable[[#This Row],[Weight]]&lt;0,DbLinkTable[[#This Row],[Price/lb]]*DbLinkTable[[#This Row],[Weight]],0)</f>
        <v>0</v>
      </c>
      <c r="V368" s="4" t="str">
        <f>IF(COUNTIF($W$2:W368,W368)=1,1,"")</f>
        <v/>
      </c>
      <c r="W368" s="4" t="str">
        <f>CONCATENATE(DbLinkTable[[#This Row],[Customer]],UPPER(DbLinkTable[[#This Row],[Trailer Number]]),DbLinkTable[[#This Row],[Day Received]])</f>
        <v>Company1434342088</v>
      </c>
      <c r="X368" s="4">
        <f>DATEVALUE(TEXT(DbLinkTable[[#This Row],[Date Received]],"MMMM YYYY"))</f>
        <v>42064</v>
      </c>
      <c r="Y368" s="4">
        <f>INT(DbLinkTable[[#This Row],[Date Received]])</f>
        <v>42088</v>
      </c>
    </row>
    <row r="369" spans="1:25">
      <c r="A369">
        <v>10686</v>
      </c>
      <c r="B369" t="s">
        <v>47</v>
      </c>
      <c r="C369" t="s">
        <v>1548</v>
      </c>
      <c r="D369">
        <v>226</v>
      </c>
      <c r="E369" t="s">
        <v>1504</v>
      </c>
      <c r="F369" s="4">
        <v>42088</v>
      </c>
      <c r="G369" s="4" t="s">
        <v>192</v>
      </c>
      <c r="H369" s="4" t="s">
        <v>1512</v>
      </c>
      <c r="I369" s="4">
        <v>0</v>
      </c>
      <c r="J369" s="4"/>
      <c r="K369" s="4"/>
      <c r="L369" s="4"/>
      <c r="M369" s="4"/>
      <c r="N369" s="4"/>
      <c r="O369" s="4">
        <v>0</v>
      </c>
      <c r="P369" s="4">
        <v>42089.364895833336</v>
      </c>
      <c r="Q369" s="4"/>
      <c r="R369" s="4"/>
      <c r="S369" s="79">
        <f>DbLinkTable[[#This Row],[Credit]]+DbLinkTable[[#This Row],[Charge]]</f>
        <v>0</v>
      </c>
      <c r="T369" s="79">
        <f>IF(DbLinkTable[[#This Row],[Price/lb]]*DbLinkTable[[#This Row],[Weight]]&gt;0,DbLinkTable[[#This Row],[Price/lb]]*DbLinkTable[[#This Row],[Weight]],0)</f>
        <v>0</v>
      </c>
      <c r="U369" s="79">
        <f>IF(DbLinkTable[[#This Row],[Price/lb]]*DbLinkTable[[#This Row],[Weight]]&lt;0,DbLinkTable[[#This Row],[Price/lb]]*DbLinkTable[[#This Row],[Weight]],0)</f>
        <v>0</v>
      </c>
      <c r="V369" s="4" t="str">
        <f>IF(COUNTIF($W$2:W369,W369)=1,1,"")</f>
        <v/>
      </c>
      <c r="W369" s="4" t="str">
        <f>CONCATENATE(DbLinkTable[[#This Row],[Customer]],UPPER(DbLinkTable[[#This Row],[Trailer Number]]),DbLinkTable[[#This Row],[Day Received]])</f>
        <v>Company1434342088</v>
      </c>
      <c r="X369" s="4">
        <f>DATEVALUE(TEXT(DbLinkTable[[#This Row],[Date Received]],"MMMM YYYY"))</f>
        <v>42064</v>
      </c>
      <c r="Y369" s="4">
        <f>INT(DbLinkTable[[#This Row],[Date Received]])</f>
        <v>42088</v>
      </c>
    </row>
    <row r="370" spans="1:25">
      <c r="A370">
        <v>10687</v>
      </c>
      <c r="B370" t="s">
        <v>44</v>
      </c>
      <c r="D370">
        <v>1495</v>
      </c>
      <c r="E370" t="s">
        <v>1504</v>
      </c>
      <c r="F370" s="4">
        <v>42088</v>
      </c>
      <c r="G370" s="4" t="s">
        <v>192</v>
      </c>
      <c r="H370" s="4" t="s">
        <v>1512</v>
      </c>
      <c r="I370" s="4">
        <v>0</v>
      </c>
      <c r="J370" s="4"/>
      <c r="K370" s="4"/>
      <c r="L370" s="4"/>
      <c r="M370" s="4"/>
      <c r="N370" s="4"/>
      <c r="O370" s="4">
        <v>0</v>
      </c>
      <c r="P370" s="4">
        <v>42089.367037037038</v>
      </c>
      <c r="Q370" s="4"/>
      <c r="R370" s="4"/>
      <c r="S370" s="79">
        <f>DbLinkTable[[#This Row],[Credit]]+DbLinkTable[[#This Row],[Charge]]</f>
        <v>0</v>
      </c>
      <c r="T370" s="79">
        <f>IF(DbLinkTable[[#This Row],[Price/lb]]*DbLinkTable[[#This Row],[Weight]]&gt;0,DbLinkTable[[#This Row],[Price/lb]]*DbLinkTable[[#This Row],[Weight]],0)</f>
        <v>0</v>
      </c>
      <c r="U370" s="79">
        <f>IF(DbLinkTable[[#This Row],[Price/lb]]*DbLinkTable[[#This Row],[Weight]]&lt;0,DbLinkTable[[#This Row],[Price/lb]]*DbLinkTable[[#This Row],[Weight]],0)</f>
        <v>0</v>
      </c>
      <c r="V370" s="4" t="str">
        <f>IF(COUNTIF($W$2:W370,W370)=1,1,"")</f>
        <v/>
      </c>
      <c r="W370" s="4" t="str">
        <f>CONCATENATE(DbLinkTable[[#This Row],[Customer]],UPPER(DbLinkTable[[#This Row],[Trailer Number]]),DbLinkTable[[#This Row],[Day Received]])</f>
        <v>Company1434342088</v>
      </c>
      <c r="X370" s="4">
        <f>DATEVALUE(TEXT(DbLinkTable[[#This Row],[Date Received]],"MMMM YYYY"))</f>
        <v>42064</v>
      </c>
      <c r="Y370" s="4">
        <f>INT(DbLinkTable[[#This Row],[Date Received]])</f>
        <v>42088</v>
      </c>
    </row>
    <row r="371" spans="1:25">
      <c r="A371">
        <v>10688</v>
      </c>
      <c r="B371" t="s">
        <v>47</v>
      </c>
      <c r="C371" t="s">
        <v>1548</v>
      </c>
      <c r="D371">
        <v>462</v>
      </c>
      <c r="E371" t="s">
        <v>1504</v>
      </c>
      <c r="F371" s="4">
        <v>42088</v>
      </c>
      <c r="G371" s="4" t="s">
        <v>192</v>
      </c>
      <c r="H371" s="4" t="s">
        <v>1512</v>
      </c>
      <c r="I371" s="4">
        <v>0</v>
      </c>
      <c r="J371" s="4"/>
      <c r="K371" s="4"/>
      <c r="L371" s="4"/>
      <c r="M371" s="4"/>
      <c r="N371" s="4"/>
      <c r="O371" s="4">
        <v>0</v>
      </c>
      <c r="P371" s="4">
        <v>42089.36986111111</v>
      </c>
      <c r="Q371" s="4"/>
      <c r="R371" s="4"/>
      <c r="S371" s="79">
        <f>DbLinkTable[[#This Row],[Credit]]+DbLinkTable[[#This Row],[Charge]]</f>
        <v>0</v>
      </c>
      <c r="T371" s="79">
        <f>IF(DbLinkTable[[#This Row],[Price/lb]]*DbLinkTable[[#This Row],[Weight]]&gt;0,DbLinkTable[[#This Row],[Price/lb]]*DbLinkTable[[#This Row],[Weight]],0)</f>
        <v>0</v>
      </c>
      <c r="U371" s="79">
        <f>IF(DbLinkTable[[#This Row],[Price/lb]]*DbLinkTable[[#This Row],[Weight]]&lt;0,DbLinkTable[[#This Row],[Price/lb]]*DbLinkTable[[#This Row],[Weight]],0)</f>
        <v>0</v>
      </c>
      <c r="V371" s="4" t="str">
        <f>IF(COUNTIF($W$2:W371,W371)=1,1,"")</f>
        <v/>
      </c>
      <c r="W371" s="4" t="str">
        <f>CONCATENATE(DbLinkTable[[#This Row],[Customer]],UPPER(DbLinkTable[[#This Row],[Trailer Number]]),DbLinkTable[[#This Row],[Day Received]])</f>
        <v>Company1434342088</v>
      </c>
      <c r="X371" s="4">
        <f>DATEVALUE(TEXT(DbLinkTable[[#This Row],[Date Received]],"MMMM YYYY"))</f>
        <v>42064</v>
      </c>
      <c r="Y371" s="4">
        <f>INT(DbLinkTable[[#This Row],[Date Received]])</f>
        <v>42088</v>
      </c>
    </row>
    <row r="372" spans="1:25">
      <c r="A372">
        <v>10689</v>
      </c>
      <c r="B372" t="s">
        <v>44</v>
      </c>
      <c r="D372">
        <v>1335</v>
      </c>
      <c r="E372" t="s">
        <v>1504</v>
      </c>
      <c r="F372" s="4">
        <v>42088</v>
      </c>
      <c r="G372" s="4" t="s">
        <v>192</v>
      </c>
      <c r="H372" s="4" t="s">
        <v>1512</v>
      </c>
      <c r="I372" s="4">
        <v>0</v>
      </c>
      <c r="J372" s="4"/>
      <c r="K372" s="4"/>
      <c r="L372" s="4"/>
      <c r="M372" s="4"/>
      <c r="N372" s="4"/>
      <c r="O372" s="4">
        <v>0</v>
      </c>
      <c r="P372" s="4">
        <v>42089.371412037035</v>
      </c>
      <c r="Q372" s="4"/>
      <c r="R372" s="4"/>
      <c r="S372" s="79">
        <f>DbLinkTable[[#This Row],[Credit]]+DbLinkTable[[#This Row],[Charge]]</f>
        <v>0</v>
      </c>
      <c r="T372" s="79">
        <f>IF(DbLinkTable[[#This Row],[Price/lb]]*DbLinkTable[[#This Row],[Weight]]&gt;0,DbLinkTable[[#This Row],[Price/lb]]*DbLinkTable[[#This Row],[Weight]],0)</f>
        <v>0</v>
      </c>
      <c r="U372" s="79">
        <f>IF(DbLinkTable[[#This Row],[Price/lb]]*DbLinkTable[[#This Row],[Weight]]&lt;0,DbLinkTable[[#This Row],[Price/lb]]*DbLinkTable[[#This Row],[Weight]],0)</f>
        <v>0</v>
      </c>
      <c r="V372" s="4" t="str">
        <f>IF(COUNTIF($W$2:W372,W372)=1,1,"")</f>
        <v/>
      </c>
      <c r="W372" s="4" t="str">
        <f>CONCATENATE(DbLinkTable[[#This Row],[Customer]],UPPER(DbLinkTable[[#This Row],[Trailer Number]]),DbLinkTable[[#This Row],[Day Received]])</f>
        <v>Company1434342088</v>
      </c>
      <c r="X372" s="4">
        <f>DATEVALUE(TEXT(DbLinkTable[[#This Row],[Date Received]],"MMMM YYYY"))</f>
        <v>42064</v>
      </c>
      <c r="Y372" s="4">
        <f>INT(DbLinkTable[[#This Row],[Date Received]])</f>
        <v>42088</v>
      </c>
    </row>
    <row r="373" spans="1:25">
      <c r="A373">
        <v>10690</v>
      </c>
      <c r="B373" t="s">
        <v>44</v>
      </c>
      <c r="D373">
        <v>1567</v>
      </c>
      <c r="E373" t="s">
        <v>1504</v>
      </c>
      <c r="F373" s="4">
        <v>42088</v>
      </c>
      <c r="G373" s="4" t="s">
        <v>192</v>
      </c>
      <c r="H373" s="4" t="s">
        <v>1512</v>
      </c>
      <c r="I373" s="4">
        <v>0</v>
      </c>
      <c r="J373" s="4"/>
      <c r="K373" s="4"/>
      <c r="L373" s="4"/>
      <c r="M373" s="4"/>
      <c r="N373" s="4"/>
      <c r="O373" s="4">
        <v>0</v>
      </c>
      <c r="P373" s="4">
        <v>42089.372708333336</v>
      </c>
      <c r="Q373" s="4"/>
      <c r="R373" s="4"/>
      <c r="S373" s="79">
        <f>DbLinkTable[[#This Row],[Credit]]+DbLinkTable[[#This Row],[Charge]]</f>
        <v>0</v>
      </c>
      <c r="T373" s="79">
        <f>IF(DbLinkTable[[#This Row],[Price/lb]]*DbLinkTable[[#This Row],[Weight]]&gt;0,DbLinkTable[[#This Row],[Price/lb]]*DbLinkTable[[#This Row],[Weight]],0)</f>
        <v>0</v>
      </c>
      <c r="U373" s="79">
        <f>IF(DbLinkTable[[#This Row],[Price/lb]]*DbLinkTable[[#This Row],[Weight]]&lt;0,DbLinkTable[[#This Row],[Price/lb]]*DbLinkTable[[#This Row],[Weight]],0)</f>
        <v>0</v>
      </c>
      <c r="V373" s="4" t="str">
        <f>IF(COUNTIF($W$2:W373,W373)=1,1,"")</f>
        <v/>
      </c>
      <c r="W373" s="4" t="str">
        <f>CONCATENATE(DbLinkTable[[#This Row],[Customer]],UPPER(DbLinkTable[[#This Row],[Trailer Number]]),DbLinkTable[[#This Row],[Day Received]])</f>
        <v>Company1434342088</v>
      </c>
      <c r="X373" s="4">
        <f>DATEVALUE(TEXT(DbLinkTable[[#This Row],[Date Received]],"MMMM YYYY"))</f>
        <v>42064</v>
      </c>
      <c r="Y373" s="4">
        <f>INT(DbLinkTable[[#This Row],[Date Received]])</f>
        <v>42088</v>
      </c>
    </row>
    <row r="374" spans="1:25">
      <c r="A374">
        <v>10691</v>
      </c>
      <c r="B374" t="s">
        <v>47</v>
      </c>
      <c r="C374" t="s">
        <v>1548</v>
      </c>
      <c r="D374">
        <v>451</v>
      </c>
      <c r="E374" t="s">
        <v>1504</v>
      </c>
      <c r="F374" s="4">
        <v>42088</v>
      </c>
      <c r="G374" s="4" t="s">
        <v>192</v>
      </c>
      <c r="H374" s="4" t="s">
        <v>1512</v>
      </c>
      <c r="I374" s="4">
        <v>0</v>
      </c>
      <c r="J374" s="4"/>
      <c r="K374" s="4"/>
      <c r="L374" s="4"/>
      <c r="M374" s="4"/>
      <c r="N374" s="4"/>
      <c r="O374" s="4">
        <v>0</v>
      </c>
      <c r="P374" s="4">
        <v>42089.374525462961</v>
      </c>
      <c r="Q374" s="4"/>
      <c r="R374" s="4"/>
      <c r="S374" s="79">
        <f>DbLinkTable[[#This Row],[Credit]]+DbLinkTable[[#This Row],[Charge]]</f>
        <v>0</v>
      </c>
      <c r="T374" s="79">
        <f>IF(DbLinkTable[[#This Row],[Price/lb]]*DbLinkTable[[#This Row],[Weight]]&gt;0,DbLinkTable[[#This Row],[Price/lb]]*DbLinkTable[[#This Row],[Weight]],0)</f>
        <v>0</v>
      </c>
      <c r="U374" s="79">
        <f>IF(DbLinkTable[[#This Row],[Price/lb]]*DbLinkTable[[#This Row],[Weight]]&lt;0,DbLinkTable[[#This Row],[Price/lb]]*DbLinkTable[[#This Row],[Weight]],0)</f>
        <v>0</v>
      </c>
      <c r="V374" s="4" t="str">
        <f>IF(COUNTIF($W$2:W374,W374)=1,1,"")</f>
        <v/>
      </c>
      <c r="W374" s="4" t="str">
        <f>CONCATENATE(DbLinkTable[[#This Row],[Customer]],UPPER(DbLinkTable[[#This Row],[Trailer Number]]),DbLinkTable[[#This Row],[Day Received]])</f>
        <v>Company1434342088</v>
      </c>
      <c r="X374" s="4">
        <f>DATEVALUE(TEXT(DbLinkTable[[#This Row],[Date Received]],"MMMM YYYY"))</f>
        <v>42064</v>
      </c>
      <c r="Y374" s="4">
        <f>INT(DbLinkTable[[#This Row],[Date Received]])</f>
        <v>42088</v>
      </c>
    </row>
    <row r="375" spans="1:25">
      <c r="A375">
        <v>10692</v>
      </c>
      <c r="B375" t="s">
        <v>47</v>
      </c>
      <c r="C375" t="s">
        <v>1548</v>
      </c>
      <c r="D375">
        <v>460</v>
      </c>
      <c r="E375" t="s">
        <v>1504</v>
      </c>
      <c r="F375" s="4">
        <v>42088</v>
      </c>
      <c r="G375" s="4" t="s">
        <v>192</v>
      </c>
      <c r="H375" s="4" t="s">
        <v>1512</v>
      </c>
      <c r="I375" s="4">
        <v>0</v>
      </c>
      <c r="J375" s="4"/>
      <c r="K375" s="4"/>
      <c r="L375" s="4"/>
      <c r="M375" s="4"/>
      <c r="N375" s="4"/>
      <c r="O375" s="4">
        <v>0</v>
      </c>
      <c r="P375" s="4">
        <v>42089.376111111109</v>
      </c>
      <c r="Q375" s="4"/>
      <c r="R375" s="4"/>
      <c r="S375" s="79">
        <f>DbLinkTable[[#This Row],[Credit]]+DbLinkTable[[#This Row],[Charge]]</f>
        <v>0</v>
      </c>
      <c r="T375" s="79">
        <f>IF(DbLinkTable[[#This Row],[Price/lb]]*DbLinkTable[[#This Row],[Weight]]&gt;0,DbLinkTable[[#This Row],[Price/lb]]*DbLinkTable[[#This Row],[Weight]],0)</f>
        <v>0</v>
      </c>
      <c r="U375" s="79">
        <f>IF(DbLinkTable[[#This Row],[Price/lb]]*DbLinkTable[[#This Row],[Weight]]&lt;0,DbLinkTable[[#This Row],[Price/lb]]*DbLinkTable[[#This Row],[Weight]],0)</f>
        <v>0</v>
      </c>
      <c r="V375" s="4" t="str">
        <f>IF(COUNTIF($W$2:W375,W375)=1,1,"")</f>
        <v/>
      </c>
      <c r="W375" s="4" t="str">
        <f>CONCATENATE(DbLinkTable[[#This Row],[Customer]],UPPER(DbLinkTable[[#This Row],[Trailer Number]]),DbLinkTable[[#This Row],[Day Received]])</f>
        <v>Company1434342088</v>
      </c>
      <c r="X375" s="4">
        <f>DATEVALUE(TEXT(DbLinkTable[[#This Row],[Date Received]],"MMMM YYYY"))</f>
        <v>42064</v>
      </c>
      <c r="Y375" s="4">
        <f>INT(DbLinkTable[[#This Row],[Date Received]])</f>
        <v>42088</v>
      </c>
    </row>
    <row r="376" spans="1:25">
      <c r="A376">
        <v>10693</v>
      </c>
      <c r="B376" t="s">
        <v>47</v>
      </c>
      <c r="C376" t="s">
        <v>1548</v>
      </c>
      <c r="D376">
        <v>455</v>
      </c>
      <c r="E376" t="s">
        <v>1504</v>
      </c>
      <c r="F376" s="4">
        <v>42088</v>
      </c>
      <c r="G376" s="4" t="s">
        <v>192</v>
      </c>
      <c r="H376" s="4" t="s">
        <v>1512</v>
      </c>
      <c r="I376" s="4">
        <v>0</v>
      </c>
      <c r="J376" s="4"/>
      <c r="K376" s="4"/>
      <c r="L376" s="4"/>
      <c r="M376" s="4"/>
      <c r="N376" s="4"/>
      <c r="O376" s="4">
        <v>0</v>
      </c>
      <c r="P376" s="4">
        <v>42089.377847222226</v>
      </c>
      <c r="Q376" s="4"/>
      <c r="R376" s="4"/>
      <c r="S376" s="79">
        <f>DbLinkTable[[#This Row],[Credit]]+DbLinkTable[[#This Row],[Charge]]</f>
        <v>0</v>
      </c>
      <c r="T376" s="79">
        <f>IF(DbLinkTable[[#This Row],[Price/lb]]*DbLinkTable[[#This Row],[Weight]]&gt;0,DbLinkTable[[#This Row],[Price/lb]]*DbLinkTable[[#This Row],[Weight]],0)</f>
        <v>0</v>
      </c>
      <c r="U376" s="79">
        <f>IF(DbLinkTable[[#This Row],[Price/lb]]*DbLinkTable[[#This Row],[Weight]]&lt;0,DbLinkTable[[#This Row],[Price/lb]]*DbLinkTable[[#This Row],[Weight]],0)</f>
        <v>0</v>
      </c>
      <c r="V376" s="4" t="str">
        <f>IF(COUNTIF($W$2:W376,W376)=1,1,"")</f>
        <v/>
      </c>
      <c r="W376" s="4" t="str">
        <f>CONCATENATE(DbLinkTable[[#This Row],[Customer]],UPPER(DbLinkTable[[#This Row],[Trailer Number]]),DbLinkTable[[#This Row],[Day Received]])</f>
        <v>Company1434342088</v>
      </c>
      <c r="X376" s="4">
        <f>DATEVALUE(TEXT(DbLinkTable[[#This Row],[Date Received]],"MMMM YYYY"))</f>
        <v>42064</v>
      </c>
      <c r="Y376" s="4">
        <f>INT(DbLinkTable[[#This Row],[Date Received]])</f>
        <v>42088</v>
      </c>
    </row>
    <row r="377" spans="1:25">
      <c r="A377">
        <v>10806</v>
      </c>
      <c r="B377" t="s">
        <v>48</v>
      </c>
      <c r="D377">
        <v>257</v>
      </c>
      <c r="E377" t="s">
        <v>1504</v>
      </c>
      <c r="F377" s="4">
        <v>42093</v>
      </c>
      <c r="G377" s="4" t="s">
        <v>192</v>
      </c>
      <c r="H377" s="4" t="s">
        <v>1532</v>
      </c>
      <c r="I377" s="4">
        <v>0</v>
      </c>
      <c r="J377" s="4"/>
      <c r="K377" s="4"/>
      <c r="L377" s="4"/>
      <c r="M377" s="4"/>
      <c r="N377" s="4"/>
      <c r="O377" s="4">
        <v>0</v>
      </c>
      <c r="P377" s="4">
        <v>42096.374062499999</v>
      </c>
      <c r="Q377" s="4"/>
      <c r="R377" s="4"/>
      <c r="S377" s="79">
        <f>DbLinkTable[[#This Row],[Credit]]+DbLinkTable[[#This Row],[Charge]]</f>
        <v>0</v>
      </c>
      <c r="T377" s="79">
        <f>IF(DbLinkTable[[#This Row],[Price/lb]]*DbLinkTable[[#This Row],[Weight]]&gt;0,DbLinkTable[[#This Row],[Price/lb]]*DbLinkTable[[#This Row],[Weight]],0)</f>
        <v>0</v>
      </c>
      <c r="U377" s="79">
        <f>IF(DbLinkTable[[#This Row],[Price/lb]]*DbLinkTable[[#This Row],[Weight]]&lt;0,DbLinkTable[[#This Row],[Price/lb]]*DbLinkTable[[#This Row],[Weight]],0)</f>
        <v>0</v>
      </c>
      <c r="V377" s="4">
        <f>IF(COUNTIF($W$2:W377,W377)=1,1,"")</f>
        <v>1</v>
      </c>
      <c r="W377" s="4" t="str">
        <f>CONCATENATE(DbLinkTable[[#This Row],[Customer]],UPPER(DbLinkTable[[#This Row],[Trailer Number]]),DbLinkTable[[#This Row],[Day Received]])</f>
        <v>Company1434242093</v>
      </c>
      <c r="X377" s="4">
        <f>DATEVALUE(TEXT(DbLinkTable[[#This Row],[Date Received]],"MMMM YYYY"))</f>
        <v>42064</v>
      </c>
      <c r="Y377" s="4">
        <f>INT(DbLinkTable[[#This Row],[Date Received]])</f>
        <v>42093</v>
      </c>
    </row>
    <row r="378" spans="1:25">
      <c r="A378">
        <v>10807</v>
      </c>
      <c r="B378" t="s">
        <v>1518</v>
      </c>
      <c r="D378">
        <v>88</v>
      </c>
      <c r="E378" t="s">
        <v>1504</v>
      </c>
      <c r="F378" s="4">
        <v>42093</v>
      </c>
      <c r="G378" s="4" t="s">
        <v>192</v>
      </c>
      <c r="H378" s="4" t="s">
        <v>1532</v>
      </c>
      <c r="I378" s="4">
        <v>0</v>
      </c>
      <c r="J378" s="4"/>
      <c r="K378" s="4"/>
      <c r="L378" s="4"/>
      <c r="M378" s="4"/>
      <c r="N378" s="4"/>
      <c r="O378" s="4">
        <v>0</v>
      </c>
      <c r="P378" s="4">
        <v>42096.380127314813</v>
      </c>
      <c r="Q378" s="4"/>
      <c r="R378" s="4"/>
      <c r="S378" s="79">
        <f>DbLinkTable[[#This Row],[Credit]]+DbLinkTable[[#This Row],[Charge]]</f>
        <v>0</v>
      </c>
      <c r="T378" s="79">
        <f>IF(DbLinkTable[[#This Row],[Price/lb]]*DbLinkTable[[#This Row],[Weight]]&gt;0,DbLinkTable[[#This Row],[Price/lb]]*DbLinkTable[[#This Row],[Weight]],0)</f>
        <v>0</v>
      </c>
      <c r="U378" s="79">
        <f>IF(DbLinkTable[[#This Row],[Price/lb]]*DbLinkTable[[#This Row],[Weight]]&lt;0,DbLinkTable[[#This Row],[Price/lb]]*DbLinkTable[[#This Row],[Weight]],0)</f>
        <v>0</v>
      </c>
      <c r="V378" s="4" t="str">
        <f>IF(COUNTIF($W$2:W378,W378)=1,1,"")</f>
        <v/>
      </c>
      <c r="W378" s="4" t="str">
        <f>CONCATENATE(DbLinkTable[[#This Row],[Customer]],UPPER(DbLinkTable[[#This Row],[Trailer Number]]),DbLinkTable[[#This Row],[Day Received]])</f>
        <v>Company1434242093</v>
      </c>
      <c r="X378" s="4">
        <f>DATEVALUE(TEXT(DbLinkTable[[#This Row],[Date Received]],"MMMM YYYY"))</f>
        <v>42064</v>
      </c>
      <c r="Y378" s="4">
        <f>INT(DbLinkTable[[#This Row],[Date Received]])</f>
        <v>42093</v>
      </c>
    </row>
    <row r="379" spans="1:25">
      <c r="A379">
        <v>10808</v>
      </c>
      <c r="B379" t="s">
        <v>45</v>
      </c>
      <c r="D379">
        <v>58</v>
      </c>
      <c r="E379" t="s">
        <v>1504</v>
      </c>
      <c r="F379" s="4">
        <v>42093</v>
      </c>
      <c r="G379" s="4" t="s">
        <v>192</v>
      </c>
      <c r="H379" s="4" t="s">
        <v>1532</v>
      </c>
      <c r="I379" s="4">
        <v>0</v>
      </c>
      <c r="J379" s="4"/>
      <c r="K379" s="4"/>
      <c r="L379" s="4"/>
      <c r="M379" s="4"/>
      <c r="N379" s="4"/>
      <c r="O379" s="4">
        <v>0</v>
      </c>
      <c r="P379" s="4">
        <v>42096.381643518522</v>
      </c>
      <c r="Q379" s="4"/>
      <c r="R379" s="4"/>
      <c r="S379" s="79">
        <f>DbLinkTable[[#This Row],[Credit]]+DbLinkTable[[#This Row],[Charge]]</f>
        <v>0</v>
      </c>
      <c r="T379" s="79">
        <f>IF(DbLinkTable[[#This Row],[Price/lb]]*DbLinkTable[[#This Row],[Weight]]&gt;0,DbLinkTable[[#This Row],[Price/lb]]*DbLinkTable[[#This Row],[Weight]],0)</f>
        <v>0</v>
      </c>
      <c r="U379" s="79">
        <f>IF(DbLinkTable[[#This Row],[Price/lb]]*DbLinkTable[[#This Row],[Weight]]&lt;0,DbLinkTable[[#This Row],[Price/lb]]*DbLinkTable[[#This Row],[Weight]],0)</f>
        <v>0</v>
      </c>
      <c r="V379" s="4" t="str">
        <f>IF(COUNTIF($W$2:W379,W379)=1,1,"")</f>
        <v/>
      </c>
      <c r="W379" s="4" t="str">
        <f>CONCATENATE(DbLinkTable[[#This Row],[Customer]],UPPER(DbLinkTable[[#This Row],[Trailer Number]]),DbLinkTable[[#This Row],[Day Received]])</f>
        <v>Company1434242093</v>
      </c>
      <c r="X379" s="4">
        <f>DATEVALUE(TEXT(DbLinkTable[[#This Row],[Date Received]],"MMMM YYYY"))</f>
        <v>42064</v>
      </c>
      <c r="Y379" s="4">
        <f>INT(DbLinkTable[[#This Row],[Date Received]])</f>
        <v>42093</v>
      </c>
    </row>
    <row r="380" spans="1:25">
      <c r="A380">
        <v>10809</v>
      </c>
      <c r="B380" t="s">
        <v>47</v>
      </c>
      <c r="C380" t="s">
        <v>1549</v>
      </c>
      <c r="D380">
        <v>518</v>
      </c>
      <c r="E380" t="s">
        <v>1504</v>
      </c>
      <c r="F380" s="4">
        <v>42093</v>
      </c>
      <c r="G380" s="4" t="s">
        <v>192</v>
      </c>
      <c r="H380" s="4" t="s">
        <v>1532</v>
      </c>
      <c r="I380" s="4">
        <v>0</v>
      </c>
      <c r="J380" s="4"/>
      <c r="K380" s="4"/>
      <c r="L380" s="4"/>
      <c r="M380" s="4"/>
      <c r="N380" s="4"/>
      <c r="O380" s="4">
        <v>0</v>
      </c>
      <c r="P380" s="4">
        <v>42096.383333333331</v>
      </c>
      <c r="Q380" s="4"/>
      <c r="R380" s="4"/>
      <c r="S380" s="79">
        <f>DbLinkTable[[#This Row],[Credit]]+DbLinkTable[[#This Row],[Charge]]</f>
        <v>0</v>
      </c>
      <c r="T380" s="79">
        <f>IF(DbLinkTable[[#This Row],[Price/lb]]*DbLinkTable[[#This Row],[Weight]]&gt;0,DbLinkTable[[#This Row],[Price/lb]]*DbLinkTable[[#This Row],[Weight]],0)</f>
        <v>0</v>
      </c>
      <c r="U380" s="79">
        <f>IF(DbLinkTable[[#This Row],[Price/lb]]*DbLinkTable[[#This Row],[Weight]]&lt;0,DbLinkTable[[#This Row],[Price/lb]]*DbLinkTable[[#This Row],[Weight]],0)</f>
        <v>0</v>
      </c>
      <c r="V380" s="4" t="str">
        <f>IF(COUNTIF($W$2:W380,W380)=1,1,"")</f>
        <v/>
      </c>
      <c r="W380" s="4" t="str">
        <f>CONCATENATE(DbLinkTable[[#This Row],[Customer]],UPPER(DbLinkTable[[#This Row],[Trailer Number]]),DbLinkTable[[#This Row],[Day Received]])</f>
        <v>Company1434242093</v>
      </c>
      <c r="X380" s="4">
        <f>DATEVALUE(TEXT(DbLinkTable[[#This Row],[Date Received]],"MMMM YYYY"))</f>
        <v>42064</v>
      </c>
      <c r="Y380" s="4">
        <f>INT(DbLinkTable[[#This Row],[Date Received]])</f>
        <v>42093</v>
      </c>
    </row>
    <row r="381" spans="1:25">
      <c r="A381">
        <v>10810</v>
      </c>
      <c r="B381" t="s">
        <v>47</v>
      </c>
      <c r="D381">
        <v>0</v>
      </c>
      <c r="E381" t="s">
        <v>1504</v>
      </c>
      <c r="F381" s="4">
        <v>42093</v>
      </c>
      <c r="G381" s="4" t="s">
        <v>192</v>
      </c>
      <c r="H381" s="4" t="s">
        <v>1532</v>
      </c>
      <c r="I381" s="4">
        <v>0</v>
      </c>
      <c r="J381" s="4"/>
      <c r="K381" s="4"/>
      <c r="L381" s="4"/>
      <c r="M381" s="4"/>
      <c r="N381" s="4"/>
      <c r="O381" s="4">
        <v>0</v>
      </c>
      <c r="P381" s="4">
        <v>42096.383622685185</v>
      </c>
      <c r="Q381" s="4"/>
      <c r="R381" s="4"/>
      <c r="S381" s="79">
        <f>DbLinkTable[[#This Row],[Credit]]+DbLinkTable[[#This Row],[Charge]]</f>
        <v>0</v>
      </c>
      <c r="T381" s="79">
        <f>IF(DbLinkTable[[#This Row],[Price/lb]]*DbLinkTable[[#This Row],[Weight]]&gt;0,DbLinkTable[[#This Row],[Price/lb]]*DbLinkTable[[#This Row],[Weight]],0)</f>
        <v>0</v>
      </c>
      <c r="U381" s="79">
        <f>IF(DbLinkTable[[#This Row],[Price/lb]]*DbLinkTable[[#This Row],[Weight]]&lt;0,DbLinkTable[[#This Row],[Price/lb]]*DbLinkTable[[#This Row],[Weight]],0)</f>
        <v>0</v>
      </c>
      <c r="V381" s="4" t="str">
        <f>IF(COUNTIF($W$2:W381,W381)=1,1,"")</f>
        <v/>
      </c>
      <c r="W381" s="4" t="str">
        <f>CONCATENATE(DbLinkTable[[#This Row],[Customer]],UPPER(DbLinkTable[[#This Row],[Trailer Number]]),DbLinkTable[[#This Row],[Day Received]])</f>
        <v>Company1434242093</v>
      </c>
      <c r="X381" s="4">
        <f>DATEVALUE(TEXT(DbLinkTable[[#This Row],[Date Received]],"MMMM YYYY"))</f>
        <v>42064</v>
      </c>
      <c r="Y381" s="4">
        <f>INT(DbLinkTable[[#This Row],[Date Received]])</f>
        <v>42093</v>
      </c>
    </row>
    <row r="382" spans="1:25">
      <c r="A382">
        <v>10811</v>
      </c>
      <c r="B382" t="s">
        <v>44</v>
      </c>
      <c r="C382" t="s">
        <v>1550</v>
      </c>
      <c r="D382">
        <v>1060</v>
      </c>
      <c r="E382" t="s">
        <v>1504</v>
      </c>
      <c r="F382" s="4">
        <v>42093</v>
      </c>
      <c r="G382" s="4" t="s">
        <v>192</v>
      </c>
      <c r="H382" s="4" t="s">
        <v>1532</v>
      </c>
      <c r="I382" s="4">
        <v>0</v>
      </c>
      <c r="J382" s="4"/>
      <c r="K382" s="4"/>
      <c r="L382" s="4"/>
      <c r="M382" s="4"/>
      <c r="N382" s="4"/>
      <c r="O382" s="4">
        <v>0</v>
      </c>
      <c r="P382" s="4">
        <v>42096.386296296296</v>
      </c>
      <c r="Q382" s="4"/>
      <c r="R382" s="4"/>
      <c r="S382" s="79">
        <f>DbLinkTable[[#This Row],[Credit]]+DbLinkTable[[#This Row],[Charge]]</f>
        <v>0</v>
      </c>
      <c r="T382" s="79">
        <f>IF(DbLinkTable[[#This Row],[Price/lb]]*DbLinkTable[[#This Row],[Weight]]&gt;0,DbLinkTable[[#This Row],[Price/lb]]*DbLinkTable[[#This Row],[Weight]],0)</f>
        <v>0</v>
      </c>
      <c r="U382" s="79">
        <f>IF(DbLinkTable[[#This Row],[Price/lb]]*DbLinkTable[[#This Row],[Weight]]&lt;0,DbLinkTable[[#This Row],[Price/lb]]*DbLinkTable[[#This Row],[Weight]],0)</f>
        <v>0</v>
      </c>
      <c r="V382" s="4" t="str">
        <f>IF(COUNTIF($W$2:W382,W382)=1,1,"")</f>
        <v/>
      </c>
      <c r="W382" s="4" t="str">
        <f>CONCATENATE(DbLinkTable[[#This Row],[Customer]],UPPER(DbLinkTable[[#This Row],[Trailer Number]]),DbLinkTable[[#This Row],[Day Received]])</f>
        <v>Company1434242093</v>
      </c>
      <c r="X382" s="4">
        <f>DATEVALUE(TEXT(DbLinkTable[[#This Row],[Date Received]],"MMMM YYYY"))</f>
        <v>42064</v>
      </c>
      <c r="Y382" s="4">
        <f>INT(DbLinkTable[[#This Row],[Date Received]])</f>
        <v>42093</v>
      </c>
    </row>
    <row r="383" spans="1:25">
      <c r="A383">
        <v>10812</v>
      </c>
      <c r="B383" t="s">
        <v>44</v>
      </c>
      <c r="D383">
        <v>1790</v>
      </c>
      <c r="E383" t="s">
        <v>1504</v>
      </c>
      <c r="F383" s="4">
        <v>42093</v>
      </c>
      <c r="G383" s="4" t="s">
        <v>192</v>
      </c>
      <c r="H383" s="4" t="s">
        <v>1532</v>
      </c>
      <c r="I383" s="4">
        <v>0</v>
      </c>
      <c r="J383" s="4"/>
      <c r="K383" s="4"/>
      <c r="L383" s="4"/>
      <c r="M383" s="4"/>
      <c r="N383" s="4"/>
      <c r="O383" s="4">
        <v>0</v>
      </c>
      <c r="P383" s="4">
        <v>42096.389699074076</v>
      </c>
      <c r="Q383" s="4"/>
      <c r="R383" s="4"/>
      <c r="S383" s="79">
        <f>DbLinkTable[[#This Row],[Credit]]+DbLinkTable[[#This Row],[Charge]]</f>
        <v>0</v>
      </c>
      <c r="T383" s="79">
        <f>IF(DbLinkTable[[#This Row],[Price/lb]]*DbLinkTable[[#This Row],[Weight]]&gt;0,DbLinkTable[[#This Row],[Price/lb]]*DbLinkTable[[#This Row],[Weight]],0)</f>
        <v>0</v>
      </c>
      <c r="U383" s="79">
        <f>IF(DbLinkTable[[#This Row],[Price/lb]]*DbLinkTable[[#This Row],[Weight]]&lt;0,DbLinkTable[[#This Row],[Price/lb]]*DbLinkTable[[#This Row],[Weight]],0)</f>
        <v>0</v>
      </c>
      <c r="V383" s="4" t="str">
        <f>IF(COUNTIF($W$2:W383,W383)=1,1,"")</f>
        <v/>
      </c>
      <c r="W383" s="4" t="str">
        <f>CONCATENATE(DbLinkTable[[#This Row],[Customer]],UPPER(DbLinkTable[[#This Row],[Trailer Number]]),DbLinkTable[[#This Row],[Day Received]])</f>
        <v>Company1434242093</v>
      </c>
      <c r="X383" s="4">
        <f>DATEVALUE(TEXT(DbLinkTable[[#This Row],[Date Received]],"MMMM YYYY"))</f>
        <v>42064</v>
      </c>
      <c r="Y383" s="4">
        <f>INT(DbLinkTable[[#This Row],[Date Received]])</f>
        <v>42093</v>
      </c>
    </row>
    <row r="384" spans="1:25">
      <c r="A384">
        <v>10813</v>
      </c>
      <c r="B384" t="s">
        <v>47</v>
      </c>
      <c r="D384">
        <v>348</v>
      </c>
      <c r="E384" t="s">
        <v>1504</v>
      </c>
      <c r="F384" s="4">
        <v>42093</v>
      </c>
      <c r="G384" s="4" t="s">
        <v>192</v>
      </c>
      <c r="H384" s="4" t="s">
        <v>1532</v>
      </c>
      <c r="I384" s="4">
        <v>0</v>
      </c>
      <c r="J384" s="4"/>
      <c r="K384" s="4"/>
      <c r="L384" s="4"/>
      <c r="M384" s="4"/>
      <c r="N384" s="4"/>
      <c r="O384" s="4">
        <v>0</v>
      </c>
      <c r="P384" s="4">
        <v>42096.392685185187</v>
      </c>
      <c r="Q384" s="4"/>
      <c r="R384" s="4"/>
      <c r="S384" s="79">
        <f>DbLinkTable[[#This Row],[Credit]]+DbLinkTable[[#This Row],[Charge]]</f>
        <v>0</v>
      </c>
      <c r="T384" s="79">
        <f>IF(DbLinkTable[[#This Row],[Price/lb]]*DbLinkTable[[#This Row],[Weight]]&gt;0,DbLinkTable[[#This Row],[Price/lb]]*DbLinkTable[[#This Row],[Weight]],0)</f>
        <v>0</v>
      </c>
      <c r="U384" s="79">
        <f>IF(DbLinkTable[[#This Row],[Price/lb]]*DbLinkTable[[#This Row],[Weight]]&lt;0,DbLinkTable[[#This Row],[Price/lb]]*DbLinkTable[[#This Row],[Weight]],0)</f>
        <v>0</v>
      </c>
      <c r="V384" s="4" t="str">
        <f>IF(COUNTIF($W$2:W384,W384)=1,1,"")</f>
        <v/>
      </c>
      <c r="W384" s="4" t="str">
        <f>CONCATENATE(DbLinkTable[[#This Row],[Customer]],UPPER(DbLinkTable[[#This Row],[Trailer Number]]),DbLinkTable[[#This Row],[Day Received]])</f>
        <v>Company1434242093</v>
      </c>
      <c r="X384" s="4">
        <f>DATEVALUE(TEXT(DbLinkTable[[#This Row],[Date Received]],"MMMM YYYY"))</f>
        <v>42064</v>
      </c>
      <c r="Y384" s="4">
        <f>INT(DbLinkTable[[#This Row],[Date Received]])</f>
        <v>42093</v>
      </c>
    </row>
    <row r="385" spans="1:25">
      <c r="A385">
        <v>10814</v>
      </c>
      <c r="B385" t="s">
        <v>47</v>
      </c>
      <c r="D385">
        <v>367</v>
      </c>
      <c r="E385" t="s">
        <v>1504</v>
      </c>
      <c r="F385" s="4">
        <v>42093</v>
      </c>
      <c r="G385" s="4" t="s">
        <v>192</v>
      </c>
      <c r="H385" s="4" t="s">
        <v>1532</v>
      </c>
      <c r="I385" s="4">
        <v>0</v>
      </c>
      <c r="J385" s="4"/>
      <c r="K385" s="4"/>
      <c r="L385" s="4"/>
      <c r="M385" s="4"/>
      <c r="N385" s="4"/>
      <c r="O385" s="4">
        <v>0</v>
      </c>
      <c r="P385" s="4">
        <v>42096.408449074072</v>
      </c>
      <c r="Q385" s="4"/>
      <c r="R385" s="4"/>
      <c r="S385" s="79">
        <f>DbLinkTable[[#This Row],[Credit]]+DbLinkTable[[#This Row],[Charge]]</f>
        <v>0</v>
      </c>
      <c r="T385" s="79">
        <f>IF(DbLinkTable[[#This Row],[Price/lb]]*DbLinkTable[[#This Row],[Weight]]&gt;0,DbLinkTable[[#This Row],[Price/lb]]*DbLinkTable[[#This Row],[Weight]],0)</f>
        <v>0</v>
      </c>
      <c r="U385" s="79">
        <f>IF(DbLinkTable[[#This Row],[Price/lb]]*DbLinkTable[[#This Row],[Weight]]&lt;0,DbLinkTable[[#This Row],[Price/lb]]*DbLinkTable[[#This Row],[Weight]],0)</f>
        <v>0</v>
      </c>
      <c r="V385" s="4" t="str">
        <f>IF(COUNTIF($W$2:W385,W385)=1,1,"")</f>
        <v/>
      </c>
      <c r="W385" s="4" t="str">
        <f>CONCATENATE(DbLinkTable[[#This Row],[Customer]],UPPER(DbLinkTable[[#This Row],[Trailer Number]]),DbLinkTable[[#This Row],[Day Received]])</f>
        <v>Company1434242093</v>
      </c>
      <c r="X385" s="4">
        <f>DATEVALUE(TEXT(DbLinkTable[[#This Row],[Date Received]],"MMMM YYYY"))</f>
        <v>42064</v>
      </c>
      <c r="Y385" s="4">
        <f>INT(DbLinkTable[[#This Row],[Date Received]])</f>
        <v>42093</v>
      </c>
    </row>
    <row r="386" spans="1:25">
      <c r="A386">
        <v>10815</v>
      </c>
      <c r="B386" t="s">
        <v>47</v>
      </c>
      <c r="D386">
        <v>386</v>
      </c>
      <c r="E386" t="s">
        <v>1504</v>
      </c>
      <c r="F386" s="4">
        <v>42093</v>
      </c>
      <c r="G386" s="4" t="s">
        <v>192</v>
      </c>
      <c r="H386" s="4" t="s">
        <v>1532</v>
      </c>
      <c r="I386" s="4">
        <v>0</v>
      </c>
      <c r="J386" s="4"/>
      <c r="K386" s="4"/>
      <c r="L386" s="4"/>
      <c r="M386" s="4"/>
      <c r="N386" s="4"/>
      <c r="O386" s="4">
        <v>0</v>
      </c>
      <c r="P386" s="4">
        <v>42096.410462962966</v>
      </c>
      <c r="Q386" s="4"/>
      <c r="R386" s="4"/>
      <c r="S386" s="79">
        <f>DbLinkTable[[#This Row],[Credit]]+DbLinkTable[[#This Row],[Charge]]</f>
        <v>0</v>
      </c>
      <c r="T386" s="79">
        <f>IF(DbLinkTable[[#This Row],[Price/lb]]*DbLinkTable[[#This Row],[Weight]]&gt;0,DbLinkTable[[#This Row],[Price/lb]]*DbLinkTable[[#This Row],[Weight]],0)</f>
        <v>0</v>
      </c>
      <c r="U386" s="79">
        <f>IF(DbLinkTable[[#This Row],[Price/lb]]*DbLinkTable[[#This Row],[Weight]]&lt;0,DbLinkTable[[#This Row],[Price/lb]]*DbLinkTable[[#This Row],[Weight]],0)</f>
        <v>0</v>
      </c>
      <c r="V386" s="4" t="str">
        <f>IF(COUNTIF($W$2:W386,W386)=1,1,"")</f>
        <v/>
      </c>
      <c r="W386" s="4" t="str">
        <f>CONCATENATE(DbLinkTable[[#This Row],[Customer]],UPPER(DbLinkTable[[#This Row],[Trailer Number]]),DbLinkTable[[#This Row],[Day Received]])</f>
        <v>Company1434242093</v>
      </c>
      <c r="X386" s="4">
        <f>DATEVALUE(TEXT(DbLinkTable[[#This Row],[Date Received]],"MMMM YYYY"))</f>
        <v>42064</v>
      </c>
      <c r="Y386" s="4">
        <f>INT(DbLinkTable[[#This Row],[Date Received]])</f>
        <v>42093</v>
      </c>
    </row>
    <row r="387" spans="1:25">
      <c r="A387">
        <v>10816</v>
      </c>
      <c r="B387" t="s">
        <v>44</v>
      </c>
      <c r="D387">
        <v>1744</v>
      </c>
      <c r="E387" t="s">
        <v>1504</v>
      </c>
      <c r="F387" s="4">
        <v>42093</v>
      </c>
      <c r="G387" s="4" t="s">
        <v>192</v>
      </c>
      <c r="H387" s="4" t="s">
        <v>1532</v>
      </c>
      <c r="I387" s="4">
        <v>0</v>
      </c>
      <c r="J387" s="4"/>
      <c r="K387" s="4"/>
      <c r="L387" s="4"/>
      <c r="M387" s="4"/>
      <c r="N387" s="4"/>
      <c r="O387" s="4">
        <v>0</v>
      </c>
      <c r="P387" s="4">
        <v>42096.412812499999</v>
      </c>
      <c r="Q387" s="4"/>
      <c r="R387" s="4"/>
      <c r="S387" s="79">
        <f>DbLinkTable[[#This Row],[Credit]]+DbLinkTable[[#This Row],[Charge]]</f>
        <v>0</v>
      </c>
      <c r="T387" s="79">
        <f>IF(DbLinkTable[[#This Row],[Price/lb]]*DbLinkTable[[#This Row],[Weight]]&gt;0,DbLinkTable[[#This Row],[Price/lb]]*DbLinkTable[[#This Row],[Weight]],0)</f>
        <v>0</v>
      </c>
      <c r="U387" s="79">
        <f>IF(DbLinkTable[[#This Row],[Price/lb]]*DbLinkTable[[#This Row],[Weight]]&lt;0,DbLinkTable[[#This Row],[Price/lb]]*DbLinkTable[[#This Row],[Weight]],0)</f>
        <v>0</v>
      </c>
      <c r="V387" s="4" t="str">
        <f>IF(COUNTIF($W$2:W387,W387)=1,1,"")</f>
        <v/>
      </c>
      <c r="W387" s="4" t="str">
        <f>CONCATENATE(DbLinkTable[[#This Row],[Customer]],UPPER(DbLinkTable[[#This Row],[Trailer Number]]),DbLinkTable[[#This Row],[Day Received]])</f>
        <v>Company1434242093</v>
      </c>
      <c r="X387" s="4">
        <f>DATEVALUE(TEXT(DbLinkTable[[#This Row],[Date Received]],"MMMM YYYY"))</f>
        <v>42064</v>
      </c>
      <c r="Y387" s="4">
        <f>INT(DbLinkTable[[#This Row],[Date Received]])</f>
        <v>42093</v>
      </c>
    </row>
    <row r="388" spans="1:25">
      <c r="A388">
        <v>10817</v>
      </c>
      <c r="B388" t="s">
        <v>43</v>
      </c>
      <c r="D388">
        <v>2100</v>
      </c>
      <c r="E388" t="s">
        <v>1504</v>
      </c>
      <c r="F388" s="4">
        <v>42093</v>
      </c>
      <c r="G388" s="4" t="s">
        <v>192</v>
      </c>
      <c r="H388" s="4" t="s">
        <v>1532</v>
      </c>
      <c r="I388" s="4">
        <v>0</v>
      </c>
      <c r="J388" s="4"/>
      <c r="K388" s="4"/>
      <c r="L388" s="4"/>
      <c r="M388" s="4"/>
      <c r="N388" s="4"/>
      <c r="O388" s="4">
        <v>0</v>
      </c>
      <c r="P388" s="4">
        <v>42096.416562500002</v>
      </c>
      <c r="Q388" s="4"/>
      <c r="R388" s="4"/>
      <c r="S388" s="79">
        <f>DbLinkTable[[#This Row],[Credit]]+DbLinkTable[[#This Row],[Charge]]</f>
        <v>0</v>
      </c>
      <c r="T388" s="79">
        <f>IF(DbLinkTable[[#This Row],[Price/lb]]*DbLinkTable[[#This Row],[Weight]]&gt;0,DbLinkTable[[#This Row],[Price/lb]]*DbLinkTable[[#This Row],[Weight]],0)</f>
        <v>0</v>
      </c>
      <c r="U388" s="79">
        <f>IF(DbLinkTable[[#This Row],[Price/lb]]*DbLinkTable[[#This Row],[Weight]]&lt;0,DbLinkTable[[#This Row],[Price/lb]]*DbLinkTable[[#This Row],[Weight]],0)</f>
        <v>0</v>
      </c>
      <c r="V388" s="4" t="str">
        <f>IF(COUNTIF($W$2:W388,W388)=1,1,"")</f>
        <v/>
      </c>
      <c r="W388" s="4" t="str">
        <f>CONCATENATE(DbLinkTable[[#This Row],[Customer]],UPPER(DbLinkTable[[#This Row],[Trailer Number]]),DbLinkTable[[#This Row],[Day Received]])</f>
        <v>Company1434242093</v>
      </c>
      <c r="X388" s="4">
        <f>DATEVALUE(TEXT(DbLinkTable[[#This Row],[Date Received]],"MMMM YYYY"))</f>
        <v>42064</v>
      </c>
      <c r="Y388" s="4">
        <f>INT(DbLinkTable[[#This Row],[Date Received]])</f>
        <v>42093</v>
      </c>
    </row>
    <row r="389" spans="1:25">
      <c r="A389">
        <v>10818</v>
      </c>
      <c r="B389" t="s">
        <v>43</v>
      </c>
      <c r="D389">
        <v>1082</v>
      </c>
      <c r="E389" t="s">
        <v>1504</v>
      </c>
      <c r="F389" s="4">
        <v>42093</v>
      </c>
      <c r="G389" s="4" t="s">
        <v>192</v>
      </c>
      <c r="H389" s="4" t="s">
        <v>1532</v>
      </c>
      <c r="I389" s="4">
        <v>0</v>
      </c>
      <c r="J389" s="4"/>
      <c r="K389" s="4"/>
      <c r="L389" s="4"/>
      <c r="M389" s="4"/>
      <c r="N389" s="4"/>
      <c r="O389" s="4">
        <v>0</v>
      </c>
      <c r="P389" s="4">
        <v>42096.427974537037</v>
      </c>
      <c r="Q389" s="4"/>
      <c r="R389" s="4"/>
      <c r="S389" s="79">
        <f>DbLinkTable[[#This Row],[Credit]]+DbLinkTable[[#This Row],[Charge]]</f>
        <v>0</v>
      </c>
      <c r="T389" s="79">
        <f>IF(DbLinkTable[[#This Row],[Price/lb]]*DbLinkTable[[#This Row],[Weight]]&gt;0,DbLinkTable[[#This Row],[Price/lb]]*DbLinkTable[[#This Row],[Weight]],0)</f>
        <v>0</v>
      </c>
      <c r="U389" s="79">
        <f>IF(DbLinkTable[[#This Row],[Price/lb]]*DbLinkTable[[#This Row],[Weight]]&lt;0,DbLinkTable[[#This Row],[Price/lb]]*DbLinkTable[[#This Row],[Weight]],0)</f>
        <v>0</v>
      </c>
      <c r="V389" s="4" t="str">
        <f>IF(COUNTIF($W$2:W389,W389)=1,1,"")</f>
        <v/>
      </c>
      <c r="W389" s="4" t="str">
        <f>CONCATENATE(DbLinkTable[[#This Row],[Customer]],UPPER(DbLinkTable[[#This Row],[Trailer Number]]),DbLinkTable[[#This Row],[Day Received]])</f>
        <v>Company1434242093</v>
      </c>
      <c r="X389" s="4">
        <f>DATEVALUE(TEXT(DbLinkTable[[#This Row],[Date Received]],"MMMM YYYY"))</f>
        <v>42064</v>
      </c>
      <c r="Y389" s="4">
        <f>INT(DbLinkTable[[#This Row],[Date Received]])</f>
        <v>42093</v>
      </c>
    </row>
    <row r="390" spans="1:25">
      <c r="A390">
        <v>10819</v>
      </c>
      <c r="B390" t="s">
        <v>43</v>
      </c>
      <c r="D390">
        <v>1189</v>
      </c>
      <c r="E390" t="s">
        <v>1504</v>
      </c>
      <c r="F390" s="4">
        <v>42093</v>
      </c>
      <c r="G390" s="4" t="s">
        <v>192</v>
      </c>
      <c r="H390" s="4" t="s">
        <v>1532</v>
      </c>
      <c r="I390" s="4">
        <v>0</v>
      </c>
      <c r="J390" s="4"/>
      <c r="K390" s="4"/>
      <c r="L390" s="4"/>
      <c r="M390" s="4"/>
      <c r="N390" s="4"/>
      <c r="O390" s="4">
        <v>0</v>
      </c>
      <c r="P390" s="4">
        <v>42096.430324074077</v>
      </c>
      <c r="Q390" s="4"/>
      <c r="R390" s="4"/>
      <c r="S390" s="79">
        <f>DbLinkTable[[#This Row],[Credit]]+DbLinkTable[[#This Row],[Charge]]</f>
        <v>0</v>
      </c>
      <c r="T390" s="79">
        <f>IF(DbLinkTable[[#This Row],[Price/lb]]*DbLinkTable[[#This Row],[Weight]]&gt;0,DbLinkTable[[#This Row],[Price/lb]]*DbLinkTable[[#This Row],[Weight]],0)</f>
        <v>0</v>
      </c>
      <c r="U390" s="79">
        <f>IF(DbLinkTable[[#This Row],[Price/lb]]*DbLinkTable[[#This Row],[Weight]]&lt;0,DbLinkTable[[#This Row],[Price/lb]]*DbLinkTable[[#This Row],[Weight]],0)</f>
        <v>0</v>
      </c>
      <c r="V390" s="4" t="str">
        <f>IF(COUNTIF($W$2:W390,W390)=1,1,"")</f>
        <v/>
      </c>
      <c r="W390" s="4" t="str">
        <f>CONCATENATE(DbLinkTable[[#This Row],[Customer]],UPPER(DbLinkTable[[#This Row],[Trailer Number]]),DbLinkTable[[#This Row],[Day Received]])</f>
        <v>Company1434242093</v>
      </c>
      <c r="X390" s="4">
        <f>DATEVALUE(TEXT(DbLinkTable[[#This Row],[Date Received]],"MMMM YYYY"))</f>
        <v>42064</v>
      </c>
      <c r="Y390" s="4">
        <f>INT(DbLinkTable[[#This Row],[Date Received]])</f>
        <v>42093</v>
      </c>
    </row>
    <row r="391" spans="1:25">
      <c r="A391">
        <v>10820</v>
      </c>
      <c r="B391" t="s">
        <v>43</v>
      </c>
      <c r="D391">
        <v>1062</v>
      </c>
      <c r="E391" t="s">
        <v>1504</v>
      </c>
      <c r="F391" s="4">
        <v>42093</v>
      </c>
      <c r="G391" s="4" t="s">
        <v>192</v>
      </c>
      <c r="H391" s="4" t="s">
        <v>1532</v>
      </c>
      <c r="I391" s="4">
        <v>0</v>
      </c>
      <c r="J391" s="4"/>
      <c r="K391" s="4"/>
      <c r="L391" s="4"/>
      <c r="M391" s="4"/>
      <c r="N391" s="4"/>
      <c r="O391" s="4">
        <v>0</v>
      </c>
      <c r="P391" s="4">
        <v>42096.434687499997</v>
      </c>
      <c r="Q391" s="4"/>
      <c r="R391" s="4"/>
      <c r="S391" s="79">
        <f>DbLinkTable[[#This Row],[Credit]]+DbLinkTable[[#This Row],[Charge]]</f>
        <v>0</v>
      </c>
      <c r="T391" s="79">
        <f>IF(DbLinkTable[[#This Row],[Price/lb]]*DbLinkTable[[#This Row],[Weight]]&gt;0,DbLinkTable[[#This Row],[Price/lb]]*DbLinkTable[[#This Row],[Weight]],0)</f>
        <v>0</v>
      </c>
      <c r="U391" s="79">
        <f>IF(DbLinkTable[[#This Row],[Price/lb]]*DbLinkTable[[#This Row],[Weight]]&lt;0,DbLinkTable[[#This Row],[Price/lb]]*DbLinkTable[[#This Row],[Weight]],0)</f>
        <v>0</v>
      </c>
      <c r="V391" s="4" t="str">
        <f>IF(COUNTIF($W$2:W391,W391)=1,1,"")</f>
        <v/>
      </c>
      <c r="W391" s="4" t="str">
        <f>CONCATENATE(DbLinkTable[[#This Row],[Customer]],UPPER(DbLinkTable[[#This Row],[Trailer Number]]),DbLinkTable[[#This Row],[Day Received]])</f>
        <v>Company1434242093</v>
      </c>
      <c r="X391" s="4">
        <f>DATEVALUE(TEXT(DbLinkTable[[#This Row],[Date Received]],"MMMM YYYY"))</f>
        <v>42064</v>
      </c>
      <c r="Y391" s="4">
        <f>INT(DbLinkTable[[#This Row],[Date Received]])</f>
        <v>42093</v>
      </c>
    </row>
    <row r="392" spans="1:25">
      <c r="A392">
        <v>10821</v>
      </c>
      <c r="B392" t="s">
        <v>43</v>
      </c>
      <c r="D392">
        <v>1021</v>
      </c>
      <c r="E392" t="s">
        <v>1504</v>
      </c>
      <c r="F392" s="4">
        <v>42093</v>
      </c>
      <c r="G392" s="4" t="s">
        <v>192</v>
      </c>
      <c r="H392" s="4" t="s">
        <v>1532</v>
      </c>
      <c r="I392" s="4">
        <v>0</v>
      </c>
      <c r="J392" s="4"/>
      <c r="K392" s="4"/>
      <c r="L392" s="4"/>
      <c r="M392" s="4"/>
      <c r="N392" s="4"/>
      <c r="O392" s="4">
        <v>0</v>
      </c>
      <c r="P392" s="4">
        <v>42096.439398148148</v>
      </c>
      <c r="Q392" s="4"/>
      <c r="R392" s="4"/>
      <c r="S392" s="79">
        <f>DbLinkTable[[#This Row],[Credit]]+DbLinkTable[[#This Row],[Charge]]</f>
        <v>0</v>
      </c>
      <c r="T392" s="79">
        <f>IF(DbLinkTable[[#This Row],[Price/lb]]*DbLinkTable[[#This Row],[Weight]]&gt;0,DbLinkTable[[#This Row],[Price/lb]]*DbLinkTable[[#This Row],[Weight]],0)</f>
        <v>0</v>
      </c>
      <c r="U392" s="79">
        <f>IF(DbLinkTable[[#This Row],[Price/lb]]*DbLinkTable[[#This Row],[Weight]]&lt;0,DbLinkTable[[#This Row],[Price/lb]]*DbLinkTable[[#This Row],[Weight]],0)</f>
        <v>0</v>
      </c>
      <c r="V392" s="4" t="str">
        <f>IF(COUNTIF($W$2:W392,W392)=1,1,"")</f>
        <v/>
      </c>
      <c r="W392" s="4" t="str">
        <f>CONCATENATE(DbLinkTable[[#This Row],[Customer]],UPPER(DbLinkTable[[#This Row],[Trailer Number]]),DbLinkTable[[#This Row],[Day Received]])</f>
        <v>Company1434242093</v>
      </c>
      <c r="X392" s="4">
        <f>DATEVALUE(TEXT(DbLinkTable[[#This Row],[Date Received]],"MMMM YYYY"))</f>
        <v>42064</v>
      </c>
      <c r="Y392" s="4">
        <f>INT(DbLinkTable[[#This Row],[Date Received]])</f>
        <v>42093</v>
      </c>
    </row>
    <row r="393" spans="1:25">
      <c r="A393">
        <v>10822</v>
      </c>
      <c r="B393" t="s">
        <v>43</v>
      </c>
      <c r="D393">
        <v>1018</v>
      </c>
      <c r="E393" t="s">
        <v>1504</v>
      </c>
      <c r="F393" s="4">
        <v>42093</v>
      </c>
      <c r="G393" s="4" t="s">
        <v>192</v>
      </c>
      <c r="H393" s="4" t="s">
        <v>1532</v>
      </c>
      <c r="I393" s="4">
        <v>0</v>
      </c>
      <c r="J393" s="4"/>
      <c r="K393" s="4"/>
      <c r="L393" s="4"/>
      <c r="M393" s="4"/>
      <c r="N393" s="4"/>
      <c r="O393" s="4">
        <v>0</v>
      </c>
      <c r="P393" s="4">
        <v>42096.443009259259</v>
      </c>
      <c r="Q393" s="4"/>
      <c r="R393" s="4"/>
      <c r="S393" s="79">
        <f>DbLinkTable[[#This Row],[Credit]]+DbLinkTable[[#This Row],[Charge]]</f>
        <v>0</v>
      </c>
      <c r="T393" s="79">
        <f>IF(DbLinkTable[[#This Row],[Price/lb]]*DbLinkTable[[#This Row],[Weight]]&gt;0,DbLinkTable[[#This Row],[Price/lb]]*DbLinkTable[[#This Row],[Weight]],0)</f>
        <v>0</v>
      </c>
      <c r="U393" s="79">
        <f>IF(DbLinkTable[[#This Row],[Price/lb]]*DbLinkTable[[#This Row],[Weight]]&lt;0,DbLinkTable[[#This Row],[Price/lb]]*DbLinkTable[[#This Row],[Weight]],0)</f>
        <v>0</v>
      </c>
      <c r="V393" s="4" t="str">
        <f>IF(COUNTIF($W$2:W393,W393)=1,1,"")</f>
        <v/>
      </c>
      <c r="W393" s="4" t="str">
        <f>CONCATENATE(DbLinkTable[[#This Row],[Customer]],UPPER(DbLinkTable[[#This Row],[Trailer Number]]),DbLinkTable[[#This Row],[Day Received]])</f>
        <v>Company1434242093</v>
      </c>
      <c r="X393" s="4">
        <f>DATEVALUE(TEXT(DbLinkTable[[#This Row],[Date Received]],"MMMM YYYY"))</f>
        <v>42064</v>
      </c>
      <c r="Y393" s="4">
        <f>INT(DbLinkTable[[#This Row],[Date Received]])</f>
        <v>42093</v>
      </c>
    </row>
    <row r="394" spans="1:25">
      <c r="A394">
        <v>10823</v>
      </c>
      <c r="B394" t="s">
        <v>43</v>
      </c>
      <c r="D394">
        <v>1113</v>
      </c>
      <c r="E394" t="s">
        <v>1504</v>
      </c>
      <c r="F394" s="4">
        <v>42093</v>
      </c>
      <c r="G394" s="4" t="s">
        <v>192</v>
      </c>
      <c r="H394" s="4" t="s">
        <v>1532</v>
      </c>
      <c r="I394" s="4">
        <v>0</v>
      </c>
      <c r="J394" s="4"/>
      <c r="K394" s="4"/>
      <c r="L394" s="4"/>
      <c r="M394" s="4"/>
      <c r="N394" s="4"/>
      <c r="O394" s="4">
        <v>0</v>
      </c>
      <c r="P394" s="4">
        <v>42096.444814814815</v>
      </c>
      <c r="Q394" s="4"/>
      <c r="R394" s="4"/>
      <c r="S394" s="79">
        <f>DbLinkTable[[#This Row],[Credit]]+DbLinkTable[[#This Row],[Charge]]</f>
        <v>0</v>
      </c>
      <c r="T394" s="79">
        <f>IF(DbLinkTable[[#This Row],[Price/lb]]*DbLinkTable[[#This Row],[Weight]]&gt;0,DbLinkTable[[#This Row],[Price/lb]]*DbLinkTable[[#This Row],[Weight]],0)</f>
        <v>0</v>
      </c>
      <c r="U394" s="79">
        <f>IF(DbLinkTable[[#This Row],[Price/lb]]*DbLinkTable[[#This Row],[Weight]]&lt;0,DbLinkTable[[#This Row],[Price/lb]]*DbLinkTable[[#This Row],[Weight]],0)</f>
        <v>0</v>
      </c>
      <c r="V394" s="4" t="str">
        <f>IF(COUNTIF($W$2:W394,W394)=1,1,"")</f>
        <v/>
      </c>
      <c r="W394" s="4" t="str">
        <f>CONCATENATE(DbLinkTable[[#This Row],[Customer]],UPPER(DbLinkTable[[#This Row],[Trailer Number]]),DbLinkTable[[#This Row],[Day Received]])</f>
        <v>Company1434242093</v>
      </c>
      <c r="X394" s="4">
        <f>DATEVALUE(TEXT(DbLinkTable[[#This Row],[Date Received]],"MMMM YYYY"))</f>
        <v>42064</v>
      </c>
      <c r="Y394" s="4">
        <f>INT(DbLinkTable[[#This Row],[Date Received]])</f>
        <v>42093</v>
      </c>
    </row>
    <row r="395" spans="1:25">
      <c r="A395">
        <v>10824</v>
      </c>
      <c r="B395" t="s">
        <v>43</v>
      </c>
      <c r="D395">
        <v>1056</v>
      </c>
      <c r="E395" t="s">
        <v>1504</v>
      </c>
      <c r="F395" s="4">
        <v>42093</v>
      </c>
      <c r="G395" s="4" t="s">
        <v>192</v>
      </c>
      <c r="H395" s="4" t="s">
        <v>1532</v>
      </c>
      <c r="I395" s="4">
        <v>0</v>
      </c>
      <c r="J395" s="4"/>
      <c r="K395" s="4"/>
      <c r="L395" s="4"/>
      <c r="M395" s="4"/>
      <c r="N395" s="4"/>
      <c r="O395" s="4">
        <v>0</v>
      </c>
      <c r="P395" s="4">
        <v>42096.447476851848</v>
      </c>
      <c r="Q395" s="4"/>
      <c r="R395" s="4"/>
      <c r="S395" s="79">
        <f>DbLinkTable[[#This Row],[Credit]]+DbLinkTable[[#This Row],[Charge]]</f>
        <v>0</v>
      </c>
      <c r="T395" s="79">
        <f>IF(DbLinkTable[[#This Row],[Price/lb]]*DbLinkTable[[#This Row],[Weight]]&gt;0,DbLinkTable[[#This Row],[Price/lb]]*DbLinkTable[[#This Row],[Weight]],0)</f>
        <v>0</v>
      </c>
      <c r="U395" s="79">
        <f>IF(DbLinkTable[[#This Row],[Price/lb]]*DbLinkTable[[#This Row],[Weight]]&lt;0,DbLinkTable[[#This Row],[Price/lb]]*DbLinkTable[[#This Row],[Weight]],0)</f>
        <v>0</v>
      </c>
      <c r="V395" s="4" t="str">
        <f>IF(COUNTIF($W$2:W395,W395)=1,1,"")</f>
        <v/>
      </c>
      <c r="W395" s="4" t="str">
        <f>CONCATENATE(DbLinkTable[[#This Row],[Customer]],UPPER(DbLinkTable[[#This Row],[Trailer Number]]),DbLinkTable[[#This Row],[Day Received]])</f>
        <v>Company1434242093</v>
      </c>
      <c r="X395" s="4">
        <f>DATEVALUE(TEXT(DbLinkTable[[#This Row],[Date Received]],"MMMM YYYY"))</f>
        <v>42064</v>
      </c>
      <c r="Y395" s="4">
        <f>INT(DbLinkTable[[#This Row],[Date Received]])</f>
        <v>42093</v>
      </c>
    </row>
    <row r="396" spans="1:25">
      <c r="A396">
        <v>10825</v>
      </c>
      <c r="B396" t="s">
        <v>43</v>
      </c>
      <c r="D396">
        <v>1143</v>
      </c>
      <c r="E396" t="s">
        <v>1504</v>
      </c>
      <c r="F396" s="4">
        <v>42093</v>
      </c>
      <c r="G396" s="4" t="s">
        <v>192</v>
      </c>
      <c r="H396" s="4" t="s">
        <v>1532</v>
      </c>
      <c r="I396" s="4">
        <v>0</v>
      </c>
      <c r="J396" s="4"/>
      <c r="K396" s="4"/>
      <c r="L396" s="4"/>
      <c r="M396" s="4"/>
      <c r="N396" s="4"/>
      <c r="O396" s="4">
        <v>0</v>
      </c>
      <c r="P396" s="4">
        <v>42096.449560185189</v>
      </c>
      <c r="Q396" s="4"/>
      <c r="R396" s="4"/>
      <c r="S396" s="79">
        <f>DbLinkTable[[#This Row],[Credit]]+DbLinkTable[[#This Row],[Charge]]</f>
        <v>0</v>
      </c>
      <c r="T396" s="79">
        <f>IF(DbLinkTable[[#This Row],[Price/lb]]*DbLinkTable[[#This Row],[Weight]]&gt;0,DbLinkTable[[#This Row],[Price/lb]]*DbLinkTable[[#This Row],[Weight]],0)</f>
        <v>0</v>
      </c>
      <c r="U396" s="79">
        <f>IF(DbLinkTable[[#This Row],[Price/lb]]*DbLinkTable[[#This Row],[Weight]]&lt;0,DbLinkTable[[#This Row],[Price/lb]]*DbLinkTable[[#This Row],[Weight]],0)</f>
        <v>0</v>
      </c>
      <c r="V396" s="4" t="str">
        <f>IF(COUNTIF($W$2:W396,W396)=1,1,"")</f>
        <v/>
      </c>
      <c r="W396" s="4" t="str">
        <f>CONCATENATE(DbLinkTable[[#This Row],[Customer]],UPPER(DbLinkTable[[#This Row],[Trailer Number]]),DbLinkTable[[#This Row],[Day Received]])</f>
        <v>Company1434242093</v>
      </c>
      <c r="X396" s="4">
        <f>DATEVALUE(TEXT(DbLinkTable[[#This Row],[Date Received]],"MMMM YYYY"))</f>
        <v>42064</v>
      </c>
      <c r="Y396" s="4">
        <f>INT(DbLinkTable[[#This Row],[Date Received]])</f>
        <v>42093</v>
      </c>
    </row>
    <row r="397" spans="1:25">
      <c r="A397">
        <v>10826</v>
      </c>
      <c r="B397" t="s">
        <v>43</v>
      </c>
      <c r="D397">
        <v>1022</v>
      </c>
      <c r="E397" t="s">
        <v>1504</v>
      </c>
      <c r="F397" s="4">
        <v>42093</v>
      </c>
      <c r="G397" s="4" t="s">
        <v>192</v>
      </c>
      <c r="H397" s="4" t="s">
        <v>1532</v>
      </c>
      <c r="I397" s="4">
        <v>0</v>
      </c>
      <c r="J397" s="4"/>
      <c r="K397" s="4"/>
      <c r="L397" s="4"/>
      <c r="M397" s="4"/>
      <c r="N397" s="4"/>
      <c r="O397" s="4">
        <v>0</v>
      </c>
      <c r="P397" s="4">
        <v>42096.453483796293</v>
      </c>
      <c r="Q397" s="4"/>
      <c r="R397" s="4"/>
      <c r="S397" s="79">
        <f>DbLinkTable[[#This Row],[Credit]]+DbLinkTable[[#This Row],[Charge]]</f>
        <v>0</v>
      </c>
      <c r="T397" s="79">
        <f>IF(DbLinkTable[[#This Row],[Price/lb]]*DbLinkTable[[#This Row],[Weight]]&gt;0,DbLinkTable[[#This Row],[Price/lb]]*DbLinkTable[[#This Row],[Weight]],0)</f>
        <v>0</v>
      </c>
      <c r="U397" s="79">
        <f>IF(DbLinkTable[[#This Row],[Price/lb]]*DbLinkTable[[#This Row],[Weight]]&lt;0,DbLinkTable[[#This Row],[Price/lb]]*DbLinkTable[[#This Row],[Weight]],0)</f>
        <v>0</v>
      </c>
      <c r="V397" s="4" t="str">
        <f>IF(COUNTIF($W$2:W397,W397)=1,1,"")</f>
        <v/>
      </c>
      <c r="W397" s="4" t="str">
        <f>CONCATENATE(DbLinkTable[[#This Row],[Customer]],UPPER(DbLinkTable[[#This Row],[Trailer Number]]),DbLinkTable[[#This Row],[Day Received]])</f>
        <v>Company1434242093</v>
      </c>
      <c r="X397" s="4">
        <f>DATEVALUE(TEXT(DbLinkTable[[#This Row],[Date Received]],"MMMM YYYY"))</f>
        <v>42064</v>
      </c>
      <c r="Y397" s="4">
        <f>INT(DbLinkTable[[#This Row],[Date Received]])</f>
        <v>42093</v>
      </c>
    </row>
    <row r="398" spans="1:25">
      <c r="A398">
        <v>10827</v>
      </c>
      <c r="B398" t="s">
        <v>43</v>
      </c>
      <c r="D398">
        <v>957</v>
      </c>
      <c r="E398" t="s">
        <v>1504</v>
      </c>
      <c r="F398" s="4">
        <v>42093</v>
      </c>
      <c r="G398" s="4" t="s">
        <v>192</v>
      </c>
      <c r="H398" s="4" t="s">
        <v>1532</v>
      </c>
      <c r="I398" s="4">
        <v>0</v>
      </c>
      <c r="J398" s="4"/>
      <c r="K398" s="4"/>
      <c r="L398" s="4"/>
      <c r="M398" s="4"/>
      <c r="N398" s="4"/>
      <c r="O398" s="4">
        <v>0</v>
      </c>
      <c r="P398" s="4">
        <v>42096.455266203702</v>
      </c>
      <c r="Q398" s="4"/>
      <c r="R398" s="4"/>
      <c r="S398" s="79">
        <f>DbLinkTable[[#This Row],[Credit]]+DbLinkTable[[#This Row],[Charge]]</f>
        <v>0</v>
      </c>
      <c r="T398" s="79">
        <f>IF(DbLinkTable[[#This Row],[Price/lb]]*DbLinkTable[[#This Row],[Weight]]&gt;0,DbLinkTable[[#This Row],[Price/lb]]*DbLinkTable[[#This Row],[Weight]],0)</f>
        <v>0</v>
      </c>
      <c r="U398" s="79">
        <f>IF(DbLinkTable[[#This Row],[Price/lb]]*DbLinkTable[[#This Row],[Weight]]&lt;0,DbLinkTable[[#This Row],[Price/lb]]*DbLinkTable[[#This Row],[Weight]],0)</f>
        <v>0</v>
      </c>
      <c r="V398" s="4" t="str">
        <f>IF(COUNTIF($W$2:W398,W398)=1,1,"")</f>
        <v/>
      </c>
      <c r="W398" s="4" t="str">
        <f>CONCATENATE(DbLinkTable[[#This Row],[Customer]],UPPER(DbLinkTable[[#This Row],[Trailer Number]]),DbLinkTable[[#This Row],[Day Received]])</f>
        <v>Company1434242093</v>
      </c>
      <c r="X398" s="4">
        <f>DATEVALUE(TEXT(DbLinkTable[[#This Row],[Date Received]],"MMMM YYYY"))</f>
        <v>42064</v>
      </c>
      <c r="Y398" s="4">
        <f>INT(DbLinkTable[[#This Row],[Date Received]])</f>
        <v>42093</v>
      </c>
    </row>
    <row r="399" spans="1:25">
      <c r="A399">
        <v>10828</v>
      </c>
      <c r="B399" t="s">
        <v>43</v>
      </c>
      <c r="D399">
        <v>957</v>
      </c>
      <c r="E399" t="s">
        <v>1504</v>
      </c>
      <c r="F399" s="4">
        <v>42093</v>
      </c>
      <c r="G399" s="4" t="s">
        <v>192</v>
      </c>
      <c r="H399" s="4" t="s">
        <v>1532</v>
      </c>
      <c r="I399" s="4">
        <v>0</v>
      </c>
      <c r="J399" s="4"/>
      <c r="K399" s="4"/>
      <c r="L399" s="4"/>
      <c r="M399" s="4"/>
      <c r="N399" s="4"/>
      <c r="O399" s="4">
        <v>0</v>
      </c>
      <c r="P399" s="4">
        <v>42096.457430555558</v>
      </c>
      <c r="Q399" s="4"/>
      <c r="R399" s="4"/>
      <c r="S399" s="79">
        <f>DbLinkTable[[#This Row],[Credit]]+DbLinkTable[[#This Row],[Charge]]</f>
        <v>0</v>
      </c>
      <c r="T399" s="79">
        <f>IF(DbLinkTable[[#This Row],[Price/lb]]*DbLinkTable[[#This Row],[Weight]]&gt;0,DbLinkTable[[#This Row],[Price/lb]]*DbLinkTable[[#This Row],[Weight]],0)</f>
        <v>0</v>
      </c>
      <c r="U399" s="79">
        <f>IF(DbLinkTable[[#This Row],[Price/lb]]*DbLinkTable[[#This Row],[Weight]]&lt;0,DbLinkTable[[#This Row],[Price/lb]]*DbLinkTable[[#This Row],[Weight]],0)</f>
        <v>0</v>
      </c>
      <c r="V399" s="4" t="str">
        <f>IF(COUNTIF($W$2:W399,W399)=1,1,"")</f>
        <v/>
      </c>
      <c r="W399" s="4" t="str">
        <f>CONCATENATE(DbLinkTable[[#This Row],[Customer]],UPPER(DbLinkTable[[#This Row],[Trailer Number]]),DbLinkTable[[#This Row],[Day Received]])</f>
        <v>Company1434242093</v>
      </c>
      <c r="X399" s="4">
        <f>DATEVALUE(TEXT(DbLinkTable[[#This Row],[Date Received]],"MMMM YYYY"))</f>
        <v>42064</v>
      </c>
      <c r="Y399" s="4">
        <f>INT(DbLinkTable[[#This Row],[Date Received]])</f>
        <v>42093</v>
      </c>
    </row>
    <row r="400" spans="1:25">
      <c r="A400">
        <v>10829</v>
      </c>
      <c r="B400" t="s">
        <v>43</v>
      </c>
      <c r="D400">
        <v>1129</v>
      </c>
      <c r="E400" t="s">
        <v>1504</v>
      </c>
      <c r="F400" s="4">
        <v>42093</v>
      </c>
      <c r="G400" s="4" t="s">
        <v>192</v>
      </c>
      <c r="H400" s="4" t="s">
        <v>1532</v>
      </c>
      <c r="I400" s="4">
        <v>0</v>
      </c>
      <c r="J400" s="4"/>
      <c r="K400" s="4"/>
      <c r="L400" s="4"/>
      <c r="M400" s="4"/>
      <c r="N400" s="4"/>
      <c r="O400" s="4">
        <v>0</v>
      </c>
      <c r="P400" s="4">
        <v>42096.459537037037</v>
      </c>
      <c r="Q400" s="4"/>
      <c r="R400" s="4"/>
      <c r="S400" s="79">
        <f>DbLinkTable[[#This Row],[Credit]]+DbLinkTable[[#This Row],[Charge]]</f>
        <v>0</v>
      </c>
      <c r="T400" s="79">
        <f>IF(DbLinkTable[[#This Row],[Price/lb]]*DbLinkTable[[#This Row],[Weight]]&gt;0,DbLinkTable[[#This Row],[Price/lb]]*DbLinkTable[[#This Row],[Weight]],0)</f>
        <v>0</v>
      </c>
      <c r="U400" s="79">
        <f>IF(DbLinkTable[[#This Row],[Price/lb]]*DbLinkTable[[#This Row],[Weight]]&lt;0,DbLinkTable[[#This Row],[Price/lb]]*DbLinkTable[[#This Row],[Weight]],0)</f>
        <v>0</v>
      </c>
      <c r="V400" s="4" t="str">
        <f>IF(COUNTIF($W$2:W400,W400)=1,1,"")</f>
        <v/>
      </c>
      <c r="W400" s="4" t="str">
        <f>CONCATENATE(DbLinkTable[[#This Row],[Customer]],UPPER(DbLinkTable[[#This Row],[Trailer Number]]),DbLinkTable[[#This Row],[Day Received]])</f>
        <v>Company1434242093</v>
      </c>
      <c r="X400" s="4">
        <f>DATEVALUE(TEXT(DbLinkTable[[#This Row],[Date Received]],"MMMM YYYY"))</f>
        <v>42064</v>
      </c>
      <c r="Y400" s="4">
        <f>INT(DbLinkTable[[#This Row],[Date Received]])</f>
        <v>42093</v>
      </c>
    </row>
    <row r="401" spans="1:25">
      <c r="A401">
        <v>10830</v>
      </c>
      <c r="B401" t="s">
        <v>43</v>
      </c>
      <c r="D401">
        <v>987</v>
      </c>
      <c r="E401" t="s">
        <v>1504</v>
      </c>
      <c r="F401" s="4">
        <v>42093</v>
      </c>
      <c r="G401" s="4" t="s">
        <v>192</v>
      </c>
      <c r="H401" s="4" t="s">
        <v>1532</v>
      </c>
      <c r="I401" s="4">
        <v>0</v>
      </c>
      <c r="J401" s="4"/>
      <c r="K401" s="4"/>
      <c r="L401" s="4"/>
      <c r="M401" s="4"/>
      <c r="N401" s="4"/>
      <c r="O401" s="4">
        <v>0</v>
      </c>
      <c r="P401" s="4">
        <v>42096.462488425925</v>
      </c>
      <c r="Q401" s="4"/>
      <c r="R401" s="4"/>
      <c r="S401" s="79">
        <f>DbLinkTable[[#This Row],[Credit]]+DbLinkTable[[#This Row],[Charge]]</f>
        <v>0</v>
      </c>
      <c r="T401" s="79">
        <f>IF(DbLinkTable[[#This Row],[Price/lb]]*DbLinkTable[[#This Row],[Weight]]&gt;0,DbLinkTable[[#This Row],[Price/lb]]*DbLinkTable[[#This Row],[Weight]],0)</f>
        <v>0</v>
      </c>
      <c r="U401" s="79">
        <f>IF(DbLinkTable[[#This Row],[Price/lb]]*DbLinkTable[[#This Row],[Weight]]&lt;0,DbLinkTable[[#This Row],[Price/lb]]*DbLinkTable[[#This Row],[Weight]],0)</f>
        <v>0</v>
      </c>
      <c r="V401" s="4" t="str">
        <f>IF(COUNTIF($W$2:W401,W401)=1,1,"")</f>
        <v/>
      </c>
      <c r="W401" s="4" t="str">
        <f>CONCATENATE(DbLinkTable[[#This Row],[Customer]],UPPER(DbLinkTable[[#This Row],[Trailer Number]]),DbLinkTable[[#This Row],[Day Received]])</f>
        <v>Company1434242093</v>
      </c>
      <c r="X401" s="4">
        <f>DATEVALUE(TEXT(DbLinkTable[[#This Row],[Date Received]],"MMMM YYYY"))</f>
        <v>42064</v>
      </c>
      <c r="Y401" s="4">
        <f>INT(DbLinkTable[[#This Row],[Date Received]])</f>
        <v>42093</v>
      </c>
    </row>
    <row r="402" spans="1:25">
      <c r="A402">
        <v>10831</v>
      </c>
      <c r="B402" t="s">
        <v>43</v>
      </c>
      <c r="D402">
        <v>981</v>
      </c>
      <c r="E402" t="s">
        <v>1504</v>
      </c>
      <c r="F402" s="4">
        <v>42093</v>
      </c>
      <c r="G402" s="4" t="s">
        <v>192</v>
      </c>
      <c r="H402" s="4" t="s">
        <v>1532</v>
      </c>
      <c r="I402" s="4">
        <v>0</v>
      </c>
      <c r="J402" s="4"/>
      <c r="K402" s="4"/>
      <c r="L402" s="4"/>
      <c r="M402" s="4"/>
      <c r="N402" s="4"/>
      <c r="O402" s="4">
        <v>0</v>
      </c>
      <c r="P402" s="4">
        <v>42096.464097222219</v>
      </c>
      <c r="Q402" s="4"/>
      <c r="R402" s="4"/>
      <c r="S402" s="79">
        <f>DbLinkTable[[#This Row],[Credit]]+DbLinkTable[[#This Row],[Charge]]</f>
        <v>0</v>
      </c>
      <c r="T402" s="79">
        <f>IF(DbLinkTable[[#This Row],[Price/lb]]*DbLinkTable[[#This Row],[Weight]]&gt;0,DbLinkTable[[#This Row],[Price/lb]]*DbLinkTable[[#This Row],[Weight]],0)</f>
        <v>0</v>
      </c>
      <c r="U402" s="79">
        <f>IF(DbLinkTable[[#This Row],[Price/lb]]*DbLinkTable[[#This Row],[Weight]]&lt;0,DbLinkTable[[#This Row],[Price/lb]]*DbLinkTable[[#This Row],[Weight]],0)</f>
        <v>0</v>
      </c>
      <c r="V402" s="4" t="str">
        <f>IF(COUNTIF($W$2:W402,W402)=1,1,"")</f>
        <v/>
      </c>
      <c r="W402" s="4" t="str">
        <f>CONCATENATE(DbLinkTable[[#This Row],[Customer]],UPPER(DbLinkTable[[#This Row],[Trailer Number]]),DbLinkTable[[#This Row],[Day Received]])</f>
        <v>Company1434242093</v>
      </c>
      <c r="X402" s="4">
        <f>DATEVALUE(TEXT(DbLinkTable[[#This Row],[Date Received]],"MMMM YYYY"))</f>
        <v>42064</v>
      </c>
      <c r="Y402" s="4">
        <f>INT(DbLinkTable[[#This Row],[Date Received]])</f>
        <v>42093</v>
      </c>
    </row>
    <row r="403" spans="1:25">
      <c r="A403">
        <v>10832</v>
      </c>
      <c r="B403" t="s">
        <v>43</v>
      </c>
      <c r="D403">
        <v>978</v>
      </c>
      <c r="E403" t="s">
        <v>1504</v>
      </c>
      <c r="F403" s="4">
        <v>42093</v>
      </c>
      <c r="G403" s="4" t="s">
        <v>192</v>
      </c>
      <c r="H403" s="4" t="s">
        <v>1532</v>
      </c>
      <c r="I403" s="4">
        <v>0</v>
      </c>
      <c r="J403" s="4"/>
      <c r="K403" s="4"/>
      <c r="L403" s="4"/>
      <c r="M403" s="4"/>
      <c r="N403" s="4"/>
      <c r="O403" s="4">
        <v>0</v>
      </c>
      <c r="P403" s="4">
        <v>42096.466099537036</v>
      </c>
      <c r="Q403" s="4"/>
      <c r="R403" s="4"/>
      <c r="S403" s="79">
        <f>DbLinkTable[[#This Row],[Credit]]+DbLinkTable[[#This Row],[Charge]]</f>
        <v>0</v>
      </c>
      <c r="T403" s="79">
        <f>IF(DbLinkTable[[#This Row],[Price/lb]]*DbLinkTable[[#This Row],[Weight]]&gt;0,DbLinkTable[[#This Row],[Price/lb]]*DbLinkTable[[#This Row],[Weight]],0)</f>
        <v>0</v>
      </c>
      <c r="U403" s="79">
        <f>IF(DbLinkTable[[#This Row],[Price/lb]]*DbLinkTable[[#This Row],[Weight]]&lt;0,DbLinkTable[[#This Row],[Price/lb]]*DbLinkTable[[#This Row],[Weight]],0)</f>
        <v>0</v>
      </c>
      <c r="V403" s="4" t="str">
        <f>IF(COUNTIF($W$2:W403,W403)=1,1,"")</f>
        <v/>
      </c>
      <c r="W403" s="4" t="str">
        <f>CONCATENATE(DbLinkTable[[#This Row],[Customer]],UPPER(DbLinkTable[[#This Row],[Trailer Number]]),DbLinkTable[[#This Row],[Day Received]])</f>
        <v>Company1434242093</v>
      </c>
      <c r="X403" s="4">
        <f>DATEVALUE(TEXT(DbLinkTable[[#This Row],[Date Received]],"MMMM YYYY"))</f>
        <v>42064</v>
      </c>
      <c r="Y403" s="4">
        <f>INT(DbLinkTable[[#This Row],[Date Received]])</f>
        <v>42093</v>
      </c>
    </row>
    <row r="404" spans="1:25">
      <c r="A404">
        <v>11057</v>
      </c>
      <c r="B404" t="s">
        <v>1502</v>
      </c>
      <c r="D404">
        <v>1160</v>
      </c>
      <c r="E404" t="s">
        <v>1504</v>
      </c>
      <c r="F404" s="4">
        <v>42111</v>
      </c>
      <c r="G404" s="4" t="s">
        <v>192</v>
      </c>
      <c r="H404" s="4" t="s">
        <v>1551</v>
      </c>
      <c r="I404" s="4">
        <v>0</v>
      </c>
      <c r="J404" s="4"/>
      <c r="K404" s="4"/>
      <c r="L404" s="4"/>
      <c r="M404" s="4"/>
      <c r="N404" s="4"/>
      <c r="O404" s="4">
        <v>0</v>
      </c>
      <c r="P404" s="4">
        <v>42111.471296296295</v>
      </c>
      <c r="Q404" s="4"/>
      <c r="R404" s="4"/>
      <c r="S404" s="79">
        <f>DbLinkTable[[#This Row],[Credit]]+DbLinkTable[[#This Row],[Charge]]</f>
        <v>0</v>
      </c>
      <c r="T404" s="79">
        <f>IF(DbLinkTable[[#This Row],[Price/lb]]*DbLinkTable[[#This Row],[Weight]]&gt;0,DbLinkTable[[#This Row],[Price/lb]]*DbLinkTable[[#This Row],[Weight]],0)</f>
        <v>0</v>
      </c>
      <c r="U404" s="79">
        <f>IF(DbLinkTable[[#This Row],[Price/lb]]*DbLinkTable[[#This Row],[Weight]]&lt;0,DbLinkTable[[#This Row],[Price/lb]]*DbLinkTable[[#This Row],[Weight]],0)</f>
        <v>0</v>
      </c>
      <c r="V404" s="4">
        <f>IF(COUNTIF($W$2:W404,W404)=1,1,"")</f>
        <v>1</v>
      </c>
      <c r="W404" s="4" t="str">
        <f>CONCATENATE(DbLinkTable[[#This Row],[Customer]],UPPER(DbLinkTable[[#This Row],[Trailer Number]]),DbLinkTable[[#This Row],[Day Received]])</f>
        <v>Company14MOL42111</v>
      </c>
      <c r="X404" s="4">
        <f>DATEVALUE(TEXT(DbLinkTable[[#This Row],[Date Received]],"MMMM YYYY"))</f>
        <v>42095</v>
      </c>
      <c r="Y404" s="4">
        <f>INT(DbLinkTable[[#This Row],[Date Received]])</f>
        <v>42111</v>
      </c>
    </row>
    <row r="405" spans="1:25">
      <c r="A405">
        <v>11058</v>
      </c>
      <c r="B405" t="s">
        <v>1502</v>
      </c>
      <c r="D405">
        <v>385</v>
      </c>
      <c r="E405" t="s">
        <v>1504</v>
      </c>
      <c r="F405" s="4">
        <v>42111</v>
      </c>
      <c r="G405" s="4" t="s">
        <v>192</v>
      </c>
      <c r="H405" s="4" t="s">
        <v>1551</v>
      </c>
      <c r="I405" s="4">
        <v>0</v>
      </c>
      <c r="J405" s="4"/>
      <c r="K405" s="4"/>
      <c r="L405" s="4"/>
      <c r="M405" s="4"/>
      <c r="N405" s="4"/>
      <c r="O405" s="4">
        <v>0</v>
      </c>
      <c r="P405" s="4">
        <v>42111.478946759256</v>
      </c>
      <c r="Q405" s="4"/>
      <c r="R405" s="4"/>
      <c r="S405" s="79">
        <f>DbLinkTable[[#This Row],[Credit]]+DbLinkTable[[#This Row],[Charge]]</f>
        <v>0</v>
      </c>
      <c r="T405" s="79">
        <f>IF(DbLinkTable[[#This Row],[Price/lb]]*DbLinkTable[[#This Row],[Weight]]&gt;0,DbLinkTable[[#This Row],[Price/lb]]*DbLinkTable[[#This Row],[Weight]],0)</f>
        <v>0</v>
      </c>
      <c r="U405" s="79">
        <f>IF(DbLinkTable[[#This Row],[Price/lb]]*DbLinkTable[[#This Row],[Weight]]&lt;0,DbLinkTable[[#This Row],[Price/lb]]*DbLinkTable[[#This Row],[Weight]],0)</f>
        <v>0</v>
      </c>
      <c r="V405" s="4" t="str">
        <f>IF(COUNTIF($W$2:W405,W405)=1,1,"")</f>
        <v/>
      </c>
      <c r="W405" s="4" t="str">
        <f>CONCATENATE(DbLinkTable[[#This Row],[Customer]],UPPER(DbLinkTable[[#This Row],[Trailer Number]]),DbLinkTable[[#This Row],[Day Received]])</f>
        <v>Company14MOL42111</v>
      </c>
      <c r="X405" s="4">
        <f>DATEVALUE(TEXT(DbLinkTable[[#This Row],[Date Received]],"MMMM YYYY"))</f>
        <v>42095</v>
      </c>
      <c r="Y405" s="4">
        <f>INT(DbLinkTable[[#This Row],[Date Received]])</f>
        <v>42111</v>
      </c>
    </row>
    <row r="406" spans="1:25">
      <c r="A406">
        <v>11059</v>
      </c>
      <c r="B406" t="s">
        <v>1502</v>
      </c>
      <c r="D406">
        <v>253</v>
      </c>
      <c r="E406" t="s">
        <v>1504</v>
      </c>
      <c r="F406" s="4">
        <v>42111</v>
      </c>
      <c r="G406" s="4" t="s">
        <v>192</v>
      </c>
      <c r="H406" s="4" t="s">
        <v>1551</v>
      </c>
      <c r="I406" s="4">
        <v>0</v>
      </c>
      <c r="J406" s="4"/>
      <c r="K406" s="4"/>
      <c r="L406" s="4"/>
      <c r="M406" s="4"/>
      <c r="N406" s="4"/>
      <c r="O406" s="4">
        <v>0</v>
      </c>
      <c r="P406" s="4">
        <v>42111.485532407409</v>
      </c>
      <c r="Q406" s="4"/>
      <c r="R406" s="4"/>
      <c r="S406" s="79">
        <f>DbLinkTable[[#This Row],[Credit]]+DbLinkTable[[#This Row],[Charge]]</f>
        <v>0</v>
      </c>
      <c r="T406" s="79">
        <f>IF(DbLinkTable[[#This Row],[Price/lb]]*DbLinkTable[[#This Row],[Weight]]&gt;0,DbLinkTable[[#This Row],[Price/lb]]*DbLinkTable[[#This Row],[Weight]],0)</f>
        <v>0</v>
      </c>
      <c r="U406" s="79">
        <f>IF(DbLinkTable[[#This Row],[Price/lb]]*DbLinkTable[[#This Row],[Weight]]&lt;0,DbLinkTable[[#This Row],[Price/lb]]*DbLinkTable[[#This Row],[Weight]],0)</f>
        <v>0</v>
      </c>
      <c r="V406" s="4" t="str">
        <f>IF(COUNTIF($W$2:W406,W406)=1,1,"")</f>
        <v/>
      </c>
      <c r="W406" s="4" t="str">
        <f>CONCATENATE(DbLinkTable[[#This Row],[Customer]],UPPER(DbLinkTable[[#This Row],[Trailer Number]]),DbLinkTable[[#This Row],[Day Received]])</f>
        <v>Company14MOL42111</v>
      </c>
      <c r="X406" s="4">
        <f>DATEVALUE(TEXT(DbLinkTable[[#This Row],[Date Received]],"MMMM YYYY"))</f>
        <v>42095</v>
      </c>
      <c r="Y406" s="4">
        <f>INT(DbLinkTable[[#This Row],[Date Received]])</f>
        <v>42111</v>
      </c>
    </row>
    <row r="407" spans="1:25">
      <c r="A407">
        <v>11060</v>
      </c>
      <c r="B407" t="s">
        <v>45</v>
      </c>
      <c r="D407">
        <v>90</v>
      </c>
      <c r="E407" t="s">
        <v>1504</v>
      </c>
      <c r="F407" s="4">
        <v>42111</v>
      </c>
      <c r="G407" s="4" t="s">
        <v>192</v>
      </c>
      <c r="H407" s="4" t="s">
        <v>1551</v>
      </c>
      <c r="I407" s="4">
        <v>0</v>
      </c>
      <c r="J407" s="4"/>
      <c r="K407" s="4"/>
      <c r="L407" s="4"/>
      <c r="M407" s="4"/>
      <c r="N407" s="4"/>
      <c r="O407" s="4">
        <v>0</v>
      </c>
      <c r="P407" s="4">
        <v>42111.494814814818</v>
      </c>
      <c r="Q407" s="4"/>
      <c r="R407" s="4"/>
      <c r="S407" s="79">
        <f>DbLinkTable[[#This Row],[Credit]]+DbLinkTable[[#This Row],[Charge]]</f>
        <v>0</v>
      </c>
      <c r="T407" s="79">
        <f>IF(DbLinkTable[[#This Row],[Price/lb]]*DbLinkTable[[#This Row],[Weight]]&gt;0,DbLinkTable[[#This Row],[Price/lb]]*DbLinkTable[[#This Row],[Weight]],0)</f>
        <v>0</v>
      </c>
      <c r="U407" s="79">
        <f>IF(DbLinkTable[[#This Row],[Price/lb]]*DbLinkTable[[#This Row],[Weight]]&lt;0,DbLinkTable[[#This Row],[Price/lb]]*DbLinkTable[[#This Row],[Weight]],0)</f>
        <v>0</v>
      </c>
      <c r="V407" s="4" t="str">
        <f>IF(COUNTIF($W$2:W407,W407)=1,1,"")</f>
        <v/>
      </c>
      <c r="W407" s="4" t="str">
        <f>CONCATENATE(DbLinkTable[[#This Row],[Customer]],UPPER(DbLinkTable[[#This Row],[Trailer Number]]),DbLinkTable[[#This Row],[Day Received]])</f>
        <v>Company14MOL42111</v>
      </c>
      <c r="X407" s="4">
        <f>DATEVALUE(TEXT(DbLinkTable[[#This Row],[Date Received]],"MMMM YYYY"))</f>
        <v>42095</v>
      </c>
      <c r="Y407" s="4">
        <f>INT(DbLinkTable[[#This Row],[Date Received]])</f>
        <v>42111</v>
      </c>
    </row>
    <row r="408" spans="1:25">
      <c r="A408">
        <v>11061</v>
      </c>
      <c r="B408" t="s">
        <v>45</v>
      </c>
      <c r="D408">
        <v>134</v>
      </c>
      <c r="E408" t="s">
        <v>1504</v>
      </c>
      <c r="F408" s="4">
        <v>42111</v>
      </c>
      <c r="G408" s="4" t="s">
        <v>192</v>
      </c>
      <c r="H408" s="4" t="s">
        <v>1551</v>
      </c>
      <c r="I408" s="4">
        <v>0</v>
      </c>
      <c r="J408" s="4"/>
      <c r="K408" s="4"/>
      <c r="L408" s="4"/>
      <c r="M408" s="4"/>
      <c r="N408" s="4"/>
      <c r="O408" s="4">
        <v>0</v>
      </c>
      <c r="P408" s="4">
        <v>42111.496180555558</v>
      </c>
      <c r="Q408" s="4"/>
      <c r="R408" s="4"/>
      <c r="S408" s="79">
        <f>DbLinkTable[[#This Row],[Credit]]+DbLinkTable[[#This Row],[Charge]]</f>
        <v>0</v>
      </c>
      <c r="T408" s="79">
        <f>IF(DbLinkTable[[#This Row],[Price/lb]]*DbLinkTable[[#This Row],[Weight]]&gt;0,DbLinkTable[[#This Row],[Price/lb]]*DbLinkTable[[#This Row],[Weight]],0)</f>
        <v>0</v>
      </c>
      <c r="U408" s="79">
        <f>IF(DbLinkTable[[#This Row],[Price/lb]]*DbLinkTable[[#This Row],[Weight]]&lt;0,DbLinkTable[[#This Row],[Price/lb]]*DbLinkTable[[#This Row],[Weight]],0)</f>
        <v>0</v>
      </c>
      <c r="V408" s="4" t="str">
        <f>IF(COUNTIF($W$2:W408,W408)=1,1,"")</f>
        <v/>
      </c>
      <c r="W408" s="4" t="str">
        <f>CONCATENATE(DbLinkTable[[#This Row],[Customer]],UPPER(DbLinkTable[[#This Row],[Trailer Number]]),DbLinkTable[[#This Row],[Day Received]])</f>
        <v>Company14MOL42111</v>
      </c>
      <c r="X408" s="4">
        <f>DATEVALUE(TEXT(DbLinkTable[[#This Row],[Date Received]],"MMMM YYYY"))</f>
        <v>42095</v>
      </c>
      <c r="Y408" s="4">
        <f>INT(DbLinkTable[[#This Row],[Date Received]])</f>
        <v>42111</v>
      </c>
    </row>
    <row r="409" spans="1:25">
      <c r="A409">
        <v>11062</v>
      </c>
      <c r="B409" t="s">
        <v>1506</v>
      </c>
      <c r="D409">
        <v>366</v>
      </c>
      <c r="E409" t="s">
        <v>1504</v>
      </c>
      <c r="F409" s="4">
        <v>42111</v>
      </c>
      <c r="G409" s="4" t="s">
        <v>192</v>
      </c>
      <c r="H409" s="4" t="s">
        <v>1551</v>
      </c>
      <c r="I409" s="4">
        <v>0</v>
      </c>
      <c r="J409" s="4"/>
      <c r="K409" s="4"/>
      <c r="L409" s="4"/>
      <c r="M409" s="4"/>
      <c r="N409" s="4"/>
      <c r="O409" s="4">
        <v>0</v>
      </c>
      <c r="P409" s="4">
        <v>42111.497928240744</v>
      </c>
      <c r="Q409" s="4"/>
      <c r="R409" s="4"/>
      <c r="S409" s="79">
        <f>DbLinkTable[[#This Row],[Credit]]+DbLinkTable[[#This Row],[Charge]]</f>
        <v>0</v>
      </c>
      <c r="T409" s="79">
        <f>IF(DbLinkTable[[#This Row],[Price/lb]]*DbLinkTable[[#This Row],[Weight]]&gt;0,DbLinkTable[[#This Row],[Price/lb]]*DbLinkTable[[#This Row],[Weight]],0)</f>
        <v>0</v>
      </c>
      <c r="U409" s="79">
        <f>IF(DbLinkTable[[#This Row],[Price/lb]]*DbLinkTable[[#This Row],[Weight]]&lt;0,DbLinkTable[[#This Row],[Price/lb]]*DbLinkTable[[#This Row],[Weight]],0)</f>
        <v>0</v>
      </c>
      <c r="V409" s="4" t="str">
        <f>IF(COUNTIF($W$2:W409,W409)=1,1,"")</f>
        <v/>
      </c>
      <c r="W409" s="4" t="str">
        <f>CONCATENATE(DbLinkTable[[#This Row],[Customer]],UPPER(DbLinkTable[[#This Row],[Trailer Number]]),DbLinkTable[[#This Row],[Day Received]])</f>
        <v>Company14MOL42111</v>
      </c>
      <c r="X409" s="4">
        <f>DATEVALUE(TEXT(DbLinkTable[[#This Row],[Date Received]],"MMMM YYYY"))</f>
        <v>42095</v>
      </c>
      <c r="Y409" s="4">
        <f>INT(DbLinkTable[[#This Row],[Date Received]])</f>
        <v>42111</v>
      </c>
    </row>
    <row r="410" spans="1:25">
      <c r="A410">
        <v>11063</v>
      </c>
      <c r="B410" t="s">
        <v>1502</v>
      </c>
      <c r="D410">
        <v>52</v>
      </c>
      <c r="E410" t="s">
        <v>1504</v>
      </c>
      <c r="F410" s="4">
        <v>42111</v>
      </c>
      <c r="G410" s="4" t="s">
        <v>192</v>
      </c>
      <c r="H410" s="4" t="s">
        <v>1551</v>
      </c>
      <c r="I410" s="4">
        <v>0</v>
      </c>
      <c r="J410" s="4"/>
      <c r="K410" s="4"/>
      <c r="L410" s="4"/>
      <c r="M410" s="4"/>
      <c r="N410" s="4"/>
      <c r="O410" s="4">
        <v>0</v>
      </c>
      <c r="P410" s="4">
        <v>42111.501585648148</v>
      </c>
      <c r="Q410" s="4"/>
      <c r="R410" s="4"/>
      <c r="S410" s="79">
        <f>DbLinkTable[[#This Row],[Credit]]+DbLinkTable[[#This Row],[Charge]]</f>
        <v>0</v>
      </c>
      <c r="T410" s="79">
        <f>IF(DbLinkTable[[#This Row],[Price/lb]]*DbLinkTable[[#This Row],[Weight]]&gt;0,DbLinkTable[[#This Row],[Price/lb]]*DbLinkTable[[#This Row],[Weight]],0)</f>
        <v>0</v>
      </c>
      <c r="U410" s="79">
        <f>IF(DbLinkTable[[#This Row],[Price/lb]]*DbLinkTable[[#This Row],[Weight]]&lt;0,DbLinkTable[[#This Row],[Price/lb]]*DbLinkTable[[#This Row],[Weight]],0)</f>
        <v>0</v>
      </c>
      <c r="V410" s="4" t="str">
        <f>IF(COUNTIF($W$2:W410,W410)=1,1,"")</f>
        <v/>
      </c>
      <c r="W410" s="4" t="str">
        <f>CONCATENATE(DbLinkTable[[#This Row],[Customer]],UPPER(DbLinkTable[[#This Row],[Trailer Number]]),DbLinkTable[[#This Row],[Day Received]])</f>
        <v>Company14MOL42111</v>
      </c>
      <c r="X410" s="4">
        <f>DATEVALUE(TEXT(DbLinkTable[[#This Row],[Date Received]],"MMMM YYYY"))</f>
        <v>42095</v>
      </c>
      <c r="Y410" s="4">
        <f>INT(DbLinkTable[[#This Row],[Date Received]])</f>
        <v>42111</v>
      </c>
    </row>
    <row r="411" spans="1:25">
      <c r="A411">
        <v>11064</v>
      </c>
      <c r="B411" t="s">
        <v>46</v>
      </c>
      <c r="C411" t="s">
        <v>1552</v>
      </c>
      <c r="D411">
        <v>309</v>
      </c>
      <c r="E411" t="s">
        <v>1504</v>
      </c>
      <c r="F411" s="4">
        <v>42111</v>
      </c>
      <c r="G411" s="4" t="s">
        <v>192</v>
      </c>
      <c r="H411" s="4" t="s">
        <v>1551</v>
      </c>
      <c r="I411" s="4">
        <v>0</v>
      </c>
      <c r="J411" s="4"/>
      <c r="K411" s="4"/>
      <c r="L411" s="4"/>
      <c r="M411" s="4"/>
      <c r="N411" s="4"/>
      <c r="O411" s="4">
        <v>0</v>
      </c>
      <c r="P411" s="4">
        <v>42111.531365740739</v>
      </c>
      <c r="Q411" s="4"/>
      <c r="R411" s="4"/>
      <c r="S411" s="79">
        <f>DbLinkTable[[#This Row],[Credit]]+DbLinkTable[[#This Row],[Charge]]</f>
        <v>0</v>
      </c>
      <c r="T411" s="79">
        <f>IF(DbLinkTable[[#This Row],[Price/lb]]*DbLinkTable[[#This Row],[Weight]]&gt;0,DbLinkTable[[#This Row],[Price/lb]]*DbLinkTable[[#This Row],[Weight]],0)</f>
        <v>0</v>
      </c>
      <c r="U411" s="79">
        <f>IF(DbLinkTable[[#This Row],[Price/lb]]*DbLinkTable[[#This Row],[Weight]]&lt;0,DbLinkTable[[#This Row],[Price/lb]]*DbLinkTable[[#This Row],[Weight]],0)</f>
        <v>0</v>
      </c>
      <c r="V411" s="4" t="str">
        <f>IF(COUNTIF($W$2:W411,W411)=1,1,"")</f>
        <v/>
      </c>
      <c r="W411" s="4" t="str">
        <f>CONCATENATE(DbLinkTable[[#This Row],[Customer]],UPPER(DbLinkTable[[#This Row],[Trailer Number]]),DbLinkTable[[#This Row],[Day Received]])</f>
        <v>Company14MOL42111</v>
      </c>
      <c r="X411" s="4">
        <f>DATEVALUE(TEXT(DbLinkTable[[#This Row],[Date Received]],"MMMM YYYY"))</f>
        <v>42095</v>
      </c>
      <c r="Y411" s="4">
        <f>INT(DbLinkTable[[#This Row],[Date Received]])</f>
        <v>42111</v>
      </c>
    </row>
    <row r="412" spans="1:25">
      <c r="A412">
        <v>11065</v>
      </c>
      <c r="B412" t="s">
        <v>45</v>
      </c>
      <c r="D412">
        <v>277</v>
      </c>
      <c r="E412" t="s">
        <v>1504</v>
      </c>
      <c r="F412" s="4">
        <v>42111</v>
      </c>
      <c r="G412" s="4" t="s">
        <v>192</v>
      </c>
      <c r="H412" s="4" t="s">
        <v>1551</v>
      </c>
      <c r="I412" s="4">
        <v>0</v>
      </c>
      <c r="J412" s="4"/>
      <c r="K412" s="4"/>
      <c r="L412" s="4"/>
      <c r="M412" s="4"/>
      <c r="N412" s="4"/>
      <c r="O412" s="4">
        <v>0</v>
      </c>
      <c r="P412" s="4">
        <v>42111.533217592594</v>
      </c>
      <c r="Q412" s="4"/>
      <c r="R412" s="4"/>
      <c r="S412" s="79">
        <f>DbLinkTable[[#This Row],[Credit]]+DbLinkTable[[#This Row],[Charge]]</f>
        <v>0</v>
      </c>
      <c r="T412" s="79">
        <f>IF(DbLinkTable[[#This Row],[Price/lb]]*DbLinkTable[[#This Row],[Weight]]&gt;0,DbLinkTable[[#This Row],[Price/lb]]*DbLinkTable[[#This Row],[Weight]],0)</f>
        <v>0</v>
      </c>
      <c r="U412" s="79">
        <f>IF(DbLinkTable[[#This Row],[Price/lb]]*DbLinkTable[[#This Row],[Weight]]&lt;0,DbLinkTable[[#This Row],[Price/lb]]*DbLinkTable[[#This Row],[Weight]],0)</f>
        <v>0</v>
      </c>
      <c r="V412" s="4" t="str">
        <f>IF(COUNTIF($W$2:W412,W412)=1,1,"")</f>
        <v/>
      </c>
      <c r="W412" s="4" t="str">
        <f>CONCATENATE(DbLinkTable[[#This Row],[Customer]],UPPER(DbLinkTable[[#This Row],[Trailer Number]]),DbLinkTable[[#This Row],[Day Received]])</f>
        <v>Company14MOL42111</v>
      </c>
      <c r="X412" s="4">
        <f>DATEVALUE(TEXT(DbLinkTable[[#This Row],[Date Received]],"MMMM YYYY"))</f>
        <v>42095</v>
      </c>
      <c r="Y412" s="4">
        <f>INT(DbLinkTable[[#This Row],[Date Received]])</f>
        <v>42111</v>
      </c>
    </row>
    <row r="413" spans="1:25">
      <c r="A413">
        <v>11066</v>
      </c>
      <c r="B413" t="s">
        <v>46</v>
      </c>
      <c r="D413">
        <v>749</v>
      </c>
      <c r="E413" t="s">
        <v>1504</v>
      </c>
      <c r="F413" s="4">
        <v>42111</v>
      </c>
      <c r="G413" s="4" t="s">
        <v>192</v>
      </c>
      <c r="H413" s="4" t="s">
        <v>1551</v>
      </c>
      <c r="I413" s="4">
        <v>0</v>
      </c>
      <c r="J413" s="4"/>
      <c r="K413" s="4"/>
      <c r="L413" s="4"/>
      <c r="M413" s="4"/>
      <c r="N413" s="4"/>
      <c r="O413" s="4">
        <v>0</v>
      </c>
      <c r="P413" s="4">
        <v>42111.536712962959</v>
      </c>
      <c r="Q413" s="4"/>
      <c r="R413" s="4"/>
      <c r="S413" s="79">
        <f>DbLinkTable[[#This Row],[Credit]]+DbLinkTable[[#This Row],[Charge]]</f>
        <v>0</v>
      </c>
      <c r="T413" s="79">
        <f>IF(DbLinkTable[[#This Row],[Price/lb]]*DbLinkTable[[#This Row],[Weight]]&gt;0,DbLinkTable[[#This Row],[Price/lb]]*DbLinkTable[[#This Row],[Weight]],0)</f>
        <v>0</v>
      </c>
      <c r="U413" s="79">
        <f>IF(DbLinkTable[[#This Row],[Price/lb]]*DbLinkTable[[#This Row],[Weight]]&lt;0,DbLinkTable[[#This Row],[Price/lb]]*DbLinkTable[[#This Row],[Weight]],0)</f>
        <v>0</v>
      </c>
      <c r="V413" s="4" t="str">
        <f>IF(COUNTIF($W$2:W413,W413)=1,1,"")</f>
        <v/>
      </c>
      <c r="W413" s="4" t="str">
        <f>CONCATENATE(DbLinkTable[[#This Row],[Customer]],UPPER(DbLinkTable[[#This Row],[Trailer Number]]),DbLinkTable[[#This Row],[Day Received]])</f>
        <v>Company14MOL42111</v>
      </c>
      <c r="X413" s="4">
        <f>DATEVALUE(TEXT(DbLinkTable[[#This Row],[Date Received]],"MMMM YYYY"))</f>
        <v>42095</v>
      </c>
      <c r="Y413" s="4">
        <f>INT(DbLinkTable[[#This Row],[Date Received]])</f>
        <v>42111</v>
      </c>
    </row>
    <row r="414" spans="1:25">
      <c r="A414">
        <v>11067</v>
      </c>
      <c r="B414" t="s">
        <v>46</v>
      </c>
      <c r="D414">
        <v>211</v>
      </c>
      <c r="E414" t="s">
        <v>1504</v>
      </c>
      <c r="F414" s="4">
        <v>42111</v>
      </c>
      <c r="G414" s="4" t="s">
        <v>192</v>
      </c>
      <c r="H414" s="4" t="s">
        <v>1551</v>
      </c>
      <c r="I414" s="4">
        <v>0</v>
      </c>
      <c r="J414" s="4"/>
      <c r="K414" s="4"/>
      <c r="L414" s="4"/>
      <c r="M414" s="4"/>
      <c r="N414" s="4"/>
      <c r="O414" s="4">
        <v>0</v>
      </c>
      <c r="P414" s="4">
        <v>42111.541307870371</v>
      </c>
      <c r="Q414" s="4"/>
      <c r="R414" s="4"/>
      <c r="S414" s="79">
        <f>DbLinkTable[[#This Row],[Credit]]+DbLinkTable[[#This Row],[Charge]]</f>
        <v>0</v>
      </c>
      <c r="T414" s="79">
        <f>IF(DbLinkTable[[#This Row],[Price/lb]]*DbLinkTable[[#This Row],[Weight]]&gt;0,DbLinkTable[[#This Row],[Price/lb]]*DbLinkTable[[#This Row],[Weight]],0)</f>
        <v>0</v>
      </c>
      <c r="U414" s="79">
        <f>IF(DbLinkTable[[#This Row],[Price/lb]]*DbLinkTable[[#This Row],[Weight]]&lt;0,DbLinkTable[[#This Row],[Price/lb]]*DbLinkTable[[#This Row],[Weight]],0)</f>
        <v>0</v>
      </c>
      <c r="V414" s="4" t="str">
        <f>IF(COUNTIF($W$2:W414,W414)=1,1,"")</f>
        <v/>
      </c>
      <c r="W414" s="4" t="str">
        <f>CONCATENATE(DbLinkTable[[#This Row],[Customer]],UPPER(DbLinkTable[[#This Row],[Trailer Number]]),DbLinkTable[[#This Row],[Day Received]])</f>
        <v>Company14MOL42111</v>
      </c>
      <c r="X414" s="4">
        <f>DATEVALUE(TEXT(DbLinkTable[[#This Row],[Date Received]],"MMMM YYYY"))</f>
        <v>42095</v>
      </c>
      <c r="Y414" s="4">
        <f>INT(DbLinkTable[[#This Row],[Date Received]])</f>
        <v>42111</v>
      </c>
    </row>
    <row r="415" spans="1:25">
      <c r="A415">
        <v>11068</v>
      </c>
      <c r="B415" t="s">
        <v>45</v>
      </c>
      <c r="D415">
        <v>66</v>
      </c>
      <c r="E415" t="s">
        <v>1504</v>
      </c>
      <c r="F415" s="4">
        <v>42111</v>
      </c>
      <c r="G415" s="4" t="s">
        <v>192</v>
      </c>
      <c r="H415" s="4" t="s">
        <v>1551</v>
      </c>
      <c r="I415" s="4">
        <v>0</v>
      </c>
      <c r="J415" s="4"/>
      <c r="K415" s="4"/>
      <c r="L415" s="4"/>
      <c r="M415" s="4"/>
      <c r="N415" s="4"/>
      <c r="O415" s="4">
        <v>0</v>
      </c>
      <c r="P415" s="4">
        <v>42111.54519675926</v>
      </c>
      <c r="Q415" s="4"/>
      <c r="R415" s="4"/>
      <c r="S415" s="79">
        <f>DbLinkTable[[#This Row],[Credit]]+DbLinkTable[[#This Row],[Charge]]</f>
        <v>0</v>
      </c>
      <c r="T415" s="79">
        <f>IF(DbLinkTable[[#This Row],[Price/lb]]*DbLinkTable[[#This Row],[Weight]]&gt;0,DbLinkTable[[#This Row],[Price/lb]]*DbLinkTable[[#This Row],[Weight]],0)</f>
        <v>0</v>
      </c>
      <c r="U415" s="79">
        <f>IF(DbLinkTable[[#This Row],[Price/lb]]*DbLinkTable[[#This Row],[Weight]]&lt;0,DbLinkTable[[#This Row],[Price/lb]]*DbLinkTable[[#This Row],[Weight]],0)</f>
        <v>0</v>
      </c>
      <c r="V415" s="4" t="str">
        <f>IF(COUNTIF($W$2:W415,W415)=1,1,"")</f>
        <v/>
      </c>
      <c r="W415" s="4" t="str">
        <f>CONCATENATE(DbLinkTable[[#This Row],[Customer]],UPPER(DbLinkTable[[#This Row],[Trailer Number]]),DbLinkTable[[#This Row],[Day Received]])</f>
        <v>Company14MOL42111</v>
      </c>
      <c r="X415" s="4">
        <f>DATEVALUE(TEXT(DbLinkTable[[#This Row],[Date Received]],"MMMM YYYY"))</f>
        <v>42095</v>
      </c>
      <c r="Y415" s="4">
        <f>INT(DbLinkTable[[#This Row],[Date Received]])</f>
        <v>42111</v>
      </c>
    </row>
    <row r="416" spans="1:25">
      <c r="A416">
        <v>11069</v>
      </c>
      <c r="B416" t="s">
        <v>1502</v>
      </c>
      <c r="D416">
        <v>57</v>
      </c>
      <c r="E416" t="s">
        <v>1504</v>
      </c>
      <c r="F416" s="4">
        <v>42111</v>
      </c>
      <c r="G416" s="4" t="s">
        <v>192</v>
      </c>
      <c r="H416" s="4" t="s">
        <v>1551</v>
      </c>
      <c r="I416" s="4">
        <v>0</v>
      </c>
      <c r="J416" s="4"/>
      <c r="K416" s="4"/>
      <c r="L416" s="4"/>
      <c r="M416" s="4"/>
      <c r="N416" s="4"/>
      <c r="O416" s="4">
        <v>0</v>
      </c>
      <c r="P416" s="4">
        <v>42111.547673611109</v>
      </c>
      <c r="Q416" s="4"/>
      <c r="R416" s="4"/>
      <c r="S416" s="79">
        <f>DbLinkTable[[#This Row],[Credit]]+DbLinkTable[[#This Row],[Charge]]</f>
        <v>0</v>
      </c>
      <c r="T416" s="79">
        <f>IF(DbLinkTable[[#This Row],[Price/lb]]*DbLinkTable[[#This Row],[Weight]]&gt;0,DbLinkTable[[#This Row],[Price/lb]]*DbLinkTable[[#This Row],[Weight]],0)</f>
        <v>0</v>
      </c>
      <c r="U416" s="79">
        <f>IF(DbLinkTable[[#This Row],[Price/lb]]*DbLinkTable[[#This Row],[Weight]]&lt;0,DbLinkTable[[#This Row],[Price/lb]]*DbLinkTable[[#This Row],[Weight]],0)</f>
        <v>0</v>
      </c>
      <c r="V416" s="4" t="str">
        <f>IF(COUNTIF($W$2:W416,W416)=1,1,"")</f>
        <v/>
      </c>
      <c r="W416" s="4" t="str">
        <f>CONCATENATE(DbLinkTable[[#This Row],[Customer]],UPPER(DbLinkTable[[#This Row],[Trailer Number]]),DbLinkTable[[#This Row],[Day Received]])</f>
        <v>Company14MOL42111</v>
      </c>
      <c r="X416" s="4">
        <f>DATEVALUE(TEXT(DbLinkTable[[#This Row],[Date Received]],"MMMM YYYY"))</f>
        <v>42095</v>
      </c>
      <c r="Y416" s="4">
        <f>INT(DbLinkTable[[#This Row],[Date Received]])</f>
        <v>42111</v>
      </c>
    </row>
    <row r="417" spans="1:25">
      <c r="A417">
        <v>11070</v>
      </c>
      <c r="B417" t="s">
        <v>45</v>
      </c>
      <c r="D417">
        <v>249</v>
      </c>
      <c r="E417" t="s">
        <v>1504</v>
      </c>
      <c r="F417" s="4">
        <v>42111</v>
      </c>
      <c r="G417" s="4" t="s">
        <v>192</v>
      </c>
      <c r="H417" s="4" t="s">
        <v>1551</v>
      </c>
      <c r="I417" s="4">
        <v>0</v>
      </c>
      <c r="J417" s="4"/>
      <c r="K417" s="4"/>
      <c r="L417" s="4"/>
      <c r="M417" s="4"/>
      <c r="N417" s="4"/>
      <c r="O417" s="4">
        <v>0</v>
      </c>
      <c r="P417" s="4">
        <v>42111.551076388889</v>
      </c>
      <c r="Q417" s="4"/>
      <c r="R417" s="4"/>
      <c r="S417" s="79">
        <f>DbLinkTable[[#This Row],[Credit]]+DbLinkTable[[#This Row],[Charge]]</f>
        <v>0</v>
      </c>
      <c r="T417" s="79">
        <f>IF(DbLinkTable[[#This Row],[Price/lb]]*DbLinkTable[[#This Row],[Weight]]&gt;0,DbLinkTable[[#This Row],[Price/lb]]*DbLinkTable[[#This Row],[Weight]],0)</f>
        <v>0</v>
      </c>
      <c r="U417" s="79">
        <f>IF(DbLinkTable[[#This Row],[Price/lb]]*DbLinkTable[[#This Row],[Weight]]&lt;0,DbLinkTable[[#This Row],[Price/lb]]*DbLinkTable[[#This Row],[Weight]],0)</f>
        <v>0</v>
      </c>
      <c r="V417" s="4" t="str">
        <f>IF(COUNTIF($W$2:W417,W417)=1,1,"")</f>
        <v/>
      </c>
      <c r="W417" s="4" t="str">
        <f>CONCATENATE(DbLinkTable[[#This Row],[Customer]],UPPER(DbLinkTable[[#This Row],[Trailer Number]]),DbLinkTable[[#This Row],[Day Received]])</f>
        <v>Company14MOL42111</v>
      </c>
      <c r="X417" s="4">
        <f>DATEVALUE(TEXT(DbLinkTable[[#This Row],[Date Received]],"MMMM YYYY"))</f>
        <v>42095</v>
      </c>
      <c r="Y417" s="4">
        <f>INT(DbLinkTable[[#This Row],[Date Received]])</f>
        <v>42111</v>
      </c>
    </row>
    <row r="418" spans="1:25">
      <c r="A418">
        <v>11083</v>
      </c>
      <c r="B418" t="s">
        <v>1506</v>
      </c>
      <c r="D418">
        <v>806</v>
      </c>
      <c r="E418" t="s">
        <v>1504</v>
      </c>
      <c r="F418" s="4">
        <v>42114</v>
      </c>
      <c r="G418" s="4" t="s">
        <v>192</v>
      </c>
      <c r="H418" s="4" t="s">
        <v>1538</v>
      </c>
      <c r="I418" s="4">
        <v>0</v>
      </c>
      <c r="J418" s="4"/>
      <c r="K418" s="4"/>
      <c r="L418" s="4"/>
      <c r="M418" s="4"/>
      <c r="N418" s="4"/>
      <c r="O418" s="4">
        <v>0</v>
      </c>
      <c r="P418" s="4">
        <v>42114.471053240741</v>
      </c>
      <c r="Q418" s="4"/>
      <c r="R418" s="4"/>
      <c r="S418" s="79">
        <f>DbLinkTable[[#This Row],[Credit]]+DbLinkTable[[#This Row],[Charge]]</f>
        <v>0</v>
      </c>
      <c r="T418" s="79">
        <f>IF(DbLinkTable[[#This Row],[Price/lb]]*DbLinkTable[[#This Row],[Weight]]&gt;0,DbLinkTable[[#This Row],[Price/lb]]*DbLinkTable[[#This Row],[Weight]],0)</f>
        <v>0</v>
      </c>
      <c r="U418" s="79">
        <f>IF(DbLinkTable[[#This Row],[Price/lb]]*DbLinkTable[[#This Row],[Weight]]&lt;0,DbLinkTable[[#This Row],[Price/lb]]*DbLinkTable[[#This Row],[Weight]],0)</f>
        <v>0</v>
      </c>
      <c r="V418" s="4">
        <f>IF(COUNTIF($W$2:W418,W418)=1,1,"")</f>
        <v>1</v>
      </c>
      <c r="W418" s="4" t="str">
        <f>CONCATENATE(DbLinkTable[[#This Row],[Customer]],UPPER(DbLinkTable[[#This Row],[Trailer Number]]),DbLinkTable[[#This Row],[Day Received]])</f>
        <v>Company14TA93686342114</v>
      </c>
      <c r="X418" s="4">
        <f>DATEVALUE(TEXT(DbLinkTable[[#This Row],[Date Received]],"MMMM YYYY"))</f>
        <v>42095</v>
      </c>
      <c r="Y418" s="4">
        <f>INT(DbLinkTable[[#This Row],[Date Received]])</f>
        <v>42114</v>
      </c>
    </row>
    <row r="419" spans="1:25">
      <c r="A419">
        <v>11084</v>
      </c>
      <c r="B419" t="s">
        <v>1506</v>
      </c>
      <c r="D419">
        <v>511</v>
      </c>
      <c r="E419" t="s">
        <v>1504</v>
      </c>
      <c r="F419" s="4">
        <v>42114</v>
      </c>
      <c r="G419" s="4" t="s">
        <v>192</v>
      </c>
      <c r="H419" s="4" t="s">
        <v>1538</v>
      </c>
      <c r="I419" s="4">
        <v>0</v>
      </c>
      <c r="J419" s="4"/>
      <c r="K419" s="4"/>
      <c r="L419" s="4"/>
      <c r="M419" s="4"/>
      <c r="N419" s="4"/>
      <c r="O419" s="4">
        <v>0</v>
      </c>
      <c r="P419" s="4">
        <v>42114.473819444444</v>
      </c>
      <c r="Q419" s="4"/>
      <c r="R419" s="4"/>
      <c r="S419" s="79">
        <f>DbLinkTable[[#This Row],[Credit]]+DbLinkTable[[#This Row],[Charge]]</f>
        <v>0</v>
      </c>
      <c r="T419" s="79">
        <f>IF(DbLinkTable[[#This Row],[Price/lb]]*DbLinkTable[[#This Row],[Weight]]&gt;0,DbLinkTable[[#This Row],[Price/lb]]*DbLinkTable[[#This Row],[Weight]],0)</f>
        <v>0</v>
      </c>
      <c r="U419" s="79">
        <f>IF(DbLinkTable[[#This Row],[Price/lb]]*DbLinkTable[[#This Row],[Weight]]&lt;0,DbLinkTable[[#This Row],[Price/lb]]*DbLinkTable[[#This Row],[Weight]],0)</f>
        <v>0</v>
      </c>
      <c r="V419" s="4" t="str">
        <f>IF(COUNTIF($W$2:W419,W419)=1,1,"")</f>
        <v/>
      </c>
      <c r="W419" s="4" t="str">
        <f>CONCATENATE(DbLinkTable[[#This Row],[Customer]],UPPER(DbLinkTable[[#This Row],[Trailer Number]]),DbLinkTable[[#This Row],[Day Received]])</f>
        <v>Company14TA93686342114</v>
      </c>
      <c r="X419" s="4">
        <f>DATEVALUE(TEXT(DbLinkTable[[#This Row],[Date Received]],"MMMM YYYY"))</f>
        <v>42095</v>
      </c>
      <c r="Y419" s="4">
        <f>INT(DbLinkTable[[#This Row],[Date Received]])</f>
        <v>42114</v>
      </c>
    </row>
    <row r="420" spans="1:25">
      <c r="A420">
        <v>11085</v>
      </c>
      <c r="B420" t="s">
        <v>1506</v>
      </c>
      <c r="D420">
        <v>705</v>
      </c>
      <c r="E420" t="s">
        <v>1504</v>
      </c>
      <c r="F420" s="4">
        <v>42114</v>
      </c>
      <c r="G420" s="4" t="s">
        <v>192</v>
      </c>
      <c r="H420" s="4" t="s">
        <v>1538</v>
      </c>
      <c r="I420" s="4">
        <v>0</v>
      </c>
      <c r="J420" s="4"/>
      <c r="K420" s="4"/>
      <c r="L420" s="4"/>
      <c r="M420" s="4"/>
      <c r="N420" s="4"/>
      <c r="O420" s="4">
        <v>0</v>
      </c>
      <c r="P420" s="4">
        <v>42114.475937499999</v>
      </c>
      <c r="Q420" s="4"/>
      <c r="R420" s="4"/>
      <c r="S420" s="79">
        <f>DbLinkTable[[#This Row],[Credit]]+DbLinkTable[[#This Row],[Charge]]</f>
        <v>0</v>
      </c>
      <c r="T420" s="79">
        <f>IF(DbLinkTable[[#This Row],[Price/lb]]*DbLinkTable[[#This Row],[Weight]]&gt;0,DbLinkTable[[#This Row],[Price/lb]]*DbLinkTable[[#This Row],[Weight]],0)</f>
        <v>0</v>
      </c>
      <c r="U420" s="79">
        <f>IF(DbLinkTable[[#This Row],[Price/lb]]*DbLinkTable[[#This Row],[Weight]]&lt;0,DbLinkTable[[#This Row],[Price/lb]]*DbLinkTable[[#This Row],[Weight]],0)</f>
        <v>0</v>
      </c>
      <c r="V420" s="4" t="str">
        <f>IF(COUNTIF($W$2:W420,W420)=1,1,"")</f>
        <v/>
      </c>
      <c r="W420" s="4" t="str">
        <f>CONCATENATE(DbLinkTable[[#This Row],[Customer]],UPPER(DbLinkTable[[#This Row],[Trailer Number]]),DbLinkTable[[#This Row],[Day Received]])</f>
        <v>Company14TA93686342114</v>
      </c>
      <c r="X420" s="4">
        <f>DATEVALUE(TEXT(DbLinkTable[[#This Row],[Date Received]],"MMMM YYYY"))</f>
        <v>42095</v>
      </c>
      <c r="Y420" s="4">
        <f>INT(DbLinkTable[[#This Row],[Date Received]])</f>
        <v>42114</v>
      </c>
    </row>
    <row r="421" spans="1:25">
      <c r="A421">
        <v>11086</v>
      </c>
      <c r="B421" t="s">
        <v>1506</v>
      </c>
      <c r="D421">
        <v>777</v>
      </c>
      <c r="E421" t="s">
        <v>1504</v>
      </c>
      <c r="F421" s="4">
        <v>42114</v>
      </c>
      <c r="G421" s="4" t="s">
        <v>192</v>
      </c>
      <c r="H421" s="4" t="s">
        <v>1538</v>
      </c>
      <c r="I421" s="4">
        <v>0</v>
      </c>
      <c r="J421" s="4"/>
      <c r="K421" s="4"/>
      <c r="L421" s="4"/>
      <c r="M421" s="4"/>
      <c r="N421" s="4"/>
      <c r="O421" s="4">
        <v>0</v>
      </c>
      <c r="P421" s="4">
        <v>42114.47760416667</v>
      </c>
      <c r="Q421" s="4"/>
      <c r="R421" s="4"/>
      <c r="S421" s="79">
        <f>DbLinkTable[[#This Row],[Credit]]+DbLinkTable[[#This Row],[Charge]]</f>
        <v>0</v>
      </c>
      <c r="T421" s="79">
        <f>IF(DbLinkTable[[#This Row],[Price/lb]]*DbLinkTable[[#This Row],[Weight]]&gt;0,DbLinkTable[[#This Row],[Price/lb]]*DbLinkTable[[#This Row],[Weight]],0)</f>
        <v>0</v>
      </c>
      <c r="U421" s="79">
        <f>IF(DbLinkTable[[#This Row],[Price/lb]]*DbLinkTable[[#This Row],[Weight]]&lt;0,DbLinkTable[[#This Row],[Price/lb]]*DbLinkTable[[#This Row],[Weight]],0)</f>
        <v>0</v>
      </c>
      <c r="V421" s="4" t="str">
        <f>IF(COUNTIF($W$2:W421,W421)=1,1,"")</f>
        <v/>
      </c>
      <c r="W421" s="4" t="str">
        <f>CONCATENATE(DbLinkTable[[#This Row],[Customer]],UPPER(DbLinkTable[[#This Row],[Trailer Number]]),DbLinkTable[[#This Row],[Day Received]])</f>
        <v>Company14TA93686342114</v>
      </c>
      <c r="X421" s="4">
        <f>DATEVALUE(TEXT(DbLinkTable[[#This Row],[Date Received]],"MMMM YYYY"))</f>
        <v>42095</v>
      </c>
      <c r="Y421" s="4">
        <f>INT(DbLinkTable[[#This Row],[Date Received]])</f>
        <v>42114</v>
      </c>
    </row>
    <row r="422" spans="1:25">
      <c r="A422">
        <v>11087</v>
      </c>
      <c r="B422" t="s">
        <v>1506</v>
      </c>
      <c r="D422">
        <v>340</v>
      </c>
      <c r="E422" t="s">
        <v>1504</v>
      </c>
      <c r="F422" s="4">
        <v>42114</v>
      </c>
      <c r="G422" s="4" t="s">
        <v>192</v>
      </c>
      <c r="H422" s="4" t="s">
        <v>1538</v>
      </c>
      <c r="I422" s="4">
        <v>0</v>
      </c>
      <c r="J422" s="4"/>
      <c r="K422" s="4"/>
      <c r="L422" s="4"/>
      <c r="M422" s="4"/>
      <c r="N422" s="4"/>
      <c r="O422" s="4">
        <v>0</v>
      </c>
      <c r="P422" s="4">
        <v>42114.480196759258</v>
      </c>
      <c r="Q422" s="4"/>
      <c r="R422" s="4"/>
      <c r="S422" s="79">
        <f>DbLinkTable[[#This Row],[Credit]]+DbLinkTable[[#This Row],[Charge]]</f>
        <v>0</v>
      </c>
      <c r="T422" s="79">
        <f>IF(DbLinkTable[[#This Row],[Price/lb]]*DbLinkTable[[#This Row],[Weight]]&gt;0,DbLinkTable[[#This Row],[Price/lb]]*DbLinkTable[[#This Row],[Weight]],0)</f>
        <v>0</v>
      </c>
      <c r="U422" s="79">
        <f>IF(DbLinkTable[[#This Row],[Price/lb]]*DbLinkTable[[#This Row],[Weight]]&lt;0,DbLinkTable[[#This Row],[Price/lb]]*DbLinkTable[[#This Row],[Weight]],0)</f>
        <v>0</v>
      </c>
      <c r="V422" s="4" t="str">
        <f>IF(COUNTIF($W$2:W422,W422)=1,1,"")</f>
        <v/>
      </c>
      <c r="W422" s="4" t="str">
        <f>CONCATENATE(DbLinkTable[[#This Row],[Customer]],UPPER(DbLinkTable[[#This Row],[Trailer Number]]),DbLinkTable[[#This Row],[Day Received]])</f>
        <v>Company14TA93686342114</v>
      </c>
      <c r="X422" s="4">
        <f>DATEVALUE(TEXT(DbLinkTable[[#This Row],[Date Received]],"MMMM YYYY"))</f>
        <v>42095</v>
      </c>
      <c r="Y422" s="4">
        <f>INT(DbLinkTable[[#This Row],[Date Received]])</f>
        <v>42114</v>
      </c>
    </row>
    <row r="423" spans="1:25">
      <c r="A423">
        <v>11088</v>
      </c>
      <c r="B423" t="s">
        <v>1506</v>
      </c>
      <c r="D423">
        <v>513</v>
      </c>
      <c r="E423" t="s">
        <v>1504</v>
      </c>
      <c r="F423" s="4">
        <v>42114</v>
      </c>
      <c r="G423" s="4" t="s">
        <v>192</v>
      </c>
      <c r="H423" s="4" t="s">
        <v>1538</v>
      </c>
      <c r="I423" s="4">
        <v>0</v>
      </c>
      <c r="J423" s="4"/>
      <c r="K423" s="4"/>
      <c r="L423" s="4"/>
      <c r="M423" s="4"/>
      <c r="N423" s="4"/>
      <c r="O423" s="4">
        <v>0</v>
      </c>
      <c r="P423" s="4">
        <v>42114.482025462959</v>
      </c>
      <c r="Q423" s="4"/>
      <c r="R423" s="4"/>
      <c r="S423" s="79">
        <f>DbLinkTable[[#This Row],[Credit]]+DbLinkTable[[#This Row],[Charge]]</f>
        <v>0</v>
      </c>
      <c r="T423" s="79">
        <f>IF(DbLinkTable[[#This Row],[Price/lb]]*DbLinkTable[[#This Row],[Weight]]&gt;0,DbLinkTable[[#This Row],[Price/lb]]*DbLinkTable[[#This Row],[Weight]],0)</f>
        <v>0</v>
      </c>
      <c r="U423" s="79">
        <f>IF(DbLinkTable[[#This Row],[Price/lb]]*DbLinkTable[[#This Row],[Weight]]&lt;0,DbLinkTable[[#This Row],[Price/lb]]*DbLinkTable[[#This Row],[Weight]],0)</f>
        <v>0</v>
      </c>
      <c r="V423" s="4" t="str">
        <f>IF(COUNTIF($W$2:W423,W423)=1,1,"")</f>
        <v/>
      </c>
      <c r="W423" s="4" t="str">
        <f>CONCATENATE(DbLinkTable[[#This Row],[Customer]],UPPER(DbLinkTable[[#This Row],[Trailer Number]]),DbLinkTable[[#This Row],[Day Received]])</f>
        <v>Company14TA93686342114</v>
      </c>
      <c r="X423" s="4">
        <f>DATEVALUE(TEXT(DbLinkTable[[#This Row],[Date Received]],"MMMM YYYY"))</f>
        <v>42095</v>
      </c>
      <c r="Y423" s="4">
        <f>INT(DbLinkTable[[#This Row],[Date Received]])</f>
        <v>42114</v>
      </c>
    </row>
    <row r="424" spans="1:25">
      <c r="A424">
        <v>11089</v>
      </c>
      <c r="B424" t="s">
        <v>1506</v>
      </c>
      <c r="D424">
        <v>243</v>
      </c>
      <c r="E424" t="s">
        <v>1504</v>
      </c>
      <c r="F424" s="4">
        <v>42114</v>
      </c>
      <c r="G424" s="4" t="s">
        <v>192</v>
      </c>
      <c r="H424" s="4" t="s">
        <v>1538</v>
      </c>
      <c r="I424" s="4">
        <v>0</v>
      </c>
      <c r="J424" s="4"/>
      <c r="K424" s="4"/>
      <c r="L424" s="4"/>
      <c r="M424" s="4"/>
      <c r="N424" s="4"/>
      <c r="O424" s="4">
        <v>0</v>
      </c>
      <c r="P424" s="4">
        <v>42114.483611111114</v>
      </c>
      <c r="Q424" s="4"/>
      <c r="R424" s="4"/>
      <c r="S424" s="79">
        <f>DbLinkTable[[#This Row],[Credit]]+DbLinkTable[[#This Row],[Charge]]</f>
        <v>0</v>
      </c>
      <c r="T424" s="79">
        <f>IF(DbLinkTable[[#This Row],[Price/lb]]*DbLinkTable[[#This Row],[Weight]]&gt;0,DbLinkTable[[#This Row],[Price/lb]]*DbLinkTable[[#This Row],[Weight]],0)</f>
        <v>0</v>
      </c>
      <c r="U424" s="79">
        <f>IF(DbLinkTable[[#This Row],[Price/lb]]*DbLinkTable[[#This Row],[Weight]]&lt;0,DbLinkTable[[#This Row],[Price/lb]]*DbLinkTable[[#This Row],[Weight]],0)</f>
        <v>0</v>
      </c>
      <c r="V424" s="4" t="str">
        <f>IF(COUNTIF($W$2:W424,W424)=1,1,"")</f>
        <v/>
      </c>
      <c r="W424" s="4" t="str">
        <f>CONCATENATE(DbLinkTable[[#This Row],[Customer]],UPPER(DbLinkTable[[#This Row],[Trailer Number]]),DbLinkTable[[#This Row],[Day Received]])</f>
        <v>Company14TA93686342114</v>
      </c>
      <c r="X424" s="4">
        <f>DATEVALUE(TEXT(DbLinkTable[[#This Row],[Date Received]],"MMMM YYYY"))</f>
        <v>42095</v>
      </c>
      <c r="Y424" s="4">
        <f>INT(DbLinkTable[[#This Row],[Date Received]])</f>
        <v>42114</v>
      </c>
    </row>
    <row r="425" spans="1:25">
      <c r="A425">
        <v>11090</v>
      </c>
      <c r="B425" t="s">
        <v>44</v>
      </c>
      <c r="D425">
        <v>800</v>
      </c>
      <c r="E425" t="s">
        <v>1504</v>
      </c>
      <c r="F425" s="4">
        <v>42114</v>
      </c>
      <c r="G425" s="4" t="s">
        <v>192</v>
      </c>
      <c r="H425" s="4" t="s">
        <v>1538</v>
      </c>
      <c r="I425" s="4">
        <v>0</v>
      </c>
      <c r="J425" s="4"/>
      <c r="K425" s="4"/>
      <c r="L425" s="4"/>
      <c r="M425" s="4"/>
      <c r="N425" s="4"/>
      <c r="O425" s="4">
        <v>0</v>
      </c>
      <c r="P425" s="4">
        <v>42114.485555555555</v>
      </c>
      <c r="Q425" s="4"/>
      <c r="R425" s="4"/>
      <c r="S425" s="79">
        <f>DbLinkTable[[#This Row],[Credit]]+DbLinkTable[[#This Row],[Charge]]</f>
        <v>0</v>
      </c>
      <c r="T425" s="79">
        <f>IF(DbLinkTable[[#This Row],[Price/lb]]*DbLinkTable[[#This Row],[Weight]]&gt;0,DbLinkTable[[#This Row],[Price/lb]]*DbLinkTable[[#This Row],[Weight]],0)</f>
        <v>0</v>
      </c>
      <c r="U425" s="79">
        <f>IF(DbLinkTable[[#This Row],[Price/lb]]*DbLinkTable[[#This Row],[Weight]]&lt;0,DbLinkTable[[#This Row],[Price/lb]]*DbLinkTable[[#This Row],[Weight]],0)</f>
        <v>0</v>
      </c>
      <c r="V425" s="4" t="str">
        <f>IF(COUNTIF($W$2:W425,W425)=1,1,"")</f>
        <v/>
      </c>
      <c r="W425" s="4" t="str">
        <f>CONCATENATE(DbLinkTable[[#This Row],[Customer]],UPPER(DbLinkTable[[#This Row],[Trailer Number]]),DbLinkTable[[#This Row],[Day Received]])</f>
        <v>Company14TA93686342114</v>
      </c>
      <c r="X425" s="4">
        <f>DATEVALUE(TEXT(DbLinkTable[[#This Row],[Date Received]],"MMMM YYYY"))</f>
        <v>42095</v>
      </c>
      <c r="Y425" s="4">
        <f>INT(DbLinkTable[[#This Row],[Date Received]])</f>
        <v>42114</v>
      </c>
    </row>
    <row r="426" spans="1:25">
      <c r="A426">
        <v>11091</v>
      </c>
      <c r="B426" t="s">
        <v>44</v>
      </c>
      <c r="D426">
        <v>836</v>
      </c>
      <c r="E426" t="s">
        <v>1504</v>
      </c>
      <c r="F426" s="4">
        <v>42114</v>
      </c>
      <c r="G426" s="4" t="s">
        <v>192</v>
      </c>
      <c r="H426" s="4" t="s">
        <v>1538</v>
      </c>
      <c r="I426" s="4">
        <v>0</v>
      </c>
      <c r="J426" s="4"/>
      <c r="K426" s="4"/>
      <c r="L426" s="4"/>
      <c r="M426" s="4"/>
      <c r="N426" s="4"/>
      <c r="O426" s="4">
        <v>0</v>
      </c>
      <c r="P426" s="4">
        <v>42114.488576388889</v>
      </c>
      <c r="Q426" s="4"/>
      <c r="R426" s="4"/>
      <c r="S426" s="79">
        <f>DbLinkTable[[#This Row],[Credit]]+DbLinkTable[[#This Row],[Charge]]</f>
        <v>0</v>
      </c>
      <c r="T426" s="79">
        <f>IF(DbLinkTable[[#This Row],[Price/lb]]*DbLinkTable[[#This Row],[Weight]]&gt;0,DbLinkTable[[#This Row],[Price/lb]]*DbLinkTable[[#This Row],[Weight]],0)</f>
        <v>0</v>
      </c>
      <c r="U426" s="79">
        <f>IF(DbLinkTable[[#This Row],[Price/lb]]*DbLinkTable[[#This Row],[Weight]]&lt;0,DbLinkTable[[#This Row],[Price/lb]]*DbLinkTable[[#This Row],[Weight]],0)</f>
        <v>0</v>
      </c>
      <c r="V426" s="4" t="str">
        <f>IF(COUNTIF($W$2:W426,W426)=1,1,"")</f>
        <v/>
      </c>
      <c r="W426" s="4" t="str">
        <f>CONCATENATE(DbLinkTable[[#This Row],[Customer]],UPPER(DbLinkTable[[#This Row],[Trailer Number]]),DbLinkTable[[#This Row],[Day Received]])</f>
        <v>Company14TA93686342114</v>
      </c>
      <c r="X426" s="4">
        <f>DATEVALUE(TEXT(DbLinkTable[[#This Row],[Date Received]],"MMMM YYYY"))</f>
        <v>42095</v>
      </c>
      <c r="Y426" s="4">
        <f>INT(DbLinkTable[[#This Row],[Date Received]])</f>
        <v>42114</v>
      </c>
    </row>
    <row r="427" spans="1:25">
      <c r="A427">
        <v>11092</v>
      </c>
      <c r="B427" t="s">
        <v>44</v>
      </c>
      <c r="D427">
        <v>675</v>
      </c>
      <c r="E427" t="s">
        <v>1504</v>
      </c>
      <c r="F427" s="4">
        <v>42114</v>
      </c>
      <c r="G427" s="4" t="s">
        <v>192</v>
      </c>
      <c r="H427" s="4" t="s">
        <v>1538</v>
      </c>
      <c r="I427" s="4">
        <v>0</v>
      </c>
      <c r="J427" s="4"/>
      <c r="K427" s="4"/>
      <c r="L427" s="4"/>
      <c r="M427" s="4"/>
      <c r="N427" s="4"/>
      <c r="O427" s="4">
        <v>0</v>
      </c>
      <c r="P427" s="4">
        <v>42114.49417824074</v>
      </c>
      <c r="Q427" s="4"/>
      <c r="R427" s="4"/>
      <c r="S427" s="79">
        <f>DbLinkTable[[#This Row],[Credit]]+DbLinkTable[[#This Row],[Charge]]</f>
        <v>0</v>
      </c>
      <c r="T427" s="79">
        <f>IF(DbLinkTable[[#This Row],[Price/lb]]*DbLinkTable[[#This Row],[Weight]]&gt;0,DbLinkTable[[#This Row],[Price/lb]]*DbLinkTable[[#This Row],[Weight]],0)</f>
        <v>0</v>
      </c>
      <c r="U427" s="79">
        <f>IF(DbLinkTable[[#This Row],[Price/lb]]*DbLinkTable[[#This Row],[Weight]]&lt;0,DbLinkTable[[#This Row],[Price/lb]]*DbLinkTable[[#This Row],[Weight]],0)</f>
        <v>0</v>
      </c>
      <c r="V427" s="4" t="str">
        <f>IF(COUNTIF($W$2:W427,W427)=1,1,"")</f>
        <v/>
      </c>
      <c r="W427" s="4" t="str">
        <f>CONCATENATE(DbLinkTable[[#This Row],[Customer]],UPPER(DbLinkTable[[#This Row],[Trailer Number]]),DbLinkTable[[#This Row],[Day Received]])</f>
        <v>Company14TA93686342114</v>
      </c>
      <c r="X427" s="4">
        <f>DATEVALUE(TEXT(DbLinkTable[[#This Row],[Date Received]],"MMMM YYYY"))</f>
        <v>42095</v>
      </c>
      <c r="Y427" s="4">
        <f>INT(DbLinkTable[[#This Row],[Date Received]])</f>
        <v>42114</v>
      </c>
    </row>
    <row r="428" spans="1:25">
      <c r="A428">
        <v>11093</v>
      </c>
      <c r="B428" t="s">
        <v>44</v>
      </c>
      <c r="D428">
        <v>1100</v>
      </c>
      <c r="E428" t="s">
        <v>1504</v>
      </c>
      <c r="F428" s="4">
        <v>42114</v>
      </c>
      <c r="G428" s="4" t="s">
        <v>192</v>
      </c>
      <c r="H428" s="4" t="s">
        <v>1538</v>
      </c>
      <c r="I428" s="4">
        <v>0</v>
      </c>
      <c r="J428" s="4"/>
      <c r="K428" s="4"/>
      <c r="L428" s="4"/>
      <c r="M428" s="4"/>
      <c r="N428" s="4"/>
      <c r="O428" s="4">
        <v>0</v>
      </c>
      <c r="P428" s="4">
        <v>42114.495694444442</v>
      </c>
      <c r="Q428" s="4"/>
      <c r="R428" s="4"/>
      <c r="S428" s="79">
        <f>DbLinkTable[[#This Row],[Credit]]+DbLinkTable[[#This Row],[Charge]]</f>
        <v>0</v>
      </c>
      <c r="T428" s="79">
        <f>IF(DbLinkTable[[#This Row],[Price/lb]]*DbLinkTable[[#This Row],[Weight]]&gt;0,DbLinkTable[[#This Row],[Price/lb]]*DbLinkTable[[#This Row],[Weight]],0)</f>
        <v>0</v>
      </c>
      <c r="U428" s="79">
        <f>IF(DbLinkTable[[#This Row],[Price/lb]]*DbLinkTable[[#This Row],[Weight]]&lt;0,DbLinkTable[[#This Row],[Price/lb]]*DbLinkTable[[#This Row],[Weight]],0)</f>
        <v>0</v>
      </c>
      <c r="V428" s="4" t="str">
        <f>IF(COUNTIF($W$2:W428,W428)=1,1,"")</f>
        <v/>
      </c>
      <c r="W428" s="4" t="str">
        <f>CONCATENATE(DbLinkTable[[#This Row],[Customer]],UPPER(DbLinkTable[[#This Row],[Trailer Number]]),DbLinkTable[[#This Row],[Day Received]])</f>
        <v>Company14TA93686342114</v>
      </c>
      <c r="X428" s="4">
        <f>DATEVALUE(TEXT(DbLinkTable[[#This Row],[Date Received]],"MMMM YYYY"))</f>
        <v>42095</v>
      </c>
      <c r="Y428" s="4">
        <f>INT(DbLinkTable[[#This Row],[Date Received]])</f>
        <v>42114</v>
      </c>
    </row>
    <row r="429" spans="1:25">
      <c r="A429">
        <v>11094</v>
      </c>
      <c r="B429" t="s">
        <v>44</v>
      </c>
      <c r="D429">
        <v>1048</v>
      </c>
      <c r="E429" t="s">
        <v>1504</v>
      </c>
      <c r="F429" s="4">
        <v>42114</v>
      </c>
      <c r="G429" s="4" t="s">
        <v>192</v>
      </c>
      <c r="H429" s="4" t="s">
        <v>1538</v>
      </c>
      <c r="I429" s="4">
        <v>0</v>
      </c>
      <c r="J429" s="4"/>
      <c r="K429" s="4"/>
      <c r="L429" s="4"/>
      <c r="M429" s="4"/>
      <c r="N429" s="4"/>
      <c r="O429" s="4">
        <v>0</v>
      </c>
      <c r="P429" s="4">
        <v>42114.497314814813</v>
      </c>
      <c r="Q429" s="4"/>
      <c r="R429" s="4"/>
      <c r="S429" s="79">
        <f>DbLinkTable[[#This Row],[Credit]]+DbLinkTable[[#This Row],[Charge]]</f>
        <v>0</v>
      </c>
      <c r="T429" s="79">
        <f>IF(DbLinkTable[[#This Row],[Price/lb]]*DbLinkTable[[#This Row],[Weight]]&gt;0,DbLinkTable[[#This Row],[Price/lb]]*DbLinkTable[[#This Row],[Weight]],0)</f>
        <v>0</v>
      </c>
      <c r="U429" s="79">
        <f>IF(DbLinkTable[[#This Row],[Price/lb]]*DbLinkTable[[#This Row],[Weight]]&lt;0,DbLinkTable[[#This Row],[Price/lb]]*DbLinkTable[[#This Row],[Weight]],0)</f>
        <v>0</v>
      </c>
      <c r="V429" s="4" t="str">
        <f>IF(COUNTIF($W$2:W429,W429)=1,1,"")</f>
        <v/>
      </c>
      <c r="W429" s="4" t="str">
        <f>CONCATENATE(DbLinkTable[[#This Row],[Customer]],UPPER(DbLinkTable[[#This Row],[Trailer Number]]),DbLinkTable[[#This Row],[Day Received]])</f>
        <v>Company14TA93686342114</v>
      </c>
      <c r="X429" s="4">
        <f>DATEVALUE(TEXT(DbLinkTable[[#This Row],[Date Received]],"MMMM YYYY"))</f>
        <v>42095</v>
      </c>
      <c r="Y429" s="4">
        <f>INT(DbLinkTable[[#This Row],[Date Received]])</f>
        <v>42114</v>
      </c>
    </row>
    <row r="430" spans="1:25">
      <c r="A430">
        <v>11095</v>
      </c>
      <c r="B430" t="s">
        <v>44</v>
      </c>
      <c r="D430">
        <v>1011</v>
      </c>
      <c r="E430" t="s">
        <v>1504</v>
      </c>
      <c r="F430" s="4">
        <v>42114</v>
      </c>
      <c r="G430" s="4" t="s">
        <v>192</v>
      </c>
      <c r="H430" s="4" t="s">
        <v>1538</v>
      </c>
      <c r="I430" s="4">
        <v>0</v>
      </c>
      <c r="J430" s="4"/>
      <c r="K430" s="4"/>
      <c r="L430" s="4"/>
      <c r="M430" s="4"/>
      <c r="N430" s="4"/>
      <c r="O430" s="4">
        <v>0</v>
      </c>
      <c r="P430" s="4">
        <v>42114.522060185183</v>
      </c>
      <c r="Q430" s="4"/>
      <c r="R430" s="4"/>
      <c r="S430" s="79">
        <f>DbLinkTable[[#This Row],[Credit]]+DbLinkTable[[#This Row],[Charge]]</f>
        <v>0</v>
      </c>
      <c r="T430" s="79">
        <f>IF(DbLinkTable[[#This Row],[Price/lb]]*DbLinkTable[[#This Row],[Weight]]&gt;0,DbLinkTable[[#This Row],[Price/lb]]*DbLinkTable[[#This Row],[Weight]],0)</f>
        <v>0</v>
      </c>
      <c r="U430" s="79">
        <f>IF(DbLinkTable[[#This Row],[Price/lb]]*DbLinkTable[[#This Row],[Weight]]&lt;0,DbLinkTable[[#This Row],[Price/lb]]*DbLinkTable[[#This Row],[Weight]],0)</f>
        <v>0</v>
      </c>
      <c r="V430" s="4" t="str">
        <f>IF(COUNTIF($W$2:W430,W430)=1,1,"")</f>
        <v/>
      </c>
      <c r="W430" s="4" t="str">
        <f>CONCATENATE(DbLinkTable[[#This Row],[Customer]],UPPER(DbLinkTable[[#This Row],[Trailer Number]]),DbLinkTable[[#This Row],[Day Received]])</f>
        <v>Company14TA93686342114</v>
      </c>
      <c r="X430" s="4">
        <f>DATEVALUE(TEXT(DbLinkTable[[#This Row],[Date Received]],"MMMM YYYY"))</f>
        <v>42095</v>
      </c>
      <c r="Y430" s="4">
        <f>INT(DbLinkTable[[#This Row],[Date Received]])</f>
        <v>42114</v>
      </c>
    </row>
    <row r="431" spans="1:25">
      <c r="A431">
        <v>11096</v>
      </c>
      <c r="B431" t="s">
        <v>44</v>
      </c>
      <c r="D431">
        <v>1017</v>
      </c>
      <c r="E431" t="s">
        <v>1504</v>
      </c>
      <c r="F431" s="4">
        <v>42114</v>
      </c>
      <c r="G431" s="4" t="s">
        <v>192</v>
      </c>
      <c r="H431" s="4" t="s">
        <v>1538</v>
      </c>
      <c r="I431" s="4">
        <v>0</v>
      </c>
      <c r="J431" s="4"/>
      <c r="K431" s="4"/>
      <c r="L431" s="4"/>
      <c r="M431" s="4"/>
      <c r="N431" s="4"/>
      <c r="O431" s="4">
        <v>0</v>
      </c>
      <c r="P431" s="4">
        <v>42114.523460648146</v>
      </c>
      <c r="Q431" s="4"/>
      <c r="R431" s="4"/>
      <c r="S431" s="79">
        <f>DbLinkTable[[#This Row],[Credit]]+DbLinkTable[[#This Row],[Charge]]</f>
        <v>0</v>
      </c>
      <c r="T431" s="79">
        <f>IF(DbLinkTable[[#This Row],[Price/lb]]*DbLinkTable[[#This Row],[Weight]]&gt;0,DbLinkTable[[#This Row],[Price/lb]]*DbLinkTable[[#This Row],[Weight]],0)</f>
        <v>0</v>
      </c>
      <c r="U431" s="79">
        <f>IF(DbLinkTable[[#This Row],[Price/lb]]*DbLinkTable[[#This Row],[Weight]]&lt;0,DbLinkTable[[#This Row],[Price/lb]]*DbLinkTable[[#This Row],[Weight]],0)</f>
        <v>0</v>
      </c>
      <c r="V431" s="4" t="str">
        <f>IF(COUNTIF($W$2:W431,W431)=1,1,"")</f>
        <v/>
      </c>
      <c r="W431" s="4" t="str">
        <f>CONCATENATE(DbLinkTable[[#This Row],[Customer]],UPPER(DbLinkTable[[#This Row],[Trailer Number]]),DbLinkTable[[#This Row],[Day Received]])</f>
        <v>Company14TA93686342114</v>
      </c>
      <c r="X431" s="4">
        <f>DATEVALUE(TEXT(DbLinkTable[[#This Row],[Date Received]],"MMMM YYYY"))</f>
        <v>42095</v>
      </c>
      <c r="Y431" s="4">
        <f>INT(DbLinkTable[[#This Row],[Date Received]])</f>
        <v>42114</v>
      </c>
    </row>
    <row r="432" spans="1:25">
      <c r="A432">
        <v>11097</v>
      </c>
      <c r="B432" t="s">
        <v>44</v>
      </c>
      <c r="D432">
        <v>800</v>
      </c>
      <c r="E432" t="s">
        <v>1504</v>
      </c>
      <c r="F432" s="4">
        <v>42114</v>
      </c>
      <c r="G432" s="4" t="s">
        <v>192</v>
      </c>
      <c r="H432" s="4" t="s">
        <v>1538</v>
      </c>
      <c r="I432" s="4">
        <v>0</v>
      </c>
      <c r="J432" s="4"/>
      <c r="K432" s="4"/>
      <c r="L432" s="4"/>
      <c r="M432" s="4"/>
      <c r="N432" s="4"/>
      <c r="O432" s="4">
        <v>0</v>
      </c>
      <c r="P432" s="4">
        <v>42114.524965277778</v>
      </c>
      <c r="Q432" s="4"/>
      <c r="R432" s="4"/>
      <c r="S432" s="79">
        <f>DbLinkTable[[#This Row],[Credit]]+DbLinkTable[[#This Row],[Charge]]</f>
        <v>0</v>
      </c>
      <c r="T432" s="79">
        <f>IF(DbLinkTable[[#This Row],[Price/lb]]*DbLinkTable[[#This Row],[Weight]]&gt;0,DbLinkTable[[#This Row],[Price/lb]]*DbLinkTable[[#This Row],[Weight]],0)</f>
        <v>0</v>
      </c>
      <c r="U432" s="79">
        <f>IF(DbLinkTable[[#This Row],[Price/lb]]*DbLinkTable[[#This Row],[Weight]]&lt;0,DbLinkTable[[#This Row],[Price/lb]]*DbLinkTable[[#This Row],[Weight]],0)</f>
        <v>0</v>
      </c>
      <c r="V432" s="4" t="str">
        <f>IF(COUNTIF($W$2:W432,W432)=1,1,"")</f>
        <v/>
      </c>
      <c r="W432" s="4" t="str">
        <f>CONCATENATE(DbLinkTable[[#This Row],[Customer]],UPPER(DbLinkTable[[#This Row],[Trailer Number]]),DbLinkTable[[#This Row],[Day Received]])</f>
        <v>Company14TA93686342114</v>
      </c>
      <c r="X432" s="4">
        <f>DATEVALUE(TEXT(DbLinkTable[[#This Row],[Date Received]],"MMMM YYYY"))</f>
        <v>42095</v>
      </c>
      <c r="Y432" s="4">
        <f>INT(DbLinkTable[[#This Row],[Date Received]])</f>
        <v>42114</v>
      </c>
    </row>
    <row r="433" spans="1:25">
      <c r="A433">
        <v>11098</v>
      </c>
      <c r="B433" t="s">
        <v>44</v>
      </c>
      <c r="D433">
        <v>1019</v>
      </c>
      <c r="E433" t="s">
        <v>1504</v>
      </c>
      <c r="F433" s="4">
        <v>42114</v>
      </c>
      <c r="G433" s="4" t="s">
        <v>192</v>
      </c>
      <c r="H433" s="4" t="s">
        <v>1538</v>
      </c>
      <c r="I433" s="4">
        <v>0</v>
      </c>
      <c r="J433" s="4"/>
      <c r="K433" s="4"/>
      <c r="L433" s="4"/>
      <c r="M433" s="4"/>
      <c r="N433" s="4"/>
      <c r="O433" s="4">
        <v>0</v>
      </c>
      <c r="P433" s="4">
        <v>42114.52684027778</v>
      </c>
      <c r="Q433" s="4"/>
      <c r="R433" s="4"/>
      <c r="S433" s="79">
        <f>DbLinkTable[[#This Row],[Credit]]+DbLinkTable[[#This Row],[Charge]]</f>
        <v>0</v>
      </c>
      <c r="T433" s="79">
        <f>IF(DbLinkTable[[#This Row],[Price/lb]]*DbLinkTable[[#This Row],[Weight]]&gt;0,DbLinkTable[[#This Row],[Price/lb]]*DbLinkTable[[#This Row],[Weight]],0)</f>
        <v>0</v>
      </c>
      <c r="U433" s="79">
        <f>IF(DbLinkTable[[#This Row],[Price/lb]]*DbLinkTable[[#This Row],[Weight]]&lt;0,DbLinkTable[[#This Row],[Price/lb]]*DbLinkTable[[#This Row],[Weight]],0)</f>
        <v>0</v>
      </c>
      <c r="V433" s="4" t="str">
        <f>IF(COUNTIF($W$2:W433,W433)=1,1,"")</f>
        <v/>
      </c>
      <c r="W433" s="4" t="str">
        <f>CONCATENATE(DbLinkTable[[#This Row],[Customer]],UPPER(DbLinkTable[[#This Row],[Trailer Number]]),DbLinkTable[[#This Row],[Day Received]])</f>
        <v>Company14TA93686342114</v>
      </c>
      <c r="X433" s="4">
        <f>DATEVALUE(TEXT(DbLinkTable[[#This Row],[Date Received]],"MMMM YYYY"))</f>
        <v>42095</v>
      </c>
      <c r="Y433" s="4">
        <f>INT(DbLinkTable[[#This Row],[Date Received]])</f>
        <v>42114</v>
      </c>
    </row>
    <row r="434" spans="1:25">
      <c r="A434">
        <v>11099</v>
      </c>
      <c r="B434" t="s">
        <v>44</v>
      </c>
      <c r="D434">
        <v>877</v>
      </c>
      <c r="E434" t="s">
        <v>1504</v>
      </c>
      <c r="F434" s="4">
        <v>42114</v>
      </c>
      <c r="G434" s="4" t="s">
        <v>192</v>
      </c>
      <c r="H434" s="4" t="s">
        <v>1538</v>
      </c>
      <c r="I434" s="4">
        <v>0</v>
      </c>
      <c r="J434" s="4"/>
      <c r="K434" s="4"/>
      <c r="L434" s="4"/>
      <c r="M434" s="4"/>
      <c r="N434" s="4"/>
      <c r="O434" s="4">
        <v>0</v>
      </c>
      <c r="P434" s="4">
        <v>42114.528414351851</v>
      </c>
      <c r="Q434" s="4"/>
      <c r="R434" s="4"/>
      <c r="S434" s="79">
        <f>DbLinkTable[[#This Row],[Credit]]+DbLinkTable[[#This Row],[Charge]]</f>
        <v>0</v>
      </c>
      <c r="T434" s="79">
        <f>IF(DbLinkTable[[#This Row],[Price/lb]]*DbLinkTable[[#This Row],[Weight]]&gt;0,DbLinkTable[[#This Row],[Price/lb]]*DbLinkTable[[#This Row],[Weight]],0)</f>
        <v>0</v>
      </c>
      <c r="U434" s="79">
        <f>IF(DbLinkTable[[#This Row],[Price/lb]]*DbLinkTable[[#This Row],[Weight]]&lt;0,DbLinkTable[[#This Row],[Price/lb]]*DbLinkTable[[#This Row],[Weight]],0)</f>
        <v>0</v>
      </c>
      <c r="V434" s="4" t="str">
        <f>IF(COUNTIF($W$2:W434,W434)=1,1,"")</f>
        <v/>
      </c>
      <c r="W434" s="4" t="str">
        <f>CONCATENATE(DbLinkTable[[#This Row],[Customer]],UPPER(DbLinkTable[[#This Row],[Trailer Number]]),DbLinkTable[[#This Row],[Day Received]])</f>
        <v>Company14TA93686342114</v>
      </c>
      <c r="X434" s="4">
        <f>DATEVALUE(TEXT(DbLinkTable[[#This Row],[Date Received]],"MMMM YYYY"))</f>
        <v>42095</v>
      </c>
      <c r="Y434" s="4">
        <f>INT(DbLinkTable[[#This Row],[Date Received]])</f>
        <v>42114</v>
      </c>
    </row>
    <row r="435" spans="1:25">
      <c r="A435">
        <v>11100</v>
      </c>
      <c r="B435" t="s">
        <v>44</v>
      </c>
      <c r="D435">
        <v>984</v>
      </c>
      <c r="E435" t="s">
        <v>1504</v>
      </c>
      <c r="F435" s="4">
        <v>42114</v>
      </c>
      <c r="G435" s="4" t="s">
        <v>192</v>
      </c>
      <c r="H435" s="4" t="s">
        <v>1538</v>
      </c>
      <c r="I435" s="4">
        <v>0</v>
      </c>
      <c r="J435" s="4"/>
      <c r="K435" s="4"/>
      <c r="L435" s="4"/>
      <c r="M435" s="4"/>
      <c r="N435" s="4"/>
      <c r="O435" s="4">
        <v>0</v>
      </c>
      <c r="P435" s="4">
        <v>42114.530104166668</v>
      </c>
      <c r="Q435" s="4"/>
      <c r="R435" s="4"/>
      <c r="S435" s="79">
        <f>DbLinkTable[[#This Row],[Credit]]+DbLinkTable[[#This Row],[Charge]]</f>
        <v>0</v>
      </c>
      <c r="T435" s="79">
        <f>IF(DbLinkTable[[#This Row],[Price/lb]]*DbLinkTable[[#This Row],[Weight]]&gt;0,DbLinkTable[[#This Row],[Price/lb]]*DbLinkTable[[#This Row],[Weight]],0)</f>
        <v>0</v>
      </c>
      <c r="U435" s="79">
        <f>IF(DbLinkTable[[#This Row],[Price/lb]]*DbLinkTable[[#This Row],[Weight]]&lt;0,DbLinkTable[[#This Row],[Price/lb]]*DbLinkTable[[#This Row],[Weight]],0)</f>
        <v>0</v>
      </c>
      <c r="V435" s="4" t="str">
        <f>IF(COUNTIF($W$2:W435,W435)=1,1,"")</f>
        <v/>
      </c>
      <c r="W435" s="4" t="str">
        <f>CONCATENATE(DbLinkTable[[#This Row],[Customer]],UPPER(DbLinkTable[[#This Row],[Trailer Number]]),DbLinkTable[[#This Row],[Day Received]])</f>
        <v>Company14TA93686342114</v>
      </c>
      <c r="X435" s="4">
        <f>DATEVALUE(TEXT(DbLinkTable[[#This Row],[Date Received]],"MMMM YYYY"))</f>
        <v>42095</v>
      </c>
      <c r="Y435" s="4">
        <f>INT(DbLinkTable[[#This Row],[Date Received]])</f>
        <v>42114</v>
      </c>
    </row>
    <row r="436" spans="1:25">
      <c r="A436">
        <v>11101</v>
      </c>
      <c r="B436" t="s">
        <v>44</v>
      </c>
      <c r="D436">
        <v>1399</v>
      </c>
      <c r="E436" t="s">
        <v>1504</v>
      </c>
      <c r="F436" s="4">
        <v>42114</v>
      </c>
      <c r="G436" s="4" t="s">
        <v>192</v>
      </c>
      <c r="H436" s="4" t="s">
        <v>1538</v>
      </c>
      <c r="I436" s="4">
        <v>0</v>
      </c>
      <c r="J436" s="4"/>
      <c r="K436" s="4"/>
      <c r="L436" s="4"/>
      <c r="M436" s="4"/>
      <c r="N436" s="4"/>
      <c r="O436" s="4">
        <v>0</v>
      </c>
      <c r="P436" s="4">
        <v>42114.533807870372</v>
      </c>
      <c r="Q436" s="4"/>
      <c r="R436" s="4"/>
      <c r="S436" s="79">
        <f>DbLinkTable[[#This Row],[Credit]]+DbLinkTable[[#This Row],[Charge]]</f>
        <v>0</v>
      </c>
      <c r="T436" s="79">
        <f>IF(DbLinkTable[[#This Row],[Price/lb]]*DbLinkTable[[#This Row],[Weight]]&gt;0,DbLinkTable[[#This Row],[Price/lb]]*DbLinkTable[[#This Row],[Weight]],0)</f>
        <v>0</v>
      </c>
      <c r="U436" s="79">
        <f>IF(DbLinkTable[[#This Row],[Price/lb]]*DbLinkTable[[#This Row],[Weight]]&lt;0,DbLinkTable[[#This Row],[Price/lb]]*DbLinkTable[[#This Row],[Weight]],0)</f>
        <v>0</v>
      </c>
      <c r="V436" s="4" t="str">
        <f>IF(COUNTIF($W$2:W436,W436)=1,1,"")</f>
        <v/>
      </c>
      <c r="W436" s="4" t="str">
        <f>CONCATENATE(DbLinkTable[[#This Row],[Customer]],UPPER(DbLinkTable[[#This Row],[Trailer Number]]),DbLinkTable[[#This Row],[Day Received]])</f>
        <v>Company14TA93686342114</v>
      </c>
      <c r="X436" s="4">
        <f>DATEVALUE(TEXT(DbLinkTable[[#This Row],[Date Received]],"MMMM YYYY"))</f>
        <v>42095</v>
      </c>
      <c r="Y436" s="4">
        <f>INT(DbLinkTable[[#This Row],[Date Received]])</f>
        <v>42114</v>
      </c>
    </row>
    <row r="437" spans="1:25">
      <c r="A437">
        <v>11102</v>
      </c>
      <c r="B437" t="s">
        <v>44</v>
      </c>
      <c r="D437">
        <v>848</v>
      </c>
      <c r="E437" t="s">
        <v>1504</v>
      </c>
      <c r="F437" s="4">
        <v>42114</v>
      </c>
      <c r="G437" s="4" t="s">
        <v>192</v>
      </c>
      <c r="H437" s="4" t="s">
        <v>1538</v>
      </c>
      <c r="I437" s="4">
        <v>0</v>
      </c>
      <c r="J437" s="4"/>
      <c r="K437" s="4"/>
      <c r="L437" s="4"/>
      <c r="M437" s="4"/>
      <c r="N437" s="4"/>
      <c r="O437" s="4">
        <v>0</v>
      </c>
      <c r="P437" s="4">
        <v>42114.535995370374</v>
      </c>
      <c r="Q437" s="4"/>
      <c r="R437" s="4"/>
      <c r="S437" s="79">
        <f>DbLinkTable[[#This Row],[Credit]]+DbLinkTable[[#This Row],[Charge]]</f>
        <v>0</v>
      </c>
      <c r="T437" s="79">
        <f>IF(DbLinkTable[[#This Row],[Price/lb]]*DbLinkTable[[#This Row],[Weight]]&gt;0,DbLinkTable[[#This Row],[Price/lb]]*DbLinkTable[[#This Row],[Weight]],0)</f>
        <v>0</v>
      </c>
      <c r="U437" s="79">
        <f>IF(DbLinkTable[[#This Row],[Price/lb]]*DbLinkTable[[#This Row],[Weight]]&lt;0,DbLinkTable[[#This Row],[Price/lb]]*DbLinkTable[[#This Row],[Weight]],0)</f>
        <v>0</v>
      </c>
      <c r="V437" s="4" t="str">
        <f>IF(COUNTIF($W$2:W437,W437)=1,1,"")</f>
        <v/>
      </c>
      <c r="W437" s="4" t="str">
        <f>CONCATENATE(DbLinkTable[[#This Row],[Customer]],UPPER(DbLinkTable[[#This Row],[Trailer Number]]),DbLinkTable[[#This Row],[Day Received]])</f>
        <v>Company14TA93686342114</v>
      </c>
      <c r="X437" s="4">
        <f>DATEVALUE(TEXT(DbLinkTable[[#This Row],[Date Received]],"MMMM YYYY"))</f>
        <v>42095</v>
      </c>
      <c r="Y437" s="4">
        <f>INT(DbLinkTable[[#This Row],[Date Received]])</f>
        <v>42114</v>
      </c>
    </row>
    <row r="438" spans="1:25">
      <c r="A438">
        <v>11103</v>
      </c>
      <c r="B438" t="s">
        <v>44</v>
      </c>
      <c r="D438">
        <v>1088</v>
      </c>
      <c r="E438" t="s">
        <v>1504</v>
      </c>
      <c r="F438" s="4">
        <v>42114</v>
      </c>
      <c r="G438" s="4" t="s">
        <v>192</v>
      </c>
      <c r="H438" s="4" t="s">
        <v>1538</v>
      </c>
      <c r="I438" s="4">
        <v>0</v>
      </c>
      <c r="J438" s="4"/>
      <c r="K438" s="4"/>
      <c r="L438" s="4"/>
      <c r="M438" s="4"/>
      <c r="N438" s="4"/>
      <c r="O438" s="4">
        <v>0</v>
      </c>
      <c r="P438" s="4">
        <v>42114.537488425929</v>
      </c>
      <c r="Q438" s="4"/>
      <c r="R438" s="4"/>
      <c r="S438" s="79">
        <f>DbLinkTable[[#This Row],[Credit]]+DbLinkTable[[#This Row],[Charge]]</f>
        <v>0</v>
      </c>
      <c r="T438" s="79">
        <f>IF(DbLinkTable[[#This Row],[Price/lb]]*DbLinkTable[[#This Row],[Weight]]&gt;0,DbLinkTable[[#This Row],[Price/lb]]*DbLinkTable[[#This Row],[Weight]],0)</f>
        <v>0</v>
      </c>
      <c r="U438" s="79">
        <f>IF(DbLinkTable[[#This Row],[Price/lb]]*DbLinkTable[[#This Row],[Weight]]&lt;0,DbLinkTable[[#This Row],[Price/lb]]*DbLinkTable[[#This Row],[Weight]],0)</f>
        <v>0</v>
      </c>
      <c r="V438" s="4" t="str">
        <f>IF(COUNTIF($W$2:W438,W438)=1,1,"")</f>
        <v/>
      </c>
      <c r="W438" s="4" t="str">
        <f>CONCATENATE(DbLinkTable[[#This Row],[Customer]],UPPER(DbLinkTable[[#This Row],[Trailer Number]]),DbLinkTable[[#This Row],[Day Received]])</f>
        <v>Company14TA93686342114</v>
      </c>
      <c r="X438" s="4">
        <f>DATEVALUE(TEXT(DbLinkTable[[#This Row],[Date Received]],"MMMM YYYY"))</f>
        <v>42095</v>
      </c>
      <c r="Y438" s="4">
        <f>INT(DbLinkTable[[#This Row],[Date Received]])</f>
        <v>42114</v>
      </c>
    </row>
    <row r="439" spans="1:25">
      <c r="A439">
        <v>11104</v>
      </c>
      <c r="B439" t="s">
        <v>44</v>
      </c>
      <c r="D439">
        <v>1377</v>
      </c>
      <c r="E439" t="s">
        <v>1504</v>
      </c>
      <c r="F439" s="4">
        <v>42114</v>
      </c>
      <c r="G439" s="4" t="s">
        <v>192</v>
      </c>
      <c r="H439" s="4" t="s">
        <v>1538</v>
      </c>
      <c r="I439" s="4">
        <v>0</v>
      </c>
      <c r="J439" s="4"/>
      <c r="K439" s="4"/>
      <c r="L439" s="4"/>
      <c r="M439" s="4"/>
      <c r="N439" s="4"/>
      <c r="O439" s="4">
        <v>0</v>
      </c>
      <c r="P439" s="4">
        <v>42114.539039351854</v>
      </c>
      <c r="Q439" s="4"/>
      <c r="R439" s="4"/>
      <c r="S439" s="79">
        <f>DbLinkTable[[#This Row],[Credit]]+DbLinkTable[[#This Row],[Charge]]</f>
        <v>0</v>
      </c>
      <c r="T439" s="79">
        <f>IF(DbLinkTable[[#This Row],[Price/lb]]*DbLinkTable[[#This Row],[Weight]]&gt;0,DbLinkTable[[#This Row],[Price/lb]]*DbLinkTable[[#This Row],[Weight]],0)</f>
        <v>0</v>
      </c>
      <c r="U439" s="79">
        <f>IF(DbLinkTable[[#This Row],[Price/lb]]*DbLinkTable[[#This Row],[Weight]]&lt;0,DbLinkTable[[#This Row],[Price/lb]]*DbLinkTable[[#This Row],[Weight]],0)</f>
        <v>0</v>
      </c>
      <c r="V439" s="4" t="str">
        <f>IF(COUNTIF($W$2:W439,W439)=1,1,"")</f>
        <v/>
      </c>
      <c r="W439" s="4" t="str">
        <f>CONCATENATE(DbLinkTable[[#This Row],[Customer]],UPPER(DbLinkTable[[#This Row],[Trailer Number]]),DbLinkTable[[#This Row],[Day Received]])</f>
        <v>Company14TA93686342114</v>
      </c>
      <c r="X439" s="4">
        <f>DATEVALUE(TEXT(DbLinkTable[[#This Row],[Date Received]],"MMMM YYYY"))</f>
        <v>42095</v>
      </c>
      <c r="Y439" s="4">
        <f>INT(DbLinkTable[[#This Row],[Date Received]])</f>
        <v>42114</v>
      </c>
    </row>
    <row r="440" spans="1:25">
      <c r="A440">
        <v>11105</v>
      </c>
      <c r="B440" t="s">
        <v>44</v>
      </c>
      <c r="D440">
        <v>900</v>
      </c>
      <c r="E440" t="s">
        <v>1504</v>
      </c>
      <c r="F440" s="4">
        <v>42114</v>
      </c>
      <c r="G440" s="4" t="s">
        <v>192</v>
      </c>
      <c r="H440" s="4" t="s">
        <v>1538</v>
      </c>
      <c r="I440" s="4">
        <v>0</v>
      </c>
      <c r="J440" s="4"/>
      <c r="K440" s="4"/>
      <c r="L440" s="4"/>
      <c r="M440" s="4"/>
      <c r="N440" s="4"/>
      <c r="O440" s="4">
        <v>0</v>
      </c>
      <c r="P440" s="4">
        <v>42114.540486111109</v>
      </c>
      <c r="Q440" s="4"/>
      <c r="R440" s="4"/>
      <c r="S440" s="79">
        <f>DbLinkTable[[#This Row],[Credit]]+DbLinkTable[[#This Row],[Charge]]</f>
        <v>0</v>
      </c>
      <c r="T440" s="79">
        <f>IF(DbLinkTable[[#This Row],[Price/lb]]*DbLinkTable[[#This Row],[Weight]]&gt;0,DbLinkTable[[#This Row],[Price/lb]]*DbLinkTable[[#This Row],[Weight]],0)</f>
        <v>0</v>
      </c>
      <c r="U440" s="79">
        <f>IF(DbLinkTable[[#This Row],[Price/lb]]*DbLinkTable[[#This Row],[Weight]]&lt;0,DbLinkTable[[#This Row],[Price/lb]]*DbLinkTable[[#This Row],[Weight]],0)</f>
        <v>0</v>
      </c>
      <c r="V440" s="4" t="str">
        <f>IF(COUNTIF($W$2:W440,W440)=1,1,"")</f>
        <v/>
      </c>
      <c r="W440" s="4" t="str">
        <f>CONCATENATE(DbLinkTable[[#This Row],[Customer]],UPPER(DbLinkTable[[#This Row],[Trailer Number]]),DbLinkTable[[#This Row],[Day Received]])</f>
        <v>Company14TA93686342114</v>
      </c>
      <c r="X440" s="4">
        <f>DATEVALUE(TEXT(DbLinkTable[[#This Row],[Date Received]],"MMMM YYYY"))</f>
        <v>42095</v>
      </c>
      <c r="Y440" s="4">
        <f>INT(DbLinkTable[[#This Row],[Date Received]])</f>
        <v>42114</v>
      </c>
    </row>
    <row r="441" spans="1:25">
      <c r="A441">
        <v>11106</v>
      </c>
      <c r="B441" t="s">
        <v>44</v>
      </c>
      <c r="D441">
        <v>778</v>
      </c>
      <c r="E441" t="s">
        <v>1504</v>
      </c>
      <c r="F441" s="4">
        <v>42114</v>
      </c>
      <c r="G441" s="4" t="s">
        <v>192</v>
      </c>
      <c r="H441" s="4" t="s">
        <v>1538</v>
      </c>
      <c r="I441" s="4">
        <v>0</v>
      </c>
      <c r="J441" s="4"/>
      <c r="K441" s="4"/>
      <c r="L441" s="4"/>
      <c r="M441" s="4"/>
      <c r="N441" s="4"/>
      <c r="O441" s="4">
        <v>0</v>
      </c>
      <c r="P441" s="4">
        <v>42114.541956018518</v>
      </c>
      <c r="Q441" s="4"/>
      <c r="R441" s="4"/>
      <c r="S441" s="79">
        <f>DbLinkTable[[#This Row],[Credit]]+DbLinkTable[[#This Row],[Charge]]</f>
        <v>0</v>
      </c>
      <c r="T441" s="79">
        <f>IF(DbLinkTable[[#This Row],[Price/lb]]*DbLinkTable[[#This Row],[Weight]]&gt;0,DbLinkTable[[#This Row],[Price/lb]]*DbLinkTable[[#This Row],[Weight]],0)</f>
        <v>0</v>
      </c>
      <c r="U441" s="79">
        <f>IF(DbLinkTable[[#This Row],[Price/lb]]*DbLinkTable[[#This Row],[Weight]]&lt;0,DbLinkTable[[#This Row],[Price/lb]]*DbLinkTable[[#This Row],[Weight]],0)</f>
        <v>0</v>
      </c>
      <c r="V441" s="4" t="str">
        <f>IF(COUNTIF($W$2:W441,W441)=1,1,"")</f>
        <v/>
      </c>
      <c r="W441" s="4" t="str">
        <f>CONCATENATE(DbLinkTable[[#This Row],[Customer]],UPPER(DbLinkTable[[#This Row],[Trailer Number]]),DbLinkTable[[#This Row],[Day Received]])</f>
        <v>Company14TA93686342114</v>
      </c>
      <c r="X441" s="4">
        <f>DATEVALUE(TEXT(DbLinkTable[[#This Row],[Date Received]],"MMMM YYYY"))</f>
        <v>42095</v>
      </c>
      <c r="Y441" s="4">
        <f>INT(DbLinkTable[[#This Row],[Date Received]])</f>
        <v>42114</v>
      </c>
    </row>
    <row r="442" spans="1:25">
      <c r="A442">
        <v>11107</v>
      </c>
      <c r="B442" t="s">
        <v>44</v>
      </c>
      <c r="D442">
        <v>1031</v>
      </c>
      <c r="E442" t="s">
        <v>1504</v>
      </c>
      <c r="F442" s="4">
        <v>42114</v>
      </c>
      <c r="G442" s="4" t="s">
        <v>192</v>
      </c>
      <c r="H442" s="4" t="s">
        <v>1538</v>
      </c>
      <c r="I442" s="4">
        <v>0</v>
      </c>
      <c r="J442" s="4"/>
      <c r="K442" s="4"/>
      <c r="L442" s="4"/>
      <c r="M442" s="4"/>
      <c r="N442" s="4"/>
      <c r="O442" s="4">
        <v>0</v>
      </c>
      <c r="P442" s="4">
        <v>42114.543333333335</v>
      </c>
      <c r="Q442" s="4"/>
      <c r="R442" s="4"/>
      <c r="S442" s="79">
        <f>DbLinkTable[[#This Row],[Credit]]+DbLinkTable[[#This Row],[Charge]]</f>
        <v>0</v>
      </c>
      <c r="T442" s="79">
        <f>IF(DbLinkTable[[#This Row],[Price/lb]]*DbLinkTable[[#This Row],[Weight]]&gt;0,DbLinkTable[[#This Row],[Price/lb]]*DbLinkTable[[#This Row],[Weight]],0)</f>
        <v>0</v>
      </c>
      <c r="U442" s="79">
        <f>IF(DbLinkTable[[#This Row],[Price/lb]]*DbLinkTable[[#This Row],[Weight]]&lt;0,DbLinkTable[[#This Row],[Price/lb]]*DbLinkTable[[#This Row],[Weight]],0)</f>
        <v>0</v>
      </c>
      <c r="V442" s="4" t="str">
        <f>IF(COUNTIF($W$2:W442,W442)=1,1,"")</f>
        <v/>
      </c>
      <c r="W442" s="4" t="str">
        <f>CONCATENATE(DbLinkTable[[#This Row],[Customer]],UPPER(DbLinkTable[[#This Row],[Trailer Number]]),DbLinkTable[[#This Row],[Day Received]])</f>
        <v>Company14TA93686342114</v>
      </c>
      <c r="X442" s="4">
        <f>DATEVALUE(TEXT(DbLinkTable[[#This Row],[Date Received]],"MMMM YYYY"))</f>
        <v>42095</v>
      </c>
      <c r="Y442" s="4">
        <f>INT(DbLinkTable[[#This Row],[Date Received]])</f>
        <v>42114</v>
      </c>
    </row>
    <row r="443" spans="1:25">
      <c r="A443">
        <v>11689</v>
      </c>
      <c r="B443" t="s">
        <v>43</v>
      </c>
      <c r="D443">
        <v>350</v>
      </c>
      <c r="E443" t="s">
        <v>1501</v>
      </c>
      <c r="F443" s="4">
        <v>42153.477210648147</v>
      </c>
      <c r="G443" s="4" t="s">
        <v>192</v>
      </c>
      <c r="H443" s="4" t="s">
        <v>1553</v>
      </c>
      <c r="I443" s="4">
        <v>0</v>
      </c>
      <c r="J443" s="4"/>
      <c r="K443" s="4"/>
      <c r="L443" s="4"/>
      <c r="M443" s="4"/>
      <c r="N443" s="4"/>
      <c r="O443" s="4">
        <v>0</v>
      </c>
      <c r="P443" s="4">
        <v>42157.477210648147</v>
      </c>
      <c r="Q443" s="4"/>
      <c r="R443" s="4"/>
      <c r="S443" s="79">
        <f>DbLinkTable[[#This Row],[Credit]]+DbLinkTable[[#This Row],[Charge]]</f>
        <v>0</v>
      </c>
      <c r="T443" s="79">
        <f>IF(DbLinkTable[[#This Row],[Price/lb]]*DbLinkTable[[#This Row],[Weight]]&gt;0,DbLinkTable[[#This Row],[Price/lb]]*DbLinkTable[[#This Row],[Weight]],0)</f>
        <v>0</v>
      </c>
      <c r="U443" s="79">
        <f>IF(DbLinkTable[[#This Row],[Price/lb]]*DbLinkTable[[#This Row],[Weight]]&lt;0,DbLinkTable[[#This Row],[Price/lb]]*DbLinkTable[[#This Row],[Weight]],0)</f>
        <v>0</v>
      </c>
      <c r="V443" s="4">
        <f>IF(COUNTIF($W$2:W443,W443)=1,1,"")</f>
        <v>1</v>
      </c>
      <c r="W443" s="4" t="str">
        <f>CONCATENATE(DbLinkTable[[#This Row],[Customer]],UPPER(DbLinkTable[[#This Row],[Trailer Number]]),DbLinkTable[[#This Row],[Day Received]])</f>
        <v>Company14KKFU906443-142153</v>
      </c>
      <c r="X443" s="4">
        <f>DATEVALUE(TEXT(DbLinkTable[[#This Row],[Date Received]],"MMMM YYYY"))</f>
        <v>42125</v>
      </c>
      <c r="Y443" s="4">
        <f>INT(DbLinkTable[[#This Row],[Date Received]])</f>
        <v>42153</v>
      </c>
    </row>
    <row r="444" spans="1:25">
      <c r="A444">
        <v>11690</v>
      </c>
      <c r="B444" t="s">
        <v>43</v>
      </c>
      <c r="D444">
        <v>650</v>
      </c>
      <c r="E444" t="s">
        <v>1501</v>
      </c>
      <c r="F444" s="4">
        <v>42153.477210648147</v>
      </c>
      <c r="G444" s="4" t="s">
        <v>192</v>
      </c>
      <c r="H444" s="4" t="s">
        <v>1553</v>
      </c>
      <c r="I444" s="4">
        <v>0</v>
      </c>
      <c r="J444" s="4"/>
      <c r="K444" s="4"/>
      <c r="L444" s="4"/>
      <c r="M444" s="4"/>
      <c r="N444" s="4"/>
      <c r="O444" s="4">
        <v>0</v>
      </c>
      <c r="P444" s="4">
        <v>42157.484074074076</v>
      </c>
      <c r="Q444" s="4"/>
      <c r="R444" s="4"/>
      <c r="S444" s="79">
        <f>DbLinkTable[[#This Row],[Credit]]+DbLinkTable[[#This Row],[Charge]]</f>
        <v>0</v>
      </c>
      <c r="T444" s="79">
        <f>IF(DbLinkTable[[#This Row],[Price/lb]]*DbLinkTable[[#This Row],[Weight]]&gt;0,DbLinkTable[[#This Row],[Price/lb]]*DbLinkTable[[#This Row],[Weight]],0)</f>
        <v>0</v>
      </c>
      <c r="U444" s="79">
        <f>IF(DbLinkTable[[#This Row],[Price/lb]]*DbLinkTable[[#This Row],[Weight]]&lt;0,DbLinkTable[[#This Row],[Price/lb]]*DbLinkTable[[#This Row],[Weight]],0)</f>
        <v>0</v>
      </c>
      <c r="V444" s="4" t="str">
        <f>IF(COUNTIF($W$2:W444,W444)=1,1,"")</f>
        <v/>
      </c>
      <c r="W444" s="4" t="str">
        <f>CONCATENATE(DbLinkTable[[#This Row],[Customer]],UPPER(DbLinkTable[[#This Row],[Trailer Number]]),DbLinkTable[[#This Row],[Day Received]])</f>
        <v>Company14KKFU906443-142153</v>
      </c>
      <c r="X444" s="4">
        <f>DATEVALUE(TEXT(DbLinkTable[[#This Row],[Date Received]],"MMMM YYYY"))</f>
        <v>42125</v>
      </c>
      <c r="Y444" s="4">
        <f>INT(DbLinkTable[[#This Row],[Date Received]])</f>
        <v>42153</v>
      </c>
    </row>
    <row r="445" spans="1:25">
      <c r="A445">
        <v>11691</v>
      </c>
      <c r="B445" t="s">
        <v>1506</v>
      </c>
      <c r="C445" t="s">
        <v>1554</v>
      </c>
      <c r="D445">
        <v>630</v>
      </c>
      <c r="E445" t="s">
        <v>1501</v>
      </c>
      <c r="F445" s="4">
        <v>42153.477210648147</v>
      </c>
      <c r="G445" s="4" t="s">
        <v>192</v>
      </c>
      <c r="H445" s="4" t="s">
        <v>1553</v>
      </c>
      <c r="I445" s="4">
        <v>0</v>
      </c>
      <c r="J445" s="4"/>
      <c r="K445" s="4"/>
      <c r="L445" s="4"/>
      <c r="M445" s="4"/>
      <c r="N445" s="4"/>
      <c r="O445" s="4">
        <v>0</v>
      </c>
      <c r="P445" s="4">
        <v>42157.49459490741</v>
      </c>
      <c r="Q445" s="4"/>
      <c r="R445" s="4"/>
      <c r="S445" s="79">
        <f>DbLinkTable[[#This Row],[Credit]]+DbLinkTable[[#This Row],[Charge]]</f>
        <v>0</v>
      </c>
      <c r="T445" s="79">
        <f>IF(DbLinkTable[[#This Row],[Price/lb]]*DbLinkTable[[#This Row],[Weight]]&gt;0,DbLinkTable[[#This Row],[Price/lb]]*DbLinkTable[[#This Row],[Weight]],0)</f>
        <v>0</v>
      </c>
      <c r="U445" s="79">
        <f>IF(DbLinkTable[[#This Row],[Price/lb]]*DbLinkTable[[#This Row],[Weight]]&lt;0,DbLinkTable[[#This Row],[Price/lb]]*DbLinkTable[[#This Row],[Weight]],0)</f>
        <v>0</v>
      </c>
      <c r="V445" s="4" t="str">
        <f>IF(COUNTIF($W$2:W445,W445)=1,1,"")</f>
        <v/>
      </c>
      <c r="W445" s="4" t="str">
        <f>CONCATENATE(DbLinkTable[[#This Row],[Customer]],UPPER(DbLinkTable[[#This Row],[Trailer Number]]),DbLinkTable[[#This Row],[Day Received]])</f>
        <v>Company14KKFU906443-142153</v>
      </c>
      <c r="X445" s="4">
        <f>DATEVALUE(TEXT(DbLinkTable[[#This Row],[Date Received]],"MMMM YYYY"))</f>
        <v>42125</v>
      </c>
      <c r="Y445" s="4">
        <f>INT(DbLinkTable[[#This Row],[Date Received]])</f>
        <v>42153</v>
      </c>
    </row>
    <row r="446" spans="1:25">
      <c r="A446">
        <v>11692</v>
      </c>
      <c r="B446" t="s">
        <v>1506</v>
      </c>
      <c r="C446" t="s">
        <v>1522</v>
      </c>
      <c r="D446">
        <v>500</v>
      </c>
      <c r="E446" t="s">
        <v>1501</v>
      </c>
      <c r="F446" s="4">
        <v>42153.477210648147</v>
      </c>
      <c r="G446" s="4" t="s">
        <v>192</v>
      </c>
      <c r="H446" s="4" t="s">
        <v>1553</v>
      </c>
      <c r="I446" s="4">
        <v>0</v>
      </c>
      <c r="J446" s="4"/>
      <c r="K446" s="4"/>
      <c r="L446" s="4"/>
      <c r="M446" s="4"/>
      <c r="N446" s="4"/>
      <c r="O446" s="4">
        <v>0</v>
      </c>
      <c r="P446" s="4">
        <v>42157.494687500002</v>
      </c>
      <c r="Q446" s="4"/>
      <c r="R446" s="4"/>
      <c r="S446" s="79">
        <f>DbLinkTable[[#This Row],[Credit]]+DbLinkTable[[#This Row],[Charge]]</f>
        <v>0</v>
      </c>
      <c r="T446" s="79">
        <f>IF(DbLinkTable[[#This Row],[Price/lb]]*DbLinkTable[[#This Row],[Weight]]&gt;0,DbLinkTable[[#This Row],[Price/lb]]*DbLinkTable[[#This Row],[Weight]],0)</f>
        <v>0</v>
      </c>
      <c r="U446" s="79">
        <f>IF(DbLinkTable[[#This Row],[Price/lb]]*DbLinkTable[[#This Row],[Weight]]&lt;0,DbLinkTable[[#This Row],[Price/lb]]*DbLinkTable[[#This Row],[Weight]],0)</f>
        <v>0</v>
      </c>
      <c r="V446" s="4" t="str">
        <f>IF(COUNTIF($W$2:W446,W446)=1,1,"")</f>
        <v/>
      </c>
      <c r="W446" s="4" t="str">
        <f>CONCATENATE(DbLinkTable[[#This Row],[Customer]],UPPER(DbLinkTable[[#This Row],[Trailer Number]]),DbLinkTable[[#This Row],[Day Received]])</f>
        <v>Company14KKFU906443-142153</v>
      </c>
      <c r="X446" s="4">
        <f>DATEVALUE(TEXT(DbLinkTable[[#This Row],[Date Received]],"MMMM YYYY"))</f>
        <v>42125</v>
      </c>
      <c r="Y446" s="4">
        <f>INT(DbLinkTable[[#This Row],[Date Received]])</f>
        <v>42153</v>
      </c>
    </row>
    <row r="447" spans="1:25">
      <c r="A447">
        <v>11694</v>
      </c>
      <c r="B447" t="s">
        <v>1506</v>
      </c>
      <c r="C447" t="s">
        <v>1522</v>
      </c>
      <c r="D447">
        <v>920</v>
      </c>
      <c r="E447" t="s">
        <v>1501</v>
      </c>
      <c r="F447" s="4">
        <v>42153.477210648147</v>
      </c>
      <c r="G447" s="4" t="s">
        <v>192</v>
      </c>
      <c r="H447" s="4" t="s">
        <v>1553</v>
      </c>
      <c r="I447" s="4">
        <v>0</v>
      </c>
      <c r="J447" s="4"/>
      <c r="K447" s="4"/>
      <c r="L447" s="4"/>
      <c r="M447" s="4"/>
      <c r="N447" s="4"/>
      <c r="O447" s="4">
        <v>0</v>
      </c>
      <c r="P447" s="4">
        <v>42158.356712962966</v>
      </c>
      <c r="Q447" s="4"/>
      <c r="R447" s="4"/>
      <c r="S447" s="79">
        <f>DbLinkTable[[#This Row],[Credit]]+DbLinkTable[[#This Row],[Charge]]</f>
        <v>0</v>
      </c>
      <c r="T447" s="79">
        <f>IF(DbLinkTable[[#This Row],[Price/lb]]*DbLinkTable[[#This Row],[Weight]]&gt;0,DbLinkTable[[#This Row],[Price/lb]]*DbLinkTable[[#This Row],[Weight]],0)</f>
        <v>0</v>
      </c>
      <c r="U447" s="79">
        <f>IF(DbLinkTable[[#This Row],[Price/lb]]*DbLinkTable[[#This Row],[Weight]]&lt;0,DbLinkTable[[#This Row],[Price/lb]]*DbLinkTable[[#This Row],[Weight]],0)</f>
        <v>0</v>
      </c>
      <c r="V447" s="4" t="str">
        <f>IF(COUNTIF($W$2:W447,W447)=1,1,"")</f>
        <v/>
      </c>
      <c r="W447" s="4" t="str">
        <f>CONCATENATE(DbLinkTable[[#This Row],[Customer]],UPPER(DbLinkTable[[#This Row],[Trailer Number]]),DbLinkTable[[#This Row],[Day Received]])</f>
        <v>Company14KKFU906443-142153</v>
      </c>
      <c r="X447" s="4">
        <f>DATEVALUE(TEXT(DbLinkTable[[#This Row],[Date Received]],"MMMM YYYY"))</f>
        <v>42125</v>
      </c>
      <c r="Y447" s="4">
        <f>INT(DbLinkTable[[#This Row],[Date Received]])</f>
        <v>42153</v>
      </c>
    </row>
    <row r="448" spans="1:25">
      <c r="A448">
        <v>11695</v>
      </c>
      <c r="B448" t="s">
        <v>1506</v>
      </c>
      <c r="C448" t="s">
        <v>1522</v>
      </c>
      <c r="D448">
        <v>642</v>
      </c>
      <c r="E448" t="s">
        <v>1501</v>
      </c>
      <c r="F448" s="4">
        <v>42153.477210648147</v>
      </c>
      <c r="G448" s="4" t="s">
        <v>192</v>
      </c>
      <c r="H448" s="4" t="s">
        <v>1553</v>
      </c>
      <c r="I448" s="4">
        <v>0</v>
      </c>
      <c r="J448" s="4"/>
      <c r="K448" s="4"/>
      <c r="L448" s="4"/>
      <c r="M448" s="4"/>
      <c r="N448" s="4"/>
      <c r="O448" s="4">
        <v>0</v>
      </c>
      <c r="P448" s="4">
        <v>42158.360648148147</v>
      </c>
      <c r="Q448" s="4"/>
      <c r="R448" s="4"/>
      <c r="S448" s="79">
        <f>DbLinkTable[[#This Row],[Credit]]+DbLinkTable[[#This Row],[Charge]]</f>
        <v>0</v>
      </c>
      <c r="T448" s="79">
        <f>IF(DbLinkTable[[#This Row],[Price/lb]]*DbLinkTable[[#This Row],[Weight]]&gt;0,DbLinkTable[[#This Row],[Price/lb]]*DbLinkTable[[#This Row],[Weight]],0)</f>
        <v>0</v>
      </c>
      <c r="U448" s="79">
        <f>IF(DbLinkTable[[#This Row],[Price/lb]]*DbLinkTable[[#This Row],[Weight]]&lt;0,DbLinkTable[[#This Row],[Price/lb]]*DbLinkTable[[#This Row],[Weight]],0)</f>
        <v>0</v>
      </c>
      <c r="V448" s="4" t="str">
        <f>IF(COUNTIF($W$2:W448,W448)=1,1,"")</f>
        <v/>
      </c>
      <c r="W448" s="4" t="str">
        <f>CONCATENATE(DbLinkTable[[#This Row],[Customer]],UPPER(DbLinkTable[[#This Row],[Trailer Number]]),DbLinkTable[[#This Row],[Day Received]])</f>
        <v>Company14KKFU906443-142153</v>
      </c>
      <c r="X448" s="4">
        <f>DATEVALUE(TEXT(DbLinkTable[[#This Row],[Date Received]],"MMMM YYYY"))</f>
        <v>42125</v>
      </c>
      <c r="Y448" s="4">
        <f>INT(DbLinkTable[[#This Row],[Date Received]])</f>
        <v>42153</v>
      </c>
    </row>
    <row r="449" spans="1:25">
      <c r="A449">
        <v>11696</v>
      </c>
      <c r="B449" t="s">
        <v>1506</v>
      </c>
      <c r="C449" t="s">
        <v>1522</v>
      </c>
      <c r="D449">
        <v>1030</v>
      </c>
      <c r="E449" t="s">
        <v>1501</v>
      </c>
      <c r="F449" s="4">
        <v>42153.477210648147</v>
      </c>
      <c r="G449" s="4" t="s">
        <v>192</v>
      </c>
      <c r="H449" s="4" t="s">
        <v>1553</v>
      </c>
      <c r="I449" s="4">
        <v>0</v>
      </c>
      <c r="J449" s="4"/>
      <c r="K449" s="4"/>
      <c r="L449" s="4"/>
      <c r="M449" s="4"/>
      <c r="N449" s="4"/>
      <c r="O449" s="4">
        <v>0</v>
      </c>
      <c r="P449" s="4">
        <v>42158.362442129626</v>
      </c>
      <c r="Q449" s="4"/>
      <c r="R449" s="4"/>
      <c r="S449" s="79">
        <f>DbLinkTable[[#This Row],[Credit]]+DbLinkTable[[#This Row],[Charge]]</f>
        <v>0</v>
      </c>
      <c r="T449" s="79">
        <f>IF(DbLinkTable[[#This Row],[Price/lb]]*DbLinkTable[[#This Row],[Weight]]&gt;0,DbLinkTable[[#This Row],[Price/lb]]*DbLinkTable[[#This Row],[Weight]],0)</f>
        <v>0</v>
      </c>
      <c r="U449" s="79">
        <f>IF(DbLinkTable[[#This Row],[Price/lb]]*DbLinkTable[[#This Row],[Weight]]&lt;0,DbLinkTable[[#This Row],[Price/lb]]*DbLinkTable[[#This Row],[Weight]],0)</f>
        <v>0</v>
      </c>
      <c r="V449" s="4" t="str">
        <f>IF(COUNTIF($W$2:W449,W449)=1,1,"")</f>
        <v/>
      </c>
      <c r="W449" s="4" t="str">
        <f>CONCATENATE(DbLinkTable[[#This Row],[Customer]],UPPER(DbLinkTable[[#This Row],[Trailer Number]]),DbLinkTable[[#This Row],[Day Received]])</f>
        <v>Company14KKFU906443-142153</v>
      </c>
      <c r="X449" s="4">
        <f>DATEVALUE(TEXT(DbLinkTable[[#This Row],[Date Received]],"MMMM YYYY"))</f>
        <v>42125</v>
      </c>
      <c r="Y449" s="4">
        <f>INT(DbLinkTable[[#This Row],[Date Received]])</f>
        <v>42153</v>
      </c>
    </row>
    <row r="450" spans="1:25">
      <c r="A450">
        <v>11697</v>
      </c>
      <c r="B450" t="s">
        <v>1506</v>
      </c>
      <c r="C450" t="s">
        <v>1522</v>
      </c>
      <c r="D450">
        <v>1034</v>
      </c>
      <c r="E450" t="s">
        <v>1501</v>
      </c>
      <c r="F450" s="4">
        <v>42153.477210648147</v>
      </c>
      <c r="G450" s="4" t="s">
        <v>192</v>
      </c>
      <c r="H450" s="4" t="s">
        <v>1553</v>
      </c>
      <c r="I450" s="4">
        <v>0</v>
      </c>
      <c r="J450" s="4"/>
      <c r="K450" s="4"/>
      <c r="L450" s="4"/>
      <c r="M450" s="4"/>
      <c r="N450" s="4"/>
      <c r="O450" s="4">
        <v>0</v>
      </c>
      <c r="P450" s="4">
        <v>42158.364201388889</v>
      </c>
      <c r="Q450" s="4"/>
      <c r="R450" s="4"/>
      <c r="S450" s="79">
        <f>DbLinkTable[[#This Row],[Credit]]+DbLinkTable[[#This Row],[Charge]]</f>
        <v>0</v>
      </c>
      <c r="T450" s="79">
        <f>IF(DbLinkTable[[#This Row],[Price/lb]]*DbLinkTable[[#This Row],[Weight]]&gt;0,DbLinkTable[[#This Row],[Price/lb]]*DbLinkTable[[#This Row],[Weight]],0)</f>
        <v>0</v>
      </c>
      <c r="U450" s="79">
        <f>IF(DbLinkTable[[#This Row],[Price/lb]]*DbLinkTable[[#This Row],[Weight]]&lt;0,DbLinkTable[[#This Row],[Price/lb]]*DbLinkTable[[#This Row],[Weight]],0)</f>
        <v>0</v>
      </c>
      <c r="V450" s="4" t="str">
        <f>IF(COUNTIF($W$2:W450,W450)=1,1,"")</f>
        <v/>
      </c>
      <c r="W450" s="4" t="str">
        <f>CONCATENATE(DbLinkTable[[#This Row],[Customer]],UPPER(DbLinkTable[[#This Row],[Trailer Number]]),DbLinkTable[[#This Row],[Day Received]])</f>
        <v>Company14KKFU906443-142153</v>
      </c>
      <c r="X450" s="4">
        <f>DATEVALUE(TEXT(DbLinkTable[[#This Row],[Date Received]],"MMMM YYYY"))</f>
        <v>42125</v>
      </c>
      <c r="Y450" s="4">
        <f>INT(DbLinkTable[[#This Row],[Date Received]])</f>
        <v>42153</v>
      </c>
    </row>
    <row r="451" spans="1:25">
      <c r="A451">
        <v>11698</v>
      </c>
      <c r="B451" t="s">
        <v>1506</v>
      </c>
      <c r="C451" t="s">
        <v>1522</v>
      </c>
      <c r="D451">
        <v>710</v>
      </c>
      <c r="E451" t="s">
        <v>1501</v>
      </c>
      <c r="F451" s="4">
        <v>42153.477210648147</v>
      </c>
      <c r="G451" s="4" t="s">
        <v>192</v>
      </c>
      <c r="H451" s="4" t="s">
        <v>1553</v>
      </c>
      <c r="I451" s="4">
        <v>0</v>
      </c>
      <c r="J451" s="4"/>
      <c r="K451" s="4"/>
      <c r="L451" s="4"/>
      <c r="M451" s="4"/>
      <c r="N451" s="4"/>
      <c r="O451" s="4">
        <v>0</v>
      </c>
      <c r="P451" s="4">
        <v>42158.367719907408</v>
      </c>
      <c r="Q451" s="4"/>
      <c r="R451" s="4"/>
      <c r="S451" s="79">
        <f>DbLinkTable[[#This Row],[Credit]]+DbLinkTable[[#This Row],[Charge]]</f>
        <v>0</v>
      </c>
      <c r="T451" s="79">
        <f>IF(DbLinkTable[[#This Row],[Price/lb]]*DbLinkTable[[#This Row],[Weight]]&gt;0,DbLinkTable[[#This Row],[Price/lb]]*DbLinkTable[[#This Row],[Weight]],0)</f>
        <v>0</v>
      </c>
      <c r="U451" s="79">
        <f>IF(DbLinkTable[[#This Row],[Price/lb]]*DbLinkTable[[#This Row],[Weight]]&lt;0,DbLinkTable[[#This Row],[Price/lb]]*DbLinkTable[[#This Row],[Weight]],0)</f>
        <v>0</v>
      </c>
      <c r="V451" s="4" t="str">
        <f>IF(COUNTIF($W$2:W451,W451)=1,1,"")</f>
        <v/>
      </c>
      <c r="W451" s="4" t="str">
        <f>CONCATENATE(DbLinkTable[[#This Row],[Customer]],UPPER(DbLinkTable[[#This Row],[Trailer Number]]),DbLinkTable[[#This Row],[Day Received]])</f>
        <v>Company14KKFU906443-142153</v>
      </c>
      <c r="X451" s="4">
        <f>DATEVALUE(TEXT(DbLinkTable[[#This Row],[Date Received]],"MMMM YYYY"))</f>
        <v>42125</v>
      </c>
      <c r="Y451" s="4">
        <f>INT(DbLinkTable[[#This Row],[Date Received]])</f>
        <v>42153</v>
      </c>
    </row>
    <row r="452" spans="1:25">
      <c r="A452">
        <v>11699</v>
      </c>
      <c r="B452" t="s">
        <v>1506</v>
      </c>
      <c r="C452" t="s">
        <v>1522</v>
      </c>
      <c r="D452">
        <v>550</v>
      </c>
      <c r="E452" t="s">
        <v>1501</v>
      </c>
      <c r="F452" s="4">
        <v>42153.477210648147</v>
      </c>
      <c r="G452" s="4" t="s">
        <v>192</v>
      </c>
      <c r="H452" s="4" t="s">
        <v>1553</v>
      </c>
      <c r="I452" s="4">
        <v>0</v>
      </c>
      <c r="J452" s="4"/>
      <c r="K452" s="4"/>
      <c r="L452" s="4"/>
      <c r="M452" s="4"/>
      <c r="N452" s="4"/>
      <c r="O452" s="4">
        <v>0</v>
      </c>
      <c r="P452" s="4">
        <v>42158.369722222225</v>
      </c>
      <c r="Q452" s="4"/>
      <c r="R452" s="4"/>
      <c r="S452" s="79">
        <f>DbLinkTable[[#This Row],[Credit]]+DbLinkTable[[#This Row],[Charge]]</f>
        <v>0</v>
      </c>
      <c r="T452" s="79">
        <f>IF(DbLinkTable[[#This Row],[Price/lb]]*DbLinkTable[[#This Row],[Weight]]&gt;0,DbLinkTable[[#This Row],[Price/lb]]*DbLinkTable[[#This Row],[Weight]],0)</f>
        <v>0</v>
      </c>
      <c r="U452" s="79">
        <f>IF(DbLinkTable[[#This Row],[Price/lb]]*DbLinkTable[[#This Row],[Weight]]&lt;0,DbLinkTable[[#This Row],[Price/lb]]*DbLinkTable[[#This Row],[Weight]],0)</f>
        <v>0</v>
      </c>
      <c r="V452" s="4" t="str">
        <f>IF(COUNTIF($W$2:W452,W452)=1,1,"")</f>
        <v/>
      </c>
      <c r="W452" s="4" t="str">
        <f>CONCATENATE(DbLinkTable[[#This Row],[Customer]],UPPER(DbLinkTable[[#This Row],[Trailer Number]]),DbLinkTable[[#This Row],[Day Received]])</f>
        <v>Company14KKFU906443-142153</v>
      </c>
      <c r="X452" s="4">
        <f>DATEVALUE(TEXT(DbLinkTable[[#This Row],[Date Received]],"MMMM YYYY"))</f>
        <v>42125</v>
      </c>
      <c r="Y452" s="4">
        <f>INT(DbLinkTable[[#This Row],[Date Received]])</f>
        <v>42153</v>
      </c>
    </row>
    <row r="453" spans="1:25">
      <c r="A453">
        <v>11700</v>
      </c>
      <c r="B453" t="s">
        <v>1506</v>
      </c>
      <c r="C453" t="s">
        <v>1522</v>
      </c>
      <c r="D453">
        <v>730</v>
      </c>
      <c r="E453" t="s">
        <v>1501</v>
      </c>
      <c r="F453" s="4">
        <v>42153.477210648147</v>
      </c>
      <c r="G453" s="4" t="s">
        <v>192</v>
      </c>
      <c r="H453" s="4" t="s">
        <v>1553</v>
      </c>
      <c r="I453" s="4">
        <v>0</v>
      </c>
      <c r="J453" s="4"/>
      <c r="K453" s="4"/>
      <c r="L453" s="4"/>
      <c r="M453" s="4"/>
      <c r="N453" s="4"/>
      <c r="O453" s="4">
        <v>0</v>
      </c>
      <c r="P453" s="4">
        <v>42158.37122685185</v>
      </c>
      <c r="Q453" s="4"/>
      <c r="R453" s="4"/>
      <c r="S453" s="79">
        <f>DbLinkTable[[#This Row],[Credit]]+DbLinkTable[[#This Row],[Charge]]</f>
        <v>0</v>
      </c>
      <c r="T453" s="79">
        <f>IF(DbLinkTable[[#This Row],[Price/lb]]*DbLinkTable[[#This Row],[Weight]]&gt;0,DbLinkTable[[#This Row],[Price/lb]]*DbLinkTable[[#This Row],[Weight]],0)</f>
        <v>0</v>
      </c>
      <c r="U453" s="79">
        <f>IF(DbLinkTable[[#This Row],[Price/lb]]*DbLinkTable[[#This Row],[Weight]]&lt;0,DbLinkTable[[#This Row],[Price/lb]]*DbLinkTable[[#This Row],[Weight]],0)</f>
        <v>0</v>
      </c>
      <c r="V453" s="4" t="str">
        <f>IF(COUNTIF($W$2:W453,W453)=1,1,"")</f>
        <v/>
      </c>
      <c r="W453" s="4" t="str">
        <f>CONCATENATE(DbLinkTable[[#This Row],[Customer]],UPPER(DbLinkTable[[#This Row],[Trailer Number]]),DbLinkTable[[#This Row],[Day Received]])</f>
        <v>Company14KKFU906443-142153</v>
      </c>
      <c r="X453" s="4">
        <f>DATEVALUE(TEXT(DbLinkTable[[#This Row],[Date Received]],"MMMM YYYY"))</f>
        <v>42125</v>
      </c>
      <c r="Y453" s="4">
        <f>INT(DbLinkTable[[#This Row],[Date Received]])</f>
        <v>42153</v>
      </c>
    </row>
    <row r="454" spans="1:25">
      <c r="A454">
        <v>11701</v>
      </c>
      <c r="B454" t="s">
        <v>1506</v>
      </c>
      <c r="C454" t="s">
        <v>1522</v>
      </c>
      <c r="D454">
        <v>570</v>
      </c>
      <c r="E454" t="s">
        <v>1501</v>
      </c>
      <c r="F454" s="4">
        <v>42153.477210648147</v>
      </c>
      <c r="G454" s="4" t="s">
        <v>192</v>
      </c>
      <c r="H454" s="4" t="s">
        <v>1553</v>
      </c>
      <c r="I454" s="4">
        <v>0</v>
      </c>
      <c r="J454" s="4"/>
      <c r="K454" s="4"/>
      <c r="L454" s="4"/>
      <c r="M454" s="4"/>
      <c r="N454" s="4"/>
      <c r="O454" s="4">
        <v>0</v>
      </c>
      <c r="P454" s="4">
        <v>42158.373124999998</v>
      </c>
      <c r="Q454" s="4"/>
      <c r="R454" s="4"/>
      <c r="S454" s="79">
        <f>DbLinkTable[[#This Row],[Credit]]+DbLinkTable[[#This Row],[Charge]]</f>
        <v>0</v>
      </c>
      <c r="T454" s="79">
        <f>IF(DbLinkTable[[#This Row],[Price/lb]]*DbLinkTable[[#This Row],[Weight]]&gt;0,DbLinkTable[[#This Row],[Price/lb]]*DbLinkTable[[#This Row],[Weight]],0)</f>
        <v>0</v>
      </c>
      <c r="U454" s="79">
        <f>IF(DbLinkTable[[#This Row],[Price/lb]]*DbLinkTable[[#This Row],[Weight]]&lt;0,DbLinkTable[[#This Row],[Price/lb]]*DbLinkTable[[#This Row],[Weight]],0)</f>
        <v>0</v>
      </c>
      <c r="V454" s="4" t="str">
        <f>IF(COUNTIF($W$2:W454,W454)=1,1,"")</f>
        <v/>
      </c>
      <c r="W454" s="4" t="str">
        <f>CONCATENATE(DbLinkTable[[#This Row],[Customer]],UPPER(DbLinkTable[[#This Row],[Trailer Number]]),DbLinkTable[[#This Row],[Day Received]])</f>
        <v>Company14KKFU906443-142153</v>
      </c>
      <c r="X454" s="4">
        <f>DATEVALUE(TEXT(DbLinkTable[[#This Row],[Date Received]],"MMMM YYYY"))</f>
        <v>42125</v>
      </c>
      <c r="Y454" s="4">
        <f>INT(DbLinkTable[[#This Row],[Date Received]])</f>
        <v>42153</v>
      </c>
    </row>
    <row r="455" spans="1:25">
      <c r="A455">
        <v>11702</v>
      </c>
      <c r="B455" t="s">
        <v>1506</v>
      </c>
      <c r="C455" t="s">
        <v>1522</v>
      </c>
      <c r="D455">
        <v>762</v>
      </c>
      <c r="E455" t="s">
        <v>1501</v>
      </c>
      <c r="F455" s="4">
        <v>42153.477210648147</v>
      </c>
      <c r="G455" s="4" t="s">
        <v>192</v>
      </c>
      <c r="H455" s="4" t="s">
        <v>1553</v>
      </c>
      <c r="I455" s="4">
        <v>0</v>
      </c>
      <c r="J455" s="4"/>
      <c r="K455" s="4"/>
      <c r="L455" s="4"/>
      <c r="M455" s="4"/>
      <c r="N455" s="4"/>
      <c r="O455" s="4">
        <v>0</v>
      </c>
      <c r="P455" s="4">
        <v>42158.375601851854</v>
      </c>
      <c r="Q455" s="4"/>
      <c r="R455" s="4"/>
      <c r="S455" s="79">
        <f>DbLinkTable[[#This Row],[Credit]]+DbLinkTable[[#This Row],[Charge]]</f>
        <v>0</v>
      </c>
      <c r="T455" s="79">
        <f>IF(DbLinkTable[[#This Row],[Price/lb]]*DbLinkTable[[#This Row],[Weight]]&gt;0,DbLinkTable[[#This Row],[Price/lb]]*DbLinkTable[[#This Row],[Weight]],0)</f>
        <v>0</v>
      </c>
      <c r="U455" s="79">
        <f>IF(DbLinkTable[[#This Row],[Price/lb]]*DbLinkTable[[#This Row],[Weight]]&lt;0,DbLinkTable[[#This Row],[Price/lb]]*DbLinkTable[[#This Row],[Weight]],0)</f>
        <v>0</v>
      </c>
      <c r="V455" s="4" t="str">
        <f>IF(COUNTIF($W$2:W455,W455)=1,1,"")</f>
        <v/>
      </c>
      <c r="W455" s="4" t="str">
        <f>CONCATENATE(DbLinkTable[[#This Row],[Customer]],UPPER(DbLinkTable[[#This Row],[Trailer Number]]),DbLinkTable[[#This Row],[Day Received]])</f>
        <v>Company14KKFU906443-142153</v>
      </c>
      <c r="X455" s="4">
        <f>DATEVALUE(TEXT(DbLinkTable[[#This Row],[Date Received]],"MMMM YYYY"))</f>
        <v>42125</v>
      </c>
      <c r="Y455" s="4">
        <f>INT(DbLinkTable[[#This Row],[Date Received]])</f>
        <v>42153</v>
      </c>
    </row>
    <row r="456" spans="1:25">
      <c r="A456">
        <v>11703</v>
      </c>
      <c r="B456" t="s">
        <v>1506</v>
      </c>
      <c r="C456" t="s">
        <v>1522</v>
      </c>
      <c r="D456">
        <v>858</v>
      </c>
      <c r="E456" t="s">
        <v>1501</v>
      </c>
      <c r="F456" s="4">
        <v>42153.477210648147</v>
      </c>
      <c r="G456" s="4" t="s">
        <v>192</v>
      </c>
      <c r="H456" s="4" t="s">
        <v>1553</v>
      </c>
      <c r="I456" s="4">
        <v>0</v>
      </c>
      <c r="J456" s="4"/>
      <c r="K456" s="4"/>
      <c r="L456" s="4"/>
      <c r="M456" s="4"/>
      <c r="N456" s="4"/>
      <c r="O456" s="4">
        <v>0</v>
      </c>
      <c r="P456" s="4">
        <v>42158.378055555557</v>
      </c>
      <c r="Q456" s="4"/>
      <c r="R456" s="4"/>
      <c r="S456" s="79">
        <f>DbLinkTable[[#This Row],[Credit]]+DbLinkTable[[#This Row],[Charge]]</f>
        <v>0</v>
      </c>
      <c r="T456" s="79">
        <f>IF(DbLinkTable[[#This Row],[Price/lb]]*DbLinkTable[[#This Row],[Weight]]&gt;0,DbLinkTable[[#This Row],[Price/lb]]*DbLinkTable[[#This Row],[Weight]],0)</f>
        <v>0</v>
      </c>
      <c r="U456" s="79">
        <f>IF(DbLinkTable[[#This Row],[Price/lb]]*DbLinkTable[[#This Row],[Weight]]&lt;0,DbLinkTable[[#This Row],[Price/lb]]*DbLinkTable[[#This Row],[Weight]],0)</f>
        <v>0</v>
      </c>
      <c r="V456" s="4" t="str">
        <f>IF(COUNTIF($W$2:W456,W456)=1,1,"")</f>
        <v/>
      </c>
      <c r="W456" s="4" t="str">
        <f>CONCATENATE(DbLinkTable[[#This Row],[Customer]],UPPER(DbLinkTable[[#This Row],[Trailer Number]]),DbLinkTable[[#This Row],[Day Received]])</f>
        <v>Company14KKFU906443-142153</v>
      </c>
      <c r="X456" s="4">
        <f>DATEVALUE(TEXT(DbLinkTable[[#This Row],[Date Received]],"MMMM YYYY"))</f>
        <v>42125</v>
      </c>
      <c r="Y456" s="4">
        <f>INT(DbLinkTable[[#This Row],[Date Received]])</f>
        <v>42153</v>
      </c>
    </row>
    <row r="457" spans="1:25">
      <c r="A457">
        <v>11704</v>
      </c>
      <c r="B457" t="s">
        <v>1506</v>
      </c>
      <c r="C457" t="s">
        <v>1522</v>
      </c>
      <c r="D457">
        <v>870</v>
      </c>
      <c r="E457" t="s">
        <v>1501</v>
      </c>
      <c r="F457" s="4">
        <v>42153.477210648147</v>
      </c>
      <c r="G457" s="4" t="s">
        <v>192</v>
      </c>
      <c r="H457" s="4" t="s">
        <v>1553</v>
      </c>
      <c r="I457" s="4">
        <v>0</v>
      </c>
      <c r="J457" s="4"/>
      <c r="K457" s="4"/>
      <c r="L457" s="4"/>
      <c r="M457" s="4"/>
      <c r="N457" s="4"/>
      <c r="O457" s="4">
        <v>0</v>
      </c>
      <c r="P457" s="4">
        <v>42158.380902777775</v>
      </c>
      <c r="Q457" s="4"/>
      <c r="R457" s="4"/>
      <c r="S457" s="79">
        <f>DbLinkTable[[#This Row],[Credit]]+DbLinkTable[[#This Row],[Charge]]</f>
        <v>0</v>
      </c>
      <c r="T457" s="79">
        <f>IF(DbLinkTable[[#This Row],[Price/lb]]*DbLinkTable[[#This Row],[Weight]]&gt;0,DbLinkTable[[#This Row],[Price/lb]]*DbLinkTable[[#This Row],[Weight]],0)</f>
        <v>0</v>
      </c>
      <c r="U457" s="79">
        <f>IF(DbLinkTable[[#This Row],[Price/lb]]*DbLinkTable[[#This Row],[Weight]]&lt;0,DbLinkTable[[#This Row],[Price/lb]]*DbLinkTable[[#This Row],[Weight]],0)</f>
        <v>0</v>
      </c>
      <c r="V457" s="4" t="str">
        <f>IF(COUNTIF($W$2:W457,W457)=1,1,"")</f>
        <v/>
      </c>
      <c r="W457" s="4" t="str">
        <f>CONCATENATE(DbLinkTable[[#This Row],[Customer]],UPPER(DbLinkTable[[#This Row],[Trailer Number]]),DbLinkTable[[#This Row],[Day Received]])</f>
        <v>Company14KKFU906443-142153</v>
      </c>
      <c r="X457" s="4">
        <f>DATEVALUE(TEXT(DbLinkTable[[#This Row],[Date Received]],"MMMM YYYY"))</f>
        <v>42125</v>
      </c>
      <c r="Y457" s="4">
        <f>INT(DbLinkTable[[#This Row],[Date Received]])</f>
        <v>42153</v>
      </c>
    </row>
    <row r="458" spans="1:25">
      <c r="A458">
        <v>11705</v>
      </c>
      <c r="B458" t="s">
        <v>1506</v>
      </c>
      <c r="C458" t="s">
        <v>1522</v>
      </c>
      <c r="D458">
        <v>760</v>
      </c>
      <c r="E458" t="s">
        <v>1501</v>
      </c>
      <c r="F458" s="4">
        <v>42153.477210648147</v>
      </c>
      <c r="G458" s="4" t="s">
        <v>192</v>
      </c>
      <c r="H458" s="4" t="s">
        <v>1553</v>
      </c>
      <c r="I458" s="4">
        <v>0</v>
      </c>
      <c r="J458" s="4"/>
      <c r="K458" s="4"/>
      <c r="L458" s="4"/>
      <c r="M458" s="4"/>
      <c r="N458" s="4"/>
      <c r="O458" s="4">
        <v>0</v>
      </c>
      <c r="P458" s="4">
        <v>42158.383263888885</v>
      </c>
      <c r="Q458" s="4"/>
      <c r="R458" s="4"/>
      <c r="S458" s="79">
        <f>DbLinkTable[[#This Row],[Credit]]+DbLinkTable[[#This Row],[Charge]]</f>
        <v>0</v>
      </c>
      <c r="T458" s="79">
        <f>IF(DbLinkTable[[#This Row],[Price/lb]]*DbLinkTable[[#This Row],[Weight]]&gt;0,DbLinkTable[[#This Row],[Price/lb]]*DbLinkTable[[#This Row],[Weight]],0)</f>
        <v>0</v>
      </c>
      <c r="U458" s="79">
        <f>IF(DbLinkTable[[#This Row],[Price/lb]]*DbLinkTable[[#This Row],[Weight]]&lt;0,DbLinkTable[[#This Row],[Price/lb]]*DbLinkTable[[#This Row],[Weight]],0)</f>
        <v>0</v>
      </c>
      <c r="V458" s="4" t="str">
        <f>IF(COUNTIF($W$2:W14,W458)=1,1,"")</f>
        <v/>
      </c>
      <c r="W458" s="4" t="str">
        <f>CONCATENATE(DbLinkTable[[#This Row],[Customer]],UPPER(DbLinkTable[[#This Row],[Trailer Number]]),DbLinkTable[[#This Row],[Day Received]])</f>
        <v>Company14KKFU906443-142153</v>
      </c>
      <c r="X458" s="4">
        <f>DATEVALUE(TEXT(DbLinkTable[[#This Row],[Date Received]],"MMMM YYYY"))</f>
        <v>42125</v>
      </c>
      <c r="Y458" s="4">
        <f>INT(DbLinkTable[[#This Row],[Date Received]])</f>
        <v>42153</v>
      </c>
    </row>
    <row r="459" spans="1:25">
      <c r="A459">
        <v>11706</v>
      </c>
      <c r="B459" t="s">
        <v>1506</v>
      </c>
      <c r="C459" t="s">
        <v>1522</v>
      </c>
      <c r="D459">
        <v>762</v>
      </c>
      <c r="E459" t="s">
        <v>1501</v>
      </c>
      <c r="F459" s="4">
        <v>42153.477210648147</v>
      </c>
      <c r="G459" s="4" t="s">
        <v>192</v>
      </c>
      <c r="H459" s="4" t="s">
        <v>1553</v>
      </c>
      <c r="I459" s="4">
        <v>0</v>
      </c>
      <c r="J459" s="4"/>
      <c r="K459" s="4"/>
      <c r="L459" s="4"/>
      <c r="M459" s="4"/>
      <c r="N459" s="4"/>
      <c r="O459" s="4">
        <v>0</v>
      </c>
      <c r="P459" s="4">
        <v>42158.385034722225</v>
      </c>
      <c r="Q459" s="4"/>
      <c r="R459" s="4"/>
      <c r="S459" s="79">
        <f>DbLinkTable[[#This Row],[Credit]]+DbLinkTable[[#This Row],[Charge]]</f>
        <v>0</v>
      </c>
      <c r="T459" s="79">
        <f>IF(DbLinkTable[[#This Row],[Price/lb]]*DbLinkTable[[#This Row],[Weight]]&gt;0,DbLinkTable[[#This Row],[Price/lb]]*DbLinkTable[[#This Row],[Weight]],0)</f>
        <v>0</v>
      </c>
      <c r="U459" s="79">
        <f>IF(DbLinkTable[[#This Row],[Price/lb]]*DbLinkTable[[#This Row],[Weight]]&lt;0,DbLinkTable[[#This Row],[Price/lb]]*DbLinkTable[[#This Row],[Weight]],0)</f>
        <v>0</v>
      </c>
      <c r="V459" s="4" t="str">
        <f>IF(COUNTIF($W$2:W459,W459)=1,1,"")</f>
        <v/>
      </c>
      <c r="W459" s="4" t="str">
        <f>CONCATENATE(DbLinkTable[[#This Row],[Customer]],UPPER(DbLinkTable[[#This Row],[Trailer Number]]),DbLinkTable[[#This Row],[Day Received]])</f>
        <v>Company14KKFU906443-142153</v>
      </c>
      <c r="X459" s="4">
        <f>DATEVALUE(TEXT(DbLinkTable[[#This Row],[Date Received]],"MMMM YYYY"))</f>
        <v>42125</v>
      </c>
      <c r="Y459" s="4">
        <f>INT(DbLinkTable[[#This Row],[Date Received]])</f>
        <v>42153</v>
      </c>
    </row>
    <row r="460" spans="1:25">
      <c r="A460">
        <v>11707</v>
      </c>
      <c r="B460" t="s">
        <v>1506</v>
      </c>
      <c r="C460" t="s">
        <v>1522</v>
      </c>
      <c r="D460">
        <v>600</v>
      </c>
      <c r="E460" t="s">
        <v>1501</v>
      </c>
      <c r="F460" s="4">
        <v>42153.477210648147</v>
      </c>
      <c r="G460" s="4" t="s">
        <v>192</v>
      </c>
      <c r="H460" s="4" t="s">
        <v>1553</v>
      </c>
      <c r="I460" s="4">
        <v>0</v>
      </c>
      <c r="J460" s="4"/>
      <c r="K460" s="4"/>
      <c r="L460" s="4"/>
      <c r="M460" s="4"/>
      <c r="N460" s="4"/>
      <c r="O460" s="4">
        <v>0</v>
      </c>
      <c r="P460" s="4">
        <v>42158.456550925926</v>
      </c>
      <c r="Q460" s="4"/>
      <c r="R460" s="4"/>
      <c r="S460" s="79">
        <f>DbLinkTable[[#This Row],[Credit]]+DbLinkTable[[#This Row],[Charge]]</f>
        <v>0</v>
      </c>
      <c r="T460" s="79">
        <f>IF(DbLinkTable[[#This Row],[Price/lb]]*DbLinkTable[[#This Row],[Weight]]&gt;0,DbLinkTable[[#This Row],[Price/lb]]*DbLinkTable[[#This Row],[Weight]],0)</f>
        <v>0</v>
      </c>
      <c r="U460" s="79">
        <f>IF(DbLinkTable[[#This Row],[Price/lb]]*DbLinkTable[[#This Row],[Weight]]&lt;0,DbLinkTable[[#This Row],[Price/lb]]*DbLinkTable[[#This Row],[Weight]],0)</f>
        <v>0</v>
      </c>
      <c r="V460" s="4" t="str">
        <f>IF(COUNTIF($W$2:W460,W460)=1,1,"")</f>
        <v/>
      </c>
      <c r="W460" s="4" t="str">
        <f>CONCATENATE(DbLinkTable[[#This Row],[Customer]],UPPER(DbLinkTable[[#This Row],[Trailer Number]]),DbLinkTable[[#This Row],[Day Received]])</f>
        <v>Company14KKFU906443-142153</v>
      </c>
      <c r="X460" s="4">
        <f>DATEVALUE(TEXT(DbLinkTable[[#This Row],[Date Received]],"MMMM YYYY"))</f>
        <v>42125</v>
      </c>
      <c r="Y460" s="4">
        <f>INT(DbLinkTable[[#This Row],[Date Received]])</f>
        <v>42153</v>
      </c>
    </row>
    <row r="461" spans="1:25">
      <c r="A461">
        <v>11708</v>
      </c>
      <c r="B461" t="s">
        <v>1506</v>
      </c>
      <c r="C461" t="s">
        <v>1522</v>
      </c>
      <c r="D461">
        <v>770</v>
      </c>
      <c r="E461" t="s">
        <v>1501</v>
      </c>
      <c r="F461" s="4">
        <v>42153.477210648147</v>
      </c>
      <c r="G461" s="4" t="s">
        <v>192</v>
      </c>
      <c r="H461" s="4" t="s">
        <v>1553</v>
      </c>
      <c r="I461" s="4">
        <v>0</v>
      </c>
      <c r="J461" s="4"/>
      <c r="K461" s="4"/>
      <c r="L461" s="4"/>
      <c r="M461" s="4"/>
      <c r="N461" s="4"/>
      <c r="O461" s="4">
        <v>0</v>
      </c>
      <c r="P461" s="4">
        <v>42158.463877314818</v>
      </c>
      <c r="Q461" s="4"/>
      <c r="R461" s="4"/>
      <c r="S461" s="79">
        <f>DbLinkTable[[#This Row],[Credit]]+DbLinkTable[[#This Row],[Charge]]</f>
        <v>0</v>
      </c>
      <c r="T461" s="79">
        <f>IF(DbLinkTable[[#This Row],[Price/lb]]*DbLinkTable[[#This Row],[Weight]]&gt;0,DbLinkTable[[#This Row],[Price/lb]]*DbLinkTable[[#This Row],[Weight]],0)</f>
        <v>0</v>
      </c>
      <c r="U461" s="79">
        <f>IF(DbLinkTable[[#This Row],[Price/lb]]*DbLinkTable[[#This Row],[Weight]]&lt;0,DbLinkTable[[#This Row],[Price/lb]]*DbLinkTable[[#This Row],[Weight]],0)</f>
        <v>0</v>
      </c>
      <c r="V461" s="4" t="str">
        <f>IF(COUNTIF($W$2:W461,W461)=1,1,"")</f>
        <v/>
      </c>
      <c r="W461" s="4" t="str">
        <f>CONCATENATE(DbLinkTable[[#This Row],[Customer]],UPPER(DbLinkTable[[#This Row],[Trailer Number]]),DbLinkTable[[#This Row],[Day Received]])</f>
        <v>Company14KKFU906443-142153</v>
      </c>
      <c r="X461" s="4">
        <f>DATEVALUE(TEXT(DbLinkTable[[#This Row],[Date Received]],"MMMM YYYY"))</f>
        <v>42125</v>
      </c>
      <c r="Y461" s="4">
        <f>INT(DbLinkTable[[#This Row],[Date Received]])</f>
        <v>42153</v>
      </c>
    </row>
    <row r="462" spans="1:25">
      <c r="A462">
        <v>11709</v>
      </c>
      <c r="B462" t="s">
        <v>1506</v>
      </c>
      <c r="C462" t="s">
        <v>1522</v>
      </c>
      <c r="D462">
        <v>730</v>
      </c>
      <c r="E462" t="s">
        <v>1501</v>
      </c>
      <c r="F462" s="4">
        <v>42153.477210648147</v>
      </c>
      <c r="G462" s="4" t="s">
        <v>192</v>
      </c>
      <c r="H462" s="4" t="s">
        <v>1553</v>
      </c>
      <c r="I462" s="4">
        <v>0</v>
      </c>
      <c r="J462" s="4"/>
      <c r="K462" s="4"/>
      <c r="L462" s="4"/>
      <c r="M462" s="4"/>
      <c r="N462" s="4"/>
      <c r="O462" s="4">
        <v>0</v>
      </c>
      <c r="P462" s="4">
        <v>42158.465844907405</v>
      </c>
      <c r="Q462" s="4"/>
      <c r="R462" s="4"/>
      <c r="S462" s="79">
        <f>DbLinkTable[[#This Row],[Credit]]+DbLinkTable[[#This Row],[Charge]]</f>
        <v>0</v>
      </c>
      <c r="T462" s="79">
        <f>IF(DbLinkTable[[#This Row],[Price/lb]]*DbLinkTable[[#This Row],[Weight]]&gt;0,DbLinkTable[[#This Row],[Price/lb]]*DbLinkTable[[#This Row],[Weight]],0)</f>
        <v>0</v>
      </c>
      <c r="U462" s="79">
        <f>IF(DbLinkTable[[#This Row],[Price/lb]]*DbLinkTable[[#This Row],[Weight]]&lt;0,DbLinkTable[[#This Row],[Price/lb]]*DbLinkTable[[#This Row],[Weight]],0)</f>
        <v>0</v>
      </c>
      <c r="V462" s="4" t="str">
        <f>IF(COUNTIF($W$2:W462,W462)=1,1,"")</f>
        <v/>
      </c>
      <c r="W462" s="4" t="str">
        <f>CONCATENATE(DbLinkTable[[#This Row],[Customer]],UPPER(DbLinkTable[[#This Row],[Trailer Number]]),DbLinkTable[[#This Row],[Day Received]])</f>
        <v>Company14KKFU906443-142153</v>
      </c>
      <c r="X462" s="4">
        <f>DATEVALUE(TEXT(DbLinkTable[[#This Row],[Date Received]],"MMMM YYYY"))</f>
        <v>42125</v>
      </c>
      <c r="Y462" s="4">
        <f>INT(DbLinkTable[[#This Row],[Date Received]])</f>
        <v>42153</v>
      </c>
    </row>
    <row r="463" spans="1:25">
      <c r="A463">
        <v>11710</v>
      </c>
      <c r="B463" t="s">
        <v>1506</v>
      </c>
      <c r="C463" t="s">
        <v>1522</v>
      </c>
      <c r="D463">
        <v>750</v>
      </c>
      <c r="E463" t="s">
        <v>1501</v>
      </c>
      <c r="F463" s="4">
        <v>42153.477210648147</v>
      </c>
      <c r="G463" s="4" t="s">
        <v>192</v>
      </c>
      <c r="H463" s="4" t="s">
        <v>1553</v>
      </c>
      <c r="I463" s="4">
        <v>0</v>
      </c>
      <c r="J463" s="4"/>
      <c r="K463" s="4"/>
      <c r="L463" s="4"/>
      <c r="M463" s="4"/>
      <c r="N463" s="4"/>
      <c r="O463" s="4">
        <v>0</v>
      </c>
      <c r="P463" s="4">
        <v>42158.470127314817</v>
      </c>
      <c r="Q463" s="4"/>
      <c r="R463" s="4"/>
      <c r="S463" s="79">
        <f>DbLinkTable[[#This Row],[Credit]]+DbLinkTable[[#This Row],[Charge]]</f>
        <v>0</v>
      </c>
      <c r="T463" s="79">
        <f>IF(DbLinkTable[[#This Row],[Price/lb]]*DbLinkTable[[#This Row],[Weight]]&gt;0,DbLinkTable[[#This Row],[Price/lb]]*DbLinkTable[[#This Row],[Weight]],0)</f>
        <v>0</v>
      </c>
      <c r="U463" s="79">
        <f>IF(DbLinkTable[[#This Row],[Price/lb]]*DbLinkTable[[#This Row],[Weight]]&lt;0,DbLinkTable[[#This Row],[Price/lb]]*DbLinkTable[[#This Row],[Weight]],0)</f>
        <v>0</v>
      </c>
      <c r="V463" s="4" t="str">
        <f>IF(COUNTIF($W$2:W463,W463)=1,1,"")</f>
        <v/>
      </c>
      <c r="W463" s="4" t="str">
        <f>CONCATENATE(DbLinkTable[[#This Row],[Customer]],UPPER(DbLinkTable[[#This Row],[Trailer Number]]),DbLinkTable[[#This Row],[Day Received]])</f>
        <v>Company14KKFU906443-142153</v>
      </c>
      <c r="X463" s="4">
        <f>DATEVALUE(TEXT(DbLinkTable[[#This Row],[Date Received]],"MMMM YYYY"))</f>
        <v>42125</v>
      </c>
      <c r="Y463" s="4">
        <f>INT(DbLinkTable[[#This Row],[Date Received]])</f>
        <v>42153</v>
      </c>
    </row>
    <row r="464" spans="1:25">
      <c r="A464">
        <v>11711</v>
      </c>
      <c r="B464" t="s">
        <v>1506</v>
      </c>
      <c r="C464" t="s">
        <v>1522</v>
      </c>
      <c r="D464">
        <v>858</v>
      </c>
      <c r="E464" t="s">
        <v>1501</v>
      </c>
      <c r="F464" s="4">
        <v>42153.477210648147</v>
      </c>
      <c r="G464" s="4" t="s">
        <v>192</v>
      </c>
      <c r="H464" s="4" t="s">
        <v>1553</v>
      </c>
      <c r="I464" s="4">
        <v>0</v>
      </c>
      <c r="J464" s="4"/>
      <c r="K464" s="4"/>
      <c r="L464" s="4"/>
      <c r="M464" s="4"/>
      <c r="N464" s="4"/>
      <c r="O464" s="4">
        <v>0</v>
      </c>
      <c r="P464" s="4">
        <v>42158.472743055558</v>
      </c>
      <c r="Q464" s="4"/>
      <c r="R464" s="4"/>
      <c r="S464" s="79">
        <f>DbLinkTable[[#This Row],[Credit]]+DbLinkTable[[#This Row],[Charge]]</f>
        <v>0</v>
      </c>
      <c r="T464" s="79">
        <f>IF(DbLinkTable[[#This Row],[Price/lb]]*DbLinkTable[[#This Row],[Weight]]&gt;0,DbLinkTable[[#This Row],[Price/lb]]*DbLinkTable[[#This Row],[Weight]],0)</f>
        <v>0</v>
      </c>
      <c r="U464" s="79">
        <f>IF(DbLinkTable[[#This Row],[Price/lb]]*DbLinkTable[[#This Row],[Weight]]&lt;0,DbLinkTable[[#This Row],[Price/lb]]*DbLinkTable[[#This Row],[Weight]],0)</f>
        <v>0</v>
      </c>
      <c r="V464" s="4" t="str">
        <f>IF(COUNTIF($W$2:W464,W464)=1,1,"")</f>
        <v/>
      </c>
      <c r="W464" s="4" t="str">
        <f>CONCATENATE(DbLinkTable[[#This Row],[Customer]],UPPER(DbLinkTable[[#This Row],[Trailer Number]]),DbLinkTable[[#This Row],[Day Received]])</f>
        <v>Company14KKFU906443-142153</v>
      </c>
      <c r="X464" s="4">
        <f>DATEVALUE(TEXT(DbLinkTable[[#This Row],[Date Received]],"MMMM YYYY"))</f>
        <v>42125</v>
      </c>
      <c r="Y464" s="4">
        <f>INT(DbLinkTable[[#This Row],[Date Received]])</f>
        <v>42153</v>
      </c>
    </row>
    <row r="465" spans="1:25">
      <c r="A465">
        <v>11712</v>
      </c>
      <c r="B465" t="s">
        <v>1506</v>
      </c>
      <c r="C465" t="s">
        <v>1522</v>
      </c>
      <c r="D465">
        <v>530</v>
      </c>
      <c r="E465" t="s">
        <v>1501</v>
      </c>
      <c r="F465" s="4">
        <v>42153.477210648147</v>
      </c>
      <c r="G465" s="4" t="s">
        <v>192</v>
      </c>
      <c r="H465" s="4" t="s">
        <v>1555</v>
      </c>
      <c r="I465" s="4">
        <v>0</v>
      </c>
      <c r="J465" s="4"/>
      <c r="K465" s="4"/>
      <c r="L465" s="4"/>
      <c r="M465" s="4"/>
      <c r="N465" s="4"/>
      <c r="O465" s="4">
        <v>0</v>
      </c>
      <c r="P465" s="4">
        <v>42158.47828703704</v>
      </c>
      <c r="Q465" s="4"/>
      <c r="R465" s="4"/>
      <c r="S465" s="79">
        <f>DbLinkTable[[#This Row],[Credit]]+DbLinkTable[[#This Row],[Charge]]</f>
        <v>0</v>
      </c>
      <c r="T465" s="79">
        <f>IF(DbLinkTable[[#This Row],[Price/lb]]*DbLinkTable[[#This Row],[Weight]]&gt;0,DbLinkTable[[#This Row],[Price/lb]]*DbLinkTable[[#This Row],[Weight]],0)</f>
        <v>0</v>
      </c>
      <c r="U465" s="79">
        <f>IF(DbLinkTable[[#This Row],[Price/lb]]*DbLinkTable[[#This Row],[Weight]]&lt;0,DbLinkTable[[#This Row],[Price/lb]]*DbLinkTable[[#This Row],[Weight]],0)</f>
        <v>0</v>
      </c>
      <c r="V465" s="4">
        <f>IF(COUNTIF($W$2:W465,W465)=1,1,"")</f>
        <v>1</v>
      </c>
      <c r="W465" s="4" t="str">
        <f>CONCATENATE(DbLinkTable[[#This Row],[Customer]],UPPER(DbLinkTable[[#This Row],[Trailer Number]]),DbLinkTable[[#This Row],[Day Received]])</f>
        <v>Company14340VC42153</v>
      </c>
      <c r="X465" s="4">
        <f>DATEVALUE(TEXT(DbLinkTable[[#This Row],[Date Received]],"MMMM YYYY"))</f>
        <v>42125</v>
      </c>
      <c r="Y465" s="4">
        <f>INT(DbLinkTable[[#This Row],[Date Received]])</f>
        <v>42153</v>
      </c>
    </row>
    <row r="466" spans="1:25">
      <c r="A466">
        <v>11713</v>
      </c>
      <c r="B466" t="s">
        <v>1506</v>
      </c>
      <c r="C466" t="s">
        <v>1522</v>
      </c>
      <c r="D466">
        <v>510</v>
      </c>
      <c r="E466" t="s">
        <v>1501</v>
      </c>
      <c r="F466" s="4">
        <v>42153.477210648147</v>
      </c>
      <c r="G466" s="4" t="s">
        <v>192</v>
      </c>
      <c r="H466" s="4" t="s">
        <v>1555</v>
      </c>
      <c r="I466" s="4">
        <v>0</v>
      </c>
      <c r="J466" s="4"/>
      <c r="K466" s="4"/>
      <c r="L466" s="4"/>
      <c r="M466" s="4"/>
      <c r="N466" s="4"/>
      <c r="O466" s="4">
        <v>0</v>
      </c>
      <c r="P466" s="4">
        <v>42158.479513888888</v>
      </c>
      <c r="Q466" s="4"/>
      <c r="R466" s="4"/>
      <c r="S466" s="79">
        <f>DbLinkTable[[#This Row],[Credit]]+DbLinkTable[[#This Row],[Charge]]</f>
        <v>0</v>
      </c>
      <c r="T466" s="79">
        <f>IF(DbLinkTable[[#This Row],[Price/lb]]*DbLinkTable[[#This Row],[Weight]]&gt;0,DbLinkTable[[#This Row],[Price/lb]]*DbLinkTable[[#This Row],[Weight]],0)</f>
        <v>0</v>
      </c>
      <c r="U466" s="79">
        <f>IF(DbLinkTable[[#This Row],[Price/lb]]*DbLinkTable[[#This Row],[Weight]]&lt;0,DbLinkTable[[#This Row],[Price/lb]]*DbLinkTable[[#This Row],[Weight]],0)</f>
        <v>0</v>
      </c>
      <c r="V466" s="4" t="str">
        <f>IF(COUNTIF($W$2:W466,W466)=1,1,"")</f>
        <v/>
      </c>
      <c r="W466" s="4" t="str">
        <f>CONCATENATE(DbLinkTable[[#This Row],[Customer]],UPPER(DbLinkTable[[#This Row],[Trailer Number]]),DbLinkTable[[#This Row],[Day Received]])</f>
        <v>Company14340VC42153</v>
      </c>
      <c r="X466" s="4">
        <f>DATEVALUE(TEXT(DbLinkTable[[#This Row],[Date Received]],"MMMM YYYY"))</f>
        <v>42125</v>
      </c>
      <c r="Y466" s="4">
        <f>INT(DbLinkTable[[#This Row],[Date Received]])</f>
        <v>42153</v>
      </c>
    </row>
    <row r="467" spans="1:25">
      <c r="A467">
        <v>11714</v>
      </c>
      <c r="B467" t="s">
        <v>1506</v>
      </c>
      <c r="C467" t="s">
        <v>1522</v>
      </c>
      <c r="D467">
        <v>530</v>
      </c>
      <c r="E467" t="s">
        <v>1501</v>
      </c>
      <c r="F467" s="4">
        <v>42153.477210648147</v>
      </c>
      <c r="G467" s="4" t="s">
        <v>192</v>
      </c>
      <c r="H467" s="4" t="s">
        <v>1555</v>
      </c>
      <c r="I467" s="4">
        <v>0</v>
      </c>
      <c r="J467" s="4"/>
      <c r="K467" s="4"/>
      <c r="L467" s="4"/>
      <c r="M467" s="4"/>
      <c r="N467" s="4"/>
      <c r="O467" s="4">
        <v>0</v>
      </c>
      <c r="P467" s="4">
        <v>42158.481145833335</v>
      </c>
      <c r="Q467" s="4"/>
      <c r="R467" s="4"/>
      <c r="S467" s="79">
        <f>DbLinkTable[[#This Row],[Credit]]+DbLinkTable[[#This Row],[Charge]]</f>
        <v>0</v>
      </c>
      <c r="T467" s="79">
        <f>IF(DbLinkTable[[#This Row],[Price/lb]]*DbLinkTable[[#This Row],[Weight]]&gt;0,DbLinkTable[[#This Row],[Price/lb]]*DbLinkTable[[#This Row],[Weight]],0)</f>
        <v>0</v>
      </c>
      <c r="U467" s="79">
        <f>IF(DbLinkTable[[#This Row],[Price/lb]]*DbLinkTable[[#This Row],[Weight]]&lt;0,DbLinkTable[[#This Row],[Price/lb]]*DbLinkTable[[#This Row],[Weight]],0)</f>
        <v>0</v>
      </c>
      <c r="V467" s="4" t="str">
        <f>IF(COUNTIF($W$2:W467,W467)=1,1,"")</f>
        <v/>
      </c>
      <c r="W467" s="4" t="str">
        <f>CONCATENATE(DbLinkTable[[#This Row],[Customer]],UPPER(DbLinkTable[[#This Row],[Trailer Number]]),DbLinkTable[[#This Row],[Day Received]])</f>
        <v>Company14340VC42153</v>
      </c>
      <c r="X467" s="4">
        <f>DATEVALUE(TEXT(DbLinkTable[[#This Row],[Date Received]],"MMMM YYYY"))</f>
        <v>42125</v>
      </c>
      <c r="Y467" s="4">
        <f>INT(DbLinkTable[[#This Row],[Date Received]])</f>
        <v>42153</v>
      </c>
    </row>
    <row r="468" spans="1:25">
      <c r="A468">
        <v>11715</v>
      </c>
      <c r="B468" t="s">
        <v>1506</v>
      </c>
      <c r="C468" t="s">
        <v>1522</v>
      </c>
      <c r="D468">
        <v>520</v>
      </c>
      <c r="E468" t="s">
        <v>1501</v>
      </c>
      <c r="F468" s="4">
        <v>42153.477210648147</v>
      </c>
      <c r="G468" s="4" t="s">
        <v>192</v>
      </c>
      <c r="H468" s="4" t="s">
        <v>1555</v>
      </c>
      <c r="I468" s="4">
        <v>0</v>
      </c>
      <c r="J468" s="4"/>
      <c r="K468" s="4"/>
      <c r="L468" s="4"/>
      <c r="M468" s="4"/>
      <c r="N468" s="4"/>
      <c r="O468" s="4">
        <v>0</v>
      </c>
      <c r="P468" s="4">
        <v>42158.488368055558</v>
      </c>
      <c r="Q468" s="4"/>
      <c r="R468" s="4"/>
      <c r="S468" s="79">
        <f>DbLinkTable[[#This Row],[Credit]]+DbLinkTable[[#This Row],[Charge]]</f>
        <v>0</v>
      </c>
      <c r="T468" s="79">
        <f>IF(DbLinkTable[[#This Row],[Price/lb]]*DbLinkTable[[#This Row],[Weight]]&gt;0,DbLinkTable[[#This Row],[Price/lb]]*DbLinkTable[[#This Row],[Weight]],0)</f>
        <v>0</v>
      </c>
      <c r="U468" s="79">
        <f>IF(DbLinkTable[[#This Row],[Price/lb]]*DbLinkTable[[#This Row],[Weight]]&lt;0,DbLinkTable[[#This Row],[Price/lb]]*DbLinkTable[[#This Row],[Weight]],0)</f>
        <v>0</v>
      </c>
      <c r="V468" s="4" t="str">
        <f>IF(COUNTIF($W$2:W468,W468)=1,1,"")</f>
        <v/>
      </c>
      <c r="W468" s="4" t="str">
        <f>CONCATENATE(DbLinkTable[[#This Row],[Customer]],UPPER(DbLinkTable[[#This Row],[Trailer Number]]),DbLinkTable[[#This Row],[Day Received]])</f>
        <v>Company14340VC42153</v>
      </c>
      <c r="X468" s="4">
        <f>DATEVALUE(TEXT(DbLinkTable[[#This Row],[Date Received]],"MMMM YYYY"))</f>
        <v>42125</v>
      </c>
      <c r="Y468" s="4">
        <f>INT(DbLinkTable[[#This Row],[Date Received]])</f>
        <v>42153</v>
      </c>
    </row>
    <row r="469" spans="1:25">
      <c r="A469">
        <v>11716</v>
      </c>
      <c r="B469" t="s">
        <v>1506</v>
      </c>
      <c r="C469" t="s">
        <v>1522</v>
      </c>
      <c r="D469">
        <v>540</v>
      </c>
      <c r="E469" t="s">
        <v>1501</v>
      </c>
      <c r="F469" s="4">
        <v>42153.477210648147</v>
      </c>
      <c r="G469" s="4" t="s">
        <v>192</v>
      </c>
      <c r="H469" s="4" t="s">
        <v>1555</v>
      </c>
      <c r="I469" s="4">
        <v>0</v>
      </c>
      <c r="J469" s="4"/>
      <c r="K469" s="4"/>
      <c r="L469" s="4"/>
      <c r="M469" s="4"/>
      <c r="N469" s="4"/>
      <c r="O469" s="4">
        <v>0</v>
      </c>
      <c r="P469" s="4">
        <v>42158.489953703705</v>
      </c>
      <c r="Q469" s="4"/>
      <c r="R469" s="4"/>
      <c r="S469" s="79">
        <f>DbLinkTable[[#This Row],[Credit]]+DbLinkTable[[#This Row],[Charge]]</f>
        <v>0</v>
      </c>
      <c r="T469" s="79">
        <f>IF(DbLinkTable[[#This Row],[Price/lb]]*DbLinkTable[[#This Row],[Weight]]&gt;0,DbLinkTable[[#This Row],[Price/lb]]*DbLinkTable[[#This Row],[Weight]],0)</f>
        <v>0</v>
      </c>
      <c r="U469" s="79">
        <f>IF(DbLinkTable[[#This Row],[Price/lb]]*DbLinkTable[[#This Row],[Weight]]&lt;0,DbLinkTable[[#This Row],[Price/lb]]*DbLinkTable[[#This Row],[Weight]],0)</f>
        <v>0</v>
      </c>
      <c r="V469" s="4" t="str">
        <f>IF(COUNTIF($W$2:W469,W469)=1,1,"")</f>
        <v/>
      </c>
      <c r="W469" s="4" t="str">
        <f>CONCATENATE(DbLinkTable[[#This Row],[Customer]],UPPER(DbLinkTable[[#This Row],[Trailer Number]]),DbLinkTable[[#This Row],[Day Received]])</f>
        <v>Company14340VC42153</v>
      </c>
      <c r="X469" s="4">
        <f>DATEVALUE(TEXT(DbLinkTable[[#This Row],[Date Received]],"MMMM YYYY"))</f>
        <v>42125</v>
      </c>
      <c r="Y469" s="4">
        <f>INT(DbLinkTable[[#This Row],[Date Received]])</f>
        <v>42153</v>
      </c>
    </row>
    <row r="470" spans="1:25">
      <c r="A470">
        <v>11717</v>
      </c>
      <c r="B470" t="s">
        <v>1506</v>
      </c>
      <c r="C470" t="s">
        <v>1522</v>
      </c>
      <c r="D470">
        <v>600</v>
      </c>
      <c r="E470" t="s">
        <v>1501</v>
      </c>
      <c r="F470" s="4">
        <v>42153.477210648147</v>
      </c>
      <c r="G470" s="4" t="s">
        <v>192</v>
      </c>
      <c r="H470" s="4" t="s">
        <v>1555</v>
      </c>
      <c r="I470" s="4">
        <v>0</v>
      </c>
      <c r="J470" s="4"/>
      <c r="K470" s="4"/>
      <c r="L470" s="4"/>
      <c r="M470" s="4"/>
      <c r="N470" s="4"/>
      <c r="O470" s="4">
        <v>0</v>
      </c>
      <c r="P470" s="4">
        <v>42158.492372685185</v>
      </c>
      <c r="Q470" s="4"/>
      <c r="R470" s="4"/>
      <c r="S470" s="79">
        <f>DbLinkTable[[#This Row],[Credit]]+DbLinkTable[[#This Row],[Charge]]</f>
        <v>0</v>
      </c>
      <c r="T470" s="79">
        <f>IF(DbLinkTable[[#This Row],[Price/lb]]*DbLinkTable[[#This Row],[Weight]]&gt;0,DbLinkTable[[#This Row],[Price/lb]]*DbLinkTable[[#This Row],[Weight]],0)</f>
        <v>0</v>
      </c>
      <c r="U470" s="79">
        <f>IF(DbLinkTable[[#This Row],[Price/lb]]*DbLinkTable[[#This Row],[Weight]]&lt;0,DbLinkTable[[#This Row],[Price/lb]]*DbLinkTable[[#This Row],[Weight]],0)</f>
        <v>0</v>
      </c>
      <c r="V470" s="4" t="str">
        <f>IF(COUNTIF($W$2:W470,W470)=1,1,"")</f>
        <v/>
      </c>
      <c r="W470" s="4" t="str">
        <f>CONCATENATE(DbLinkTable[[#This Row],[Customer]],UPPER(DbLinkTable[[#This Row],[Trailer Number]]),DbLinkTable[[#This Row],[Day Received]])</f>
        <v>Company14340VC42153</v>
      </c>
      <c r="X470" s="4">
        <f>DATEVALUE(TEXT(DbLinkTable[[#This Row],[Date Received]],"MMMM YYYY"))</f>
        <v>42125</v>
      </c>
      <c r="Y470" s="4">
        <f>INT(DbLinkTable[[#This Row],[Date Received]])</f>
        <v>42153</v>
      </c>
    </row>
    <row r="471" spans="1:25">
      <c r="A471">
        <v>11718</v>
      </c>
      <c r="B471" t="s">
        <v>1506</v>
      </c>
      <c r="C471" t="s">
        <v>1522</v>
      </c>
      <c r="D471">
        <v>800</v>
      </c>
      <c r="E471" t="s">
        <v>1501</v>
      </c>
      <c r="F471" s="4">
        <v>42153.477210648147</v>
      </c>
      <c r="G471" s="4" t="s">
        <v>192</v>
      </c>
      <c r="H471" s="4" t="s">
        <v>1555</v>
      </c>
      <c r="I471" s="4">
        <v>0</v>
      </c>
      <c r="J471" s="4"/>
      <c r="K471" s="4"/>
      <c r="L471" s="4"/>
      <c r="M471" s="4"/>
      <c r="N471" s="4"/>
      <c r="O471" s="4">
        <v>0</v>
      </c>
      <c r="P471" s="4">
        <v>42158.493981481479</v>
      </c>
      <c r="Q471" s="4"/>
      <c r="R471" s="4"/>
      <c r="S471" s="79">
        <f>DbLinkTable[[#This Row],[Credit]]+DbLinkTable[[#This Row],[Charge]]</f>
        <v>0</v>
      </c>
      <c r="T471" s="79">
        <f>IF(DbLinkTable[[#This Row],[Price/lb]]*DbLinkTable[[#This Row],[Weight]]&gt;0,DbLinkTable[[#This Row],[Price/lb]]*DbLinkTable[[#This Row],[Weight]],0)</f>
        <v>0</v>
      </c>
      <c r="U471" s="79">
        <f>IF(DbLinkTable[[#This Row],[Price/lb]]*DbLinkTable[[#This Row],[Weight]]&lt;0,DbLinkTable[[#This Row],[Price/lb]]*DbLinkTable[[#This Row],[Weight]],0)</f>
        <v>0</v>
      </c>
      <c r="V471" s="4" t="str">
        <f>IF(COUNTIF($W$2:W471,W471)=1,1,"")</f>
        <v/>
      </c>
      <c r="W471" s="4" t="str">
        <f>CONCATENATE(DbLinkTable[[#This Row],[Customer]],UPPER(DbLinkTable[[#This Row],[Trailer Number]]),DbLinkTable[[#This Row],[Day Received]])</f>
        <v>Company14340VC42153</v>
      </c>
      <c r="X471" s="4">
        <f>DATEVALUE(TEXT(DbLinkTable[[#This Row],[Date Received]],"MMMM YYYY"))</f>
        <v>42125</v>
      </c>
      <c r="Y471" s="4">
        <f>INT(DbLinkTable[[#This Row],[Date Received]])</f>
        <v>42153</v>
      </c>
    </row>
    <row r="472" spans="1:25">
      <c r="A472">
        <v>11719</v>
      </c>
      <c r="B472" t="s">
        <v>1506</v>
      </c>
      <c r="C472" t="s">
        <v>1522</v>
      </c>
      <c r="D472">
        <v>580</v>
      </c>
      <c r="E472" t="s">
        <v>1501</v>
      </c>
      <c r="F472" s="4">
        <v>42153.477210648147</v>
      </c>
      <c r="G472" s="4" t="s">
        <v>192</v>
      </c>
      <c r="H472" s="4" t="s">
        <v>1555</v>
      </c>
      <c r="I472" s="4">
        <v>0</v>
      </c>
      <c r="J472" s="4"/>
      <c r="K472" s="4"/>
      <c r="L472" s="4"/>
      <c r="M472" s="4"/>
      <c r="N472" s="4"/>
      <c r="O472" s="4">
        <v>0</v>
      </c>
      <c r="P472" s="4">
        <v>42158.497141203705</v>
      </c>
      <c r="Q472" s="4"/>
      <c r="R472" s="4"/>
      <c r="S472" s="79">
        <f>DbLinkTable[[#This Row],[Credit]]+DbLinkTable[[#This Row],[Charge]]</f>
        <v>0</v>
      </c>
      <c r="T472" s="79">
        <f>IF(DbLinkTable[[#This Row],[Price/lb]]*DbLinkTable[[#This Row],[Weight]]&gt;0,DbLinkTable[[#This Row],[Price/lb]]*DbLinkTable[[#This Row],[Weight]],0)</f>
        <v>0</v>
      </c>
      <c r="U472" s="79">
        <f>IF(DbLinkTable[[#This Row],[Price/lb]]*DbLinkTable[[#This Row],[Weight]]&lt;0,DbLinkTable[[#This Row],[Price/lb]]*DbLinkTable[[#This Row],[Weight]],0)</f>
        <v>0</v>
      </c>
      <c r="V472" s="4" t="str">
        <f>IF(COUNTIF($W$2:W472,W472)=1,1,"")</f>
        <v/>
      </c>
      <c r="W472" s="4" t="str">
        <f>CONCATENATE(DbLinkTable[[#This Row],[Customer]],UPPER(DbLinkTable[[#This Row],[Trailer Number]]),DbLinkTable[[#This Row],[Day Received]])</f>
        <v>Company14340VC42153</v>
      </c>
      <c r="X472" s="4">
        <f>DATEVALUE(TEXT(DbLinkTable[[#This Row],[Date Received]],"MMMM YYYY"))</f>
        <v>42125</v>
      </c>
      <c r="Y472" s="4">
        <f>INT(DbLinkTable[[#This Row],[Date Received]])</f>
        <v>42153</v>
      </c>
    </row>
    <row r="473" spans="1:25">
      <c r="A473">
        <v>11721</v>
      </c>
      <c r="B473" t="s">
        <v>1506</v>
      </c>
      <c r="C473" t="s">
        <v>1522</v>
      </c>
      <c r="D473">
        <v>420</v>
      </c>
      <c r="E473" t="s">
        <v>1501</v>
      </c>
      <c r="F473" s="4">
        <v>42153.477210648147</v>
      </c>
      <c r="G473" s="4" t="s">
        <v>192</v>
      </c>
      <c r="H473" s="4" t="s">
        <v>1555</v>
      </c>
      <c r="I473" s="4">
        <v>0</v>
      </c>
      <c r="J473" s="4"/>
      <c r="K473" s="4"/>
      <c r="L473" s="4"/>
      <c r="M473" s="4"/>
      <c r="N473" s="4"/>
      <c r="O473" s="4">
        <v>0</v>
      </c>
      <c r="P473" s="4">
        <v>42159.435057870367</v>
      </c>
      <c r="Q473" s="4"/>
      <c r="R473" s="4"/>
      <c r="S473" s="79">
        <f>DbLinkTable[[#This Row],[Credit]]+DbLinkTable[[#This Row],[Charge]]</f>
        <v>0</v>
      </c>
      <c r="T473" s="79">
        <f>IF(DbLinkTable[[#This Row],[Price/lb]]*DbLinkTable[[#This Row],[Weight]]&gt;0,DbLinkTable[[#This Row],[Price/lb]]*DbLinkTable[[#This Row],[Weight]],0)</f>
        <v>0</v>
      </c>
      <c r="U473" s="79">
        <f>IF(DbLinkTable[[#This Row],[Price/lb]]*DbLinkTable[[#This Row],[Weight]]&lt;0,DbLinkTable[[#This Row],[Price/lb]]*DbLinkTable[[#This Row],[Weight]],0)</f>
        <v>0</v>
      </c>
      <c r="V473" s="4" t="str">
        <f>IF(COUNTIF($W$2:W473,W473)=1,1,"")</f>
        <v/>
      </c>
      <c r="W473" s="4" t="str">
        <f>CONCATENATE(DbLinkTable[[#This Row],[Customer]],UPPER(DbLinkTable[[#This Row],[Trailer Number]]),DbLinkTable[[#This Row],[Day Received]])</f>
        <v>Company14340VC42153</v>
      </c>
      <c r="X473" s="4">
        <f>DATEVALUE(TEXT(DbLinkTable[[#This Row],[Date Received]],"MMMM YYYY"))</f>
        <v>42125</v>
      </c>
      <c r="Y473" s="4">
        <f>INT(DbLinkTable[[#This Row],[Date Received]])</f>
        <v>42153</v>
      </c>
    </row>
    <row r="474" spans="1:25">
      <c r="A474">
        <v>11722</v>
      </c>
      <c r="B474" t="s">
        <v>1506</v>
      </c>
      <c r="C474" t="s">
        <v>1522</v>
      </c>
      <c r="D474">
        <v>530</v>
      </c>
      <c r="E474" t="s">
        <v>1501</v>
      </c>
      <c r="F474" s="4">
        <v>42153.477210648147</v>
      </c>
      <c r="G474" s="4" t="s">
        <v>192</v>
      </c>
      <c r="H474" s="4" t="s">
        <v>1555</v>
      </c>
      <c r="I474" s="4">
        <v>0</v>
      </c>
      <c r="J474" s="4"/>
      <c r="K474" s="4"/>
      <c r="L474" s="4"/>
      <c r="M474" s="4"/>
      <c r="N474" s="4"/>
      <c r="O474" s="4">
        <v>0</v>
      </c>
      <c r="P474" s="4">
        <v>42159.437141203707</v>
      </c>
      <c r="Q474" s="4"/>
      <c r="R474" s="4"/>
      <c r="S474" s="79">
        <f>DbLinkTable[[#This Row],[Credit]]+DbLinkTable[[#This Row],[Charge]]</f>
        <v>0</v>
      </c>
      <c r="T474" s="79">
        <f>IF(DbLinkTable[[#This Row],[Price/lb]]*DbLinkTable[[#This Row],[Weight]]&gt;0,DbLinkTable[[#This Row],[Price/lb]]*DbLinkTable[[#This Row],[Weight]],0)</f>
        <v>0</v>
      </c>
      <c r="U474" s="79">
        <f>IF(DbLinkTable[[#This Row],[Price/lb]]*DbLinkTable[[#This Row],[Weight]]&lt;0,DbLinkTable[[#This Row],[Price/lb]]*DbLinkTable[[#This Row],[Weight]],0)</f>
        <v>0</v>
      </c>
      <c r="V474" s="4" t="str">
        <f>IF(COUNTIF($W$2:W474,W474)=1,1,"")</f>
        <v/>
      </c>
      <c r="W474" s="4" t="str">
        <f>CONCATENATE(DbLinkTable[[#This Row],[Customer]],UPPER(DbLinkTable[[#This Row],[Trailer Number]]),DbLinkTable[[#This Row],[Day Received]])</f>
        <v>Company14340VC42153</v>
      </c>
      <c r="X474" s="4">
        <f>DATEVALUE(TEXT(DbLinkTable[[#This Row],[Date Received]],"MMMM YYYY"))</f>
        <v>42125</v>
      </c>
      <c r="Y474" s="4">
        <f>INT(DbLinkTable[[#This Row],[Date Received]])</f>
        <v>42153</v>
      </c>
    </row>
    <row r="475" spans="1:25">
      <c r="A475">
        <v>11723</v>
      </c>
      <c r="B475" t="s">
        <v>1506</v>
      </c>
      <c r="C475" t="s">
        <v>1522</v>
      </c>
      <c r="D475">
        <v>520</v>
      </c>
      <c r="E475" t="s">
        <v>1501</v>
      </c>
      <c r="F475" s="4">
        <v>42153.477210648147</v>
      </c>
      <c r="G475" s="4" t="s">
        <v>192</v>
      </c>
      <c r="H475" s="4" t="s">
        <v>1555</v>
      </c>
      <c r="I475" s="4">
        <v>0</v>
      </c>
      <c r="J475" s="4"/>
      <c r="K475" s="4"/>
      <c r="L475" s="4"/>
      <c r="M475" s="4"/>
      <c r="N475" s="4"/>
      <c r="O475" s="4">
        <v>0</v>
      </c>
      <c r="P475" s="4">
        <v>42159.480636574073</v>
      </c>
      <c r="Q475" s="4"/>
      <c r="R475" s="4"/>
      <c r="S475" s="79">
        <f>DbLinkTable[[#This Row],[Credit]]+DbLinkTable[[#This Row],[Charge]]</f>
        <v>0</v>
      </c>
      <c r="T475" s="79">
        <f>IF(DbLinkTable[[#This Row],[Price/lb]]*DbLinkTable[[#This Row],[Weight]]&gt;0,DbLinkTable[[#This Row],[Price/lb]]*DbLinkTable[[#This Row],[Weight]],0)</f>
        <v>0</v>
      </c>
      <c r="U475" s="79">
        <f>IF(DbLinkTable[[#This Row],[Price/lb]]*DbLinkTable[[#This Row],[Weight]]&lt;0,DbLinkTable[[#This Row],[Price/lb]]*DbLinkTable[[#This Row],[Weight]],0)</f>
        <v>0</v>
      </c>
      <c r="V475" s="4" t="str">
        <f>IF(COUNTIF($W$2:W475,W475)=1,1,"")</f>
        <v/>
      </c>
      <c r="W475" s="4" t="str">
        <f>CONCATENATE(DbLinkTable[[#This Row],[Customer]],UPPER(DbLinkTable[[#This Row],[Trailer Number]]),DbLinkTable[[#This Row],[Day Received]])</f>
        <v>Company14340VC42153</v>
      </c>
      <c r="X475" s="4">
        <f>DATEVALUE(TEXT(DbLinkTable[[#This Row],[Date Received]],"MMMM YYYY"))</f>
        <v>42125</v>
      </c>
      <c r="Y475" s="4">
        <f>INT(DbLinkTable[[#This Row],[Date Received]])</f>
        <v>42153</v>
      </c>
    </row>
    <row r="476" spans="1:25">
      <c r="A476">
        <v>11724</v>
      </c>
      <c r="B476" t="s">
        <v>1506</v>
      </c>
      <c r="C476" t="s">
        <v>1522</v>
      </c>
      <c r="D476">
        <v>480</v>
      </c>
      <c r="E476" t="s">
        <v>1501</v>
      </c>
      <c r="F476" s="4">
        <v>42153.477210648147</v>
      </c>
      <c r="G476" s="4" t="s">
        <v>192</v>
      </c>
      <c r="H476" s="4" t="s">
        <v>1555</v>
      </c>
      <c r="I476" s="4">
        <v>0</v>
      </c>
      <c r="J476" s="4"/>
      <c r="K476" s="4"/>
      <c r="L476" s="4"/>
      <c r="M476" s="4"/>
      <c r="N476" s="4"/>
      <c r="O476" s="4">
        <v>0</v>
      </c>
      <c r="P476" s="4">
        <v>42159.482523148145</v>
      </c>
      <c r="Q476" s="4"/>
      <c r="R476" s="4"/>
      <c r="S476" s="79">
        <f>DbLinkTable[[#This Row],[Credit]]+DbLinkTable[[#This Row],[Charge]]</f>
        <v>0</v>
      </c>
      <c r="T476" s="79">
        <f>IF(DbLinkTable[[#This Row],[Price/lb]]*DbLinkTable[[#This Row],[Weight]]&gt;0,DbLinkTable[[#This Row],[Price/lb]]*DbLinkTable[[#This Row],[Weight]],0)</f>
        <v>0</v>
      </c>
      <c r="U476" s="79">
        <f>IF(DbLinkTable[[#This Row],[Price/lb]]*DbLinkTable[[#This Row],[Weight]]&lt;0,DbLinkTable[[#This Row],[Price/lb]]*DbLinkTable[[#This Row],[Weight]],0)</f>
        <v>0</v>
      </c>
      <c r="V476" s="4" t="str">
        <f>IF(COUNTIF($W$2:W476,W476)=1,1,"")</f>
        <v/>
      </c>
      <c r="W476" s="4" t="str">
        <f>CONCATENATE(DbLinkTable[[#This Row],[Customer]],UPPER(DbLinkTable[[#This Row],[Trailer Number]]),DbLinkTable[[#This Row],[Day Received]])</f>
        <v>Company14340VC42153</v>
      </c>
      <c r="X476" s="4">
        <f>DATEVALUE(TEXT(DbLinkTable[[#This Row],[Date Received]],"MMMM YYYY"))</f>
        <v>42125</v>
      </c>
      <c r="Y476" s="4">
        <f>INT(DbLinkTable[[#This Row],[Date Received]])</f>
        <v>42153</v>
      </c>
    </row>
    <row r="477" spans="1:25">
      <c r="A477">
        <v>11725</v>
      </c>
      <c r="B477" t="s">
        <v>1506</v>
      </c>
      <c r="C477" t="s">
        <v>1522</v>
      </c>
      <c r="D477">
        <v>550</v>
      </c>
      <c r="E477" t="s">
        <v>1501</v>
      </c>
      <c r="F477" s="4">
        <v>42153.477210648147</v>
      </c>
      <c r="G477" s="4" t="s">
        <v>192</v>
      </c>
      <c r="H477" s="4" t="s">
        <v>1555</v>
      </c>
      <c r="I477" s="4">
        <v>0</v>
      </c>
      <c r="J477" s="4"/>
      <c r="K477" s="4"/>
      <c r="L477" s="4"/>
      <c r="M477" s="4"/>
      <c r="N477" s="4"/>
      <c r="O477" s="4">
        <v>0</v>
      </c>
      <c r="P477" s="4">
        <v>42159.553159722222</v>
      </c>
      <c r="Q477" s="4"/>
      <c r="R477" s="4"/>
      <c r="S477" s="79">
        <f>DbLinkTable[[#This Row],[Credit]]+DbLinkTable[[#This Row],[Charge]]</f>
        <v>0</v>
      </c>
      <c r="T477" s="79">
        <f>IF(DbLinkTable[[#This Row],[Price/lb]]*DbLinkTable[[#This Row],[Weight]]&gt;0,DbLinkTable[[#This Row],[Price/lb]]*DbLinkTable[[#This Row],[Weight]],0)</f>
        <v>0</v>
      </c>
      <c r="U477" s="79">
        <f>IF(DbLinkTable[[#This Row],[Price/lb]]*DbLinkTable[[#This Row],[Weight]]&lt;0,DbLinkTable[[#This Row],[Price/lb]]*DbLinkTable[[#This Row],[Weight]],0)</f>
        <v>0</v>
      </c>
      <c r="V477" s="4" t="str">
        <f>IF(COUNTIF($W$2:W477,W477)=1,1,"")</f>
        <v/>
      </c>
      <c r="W477" s="4" t="str">
        <f>CONCATENATE(DbLinkTable[[#This Row],[Customer]],UPPER(DbLinkTable[[#This Row],[Trailer Number]]),DbLinkTable[[#This Row],[Day Received]])</f>
        <v>Company14340VC42153</v>
      </c>
      <c r="X477" s="4">
        <f>DATEVALUE(TEXT(DbLinkTable[[#This Row],[Date Received]],"MMMM YYYY"))</f>
        <v>42125</v>
      </c>
      <c r="Y477" s="4">
        <f>INT(DbLinkTable[[#This Row],[Date Received]])</f>
        <v>42153</v>
      </c>
    </row>
    <row r="478" spans="1:25">
      <c r="A478">
        <v>11726</v>
      </c>
      <c r="B478" t="s">
        <v>1506</v>
      </c>
      <c r="C478" t="s">
        <v>1522</v>
      </c>
      <c r="D478">
        <v>540</v>
      </c>
      <c r="E478" t="s">
        <v>1501</v>
      </c>
      <c r="F478" s="4">
        <v>42153.477210648147</v>
      </c>
      <c r="G478" s="4" t="s">
        <v>192</v>
      </c>
      <c r="H478" s="4" t="s">
        <v>1555</v>
      </c>
      <c r="I478" s="4">
        <v>0</v>
      </c>
      <c r="J478" s="4"/>
      <c r="K478" s="4"/>
      <c r="L478" s="4"/>
      <c r="M478" s="4"/>
      <c r="N478" s="4"/>
      <c r="O478" s="4">
        <v>0</v>
      </c>
      <c r="P478" s="4">
        <v>42159.57099537037</v>
      </c>
      <c r="Q478" s="4"/>
      <c r="R478" s="4"/>
      <c r="S478" s="79">
        <f>DbLinkTable[[#This Row],[Credit]]+DbLinkTable[[#This Row],[Charge]]</f>
        <v>0</v>
      </c>
      <c r="T478" s="79">
        <f>IF(DbLinkTable[[#This Row],[Price/lb]]*DbLinkTable[[#This Row],[Weight]]&gt;0,DbLinkTable[[#This Row],[Price/lb]]*DbLinkTable[[#This Row],[Weight]],0)</f>
        <v>0</v>
      </c>
      <c r="U478" s="79">
        <f>IF(DbLinkTable[[#This Row],[Price/lb]]*DbLinkTable[[#This Row],[Weight]]&lt;0,DbLinkTable[[#This Row],[Price/lb]]*DbLinkTable[[#This Row],[Weight]],0)</f>
        <v>0</v>
      </c>
      <c r="V478" s="4" t="str">
        <f>IF(COUNTIF($W$2:W478,W478)=1,1,"")</f>
        <v/>
      </c>
      <c r="W478" s="4" t="str">
        <f>CONCATENATE(DbLinkTable[[#This Row],[Customer]],UPPER(DbLinkTable[[#This Row],[Trailer Number]]),DbLinkTable[[#This Row],[Day Received]])</f>
        <v>Company14340VC42153</v>
      </c>
      <c r="X478" s="4">
        <f>DATEVALUE(TEXT(DbLinkTable[[#This Row],[Date Received]],"MMMM YYYY"))</f>
        <v>42125</v>
      </c>
      <c r="Y478" s="4">
        <f>INT(DbLinkTable[[#This Row],[Date Received]])</f>
        <v>42153</v>
      </c>
    </row>
    <row r="479" spans="1:25">
      <c r="A479">
        <v>11727</v>
      </c>
      <c r="B479" t="s">
        <v>1506</v>
      </c>
      <c r="C479" t="s">
        <v>1522</v>
      </c>
      <c r="D479">
        <v>630</v>
      </c>
      <c r="E479" t="s">
        <v>1501</v>
      </c>
      <c r="F479" s="4">
        <v>42153.477210648147</v>
      </c>
      <c r="G479" s="4" t="s">
        <v>192</v>
      </c>
      <c r="H479" s="4" t="s">
        <v>1555</v>
      </c>
      <c r="I479" s="4">
        <v>0</v>
      </c>
      <c r="J479" s="4"/>
      <c r="K479" s="4"/>
      <c r="L479" s="4"/>
      <c r="M479" s="4"/>
      <c r="N479" s="4"/>
      <c r="O479" s="4">
        <v>0</v>
      </c>
      <c r="P479" s="4">
        <v>42159.57335648148</v>
      </c>
      <c r="Q479" s="4"/>
      <c r="R479" s="4"/>
      <c r="S479" s="79">
        <f>DbLinkTable[[#This Row],[Credit]]+DbLinkTable[[#This Row],[Charge]]</f>
        <v>0</v>
      </c>
      <c r="T479" s="79">
        <f>IF(DbLinkTable[[#This Row],[Price/lb]]*DbLinkTable[[#This Row],[Weight]]&gt;0,DbLinkTable[[#This Row],[Price/lb]]*DbLinkTable[[#This Row],[Weight]],0)</f>
        <v>0</v>
      </c>
      <c r="U479" s="79">
        <f>IF(DbLinkTable[[#This Row],[Price/lb]]*DbLinkTable[[#This Row],[Weight]]&lt;0,DbLinkTable[[#This Row],[Price/lb]]*DbLinkTable[[#This Row],[Weight]],0)</f>
        <v>0</v>
      </c>
      <c r="V479" s="4" t="str">
        <f>IF(COUNTIF($W$2:W479,W479)=1,1,"")</f>
        <v/>
      </c>
      <c r="W479" s="4" t="str">
        <f>CONCATENATE(DbLinkTable[[#This Row],[Customer]],UPPER(DbLinkTable[[#This Row],[Trailer Number]]),DbLinkTable[[#This Row],[Day Received]])</f>
        <v>Company14340VC42153</v>
      </c>
      <c r="X479" s="4">
        <f>DATEVALUE(TEXT(DbLinkTable[[#This Row],[Date Received]],"MMMM YYYY"))</f>
        <v>42125</v>
      </c>
      <c r="Y479" s="4">
        <f>INT(DbLinkTable[[#This Row],[Date Received]])</f>
        <v>42153</v>
      </c>
    </row>
    <row r="480" spans="1:25">
      <c r="A480">
        <v>11728</v>
      </c>
      <c r="B480" t="s">
        <v>1506</v>
      </c>
      <c r="C480" t="s">
        <v>1522</v>
      </c>
      <c r="D480">
        <v>1010</v>
      </c>
      <c r="E480" t="s">
        <v>1501</v>
      </c>
      <c r="F480" s="4">
        <v>42153.477210648147</v>
      </c>
      <c r="G480" s="4" t="s">
        <v>192</v>
      </c>
      <c r="H480" s="4" t="s">
        <v>1555</v>
      </c>
      <c r="I480" s="4">
        <v>0</v>
      </c>
      <c r="J480" s="4"/>
      <c r="K480" s="4"/>
      <c r="L480" s="4"/>
      <c r="M480" s="4"/>
      <c r="N480" s="4"/>
      <c r="O480" s="4">
        <v>0</v>
      </c>
      <c r="P480" s="4">
        <v>42159.57503472222</v>
      </c>
      <c r="Q480" s="4"/>
      <c r="R480" s="4"/>
      <c r="S480" s="79">
        <f>DbLinkTable[[#This Row],[Credit]]+DbLinkTable[[#This Row],[Charge]]</f>
        <v>0</v>
      </c>
      <c r="T480" s="79">
        <f>IF(DbLinkTable[[#This Row],[Price/lb]]*DbLinkTable[[#This Row],[Weight]]&gt;0,DbLinkTable[[#This Row],[Price/lb]]*DbLinkTable[[#This Row],[Weight]],0)</f>
        <v>0</v>
      </c>
      <c r="U480" s="79">
        <f>IF(DbLinkTable[[#This Row],[Price/lb]]*DbLinkTable[[#This Row],[Weight]]&lt;0,DbLinkTable[[#This Row],[Price/lb]]*DbLinkTable[[#This Row],[Weight]],0)</f>
        <v>0</v>
      </c>
      <c r="V480" s="4" t="str">
        <f>IF(COUNTIF($W$2:W480,W480)=1,1,"")</f>
        <v/>
      </c>
      <c r="W480" s="4" t="str">
        <f>CONCATENATE(DbLinkTable[[#This Row],[Customer]],UPPER(DbLinkTable[[#This Row],[Trailer Number]]),DbLinkTable[[#This Row],[Day Received]])</f>
        <v>Company14340VC42153</v>
      </c>
      <c r="X480" s="4">
        <f>DATEVALUE(TEXT(DbLinkTable[[#This Row],[Date Received]],"MMMM YYYY"))</f>
        <v>42125</v>
      </c>
      <c r="Y480" s="4">
        <f>INT(DbLinkTable[[#This Row],[Date Received]])</f>
        <v>42153</v>
      </c>
    </row>
    <row r="481" spans="1:25">
      <c r="A481">
        <v>11729</v>
      </c>
      <c r="B481" t="s">
        <v>1506</v>
      </c>
      <c r="C481" t="s">
        <v>1522</v>
      </c>
      <c r="D481">
        <v>600</v>
      </c>
      <c r="E481" t="s">
        <v>1501</v>
      </c>
      <c r="F481" s="4">
        <v>42153.477210648147</v>
      </c>
      <c r="G481" s="4" t="s">
        <v>192</v>
      </c>
      <c r="H481" s="4" t="s">
        <v>1555</v>
      </c>
      <c r="I481" s="4">
        <v>0</v>
      </c>
      <c r="J481" s="4"/>
      <c r="K481" s="4"/>
      <c r="L481" s="4"/>
      <c r="M481" s="4"/>
      <c r="N481" s="4"/>
      <c r="O481" s="4">
        <v>0</v>
      </c>
      <c r="P481" s="4">
        <v>42159.576909722222</v>
      </c>
      <c r="Q481" s="4"/>
      <c r="R481" s="4"/>
      <c r="S481" s="79">
        <f>DbLinkTable[[#This Row],[Credit]]+DbLinkTable[[#This Row],[Charge]]</f>
        <v>0</v>
      </c>
      <c r="T481" s="79">
        <f>IF(DbLinkTable[[#This Row],[Price/lb]]*DbLinkTable[[#This Row],[Weight]]&gt;0,DbLinkTable[[#This Row],[Price/lb]]*DbLinkTable[[#This Row],[Weight]],0)</f>
        <v>0</v>
      </c>
      <c r="U481" s="79">
        <f>IF(DbLinkTable[[#This Row],[Price/lb]]*DbLinkTable[[#This Row],[Weight]]&lt;0,DbLinkTable[[#This Row],[Price/lb]]*DbLinkTable[[#This Row],[Weight]],0)</f>
        <v>0</v>
      </c>
      <c r="V481" s="4" t="str">
        <f>IF(COUNTIF($W$2:W481,W481)=1,1,"")</f>
        <v/>
      </c>
      <c r="W481" s="4" t="str">
        <f>CONCATENATE(DbLinkTable[[#This Row],[Customer]],UPPER(DbLinkTable[[#This Row],[Trailer Number]]),DbLinkTable[[#This Row],[Day Received]])</f>
        <v>Company14340VC42153</v>
      </c>
      <c r="X481" s="4">
        <f>DATEVALUE(TEXT(DbLinkTable[[#This Row],[Date Received]],"MMMM YYYY"))</f>
        <v>42125</v>
      </c>
      <c r="Y481" s="4">
        <f>INT(DbLinkTable[[#This Row],[Date Received]])</f>
        <v>42153</v>
      </c>
    </row>
    <row r="482" spans="1:25">
      <c r="A482">
        <v>11730</v>
      </c>
      <c r="B482" t="s">
        <v>1506</v>
      </c>
      <c r="C482" t="s">
        <v>1522</v>
      </c>
      <c r="D482">
        <v>720</v>
      </c>
      <c r="E482" t="s">
        <v>1501</v>
      </c>
      <c r="F482" s="4">
        <v>42153.477210648147</v>
      </c>
      <c r="G482" s="4" t="s">
        <v>192</v>
      </c>
      <c r="H482" s="4" t="s">
        <v>1555</v>
      </c>
      <c r="I482" s="4">
        <v>0</v>
      </c>
      <c r="J482" s="4"/>
      <c r="K482" s="4"/>
      <c r="L482" s="4"/>
      <c r="M482" s="4"/>
      <c r="N482" s="4"/>
      <c r="O482" s="4">
        <v>0</v>
      </c>
      <c r="P482" s="4">
        <v>42159.580543981479</v>
      </c>
      <c r="Q482" s="4"/>
      <c r="R482" s="4"/>
      <c r="S482" s="79">
        <f>DbLinkTable[[#This Row],[Credit]]+DbLinkTable[[#This Row],[Charge]]</f>
        <v>0</v>
      </c>
      <c r="T482" s="79">
        <f>IF(DbLinkTable[[#This Row],[Price/lb]]*DbLinkTable[[#This Row],[Weight]]&gt;0,DbLinkTable[[#This Row],[Price/lb]]*DbLinkTable[[#This Row],[Weight]],0)</f>
        <v>0</v>
      </c>
      <c r="U482" s="79">
        <f>IF(DbLinkTable[[#This Row],[Price/lb]]*DbLinkTable[[#This Row],[Weight]]&lt;0,DbLinkTable[[#This Row],[Price/lb]]*DbLinkTable[[#This Row],[Weight]],0)</f>
        <v>0</v>
      </c>
      <c r="V482" s="4" t="str">
        <f>IF(COUNTIF($W$2:W482,W482)=1,1,"")</f>
        <v/>
      </c>
      <c r="W482" s="4" t="str">
        <f>CONCATENATE(DbLinkTable[[#This Row],[Customer]],UPPER(DbLinkTable[[#This Row],[Trailer Number]]),DbLinkTable[[#This Row],[Day Received]])</f>
        <v>Company14340VC42153</v>
      </c>
      <c r="X482" s="4">
        <f>DATEVALUE(TEXT(DbLinkTable[[#This Row],[Date Received]],"MMMM YYYY"))</f>
        <v>42125</v>
      </c>
      <c r="Y482" s="4">
        <f>INT(DbLinkTable[[#This Row],[Date Received]])</f>
        <v>42153</v>
      </c>
    </row>
    <row r="483" spans="1:25">
      <c r="A483">
        <v>11731</v>
      </c>
      <c r="B483" t="s">
        <v>1506</v>
      </c>
      <c r="C483" t="s">
        <v>1522</v>
      </c>
      <c r="D483">
        <v>890</v>
      </c>
      <c r="E483" t="s">
        <v>1501</v>
      </c>
      <c r="F483" s="4">
        <v>42153.477210648147</v>
      </c>
      <c r="G483" s="4" t="s">
        <v>192</v>
      </c>
      <c r="H483" s="4" t="s">
        <v>1555</v>
      </c>
      <c r="I483" s="4">
        <v>0</v>
      </c>
      <c r="J483" s="4"/>
      <c r="K483" s="4"/>
      <c r="L483" s="4"/>
      <c r="M483" s="4"/>
      <c r="N483" s="4"/>
      <c r="O483" s="4">
        <v>0</v>
      </c>
      <c r="P483" s="4">
        <v>42159.600902777776</v>
      </c>
      <c r="Q483" s="4"/>
      <c r="R483" s="4"/>
      <c r="S483" s="79">
        <f>DbLinkTable[[#This Row],[Credit]]+DbLinkTable[[#This Row],[Charge]]</f>
        <v>0</v>
      </c>
      <c r="T483" s="79">
        <f>IF(DbLinkTable[[#This Row],[Price/lb]]*DbLinkTable[[#This Row],[Weight]]&gt;0,DbLinkTable[[#This Row],[Price/lb]]*DbLinkTable[[#This Row],[Weight]],0)</f>
        <v>0</v>
      </c>
      <c r="U483" s="79">
        <f>IF(DbLinkTable[[#This Row],[Price/lb]]*DbLinkTable[[#This Row],[Weight]]&lt;0,DbLinkTable[[#This Row],[Price/lb]]*DbLinkTable[[#This Row],[Weight]],0)</f>
        <v>0</v>
      </c>
      <c r="V483" s="4" t="str">
        <f>IF(COUNTIF($W$2:W483,W483)=1,1,"")</f>
        <v/>
      </c>
      <c r="W483" s="4" t="str">
        <f>CONCATENATE(DbLinkTable[[#This Row],[Customer]],UPPER(DbLinkTable[[#This Row],[Trailer Number]]),DbLinkTable[[#This Row],[Day Received]])</f>
        <v>Company14340VC42153</v>
      </c>
      <c r="X483" s="4">
        <f>DATEVALUE(TEXT(DbLinkTable[[#This Row],[Date Received]],"MMMM YYYY"))</f>
        <v>42125</v>
      </c>
      <c r="Y483" s="4">
        <f>INT(DbLinkTable[[#This Row],[Date Received]])</f>
        <v>42153</v>
      </c>
    </row>
    <row r="484" spans="1:25">
      <c r="A484">
        <v>11734</v>
      </c>
      <c r="B484" t="s">
        <v>1506</v>
      </c>
      <c r="C484" t="s">
        <v>1522</v>
      </c>
      <c r="D484">
        <v>770</v>
      </c>
      <c r="E484" t="s">
        <v>1501</v>
      </c>
      <c r="F484" s="4">
        <v>42153.477210648147</v>
      </c>
      <c r="G484" s="4" t="s">
        <v>192</v>
      </c>
      <c r="H484" s="4" t="s">
        <v>1555</v>
      </c>
      <c r="I484" s="4">
        <v>0</v>
      </c>
      <c r="J484" s="4"/>
      <c r="K484" s="4"/>
      <c r="L484" s="4"/>
      <c r="M484" s="4"/>
      <c r="N484" s="4"/>
      <c r="O484" s="4">
        <v>0</v>
      </c>
      <c r="P484" s="4">
        <v>42159.606192129628</v>
      </c>
      <c r="Q484" s="4"/>
      <c r="R484" s="4"/>
      <c r="S484" s="79">
        <f>DbLinkTable[[#This Row],[Credit]]+DbLinkTable[[#This Row],[Charge]]</f>
        <v>0</v>
      </c>
      <c r="T484" s="79">
        <f>IF(DbLinkTable[[#This Row],[Price/lb]]*DbLinkTable[[#This Row],[Weight]]&gt;0,DbLinkTable[[#This Row],[Price/lb]]*DbLinkTable[[#This Row],[Weight]],0)</f>
        <v>0</v>
      </c>
      <c r="U484" s="79">
        <f>IF(DbLinkTable[[#This Row],[Price/lb]]*DbLinkTable[[#This Row],[Weight]]&lt;0,DbLinkTable[[#This Row],[Price/lb]]*DbLinkTable[[#This Row],[Weight]],0)</f>
        <v>0</v>
      </c>
      <c r="V484" s="4" t="str">
        <f>IF(COUNTIF($W$2:W484,W484)=1,1,"")</f>
        <v/>
      </c>
      <c r="W484" s="4" t="str">
        <f>CONCATENATE(DbLinkTable[[#This Row],[Customer]],UPPER(DbLinkTable[[#This Row],[Trailer Number]]),DbLinkTable[[#This Row],[Day Received]])</f>
        <v>Company14340VC42153</v>
      </c>
      <c r="X484" s="4">
        <f>DATEVALUE(TEXT(DbLinkTable[[#This Row],[Date Received]],"MMMM YYYY"))</f>
        <v>42125</v>
      </c>
      <c r="Y484" s="4">
        <f>INT(DbLinkTable[[#This Row],[Date Received]])</f>
        <v>42153</v>
      </c>
    </row>
    <row r="485" spans="1:25">
      <c r="A485">
        <v>11735</v>
      </c>
      <c r="B485" t="s">
        <v>1506</v>
      </c>
      <c r="C485" t="s">
        <v>1522</v>
      </c>
      <c r="D485">
        <v>790</v>
      </c>
      <c r="E485" t="s">
        <v>1501</v>
      </c>
      <c r="F485" s="4">
        <v>42153.477210648147</v>
      </c>
      <c r="G485" s="4" t="s">
        <v>192</v>
      </c>
      <c r="H485" s="4" t="s">
        <v>1555</v>
      </c>
      <c r="I485" s="4">
        <v>0</v>
      </c>
      <c r="J485" s="4"/>
      <c r="K485" s="4"/>
      <c r="L485" s="4"/>
      <c r="M485" s="4"/>
      <c r="N485" s="4"/>
      <c r="O485" s="4">
        <v>0</v>
      </c>
      <c r="P485" s="4">
        <v>42159.608344907407</v>
      </c>
      <c r="Q485" s="4"/>
      <c r="R485" s="4"/>
      <c r="S485" s="79">
        <f>DbLinkTable[[#This Row],[Credit]]+DbLinkTable[[#This Row],[Charge]]</f>
        <v>0</v>
      </c>
      <c r="T485" s="79">
        <f>IF(DbLinkTable[[#This Row],[Price/lb]]*DbLinkTable[[#This Row],[Weight]]&gt;0,DbLinkTable[[#This Row],[Price/lb]]*DbLinkTable[[#This Row],[Weight]],0)</f>
        <v>0</v>
      </c>
      <c r="U485" s="79">
        <f>IF(DbLinkTable[[#This Row],[Price/lb]]*DbLinkTable[[#This Row],[Weight]]&lt;0,DbLinkTable[[#This Row],[Price/lb]]*DbLinkTable[[#This Row],[Weight]],0)</f>
        <v>0</v>
      </c>
      <c r="V485" s="4" t="str">
        <f>IF(COUNTIF($W$2:W485,W485)=1,1,"")</f>
        <v/>
      </c>
      <c r="W485" s="4" t="str">
        <f>CONCATENATE(DbLinkTable[[#This Row],[Customer]],UPPER(DbLinkTable[[#This Row],[Trailer Number]]),DbLinkTable[[#This Row],[Day Received]])</f>
        <v>Company14340VC42153</v>
      </c>
      <c r="X485" s="4">
        <f>DATEVALUE(TEXT(DbLinkTable[[#This Row],[Date Received]],"MMMM YYYY"))</f>
        <v>42125</v>
      </c>
      <c r="Y485" s="4">
        <f>INT(DbLinkTable[[#This Row],[Date Received]])</f>
        <v>42153</v>
      </c>
    </row>
    <row r="486" spans="1:25">
      <c r="A486">
        <v>11736</v>
      </c>
      <c r="B486" t="s">
        <v>1506</v>
      </c>
      <c r="C486" t="s">
        <v>1522</v>
      </c>
      <c r="D486">
        <v>560</v>
      </c>
      <c r="E486" t="s">
        <v>1501</v>
      </c>
      <c r="F486" s="4">
        <v>42153.477210648147</v>
      </c>
      <c r="G486" s="4" t="s">
        <v>192</v>
      </c>
      <c r="H486" s="4" t="s">
        <v>1555</v>
      </c>
      <c r="I486" s="4">
        <v>0</v>
      </c>
      <c r="J486" s="4"/>
      <c r="K486" s="4"/>
      <c r="L486" s="4"/>
      <c r="M486" s="4"/>
      <c r="N486" s="4"/>
      <c r="O486" s="4">
        <v>0</v>
      </c>
      <c r="P486" s="4">
        <v>42159.613275462965</v>
      </c>
      <c r="Q486" s="4"/>
      <c r="R486" s="4"/>
      <c r="S486" s="79">
        <f>DbLinkTable[[#This Row],[Credit]]+DbLinkTable[[#This Row],[Charge]]</f>
        <v>0</v>
      </c>
      <c r="T486" s="79">
        <f>IF(DbLinkTable[[#This Row],[Price/lb]]*DbLinkTable[[#This Row],[Weight]]&gt;0,DbLinkTable[[#This Row],[Price/lb]]*DbLinkTable[[#This Row],[Weight]],0)</f>
        <v>0</v>
      </c>
      <c r="U486" s="79">
        <f>IF(DbLinkTable[[#This Row],[Price/lb]]*DbLinkTable[[#This Row],[Weight]]&lt;0,DbLinkTable[[#This Row],[Price/lb]]*DbLinkTable[[#This Row],[Weight]],0)</f>
        <v>0</v>
      </c>
      <c r="V486" s="4" t="str">
        <f>IF(COUNTIF($W$2:W486,W486)=1,1,"")</f>
        <v/>
      </c>
      <c r="W486" s="4" t="str">
        <f>CONCATENATE(DbLinkTable[[#This Row],[Customer]],UPPER(DbLinkTable[[#This Row],[Trailer Number]]),DbLinkTable[[#This Row],[Day Received]])</f>
        <v>Company14340VC42153</v>
      </c>
      <c r="X486" s="4">
        <f>DATEVALUE(TEXT(DbLinkTable[[#This Row],[Date Received]],"MMMM YYYY"))</f>
        <v>42125</v>
      </c>
      <c r="Y486" s="4">
        <f>INT(DbLinkTable[[#This Row],[Date Received]])</f>
        <v>42153</v>
      </c>
    </row>
    <row r="487" spans="1:25">
      <c r="A487">
        <v>11737</v>
      </c>
      <c r="B487" t="s">
        <v>1506</v>
      </c>
      <c r="C487" t="s">
        <v>1522</v>
      </c>
      <c r="D487">
        <v>450</v>
      </c>
      <c r="E487" t="s">
        <v>1501</v>
      </c>
      <c r="F487" s="4">
        <v>42153.477210648147</v>
      </c>
      <c r="G487" s="4" t="s">
        <v>192</v>
      </c>
      <c r="H487" s="4" t="s">
        <v>1555</v>
      </c>
      <c r="I487" s="4">
        <v>0</v>
      </c>
      <c r="J487" s="4"/>
      <c r="K487" s="4"/>
      <c r="L487" s="4"/>
      <c r="M487" s="4"/>
      <c r="N487" s="4"/>
      <c r="O487" s="4">
        <v>0</v>
      </c>
      <c r="P487" s="4">
        <v>42159.615289351852</v>
      </c>
      <c r="Q487" s="4"/>
      <c r="R487" s="4"/>
      <c r="S487" s="79">
        <f>DbLinkTable[[#This Row],[Credit]]+DbLinkTable[[#This Row],[Charge]]</f>
        <v>0</v>
      </c>
      <c r="T487" s="79">
        <f>IF(DbLinkTable[[#This Row],[Price/lb]]*DbLinkTable[[#This Row],[Weight]]&gt;0,DbLinkTable[[#This Row],[Price/lb]]*DbLinkTable[[#This Row],[Weight]],0)</f>
        <v>0</v>
      </c>
      <c r="U487" s="79">
        <f>IF(DbLinkTable[[#This Row],[Price/lb]]*DbLinkTable[[#This Row],[Weight]]&lt;0,DbLinkTable[[#This Row],[Price/lb]]*DbLinkTable[[#This Row],[Weight]],0)</f>
        <v>0</v>
      </c>
      <c r="V487" s="4" t="str">
        <f>IF(COUNTIF($W$2:W487,W487)=1,1,"")</f>
        <v/>
      </c>
      <c r="W487" s="4" t="str">
        <f>CONCATENATE(DbLinkTable[[#This Row],[Customer]],UPPER(DbLinkTable[[#This Row],[Trailer Number]]),DbLinkTable[[#This Row],[Day Received]])</f>
        <v>Company14340VC42153</v>
      </c>
      <c r="X487" s="4">
        <f>DATEVALUE(TEXT(DbLinkTable[[#This Row],[Date Received]],"MMMM YYYY"))</f>
        <v>42125</v>
      </c>
      <c r="Y487" s="4">
        <f>INT(DbLinkTable[[#This Row],[Date Received]])</f>
        <v>42153</v>
      </c>
    </row>
    <row r="488" spans="1:25">
      <c r="A488">
        <v>11739</v>
      </c>
      <c r="B488" t="s">
        <v>1506</v>
      </c>
      <c r="C488" t="s">
        <v>1522</v>
      </c>
      <c r="D488">
        <v>360</v>
      </c>
      <c r="E488" t="s">
        <v>1501</v>
      </c>
      <c r="F488" s="4">
        <v>42153.477210648147</v>
      </c>
      <c r="G488" s="4" t="s">
        <v>192</v>
      </c>
      <c r="H488" s="4" t="s">
        <v>1555</v>
      </c>
      <c r="I488" s="4">
        <v>0</v>
      </c>
      <c r="J488" s="4"/>
      <c r="K488" s="4"/>
      <c r="L488" s="4"/>
      <c r="M488" s="4"/>
      <c r="N488" s="4"/>
      <c r="O488" s="4">
        <v>0</v>
      </c>
      <c r="P488" s="4">
        <v>42159.61787037037</v>
      </c>
      <c r="Q488" s="4"/>
      <c r="R488" s="4"/>
      <c r="S488" s="79">
        <f>DbLinkTable[[#This Row],[Credit]]+DbLinkTable[[#This Row],[Charge]]</f>
        <v>0</v>
      </c>
      <c r="T488" s="79">
        <f>IF(DbLinkTable[[#This Row],[Price/lb]]*DbLinkTable[[#This Row],[Weight]]&gt;0,DbLinkTable[[#This Row],[Price/lb]]*DbLinkTable[[#This Row],[Weight]],0)</f>
        <v>0</v>
      </c>
      <c r="U488" s="79">
        <f>IF(DbLinkTable[[#This Row],[Price/lb]]*DbLinkTable[[#This Row],[Weight]]&lt;0,DbLinkTable[[#This Row],[Price/lb]]*DbLinkTable[[#This Row],[Weight]],0)</f>
        <v>0</v>
      </c>
      <c r="V488" s="4" t="str">
        <f>IF(COUNTIF($W$2:W488,W488)=1,1,"")</f>
        <v/>
      </c>
      <c r="W488" s="4" t="str">
        <f>CONCATENATE(DbLinkTable[[#This Row],[Customer]],UPPER(DbLinkTable[[#This Row],[Trailer Number]]),DbLinkTable[[#This Row],[Day Received]])</f>
        <v>Company14340VC42153</v>
      </c>
      <c r="X488" s="4">
        <f>DATEVALUE(TEXT(DbLinkTable[[#This Row],[Date Received]],"MMMM YYYY"))</f>
        <v>42125</v>
      </c>
      <c r="Y488" s="4">
        <f>INT(DbLinkTable[[#This Row],[Date Received]])</f>
        <v>42153</v>
      </c>
    </row>
    <row r="489" spans="1:25">
      <c r="A489">
        <v>11740</v>
      </c>
      <c r="B489" t="s">
        <v>1506</v>
      </c>
      <c r="C489" t="s">
        <v>1522</v>
      </c>
      <c r="D489">
        <v>700</v>
      </c>
      <c r="E489" t="s">
        <v>1501</v>
      </c>
      <c r="F489" s="4">
        <v>42153.477210648147</v>
      </c>
      <c r="G489" s="4" t="s">
        <v>192</v>
      </c>
      <c r="H489" s="4" t="s">
        <v>1555</v>
      </c>
      <c r="I489" s="4">
        <v>0</v>
      </c>
      <c r="J489" s="4"/>
      <c r="K489" s="4"/>
      <c r="L489" s="4"/>
      <c r="M489" s="4"/>
      <c r="N489" s="4"/>
      <c r="O489" s="4">
        <v>0</v>
      </c>
      <c r="P489" s="4">
        <v>42159.621782407405</v>
      </c>
      <c r="Q489" s="4"/>
      <c r="R489" s="4"/>
      <c r="S489" s="79">
        <f>DbLinkTable[[#This Row],[Credit]]+DbLinkTable[[#This Row],[Charge]]</f>
        <v>0</v>
      </c>
      <c r="T489" s="79">
        <f>IF(DbLinkTable[[#This Row],[Price/lb]]*DbLinkTable[[#This Row],[Weight]]&gt;0,DbLinkTable[[#This Row],[Price/lb]]*DbLinkTable[[#This Row],[Weight]],0)</f>
        <v>0</v>
      </c>
      <c r="U489" s="79">
        <f>IF(DbLinkTable[[#This Row],[Price/lb]]*DbLinkTable[[#This Row],[Weight]]&lt;0,DbLinkTable[[#This Row],[Price/lb]]*DbLinkTable[[#This Row],[Weight]],0)</f>
        <v>0</v>
      </c>
      <c r="V489" s="4" t="str">
        <f>IF(COUNTIF($W$2:W489,W489)=1,1,"")</f>
        <v/>
      </c>
      <c r="W489" s="4" t="str">
        <f>CONCATENATE(DbLinkTable[[#This Row],[Customer]],UPPER(DbLinkTable[[#This Row],[Trailer Number]]),DbLinkTable[[#This Row],[Day Received]])</f>
        <v>Company14340VC42153</v>
      </c>
      <c r="X489" s="4">
        <f>DATEVALUE(TEXT(DbLinkTable[[#This Row],[Date Received]],"MMMM YYYY"))</f>
        <v>42125</v>
      </c>
      <c r="Y489" s="4">
        <f>INT(DbLinkTable[[#This Row],[Date Received]])</f>
        <v>42153</v>
      </c>
    </row>
    <row r="490" spans="1:25">
      <c r="A490">
        <v>11741</v>
      </c>
      <c r="B490" t="s">
        <v>1506</v>
      </c>
      <c r="C490" t="s">
        <v>1522</v>
      </c>
      <c r="D490">
        <v>680</v>
      </c>
      <c r="E490" t="s">
        <v>1501</v>
      </c>
      <c r="F490" s="4">
        <v>42153.477210648147</v>
      </c>
      <c r="G490" s="4" t="s">
        <v>192</v>
      </c>
      <c r="H490" s="4" t="s">
        <v>1555</v>
      </c>
      <c r="I490" s="4">
        <v>0</v>
      </c>
      <c r="J490" s="4"/>
      <c r="K490" s="4"/>
      <c r="L490" s="4"/>
      <c r="M490" s="4"/>
      <c r="N490" s="4"/>
      <c r="O490" s="4">
        <v>0</v>
      </c>
      <c r="P490" s="4">
        <v>42159.624016203707</v>
      </c>
      <c r="Q490" s="4"/>
      <c r="R490" s="4"/>
      <c r="S490" s="79">
        <f>DbLinkTable[[#This Row],[Credit]]+DbLinkTable[[#This Row],[Charge]]</f>
        <v>0</v>
      </c>
      <c r="T490" s="79">
        <f>IF(DbLinkTable[[#This Row],[Price/lb]]*DbLinkTable[[#This Row],[Weight]]&gt;0,DbLinkTable[[#This Row],[Price/lb]]*DbLinkTable[[#This Row],[Weight]],0)</f>
        <v>0</v>
      </c>
      <c r="U490" s="79">
        <f>IF(DbLinkTable[[#This Row],[Price/lb]]*DbLinkTable[[#This Row],[Weight]]&lt;0,DbLinkTable[[#This Row],[Price/lb]]*DbLinkTable[[#This Row],[Weight]],0)</f>
        <v>0</v>
      </c>
      <c r="V490" s="4" t="str">
        <f>IF(COUNTIF($W$2:W490,W490)=1,1,"")</f>
        <v/>
      </c>
      <c r="W490" s="4" t="str">
        <f>CONCATENATE(DbLinkTable[[#This Row],[Customer]],UPPER(DbLinkTable[[#This Row],[Trailer Number]]),DbLinkTable[[#This Row],[Day Received]])</f>
        <v>Company14340VC42153</v>
      </c>
      <c r="X490" s="4">
        <f>DATEVALUE(TEXT(DbLinkTable[[#This Row],[Date Received]],"MMMM YYYY"))</f>
        <v>42125</v>
      </c>
      <c r="Y490" s="4">
        <f>INT(DbLinkTable[[#This Row],[Date Received]])</f>
        <v>42153</v>
      </c>
    </row>
    <row r="491" spans="1:25">
      <c r="A491">
        <v>11744</v>
      </c>
      <c r="B491" t="s">
        <v>1505</v>
      </c>
      <c r="C491" t="s">
        <v>1556</v>
      </c>
      <c r="D491">
        <v>430</v>
      </c>
      <c r="E491" t="s">
        <v>1501</v>
      </c>
      <c r="F491" s="4">
        <v>42154</v>
      </c>
      <c r="G491" s="4" t="s">
        <v>192</v>
      </c>
      <c r="H491" s="4" t="s">
        <v>1557</v>
      </c>
      <c r="I491" s="4">
        <v>0</v>
      </c>
      <c r="J491" s="4"/>
      <c r="K491" s="4"/>
      <c r="L491" s="4"/>
      <c r="M491" s="4"/>
      <c r="N491" s="4"/>
      <c r="O491" s="4">
        <v>0</v>
      </c>
      <c r="P491" s="4">
        <v>42160.351747685185</v>
      </c>
      <c r="Q491" s="4"/>
      <c r="R491" s="4"/>
      <c r="S491" s="79">
        <f>DbLinkTable[[#This Row],[Credit]]+DbLinkTable[[#This Row],[Charge]]</f>
        <v>0</v>
      </c>
      <c r="T491" s="79">
        <f>IF(DbLinkTable[[#This Row],[Price/lb]]*DbLinkTable[[#This Row],[Weight]]&gt;0,DbLinkTable[[#This Row],[Price/lb]]*DbLinkTable[[#This Row],[Weight]],0)</f>
        <v>0</v>
      </c>
      <c r="U491" s="79">
        <f>IF(DbLinkTable[[#This Row],[Price/lb]]*DbLinkTable[[#This Row],[Weight]]&lt;0,DbLinkTable[[#This Row],[Price/lb]]*DbLinkTable[[#This Row],[Weight]],0)</f>
        <v>0</v>
      </c>
      <c r="V491" s="4">
        <f>IF(COUNTIF($W$2:W491,W491)=1,1,"")</f>
        <v>1</v>
      </c>
      <c r="W491" s="4" t="str">
        <f>CONCATENATE(DbLinkTable[[#This Row],[Customer]],UPPER(DbLinkTable[[#This Row],[Trailer Number]]),DbLinkTable[[#This Row],[Day Received]])</f>
        <v>Company14KLFU107703-542154</v>
      </c>
      <c r="X491" s="4">
        <f>DATEVALUE(TEXT(DbLinkTable[[#This Row],[Date Received]],"MMMM YYYY"))</f>
        <v>42125</v>
      </c>
      <c r="Y491" s="4">
        <f>INT(DbLinkTable[[#This Row],[Date Received]])</f>
        <v>42154</v>
      </c>
    </row>
    <row r="492" spans="1:25">
      <c r="A492">
        <v>11745</v>
      </c>
      <c r="B492" t="s">
        <v>46</v>
      </c>
      <c r="D492">
        <v>112</v>
      </c>
      <c r="E492" t="s">
        <v>1501</v>
      </c>
      <c r="F492" s="4">
        <v>42154</v>
      </c>
      <c r="G492" s="4" t="s">
        <v>192</v>
      </c>
      <c r="H492" s="4" t="s">
        <v>1557</v>
      </c>
      <c r="I492" s="4">
        <v>0</v>
      </c>
      <c r="J492" s="4"/>
      <c r="K492" s="4"/>
      <c r="L492" s="4"/>
      <c r="M492" s="4"/>
      <c r="N492" s="4"/>
      <c r="O492" s="4">
        <v>0</v>
      </c>
      <c r="P492" s="4">
        <v>42160.357719907406</v>
      </c>
      <c r="Q492" s="4"/>
      <c r="R492" s="4"/>
      <c r="S492" s="79">
        <f>DbLinkTable[[#This Row],[Credit]]+DbLinkTable[[#This Row],[Charge]]</f>
        <v>0</v>
      </c>
      <c r="T492" s="79">
        <f>IF(DbLinkTable[[#This Row],[Price/lb]]*DbLinkTable[[#This Row],[Weight]]&gt;0,DbLinkTable[[#This Row],[Price/lb]]*DbLinkTable[[#This Row],[Weight]],0)</f>
        <v>0</v>
      </c>
      <c r="U492" s="79">
        <f>IF(DbLinkTable[[#This Row],[Price/lb]]*DbLinkTable[[#This Row],[Weight]]&lt;0,DbLinkTable[[#This Row],[Price/lb]]*DbLinkTable[[#This Row],[Weight]],0)</f>
        <v>0</v>
      </c>
      <c r="V492" s="4" t="str">
        <f>IF(COUNTIF($W$2:W492,W492)=1,1,"")</f>
        <v/>
      </c>
      <c r="W492" s="4" t="str">
        <f>CONCATENATE(DbLinkTable[[#This Row],[Customer]],UPPER(DbLinkTable[[#This Row],[Trailer Number]]),DbLinkTable[[#This Row],[Day Received]])</f>
        <v>Company14KLFU107703-542154</v>
      </c>
      <c r="X492" s="4">
        <f>DATEVALUE(TEXT(DbLinkTable[[#This Row],[Date Received]],"MMMM YYYY"))</f>
        <v>42125</v>
      </c>
      <c r="Y492" s="4">
        <f>INT(DbLinkTable[[#This Row],[Date Received]])</f>
        <v>42154</v>
      </c>
    </row>
    <row r="493" spans="1:25">
      <c r="A493">
        <v>11746</v>
      </c>
      <c r="B493" t="s">
        <v>46</v>
      </c>
      <c r="D493">
        <v>220</v>
      </c>
      <c r="E493" t="s">
        <v>1501</v>
      </c>
      <c r="F493" s="4">
        <v>42154</v>
      </c>
      <c r="G493" s="4" t="s">
        <v>192</v>
      </c>
      <c r="H493" s="4" t="s">
        <v>1557</v>
      </c>
      <c r="I493" s="4">
        <v>0</v>
      </c>
      <c r="J493" s="4"/>
      <c r="K493" s="4"/>
      <c r="L493" s="4"/>
      <c r="M493" s="4"/>
      <c r="N493" s="4"/>
      <c r="O493" s="4">
        <v>0</v>
      </c>
      <c r="P493" s="4">
        <v>42160.359155092592</v>
      </c>
      <c r="Q493" s="4"/>
      <c r="R493" s="4"/>
      <c r="S493" s="79">
        <f>DbLinkTable[[#This Row],[Credit]]+DbLinkTable[[#This Row],[Charge]]</f>
        <v>0</v>
      </c>
      <c r="T493" s="79">
        <f>IF(DbLinkTable[[#This Row],[Price/lb]]*DbLinkTable[[#This Row],[Weight]]&gt;0,DbLinkTable[[#This Row],[Price/lb]]*DbLinkTable[[#This Row],[Weight]],0)</f>
        <v>0</v>
      </c>
      <c r="U493" s="79">
        <f>IF(DbLinkTable[[#This Row],[Price/lb]]*DbLinkTable[[#This Row],[Weight]]&lt;0,DbLinkTable[[#This Row],[Price/lb]]*DbLinkTable[[#This Row],[Weight]],0)</f>
        <v>0</v>
      </c>
      <c r="V493" s="4" t="str">
        <f>IF(COUNTIF($W$2:W493,W493)=1,1,"")</f>
        <v/>
      </c>
      <c r="W493" s="4" t="str">
        <f>CONCATENATE(DbLinkTable[[#This Row],[Customer]],UPPER(DbLinkTable[[#This Row],[Trailer Number]]),DbLinkTable[[#This Row],[Day Received]])</f>
        <v>Company14KLFU107703-542154</v>
      </c>
      <c r="X493" s="4">
        <f>DATEVALUE(TEXT(DbLinkTable[[#This Row],[Date Received]],"MMMM YYYY"))</f>
        <v>42125</v>
      </c>
      <c r="Y493" s="4">
        <f>INT(DbLinkTable[[#This Row],[Date Received]])</f>
        <v>42154</v>
      </c>
    </row>
    <row r="494" spans="1:25">
      <c r="A494">
        <v>11747</v>
      </c>
      <c r="B494" t="s">
        <v>46</v>
      </c>
      <c r="D494">
        <v>1000</v>
      </c>
      <c r="E494" t="s">
        <v>1501</v>
      </c>
      <c r="F494" s="4">
        <v>42154</v>
      </c>
      <c r="G494" s="4" t="s">
        <v>192</v>
      </c>
      <c r="H494" s="4" t="s">
        <v>1557</v>
      </c>
      <c r="I494" s="4">
        <v>0</v>
      </c>
      <c r="J494" s="4"/>
      <c r="K494" s="4"/>
      <c r="L494" s="4"/>
      <c r="M494" s="4"/>
      <c r="N494" s="4"/>
      <c r="O494" s="4">
        <v>0</v>
      </c>
      <c r="P494" s="4">
        <v>42160.366932870369</v>
      </c>
      <c r="Q494" s="4"/>
      <c r="R494" s="4"/>
      <c r="S494" s="79">
        <f>DbLinkTable[[#This Row],[Credit]]+DbLinkTable[[#This Row],[Charge]]</f>
        <v>0</v>
      </c>
      <c r="T494" s="79">
        <f>IF(DbLinkTable[[#This Row],[Price/lb]]*DbLinkTable[[#This Row],[Weight]]&gt;0,DbLinkTable[[#This Row],[Price/lb]]*DbLinkTable[[#This Row],[Weight]],0)</f>
        <v>0</v>
      </c>
      <c r="U494" s="79">
        <f>IF(DbLinkTable[[#This Row],[Price/lb]]*DbLinkTable[[#This Row],[Weight]]&lt;0,DbLinkTable[[#This Row],[Price/lb]]*DbLinkTable[[#This Row],[Weight]],0)</f>
        <v>0</v>
      </c>
      <c r="V494" s="4" t="str">
        <f>IF(COUNTIF($W$2:W494,W494)=1,1,"")</f>
        <v/>
      </c>
      <c r="W494" s="4" t="str">
        <f>CONCATENATE(DbLinkTable[[#This Row],[Customer]],UPPER(DbLinkTable[[#This Row],[Trailer Number]]),DbLinkTable[[#This Row],[Day Received]])</f>
        <v>Company14KLFU107703-542154</v>
      </c>
      <c r="X494" s="4">
        <f>DATEVALUE(TEXT(DbLinkTable[[#This Row],[Date Received]],"MMMM YYYY"))</f>
        <v>42125</v>
      </c>
      <c r="Y494" s="4">
        <f>INT(DbLinkTable[[#This Row],[Date Received]])</f>
        <v>42154</v>
      </c>
    </row>
    <row r="495" spans="1:25">
      <c r="A495">
        <v>11748</v>
      </c>
      <c r="B495" t="s">
        <v>46</v>
      </c>
      <c r="D495">
        <v>750</v>
      </c>
      <c r="E495" t="s">
        <v>1501</v>
      </c>
      <c r="F495" s="4">
        <v>42154</v>
      </c>
      <c r="G495" s="4" t="s">
        <v>192</v>
      </c>
      <c r="H495" s="4" t="s">
        <v>1557</v>
      </c>
      <c r="I495" s="4">
        <v>0</v>
      </c>
      <c r="J495" s="4"/>
      <c r="K495" s="4"/>
      <c r="L495" s="4"/>
      <c r="M495" s="4"/>
      <c r="N495" s="4"/>
      <c r="O495" s="4">
        <v>0</v>
      </c>
      <c r="P495" s="4">
        <v>42160.368344907409</v>
      </c>
      <c r="Q495" s="4"/>
      <c r="R495" s="4"/>
      <c r="S495" s="79">
        <f>DbLinkTable[[#This Row],[Credit]]+DbLinkTable[[#This Row],[Charge]]</f>
        <v>0</v>
      </c>
      <c r="T495" s="79">
        <f>IF(DbLinkTable[[#This Row],[Price/lb]]*DbLinkTable[[#This Row],[Weight]]&gt;0,DbLinkTable[[#This Row],[Price/lb]]*DbLinkTable[[#This Row],[Weight]],0)</f>
        <v>0</v>
      </c>
      <c r="U495" s="79">
        <f>IF(DbLinkTable[[#This Row],[Price/lb]]*DbLinkTable[[#This Row],[Weight]]&lt;0,DbLinkTable[[#This Row],[Price/lb]]*DbLinkTable[[#This Row],[Weight]],0)</f>
        <v>0</v>
      </c>
      <c r="V495" s="4" t="str">
        <f>IF(COUNTIF($W$2:W495,W495)=1,1,"")</f>
        <v/>
      </c>
      <c r="W495" s="4" t="str">
        <f>CONCATENATE(DbLinkTable[[#This Row],[Customer]],UPPER(DbLinkTable[[#This Row],[Trailer Number]]),DbLinkTable[[#This Row],[Day Received]])</f>
        <v>Company14KLFU107703-542154</v>
      </c>
      <c r="X495" s="4">
        <f>DATEVALUE(TEXT(DbLinkTable[[#This Row],[Date Received]],"MMMM YYYY"))</f>
        <v>42125</v>
      </c>
      <c r="Y495" s="4">
        <f>INT(DbLinkTable[[#This Row],[Date Received]])</f>
        <v>42154</v>
      </c>
    </row>
    <row r="496" spans="1:25">
      <c r="A496">
        <v>11749</v>
      </c>
      <c r="B496" t="s">
        <v>46</v>
      </c>
      <c r="D496">
        <v>200</v>
      </c>
      <c r="E496" t="s">
        <v>1501</v>
      </c>
      <c r="F496" s="4">
        <v>42154</v>
      </c>
      <c r="G496" s="4" t="s">
        <v>192</v>
      </c>
      <c r="H496" s="4" t="s">
        <v>1557</v>
      </c>
      <c r="I496" s="4">
        <v>0</v>
      </c>
      <c r="J496" s="4"/>
      <c r="K496" s="4"/>
      <c r="L496" s="4"/>
      <c r="M496" s="4"/>
      <c r="N496" s="4"/>
      <c r="O496" s="4">
        <v>0</v>
      </c>
      <c r="P496" s="4">
        <v>42160.386504629627</v>
      </c>
      <c r="Q496" s="4"/>
      <c r="R496" s="4"/>
      <c r="S496" s="79">
        <f>DbLinkTable[[#This Row],[Credit]]+DbLinkTable[[#This Row],[Charge]]</f>
        <v>0</v>
      </c>
      <c r="T496" s="79">
        <f>IF(DbLinkTable[[#This Row],[Price/lb]]*DbLinkTable[[#This Row],[Weight]]&gt;0,DbLinkTable[[#This Row],[Price/lb]]*DbLinkTable[[#This Row],[Weight]],0)</f>
        <v>0</v>
      </c>
      <c r="U496" s="79">
        <f>IF(DbLinkTable[[#This Row],[Price/lb]]*DbLinkTable[[#This Row],[Weight]]&lt;0,DbLinkTable[[#This Row],[Price/lb]]*DbLinkTable[[#This Row],[Weight]],0)</f>
        <v>0</v>
      </c>
      <c r="V496" s="4" t="str">
        <f>IF(COUNTIF($W$2:W496,W496)=1,1,"")</f>
        <v/>
      </c>
      <c r="W496" s="4" t="str">
        <f>CONCATENATE(DbLinkTable[[#This Row],[Customer]],UPPER(DbLinkTable[[#This Row],[Trailer Number]]),DbLinkTable[[#This Row],[Day Received]])</f>
        <v>Company14KLFU107703-542154</v>
      </c>
      <c r="X496" s="4">
        <f>DATEVALUE(TEXT(DbLinkTable[[#This Row],[Date Received]],"MMMM YYYY"))</f>
        <v>42125</v>
      </c>
      <c r="Y496" s="4">
        <f>INT(DbLinkTable[[#This Row],[Date Received]])</f>
        <v>42154</v>
      </c>
    </row>
    <row r="497" spans="1:25">
      <c r="A497">
        <v>11753</v>
      </c>
      <c r="B497" t="s">
        <v>46</v>
      </c>
      <c r="D497">
        <v>40</v>
      </c>
      <c r="E497" t="s">
        <v>1501</v>
      </c>
      <c r="F497" s="4">
        <v>42154</v>
      </c>
      <c r="G497" s="4" t="s">
        <v>192</v>
      </c>
      <c r="H497" s="4" t="s">
        <v>1557</v>
      </c>
      <c r="I497" s="4">
        <v>0</v>
      </c>
      <c r="J497" s="4"/>
      <c r="K497" s="4"/>
      <c r="L497" s="4"/>
      <c r="M497" s="4"/>
      <c r="N497" s="4"/>
      <c r="O497" s="4">
        <v>0</v>
      </c>
      <c r="P497" s="4">
        <v>42160.415555555555</v>
      </c>
      <c r="Q497" s="4"/>
      <c r="R497" s="4"/>
      <c r="S497" s="79">
        <f>DbLinkTable[[#This Row],[Credit]]+DbLinkTable[[#This Row],[Charge]]</f>
        <v>0</v>
      </c>
      <c r="T497" s="79">
        <f>IF(DbLinkTable[[#This Row],[Price/lb]]*DbLinkTable[[#This Row],[Weight]]&gt;0,DbLinkTable[[#This Row],[Price/lb]]*DbLinkTable[[#This Row],[Weight]],0)</f>
        <v>0</v>
      </c>
      <c r="U497" s="79">
        <f>IF(DbLinkTable[[#This Row],[Price/lb]]*DbLinkTable[[#This Row],[Weight]]&lt;0,DbLinkTable[[#This Row],[Price/lb]]*DbLinkTable[[#This Row],[Weight]],0)</f>
        <v>0</v>
      </c>
      <c r="V497" s="4" t="str">
        <f>IF(COUNTIF($W$2:W497,W497)=1,1,"")</f>
        <v/>
      </c>
      <c r="W497" s="4" t="str">
        <f>CONCATENATE(DbLinkTable[[#This Row],[Customer]],UPPER(DbLinkTable[[#This Row],[Trailer Number]]),DbLinkTable[[#This Row],[Day Received]])</f>
        <v>Company14KLFU107703-542154</v>
      </c>
      <c r="X497" s="4">
        <f>DATEVALUE(TEXT(DbLinkTable[[#This Row],[Date Received]],"MMMM YYYY"))</f>
        <v>42125</v>
      </c>
      <c r="Y497" s="4">
        <f>INT(DbLinkTable[[#This Row],[Date Received]])</f>
        <v>42154</v>
      </c>
    </row>
    <row r="498" spans="1:25">
      <c r="A498">
        <v>11755</v>
      </c>
      <c r="B498" t="s">
        <v>46</v>
      </c>
      <c r="D498">
        <v>410</v>
      </c>
      <c r="E498" t="s">
        <v>1501</v>
      </c>
      <c r="F498" s="4">
        <v>42154</v>
      </c>
      <c r="G498" s="4" t="s">
        <v>192</v>
      </c>
      <c r="H498" s="4" t="s">
        <v>1557</v>
      </c>
      <c r="I498" s="4">
        <v>0</v>
      </c>
      <c r="J498" s="4"/>
      <c r="K498" s="4"/>
      <c r="L498" s="4"/>
      <c r="M498" s="4"/>
      <c r="N498" s="4"/>
      <c r="O498" s="4">
        <v>0</v>
      </c>
      <c r="P498" s="4">
        <v>42160.417708333334</v>
      </c>
      <c r="Q498" s="4"/>
      <c r="R498" s="4"/>
      <c r="S498" s="79">
        <f>DbLinkTable[[#This Row],[Credit]]+DbLinkTable[[#This Row],[Charge]]</f>
        <v>0</v>
      </c>
      <c r="T498" s="79">
        <f>IF(DbLinkTable[[#This Row],[Price/lb]]*DbLinkTable[[#This Row],[Weight]]&gt;0,DbLinkTable[[#This Row],[Price/lb]]*DbLinkTable[[#This Row],[Weight]],0)</f>
        <v>0</v>
      </c>
      <c r="U498" s="79">
        <f>IF(DbLinkTable[[#This Row],[Price/lb]]*DbLinkTable[[#This Row],[Weight]]&lt;0,DbLinkTable[[#This Row],[Price/lb]]*DbLinkTable[[#This Row],[Weight]],0)</f>
        <v>0</v>
      </c>
      <c r="V498" s="4" t="str">
        <f>IF(COUNTIF($W$2:W498,W498)=1,1,"")</f>
        <v/>
      </c>
      <c r="W498" s="4" t="str">
        <f>CONCATENATE(DbLinkTable[[#This Row],[Customer]],UPPER(DbLinkTable[[#This Row],[Trailer Number]]),DbLinkTable[[#This Row],[Day Received]])</f>
        <v>Company14KLFU107703-542154</v>
      </c>
      <c r="X498" s="4">
        <f>DATEVALUE(TEXT(DbLinkTable[[#This Row],[Date Received]],"MMMM YYYY"))</f>
        <v>42125</v>
      </c>
      <c r="Y498" s="4">
        <f>INT(DbLinkTable[[#This Row],[Date Received]])</f>
        <v>42154</v>
      </c>
    </row>
    <row r="499" spans="1:25">
      <c r="A499">
        <v>11756</v>
      </c>
      <c r="B499" t="s">
        <v>43</v>
      </c>
      <c r="D499">
        <v>300</v>
      </c>
      <c r="E499" t="s">
        <v>1501</v>
      </c>
      <c r="F499" s="4">
        <v>42154</v>
      </c>
      <c r="G499" s="4" t="s">
        <v>192</v>
      </c>
      <c r="H499" s="4" t="s">
        <v>1557</v>
      </c>
      <c r="I499" s="4">
        <v>0</v>
      </c>
      <c r="J499" s="4"/>
      <c r="K499" s="4"/>
      <c r="L499" s="4"/>
      <c r="M499" s="4"/>
      <c r="N499" s="4"/>
      <c r="O499" s="4">
        <v>0</v>
      </c>
      <c r="P499" s="4">
        <v>42160.42759259259</v>
      </c>
      <c r="Q499" s="4"/>
      <c r="R499" s="4"/>
      <c r="S499" s="79">
        <f>DbLinkTable[[#This Row],[Credit]]+DbLinkTable[[#This Row],[Charge]]</f>
        <v>0</v>
      </c>
      <c r="T499" s="79">
        <f>IF(DbLinkTable[[#This Row],[Price/lb]]*DbLinkTable[[#This Row],[Weight]]&gt;0,DbLinkTable[[#This Row],[Price/lb]]*DbLinkTable[[#This Row],[Weight]],0)</f>
        <v>0</v>
      </c>
      <c r="U499" s="79">
        <f>IF(DbLinkTable[[#This Row],[Price/lb]]*DbLinkTable[[#This Row],[Weight]]&lt;0,DbLinkTable[[#This Row],[Price/lb]]*DbLinkTable[[#This Row],[Weight]],0)</f>
        <v>0</v>
      </c>
      <c r="V499" s="4" t="str">
        <f>IF(COUNTIF($W$2:W499,W499)=1,1,"")</f>
        <v/>
      </c>
      <c r="W499" s="4" t="str">
        <f>CONCATENATE(DbLinkTable[[#This Row],[Customer]],UPPER(DbLinkTable[[#This Row],[Trailer Number]]),DbLinkTable[[#This Row],[Day Received]])</f>
        <v>Company14KLFU107703-542154</v>
      </c>
      <c r="X499" s="4">
        <f>DATEVALUE(TEXT(DbLinkTable[[#This Row],[Date Received]],"MMMM YYYY"))</f>
        <v>42125</v>
      </c>
      <c r="Y499" s="4">
        <f>INT(DbLinkTable[[#This Row],[Date Received]])</f>
        <v>42154</v>
      </c>
    </row>
    <row r="500" spans="1:25">
      <c r="A500">
        <v>11758</v>
      </c>
      <c r="B500" t="s">
        <v>1523</v>
      </c>
      <c r="D500">
        <v>630</v>
      </c>
      <c r="E500" t="s">
        <v>1501</v>
      </c>
      <c r="F500" s="4">
        <v>42154</v>
      </c>
      <c r="G500" s="4" t="s">
        <v>192</v>
      </c>
      <c r="H500" s="4" t="s">
        <v>1557</v>
      </c>
      <c r="I500" s="4">
        <v>0</v>
      </c>
      <c r="J500" s="4"/>
      <c r="K500" s="4"/>
      <c r="L500" s="4"/>
      <c r="M500" s="4"/>
      <c r="N500" s="4"/>
      <c r="O500" s="4">
        <v>0</v>
      </c>
      <c r="P500" s="4">
        <v>42160.435983796298</v>
      </c>
      <c r="Q500" s="4"/>
      <c r="R500" s="4"/>
      <c r="S500" s="79">
        <f>DbLinkTable[[#This Row],[Credit]]+DbLinkTable[[#This Row],[Charge]]</f>
        <v>0</v>
      </c>
      <c r="T500" s="79">
        <f>IF(DbLinkTable[[#This Row],[Price/lb]]*DbLinkTable[[#This Row],[Weight]]&gt;0,DbLinkTable[[#This Row],[Price/lb]]*DbLinkTable[[#This Row],[Weight]],0)</f>
        <v>0</v>
      </c>
      <c r="U500" s="79">
        <f>IF(DbLinkTable[[#This Row],[Price/lb]]*DbLinkTable[[#This Row],[Weight]]&lt;0,DbLinkTable[[#This Row],[Price/lb]]*DbLinkTable[[#This Row],[Weight]],0)</f>
        <v>0</v>
      </c>
      <c r="V500" s="4" t="str">
        <f>IF(COUNTIF($W$2:W500,W500)=1,1,"")</f>
        <v/>
      </c>
      <c r="W500" s="4" t="str">
        <f>CONCATENATE(DbLinkTable[[#This Row],[Customer]],UPPER(DbLinkTable[[#This Row],[Trailer Number]]),DbLinkTable[[#This Row],[Day Received]])</f>
        <v>Company14KLFU107703-542154</v>
      </c>
      <c r="X500" s="4">
        <f>DATEVALUE(TEXT(DbLinkTable[[#This Row],[Date Received]],"MMMM YYYY"))</f>
        <v>42125</v>
      </c>
      <c r="Y500" s="4">
        <f>INT(DbLinkTable[[#This Row],[Date Received]])</f>
        <v>42154</v>
      </c>
    </row>
    <row r="501" spans="1:25">
      <c r="A501">
        <v>11763</v>
      </c>
      <c r="B501" t="s">
        <v>1523</v>
      </c>
      <c r="D501">
        <v>500</v>
      </c>
      <c r="E501" t="s">
        <v>1501</v>
      </c>
      <c r="F501" s="4">
        <v>42154</v>
      </c>
      <c r="G501" s="4" t="s">
        <v>192</v>
      </c>
      <c r="H501" s="4" t="s">
        <v>1557</v>
      </c>
      <c r="I501" s="4">
        <v>0</v>
      </c>
      <c r="J501" s="4"/>
      <c r="K501" s="4"/>
      <c r="L501" s="4"/>
      <c r="M501" s="4"/>
      <c r="N501" s="4"/>
      <c r="O501" s="4">
        <v>0</v>
      </c>
      <c r="P501" s="4">
        <v>42160.49496527778</v>
      </c>
      <c r="Q501" s="4"/>
      <c r="R501" s="4"/>
      <c r="S501" s="79">
        <f>DbLinkTable[[#This Row],[Credit]]+DbLinkTable[[#This Row],[Charge]]</f>
        <v>0</v>
      </c>
      <c r="T501" s="79">
        <f>IF(DbLinkTable[[#This Row],[Price/lb]]*DbLinkTable[[#This Row],[Weight]]&gt;0,DbLinkTable[[#This Row],[Price/lb]]*DbLinkTable[[#This Row],[Weight]],0)</f>
        <v>0</v>
      </c>
      <c r="U501" s="79">
        <f>IF(DbLinkTable[[#This Row],[Price/lb]]*DbLinkTable[[#This Row],[Weight]]&lt;0,DbLinkTable[[#This Row],[Price/lb]]*DbLinkTable[[#This Row],[Weight]],0)</f>
        <v>0</v>
      </c>
      <c r="V501" s="4" t="str">
        <f>IF(COUNTIF($W$2:W501,W501)=1,1,"")</f>
        <v/>
      </c>
      <c r="W501" s="4" t="str">
        <f>CONCATENATE(DbLinkTable[[#This Row],[Customer]],UPPER(DbLinkTable[[#This Row],[Trailer Number]]),DbLinkTable[[#This Row],[Day Received]])</f>
        <v>Company14KLFU107703-542154</v>
      </c>
      <c r="X501" s="4">
        <f>DATEVALUE(TEXT(DbLinkTable[[#This Row],[Date Received]],"MMMM YYYY"))</f>
        <v>42125</v>
      </c>
      <c r="Y501" s="4">
        <f>INT(DbLinkTable[[#This Row],[Date Received]])</f>
        <v>42154</v>
      </c>
    </row>
    <row r="502" spans="1:25">
      <c r="A502">
        <v>11771</v>
      </c>
      <c r="B502" t="s">
        <v>1523</v>
      </c>
      <c r="D502">
        <v>480</v>
      </c>
      <c r="E502" t="s">
        <v>1501</v>
      </c>
      <c r="F502" s="4">
        <v>42154</v>
      </c>
      <c r="G502" s="4" t="s">
        <v>192</v>
      </c>
      <c r="H502" s="4" t="s">
        <v>1557</v>
      </c>
      <c r="I502" s="4">
        <v>0</v>
      </c>
      <c r="J502" s="4"/>
      <c r="K502" s="4"/>
      <c r="L502" s="4"/>
      <c r="M502" s="4"/>
      <c r="N502" s="4"/>
      <c r="O502" s="4">
        <v>0</v>
      </c>
      <c r="P502" s="4">
        <v>42160.568611111114</v>
      </c>
      <c r="Q502" s="4"/>
      <c r="R502" s="4"/>
      <c r="S502" s="79">
        <f>DbLinkTable[[#This Row],[Credit]]+DbLinkTable[[#This Row],[Charge]]</f>
        <v>0</v>
      </c>
      <c r="T502" s="79">
        <f>IF(DbLinkTable[[#This Row],[Price/lb]]*DbLinkTable[[#This Row],[Weight]]&gt;0,DbLinkTable[[#This Row],[Price/lb]]*DbLinkTable[[#This Row],[Weight]],0)</f>
        <v>0</v>
      </c>
      <c r="U502" s="79">
        <f>IF(DbLinkTable[[#This Row],[Price/lb]]*DbLinkTable[[#This Row],[Weight]]&lt;0,DbLinkTable[[#This Row],[Price/lb]]*DbLinkTable[[#This Row],[Weight]],0)</f>
        <v>0</v>
      </c>
      <c r="V502" s="4" t="str">
        <f>IF(COUNTIF($W$2:W502,W502)=1,1,"")</f>
        <v/>
      </c>
      <c r="W502" s="4" t="str">
        <f>CONCATENATE(DbLinkTable[[#This Row],[Customer]],UPPER(DbLinkTable[[#This Row],[Trailer Number]]),DbLinkTable[[#This Row],[Day Received]])</f>
        <v>Company14KLFU107703-542154</v>
      </c>
      <c r="X502" s="4">
        <f>DATEVALUE(TEXT(DbLinkTable[[#This Row],[Date Received]],"MMMM YYYY"))</f>
        <v>42125</v>
      </c>
      <c r="Y502" s="4">
        <f>INT(DbLinkTable[[#This Row],[Date Received]])</f>
        <v>42154</v>
      </c>
    </row>
    <row r="503" spans="1:25">
      <c r="A503">
        <v>11772</v>
      </c>
      <c r="B503" t="s">
        <v>43</v>
      </c>
      <c r="D503">
        <v>120</v>
      </c>
      <c r="E503" t="s">
        <v>1501</v>
      </c>
      <c r="F503" s="4">
        <v>42154</v>
      </c>
      <c r="G503" s="4" t="s">
        <v>192</v>
      </c>
      <c r="H503" s="4" t="s">
        <v>1557</v>
      </c>
      <c r="I503" s="4">
        <v>0</v>
      </c>
      <c r="J503" s="4"/>
      <c r="K503" s="4"/>
      <c r="L503" s="4"/>
      <c r="M503" s="4"/>
      <c r="N503" s="4"/>
      <c r="O503" s="4">
        <v>0</v>
      </c>
      <c r="P503" s="4">
        <v>42160.571967592594</v>
      </c>
      <c r="Q503" s="4"/>
      <c r="R503" s="4"/>
      <c r="S503" s="79">
        <f>DbLinkTable[[#This Row],[Credit]]+DbLinkTable[[#This Row],[Charge]]</f>
        <v>0</v>
      </c>
      <c r="T503" s="79">
        <f>IF(DbLinkTable[[#This Row],[Price/lb]]*DbLinkTable[[#This Row],[Weight]]&gt;0,DbLinkTable[[#This Row],[Price/lb]]*DbLinkTable[[#This Row],[Weight]],0)</f>
        <v>0</v>
      </c>
      <c r="U503" s="79">
        <f>IF(DbLinkTable[[#This Row],[Price/lb]]*DbLinkTable[[#This Row],[Weight]]&lt;0,DbLinkTable[[#This Row],[Price/lb]]*DbLinkTable[[#This Row],[Weight]],0)</f>
        <v>0</v>
      </c>
      <c r="V503" s="4" t="str">
        <f>IF(COUNTIF($W$2:W503,W503)=1,1,"")</f>
        <v/>
      </c>
      <c r="W503" s="4" t="str">
        <f>CONCATENATE(DbLinkTable[[#This Row],[Customer]],UPPER(DbLinkTable[[#This Row],[Trailer Number]]),DbLinkTable[[#This Row],[Day Received]])</f>
        <v>Company14KLFU107703-542154</v>
      </c>
      <c r="X503" s="4">
        <f>DATEVALUE(TEXT(DbLinkTable[[#This Row],[Date Received]],"MMMM YYYY"))</f>
        <v>42125</v>
      </c>
      <c r="Y503" s="4">
        <f>INT(DbLinkTable[[#This Row],[Date Received]])</f>
        <v>42154</v>
      </c>
    </row>
    <row r="504" spans="1:25">
      <c r="A504">
        <v>11773</v>
      </c>
      <c r="B504" t="s">
        <v>1523</v>
      </c>
      <c r="D504">
        <v>500</v>
      </c>
      <c r="E504" t="s">
        <v>1501</v>
      </c>
      <c r="F504" s="4">
        <v>42154</v>
      </c>
      <c r="G504" s="4" t="s">
        <v>192</v>
      </c>
      <c r="H504" s="4" t="s">
        <v>1557</v>
      </c>
      <c r="I504" s="4">
        <v>0</v>
      </c>
      <c r="J504" s="4"/>
      <c r="K504" s="4"/>
      <c r="L504" s="4"/>
      <c r="M504" s="4"/>
      <c r="N504" s="4"/>
      <c r="O504" s="4">
        <v>0</v>
      </c>
      <c r="P504" s="4">
        <v>42160.573379629626</v>
      </c>
      <c r="Q504" s="4"/>
      <c r="R504" s="4"/>
      <c r="S504" s="79">
        <f>DbLinkTable[[#This Row],[Credit]]+DbLinkTable[[#This Row],[Charge]]</f>
        <v>0</v>
      </c>
      <c r="T504" s="79">
        <f>IF(DbLinkTable[[#This Row],[Price/lb]]*DbLinkTable[[#This Row],[Weight]]&gt;0,DbLinkTable[[#This Row],[Price/lb]]*DbLinkTable[[#This Row],[Weight]],0)</f>
        <v>0</v>
      </c>
      <c r="U504" s="79">
        <f>IF(DbLinkTable[[#This Row],[Price/lb]]*DbLinkTable[[#This Row],[Weight]]&lt;0,DbLinkTable[[#This Row],[Price/lb]]*DbLinkTable[[#This Row],[Weight]],0)</f>
        <v>0</v>
      </c>
      <c r="V504" s="4" t="str">
        <f>IF(COUNTIF($W$2:W504,W504)=1,1,"")</f>
        <v/>
      </c>
      <c r="W504" s="4" t="str">
        <f>CONCATENATE(DbLinkTable[[#This Row],[Customer]],UPPER(DbLinkTable[[#This Row],[Trailer Number]]),DbLinkTable[[#This Row],[Day Received]])</f>
        <v>Company14KLFU107703-542154</v>
      </c>
      <c r="X504" s="4">
        <f>DATEVALUE(TEXT(DbLinkTable[[#This Row],[Date Received]],"MMMM YYYY"))</f>
        <v>42125</v>
      </c>
      <c r="Y504" s="4">
        <f>INT(DbLinkTable[[#This Row],[Date Received]])</f>
        <v>42154</v>
      </c>
    </row>
    <row r="505" spans="1:25">
      <c r="A505">
        <v>11775</v>
      </c>
      <c r="B505" t="s">
        <v>1523</v>
      </c>
      <c r="D505">
        <v>300</v>
      </c>
      <c r="E505" t="s">
        <v>1501</v>
      </c>
      <c r="F505" s="4">
        <v>42154</v>
      </c>
      <c r="G505" s="4" t="s">
        <v>192</v>
      </c>
      <c r="H505" s="4" t="s">
        <v>1557</v>
      </c>
      <c r="I505" s="4">
        <v>0</v>
      </c>
      <c r="J505" s="4"/>
      <c r="K505" s="4"/>
      <c r="L505" s="4"/>
      <c r="M505" s="4"/>
      <c r="N505" s="4"/>
      <c r="O505" s="4">
        <v>0</v>
      </c>
      <c r="P505" s="4">
        <v>42160.574432870373</v>
      </c>
      <c r="Q505" s="4"/>
      <c r="R505" s="4"/>
      <c r="S505" s="79">
        <f>DbLinkTable[[#This Row],[Credit]]+DbLinkTable[[#This Row],[Charge]]</f>
        <v>0</v>
      </c>
      <c r="T505" s="79">
        <f>IF(DbLinkTable[[#This Row],[Price/lb]]*DbLinkTable[[#This Row],[Weight]]&gt;0,DbLinkTable[[#This Row],[Price/lb]]*DbLinkTable[[#This Row],[Weight]],0)</f>
        <v>0</v>
      </c>
      <c r="U505" s="79">
        <f>IF(DbLinkTable[[#This Row],[Price/lb]]*DbLinkTable[[#This Row],[Weight]]&lt;0,DbLinkTable[[#This Row],[Price/lb]]*DbLinkTable[[#This Row],[Weight]],0)</f>
        <v>0</v>
      </c>
      <c r="V505" s="4" t="str">
        <f>IF(COUNTIF($W$2:W505,W505)=1,1,"")</f>
        <v/>
      </c>
      <c r="W505" s="4" t="str">
        <f>CONCATENATE(DbLinkTable[[#This Row],[Customer]],UPPER(DbLinkTable[[#This Row],[Trailer Number]]),DbLinkTable[[#This Row],[Day Received]])</f>
        <v>Company14KLFU107703-542154</v>
      </c>
      <c r="X505" s="4">
        <f>DATEVALUE(TEXT(DbLinkTable[[#This Row],[Date Received]],"MMMM YYYY"))</f>
        <v>42125</v>
      </c>
      <c r="Y505" s="4">
        <f>INT(DbLinkTable[[#This Row],[Date Received]])</f>
        <v>42154</v>
      </c>
    </row>
    <row r="506" spans="1:25">
      <c r="A506">
        <v>11778</v>
      </c>
      <c r="B506" t="s">
        <v>46</v>
      </c>
      <c r="D506">
        <v>1100</v>
      </c>
      <c r="E506" t="s">
        <v>1501</v>
      </c>
      <c r="F506" s="4">
        <v>42154</v>
      </c>
      <c r="G506" s="4" t="s">
        <v>192</v>
      </c>
      <c r="H506" s="4" t="s">
        <v>1557</v>
      </c>
      <c r="I506" s="4">
        <v>0</v>
      </c>
      <c r="J506" s="4"/>
      <c r="K506" s="4"/>
      <c r="L506" s="4"/>
      <c r="M506" s="4"/>
      <c r="N506" s="4"/>
      <c r="O506" s="4">
        <v>0</v>
      </c>
      <c r="P506" s="4">
        <v>42160.582592592589</v>
      </c>
      <c r="Q506" s="4"/>
      <c r="R506" s="4"/>
      <c r="S506" s="79">
        <f>DbLinkTable[[#This Row],[Credit]]+DbLinkTable[[#This Row],[Charge]]</f>
        <v>0</v>
      </c>
      <c r="T506" s="79">
        <f>IF(DbLinkTable[[#This Row],[Price/lb]]*DbLinkTable[[#This Row],[Weight]]&gt;0,DbLinkTable[[#This Row],[Price/lb]]*DbLinkTable[[#This Row],[Weight]],0)</f>
        <v>0</v>
      </c>
      <c r="U506" s="79">
        <f>IF(DbLinkTable[[#This Row],[Price/lb]]*DbLinkTable[[#This Row],[Weight]]&lt;0,DbLinkTable[[#This Row],[Price/lb]]*DbLinkTable[[#This Row],[Weight]],0)</f>
        <v>0</v>
      </c>
      <c r="V506" s="4" t="str">
        <f>IF(COUNTIF($W$2:W506,W506)=1,1,"")</f>
        <v/>
      </c>
      <c r="W506" s="4" t="str">
        <f>CONCATENATE(DbLinkTable[[#This Row],[Customer]],UPPER(DbLinkTable[[#This Row],[Trailer Number]]),DbLinkTable[[#This Row],[Day Received]])</f>
        <v>Company14KLFU107703-542154</v>
      </c>
      <c r="X506" s="4">
        <f>DATEVALUE(TEXT(DbLinkTable[[#This Row],[Date Received]],"MMMM YYYY"))</f>
        <v>42125</v>
      </c>
      <c r="Y506" s="4">
        <f>INT(DbLinkTable[[#This Row],[Date Received]])</f>
        <v>42154</v>
      </c>
    </row>
    <row r="507" spans="1:25">
      <c r="A507">
        <v>11779</v>
      </c>
      <c r="B507" t="s">
        <v>66</v>
      </c>
      <c r="D507">
        <v>150</v>
      </c>
      <c r="E507" t="s">
        <v>1501</v>
      </c>
      <c r="F507" s="4">
        <v>42154</v>
      </c>
      <c r="G507" s="4" t="s">
        <v>192</v>
      </c>
      <c r="H507" s="4" t="s">
        <v>1557</v>
      </c>
      <c r="I507" s="4">
        <v>0</v>
      </c>
      <c r="J507" s="4"/>
      <c r="K507" s="4"/>
      <c r="L507" s="4"/>
      <c r="M507" s="4"/>
      <c r="N507" s="4"/>
      <c r="O507" s="4">
        <v>0</v>
      </c>
      <c r="P507" s="4">
        <v>42160.589687500003</v>
      </c>
      <c r="Q507" s="4"/>
      <c r="R507" s="4"/>
      <c r="S507" s="79">
        <f>DbLinkTable[[#This Row],[Credit]]+DbLinkTable[[#This Row],[Charge]]</f>
        <v>0</v>
      </c>
      <c r="T507" s="79">
        <f>IF(DbLinkTable[[#This Row],[Price/lb]]*DbLinkTable[[#This Row],[Weight]]&gt;0,DbLinkTable[[#This Row],[Price/lb]]*DbLinkTable[[#This Row],[Weight]],0)</f>
        <v>0</v>
      </c>
      <c r="U507" s="79">
        <f>IF(DbLinkTable[[#This Row],[Price/lb]]*DbLinkTable[[#This Row],[Weight]]&lt;0,DbLinkTable[[#This Row],[Price/lb]]*DbLinkTable[[#This Row],[Weight]],0)</f>
        <v>0</v>
      </c>
      <c r="V507" s="4" t="str">
        <f>IF(COUNTIF($W$2:W507,W507)=1,1,"")</f>
        <v/>
      </c>
      <c r="W507" s="4" t="str">
        <f>CONCATENATE(DbLinkTable[[#This Row],[Customer]],UPPER(DbLinkTable[[#This Row],[Trailer Number]]),DbLinkTable[[#This Row],[Day Received]])</f>
        <v>Company14KLFU107703-542154</v>
      </c>
      <c r="X507" s="4">
        <f>DATEVALUE(TEXT(DbLinkTable[[#This Row],[Date Received]],"MMMM YYYY"))</f>
        <v>42125</v>
      </c>
      <c r="Y507" s="4">
        <f>INT(DbLinkTable[[#This Row],[Date Received]])</f>
        <v>42154</v>
      </c>
    </row>
    <row r="508" spans="1:25">
      <c r="A508">
        <v>11780</v>
      </c>
      <c r="B508" t="s">
        <v>46</v>
      </c>
      <c r="D508">
        <v>180</v>
      </c>
      <c r="E508" t="s">
        <v>1501</v>
      </c>
      <c r="F508" s="4">
        <v>42154</v>
      </c>
      <c r="G508" s="4" t="s">
        <v>192</v>
      </c>
      <c r="H508" s="4" t="s">
        <v>1557</v>
      </c>
      <c r="I508" s="4">
        <v>0</v>
      </c>
      <c r="J508" s="4"/>
      <c r="K508" s="4"/>
      <c r="L508" s="4"/>
      <c r="M508" s="4"/>
      <c r="N508" s="4"/>
      <c r="O508" s="4">
        <v>0</v>
      </c>
      <c r="P508" s="4">
        <v>42160.589826388888</v>
      </c>
      <c r="Q508" s="4"/>
      <c r="R508" s="4"/>
      <c r="S508" s="79">
        <f>DbLinkTable[[#This Row],[Credit]]+DbLinkTable[[#This Row],[Charge]]</f>
        <v>0</v>
      </c>
      <c r="T508" s="79">
        <f>IF(DbLinkTable[[#This Row],[Price/lb]]*DbLinkTable[[#This Row],[Weight]]&gt;0,DbLinkTable[[#This Row],[Price/lb]]*DbLinkTable[[#This Row],[Weight]],0)</f>
        <v>0</v>
      </c>
      <c r="U508" s="79">
        <f>IF(DbLinkTable[[#This Row],[Price/lb]]*DbLinkTable[[#This Row],[Weight]]&lt;0,DbLinkTable[[#This Row],[Price/lb]]*DbLinkTable[[#This Row],[Weight]],0)</f>
        <v>0</v>
      </c>
      <c r="V508" s="4" t="str">
        <f>IF(COUNTIF($W$2:W508,W508)=1,1,"")</f>
        <v/>
      </c>
      <c r="W508" s="4" t="str">
        <f>CONCATENATE(DbLinkTable[[#This Row],[Customer]],UPPER(DbLinkTable[[#This Row],[Trailer Number]]),DbLinkTable[[#This Row],[Day Received]])</f>
        <v>Company14KLFU107703-542154</v>
      </c>
      <c r="X508" s="4">
        <f>DATEVALUE(TEXT(DbLinkTable[[#This Row],[Date Received]],"MMMM YYYY"))</f>
        <v>42125</v>
      </c>
      <c r="Y508" s="4">
        <f>INT(DbLinkTable[[#This Row],[Date Received]])</f>
        <v>42154</v>
      </c>
    </row>
    <row r="509" spans="1:25">
      <c r="A509">
        <v>11782</v>
      </c>
      <c r="B509" t="s">
        <v>43</v>
      </c>
      <c r="D509">
        <v>550</v>
      </c>
      <c r="E509" t="s">
        <v>1501</v>
      </c>
      <c r="F509" s="4">
        <v>42154.604131944441</v>
      </c>
      <c r="G509" s="4" t="s">
        <v>192</v>
      </c>
      <c r="H509" s="4" t="s">
        <v>1557</v>
      </c>
      <c r="I509" s="4">
        <v>0</v>
      </c>
      <c r="J509" s="4"/>
      <c r="K509" s="4"/>
      <c r="L509" s="4"/>
      <c r="M509" s="4"/>
      <c r="N509" s="4"/>
      <c r="O509" s="4">
        <v>0</v>
      </c>
      <c r="P509" s="4">
        <v>42160.604131944441</v>
      </c>
      <c r="Q509" s="4"/>
      <c r="R509" s="4"/>
      <c r="S509" s="79">
        <f>DbLinkTable[[#This Row],[Credit]]+DbLinkTable[[#This Row],[Charge]]</f>
        <v>0</v>
      </c>
      <c r="T509" s="79">
        <f>IF(DbLinkTable[[#This Row],[Price/lb]]*DbLinkTable[[#This Row],[Weight]]&gt;0,DbLinkTable[[#This Row],[Price/lb]]*DbLinkTable[[#This Row],[Weight]],0)</f>
        <v>0</v>
      </c>
      <c r="U509" s="79">
        <f>IF(DbLinkTable[[#This Row],[Price/lb]]*DbLinkTable[[#This Row],[Weight]]&lt;0,DbLinkTable[[#This Row],[Price/lb]]*DbLinkTable[[#This Row],[Weight]],0)</f>
        <v>0</v>
      </c>
      <c r="V509" s="4" t="str">
        <f>IF(COUNTIF($W$2:W509,W509)=1,1,"")</f>
        <v/>
      </c>
      <c r="W509" s="4" t="str">
        <f>CONCATENATE(DbLinkTable[[#This Row],[Customer]],UPPER(DbLinkTable[[#This Row],[Trailer Number]]),DbLinkTable[[#This Row],[Day Received]])</f>
        <v>Company14KLFU107703-542154</v>
      </c>
      <c r="X509" s="4">
        <f>DATEVALUE(TEXT(DbLinkTable[[#This Row],[Date Received]],"MMMM YYYY"))</f>
        <v>42125</v>
      </c>
      <c r="Y509" s="4">
        <f>INT(DbLinkTable[[#This Row],[Date Received]])</f>
        <v>42154</v>
      </c>
    </row>
    <row r="510" spans="1:25">
      <c r="A510">
        <v>11783</v>
      </c>
      <c r="B510" t="s">
        <v>43</v>
      </c>
      <c r="D510">
        <v>420</v>
      </c>
      <c r="E510" t="s">
        <v>1501</v>
      </c>
      <c r="F510" s="4">
        <v>42154.606817129628</v>
      </c>
      <c r="G510" s="4" t="s">
        <v>192</v>
      </c>
      <c r="H510" s="4" t="s">
        <v>1557</v>
      </c>
      <c r="I510" s="4">
        <v>0</v>
      </c>
      <c r="J510" s="4"/>
      <c r="K510" s="4"/>
      <c r="L510" s="4"/>
      <c r="M510" s="4"/>
      <c r="N510" s="4"/>
      <c r="O510" s="4">
        <v>0</v>
      </c>
      <c r="P510" s="4">
        <v>42160.606817129628</v>
      </c>
      <c r="Q510" s="4"/>
      <c r="R510" s="4"/>
      <c r="S510" s="79">
        <f>DbLinkTable[[#This Row],[Credit]]+DbLinkTable[[#This Row],[Charge]]</f>
        <v>0</v>
      </c>
      <c r="T510" s="79">
        <f>IF(DbLinkTable[[#This Row],[Price/lb]]*DbLinkTable[[#This Row],[Weight]]&gt;0,DbLinkTable[[#This Row],[Price/lb]]*DbLinkTable[[#This Row],[Weight]],0)</f>
        <v>0</v>
      </c>
      <c r="U510" s="79">
        <f>IF(DbLinkTable[[#This Row],[Price/lb]]*DbLinkTable[[#This Row],[Weight]]&lt;0,DbLinkTable[[#This Row],[Price/lb]]*DbLinkTable[[#This Row],[Weight]],0)</f>
        <v>0</v>
      </c>
      <c r="V510" s="4" t="str">
        <f>IF(COUNTIF($W$2:W510,W510)=1,1,"")</f>
        <v/>
      </c>
      <c r="W510" s="4" t="str">
        <f>CONCATENATE(DbLinkTable[[#This Row],[Customer]],UPPER(DbLinkTable[[#This Row],[Trailer Number]]),DbLinkTable[[#This Row],[Day Received]])</f>
        <v>Company14KLFU107703-542154</v>
      </c>
      <c r="X510" s="4">
        <f>DATEVALUE(TEXT(DbLinkTable[[#This Row],[Date Received]],"MMMM YYYY"))</f>
        <v>42125</v>
      </c>
      <c r="Y510" s="4">
        <f>INT(DbLinkTable[[#This Row],[Date Received]])</f>
        <v>42154</v>
      </c>
    </row>
    <row r="511" spans="1:25">
      <c r="A511">
        <v>11825</v>
      </c>
      <c r="B511" t="s">
        <v>1508</v>
      </c>
      <c r="D511">
        <v>0</v>
      </c>
      <c r="E511" t="s">
        <v>1504</v>
      </c>
      <c r="F511" s="4">
        <v>42166.601030092592</v>
      </c>
      <c r="G511" s="4" t="s">
        <v>192</v>
      </c>
      <c r="H511" s="4"/>
      <c r="I511" s="4">
        <v>0</v>
      </c>
      <c r="J511" s="4"/>
      <c r="K511" s="4"/>
      <c r="L511" s="4"/>
      <c r="M511" s="4"/>
      <c r="N511" s="4"/>
      <c r="O511" s="4">
        <v>0</v>
      </c>
      <c r="P511" s="4">
        <v>42166.601030092592</v>
      </c>
      <c r="Q511" s="4"/>
      <c r="R511" s="4"/>
      <c r="S511" s="79">
        <f>DbLinkTable[[#This Row],[Credit]]+DbLinkTable[[#This Row],[Charge]]</f>
        <v>0</v>
      </c>
      <c r="T511" s="79">
        <f>IF(DbLinkTable[[#This Row],[Price/lb]]*DbLinkTable[[#This Row],[Weight]]&gt;0,DbLinkTable[[#This Row],[Price/lb]]*DbLinkTable[[#This Row],[Weight]],0)</f>
        <v>0</v>
      </c>
      <c r="U511" s="79">
        <f>IF(DbLinkTable[[#This Row],[Price/lb]]*DbLinkTable[[#This Row],[Weight]]&lt;0,DbLinkTable[[#This Row],[Price/lb]]*DbLinkTable[[#This Row],[Weight]],0)</f>
        <v>0</v>
      </c>
      <c r="V511" s="4">
        <f>IF(COUNTIF($W$2:W511,W511)=1,1,"")</f>
        <v>1</v>
      </c>
      <c r="W511" s="4" t="str">
        <f>CONCATENATE(DbLinkTable[[#This Row],[Customer]],UPPER(DbLinkTable[[#This Row],[Trailer Number]]),DbLinkTable[[#This Row],[Day Received]])</f>
        <v>Company1442166</v>
      </c>
      <c r="X511" s="4">
        <f>DATEVALUE(TEXT(DbLinkTable[[#This Row],[Date Received]],"MMMM YYYY"))</f>
        <v>42156</v>
      </c>
      <c r="Y511" s="4">
        <f>INT(DbLinkTable[[#This Row],[Date Received]])</f>
        <v>42166</v>
      </c>
    </row>
    <row r="512" spans="1:25">
      <c r="A512">
        <v>11831</v>
      </c>
      <c r="B512" t="s">
        <v>43</v>
      </c>
      <c r="D512">
        <v>140</v>
      </c>
      <c r="E512" t="s">
        <v>1504</v>
      </c>
      <c r="F512" s="4">
        <v>42164</v>
      </c>
      <c r="G512" s="4" t="s">
        <v>192</v>
      </c>
      <c r="H512" s="4"/>
      <c r="I512" s="4">
        <v>0</v>
      </c>
      <c r="J512" s="4"/>
      <c r="K512" s="4"/>
      <c r="L512" s="4"/>
      <c r="M512" s="4"/>
      <c r="N512" s="4"/>
      <c r="O512" s="4">
        <v>0</v>
      </c>
      <c r="P512" s="4">
        <v>42167.425520833334</v>
      </c>
      <c r="Q512" s="4"/>
      <c r="R512" s="4"/>
      <c r="S512" s="79">
        <f>DbLinkTable[[#This Row],[Credit]]+DbLinkTable[[#This Row],[Charge]]</f>
        <v>0</v>
      </c>
      <c r="T512" s="79">
        <f>IF(DbLinkTable[[#This Row],[Price/lb]]*DbLinkTable[[#This Row],[Weight]]&gt;0,DbLinkTable[[#This Row],[Price/lb]]*DbLinkTable[[#This Row],[Weight]],0)</f>
        <v>0</v>
      </c>
      <c r="U512" s="79">
        <f>IF(DbLinkTable[[#This Row],[Price/lb]]*DbLinkTable[[#This Row],[Weight]]&lt;0,DbLinkTable[[#This Row],[Price/lb]]*DbLinkTable[[#This Row],[Weight]],0)</f>
        <v>0</v>
      </c>
      <c r="V512" s="4">
        <f>IF(COUNTIF($W$2:W512,W512)=1,1,"")</f>
        <v>1</v>
      </c>
      <c r="W512" s="4" t="str">
        <f>CONCATENATE(DbLinkTable[[#This Row],[Customer]],UPPER(DbLinkTable[[#This Row],[Trailer Number]]),DbLinkTable[[#This Row],[Day Received]])</f>
        <v>Company1442164</v>
      </c>
      <c r="X512" s="4">
        <f>DATEVALUE(TEXT(DbLinkTable[[#This Row],[Date Received]],"MMMM YYYY"))</f>
        <v>42156</v>
      </c>
      <c r="Y512" s="4">
        <f>INT(DbLinkTable[[#This Row],[Date Received]])</f>
        <v>42164</v>
      </c>
    </row>
    <row r="513" spans="1:25">
      <c r="A513">
        <v>11832</v>
      </c>
      <c r="B513" t="s">
        <v>43</v>
      </c>
      <c r="D513">
        <v>200</v>
      </c>
      <c r="E513" t="s">
        <v>1504</v>
      </c>
      <c r="F513" s="4">
        <v>42164</v>
      </c>
      <c r="G513" s="4" t="s">
        <v>192</v>
      </c>
      <c r="H513" s="4"/>
      <c r="I513" s="4">
        <v>0</v>
      </c>
      <c r="J513" s="4"/>
      <c r="K513" s="4"/>
      <c r="L513" s="4"/>
      <c r="M513" s="4"/>
      <c r="N513" s="4"/>
      <c r="O513" s="4">
        <v>0</v>
      </c>
      <c r="P513" s="4">
        <v>42167.425543981481</v>
      </c>
      <c r="Q513" s="4"/>
      <c r="R513" s="4"/>
      <c r="S513" s="79">
        <f>DbLinkTable[[#This Row],[Credit]]+DbLinkTable[[#This Row],[Charge]]</f>
        <v>0</v>
      </c>
      <c r="T513" s="79">
        <f>IF(DbLinkTable[[#This Row],[Price/lb]]*DbLinkTable[[#This Row],[Weight]]&gt;0,DbLinkTable[[#This Row],[Price/lb]]*DbLinkTable[[#This Row],[Weight]],0)</f>
        <v>0</v>
      </c>
      <c r="U513" s="79">
        <f>IF(DbLinkTable[[#This Row],[Price/lb]]*DbLinkTable[[#This Row],[Weight]]&lt;0,DbLinkTable[[#This Row],[Price/lb]]*DbLinkTable[[#This Row],[Weight]],0)</f>
        <v>0</v>
      </c>
      <c r="V513" s="4" t="str">
        <f>IF(COUNTIF($W$2:W513,W513)=1,1,"")</f>
        <v/>
      </c>
      <c r="W513" s="4" t="str">
        <f>CONCATENATE(DbLinkTable[[#This Row],[Customer]],UPPER(DbLinkTable[[#This Row],[Trailer Number]]),DbLinkTable[[#This Row],[Day Received]])</f>
        <v>Company1442164</v>
      </c>
      <c r="X513" s="4">
        <f>DATEVALUE(TEXT(DbLinkTable[[#This Row],[Date Received]],"MMMM YYYY"))</f>
        <v>42156</v>
      </c>
      <c r="Y513" s="4">
        <f>INT(DbLinkTable[[#This Row],[Date Received]])</f>
        <v>42164</v>
      </c>
    </row>
    <row r="514" spans="1:25">
      <c r="A514">
        <v>11833</v>
      </c>
      <c r="B514" t="s">
        <v>43</v>
      </c>
      <c r="D514">
        <v>375</v>
      </c>
      <c r="E514" t="s">
        <v>1504</v>
      </c>
      <c r="F514" s="4">
        <v>42164</v>
      </c>
      <c r="G514" s="4" t="s">
        <v>192</v>
      </c>
      <c r="H514" s="4"/>
      <c r="I514" s="4">
        <v>0</v>
      </c>
      <c r="J514" s="4"/>
      <c r="K514" s="4"/>
      <c r="L514" s="4"/>
      <c r="M514" s="4"/>
      <c r="N514" s="4"/>
      <c r="O514" s="4">
        <v>0</v>
      </c>
      <c r="P514" s="4">
        <v>42167.425567129627</v>
      </c>
      <c r="Q514" s="4"/>
      <c r="R514" s="4"/>
      <c r="S514" s="79">
        <f>DbLinkTable[[#This Row],[Credit]]+DbLinkTable[[#This Row],[Charge]]</f>
        <v>0</v>
      </c>
      <c r="T514" s="79">
        <f>IF(DbLinkTable[[#This Row],[Price/lb]]*DbLinkTable[[#This Row],[Weight]]&gt;0,DbLinkTable[[#This Row],[Price/lb]]*DbLinkTable[[#This Row],[Weight]],0)</f>
        <v>0</v>
      </c>
      <c r="U514" s="79">
        <f>IF(DbLinkTable[[#This Row],[Price/lb]]*DbLinkTable[[#This Row],[Weight]]&lt;0,DbLinkTable[[#This Row],[Price/lb]]*DbLinkTable[[#This Row],[Weight]],0)</f>
        <v>0</v>
      </c>
      <c r="V514" s="4" t="str">
        <f>IF(COUNTIF($W$2:W514,W514)=1,1,"")</f>
        <v/>
      </c>
      <c r="W514" s="4" t="str">
        <f>CONCATENATE(DbLinkTable[[#This Row],[Customer]],UPPER(DbLinkTable[[#This Row],[Trailer Number]]),DbLinkTable[[#This Row],[Day Received]])</f>
        <v>Company1442164</v>
      </c>
      <c r="X514" s="4">
        <f>DATEVALUE(TEXT(DbLinkTable[[#This Row],[Date Received]],"MMMM YYYY"))</f>
        <v>42156</v>
      </c>
      <c r="Y514" s="4">
        <f>INT(DbLinkTable[[#This Row],[Date Received]])</f>
        <v>42164</v>
      </c>
    </row>
    <row r="515" spans="1:25">
      <c r="A515">
        <v>11834</v>
      </c>
      <c r="B515" t="s">
        <v>43</v>
      </c>
      <c r="D515">
        <v>600</v>
      </c>
      <c r="E515" t="s">
        <v>1504</v>
      </c>
      <c r="F515" s="4">
        <v>42164</v>
      </c>
      <c r="G515" s="4" t="s">
        <v>192</v>
      </c>
      <c r="H515" s="4"/>
      <c r="I515" s="4">
        <v>0</v>
      </c>
      <c r="J515" s="4"/>
      <c r="K515" s="4"/>
      <c r="L515" s="4"/>
      <c r="M515" s="4"/>
      <c r="N515" s="4"/>
      <c r="O515" s="4">
        <v>0</v>
      </c>
      <c r="P515" s="4">
        <v>42167.425613425927</v>
      </c>
      <c r="Q515" s="4"/>
      <c r="R515" s="4"/>
      <c r="S515" s="79">
        <f>DbLinkTable[[#This Row],[Credit]]+DbLinkTable[[#This Row],[Charge]]</f>
        <v>0</v>
      </c>
      <c r="T515" s="79">
        <f>IF(DbLinkTable[[#This Row],[Price/lb]]*DbLinkTable[[#This Row],[Weight]]&gt;0,DbLinkTable[[#This Row],[Price/lb]]*DbLinkTable[[#This Row],[Weight]],0)</f>
        <v>0</v>
      </c>
      <c r="U515" s="79">
        <f>IF(DbLinkTable[[#This Row],[Price/lb]]*DbLinkTable[[#This Row],[Weight]]&lt;0,DbLinkTable[[#This Row],[Price/lb]]*DbLinkTable[[#This Row],[Weight]],0)</f>
        <v>0</v>
      </c>
      <c r="V515" s="4" t="str">
        <f>IF(COUNTIF($W$2:W515,W515)=1,1,"")</f>
        <v/>
      </c>
      <c r="W515" s="4" t="str">
        <f>CONCATENATE(DbLinkTable[[#This Row],[Customer]],UPPER(DbLinkTable[[#This Row],[Trailer Number]]),DbLinkTable[[#This Row],[Day Received]])</f>
        <v>Company1442164</v>
      </c>
      <c r="X515" s="4">
        <f>DATEVALUE(TEXT(DbLinkTable[[#This Row],[Date Received]],"MMMM YYYY"))</f>
        <v>42156</v>
      </c>
      <c r="Y515" s="4">
        <f>INT(DbLinkTable[[#This Row],[Date Received]])</f>
        <v>42164</v>
      </c>
    </row>
    <row r="516" spans="1:25">
      <c r="A516">
        <v>11835</v>
      </c>
      <c r="B516" t="s">
        <v>43</v>
      </c>
      <c r="D516">
        <v>275</v>
      </c>
      <c r="E516" t="s">
        <v>1504</v>
      </c>
      <c r="F516" s="4">
        <v>42164</v>
      </c>
      <c r="G516" s="4" t="s">
        <v>192</v>
      </c>
      <c r="H516" s="4"/>
      <c r="I516" s="4">
        <v>0</v>
      </c>
      <c r="J516" s="4"/>
      <c r="K516" s="4"/>
      <c r="L516" s="4"/>
      <c r="M516" s="4"/>
      <c r="N516" s="4"/>
      <c r="O516" s="4">
        <v>0</v>
      </c>
      <c r="P516" s="4">
        <v>42167.425636574073</v>
      </c>
      <c r="Q516" s="4"/>
      <c r="R516" s="4"/>
      <c r="S516" s="79">
        <f>DbLinkTable[[#This Row],[Credit]]+DbLinkTable[[#This Row],[Charge]]</f>
        <v>0</v>
      </c>
      <c r="T516" s="79">
        <f>IF(DbLinkTable[[#This Row],[Price/lb]]*DbLinkTable[[#This Row],[Weight]]&gt;0,DbLinkTable[[#This Row],[Price/lb]]*DbLinkTable[[#This Row],[Weight]],0)</f>
        <v>0</v>
      </c>
      <c r="U516" s="79">
        <f>IF(DbLinkTable[[#This Row],[Price/lb]]*DbLinkTable[[#This Row],[Weight]]&lt;0,DbLinkTable[[#This Row],[Price/lb]]*DbLinkTable[[#This Row],[Weight]],0)</f>
        <v>0</v>
      </c>
      <c r="V516" s="4" t="str">
        <f>IF(COUNTIF($W$2:W516,W516)=1,1,"")</f>
        <v/>
      </c>
      <c r="W516" s="4" t="str">
        <f>CONCATENATE(DbLinkTable[[#This Row],[Customer]],UPPER(DbLinkTable[[#This Row],[Trailer Number]]),DbLinkTable[[#This Row],[Day Received]])</f>
        <v>Company1442164</v>
      </c>
      <c r="X516" s="4">
        <f>DATEVALUE(TEXT(DbLinkTable[[#This Row],[Date Received]],"MMMM YYYY"))</f>
        <v>42156</v>
      </c>
      <c r="Y516" s="4">
        <f>INT(DbLinkTable[[#This Row],[Date Received]])</f>
        <v>42164</v>
      </c>
    </row>
    <row r="517" spans="1:25">
      <c r="A517">
        <v>11836</v>
      </c>
      <c r="B517" t="s">
        <v>43</v>
      </c>
      <c r="D517">
        <v>600</v>
      </c>
      <c r="E517" t="s">
        <v>1504</v>
      </c>
      <c r="F517" s="4">
        <v>42164</v>
      </c>
      <c r="G517" s="4" t="s">
        <v>192</v>
      </c>
      <c r="H517" s="4"/>
      <c r="I517" s="4">
        <v>0</v>
      </c>
      <c r="J517" s="4"/>
      <c r="K517" s="4"/>
      <c r="L517" s="4"/>
      <c r="M517" s="4"/>
      <c r="N517" s="4"/>
      <c r="O517" s="4">
        <v>0</v>
      </c>
      <c r="P517" s="4">
        <v>42167.425671296296</v>
      </c>
      <c r="Q517" s="4"/>
      <c r="R517" s="4"/>
      <c r="S517" s="79">
        <f>DbLinkTable[[#This Row],[Credit]]+DbLinkTable[[#This Row],[Charge]]</f>
        <v>0</v>
      </c>
      <c r="T517" s="79">
        <f>IF(DbLinkTable[[#This Row],[Price/lb]]*DbLinkTable[[#This Row],[Weight]]&gt;0,DbLinkTable[[#This Row],[Price/lb]]*DbLinkTable[[#This Row],[Weight]],0)</f>
        <v>0</v>
      </c>
      <c r="U517" s="79">
        <f>IF(DbLinkTable[[#This Row],[Price/lb]]*DbLinkTable[[#This Row],[Weight]]&lt;0,DbLinkTable[[#This Row],[Price/lb]]*DbLinkTable[[#This Row],[Weight]],0)</f>
        <v>0</v>
      </c>
      <c r="V517" s="4" t="str">
        <f>IF(COUNTIF($W$2:W517,W517)=1,1,"")</f>
        <v/>
      </c>
      <c r="W517" s="4" t="str">
        <f>CONCATENATE(DbLinkTable[[#This Row],[Customer]],UPPER(DbLinkTable[[#This Row],[Trailer Number]]),DbLinkTable[[#This Row],[Day Received]])</f>
        <v>Company1442164</v>
      </c>
      <c r="X517" s="4">
        <f>DATEVALUE(TEXT(DbLinkTable[[#This Row],[Date Received]],"MMMM YYYY"))</f>
        <v>42156</v>
      </c>
      <c r="Y517" s="4">
        <f>INT(DbLinkTable[[#This Row],[Date Received]])</f>
        <v>42164</v>
      </c>
    </row>
    <row r="518" spans="1:25">
      <c r="A518">
        <v>11837</v>
      </c>
      <c r="B518" t="s">
        <v>1508</v>
      </c>
      <c r="C518" t="s">
        <v>1558</v>
      </c>
      <c r="D518">
        <v>175</v>
      </c>
      <c r="E518" t="s">
        <v>1504</v>
      </c>
      <c r="F518" s="4">
        <v>42164</v>
      </c>
      <c r="G518" s="4" t="s">
        <v>192</v>
      </c>
      <c r="H518" s="4"/>
      <c r="I518" s="4">
        <v>0</v>
      </c>
      <c r="J518" s="4"/>
      <c r="K518" s="4"/>
      <c r="L518" s="4"/>
      <c r="M518" s="4"/>
      <c r="N518" s="4"/>
      <c r="O518" s="4">
        <v>0</v>
      </c>
      <c r="P518" s="4">
        <v>42167.42597222222</v>
      </c>
      <c r="Q518" s="4"/>
      <c r="R518" s="4"/>
      <c r="S518" s="79">
        <f>DbLinkTable[[#This Row],[Credit]]+DbLinkTable[[#This Row],[Charge]]</f>
        <v>0</v>
      </c>
      <c r="T518" s="79">
        <f>IF(DbLinkTable[[#This Row],[Price/lb]]*DbLinkTable[[#This Row],[Weight]]&gt;0,DbLinkTable[[#This Row],[Price/lb]]*DbLinkTable[[#This Row],[Weight]],0)</f>
        <v>0</v>
      </c>
      <c r="U518" s="79">
        <f>IF(DbLinkTable[[#This Row],[Price/lb]]*DbLinkTable[[#This Row],[Weight]]&lt;0,DbLinkTable[[#This Row],[Price/lb]]*DbLinkTable[[#This Row],[Weight]],0)</f>
        <v>0</v>
      </c>
      <c r="V518" s="4" t="str">
        <f>IF(COUNTIF($W$2:W518,W518)=1,1,"")</f>
        <v/>
      </c>
      <c r="W518" s="4" t="str">
        <f>CONCATENATE(DbLinkTable[[#This Row],[Customer]],UPPER(DbLinkTable[[#This Row],[Trailer Number]]),DbLinkTable[[#This Row],[Day Received]])</f>
        <v>Company1442164</v>
      </c>
      <c r="X518" s="4">
        <f>DATEVALUE(TEXT(DbLinkTable[[#This Row],[Date Received]],"MMMM YYYY"))</f>
        <v>42156</v>
      </c>
      <c r="Y518" s="4">
        <f>INT(DbLinkTable[[#This Row],[Date Received]])</f>
        <v>42164</v>
      </c>
    </row>
    <row r="519" spans="1:25">
      <c r="A519">
        <v>11838</v>
      </c>
      <c r="B519" t="s">
        <v>46</v>
      </c>
      <c r="D519">
        <v>200</v>
      </c>
      <c r="E519" t="s">
        <v>1504</v>
      </c>
      <c r="F519" s="4">
        <v>42164</v>
      </c>
      <c r="G519" s="4" t="s">
        <v>192</v>
      </c>
      <c r="H519" s="4"/>
      <c r="I519" s="4">
        <v>0</v>
      </c>
      <c r="J519" s="4"/>
      <c r="K519" s="4"/>
      <c r="L519" s="4"/>
      <c r="M519" s="4"/>
      <c r="N519" s="4"/>
      <c r="O519" s="4">
        <v>0</v>
      </c>
      <c r="P519" s="4">
        <v>42167.426168981481</v>
      </c>
      <c r="Q519" s="4"/>
      <c r="R519" s="4"/>
      <c r="S519" s="79">
        <f>DbLinkTable[[#This Row],[Credit]]+DbLinkTable[[#This Row],[Charge]]</f>
        <v>0</v>
      </c>
      <c r="T519" s="79">
        <f>IF(DbLinkTable[[#This Row],[Price/lb]]*DbLinkTable[[#This Row],[Weight]]&gt;0,DbLinkTable[[#This Row],[Price/lb]]*DbLinkTable[[#This Row],[Weight]],0)</f>
        <v>0</v>
      </c>
      <c r="U519" s="79">
        <f>IF(DbLinkTable[[#This Row],[Price/lb]]*DbLinkTable[[#This Row],[Weight]]&lt;0,DbLinkTable[[#This Row],[Price/lb]]*DbLinkTable[[#This Row],[Weight]],0)</f>
        <v>0</v>
      </c>
      <c r="V519" s="4" t="str">
        <f>IF(COUNTIF($W$2:W519,W519)=1,1,"")</f>
        <v/>
      </c>
      <c r="W519" s="4" t="str">
        <f>CONCATENATE(DbLinkTable[[#This Row],[Customer]],UPPER(DbLinkTable[[#This Row],[Trailer Number]]),DbLinkTable[[#This Row],[Day Received]])</f>
        <v>Company1442164</v>
      </c>
      <c r="X519" s="4">
        <f>DATEVALUE(TEXT(DbLinkTable[[#This Row],[Date Received]],"MMMM YYYY"))</f>
        <v>42156</v>
      </c>
      <c r="Y519" s="4">
        <f>INT(DbLinkTable[[#This Row],[Date Received]])</f>
        <v>42164</v>
      </c>
    </row>
    <row r="520" spans="1:25">
      <c r="A520">
        <v>11839</v>
      </c>
      <c r="B520" t="s">
        <v>43</v>
      </c>
      <c r="D520">
        <v>940</v>
      </c>
      <c r="E520" t="s">
        <v>1504</v>
      </c>
      <c r="F520" s="4">
        <v>42164</v>
      </c>
      <c r="G520" s="4" t="s">
        <v>192</v>
      </c>
      <c r="H520" s="4"/>
      <c r="I520" s="4">
        <v>0</v>
      </c>
      <c r="J520" s="4"/>
      <c r="K520" s="4"/>
      <c r="L520" s="4"/>
      <c r="M520" s="4"/>
      <c r="N520" s="4"/>
      <c r="O520" s="4">
        <v>0</v>
      </c>
      <c r="P520" s="4">
        <v>42167.426319444443</v>
      </c>
      <c r="Q520" s="4"/>
      <c r="R520" s="4"/>
      <c r="S520" s="79">
        <f>DbLinkTable[[#This Row],[Credit]]+DbLinkTable[[#This Row],[Charge]]</f>
        <v>0</v>
      </c>
      <c r="T520" s="79">
        <f>IF(DbLinkTable[[#This Row],[Price/lb]]*DbLinkTable[[#This Row],[Weight]]&gt;0,DbLinkTable[[#This Row],[Price/lb]]*DbLinkTable[[#This Row],[Weight]],0)</f>
        <v>0</v>
      </c>
      <c r="U520" s="79">
        <f>IF(DbLinkTable[[#This Row],[Price/lb]]*DbLinkTable[[#This Row],[Weight]]&lt;0,DbLinkTable[[#This Row],[Price/lb]]*DbLinkTable[[#This Row],[Weight]],0)</f>
        <v>0</v>
      </c>
      <c r="V520" s="4" t="str">
        <f>IF(COUNTIF($W$2:W520,W520)=1,1,"")</f>
        <v/>
      </c>
      <c r="W520" s="4" t="str">
        <f>CONCATENATE(DbLinkTable[[#This Row],[Customer]],UPPER(DbLinkTable[[#This Row],[Trailer Number]]),DbLinkTable[[#This Row],[Day Received]])</f>
        <v>Company1442164</v>
      </c>
      <c r="X520" s="4">
        <f>DATEVALUE(TEXT(DbLinkTable[[#This Row],[Date Received]],"MMMM YYYY"))</f>
        <v>42156</v>
      </c>
      <c r="Y520" s="4">
        <f>INT(DbLinkTable[[#This Row],[Date Received]])</f>
        <v>42164</v>
      </c>
    </row>
    <row r="521" spans="1:25">
      <c r="A521">
        <v>11840</v>
      </c>
      <c r="B521" t="s">
        <v>43</v>
      </c>
      <c r="D521">
        <v>1076</v>
      </c>
      <c r="E521" t="s">
        <v>1504</v>
      </c>
      <c r="F521" s="4">
        <v>42164</v>
      </c>
      <c r="G521" s="4" t="s">
        <v>192</v>
      </c>
      <c r="H521" s="4"/>
      <c r="I521" s="4">
        <v>0</v>
      </c>
      <c r="J521" s="4"/>
      <c r="K521" s="4"/>
      <c r="L521" s="4"/>
      <c r="M521" s="4"/>
      <c r="N521" s="4"/>
      <c r="O521" s="4">
        <v>0</v>
      </c>
      <c r="P521" s="4">
        <v>42167.426342592589</v>
      </c>
      <c r="Q521" s="4"/>
      <c r="R521" s="4"/>
      <c r="S521" s="79">
        <f>DbLinkTable[[#This Row],[Credit]]+DbLinkTable[[#This Row],[Charge]]</f>
        <v>0</v>
      </c>
      <c r="T521" s="79">
        <f>IF(DbLinkTable[[#This Row],[Price/lb]]*DbLinkTable[[#This Row],[Weight]]&gt;0,DbLinkTable[[#This Row],[Price/lb]]*DbLinkTable[[#This Row],[Weight]],0)</f>
        <v>0</v>
      </c>
      <c r="U521" s="79">
        <f>IF(DbLinkTable[[#This Row],[Price/lb]]*DbLinkTable[[#This Row],[Weight]]&lt;0,DbLinkTable[[#This Row],[Price/lb]]*DbLinkTable[[#This Row],[Weight]],0)</f>
        <v>0</v>
      </c>
      <c r="V521" s="4" t="str">
        <f>IF(COUNTIF($W$2:W521,W521)=1,1,"")</f>
        <v/>
      </c>
      <c r="W521" s="4" t="str">
        <f>CONCATENATE(DbLinkTable[[#This Row],[Customer]],UPPER(DbLinkTable[[#This Row],[Trailer Number]]),DbLinkTable[[#This Row],[Day Received]])</f>
        <v>Company1442164</v>
      </c>
      <c r="X521" s="4">
        <f>DATEVALUE(TEXT(DbLinkTable[[#This Row],[Date Received]],"MMMM YYYY"))</f>
        <v>42156</v>
      </c>
      <c r="Y521" s="4">
        <f>INT(DbLinkTable[[#This Row],[Date Received]])</f>
        <v>42164</v>
      </c>
    </row>
    <row r="522" spans="1:25">
      <c r="A522">
        <v>11841</v>
      </c>
      <c r="B522" t="s">
        <v>43</v>
      </c>
      <c r="D522">
        <v>1047</v>
      </c>
      <c r="E522" t="s">
        <v>1504</v>
      </c>
      <c r="F522" s="4">
        <v>42164</v>
      </c>
      <c r="G522" s="4" t="s">
        <v>192</v>
      </c>
      <c r="H522" s="4"/>
      <c r="I522" s="4">
        <v>0</v>
      </c>
      <c r="J522" s="4"/>
      <c r="K522" s="4"/>
      <c r="L522" s="4"/>
      <c r="M522" s="4"/>
      <c r="N522" s="4"/>
      <c r="O522" s="4">
        <v>0</v>
      </c>
      <c r="P522" s="4">
        <v>42167.426365740743</v>
      </c>
      <c r="Q522" s="4"/>
      <c r="R522" s="4"/>
      <c r="S522" s="79">
        <f>DbLinkTable[[#This Row],[Credit]]+DbLinkTable[[#This Row],[Charge]]</f>
        <v>0</v>
      </c>
      <c r="T522" s="79">
        <f>IF(DbLinkTable[[#This Row],[Price/lb]]*DbLinkTable[[#This Row],[Weight]]&gt;0,DbLinkTable[[#This Row],[Price/lb]]*DbLinkTable[[#This Row],[Weight]],0)</f>
        <v>0</v>
      </c>
      <c r="U522" s="79">
        <f>IF(DbLinkTable[[#This Row],[Price/lb]]*DbLinkTable[[#This Row],[Weight]]&lt;0,DbLinkTable[[#This Row],[Price/lb]]*DbLinkTable[[#This Row],[Weight]],0)</f>
        <v>0</v>
      </c>
      <c r="V522" s="4" t="str">
        <f>IF(COUNTIF($W$2:W522,W522)=1,1,"")</f>
        <v/>
      </c>
      <c r="W522" s="4" t="str">
        <f>CONCATENATE(DbLinkTable[[#This Row],[Customer]],UPPER(DbLinkTable[[#This Row],[Trailer Number]]),DbLinkTable[[#This Row],[Day Received]])</f>
        <v>Company1442164</v>
      </c>
      <c r="X522" s="4">
        <f>DATEVALUE(TEXT(DbLinkTable[[#This Row],[Date Received]],"MMMM YYYY"))</f>
        <v>42156</v>
      </c>
      <c r="Y522" s="4">
        <f>INT(DbLinkTable[[#This Row],[Date Received]])</f>
        <v>42164</v>
      </c>
    </row>
    <row r="523" spans="1:25">
      <c r="A523">
        <v>11842</v>
      </c>
      <c r="B523" t="s">
        <v>43</v>
      </c>
      <c r="D523">
        <v>1000</v>
      </c>
      <c r="E523" t="s">
        <v>1504</v>
      </c>
      <c r="F523" s="4">
        <v>42164</v>
      </c>
      <c r="G523" s="4" t="s">
        <v>192</v>
      </c>
      <c r="H523" s="4"/>
      <c r="I523" s="4">
        <v>0</v>
      </c>
      <c r="J523" s="4"/>
      <c r="K523" s="4"/>
      <c r="L523" s="4"/>
      <c r="M523" s="4"/>
      <c r="N523" s="4"/>
      <c r="O523" s="4">
        <v>0</v>
      </c>
      <c r="P523" s="4">
        <v>42167.426400462966</v>
      </c>
      <c r="Q523" s="4"/>
      <c r="R523" s="4"/>
      <c r="S523" s="79">
        <f>DbLinkTable[[#This Row],[Credit]]+DbLinkTable[[#This Row],[Charge]]</f>
        <v>0</v>
      </c>
      <c r="T523" s="79">
        <f>IF(DbLinkTable[[#This Row],[Price/lb]]*DbLinkTable[[#This Row],[Weight]]&gt;0,DbLinkTable[[#This Row],[Price/lb]]*DbLinkTable[[#This Row],[Weight]],0)</f>
        <v>0</v>
      </c>
      <c r="U523" s="79">
        <f>IF(DbLinkTable[[#This Row],[Price/lb]]*DbLinkTable[[#This Row],[Weight]]&lt;0,DbLinkTable[[#This Row],[Price/lb]]*DbLinkTable[[#This Row],[Weight]],0)</f>
        <v>0</v>
      </c>
      <c r="V523" s="4" t="str">
        <f>IF(COUNTIF($W$2:W523,W523)=1,1,"")</f>
        <v/>
      </c>
      <c r="W523" s="4" t="str">
        <f>CONCATENATE(DbLinkTable[[#This Row],[Customer]],UPPER(DbLinkTable[[#This Row],[Trailer Number]]),DbLinkTable[[#This Row],[Day Received]])</f>
        <v>Company1442164</v>
      </c>
      <c r="X523" s="4">
        <f>DATEVALUE(TEXT(DbLinkTable[[#This Row],[Date Received]],"MMMM YYYY"))</f>
        <v>42156</v>
      </c>
      <c r="Y523" s="4">
        <f>INT(DbLinkTable[[#This Row],[Date Received]])</f>
        <v>42164</v>
      </c>
    </row>
    <row r="524" spans="1:25">
      <c r="A524">
        <v>11843</v>
      </c>
      <c r="B524" t="s">
        <v>43</v>
      </c>
      <c r="D524">
        <v>1090</v>
      </c>
      <c r="E524" t="s">
        <v>1504</v>
      </c>
      <c r="F524" s="4">
        <v>42164</v>
      </c>
      <c r="G524" s="4" t="s">
        <v>192</v>
      </c>
      <c r="H524" s="4"/>
      <c r="I524" s="4">
        <v>0</v>
      </c>
      <c r="J524" s="4"/>
      <c r="K524" s="4"/>
      <c r="L524" s="4"/>
      <c r="M524" s="4"/>
      <c r="N524" s="4"/>
      <c r="O524" s="4">
        <v>0</v>
      </c>
      <c r="P524" s="4">
        <v>42167.426423611112</v>
      </c>
      <c r="Q524" s="4"/>
      <c r="R524" s="4"/>
      <c r="S524" s="79">
        <f>DbLinkTable[[#This Row],[Credit]]+DbLinkTable[[#This Row],[Charge]]</f>
        <v>0</v>
      </c>
      <c r="T524" s="79">
        <f>IF(DbLinkTable[[#This Row],[Price/lb]]*DbLinkTable[[#This Row],[Weight]]&gt;0,DbLinkTable[[#This Row],[Price/lb]]*DbLinkTable[[#This Row],[Weight]],0)</f>
        <v>0</v>
      </c>
      <c r="U524" s="79">
        <f>IF(DbLinkTable[[#This Row],[Price/lb]]*DbLinkTable[[#This Row],[Weight]]&lt;0,DbLinkTable[[#This Row],[Price/lb]]*DbLinkTable[[#This Row],[Weight]],0)</f>
        <v>0</v>
      </c>
      <c r="V524" s="4" t="str">
        <f>IF(COUNTIF($W$2:W524,W524)=1,1,"")</f>
        <v/>
      </c>
      <c r="W524" s="4" t="str">
        <f>CONCATENATE(DbLinkTable[[#This Row],[Customer]],UPPER(DbLinkTable[[#This Row],[Trailer Number]]),DbLinkTable[[#This Row],[Day Received]])</f>
        <v>Company1442164</v>
      </c>
      <c r="X524" s="4">
        <f>DATEVALUE(TEXT(DbLinkTable[[#This Row],[Date Received]],"MMMM YYYY"))</f>
        <v>42156</v>
      </c>
      <c r="Y524" s="4">
        <f>INT(DbLinkTable[[#This Row],[Date Received]])</f>
        <v>42164</v>
      </c>
    </row>
    <row r="525" spans="1:25">
      <c r="A525">
        <v>11844</v>
      </c>
      <c r="B525" t="s">
        <v>43</v>
      </c>
      <c r="D525">
        <v>1189</v>
      </c>
      <c r="E525" t="s">
        <v>1504</v>
      </c>
      <c r="F525" s="4">
        <v>42164</v>
      </c>
      <c r="G525" s="4" t="s">
        <v>192</v>
      </c>
      <c r="H525" s="4"/>
      <c r="I525" s="4">
        <v>0</v>
      </c>
      <c r="J525" s="4"/>
      <c r="K525" s="4"/>
      <c r="L525" s="4"/>
      <c r="M525" s="4"/>
      <c r="N525" s="4"/>
      <c r="O525" s="4">
        <v>0</v>
      </c>
      <c r="P525" s="4">
        <v>42167.426493055558</v>
      </c>
      <c r="Q525" s="4"/>
      <c r="R525" s="4"/>
      <c r="S525" s="79">
        <f>DbLinkTable[[#This Row],[Credit]]+DbLinkTable[[#This Row],[Charge]]</f>
        <v>0</v>
      </c>
      <c r="T525" s="79">
        <f>IF(DbLinkTable[[#This Row],[Price/lb]]*DbLinkTable[[#This Row],[Weight]]&gt;0,DbLinkTable[[#This Row],[Price/lb]]*DbLinkTable[[#This Row],[Weight]],0)</f>
        <v>0</v>
      </c>
      <c r="U525" s="79">
        <f>IF(DbLinkTable[[#This Row],[Price/lb]]*DbLinkTable[[#This Row],[Weight]]&lt;0,DbLinkTable[[#This Row],[Price/lb]]*DbLinkTable[[#This Row],[Weight]],0)</f>
        <v>0</v>
      </c>
      <c r="V525" s="4" t="str">
        <f>IF(COUNTIF($W$2:W525,W525)=1,1,"")</f>
        <v/>
      </c>
      <c r="W525" s="4" t="str">
        <f>CONCATENATE(DbLinkTable[[#This Row],[Customer]],UPPER(DbLinkTable[[#This Row],[Trailer Number]]),DbLinkTable[[#This Row],[Day Received]])</f>
        <v>Company1442164</v>
      </c>
      <c r="X525" s="4">
        <f>DATEVALUE(TEXT(DbLinkTable[[#This Row],[Date Received]],"MMMM YYYY"))</f>
        <v>42156</v>
      </c>
      <c r="Y525" s="4">
        <f>INT(DbLinkTable[[#This Row],[Date Received]])</f>
        <v>42164</v>
      </c>
    </row>
    <row r="526" spans="1:25">
      <c r="A526">
        <v>11845</v>
      </c>
      <c r="B526" t="s">
        <v>43</v>
      </c>
      <c r="D526">
        <v>1238</v>
      </c>
      <c r="E526" t="s">
        <v>1504</v>
      </c>
      <c r="F526" s="4">
        <v>42164</v>
      </c>
      <c r="G526" s="4" t="s">
        <v>192</v>
      </c>
      <c r="H526" s="4"/>
      <c r="I526" s="4">
        <v>0</v>
      </c>
      <c r="J526" s="4"/>
      <c r="K526" s="4"/>
      <c r="L526" s="4"/>
      <c r="M526" s="4"/>
      <c r="N526" s="4"/>
      <c r="O526" s="4">
        <v>0</v>
      </c>
      <c r="P526" s="4">
        <v>42167.426527777781</v>
      </c>
      <c r="Q526" s="4"/>
      <c r="R526" s="4"/>
      <c r="S526" s="79">
        <f>DbLinkTable[[#This Row],[Credit]]+DbLinkTable[[#This Row],[Charge]]</f>
        <v>0</v>
      </c>
      <c r="T526" s="79">
        <f>IF(DbLinkTable[[#This Row],[Price/lb]]*DbLinkTable[[#This Row],[Weight]]&gt;0,DbLinkTable[[#This Row],[Price/lb]]*DbLinkTable[[#This Row],[Weight]],0)</f>
        <v>0</v>
      </c>
      <c r="U526" s="79">
        <f>IF(DbLinkTable[[#This Row],[Price/lb]]*DbLinkTable[[#This Row],[Weight]]&lt;0,DbLinkTable[[#This Row],[Price/lb]]*DbLinkTable[[#This Row],[Weight]],0)</f>
        <v>0</v>
      </c>
      <c r="V526" s="4" t="str">
        <f>IF(COUNTIF($W$2:W526,W526)=1,1,"")</f>
        <v/>
      </c>
      <c r="W526" s="4" t="str">
        <f>CONCATENATE(DbLinkTable[[#This Row],[Customer]],UPPER(DbLinkTable[[#This Row],[Trailer Number]]),DbLinkTable[[#This Row],[Day Received]])</f>
        <v>Company1442164</v>
      </c>
      <c r="X526" s="4">
        <f>DATEVALUE(TEXT(DbLinkTable[[#This Row],[Date Received]],"MMMM YYYY"))</f>
        <v>42156</v>
      </c>
      <c r="Y526" s="4">
        <f>INT(DbLinkTable[[#This Row],[Date Received]])</f>
        <v>42164</v>
      </c>
    </row>
    <row r="527" spans="1:25">
      <c r="A527">
        <v>11846</v>
      </c>
      <c r="B527" t="s">
        <v>43</v>
      </c>
      <c r="D527">
        <v>1022</v>
      </c>
      <c r="E527" t="s">
        <v>1504</v>
      </c>
      <c r="F527" s="4">
        <v>42164</v>
      </c>
      <c r="G527" s="4" t="s">
        <v>192</v>
      </c>
      <c r="H527" s="4"/>
      <c r="I527" s="4">
        <v>0</v>
      </c>
      <c r="J527" s="4"/>
      <c r="K527" s="4"/>
      <c r="L527" s="4"/>
      <c r="M527" s="4"/>
      <c r="N527" s="4"/>
      <c r="O527" s="4">
        <v>0</v>
      </c>
      <c r="P527" s="4">
        <v>42167.426550925928</v>
      </c>
      <c r="Q527" s="4"/>
      <c r="R527" s="4"/>
      <c r="S527" s="79">
        <f>DbLinkTable[[#This Row],[Credit]]+DbLinkTable[[#This Row],[Charge]]</f>
        <v>0</v>
      </c>
      <c r="T527" s="79">
        <f>IF(DbLinkTable[[#This Row],[Price/lb]]*DbLinkTable[[#This Row],[Weight]]&gt;0,DbLinkTable[[#This Row],[Price/lb]]*DbLinkTable[[#This Row],[Weight]],0)</f>
        <v>0</v>
      </c>
      <c r="U527" s="79">
        <f>IF(DbLinkTable[[#This Row],[Price/lb]]*DbLinkTable[[#This Row],[Weight]]&lt;0,DbLinkTable[[#This Row],[Price/lb]]*DbLinkTable[[#This Row],[Weight]],0)</f>
        <v>0</v>
      </c>
      <c r="V527" s="4" t="str">
        <f>IF(COUNTIF($W$2:W527,W527)=1,1,"")</f>
        <v/>
      </c>
      <c r="W527" s="4" t="str">
        <f>CONCATENATE(DbLinkTable[[#This Row],[Customer]],UPPER(DbLinkTable[[#This Row],[Trailer Number]]),DbLinkTable[[#This Row],[Day Received]])</f>
        <v>Company1442164</v>
      </c>
      <c r="X527" s="4">
        <f>DATEVALUE(TEXT(DbLinkTable[[#This Row],[Date Received]],"MMMM YYYY"))</f>
        <v>42156</v>
      </c>
      <c r="Y527" s="4">
        <f>INT(DbLinkTable[[#This Row],[Date Received]])</f>
        <v>42164</v>
      </c>
    </row>
    <row r="528" spans="1:25">
      <c r="A528">
        <v>11847</v>
      </c>
      <c r="B528" t="s">
        <v>43</v>
      </c>
      <c r="D528">
        <v>1146</v>
      </c>
      <c r="E528" t="s">
        <v>1504</v>
      </c>
      <c r="F528" s="4">
        <v>42164</v>
      </c>
      <c r="G528" s="4" t="s">
        <v>192</v>
      </c>
      <c r="H528" s="4"/>
      <c r="I528" s="4">
        <v>0</v>
      </c>
      <c r="J528" s="4"/>
      <c r="K528" s="4"/>
      <c r="L528" s="4"/>
      <c r="M528" s="4"/>
      <c r="N528" s="4"/>
      <c r="O528" s="4">
        <v>0</v>
      </c>
      <c r="P528" s="4">
        <v>42167.426585648151</v>
      </c>
      <c r="Q528" s="4"/>
      <c r="R528" s="4"/>
      <c r="S528" s="79">
        <f>DbLinkTable[[#This Row],[Credit]]+DbLinkTable[[#This Row],[Charge]]</f>
        <v>0</v>
      </c>
      <c r="T528" s="79">
        <f>IF(DbLinkTable[[#This Row],[Price/lb]]*DbLinkTable[[#This Row],[Weight]]&gt;0,DbLinkTable[[#This Row],[Price/lb]]*DbLinkTable[[#This Row],[Weight]],0)</f>
        <v>0</v>
      </c>
      <c r="U528" s="79">
        <f>IF(DbLinkTable[[#This Row],[Price/lb]]*DbLinkTable[[#This Row],[Weight]]&lt;0,DbLinkTable[[#This Row],[Price/lb]]*DbLinkTable[[#This Row],[Weight]],0)</f>
        <v>0</v>
      </c>
      <c r="V528" s="4" t="str">
        <f>IF(COUNTIF($W$2:W528,W528)=1,1,"")</f>
        <v/>
      </c>
      <c r="W528" s="4" t="str">
        <f>CONCATENATE(DbLinkTable[[#This Row],[Customer]],UPPER(DbLinkTable[[#This Row],[Trailer Number]]),DbLinkTable[[#This Row],[Day Received]])</f>
        <v>Company1442164</v>
      </c>
      <c r="X528" s="4">
        <f>DATEVALUE(TEXT(DbLinkTable[[#This Row],[Date Received]],"MMMM YYYY"))</f>
        <v>42156</v>
      </c>
      <c r="Y528" s="4">
        <f>INT(DbLinkTable[[#This Row],[Date Received]])</f>
        <v>42164</v>
      </c>
    </row>
    <row r="529" spans="1:25">
      <c r="A529">
        <v>11848</v>
      </c>
      <c r="B529" t="s">
        <v>43</v>
      </c>
      <c r="D529">
        <v>1258</v>
      </c>
      <c r="E529" t="s">
        <v>1504</v>
      </c>
      <c r="F529" s="4">
        <v>42164</v>
      </c>
      <c r="G529" s="4" t="s">
        <v>192</v>
      </c>
      <c r="H529" s="4"/>
      <c r="I529" s="4">
        <v>0</v>
      </c>
      <c r="J529" s="4"/>
      <c r="K529" s="4"/>
      <c r="L529" s="4"/>
      <c r="M529" s="4"/>
      <c r="N529" s="4"/>
      <c r="O529" s="4">
        <v>0</v>
      </c>
      <c r="P529" s="4">
        <v>42167.426608796297</v>
      </c>
      <c r="Q529" s="4"/>
      <c r="R529" s="4"/>
      <c r="S529" s="79">
        <f>DbLinkTable[[#This Row],[Credit]]+DbLinkTable[[#This Row],[Charge]]</f>
        <v>0</v>
      </c>
      <c r="T529" s="79">
        <f>IF(DbLinkTable[[#This Row],[Price/lb]]*DbLinkTable[[#This Row],[Weight]]&gt;0,DbLinkTable[[#This Row],[Price/lb]]*DbLinkTable[[#This Row],[Weight]],0)</f>
        <v>0</v>
      </c>
      <c r="U529" s="79">
        <f>IF(DbLinkTable[[#This Row],[Price/lb]]*DbLinkTable[[#This Row],[Weight]]&lt;0,DbLinkTable[[#This Row],[Price/lb]]*DbLinkTable[[#This Row],[Weight]],0)</f>
        <v>0</v>
      </c>
      <c r="V529" s="4" t="str">
        <f>IF(COUNTIF($W$2:W529,W529)=1,1,"")</f>
        <v/>
      </c>
      <c r="W529" s="4" t="str">
        <f>CONCATENATE(DbLinkTable[[#This Row],[Customer]],UPPER(DbLinkTable[[#This Row],[Trailer Number]]),DbLinkTable[[#This Row],[Day Received]])</f>
        <v>Company1442164</v>
      </c>
      <c r="X529" s="4">
        <f>DATEVALUE(TEXT(DbLinkTable[[#This Row],[Date Received]],"MMMM YYYY"))</f>
        <v>42156</v>
      </c>
      <c r="Y529" s="4">
        <f>INT(DbLinkTable[[#This Row],[Date Received]])</f>
        <v>42164</v>
      </c>
    </row>
    <row r="530" spans="1:25">
      <c r="A530">
        <v>11849</v>
      </c>
      <c r="B530" t="s">
        <v>43</v>
      </c>
      <c r="D530">
        <v>1105</v>
      </c>
      <c r="E530" t="s">
        <v>1504</v>
      </c>
      <c r="F530" s="4">
        <v>42164</v>
      </c>
      <c r="G530" s="4" t="s">
        <v>192</v>
      </c>
      <c r="H530" s="4"/>
      <c r="I530" s="4">
        <v>0</v>
      </c>
      <c r="J530" s="4"/>
      <c r="K530" s="4"/>
      <c r="L530" s="4"/>
      <c r="M530" s="4"/>
      <c r="N530" s="4"/>
      <c r="O530" s="4">
        <v>0</v>
      </c>
      <c r="P530" s="4">
        <v>42167.426631944443</v>
      </c>
      <c r="Q530" s="4"/>
      <c r="R530" s="4"/>
      <c r="S530" s="79">
        <f>DbLinkTable[[#This Row],[Credit]]+DbLinkTable[[#This Row],[Charge]]</f>
        <v>0</v>
      </c>
      <c r="T530" s="79">
        <f>IF(DbLinkTable[[#This Row],[Price/lb]]*DbLinkTable[[#This Row],[Weight]]&gt;0,DbLinkTable[[#This Row],[Price/lb]]*DbLinkTable[[#This Row],[Weight]],0)</f>
        <v>0</v>
      </c>
      <c r="U530" s="79">
        <f>IF(DbLinkTable[[#This Row],[Price/lb]]*DbLinkTable[[#This Row],[Weight]]&lt;0,DbLinkTable[[#This Row],[Price/lb]]*DbLinkTable[[#This Row],[Weight]],0)</f>
        <v>0</v>
      </c>
      <c r="V530" s="4" t="str">
        <f>IF(COUNTIF($W$2:W530,W530)=1,1,"")</f>
        <v/>
      </c>
      <c r="W530" s="4" t="str">
        <f>CONCATENATE(DbLinkTable[[#This Row],[Customer]],UPPER(DbLinkTable[[#This Row],[Trailer Number]]),DbLinkTable[[#This Row],[Day Received]])</f>
        <v>Company1442164</v>
      </c>
      <c r="X530" s="4">
        <f>DATEVALUE(TEXT(DbLinkTable[[#This Row],[Date Received]],"MMMM YYYY"))</f>
        <v>42156</v>
      </c>
      <c r="Y530" s="4">
        <f>INT(DbLinkTable[[#This Row],[Date Received]])</f>
        <v>42164</v>
      </c>
    </row>
    <row r="531" spans="1:25">
      <c r="A531">
        <v>11850</v>
      </c>
      <c r="B531" t="s">
        <v>43</v>
      </c>
      <c r="D531">
        <v>1052</v>
      </c>
      <c r="E531" t="s">
        <v>1504</v>
      </c>
      <c r="F531" s="4">
        <v>42164</v>
      </c>
      <c r="G531" s="4" t="s">
        <v>192</v>
      </c>
      <c r="H531" s="4"/>
      <c r="I531" s="4">
        <v>0</v>
      </c>
      <c r="J531" s="4"/>
      <c r="K531" s="4"/>
      <c r="L531" s="4"/>
      <c r="M531" s="4"/>
      <c r="N531" s="4"/>
      <c r="O531" s="4">
        <v>0</v>
      </c>
      <c r="P531" s="4">
        <v>42167.426678240743</v>
      </c>
      <c r="Q531" s="4"/>
      <c r="R531" s="4"/>
      <c r="S531" s="79">
        <f>DbLinkTable[[#This Row],[Credit]]+DbLinkTable[[#This Row],[Charge]]</f>
        <v>0</v>
      </c>
      <c r="T531" s="79">
        <f>IF(DbLinkTable[[#This Row],[Price/lb]]*DbLinkTable[[#This Row],[Weight]]&gt;0,DbLinkTable[[#This Row],[Price/lb]]*DbLinkTable[[#This Row],[Weight]],0)</f>
        <v>0</v>
      </c>
      <c r="U531" s="79">
        <f>IF(DbLinkTable[[#This Row],[Price/lb]]*DbLinkTable[[#This Row],[Weight]]&lt;0,DbLinkTable[[#This Row],[Price/lb]]*DbLinkTable[[#This Row],[Weight]],0)</f>
        <v>0</v>
      </c>
      <c r="V531" s="4" t="str">
        <f>IF(COUNTIF($W$2:W531,W531)=1,1,"")</f>
        <v/>
      </c>
      <c r="W531" s="4" t="str">
        <f>CONCATENATE(DbLinkTable[[#This Row],[Customer]],UPPER(DbLinkTable[[#This Row],[Trailer Number]]),DbLinkTable[[#This Row],[Day Received]])</f>
        <v>Company1442164</v>
      </c>
      <c r="X531" s="4">
        <f>DATEVALUE(TEXT(DbLinkTable[[#This Row],[Date Received]],"MMMM YYYY"))</f>
        <v>42156</v>
      </c>
      <c r="Y531" s="4">
        <f>INT(DbLinkTable[[#This Row],[Date Received]])</f>
        <v>42164</v>
      </c>
    </row>
    <row r="532" spans="1:25">
      <c r="A532">
        <v>11851</v>
      </c>
      <c r="B532" t="s">
        <v>43</v>
      </c>
      <c r="D532">
        <v>1070</v>
      </c>
      <c r="E532" t="s">
        <v>1504</v>
      </c>
      <c r="F532" s="4">
        <v>42164</v>
      </c>
      <c r="G532" s="4" t="s">
        <v>192</v>
      </c>
      <c r="H532" s="4"/>
      <c r="I532" s="4">
        <v>0</v>
      </c>
      <c r="J532" s="4"/>
      <c r="K532" s="4"/>
      <c r="L532" s="4"/>
      <c r="M532" s="4"/>
      <c r="N532" s="4"/>
      <c r="O532" s="4">
        <v>0</v>
      </c>
      <c r="P532" s="4">
        <v>42167.426701388889</v>
      </c>
      <c r="Q532" s="4"/>
      <c r="R532" s="4"/>
      <c r="S532" s="79">
        <f>DbLinkTable[[#This Row],[Credit]]+DbLinkTable[[#This Row],[Charge]]</f>
        <v>0</v>
      </c>
      <c r="T532" s="79">
        <f>IF(DbLinkTable[[#This Row],[Price/lb]]*DbLinkTable[[#This Row],[Weight]]&gt;0,DbLinkTable[[#This Row],[Price/lb]]*DbLinkTable[[#This Row],[Weight]],0)</f>
        <v>0</v>
      </c>
      <c r="U532" s="79">
        <f>IF(DbLinkTable[[#This Row],[Price/lb]]*DbLinkTable[[#This Row],[Weight]]&lt;0,DbLinkTable[[#This Row],[Price/lb]]*DbLinkTable[[#This Row],[Weight]],0)</f>
        <v>0</v>
      </c>
      <c r="V532" s="4" t="str">
        <f>IF(COUNTIF($W$2:W532,W532)=1,1,"")</f>
        <v/>
      </c>
      <c r="W532" s="4" t="str">
        <f>CONCATENATE(DbLinkTable[[#This Row],[Customer]],UPPER(DbLinkTable[[#This Row],[Trailer Number]]),DbLinkTable[[#This Row],[Day Received]])</f>
        <v>Company1442164</v>
      </c>
      <c r="X532" s="4">
        <f>DATEVALUE(TEXT(DbLinkTable[[#This Row],[Date Received]],"MMMM YYYY"))</f>
        <v>42156</v>
      </c>
      <c r="Y532" s="4">
        <f>INT(DbLinkTable[[#This Row],[Date Received]])</f>
        <v>42164</v>
      </c>
    </row>
    <row r="533" spans="1:25">
      <c r="A533">
        <v>11852</v>
      </c>
      <c r="B533" t="s">
        <v>43</v>
      </c>
      <c r="D533">
        <v>1000</v>
      </c>
      <c r="E533" t="s">
        <v>1504</v>
      </c>
      <c r="F533" s="4">
        <v>42164</v>
      </c>
      <c r="G533" s="4" t="s">
        <v>192</v>
      </c>
      <c r="H533" s="4"/>
      <c r="I533" s="4">
        <v>0</v>
      </c>
      <c r="J533" s="4"/>
      <c r="K533" s="4"/>
      <c r="L533" s="4"/>
      <c r="M533" s="4"/>
      <c r="N533" s="4"/>
      <c r="O533" s="4">
        <v>0</v>
      </c>
      <c r="P533" s="4">
        <v>42167.426736111112</v>
      </c>
      <c r="Q533" s="4"/>
      <c r="R533" s="4"/>
      <c r="S533" s="79">
        <f>DbLinkTable[[#This Row],[Credit]]+DbLinkTable[[#This Row],[Charge]]</f>
        <v>0</v>
      </c>
      <c r="T533" s="79">
        <f>IF(DbLinkTable[[#This Row],[Price/lb]]*DbLinkTable[[#This Row],[Weight]]&gt;0,DbLinkTable[[#This Row],[Price/lb]]*DbLinkTable[[#This Row],[Weight]],0)</f>
        <v>0</v>
      </c>
      <c r="U533" s="79">
        <f>IF(DbLinkTable[[#This Row],[Price/lb]]*DbLinkTable[[#This Row],[Weight]]&lt;0,DbLinkTable[[#This Row],[Price/lb]]*DbLinkTable[[#This Row],[Weight]],0)</f>
        <v>0</v>
      </c>
      <c r="V533" s="4" t="str">
        <f>IF(COUNTIF($W$2:W533,W533)=1,1,"")</f>
        <v/>
      </c>
      <c r="W533" s="4" t="str">
        <f>CONCATENATE(DbLinkTable[[#This Row],[Customer]],UPPER(DbLinkTable[[#This Row],[Trailer Number]]),DbLinkTable[[#This Row],[Day Received]])</f>
        <v>Company1442164</v>
      </c>
      <c r="X533" s="4">
        <f>DATEVALUE(TEXT(DbLinkTable[[#This Row],[Date Received]],"MMMM YYYY"))</f>
        <v>42156</v>
      </c>
      <c r="Y533" s="4">
        <f>INT(DbLinkTable[[#This Row],[Date Received]])</f>
        <v>42164</v>
      </c>
    </row>
    <row r="534" spans="1:25">
      <c r="A534">
        <v>11898</v>
      </c>
      <c r="B534" t="s">
        <v>43</v>
      </c>
      <c r="D534">
        <v>157</v>
      </c>
      <c r="E534" t="s">
        <v>1504</v>
      </c>
      <c r="F534" s="4">
        <v>42170</v>
      </c>
      <c r="G534" s="4" t="s">
        <v>192</v>
      </c>
      <c r="H534" s="4"/>
      <c r="I534" s="4">
        <v>0</v>
      </c>
      <c r="J534" s="4"/>
      <c r="K534" s="4"/>
      <c r="L534" s="4"/>
      <c r="M534" s="4"/>
      <c r="N534" s="4"/>
      <c r="O534" s="4">
        <v>0</v>
      </c>
      <c r="P534" s="4">
        <v>42172.602199074077</v>
      </c>
      <c r="Q534" s="4"/>
      <c r="R534" s="4"/>
      <c r="S534" s="79">
        <f>DbLinkTable[[#This Row],[Credit]]+DbLinkTable[[#This Row],[Charge]]</f>
        <v>0</v>
      </c>
      <c r="T534" s="79">
        <f>IF(DbLinkTable[[#This Row],[Price/lb]]*DbLinkTable[[#This Row],[Weight]]&gt;0,DbLinkTable[[#This Row],[Price/lb]]*DbLinkTable[[#This Row],[Weight]],0)</f>
        <v>0</v>
      </c>
      <c r="U534" s="79">
        <f>IF(DbLinkTable[[#This Row],[Price/lb]]*DbLinkTable[[#This Row],[Weight]]&lt;0,DbLinkTable[[#This Row],[Price/lb]]*DbLinkTable[[#This Row],[Weight]],0)</f>
        <v>0</v>
      </c>
      <c r="V534" s="4">
        <f>IF(COUNTIF($W$2:W534,W534)=1,1,"")</f>
        <v>1</v>
      </c>
      <c r="W534" s="4" t="str">
        <f>CONCATENATE(DbLinkTable[[#This Row],[Customer]],UPPER(DbLinkTable[[#This Row],[Trailer Number]]),DbLinkTable[[#This Row],[Day Received]])</f>
        <v>Company1442170</v>
      </c>
      <c r="X534" s="4">
        <f>DATEVALUE(TEXT(DbLinkTable[[#This Row],[Date Received]],"MMMM YYYY"))</f>
        <v>42156</v>
      </c>
      <c r="Y534" s="4">
        <f>INT(DbLinkTable[[#This Row],[Date Received]])</f>
        <v>42170</v>
      </c>
    </row>
    <row r="535" spans="1:25">
      <c r="A535">
        <v>11899</v>
      </c>
      <c r="B535" t="s">
        <v>43</v>
      </c>
      <c r="D535">
        <v>300</v>
      </c>
      <c r="E535" t="s">
        <v>1504</v>
      </c>
      <c r="F535" s="4">
        <v>42170</v>
      </c>
      <c r="G535" s="4" t="s">
        <v>192</v>
      </c>
      <c r="H535" s="4"/>
      <c r="I535" s="4">
        <v>0</v>
      </c>
      <c r="J535" s="4"/>
      <c r="K535" s="4"/>
      <c r="L535" s="4"/>
      <c r="M535" s="4"/>
      <c r="N535" s="4"/>
      <c r="O535" s="4">
        <v>0</v>
      </c>
      <c r="P535" s="4">
        <v>42172.602500000001</v>
      </c>
      <c r="Q535" s="4"/>
      <c r="R535" s="4"/>
      <c r="S535" s="79">
        <f>DbLinkTable[[#This Row],[Credit]]+DbLinkTable[[#This Row],[Charge]]</f>
        <v>0</v>
      </c>
      <c r="T535" s="79">
        <f>IF(DbLinkTable[[#This Row],[Price/lb]]*DbLinkTable[[#This Row],[Weight]]&gt;0,DbLinkTable[[#This Row],[Price/lb]]*DbLinkTable[[#This Row],[Weight]],0)</f>
        <v>0</v>
      </c>
      <c r="U535" s="79">
        <f>IF(DbLinkTable[[#This Row],[Price/lb]]*DbLinkTable[[#This Row],[Weight]]&lt;0,DbLinkTable[[#This Row],[Price/lb]]*DbLinkTable[[#This Row],[Weight]],0)</f>
        <v>0</v>
      </c>
      <c r="V535" s="4" t="str">
        <f>IF(COUNTIF($W$2:W535,W535)=1,1,"")</f>
        <v/>
      </c>
      <c r="W535" s="4" t="str">
        <f>CONCATENATE(DbLinkTable[[#This Row],[Customer]],UPPER(DbLinkTable[[#This Row],[Trailer Number]]),DbLinkTable[[#This Row],[Day Received]])</f>
        <v>Company1442170</v>
      </c>
      <c r="X535" s="4">
        <f>DATEVALUE(TEXT(DbLinkTable[[#This Row],[Date Received]],"MMMM YYYY"))</f>
        <v>42156</v>
      </c>
      <c r="Y535" s="4">
        <f>INT(DbLinkTable[[#This Row],[Date Received]])</f>
        <v>42170</v>
      </c>
    </row>
    <row r="536" spans="1:25">
      <c r="A536">
        <v>11900</v>
      </c>
      <c r="B536" t="s">
        <v>43</v>
      </c>
      <c r="D536">
        <v>460</v>
      </c>
      <c r="E536" t="s">
        <v>1504</v>
      </c>
      <c r="F536" s="4">
        <v>42170</v>
      </c>
      <c r="G536" s="4" t="s">
        <v>192</v>
      </c>
      <c r="H536" s="4"/>
      <c r="I536" s="4">
        <v>0</v>
      </c>
      <c r="J536" s="4"/>
      <c r="K536" s="4"/>
      <c r="L536" s="4"/>
      <c r="M536" s="4"/>
      <c r="N536" s="4"/>
      <c r="O536" s="4">
        <v>0</v>
      </c>
      <c r="P536" s="4">
        <v>42172.673506944448</v>
      </c>
      <c r="Q536" s="4"/>
      <c r="R536" s="4"/>
      <c r="S536" s="79">
        <f>DbLinkTable[[#This Row],[Credit]]+DbLinkTable[[#This Row],[Charge]]</f>
        <v>0</v>
      </c>
      <c r="T536" s="79">
        <f>IF(DbLinkTable[[#This Row],[Price/lb]]*DbLinkTable[[#This Row],[Weight]]&gt;0,DbLinkTable[[#This Row],[Price/lb]]*DbLinkTable[[#This Row],[Weight]],0)</f>
        <v>0</v>
      </c>
      <c r="U536" s="79">
        <f>IF(DbLinkTable[[#This Row],[Price/lb]]*DbLinkTable[[#This Row],[Weight]]&lt;0,DbLinkTable[[#This Row],[Price/lb]]*DbLinkTable[[#This Row],[Weight]],0)</f>
        <v>0</v>
      </c>
      <c r="V536" s="4" t="str">
        <f>IF(COUNTIF($W$2:W536,W536)=1,1,"")</f>
        <v/>
      </c>
      <c r="W536" s="4" t="str">
        <f>CONCATENATE(DbLinkTable[[#This Row],[Customer]],UPPER(DbLinkTable[[#This Row],[Trailer Number]]),DbLinkTable[[#This Row],[Day Received]])</f>
        <v>Company1442170</v>
      </c>
      <c r="X536" s="4">
        <f>DATEVALUE(TEXT(DbLinkTable[[#This Row],[Date Received]],"MMMM YYYY"))</f>
        <v>42156</v>
      </c>
      <c r="Y536" s="4">
        <f>INT(DbLinkTable[[#This Row],[Date Received]])</f>
        <v>42170</v>
      </c>
    </row>
    <row r="537" spans="1:25">
      <c r="A537">
        <v>11901</v>
      </c>
      <c r="B537" t="s">
        <v>43</v>
      </c>
      <c r="D537">
        <v>800</v>
      </c>
      <c r="E537" t="s">
        <v>1504</v>
      </c>
      <c r="F537" s="4">
        <v>42170</v>
      </c>
      <c r="G537" s="4" t="s">
        <v>192</v>
      </c>
      <c r="H537" s="4"/>
      <c r="I537" s="4">
        <v>0</v>
      </c>
      <c r="J537" s="4"/>
      <c r="K537" s="4"/>
      <c r="L537" s="4"/>
      <c r="M537" s="4"/>
      <c r="N537" s="4"/>
      <c r="O537" s="4">
        <v>0</v>
      </c>
      <c r="P537" s="4">
        <v>42172.673576388886</v>
      </c>
      <c r="Q537" s="4"/>
      <c r="R537" s="4"/>
      <c r="S537" s="79">
        <f>DbLinkTable[[#This Row],[Credit]]+DbLinkTable[[#This Row],[Charge]]</f>
        <v>0</v>
      </c>
      <c r="T537" s="79">
        <f>IF(DbLinkTable[[#This Row],[Price/lb]]*DbLinkTable[[#This Row],[Weight]]&gt;0,DbLinkTable[[#This Row],[Price/lb]]*DbLinkTable[[#This Row],[Weight]],0)</f>
        <v>0</v>
      </c>
      <c r="U537" s="79">
        <f>IF(DbLinkTable[[#This Row],[Price/lb]]*DbLinkTable[[#This Row],[Weight]]&lt;0,DbLinkTable[[#This Row],[Price/lb]]*DbLinkTable[[#This Row],[Weight]],0)</f>
        <v>0</v>
      </c>
      <c r="V537" s="4" t="str">
        <f>IF(COUNTIF($W$2:W537,W537)=1,1,"")</f>
        <v/>
      </c>
      <c r="W537" s="4" t="str">
        <f>CONCATENATE(DbLinkTable[[#This Row],[Customer]],UPPER(DbLinkTable[[#This Row],[Trailer Number]]),DbLinkTable[[#This Row],[Day Received]])</f>
        <v>Company1442170</v>
      </c>
      <c r="X537" s="4">
        <f>DATEVALUE(TEXT(DbLinkTable[[#This Row],[Date Received]],"MMMM YYYY"))</f>
        <v>42156</v>
      </c>
      <c r="Y537" s="4">
        <f>INT(DbLinkTable[[#This Row],[Date Received]])</f>
        <v>42170</v>
      </c>
    </row>
    <row r="538" spans="1:25">
      <c r="A538">
        <v>11902</v>
      </c>
      <c r="B538" t="s">
        <v>43</v>
      </c>
      <c r="D538">
        <v>550</v>
      </c>
      <c r="E538" t="s">
        <v>1504</v>
      </c>
      <c r="F538" s="4">
        <v>42170</v>
      </c>
      <c r="G538" s="4" t="s">
        <v>192</v>
      </c>
      <c r="H538" s="4"/>
      <c r="I538" s="4">
        <v>0</v>
      </c>
      <c r="J538" s="4"/>
      <c r="K538" s="4"/>
      <c r="L538" s="4"/>
      <c r="M538" s="4"/>
      <c r="N538" s="4"/>
      <c r="O538" s="4">
        <v>0</v>
      </c>
      <c r="P538" s="4">
        <v>42172.673622685186</v>
      </c>
      <c r="Q538" s="4"/>
      <c r="R538" s="4"/>
      <c r="S538" s="79">
        <f>DbLinkTable[[#This Row],[Credit]]+DbLinkTable[[#This Row],[Charge]]</f>
        <v>0</v>
      </c>
      <c r="T538" s="79">
        <f>IF(DbLinkTable[[#This Row],[Price/lb]]*DbLinkTable[[#This Row],[Weight]]&gt;0,DbLinkTable[[#This Row],[Price/lb]]*DbLinkTable[[#This Row],[Weight]],0)</f>
        <v>0</v>
      </c>
      <c r="U538" s="79">
        <f>IF(DbLinkTable[[#This Row],[Price/lb]]*DbLinkTable[[#This Row],[Weight]]&lt;0,DbLinkTable[[#This Row],[Price/lb]]*DbLinkTable[[#This Row],[Weight]],0)</f>
        <v>0</v>
      </c>
      <c r="V538" s="4" t="str">
        <f>IF(COUNTIF($W$2:W538,W538)=1,1,"")</f>
        <v/>
      </c>
      <c r="W538" s="4" t="str">
        <f>CONCATENATE(DbLinkTable[[#This Row],[Customer]],UPPER(DbLinkTable[[#This Row],[Trailer Number]]),DbLinkTable[[#This Row],[Day Received]])</f>
        <v>Company1442170</v>
      </c>
      <c r="X538" s="4">
        <f>DATEVALUE(TEXT(DbLinkTable[[#This Row],[Date Received]],"MMMM YYYY"))</f>
        <v>42156</v>
      </c>
      <c r="Y538" s="4">
        <f>INT(DbLinkTable[[#This Row],[Date Received]])</f>
        <v>42170</v>
      </c>
    </row>
    <row r="539" spans="1:25">
      <c r="A539">
        <v>11903</v>
      </c>
      <c r="B539" t="s">
        <v>43</v>
      </c>
      <c r="D539">
        <v>340</v>
      </c>
      <c r="E539" t="s">
        <v>1504</v>
      </c>
      <c r="F539" s="4">
        <v>42170</v>
      </c>
      <c r="G539" s="4" t="s">
        <v>192</v>
      </c>
      <c r="H539" s="4"/>
      <c r="I539" s="4">
        <v>0</v>
      </c>
      <c r="J539" s="4"/>
      <c r="K539" s="4"/>
      <c r="L539" s="4"/>
      <c r="M539" s="4"/>
      <c r="N539" s="4"/>
      <c r="O539" s="4">
        <v>0</v>
      </c>
      <c r="P539" s="4">
        <v>42172.673668981479</v>
      </c>
      <c r="Q539" s="4"/>
      <c r="R539" s="4"/>
      <c r="S539" s="79">
        <f>DbLinkTable[[#This Row],[Credit]]+DbLinkTable[[#This Row],[Charge]]</f>
        <v>0</v>
      </c>
      <c r="T539" s="79">
        <f>IF(DbLinkTable[[#This Row],[Price/lb]]*DbLinkTable[[#This Row],[Weight]]&gt;0,DbLinkTable[[#This Row],[Price/lb]]*DbLinkTable[[#This Row],[Weight]],0)</f>
        <v>0</v>
      </c>
      <c r="U539" s="79">
        <f>IF(DbLinkTable[[#This Row],[Price/lb]]*DbLinkTable[[#This Row],[Weight]]&lt;0,DbLinkTable[[#This Row],[Price/lb]]*DbLinkTable[[#This Row],[Weight]],0)</f>
        <v>0</v>
      </c>
      <c r="V539" s="4" t="str">
        <f>IF(COUNTIF($W$2:W539,W539)=1,1,"")</f>
        <v/>
      </c>
      <c r="W539" s="4" t="str">
        <f>CONCATENATE(DbLinkTable[[#This Row],[Customer]],UPPER(DbLinkTable[[#This Row],[Trailer Number]]),DbLinkTable[[#This Row],[Day Received]])</f>
        <v>Company1442170</v>
      </c>
      <c r="X539" s="4">
        <f>DATEVALUE(TEXT(DbLinkTable[[#This Row],[Date Received]],"MMMM YYYY"))</f>
        <v>42156</v>
      </c>
      <c r="Y539" s="4">
        <f>INT(DbLinkTable[[#This Row],[Date Received]])</f>
        <v>42170</v>
      </c>
    </row>
    <row r="540" spans="1:25">
      <c r="A540">
        <v>11904</v>
      </c>
      <c r="B540" t="s">
        <v>43</v>
      </c>
      <c r="D540">
        <v>1760</v>
      </c>
      <c r="E540" t="s">
        <v>1504</v>
      </c>
      <c r="F540" s="4">
        <v>42170</v>
      </c>
      <c r="G540" s="4" t="s">
        <v>192</v>
      </c>
      <c r="H540" s="4"/>
      <c r="I540" s="4">
        <v>0</v>
      </c>
      <c r="J540" s="4"/>
      <c r="K540" s="4"/>
      <c r="L540" s="4"/>
      <c r="M540" s="4"/>
      <c r="N540" s="4"/>
      <c r="O540" s="4">
        <v>0</v>
      </c>
      <c r="P540" s="4">
        <v>42172.673784722225</v>
      </c>
      <c r="Q540" s="4"/>
      <c r="R540" s="4"/>
      <c r="S540" s="79">
        <f>DbLinkTable[[#This Row],[Credit]]+DbLinkTable[[#This Row],[Charge]]</f>
        <v>0</v>
      </c>
      <c r="T540" s="79">
        <f>IF(DbLinkTable[[#This Row],[Price/lb]]*DbLinkTable[[#This Row],[Weight]]&gt;0,DbLinkTable[[#This Row],[Price/lb]]*DbLinkTable[[#This Row],[Weight]],0)</f>
        <v>0</v>
      </c>
      <c r="U540" s="79">
        <f>IF(DbLinkTable[[#This Row],[Price/lb]]*DbLinkTable[[#This Row],[Weight]]&lt;0,DbLinkTable[[#This Row],[Price/lb]]*DbLinkTable[[#This Row],[Weight]],0)</f>
        <v>0</v>
      </c>
      <c r="V540" s="4" t="str">
        <f>IF(COUNTIF($W$2:W540,W540)=1,1,"")</f>
        <v/>
      </c>
      <c r="W540" s="4" t="str">
        <f>CONCATENATE(DbLinkTable[[#This Row],[Customer]],UPPER(DbLinkTable[[#This Row],[Trailer Number]]),DbLinkTable[[#This Row],[Day Received]])</f>
        <v>Company1442170</v>
      </c>
      <c r="X540" s="4">
        <f>DATEVALUE(TEXT(DbLinkTable[[#This Row],[Date Received]],"MMMM YYYY"))</f>
        <v>42156</v>
      </c>
      <c r="Y540" s="4">
        <f>INT(DbLinkTable[[#This Row],[Date Received]])</f>
        <v>42170</v>
      </c>
    </row>
    <row r="541" spans="1:25">
      <c r="A541">
        <v>11905</v>
      </c>
      <c r="B541" t="s">
        <v>43</v>
      </c>
      <c r="D541">
        <v>190</v>
      </c>
      <c r="E541" t="s">
        <v>1504</v>
      </c>
      <c r="F541" s="4">
        <v>42170</v>
      </c>
      <c r="G541" s="4" t="s">
        <v>192</v>
      </c>
      <c r="H541" s="4"/>
      <c r="I541" s="4">
        <v>0</v>
      </c>
      <c r="J541" s="4"/>
      <c r="K541" s="4"/>
      <c r="L541" s="4"/>
      <c r="M541" s="4"/>
      <c r="N541" s="4"/>
      <c r="O541" s="4">
        <v>0</v>
      </c>
      <c r="P541" s="4">
        <v>42172.673877314817</v>
      </c>
      <c r="Q541" s="4"/>
      <c r="R541" s="4"/>
      <c r="S541" s="79">
        <f>DbLinkTable[[#This Row],[Credit]]+DbLinkTable[[#This Row],[Charge]]</f>
        <v>0</v>
      </c>
      <c r="T541" s="79">
        <f>IF(DbLinkTable[[#This Row],[Price/lb]]*DbLinkTable[[#This Row],[Weight]]&gt;0,DbLinkTable[[#This Row],[Price/lb]]*DbLinkTable[[#This Row],[Weight]],0)</f>
        <v>0</v>
      </c>
      <c r="U541" s="79">
        <f>IF(DbLinkTable[[#This Row],[Price/lb]]*DbLinkTable[[#This Row],[Weight]]&lt;0,DbLinkTable[[#This Row],[Price/lb]]*DbLinkTable[[#This Row],[Weight]],0)</f>
        <v>0</v>
      </c>
      <c r="V541" s="4" t="str">
        <f>IF(COUNTIF($W$2:W541,W541)=1,1,"")</f>
        <v/>
      </c>
      <c r="W541" s="4" t="str">
        <f>CONCATENATE(DbLinkTable[[#This Row],[Customer]],UPPER(DbLinkTable[[#This Row],[Trailer Number]]),DbLinkTable[[#This Row],[Day Received]])</f>
        <v>Company1442170</v>
      </c>
      <c r="X541" s="4">
        <f>DATEVALUE(TEXT(DbLinkTable[[#This Row],[Date Received]],"MMMM YYYY"))</f>
        <v>42156</v>
      </c>
      <c r="Y541" s="4">
        <f>INT(DbLinkTable[[#This Row],[Date Received]])</f>
        <v>42170</v>
      </c>
    </row>
    <row r="542" spans="1:25">
      <c r="A542">
        <v>11906</v>
      </c>
      <c r="B542" t="s">
        <v>43</v>
      </c>
      <c r="D542">
        <v>490</v>
      </c>
      <c r="E542" t="s">
        <v>1504</v>
      </c>
      <c r="F542" s="4">
        <v>42170</v>
      </c>
      <c r="G542" s="4" t="s">
        <v>192</v>
      </c>
      <c r="H542" s="4"/>
      <c r="I542" s="4">
        <v>0</v>
      </c>
      <c r="J542" s="4"/>
      <c r="K542" s="4"/>
      <c r="L542" s="4"/>
      <c r="M542" s="4"/>
      <c r="N542" s="4"/>
      <c r="O542" s="4">
        <v>0</v>
      </c>
      <c r="P542" s="4">
        <v>42172.67392361111</v>
      </c>
      <c r="Q542" s="4"/>
      <c r="R542" s="4"/>
      <c r="S542" s="79">
        <f>DbLinkTable[[#This Row],[Credit]]+DbLinkTable[[#This Row],[Charge]]</f>
        <v>0</v>
      </c>
      <c r="T542" s="79">
        <f>IF(DbLinkTable[[#This Row],[Price/lb]]*DbLinkTable[[#This Row],[Weight]]&gt;0,DbLinkTable[[#This Row],[Price/lb]]*DbLinkTable[[#This Row],[Weight]],0)</f>
        <v>0</v>
      </c>
      <c r="U542" s="79">
        <f>IF(DbLinkTable[[#This Row],[Price/lb]]*DbLinkTable[[#This Row],[Weight]]&lt;0,DbLinkTable[[#This Row],[Price/lb]]*DbLinkTable[[#This Row],[Weight]],0)</f>
        <v>0</v>
      </c>
      <c r="V542" s="4" t="str">
        <f>IF(COUNTIF($W$2:W542,W542)=1,1,"")</f>
        <v/>
      </c>
      <c r="W542" s="4" t="str">
        <f>CONCATENATE(DbLinkTable[[#This Row],[Customer]],UPPER(DbLinkTable[[#This Row],[Trailer Number]]),DbLinkTable[[#This Row],[Day Received]])</f>
        <v>Company1442170</v>
      </c>
      <c r="X542" s="4">
        <f>DATEVALUE(TEXT(DbLinkTable[[#This Row],[Date Received]],"MMMM YYYY"))</f>
        <v>42156</v>
      </c>
      <c r="Y542" s="4">
        <f>INT(DbLinkTable[[#This Row],[Date Received]])</f>
        <v>42170</v>
      </c>
    </row>
    <row r="543" spans="1:25">
      <c r="A543">
        <v>11907</v>
      </c>
      <c r="B543" t="s">
        <v>43</v>
      </c>
      <c r="D543">
        <v>620</v>
      </c>
      <c r="E543" t="s">
        <v>1504</v>
      </c>
      <c r="F543" s="4">
        <v>42170</v>
      </c>
      <c r="G543" s="4" t="s">
        <v>192</v>
      </c>
      <c r="H543" s="4"/>
      <c r="I543" s="4">
        <v>0</v>
      </c>
      <c r="J543" s="4"/>
      <c r="K543" s="4"/>
      <c r="L543" s="4"/>
      <c r="M543" s="4"/>
      <c r="N543" s="4"/>
      <c r="O543" s="4">
        <v>0</v>
      </c>
      <c r="P543" s="4">
        <v>42172.674039351848</v>
      </c>
      <c r="Q543" s="4"/>
      <c r="R543" s="4"/>
      <c r="S543" s="79">
        <f>DbLinkTable[[#This Row],[Credit]]+DbLinkTable[[#This Row],[Charge]]</f>
        <v>0</v>
      </c>
      <c r="T543" s="79">
        <f>IF(DbLinkTable[[#This Row],[Price/lb]]*DbLinkTable[[#This Row],[Weight]]&gt;0,DbLinkTable[[#This Row],[Price/lb]]*DbLinkTable[[#This Row],[Weight]],0)</f>
        <v>0</v>
      </c>
      <c r="U543" s="79">
        <f>IF(DbLinkTable[[#This Row],[Price/lb]]*DbLinkTable[[#This Row],[Weight]]&lt;0,DbLinkTable[[#This Row],[Price/lb]]*DbLinkTable[[#This Row],[Weight]],0)</f>
        <v>0</v>
      </c>
      <c r="V543" s="4" t="str">
        <f>IF(COUNTIF($W$2:W543,W543)=1,1,"")</f>
        <v/>
      </c>
      <c r="W543" s="4" t="str">
        <f>CONCATENATE(DbLinkTable[[#This Row],[Customer]],UPPER(DbLinkTable[[#This Row],[Trailer Number]]),DbLinkTable[[#This Row],[Day Received]])</f>
        <v>Company1442170</v>
      </c>
      <c r="X543" s="4">
        <f>DATEVALUE(TEXT(DbLinkTable[[#This Row],[Date Received]],"MMMM YYYY"))</f>
        <v>42156</v>
      </c>
      <c r="Y543" s="4">
        <f>INT(DbLinkTable[[#This Row],[Date Received]])</f>
        <v>42170</v>
      </c>
    </row>
    <row r="544" spans="1:25">
      <c r="A544">
        <v>11908</v>
      </c>
      <c r="B544" t="s">
        <v>43</v>
      </c>
      <c r="D544">
        <v>1200</v>
      </c>
      <c r="E544" t="s">
        <v>1504</v>
      </c>
      <c r="F544" s="4">
        <v>42170</v>
      </c>
      <c r="G544" s="4" t="s">
        <v>192</v>
      </c>
      <c r="H544" s="4"/>
      <c r="I544" s="4">
        <v>0</v>
      </c>
      <c r="J544" s="4"/>
      <c r="K544" s="4"/>
      <c r="L544" s="4"/>
      <c r="M544" s="4"/>
      <c r="N544" s="4"/>
      <c r="O544" s="4">
        <v>0</v>
      </c>
      <c r="P544" s="4">
        <v>42172.674085648148</v>
      </c>
      <c r="Q544" s="4"/>
      <c r="R544" s="4"/>
      <c r="S544" s="79">
        <f>DbLinkTable[[#This Row],[Credit]]+DbLinkTable[[#This Row],[Charge]]</f>
        <v>0</v>
      </c>
      <c r="T544" s="79">
        <f>IF(DbLinkTable[[#This Row],[Price/lb]]*DbLinkTable[[#This Row],[Weight]]&gt;0,DbLinkTable[[#This Row],[Price/lb]]*DbLinkTable[[#This Row],[Weight]],0)</f>
        <v>0</v>
      </c>
      <c r="U544" s="79">
        <f>IF(DbLinkTable[[#This Row],[Price/lb]]*DbLinkTable[[#This Row],[Weight]]&lt;0,DbLinkTable[[#This Row],[Price/lb]]*DbLinkTable[[#This Row],[Weight]],0)</f>
        <v>0</v>
      </c>
      <c r="V544" s="4" t="str">
        <f>IF(COUNTIF($W$2:W544,W544)=1,1,"")</f>
        <v/>
      </c>
      <c r="W544" s="4" t="str">
        <f>CONCATENATE(DbLinkTable[[#This Row],[Customer]],UPPER(DbLinkTable[[#This Row],[Trailer Number]]),DbLinkTable[[#This Row],[Day Received]])</f>
        <v>Company1442170</v>
      </c>
      <c r="X544" s="4">
        <f>DATEVALUE(TEXT(DbLinkTable[[#This Row],[Date Received]],"MMMM YYYY"))</f>
        <v>42156</v>
      </c>
      <c r="Y544" s="4">
        <f>INT(DbLinkTable[[#This Row],[Date Received]])</f>
        <v>42170</v>
      </c>
    </row>
    <row r="545" spans="1:25">
      <c r="A545">
        <v>11909</v>
      </c>
      <c r="B545" t="s">
        <v>43</v>
      </c>
      <c r="D545">
        <v>900</v>
      </c>
      <c r="E545" t="s">
        <v>1504</v>
      </c>
      <c r="F545" s="4">
        <v>42170</v>
      </c>
      <c r="G545" s="4" t="s">
        <v>192</v>
      </c>
      <c r="H545" s="4"/>
      <c r="I545" s="4">
        <v>0</v>
      </c>
      <c r="J545" s="4"/>
      <c r="K545" s="4"/>
      <c r="L545" s="4"/>
      <c r="M545" s="4"/>
      <c r="N545" s="4"/>
      <c r="O545" s="4">
        <v>0</v>
      </c>
      <c r="P545" s="4">
        <v>42172.674178240741</v>
      </c>
      <c r="Q545" s="4"/>
      <c r="R545" s="4"/>
      <c r="S545" s="79">
        <f>DbLinkTable[[#This Row],[Credit]]+DbLinkTable[[#This Row],[Charge]]</f>
        <v>0</v>
      </c>
      <c r="T545" s="79">
        <f>IF(DbLinkTable[[#This Row],[Price/lb]]*DbLinkTable[[#This Row],[Weight]]&gt;0,DbLinkTable[[#This Row],[Price/lb]]*DbLinkTable[[#This Row],[Weight]],0)</f>
        <v>0</v>
      </c>
      <c r="U545" s="79">
        <f>IF(DbLinkTable[[#This Row],[Price/lb]]*DbLinkTable[[#This Row],[Weight]]&lt;0,DbLinkTable[[#This Row],[Price/lb]]*DbLinkTable[[#This Row],[Weight]],0)</f>
        <v>0</v>
      </c>
      <c r="V545" s="4" t="str">
        <f>IF(COUNTIF($W$2:W545,W545)=1,1,"")</f>
        <v/>
      </c>
      <c r="W545" s="4" t="str">
        <f>CONCATENATE(DbLinkTable[[#This Row],[Customer]],UPPER(DbLinkTable[[#This Row],[Trailer Number]]),DbLinkTable[[#This Row],[Day Received]])</f>
        <v>Company1442170</v>
      </c>
      <c r="X545" s="4">
        <f>DATEVALUE(TEXT(DbLinkTable[[#This Row],[Date Received]],"MMMM YYYY"))</f>
        <v>42156</v>
      </c>
      <c r="Y545" s="4">
        <f>INT(DbLinkTable[[#This Row],[Date Received]])</f>
        <v>42170</v>
      </c>
    </row>
    <row r="546" spans="1:25">
      <c r="A546">
        <v>11910</v>
      </c>
      <c r="B546" t="s">
        <v>43</v>
      </c>
      <c r="D546">
        <v>510</v>
      </c>
      <c r="E546" t="s">
        <v>1504</v>
      </c>
      <c r="F546" s="4">
        <v>42170</v>
      </c>
      <c r="G546" s="4" t="s">
        <v>192</v>
      </c>
      <c r="H546" s="4"/>
      <c r="I546" s="4">
        <v>0</v>
      </c>
      <c r="J546" s="4"/>
      <c r="K546" s="4"/>
      <c r="L546" s="4"/>
      <c r="M546" s="4"/>
      <c r="N546" s="4"/>
      <c r="O546" s="4">
        <v>0</v>
      </c>
      <c r="P546" s="4">
        <v>42172.674224537041</v>
      </c>
      <c r="Q546" s="4"/>
      <c r="R546" s="4"/>
      <c r="S546" s="79">
        <f>DbLinkTable[[#This Row],[Credit]]+DbLinkTable[[#This Row],[Charge]]</f>
        <v>0</v>
      </c>
      <c r="T546" s="79">
        <f>IF(DbLinkTable[[#This Row],[Price/lb]]*DbLinkTable[[#This Row],[Weight]]&gt;0,DbLinkTable[[#This Row],[Price/lb]]*DbLinkTable[[#This Row],[Weight]],0)</f>
        <v>0</v>
      </c>
      <c r="U546" s="79">
        <f>IF(DbLinkTable[[#This Row],[Price/lb]]*DbLinkTable[[#This Row],[Weight]]&lt;0,DbLinkTable[[#This Row],[Price/lb]]*DbLinkTable[[#This Row],[Weight]],0)</f>
        <v>0</v>
      </c>
      <c r="V546" s="4" t="str">
        <f>IF(COUNTIF($W$2:W546,W546)=1,1,"")</f>
        <v/>
      </c>
      <c r="W546" s="4" t="str">
        <f>CONCATENATE(DbLinkTable[[#This Row],[Customer]],UPPER(DbLinkTable[[#This Row],[Trailer Number]]),DbLinkTable[[#This Row],[Day Received]])</f>
        <v>Company1442170</v>
      </c>
      <c r="X546" s="4">
        <f>DATEVALUE(TEXT(DbLinkTable[[#This Row],[Date Received]],"MMMM YYYY"))</f>
        <v>42156</v>
      </c>
      <c r="Y546" s="4">
        <f>INT(DbLinkTable[[#This Row],[Date Received]])</f>
        <v>42170</v>
      </c>
    </row>
    <row r="547" spans="1:25">
      <c r="A547">
        <v>11911</v>
      </c>
      <c r="B547" t="s">
        <v>43</v>
      </c>
      <c r="D547">
        <v>550</v>
      </c>
      <c r="E547" t="s">
        <v>1504</v>
      </c>
      <c r="F547" s="4">
        <v>42170</v>
      </c>
      <c r="G547" s="4" t="s">
        <v>192</v>
      </c>
      <c r="H547" s="4"/>
      <c r="I547" s="4">
        <v>0</v>
      </c>
      <c r="J547" s="4"/>
      <c r="K547" s="4"/>
      <c r="L547" s="4"/>
      <c r="M547" s="4"/>
      <c r="N547" s="4"/>
      <c r="O547" s="4">
        <v>0</v>
      </c>
      <c r="P547" s="4">
        <v>42172.674305555556</v>
      </c>
      <c r="Q547" s="4"/>
      <c r="R547" s="4"/>
      <c r="S547" s="79">
        <f>DbLinkTable[[#This Row],[Credit]]+DbLinkTable[[#This Row],[Charge]]</f>
        <v>0</v>
      </c>
      <c r="T547" s="79">
        <f>IF(DbLinkTable[[#This Row],[Price/lb]]*DbLinkTable[[#This Row],[Weight]]&gt;0,DbLinkTable[[#This Row],[Price/lb]]*DbLinkTable[[#This Row],[Weight]],0)</f>
        <v>0</v>
      </c>
      <c r="U547" s="79">
        <f>IF(DbLinkTable[[#This Row],[Price/lb]]*DbLinkTable[[#This Row],[Weight]]&lt;0,DbLinkTable[[#This Row],[Price/lb]]*DbLinkTable[[#This Row],[Weight]],0)</f>
        <v>0</v>
      </c>
      <c r="V547" s="4" t="str">
        <f>IF(COUNTIF($W$2:W547,W547)=1,1,"")</f>
        <v/>
      </c>
      <c r="W547" s="4" t="str">
        <f>CONCATENATE(DbLinkTable[[#This Row],[Customer]],UPPER(DbLinkTable[[#This Row],[Trailer Number]]),DbLinkTable[[#This Row],[Day Received]])</f>
        <v>Company1442170</v>
      </c>
      <c r="X547" s="4">
        <f>DATEVALUE(TEXT(DbLinkTable[[#This Row],[Date Received]],"MMMM YYYY"))</f>
        <v>42156</v>
      </c>
      <c r="Y547" s="4">
        <f>INT(DbLinkTable[[#This Row],[Date Received]])</f>
        <v>42170</v>
      </c>
    </row>
    <row r="548" spans="1:25">
      <c r="A548">
        <v>11912</v>
      </c>
      <c r="B548" t="s">
        <v>43</v>
      </c>
      <c r="D548">
        <v>975</v>
      </c>
      <c r="E548" t="s">
        <v>1504</v>
      </c>
      <c r="F548" s="4">
        <v>42170</v>
      </c>
      <c r="G548" s="4" t="s">
        <v>192</v>
      </c>
      <c r="H548" s="4"/>
      <c r="I548" s="4">
        <v>0</v>
      </c>
      <c r="J548" s="4"/>
      <c r="K548" s="4"/>
      <c r="L548" s="4"/>
      <c r="M548" s="4"/>
      <c r="N548" s="4"/>
      <c r="O548" s="4">
        <v>0</v>
      </c>
      <c r="P548" s="4">
        <v>42172.674363425926</v>
      </c>
      <c r="Q548" s="4"/>
      <c r="R548" s="4"/>
      <c r="S548" s="79">
        <f>DbLinkTable[[#This Row],[Credit]]+DbLinkTable[[#This Row],[Charge]]</f>
        <v>0</v>
      </c>
      <c r="T548" s="79">
        <f>IF(DbLinkTable[[#This Row],[Price/lb]]*DbLinkTable[[#This Row],[Weight]]&gt;0,DbLinkTable[[#This Row],[Price/lb]]*DbLinkTable[[#This Row],[Weight]],0)</f>
        <v>0</v>
      </c>
      <c r="U548" s="79">
        <f>IF(DbLinkTable[[#This Row],[Price/lb]]*DbLinkTable[[#This Row],[Weight]]&lt;0,DbLinkTable[[#This Row],[Price/lb]]*DbLinkTable[[#This Row],[Weight]],0)</f>
        <v>0</v>
      </c>
      <c r="V548" s="4" t="str">
        <f>IF(COUNTIF($W$2:W548,W548)=1,1,"")</f>
        <v/>
      </c>
      <c r="W548" s="4" t="str">
        <f>CONCATENATE(DbLinkTable[[#This Row],[Customer]],UPPER(DbLinkTable[[#This Row],[Trailer Number]]),DbLinkTable[[#This Row],[Day Received]])</f>
        <v>Company1442170</v>
      </c>
      <c r="X548" s="4">
        <f>DATEVALUE(TEXT(DbLinkTable[[#This Row],[Date Received]],"MMMM YYYY"))</f>
        <v>42156</v>
      </c>
      <c r="Y548" s="4">
        <f>INT(DbLinkTable[[#This Row],[Date Received]])</f>
        <v>42170</v>
      </c>
    </row>
    <row r="549" spans="1:25">
      <c r="A549">
        <v>11913</v>
      </c>
      <c r="B549" t="s">
        <v>43</v>
      </c>
      <c r="D549">
        <v>530</v>
      </c>
      <c r="E549" t="s">
        <v>1504</v>
      </c>
      <c r="F549" s="4">
        <v>42170</v>
      </c>
      <c r="G549" s="4" t="s">
        <v>192</v>
      </c>
      <c r="H549" s="4"/>
      <c r="I549" s="4">
        <v>0</v>
      </c>
      <c r="J549" s="4"/>
      <c r="K549" s="4"/>
      <c r="L549" s="4"/>
      <c r="M549" s="4"/>
      <c r="N549" s="4"/>
      <c r="O549" s="4">
        <v>0</v>
      </c>
      <c r="P549" s="4">
        <v>42172.674467592595</v>
      </c>
      <c r="Q549" s="4"/>
      <c r="R549" s="4"/>
      <c r="S549" s="79">
        <f>DbLinkTable[[#This Row],[Credit]]+DbLinkTable[[#This Row],[Charge]]</f>
        <v>0</v>
      </c>
      <c r="T549" s="79">
        <f>IF(DbLinkTable[[#This Row],[Price/lb]]*DbLinkTable[[#This Row],[Weight]]&gt;0,DbLinkTable[[#This Row],[Price/lb]]*DbLinkTable[[#This Row],[Weight]],0)</f>
        <v>0</v>
      </c>
      <c r="U549" s="79">
        <f>IF(DbLinkTable[[#This Row],[Price/lb]]*DbLinkTable[[#This Row],[Weight]]&lt;0,DbLinkTable[[#This Row],[Price/lb]]*DbLinkTable[[#This Row],[Weight]],0)</f>
        <v>0</v>
      </c>
      <c r="V549" s="4" t="str">
        <f>IF(COUNTIF($W$2:W549,W549)=1,1,"")</f>
        <v/>
      </c>
      <c r="W549" s="4" t="str">
        <f>CONCATENATE(DbLinkTable[[#This Row],[Customer]],UPPER(DbLinkTable[[#This Row],[Trailer Number]]),DbLinkTable[[#This Row],[Day Received]])</f>
        <v>Company1442170</v>
      </c>
      <c r="X549" s="4">
        <f>DATEVALUE(TEXT(DbLinkTable[[#This Row],[Date Received]],"MMMM YYYY"))</f>
        <v>42156</v>
      </c>
      <c r="Y549" s="4">
        <f>INT(DbLinkTable[[#This Row],[Date Received]])</f>
        <v>42170</v>
      </c>
    </row>
    <row r="550" spans="1:25">
      <c r="A550">
        <v>11914</v>
      </c>
      <c r="B550" t="s">
        <v>43</v>
      </c>
      <c r="D550">
        <v>640</v>
      </c>
      <c r="E550" t="s">
        <v>1504</v>
      </c>
      <c r="F550" s="4">
        <v>42170</v>
      </c>
      <c r="G550" s="4" t="s">
        <v>192</v>
      </c>
      <c r="H550" s="4"/>
      <c r="I550" s="4">
        <v>0</v>
      </c>
      <c r="J550" s="4"/>
      <c r="K550" s="4"/>
      <c r="L550" s="4"/>
      <c r="M550" s="4"/>
      <c r="N550" s="4"/>
      <c r="O550" s="4">
        <v>0</v>
      </c>
      <c r="P550" s="4">
        <v>42172.674525462964</v>
      </c>
      <c r="Q550" s="4"/>
      <c r="R550" s="4"/>
      <c r="S550" s="79">
        <f>DbLinkTable[[#This Row],[Credit]]+DbLinkTable[[#This Row],[Charge]]</f>
        <v>0</v>
      </c>
      <c r="T550" s="79">
        <f>IF(DbLinkTable[[#This Row],[Price/lb]]*DbLinkTable[[#This Row],[Weight]]&gt;0,DbLinkTable[[#This Row],[Price/lb]]*DbLinkTable[[#This Row],[Weight]],0)</f>
        <v>0</v>
      </c>
      <c r="U550" s="79">
        <f>IF(DbLinkTable[[#This Row],[Price/lb]]*DbLinkTable[[#This Row],[Weight]]&lt;0,DbLinkTable[[#This Row],[Price/lb]]*DbLinkTable[[#This Row],[Weight]],0)</f>
        <v>0</v>
      </c>
      <c r="V550" s="4" t="str">
        <f>IF(COUNTIF($W$2:W550,W550)=1,1,"")</f>
        <v/>
      </c>
      <c r="W550" s="4" t="str">
        <f>CONCATENATE(DbLinkTable[[#This Row],[Customer]],UPPER(DbLinkTable[[#This Row],[Trailer Number]]),DbLinkTable[[#This Row],[Day Received]])</f>
        <v>Company1442170</v>
      </c>
      <c r="X550" s="4">
        <f>DATEVALUE(TEXT(DbLinkTable[[#This Row],[Date Received]],"MMMM YYYY"))</f>
        <v>42156</v>
      </c>
      <c r="Y550" s="4">
        <f>INT(DbLinkTable[[#This Row],[Date Received]])</f>
        <v>42170</v>
      </c>
    </row>
    <row r="551" spans="1:25">
      <c r="A551">
        <v>11915</v>
      </c>
      <c r="B551" t="s">
        <v>43</v>
      </c>
      <c r="D551">
        <v>200</v>
      </c>
      <c r="E551" t="s">
        <v>1504</v>
      </c>
      <c r="F551" s="4">
        <v>42170</v>
      </c>
      <c r="G551" s="4" t="s">
        <v>192</v>
      </c>
      <c r="H551" s="4"/>
      <c r="I551" s="4">
        <v>0</v>
      </c>
      <c r="J551" s="4"/>
      <c r="K551" s="4"/>
      <c r="L551" s="4"/>
      <c r="M551" s="4"/>
      <c r="N551" s="4"/>
      <c r="O551" s="4">
        <v>0</v>
      </c>
      <c r="P551" s="4">
        <v>42172.67460648148</v>
      </c>
      <c r="Q551" s="4"/>
      <c r="R551" s="4"/>
      <c r="S551" s="79">
        <f>DbLinkTable[[#This Row],[Credit]]+DbLinkTable[[#This Row],[Charge]]</f>
        <v>0</v>
      </c>
      <c r="T551" s="79">
        <f>IF(DbLinkTable[[#This Row],[Price/lb]]*DbLinkTable[[#This Row],[Weight]]&gt;0,DbLinkTable[[#This Row],[Price/lb]]*DbLinkTable[[#This Row],[Weight]],0)</f>
        <v>0</v>
      </c>
      <c r="U551" s="79">
        <f>IF(DbLinkTable[[#This Row],[Price/lb]]*DbLinkTable[[#This Row],[Weight]]&lt;0,DbLinkTable[[#This Row],[Price/lb]]*DbLinkTable[[#This Row],[Weight]],0)</f>
        <v>0</v>
      </c>
      <c r="V551" s="4" t="str">
        <f>IF(COUNTIF($W$2:W551,W551)=1,1,"")</f>
        <v/>
      </c>
      <c r="W551" s="4" t="str">
        <f>CONCATENATE(DbLinkTable[[#This Row],[Customer]],UPPER(DbLinkTable[[#This Row],[Trailer Number]]),DbLinkTable[[#This Row],[Day Received]])</f>
        <v>Company1442170</v>
      </c>
      <c r="X551" s="4">
        <f>DATEVALUE(TEXT(DbLinkTable[[#This Row],[Date Received]],"MMMM YYYY"))</f>
        <v>42156</v>
      </c>
      <c r="Y551" s="4">
        <f>INT(DbLinkTable[[#This Row],[Date Received]])</f>
        <v>42170</v>
      </c>
    </row>
    <row r="552" spans="1:25">
      <c r="A552">
        <v>11916</v>
      </c>
      <c r="B552" t="s">
        <v>43</v>
      </c>
      <c r="D552">
        <v>680</v>
      </c>
      <c r="E552" t="s">
        <v>1504</v>
      </c>
      <c r="F552" s="4">
        <v>42170</v>
      </c>
      <c r="G552" s="4" t="s">
        <v>192</v>
      </c>
      <c r="H552" s="4"/>
      <c r="I552" s="4">
        <v>0</v>
      </c>
      <c r="J552" s="4"/>
      <c r="K552" s="4"/>
      <c r="L552" s="4"/>
      <c r="M552" s="4"/>
      <c r="N552" s="4"/>
      <c r="O552" s="4">
        <v>0</v>
      </c>
      <c r="P552" s="4">
        <v>42172.674664351849</v>
      </c>
      <c r="Q552" s="4"/>
      <c r="R552" s="4"/>
      <c r="S552" s="79">
        <f>DbLinkTable[[#This Row],[Credit]]+DbLinkTable[[#This Row],[Charge]]</f>
        <v>0</v>
      </c>
      <c r="T552" s="79">
        <f>IF(DbLinkTable[[#This Row],[Price/lb]]*DbLinkTable[[#This Row],[Weight]]&gt;0,DbLinkTable[[#This Row],[Price/lb]]*DbLinkTable[[#This Row],[Weight]],0)</f>
        <v>0</v>
      </c>
      <c r="U552" s="79">
        <f>IF(DbLinkTable[[#This Row],[Price/lb]]*DbLinkTable[[#This Row],[Weight]]&lt;0,DbLinkTable[[#This Row],[Price/lb]]*DbLinkTable[[#This Row],[Weight]],0)</f>
        <v>0</v>
      </c>
      <c r="V552" s="4" t="str">
        <f>IF(COUNTIF($W$2:W552,W552)=1,1,"")</f>
        <v/>
      </c>
      <c r="W552" s="4" t="str">
        <f>CONCATENATE(DbLinkTable[[#This Row],[Customer]],UPPER(DbLinkTable[[#This Row],[Trailer Number]]),DbLinkTable[[#This Row],[Day Received]])</f>
        <v>Company1442170</v>
      </c>
      <c r="X552" s="4">
        <f>DATEVALUE(TEXT(DbLinkTable[[#This Row],[Date Received]],"MMMM YYYY"))</f>
        <v>42156</v>
      </c>
      <c r="Y552" s="4">
        <f>INT(DbLinkTable[[#This Row],[Date Received]])</f>
        <v>42170</v>
      </c>
    </row>
    <row r="553" spans="1:25">
      <c r="A553">
        <v>11917</v>
      </c>
      <c r="B553" t="s">
        <v>43</v>
      </c>
      <c r="D553">
        <v>760</v>
      </c>
      <c r="E553" t="s">
        <v>1504</v>
      </c>
      <c r="F553" s="4">
        <v>42170</v>
      </c>
      <c r="G553" s="4" t="s">
        <v>192</v>
      </c>
      <c r="H553" s="4"/>
      <c r="I553" s="4">
        <v>0</v>
      </c>
      <c r="J553" s="4"/>
      <c r="K553" s="4"/>
      <c r="L553" s="4"/>
      <c r="M553" s="4"/>
      <c r="N553" s="4"/>
      <c r="O553" s="4">
        <v>0</v>
      </c>
      <c r="P553" s="4">
        <v>42172.674756944441</v>
      </c>
      <c r="Q553" s="4"/>
      <c r="R553" s="4"/>
      <c r="S553" s="79">
        <f>DbLinkTable[[#This Row],[Credit]]+DbLinkTable[[#This Row],[Charge]]</f>
        <v>0</v>
      </c>
      <c r="T553" s="79">
        <f>IF(DbLinkTable[[#This Row],[Price/lb]]*DbLinkTable[[#This Row],[Weight]]&gt;0,DbLinkTable[[#This Row],[Price/lb]]*DbLinkTable[[#This Row],[Weight]],0)</f>
        <v>0</v>
      </c>
      <c r="U553" s="79">
        <f>IF(DbLinkTable[[#This Row],[Price/lb]]*DbLinkTable[[#This Row],[Weight]]&lt;0,DbLinkTable[[#This Row],[Price/lb]]*DbLinkTable[[#This Row],[Weight]],0)</f>
        <v>0</v>
      </c>
      <c r="V553" s="4" t="str">
        <f>IF(COUNTIF($W$2:W553,W553)=1,1,"")</f>
        <v/>
      </c>
      <c r="W553" s="4" t="str">
        <f>CONCATENATE(DbLinkTable[[#This Row],[Customer]],UPPER(DbLinkTable[[#This Row],[Trailer Number]]),DbLinkTable[[#This Row],[Day Received]])</f>
        <v>Company1442170</v>
      </c>
      <c r="X553" s="4">
        <f>DATEVALUE(TEXT(DbLinkTable[[#This Row],[Date Received]],"MMMM YYYY"))</f>
        <v>42156</v>
      </c>
      <c r="Y553" s="4">
        <f>INT(DbLinkTable[[#This Row],[Date Received]])</f>
        <v>42170</v>
      </c>
    </row>
    <row r="554" spans="1:25">
      <c r="A554">
        <v>11918</v>
      </c>
      <c r="B554" t="s">
        <v>43</v>
      </c>
      <c r="D554">
        <v>650</v>
      </c>
      <c r="E554" t="s">
        <v>1504</v>
      </c>
      <c r="F554" s="4">
        <v>42170</v>
      </c>
      <c r="G554" s="4" t="s">
        <v>192</v>
      </c>
      <c r="H554" s="4"/>
      <c r="I554" s="4">
        <v>0</v>
      </c>
      <c r="J554" s="4"/>
      <c r="K554" s="4"/>
      <c r="L554" s="4"/>
      <c r="M554" s="4"/>
      <c r="N554" s="4"/>
      <c r="O554" s="4">
        <v>0</v>
      </c>
      <c r="P554" s="4">
        <v>42172.674803240741</v>
      </c>
      <c r="Q554" s="4"/>
      <c r="R554" s="4"/>
      <c r="S554" s="79">
        <f>DbLinkTable[[#This Row],[Credit]]+DbLinkTable[[#This Row],[Charge]]</f>
        <v>0</v>
      </c>
      <c r="T554" s="79">
        <f>IF(DbLinkTable[[#This Row],[Price/lb]]*DbLinkTable[[#This Row],[Weight]]&gt;0,DbLinkTable[[#This Row],[Price/lb]]*DbLinkTable[[#This Row],[Weight]],0)</f>
        <v>0</v>
      </c>
      <c r="U554" s="79">
        <f>IF(DbLinkTable[[#This Row],[Price/lb]]*DbLinkTable[[#This Row],[Weight]]&lt;0,DbLinkTable[[#This Row],[Price/lb]]*DbLinkTable[[#This Row],[Weight]],0)</f>
        <v>0</v>
      </c>
      <c r="V554" s="4" t="str">
        <f>IF(COUNTIF($W$2:W554,W554)=1,1,"")</f>
        <v/>
      </c>
      <c r="W554" s="4" t="str">
        <f>CONCATENATE(DbLinkTable[[#This Row],[Customer]],UPPER(DbLinkTable[[#This Row],[Trailer Number]]),DbLinkTable[[#This Row],[Day Received]])</f>
        <v>Company1442170</v>
      </c>
      <c r="X554" s="4">
        <f>DATEVALUE(TEXT(DbLinkTable[[#This Row],[Date Received]],"MMMM YYYY"))</f>
        <v>42156</v>
      </c>
      <c r="Y554" s="4">
        <f>INT(DbLinkTable[[#This Row],[Date Received]])</f>
        <v>42170</v>
      </c>
    </row>
    <row r="555" spans="1:25">
      <c r="A555">
        <v>11919</v>
      </c>
      <c r="B555" t="s">
        <v>43</v>
      </c>
      <c r="D555">
        <v>285</v>
      </c>
      <c r="E555" t="s">
        <v>1504</v>
      </c>
      <c r="F555" s="4">
        <v>42170</v>
      </c>
      <c r="G555" s="4" t="s">
        <v>192</v>
      </c>
      <c r="H555" s="4"/>
      <c r="I555" s="4">
        <v>0</v>
      </c>
      <c r="J555" s="4"/>
      <c r="K555" s="4"/>
      <c r="L555" s="4"/>
      <c r="M555" s="4"/>
      <c r="N555" s="4"/>
      <c r="O555" s="4">
        <v>0</v>
      </c>
      <c r="P555" s="4">
        <v>42172.674930555557</v>
      </c>
      <c r="Q555" s="4"/>
      <c r="R555" s="4"/>
      <c r="S555" s="79">
        <f>DbLinkTable[[#This Row],[Credit]]+DbLinkTable[[#This Row],[Charge]]</f>
        <v>0</v>
      </c>
      <c r="T555" s="79">
        <f>IF(DbLinkTable[[#This Row],[Price/lb]]*DbLinkTable[[#This Row],[Weight]]&gt;0,DbLinkTable[[#This Row],[Price/lb]]*DbLinkTable[[#This Row],[Weight]],0)</f>
        <v>0</v>
      </c>
      <c r="U555" s="79">
        <f>IF(DbLinkTable[[#This Row],[Price/lb]]*DbLinkTable[[#This Row],[Weight]]&lt;0,DbLinkTable[[#This Row],[Price/lb]]*DbLinkTable[[#This Row],[Weight]],0)</f>
        <v>0</v>
      </c>
      <c r="V555" s="4" t="str">
        <f>IF(COUNTIF($W$2:W555,W555)=1,1,"")</f>
        <v/>
      </c>
      <c r="W555" s="4" t="str">
        <f>CONCATENATE(DbLinkTable[[#This Row],[Customer]],UPPER(DbLinkTable[[#This Row],[Trailer Number]]),DbLinkTable[[#This Row],[Day Received]])</f>
        <v>Company1442170</v>
      </c>
      <c r="X555" s="4">
        <f>DATEVALUE(TEXT(DbLinkTable[[#This Row],[Date Received]],"MMMM YYYY"))</f>
        <v>42156</v>
      </c>
      <c r="Y555" s="4">
        <f>INT(DbLinkTable[[#This Row],[Date Received]])</f>
        <v>42170</v>
      </c>
    </row>
    <row r="556" spans="1:25">
      <c r="A556">
        <v>11971</v>
      </c>
      <c r="B556" t="s">
        <v>48</v>
      </c>
      <c r="D556">
        <v>238</v>
      </c>
      <c r="E556" t="s">
        <v>1504</v>
      </c>
      <c r="F556" s="4">
        <v>42172</v>
      </c>
      <c r="G556" s="4" t="s">
        <v>192</v>
      </c>
      <c r="H556" s="4" t="s">
        <v>1559</v>
      </c>
      <c r="I556" s="4">
        <v>0</v>
      </c>
      <c r="J556" s="4"/>
      <c r="K556" s="4"/>
      <c r="L556" s="4"/>
      <c r="M556" s="4"/>
      <c r="N556" s="4"/>
      <c r="O556" s="4">
        <v>0</v>
      </c>
      <c r="P556" s="4">
        <v>42179.35465277778</v>
      </c>
      <c r="Q556" s="4"/>
      <c r="R556" s="4"/>
      <c r="S556" s="79">
        <f>DbLinkTable[[#This Row],[Credit]]+DbLinkTable[[#This Row],[Charge]]</f>
        <v>0</v>
      </c>
      <c r="T556" s="79">
        <f>IF(DbLinkTable[[#This Row],[Price/lb]]*DbLinkTable[[#This Row],[Weight]]&gt;0,DbLinkTable[[#This Row],[Price/lb]]*DbLinkTable[[#This Row],[Weight]],0)</f>
        <v>0</v>
      </c>
      <c r="U556" s="79">
        <f>IF(DbLinkTable[[#This Row],[Price/lb]]*DbLinkTable[[#This Row],[Weight]]&lt;0,DbLinkTable[[#This Row],[Price/lb]]*DbLinkTable[[#This Row],[Weight]],0)</f>
        <v>0</v>
      </c>
      <c r="V556" s="4">
        <f>IF(COUNTIF($W$2:W556,W556)=1,1,"")</f>
        <v>1</v>
      </c>
      <c r="W556" s="4" t="str">
        <f>CONCATENATE(DbLinkTable[[#This Row],[Customer]],UPPER(DbLinkTable[[#This Row],[Trailer Number]]),DbLinkTable[[#This Row],[Day Received]])</f>
        <v>Company1445027142172</v>
      </c>
      <c r="X556" s="4">
        <f>DATEVALUE(TEXT(DbLinkTable[[#This Row],[Date Received]],"MMMM YYYY"))</f>
        <v>42156</v>
      </c>
      <c r="Y556" s="4">
        <f>INT(DbLinkTable[[#This Row],[Date Received]])</f>
        <v>42172</v>
      </c>
    </row>
    <row r="557" spans="1:25">
      <c r="A557">
        <v>11972</v>
      </c>
      <c r="B557" t="s">
        <v>48</v>
      </c>
      <c r="D557">
        <v>1140</v>
      </c>
      <c r="E557" t="s">
        <v>1504</v>
      </c>
      <c r="F557" s="4">
        <v>42172</v>
      </c>
      <c r="G557" s="4" t="s">
        <v>192</v>
      </c>
      <c r="H557" s="4" t="s">
        <v>1559</v>
      </c>
      <c r="I557" s="4">
        <v>0</v>
      </c>
      <c r="J557" s="4"/>
      <c r="K557" s="4"/>
      <c r="L557" s="4"/>
      <c r="M557" s="4"/>
      <c r="N557" s="4"/>
      <c r="O557" s="4">
        <v>0</v>
      </c>
      <c r="P557" s="4">
        <v>42179.362673611111</v>
      </c>
      <c r="Q557" s="4"/>
      <c r="R557" s="4"/>
      <c r="S557" s="79">
        <f>DbLinkTable[[#This Row],[Credit]]+DbLinkTable[[#This Row],[Charge]]</f>
        <v>0</v>
      </c>
      <c r="T557" s="79">
        <f>IF(DbLinkTable[[#This Row],[Price/lb]]*DbLinkTable[[#This Row],[Weight]]&gt;0,DbLinkTable[[#This Row],[Price/lb]]*DbLinkTable[[#This Row],[Weight]],0)</f>
        <v>0</v>
      </c>
      <c r="U557" s="79">
        <f>IF(DbLinkTable[[#This Row],[Price/lb]]*DbLinkTable[[#This Row],[Weight]]&lt;0,DbLinkTable[[#This Row],[Price/lb]]*DbLinkTable[[#This Row],[Weight]],0)</f>
        <v>0</v>
      </c>
      <c r="V557" s="4" t="str">
        <f>IF(COUNTIF($W$2:W557,W557)=1,1,"")</f>
        <v/>
      </c>
      <c r="W557" s="4" t="str">
        <f>CONCATENATE(DbLinkTable[[#This Row],[Customer]],UPPER(DbLinkTable[[#This Row],[Trailer Number]]),DbLinkTable[[#This Row],[Day Received]])</f>
        <v>Company1445027142172</v>
      </c>
      <c r="X557" s="4">
        <f>DATEVALUE(TEXT(DbLinkTable[[#This Row],[Date Received]],"MMMM YYYY"))</f>
        <v>42156</v>
      </c>
      <c r="Y557" s="4">
        <f>INT(DbLinkTable[[#This Row],[Date Received]])</f>
        <v>42172</v>
      </c>
    </row>
    <row r="558" spans="1:25">
      <c r="A558">
        <v>11973</v>
      </c>
      <c r="B558" t="s">
        <v>1510</v>
      </c>
      <c r="D558">
        <v>42</v>
      </c>
      <c r="E558" t="s">
        <v>1504</v>
      </c>
      <c r="F558" s="4">
        <v>42172</v>
      </c>
      <c r="G558" s="4" t="s">
        <v>192</v>
      </c>
      <c r="H558" s="4" t="s">
        <v>1559</v>
      </c>
      <c r="I558" s="4">
        <v>0</v>
      </c>
      <c r="J558" s="4"/>
      <c r="K558" s="4"/>
      <c r="L558" s="4"/>
      <c r="M558" s="4"/>
      <c r="N558" s="4"/>
      <c r="O558" s="4">
        <v>0</v>
      </c>
      <c r="P558" s="4">
        <v>42179.367777777778</v>
      </c>
      <c r="Q558" s="4"/>
      <c r="R558" s="4"/>
      <c r="S558" s="79">
        <f>DbLinkTable[[#This Row],[Credit]]+DbLinkTable[[#This Row],[Charge]]</f>
        <v>0</v>
      </c>
      <c r="T558" s="79">
        <f>IF(DbLinkTable[[#This Row],[Price/lb]]*DbLinkTable[[#This Row],[Weight]]&gt;0,DbLinkTable[[#This Row],[Price/lb]]*DbLinkTable[[#This Row],[Weight]],0)</f>
        <v>0</v>
      </c>
      <c r="U558" s="79">
        <f>IF(DbLinkTable[[#This Row],[Price/lb]]*DbLinkTable[[#This Row],[Weight]]&lt;0,DbLinkTable[[#This Row],[Price/lb]]*DbLinkTable[[#This Row],[Weight]],0)</f>
        <v>0</v>
      </c>
      <c r="V558" s="4" t="str">
        <f>IF(COUNTIF($W$2:W558,W558)=1,1,"")</f>
        <v/>
      </c>
      <c r="W558" s="4" t="str">
        <f>CONCATENATE(DbLinkTable[[#This Row],[Customer]],UPPER(DbLinkTable[[#This Row],[Trailer Number]]),DbLinkTable[[#This Row],[Day Received]])</f>
        <v>Company1445027142172</v>
      </c>
      <c r="X558" s="4">
        <f>DATEVALUE(TEXT(DbLinkTable[[#This Row],[Date Received]],"MMMM YYYY"))</f>
        <v>42156</v>
      </c>
      <c r="Y558" s="4">
        <f>INT(DbLinkTable[[#This Row],[Date Received]])</f>
        <v>42172</v>
      </c>
    </row>
    <row r="559" spans="1:25">
      <c r="A559">
        <v>11974</v>
      </c>
      <c r="B559" t="s">
        <v>1510</v>
      </c>
      <c r="D559">
        <v>43</v>
      </c>
      <c r="E559" t="s">
        <v>1504</v>
      </c>
      <c r="F559" s="4">
        <v>42172</v>
      </c>
      <c r="G559" s="4" t="s">
        <v>192</v>
      </c>
      <c r="H559" s="4" t="s">
        <v>1559</v>
      </c>
      <c r="I559" s="4">
        <v>0</v>
      </c>
      <c r="J559" s="4"/>
      <c r="K559" s="4"/>
      <c r="L559" s="4"/>
      <c r="M559" s="4"/>
      <c r="N559" s="4"/>
      <c r="O559" s="4">
        <v>0</v>
      </c>
      <c r="P559" s="4">
        <v>42179.371990740743</v>
      </c>
      <c r="Q559" s="4"/>
      <c r="R559" s="4"/>
      <c r="S559" s="79">
        <f>DbLinkTable[[#This Row],[Credit]]+DbLinkTable[[#This Row],[Charge]]</f>
        <v>0</v>
      </c>
      <c r="T559" s="79">
        <f>IF(DbLinkTable[[#This Row],[Price/lb]]*DbLinkTable[[#This Row],[Weight]]&gt;0,DbLinkTable[[#This Row],[Price/lb]]*DbLinkTable[[#This Row],[Weight]],0)</f>
        <v>0</v>
      </c>
      <c r="U559" s="79">
        <f>IF(DbLinkTable[[#This Row],[Price/lb]]*DbLinkTable[[#This Row],[Weight]]&lt;0,DbLinkTable[[#This Row],[Price/lb]]*DbLinkTable[[#This Row],[Weight]],0)</f>
        <v>0</v>
      </c>
      <c r="V559" s="4" t="str">
        <f>IF(COUNTIF($W$2:W559,W559)=1,1,"")</f>
        <v/>
      </c>
      <c r="W559" s="4" t="str">
        <f>CONCATENATE(DbLinkTable[[#This Row],[Customer]],UPPER(DbLinkTable[[#This Row],[Trailer Number]]),DbLinkTable[[#This Row],[Day Received]])</f>
        <v>Company1445027142172</v>
      </c>
      <c r="X559" s="4">
        <f>DATEVALUE(TEXT(DbLinkTable[[#This Row],[Date Received]],"MMMM YYYY"))</f>
        <v>42156</v>
      </c>
      <c r="Y559" s="4">
        <f>INT(DbLinkTable[[#This Row],[Date Received]])</f>
        <v>42172</v>
      </c>
    </row>
    <row r="560" spans="1:25">
      <c r="A560">
        <v>11975</v>
      </c>
      <c r="B560" t="s">
        <v>1527</v>
      </c>
      <c r="D560">
        <v>161</v>
      </c>
      <c r="E560" t="s">
        <v>1504</v>
      </c>
      <c r="F560" s="4">
        <v>42172</v>
      </c>
      <c r="G560" s="4" t="s">
        <v>192</v>
      </c>
      <c r="H560" s="4" t="s">
        <v>1559</v>
      </c>
      <c r="I560" s="4">
        <v>0</v>
      </c>
      <c r="J560" s="4"/>
      <c r="K560" s="4"/>
      <c r="L560" s="4"/>
      <c r="M560" s="4"/>
      <c r="N560" s="4"/>
      <c r="O560" s="4">
        <v>0</v>
      </c>
      <c r="P560" s="4">
        <v>42179.376250000001</v>
      </c>
      <c r="Q560" s="4"/>
      <c r="R560" s="4"/>
      <c r="S560" s="79">
        <f>DbLinkTable[[#This Row],[Credit]]+DbLinkTable[[#This Row],[Charge]]</f>
        <v>0</v>
      </c>
      <c r="T560" s="79">
        <f>IF(DbLinkTable[[#This Row],[Price/lb]]*DbLinkTable[[#This Row],[Weight]]&gt;0,DbLinkTable[[#This Row],[Price/lb]]*DbLinkTable[[#This Row],[Weight]],0)</f>
        <v>0</v>
      </c>
      <c r="U560" s="79">
        <f>IF(DbLinkTable[[#This Row],[Price/lb]]*DbLinkTable[[#This Row],[Weight]]&lt;0,DbLinkTable[[#This Row],[Price/lb]]*DbLinkTable[[#This Row],[Weight]],0)</f>
        <v>0</v>
      </c>
      <c r="V560" s="4" t="str">
        <f>IF(COUNTIF($W$2:W560,W560)=1,1,"")</f>
        <v/>
      </c>
      <c r="W560" s="4" t="str">
        <f>CONCATENATE(DbLinkTable[[#This Row],[Customer]],UPPER(DbLinkTable[[#This Row],[Trailer Number]]),DbLinkTable[[#This Row],[Day Received]])</f>
        <v>Company1445027142172</v>
      </c>
      <c r="X560" s="4">
        <f>DATEVALUE(TEXT(DbLinkTable[[#This Row],[Date Received]],"MMMM YYYY"))</f>
        <v>42156</v>
      </c>
      <c r="Y560" s="4">
        <f>INT(DbLinkTable[[#This Row],[Date Received]])</f>
        <v>42172</v>
      </c>
    </row>
    <row r="561" spans="1:25">
      <c r="A561">
        <v>11976</v>
      </c>
      <c r="B561" t="s">
        <v>46</v>
      </c>
      <c r="D561">
        <v>46</v>
      </c>
      <c r="E561" t="s">
        <v>1504</v>
      </c>
      <c r="F561" s="4">
        <v>42172</v>
      </c>
      <c r="G561" s="4" t="s">
        <v>192</v>
      </c>
      <c r="H561" s="4" t="s">
        <v>1559</v>
      </c>
      <c r="I561" s="4">
        <v>0</v>
      </c>
      <c r="J561" s="4"/>
      <c r="K561" s="4"/>
      <c r="L561" s="4"/>
      <c r="M561" s="4"/>
      <c r="N561" s="4"/>
      <c r="O561" s="4">
        <v>0</v>
      </c>
      <c r="P561" s="4">
        <v>42179.378460648149</v>
      </c>
      <c r="Q561" s="4"/>
      <c r="R561" s="4"/>
      <c r="S561" s="79">
        <f>DbLinkTable[[#This Row],[Credit]]+DbLinkTable[[#This Row],[Charge]]</f>
        <v>0</v>
      </c>
      <c r="T561" s="79">
        <f>IF(DbLinkTable[[#This Row],[Price/lb]]*DbLinkTable[[#This Row],[Weight]]&gt;0,DbLinkTable[[#This Row],[Price/lb]]*DbLinkTable[[#This Row],[Weight]],0)</f>
        <v>0</v>
      </c>
      <c r="U561" s="79">
        <f>IF(DbLinkTable[[#This Row],[Price/lb]]*DbLinkTable[[#This Row],[Weight]]&lt;0,DbLinkTable[[#This Row],[Price/lb]]*DbLinkTable[[#This Row],[Weight]],0)</f>
        <v>0</v>
      </c>
      <c r="V561" s="4" t="str">
        <f>IF(COUNTIF($W$2:W561,W561)=1,1,"")</f>
        <v/>
      </c>
      <c r="W561" s="4" t="str">
        <f>CONCATENATE(DbLinkTable[[#This Row],[Customer]],UPPER(DbLinkTable[[#This Row],[Trailer Number]]),DbLinkTable[[#This Row],[Day Received]])</f>
        <v>Company1445027142172</v>
      </c>
      <c r="X561" s="4">
        <f>DATEVALUE(TEXT(DbLinkTable[[#This Row],[Date Received]],"MMMM YYYY"))</f>
        <v>42156</v>
      </c>
      <c r="Y561" s="4">
        <f>INT(DbLinkTable[[#This Row],[Date Received]])</f>
        <v>42172</v>
      </c>
    </row>
    <row r="562" spans="1:25">
      <c r="A562">
        <v>11977</v>
      </c>
      <c r="B562" t="s">
        <v>48</v>
      </c>
      <c r="D562">
        <v>402</v>
      </c>
      <c r="E562" t="s">
        <v>1504</v>
      </c>
      <c r="F562" s="4">
        <v>42172</v>
      </c>
      <c r="G562" s="4" t="s">
        <v>192</v>
      </c>
      <c r="H562" s="4" t="s">
        <v>1559</v>
      </c>
      <c r="I562" s="4">
        <v>0</v>
      </c>
      <c r="J562" s="4"/>
      <c r="K562" s="4"/>
      <c r="L562" s="4"/>
      <c r="M562" s="4"/>
      <c r="N562" s="4"/>
      <c r="O562" s="4">
        <v>0</v>
      </c>
      <c r="P562" s="4">
        <v>42179.381574074076</v>
      </c>
      <c r="Q562" s="4"/>
      <c r="R562" s="4"/>
      <c r="S562" s="79">
        <f>DbLinkTable[[#This Row],[Credit]]+DbLinkTable[[#This Row],[Charge]]</f>
        <v>0</v>
      </c>
      <c r="T562" s="79">
        <f>IF(DbLinkTable[[#This Row],[Price/lb]]*DbLinkTable[[#This Row],[Weight]]&gt;0,DbLinkTable[[#This Row],[Price/lb]]*DbLinkTable[[#This Row],[Weight]],0)</f>
        <v>0</v>
      </c>
      <c r="U562" s="79">
        <f>IF(DbLinkTable[[#This Row],[Price/lb]]*DbLinkTable[[#This Row],[Weight]]&lt;0,DbLinkTable[[#This Row],[Price/lb]]*DbLinkTable[[#This Row],[Weight]],0)</f>
        <v>0</v>
      </c>
      <c r="V562" s="4" t="str">
        <f>IF(COUNTIF($W$2:W562,W562)=1,1,"")</f>
        <v/>
      </c>
      <c r="W562" s="4" t="str">
        <f>CONCATENATE(DbLinkTable[[#This Row],[Customer]],UPPER(DbLinkTable[[#This Row],[Trailer Number]]),DbLinkTable[[#This Row],[Day Received]])</f>
        <v>Company1445027142172</v>
      </c>
      <c r="X562" s="4">
        <f>DATEVALUE(TEXT(DbLinkTable[[#This Row],[Date Received]],"MMMM YYYY"))</f>
        <v>42156</v>
      </c>
      <c r="Y562" s="4">
        <f>INT(DbLinkTable[[#This Row],[Date Received]])</f>
        <v>42172</v>
      </c>
    </row>
    <row r="563" spans="1:25">
      <c r="A563">
        <v>11978</v>
      </c>
      <c r="B563" t="s">
        <v>1530</v>
      </c>
      <c r="D563">
        <v>152</v>
      </c>
      <c r="E563" t="s">
        <v>1504</v>
      </c>
      <c r="F563" s="4">
        <v>42172</v>
      </c>
      <c r="G563" s="4" t="s">
        <v>192</v>
      </c>
      <c r="H563" s="4" t="s">
        <v>1559</v>
      </c>
      <c r="I563" s="4">
        <v>0</v>
      </c>
      <c r="J563" s="4"/>
      <c r="K563" s="4"/>
      <c r="L563" s="4"/>
      <c r="M563" s="4"/>
      <c r="N563" s="4"/>
      <c r="O563" s="4">
        <v>0</v>
      </c>
      <c r="P563" s="4">
        <v>42179.384918981479</v>
      </c>
      <c r="Q563" s="4"/>
      <c r="R563" s="4"/>
      <c r="S563" s="79">
        <f>DbLinkTable[[#This Row],[Credit]]+DbLinkTable[[#This Row],[Charge]]</f>
        <v>0</v>
      </c>
      <c r="T563" s="79">
        <f>IF(DbLinkTable[[#This Row],[Price/lb]]*DbLinkTable[[#This Row],[Weight]]&gt;0,DbLinkTable[[#This Row],[Price/lb]]*DbLinkTable[[#This Row],[Weight]],0)</f>
        <v>0</v>
      </c>
      <c r="U563" s="79">
        <f>IF(DbLinkTable[[#This Row],[Price/lb]]*DbLinkTable[[#This Row],[Weight]]&lt;0,DbLinkTable[[#This Row],[Price/lb]]*DbLinkTable[[#This Row],[Weight]],0)</f>
        <v>0</v>
      </c>
      <c r="V563" s="4" t="str">
        <f>IF(COUNTIF($W$2:W563,W563)=1,1,"")</f>
        <v/>
      </c>
      <c r="W563" s="4" t="str">
        <f>CONCATENATE(DbLinkTable[[#This Row],[Customer]],UPPER(DbLinkTable[[#This Row],[Trailer Number]]),DbLinkTable[[#This Row],[Day Received]])</f>
        <v>Company1445027142172</v>
      </c>
      <c r="X563" s="4">
        <f>DATEVALUE(TEXT(DbLinkTable[[#This Row],[Date Received]],"MMMM YYYY"))</f>
        <v>42156</v>
      </c>
      <c r="Y563" s="4">
        <f>INT(DbLinkTable[[#This Row],[Date Received]])</f>
        <v>42172</v>
      </c>
    </row>
    <row r="564" spans="1:25">
      <c r="A564">
        <v>11979</v>
      </c>
      <c r="B564" t="s">
        <v>45</v>
      </c>
      <c r="D564">
        <v>38</v>
      </c>
      <c r="E564" t="s">
        <v>1504</v>
      </c>
      <c r="F564" s="4">
        <v>42172</v>
      </c>
      <c r="G564" s="4" t="s">
        <v>192</v>
      </c>
      <c r="H564" s="4" t="s">
        <v>1559</v>
      </c>
      <c r="I564" s="4">
        <v>0</v>
      </c>
      <c r="J564" s="4"/>
      <c r="K564" s="4"/>
      <c r="L564" s="4"/>
      <c r="M564" s="4"/>
      <c r="N564" s="4"/>
      <c r="O564" s="4">
        <v>0</v>
      </c>
      <c r="P564" s="4">
        <v>42179.387418981481</v>
      </c>
      <c r="Q564" s="4"/>
      <c r="R564" s="4"/>
      <c r="S564" s="79">
        <f>DbLinkTable[[#This Row],[Credit]]+DbLinkTable[[#This Row],[Charge]]</f>
        <v>0</v>
      </c>
      <c r="T564" s="79">
        <f>IF(DbLinkTable[[#This Row],[Price/lb]]*DbLinkTable[[#This Row],[Weight]]&gt;0,DbLinkTable[[#This Row],[Price/lb]]*DbLinkTable[[#This Row],[Weight]],0)</f>
        <v>0</v>
      </c>
      <c r="U564" s="79">
        <f>IF(DbLinkTable[[#This Row],[Price/lb]]*DbLinkTable[[#This Row],[Weight]]&lt;0,DbLinkTable[[#This Row],[Price/lb]]*DbLinkTable[[#This Row],[Weight]],0)</f>
        <v>0</v>
      </c>
      <c r="V564" s="4" t="str">
        <f>IF(COUNTIF($W$2:W564,W564)=1,1,"")</f>
        <v/>
      </c>
      <c r="W564" s="4" t="str">
        <f>CONCATENATE(DbLinkTable[[#This Row],[Customer]],UPPER(DbLinkTable[[#This Row],[Trailer Number]]),DbLinkTable[[#This Row],[Day Received]])</f>
        <v>Company1445027142172</v>
      </c>
      <c r="X564" s="4">
        <f>DATEVALUE(TEXT(DbLinkTable[[#This Row],[Date Received]],"MMMM YYYY"))</f>
        <v>42156</v>
      </c>
      <c r="Y564" s="4">
        <f>INT(DbLinkTable[[#This Row],[Date Received]])</f>
        <v>42172</v>
      </c>
    </row>
    <row r="565" spans="1:25">
      <c r="A565">
        <v>11980</v>
      </c>
      <c r="B565" t="s">
        <v>47</v>
      </c>
      <c r="D565">
        <v>134</v>
      </c>
      <c r="E565" t="s">
        <v>1504</v>
      </c>
      <c r="F565" s="4">
        <v>42172</v>
      </c>
      <c r="G565" s="4" t="s">
        <v>192</v>
      </c>
      <c r="H565" s="4" t="s">
        <v>1559</v>
      </c>
      <c r="I565" s="4">
        <v>0</v>
      </c>
      <c r="J565" s="4"/>
      <c r="K565" s="4"/>
      <c r="L565" s="4"/>
      <c r="M565" s="4"/>
      <c r="N565" s="4"/>
      <c r="O565" s="4">
        <v>0</v>
      </c>
      <c r="P565" s="4">
        <v>42179.391967592594</v>
      </c>
      <c r="Q565" s="4"/>
      <c r="R565" s="4"/>
      <c r="S565" s="79">
        <f>DbLinkTable[[#This Row],[Credit]]+DbLinkTable[[#This Row],[Charge]]</f>
        <v>0</v>
      </c>
      <c r="T565" s="79">
        <f>IF(DbLinkTable[[#This Row],[Price/lb]]*DbLinkTable[[#This Row],[Weight]]&gt;0,DbLinkTable[[#This Row],[Price/lb]]*DbLinkTable[[#This Row],[Weight]],0)</f>
        <v>0</v>
      </c>
      <c r="U565" s="79">
        <f>IF(DbLinkTable[[#This Row],[Price/lb]]*DbLinkTable[[#This Row],[Weight]]&lt;0,DbLinkTable[[#This Row],[Price/lb]]*DbLinkTable[[#This Row],[Weight]],0)</f>
        <v>0</v>
      </c>
      <c r="V565" s="4" t="str">
        <f>IF(COUNTIF($W$2:W565,W565)=1,1,"")</f>
        <v/>
      </c>
      <c r="W565" s="4" t="str">
        <f>CONCATENATE(DbLinkTable[[#This Row],[Customer]],UPPER(DbLinkTable[[#This Row],[Trailer Number]]),DbLinkTable[[#This Row],[Day Received]])</f>
        <v>Company1445027142172</v>
      </c>
      <c r="X565" s="4">
        <f>DATEVALUE(TEXT(DbLinkTable[[#This Row],[Date Received]],"MMMM YYYY"))</f>
        <v>42156</v>
      </c>
      <c r="Y565" s="4">
        <f>INT(DbLinkTable[[#This Row],[Date Received]])</f>
        <v>42172</v>
      </c>
    </row>
    <row r="566" spans="1:25">
      <c r="A566">
        <v>11981</v>
      </c>
      <c r="B566" t="s">
        <v>45</v>
      </c>
      <c r="D566">
        <v>35</v>
      </c>
      <c r="E566" t="s">
        <v>1504</v>
      </c>
      <c r="F566" s="4">
        <v>42172</v>
      </c>
      <c r="G566" s="4" t="s">
        <v>192</v>
      </c>
      <c r="H566" s="4" t="s">
        <v>1559</v>
      </c>
      <c r="I566" s="4">
        <v>0</v>
      </c>
      <c r="J566" s="4"/>
      <c r="K566" s="4"/>
      <c r="L566" s="4"/>
      <c r="M566" s="4"/>
      <c r="N566" s="4"/>
      <c r="O566" s="4">
        <v>0</v>
      </c>
      <c r="P566" s="4">
        <v>42179.395138888889</v>
      </c>
      <c r="Q566" s="4"/>
      <c r="R566" s="4"/>
      <c r="S566" s="79">
        <f>DbLinkTable[[#This Row],[Credit]]+DbLinkTable[[#This Row],[Charge]]</f>
        <v>0</v>
      </c>
      <c r="T566" s="79">
        <f>IF(DbLinkTable[[#This Row],[Price/lb]]*DbLinkTable[[#This Row],[Weight]]&gt;0,DbLinkTable[[#This Row],[Price/lb]]*DbLinkTable[[#This Row],[Weight]],0)</f>
        <v>0</v>
      </c>
      <c r="U566" s="79">
        <f>IF(DbLinkTable[[#This Row],[Price/lb]]*DbLinkTable[[#This Row],[Weight]]&lt;0,DbLinkTable[[#This Row],[Price/lb]]*DbLinkTable[[#This Row],[Weight]],0)</f>
        <v>0</v>
      </c>
      <c r="V566" s="4" t="str">
        <f>IF(COUNTIF($W$2:W566,W566)=1,1,"")</f>
        <v/>
      </c>
      <c r="W566" s="4" t="str">
        <f>CONCATENATE(DbLinkTable[[#This Row],[Customer]],UPPER(DbLinkTable[[#This Row],[Trailer Number]]),DbLinkTable[[#This Row],[Day Received]])</f>
        <v>Company1445027142172</v>
      </c>
      <c r="X566" s="4">
        <f>DATEVALUE(TEXT(DbLinkTable[[#This Row],[Date Received]],"MMMM YYYY"))</f>
        <v>42156</v>
      </c>
      <c r="Y566" s="4">
        <f>INT(DbLinkTable[[#This Row],[Date Received]])</f>
        <v>42172</v>
      </c>
    </row>
    <row r="567" spans="1:25">
      <c r="A567">
        <v>11982</v>
      </c>
      <c r="B567" t="s">
        <v>1510</v>
      </c>
      <c r="D567">
        <v>10</v>
      </c>
      <c r="E567" t="s">
        <v>1504</v>
      </c>
      <c r="F567" s="4">
        <v>42172</v>
      </c>
      <c r="G567" s="4" t="s">
        <v>192</v>
      </c>
      <c r="H567" s="4" t="s">
        <v>1559</v>
      </c>
      <c r="I567" s="4">
        <v>0</v>
      </c>
      <c r="J567" s="4"/>
      <c r="K567" s="4"/>
      <c r="L567" s="4"/>
      <c r="M567" s="4"/>
      <c r="N567" s="4"/>
      <c r="O567" s="4">
        <v>0</v>
      </c>
      <c r="P567" s="4">
        <v>42179.396666666667</v>
      </c>
      <c r="Q567" s="4"/>
      <c r="R567" s="4"/>
      <c r="S567" s="79">
        <f>DbLinkTable[[#This Row],[Credit]]+DbLinkTable[[#This Row],[Charge]]</f>
        <v>0</v>
      </c>
      <c r="T567" s="79">
        <f>IF(DbLinkTable[[#This Row],[Price/lb]]*DbLinkTable[[#This Row],[Weight]]&gt;0,DbLinkTable[[#This Row],[Price/lb]]*DbLinkTable[[#This Row],[Weight]],0)</f>
        <v>0</v>
      </c>
      <c r="U567" s="79">
        <f>IF(DbLinkTable[[#This Row],[Price/lb]]*DbLinkTable[[#This Row],[Weight]]&lt;0,DbLinkTable[[#This Row],[Price/lb]]*DbLinkTable[[#This Row],[Weight]],0)</f>
        <v>0</v>
      </c>
      <c r="V567" s="4" t="str">
        <f>IF(COUNTIF($W$2:W567,W567)=1,1,"")</f>
        <v/>
      </c>
      <c r="W567" s="4" t="str">
        <f>CONCATENATE(DbLinkTable[[#This Row],[Customer]],UPPER(DbLinkTable[[#This Row],[Trailer Number]]),DbLinkTable[[#This Row],[Day Received]])</f>
        <v>Company1445027142172</v>
      </c>
      <c r="X567" s="4">
        <f>DATEVALUE(TEXT(DbLinkTable[[#This Row],[Date Received]],"MMMM YYYY"))</f>
        <v>42156</v>
      </c>
      <c r="Y567" s="4">
        <f>INT(DbLinkTable[[#This Row],[Date Received]])</f>
        <v>42172</v>
      </c>
    </row>
    <row r="568" spans="1:25">
      <c r="A568">
        <v>11983</v>
      </c>
      <c r="B568" t="s">
        <v>45</v>
      </c>
      <c r="D568">
        <v>18</v>
      </c>
      <c r="E568" t="s">
        <v>1504</v>
      </c>
      <c r="F568" s="4">
        <v>42172</v>
      </c>
      <c r="G568" s="4" t="s">
        <v>192</v>
      </c>
      <c r="H568" s="4" t="s">
        <v>1559</v>
      </c>
      <c r="I568" s="4">
        <v>0</v>
      </c>
      <c r="J568" s="4"/>
      <c r="K568" s="4"/>
      <c r="L568" s="4"/>
      <c r="M568" s="4"/>
      <c r="N568" s="4"/>
      <c r="O568" s="4">
        <v>0</v>
      </c>
      <c r="P568" s="4">
        <v>42179.399444444447</v>
      </c>
      <c r="Q568" s="4"/>
      <c r="R568" s="4"/>
      <c r="S568" s="79">
        <f>DbLinkTable[[#This Row],[Credit]]+DbLinkTable[[#This Row],[Charge]]</f>
        <v>0</v>
      </c>
      <c r="T568" s="79">
        <f>IF(DbLinkTable[[#This Row],[Price/lb]]*DbLinkTable[[#This Row],[Weight]]&gt;0,DbLinkTable[[#This Row],[Price/lb]]*DbLinkTable[[#This Row],[Weight]],0)</f>
        <v>0</v>
      </c>
      <c r="U568" s="79">
        <f>IF(DbLinkTable[[#This Row],[Price/lb]]*DbLinkTable[[#This Row],[Weight]]&lt;0,DbLinkTable[[#This Row],[Price/lb]]*DbLinkTable[[#This Row],[Weight]],0)</f>
        <v>0</v>
      </c>
      <c r="V568" s="4" t="str">
        <f>IF(COUNTIF($W$2:W568,W568)=1,1,"")</f>
        <v/>
      </c>
      <c r="W568" s="4" t="str">
        <f>CONCATENATE(DbLinkTable[[#This Row],[Customer]],UPPER(DbLinkTable[[#This Row],[Trailer Number]]),DbLinkTable[[#This Row],[Day Received]])</f>
        <v>Company1445027142172</v>
      </c>
      <c r="X568" s="4">
        <f>DATEVALUE(TEXT(DbLinkTable[[#This Row],[Date Received]],"MMMM YYYY"))</f>
        <v>42156</v>
      </c>
      <c r="Y568" s="4">
        <f>INT(DbLinkTable[[#This Row],[Date Received]])</f>
        <v>42172</v>
      </c>
    </row>
    <row r="569" spans="1:25">
      <c r="A569">
        <v>11984</v>
      </c>
      <c r="B569" t="s">
        <v>43</v>
      </c>
      <c r="D569">
        <v>404</v>
      </c>
      <c r="E569" t="s">
        <v>1504</v>
      </c>
      <c r="F569" s="4">
        <v>42172</v>
      </c>
      <c r="G569" s="4" t="s">
        <v>192</v>
      </c>
      <c r="H569" s="4" t="s">
        <v>1559</v>
      </c>
      <c r="I569" s="4">
        <v>0</v>
      </c>
      <c r="J569" s="4"/>
      <c r="K569" s="4"/>
      <c r="L569" s="4"/>
      <c r="M569" s="4"/>
      <c r="N569" s="4"/>
      <c r="O569" s="4">
        <v>0</v>
      </c>
      <c r="P569" s="4">
        <v>42179.40115740741</v>
      </c>
      <c r="Q569" s="4"/>
      <c r="R569" s="4"/>
      <c r="S569" s="79">
        <f>DbLinkTable[[#This Row],[Credit]]+DbLinkTable[[#This Row],[Charge]]</f>
        <v>0</v>
      </c>
      <c r="T569" s="79">
        <f>IF(DbLinkTable[[#This Row],[Price/lb]]*DbLinkTable[[#This Row],[Weight]]&gt;0,DbLinkTable[[#This Row],[Price/lb]]*DbLinkTable[[#This Row],[Weight]],0)</f>
        <v>0</v>
      </c>
      <c r="U569" s="79">
        <f>IF(DbLinkTable[[#This Row],[Price/lb]]*DbLinkTable[[#This Row],[Weight]]&lt;0,DbLinkTable[[#This Row],[Price/lb]]*DbLinkTable[[#This Row],[Weight]],0)</f>
        <v>0</v>
      </c>
      <c r="V569" s="4" t="str">
        <f>IF(COUNTIF($W$2:W569,W569)=1,1,"")</f>
        <v/>
      </c>
      <c r="W569" s="4" t="str">
        <f>CONCATENATE(DbLinkTable[[#This Row],[Customer]],UPPER(DbLinkTable[[#This Row],[Trailer Number]]),DbLinkTable[[#This Row],[Day Received]])</f>
        <v>Company1445027142172</v>
      </c>
      <c r="X569" s="4">
        <f>DATEVALUE(TEXT(DbLinkTable[[#This Row],[Date Received]],"MMMM YYYY"))</f>
        <v>42156</v>
      </c>
      <c r="Y569" s="4">
        <f>INT(DbLinkTable[[#This Row],[Date Received]])</f>
        <v>42172</v>
      </c>
    </row>
    <row r="570" spans="1:25">
      <c r="A570">
        <v>11985</v>
      </c>
      <c r="B570" t="s">
        <v>47</v>
      </c>
      <c r="D570">
        <v>504</v>
      </c>
      <c r="E570" t="s">
        <v>1504</v>
      </c>
      <c r="F570" s="4">
        <v>42172</v>
      </c>
      <c r="G570" s="4" t="s">
        <v>192</v>
      </c>
      <c r="H570" s="4" t="s">
        <v>1559</v>
      </c>
      <c r="I570" s="4">
        <v>0</v>
      </c>
      <c r="J570" s="4"/>
      <c r="K570" s="4"/>
      <c r="L570" s="4"/>
      <c r="M570" s="4"/>
      <c r="N570" s="4"/>
      <c r="O570" s="4">
        <v>0</v>
      </c>
      <c r="P570" s="4">
        <v>42179.406597222223</v>
      </c>
      <c r="Q570" s="4"/>
      <c r="R570" s="4"/>
      <c r="S570" s="79">
        <f>DbLinkTable[[#This Row],[Credit]]+DbLinkTable[[#This Row],[Charge]]</f>
        <v>0</v>
      </c>
      <c r="T570" s="79">
        <f>IF(DbLinkTable[[#This Row],[Price/lb]]*DbLinkTable[[#This Row],[Weight]]&gt;0,DbLinkTable[[#This Row],[Price/lb]]*DbLinkTable[[#This Row],[Weight]],0)</f>
        <v>0</v>
      </c>
      <c r="U570" s="79">
        <f>IF(DbLinkTable[[#This Row],[Price/lb]]*DbLinkTable[[#This Row],[Weight]]&lt;0,DbLinkTable[[#This Row],[Price/lb]]*DbLinkTable[[#This Row],[Weight]],0)</f>
        <v>0</v>
      </c>
      <c r="V570" s="4" t="str">
        <f>IF(COUNTIF($W$2:W570,W570)=1,1,"")</f>
        <v/>
      </c>
      <c r="W570" s="4" t="str">
        <f>CONCATENATE(DbLinkTable[[#This Row],[Customer]],UPPER(DbLinkTable[[#This Row],[Trailer Number]]),DbLinkTable[[#This Row],[Day Received]])</f>
        <v>Company1445027142172</v>
      </c>
      <c r="X570" s="4">
        <f>DATEVALUE(TEXT(DbLinkTable[[#This Row],[Date Received]],"MMMM YYYY"))</f>
        <v>42156</v>
      </c>
      <c r="Y570" s="4">
        <f>INT(DbLinkTable[[#This Row],[Date Received]])</f>
        <v>42172</v>
      </c>
    </row>
    <row r="571" spans="1:25">
      <c r="A571">
        <v>11986</v>
      </c>
      <c r="B571" t="s">
        <v>46</v>
      </c>
      <c r="D571">
        <v>1788</v>
      </c>
      <c r="E571" t="s">
        <v>1504</v>
      </c>
      <c r="F571" s="4">
        <v>42172</v>
      </c>
      <c r="G571" s="4" t="s">
        <v>192</v>
      </c>
      <c r="H571" s="4" t="s">
        <v>1559</v>
      </c>
      <c r="I571" s="4">
        <v>0</v>
      </c>
      <c r="J571" s="4"/>
      <c r="K571" s="4"/>
      <c r="L571" s="4"/>
      <c r="M571" s="4"/>
      <c r="N571" s="4"/>
      <c r="O571" s="4">
        <v>0</v>
      </c>
      <c r="P571" s="4">
        <v>42179.411724537036</v>
      </c>
      <c r="Q571" s="4"/>
      <c r="R571" s="4"/>
      <c r="S571" s="79">
        <f>DbLinkTable[[#This Row],[Credit]]+DbLinkTable[[#This Row],[Charge]]</f>
        <v>0</v>
      </c>
      <c r="T571" s="79">
        <f>IF(DbLinkTable[[#This Row],[Price/lb]]*DbLinkTable[[#This Row],[Weight]]&gt;0,DbLinkTable[[#This Row],[Price/lb]]*DbLinkTable[[#This Row],[Weight]],0)</f>
        <v>0</v>
      </c>
      <c r="U571" s="79">
        <f>IF(DbLinkTable[[#This Row],[Price/lb]]*DbLinkTable[[#This Row],[Weight]]&lt;0,DbLinkTable[[#This Row],[Price/lb]]*DbLinkTable[[#This Row],[Weight]],0)</f>
        <v>0</v>
      </c>
      <c r="V571" s="4" t="str">
        <f>IF(COUNTIF($W$2:W571,W571)=1,1,"")</f>
        <v/>
      </c>
      <c r="W571" s="4" t="str">
        <f>CONCATENATE(DbLinkTable[[#This Row],[Customer]],UPPER(DbLinkTable[[#This Row],[Trailer Number]]),DbLinkTable[[#This Row],[Day Received]])</f>
        <v>Company1445027142172</v>
      </c>
      <c r="X571" s="4">
        <f>DATEVALUE(TEXT(DbLinkTable[[#This Row],[Date Received]],"MMMM YYYY"))</f>
        <v>42156</v>
      </c>
      <c r="Y571" s="4">
        <f>INT(DbLinkTable[[#This Row],[Date Received]])</f>
        <v>42172</v>
      </c>
    </row>
    <row r="572" spans="1:25">
      <c r="A572">
        <v>11987</v>
      </c>
      <c r="B572" t="s">
        <v>1518</v>
      </c>
      <c r="D572">
        <v>252</v>
      </c>
      <c r="E572" t="s">
        <v>1504</v>
      </c>
      <c r="F572" s="4">
        <v>42172</v>
      </c>
      <c r="G572" s="4" t="s">
        <v>192</v>
      </c>
      <c r="H572" s="4" t="s">
        <v>1559</v>
      </c>
      <c r="I572" s="4">
        <v>0</v>
      </c>
      <c r="J572" s="4"/>
      <c r="K572" s="4"/>
      <c r="L572" s="4"/>
      <c r="M572" s="4"/>
      <c r="N572" s="4"/>
      <c r="O572" s="4">
        <v>0</v>
      </c>
      <c r="P572" s="4">
        <v>42179.429675925923</v>
      </c>
      <c r="Q572" s="4"/>
      <c r="R572" s="4"/>
      <c r="S572" s="79">
        <f>DbLinkTable[[#This Row],[Credit]]+DbLinkTable[[#This Row],[Charge]]</f>
        <v>0</v>
      </c>
      <c r="T572" s="79">
        <f>IF(DbLinkTable[[#This Row],[Price/lb]]*DbLinkTable[[#This Row],[Weight]]&gt;0,DbLinkTable[[#This Row],[Price/lb]]*DbLinkTable[[#This Row],[Weight]],0)</f>
        <v>0</v>
      </c>
      <c r="U572" s="79">
        <f>IF(DbLinkTable[[#This Row],[Price/lb]]*DbLinkTable[[#This Row],[Weight]]&lt;0,DbLinkTable[[#This Row],[Price/lb]]*DbLinkTable[[#This Row],[Weight]],0)</f>
        <v>0</v>
      </c>
      <c r="V572" s="4" t="str">
        <f>IF(COUNTIF($W$2:W572,W572)=1,1,"")</f>
        <v/>
      </c>
      <c r="W572" s="4" t="str">
        <f>CONCATENATE(DbLinkTable[[#This Row],[Customer]],UPPER(DbLinkTable[[#This Row],[Trailer Number]]),DbLinkTable[[#This Row],[Day Received]])</f>
        <v>Company1445027142172</v>
      </c>
      <c r="X572" s="4">
        <f>DATEVALUE(TEXT(DbLinkTable[[#This Row],[Date Received]],"MMMM YYYY"))</f>
        <v>42156</v>
      </c>
      <c r="Y572" s="4">
        <f>INT(DbLinkTable[[#This Row],[Date Received]])</f>
        <v>42172</v>
      </c>
    </row>
    <row r="573" spans="1:25">
      <c r="A573">
        <v>11988</v>
      </c>
      <c r="B573" t="s">
        <v>45</v>
      </c>
      <c r="D573">
        <v>83</v>
      </c>
      <c r="E573" t="s">
        <v>1504</v>
      </c>
      <c r="F573" s="4">
        <v>42172</v>
      </c>
      <c r="G573" s="4" t="s">
        <v>192</v>
      </c>
      <c r="H573" s="4" t="s">
        <v>1559</v>
      </c>
      <c r="I573" s="4">
        <v>0</v>
      </c>
      <c r="J573" s="4"/>
      <c r="K573" s="4"/>
      <c r="L573" s="4"/>
      <c r="M573" s="4"/>
      <c r="N573" s="4"/>
      <c r="O573" s="4">
        <v>0</v>
      </c>
      <c r="P573" s="4">
        <v>42179.433182870373</v>
      </c>
      <c r="Q573" s="4"/>
      <c r="R573" s="4"/>
      <c r="S573" s="79">
        <f>DbLinkTable[[#This Row],[Credit]]+DbLinkTable[[#This Row],[Charge]]</f>
        <v>0</v>
      </c>
      <c r="T573" s="79">
        <f>IF(DbLinkTable[[#This Row],[Price/lb]]*DbLinkTable[[#This Row],[Weight]]&gt;0,DbLinkTable[[#This Row],[Price/lb]]*DbLinkTable[[#This Row],[Weight]],0)</f>
        <v>0</v>
      </c>
      <c r="U573" s="79">
        <f>IF(DbLinkTable[[#This Row],[Price/lb]]*DbLinkTable[[#This Row],[Weight]]&lt;0,DbLinkTable[[#This Row],[Price/lb]]*DbLinkTable[[#This Row],[Weight]],0)</f>
        <v>0</v>
      </c>
      <c r="V573" s="4" t="str">
        <f>IF(COUNTIF($W$2:W573,W573)=1,1,"")</f>
        <v/>
      </c>
      <c r="W573" s="4" t="str">
        <f>CONCATENATE(DbLinkTable[[#This Row],[Customer]],UPPER(DbLinkTable[[#This Row],[Trailer Number]]),DbLinkTable[[#This Row],[Day Received]])</f>
        <v>Company1445027142172</v>
      </c>
      <c r="X573" s="4">
        <f>DATEVALUE(TEXT(DbLinkTable[[#This Row],[Date Received]],"MMMM YYYY"))</f>
        <v>42156</v>
      </c>
      <c r="Y573" s="4">
        <f>INT(DbLinkTable[[#This Row],[Date Received]])</f>
        <v>42172</v>
      </c>
    </row>
    <row r="574" spans="1:25">
      <c r="A574">
        <v>11989</v>
      </c>
      <c r="B574" t="s">
        <v>1502</v>
      </c>
      <c r="D574">
        <v>116</v>
      </c>
      <c r="E574" t="s">
        <v>1504</v>
      </c>
      <c r="F574" s="4">
        <v>42172</v>
      </c>
      <c r="G574" s="4" t="s">
        <v>192</v>
      </c>
      <c r="H574" s="4" t="s">
        <v>1559</v>
      </c>
      <c r="I574" s="4">
        <v>0</v>
      </c>
      <c r="J574" s="4"/>
      <c r="K574" s="4"/>
      <c r="L574" s="4"/>
      <c r="M574" s="4"/>
      <c r="N574" s="4"/>
      <c r="O574" s="4">
        <v>0</v>
      </c>
      <c r="P574" s="4">
        <v>42179.435439814813</v>
      </c>
      <c r="Q574" s="4"/>
      <c r="R574" s="4"/>
      <c r="S574" s="79">
        <f>DbLinkTable[[#This Row],[Credit]]+DbLinkTable[[#This Row],[Charge]]</f>
        <v>0</v>
      </c>
      <c r="T574" s="79">
        <f>IF(DbLinkTable[[#This Row],[Price/lb]]*DbLinkTable[[#This Row],[Weight]]&gt;0,DbLinkTable[[#This Row],[Price/lb]]*DbLinkTable[[#This Row],[Weight]],0)</f>
        <v>0</v>
      </c>
      <c r="U574" s="79">
        <f>IF(DbLinkTable[[#This Row],[Price/lb]]*DbLinkTable[[#This Row],[Weight]]&lt;0,DbLinkTable[[#This Row],[Price/lb]]*DbLinkTable[[#This Row],[Weight]],0)</f>
        <v>0</v>
      </c>
      <c r="V574" s="4" t="str">
        <f>IF(COUNTIF($W$2:W574,W574)=1,1,"")</f>
        <v/>
      </c>
      <c r="W574" s="4" t="str">
        <f>CONCATENATE(DbLinkTable[[#This Row],[Customer]],UPPER(DbLinkTable[[#This Row],[Trailer Number]]),DbLinkTable[[#This Row],[Day Received]])</f>
        <v>Company1445027142172</v>
      </c>
      <c r="X574" s="4">
        <f>DATEVALUE(TEXT(DbLinkTable[[#This Row],[Date Received]],"MMMM YYYY"))</f>
        <v>42156</v>
      </c>
      <c r="Y574" s="4">
        <f>INT(DbLinkTable[[#This Row],[Date Received]])</f>
        <v>42172</v>
      </c>
    </row>
    <row r="575" spans="1:25">
      <c r="A575">
        <v>11990</v>
      </c>
      <c r="B575" t="s">
        <v>45</v>
      </c>
      <c r="D575">
        <v>100</v>
      </c>
      <c r="E575" t="s">
        <v>1504</v>
      </c>
      <c r="F575" s="4">
        <v>42172</v>
      </c>
      <c r="G575" s="4" t="s">
        <v>192</v>
      </c>
      <c r="H575" s="4" t="s">
        <v>1559</v>
      </c>
      <c r="I575" s="4">
        <v>0</v>
      </c>
      <c r="J575" s="4"/>
      <c r="K575" s="4"/>
      <c r="L575" s="4"/>
      <c r="M575" s="4"/>
      <c r="N575" s="4"/>
      <c r="O575" s="4">
        <v>0</v>
      </c>
      <c r="P575" s="4">
        <v>42179.437974537039</v>
      </c>
      <c r="Q575" s="4"/>
      <c r="R575" s="4"/>
      <c r="S575" s="79">
        <f>DbLinkTable[[#This Row],[Credit]]+DbLinkTable[[#This Row],[Charge]]</f>
        <v>0</v>
      </c>
      <c r="T575" s="79">
        <f>IF(DbLinkTable[[#This Row],[Price/lb]]*DbLinkTable[[#This Row],[Weight]]&gt;0,DbLinkTable[[#This Row],[Price/lb]]*DbLinkTable[[#This Row],[Weight]],0)</f>
        <v>0</v>
      </c>
      <c r="U575" s="79">
        <f>IF(DbLinkTable[[#This Row],[Price/lb]]*DbLinkTable[[#This Row],[Weight]]&lt;0,DbLinkTable[[#This Row],[Price/lb]]*DbLinkTable[[#This Row],[Weight]],0)</f>
        <v>0</v>
      </c>
      <c r="V575" s="4" t="str">
        <f>IF(COUNTIF($W$2:W575,W575)=1,1,"")</f>
        <v/>
      </c>
      <c r="W575" s="4" t="str">
        <f>CONCATENATE(DbLinkTable[[#This Row],[Customer]],UPPER(DbLinkTable[[#This Row],[Trailer Number]]),DbLinkTable[[#This Row],[Day Received]])</f>
        <v>Company1445027142172</v>
      </c>
      <c r="X575" s="4">
        <f>DATEVALUE(TEXT(DbLinkTable[[#This Row],[Date Received]],"MMMM YYYY"))</f>
        <v>42156</v>
      </c>
      <c r="Y575" s="4">
        <f>INT(DbLinkTable[[#This Row],[Date Received]])</f>
        <v>42172</v>
      </c>
    </row>
    <row r="576" spans="1:25">
      <c r="A576">
        <v>11991</v>
      </c>
      <c r="B576" t="s">
        <v>45</v>
      </c>
      <c r="D576">
        <v>63</v>
      </c>
      <c r="E576" t="s">
        <v>1504</v>
      </c>
      <c r="F576" s="4">
        <v>42172</v>
      </c>
      <c r="G576" s="4" t="s">
        <v>192</v>
      </c>
      <c r="H576" s="4" t="s">
        <v>1559</v>
      </c>
      <c r="I576" s="4">
        <v>0</v>
      </c>
      <c r="J576" s="4"/>
      <c r="K576" s="4"/>
      <c r="L576" s="4"/>
      <c r="M576" s="4"/>
      <c r="N576" s="4"/>
      <c r="O576" s="4">
        <v>0</v>
      </c>
      <c r="P576" s="4">
        <v>42179.441134259258</v>
      </c>
      <c r="Q576" s="4"/>
      <c r="R576" s="4"/>
      <c r="S576" s="79">
        <f>DbLinkTable[[#This Row],[Credit]]+DbLinkTable[[#This Row],[Charge]]</f>
        <v>0</v>
      </c>
      <c r="T576" s="79">
        <f>IF(DbLinkTable[[#This Row],[Price/lb]]*DbLinkTable[[#This Row],[Weight]]&gt;0,DbLinkTable[[#This Row],[Price/lb]]*DbLinkTable[[#This Row],[Weight]],0)</f>
        <v>0</v>
      </c>
      <c r="U576" s="79">
        <f>IF(DbLinkTable[[#This Row],[Price/lb]]*DbLinkTable[[#This Row],[Weight]]&lt;0,DbLinkTable[[#This Row],[Price/lb]]*DbLinkTable[[#This Row],[Weight]],0)</f>
        <v>0</v>
      </c>
      <c r="V576" s="4" t="str">
        <f>IF(COUNTIF($W$2:W576,W576)=1,1,"")</f>
        <v/>
      </c>
      <c r="W576" s="4" t="str">
        <f>CONCATENATE(DbLinkTable[[#This Row],[Customer]],UPPER(DbLinkTable[[#This Row],[Trailer Number]]),DbLinkTable[[#This Row],[Day Received]])</f>
        <v>Company1445027142172</v>
      </c>
      <c r="X576" s="4">
        <f>DATEVALUE(TEXT(DbLinkTable[[#This Row],[Date Received]],"MMMM YYYY"))</f>
        <v>42156</v>
      </c>
      <c r="Y576" s="4">
        <f>INT(DbLinkTable[[#This Row],[Date Received]])</f>
        <v>42172</v>
      </c>
    </row>
    <row r="577" spans="1:25">
      <c r="A577">
        <v>12043</v>
      </c>
      <c r="B577" t="s">
        <v>43</v>
      </c>
      <c r="D577">
        <v>297</v>
      </c>
      <c r="E577" t="s">
        <v>1504</v>
      </c>
      <c r="F577" s="4">
        <v>42185</v>
      </c>
      <c r="G577" s="4" t="s">
        <v>192</v>
      </c>
      <c r="H577" s="4" t="s">
        <v>1560</v>
      </c>
      <c r="I577" s="4">
        <v>0</v>
      </c>
      <c r="J577" s="4"/>
      <c r="K577" s="4"/>
      <c r="L577" s="4"/>
      <c r="M577" s="4"/>
      <c r="N577" s="4"/>
      <c r="O577" s="4">
        <v>0</v>
      </c>
      <c r="P577" s="4">
        <v>42185.522175925929</v>
      </c>
      <c r="Q577" s="4"/>
      <c r="R577" s="4"/>
      <c r="S577" s="79">
        <f>DbLinkTable[[#This Row],[Credit]]+DbLinkTable[[#This Row],[Charge]]</f>
        <v>0</v>
      </c>
      <c r="T577" s="79">
        <f>IF(DbLinkTable[[#This Row],[Price/lb]]*DbLinkTable[[#This Row],[Weight]]&gt;0,DbLinkTable[[#This Row],[Price/lb]]*DbLinkTable[[#This Row],[Weight]],0)</f>
        <v>0</v>
      </c>
      <c r="U577" s="79">
        <f>IF(DbLinkTable[[#This Row],[Price/lb]]*DbLinkTable[[#This Row],[Weight]]&lt;0,DbLinkTable[[#This Row],[Price/lb]]*DbLinkTable[[#This Row],[Weight]],0)</f>
        <v>0</v>
      </c>
      <c r="V577" s="4">
        <f>IF(COUNTIF($W$2:W577,W577)=1,1,"")</f>
        <v>1</v>
      </c>
      <c r="W577" s="4" t="str">
        <f>CONCATENATE(DbLinkTable[[#This Row],[Customer]],UPPER(DbLinkTable[[#This Row],[Trailer Number]]),DbLinkTable[[#This Row],[Day Received]])</f>
        <v>Company1410770342185</v>
      </c>
      <c r="X577" s="4">
        <f>DATEVALUE(TEXT(DbLinkTable[[#This Row],[Date Received]],"MMMM YYYY"))</f>
        <v>42156</v>
      </c>
      <c r="Y577" s="4">
        <f>INT(DbLinkTable[[#This Row],[Date Received]])</f>
        <v>42185</v>
      </c>
    </row>
    <row r="578" spans="1:25">
      <c r="A578">
        <v>12044</v>
      </c>
      <c r="B578" t="s">
        <v>43</v>
      </c>
      <c r="D578">
        <v>351</v>
      </c>
      <c r="E578" t="s">
        <v>1504</v>
      </c>
      <c r="F578" s="4">
        <v>42185</v>
      </c>
      <c r="G578" s="4" t="s">
        <v>192</v>
      </c>
      <c r="H578" s="4" t="s">
        <v>1560</v>
      </c>
      <c r="I578" s="4">
        <v>0</v>
      </c>
      <c r="J578" s="4"/>
      <c r="K578" s="4"/>
      <c r="L578" s="4"/>
      <c r="M578" s="4"/>
      <c r="N578" s="4"/>
      <c r="O578" s="4">
        <v>0</v>
      </c>
      <c r="P578" s="4">
        <v>42185.523819444446</v>
      </c>
      <c r="Q578" s="4"/>
      <c r="R578" s="4"/>
      <c r="S578" s="79">
        <f>DbLinkTable[[#This Row],[Credit]]+DbLinkTable[[#This Row],[Charge]]</f>
        <v>0</v>
      </c>
      <c r="T578" s="79">
        <f>IF(DbLinkTable[[#This Row],[Price/lb]]*DbLinkTable[[#This Row],[Weight]]&gt;0,DbLinkTable[[#This Row],[Price/lb]]*DbLinkTable[[#This Row],[Weight]],0)</f>
        <v>0</v>
      </c>
      <c r="U578" s="79">
        <f>IF(DbLinkTable[[#This Row],[Price/lb]]*DbLinkTable[[#This Row],[Weight]]&lt;0,DbLinkTable[[#This Row],[Price/lb]]*DbLinkTable[[#This Row],[Weight]],0)</f>
        <v>0</v>
      </c>
      <c r="V578" s="4" t="str">
        <f>IF(COUNTIF($W$2:W578,W578)=1,1,"")</f>
        <v/>
      </c>
      <c r="W578" s="4" t="str">
        <f>CONCATENATE(DbLinkTable[[#This Row],[Customer]],UPPER(DbLinkTable[[#This Row],[Trailer Number]]),DbLinkTable[[#This Row],[Day Received]])</f>
        <v>Company1410770342185</v>
      </c>
      <c r="X578" s="4">
        <f>DATEVALUE(TEXT(DbLinkTable[[#This Row],[Date Received]],"MMMM YYYY"))</f>
        <v>42156</v>
      </c>
      <c r="Y578" s="4">
        <f>INT(DbLinkTable[[#This Row],[Date Received]])</f>
        <v>42185</v>
      </c>
    </row>
    <row r="579" spans="1:25">
      <c r="A579">
        <v>12045</v>
      </c>
      <c r="B579" t="s">
        <v>43</v>
      </c>
      <c r="D579">
        <v>285</v>
      </c>
      <c r="E579" t="s">
        <v>1504</v>
      </c>
      <c r="F579" s="4">
        <v>42185</v>
      </c>
      <c r="G579" s="4" t="s">
        <v>192</v>
      </c>
      <c r="H579" s="4" t="s">
        <v>1560</v>
      </c>
      <c r="I579" s="4">
        <v>0</v>
      </c>
      <c r="J579" s="4"/>
      <c r="K579" s="4"/>
      <c r="L579" s="4"/>
      <c r="M579" s="4"/>
      <c r="N579" s="4"/>
      <c r="O579" s="4">
        <v>0</v>
      </c>
      <c r="P579" s="4">
        <v>42185.528055555558</v>
      </c>
      <c r="Q579" s="4"/>
      <c r="R579" s="4"/>
      <c r="S579" s="79">
        <f>DbLinkTable[[#This Row],[Credit]]+DbLinkTable[[#This Row],[Charge]]</f>
        <v>0</v>
      </c>
      <c r="T579" s="79">
        <f>IF(DbLinkTable[[#This Row],[Price/lb]]*DbLinkTable[[#This Row],[Weight]]&gt;0,DbLinkTable[[#This Row],[Price/lb]]*DbLinkTable[[#This Row],[Weight]],0)</f>
        <v>0</v>
      </c>
      <c r="U579" s="79">
        <f>IF(DbLinkTable[[#This Row],[Price/lb]]*DbLinkTable[[#This Row],[Weight]]&lt;0,DbLinkTable[[#This Row],[Price/lb]]*DbLinkTable[[#This Row],[Weight]],0)</f>
        <v>0</v>
      </c>
      <c r="V579" s="4" t="str">
        <f>IF(COUNTIF($W$2:W579,W579)=1,1,"")</f>
        <v/>
      </c>
      <c r="W579" s="4" t="str">
        <f>CONCATENATE(DbLinkTable[[#This Row],[Customer]],UPPER(DbLinkTable[[#This Row],[Trailer Number]]),DbLinkTable[[#This Row],[Day Received]])</f>
        <v>Company1410770342185</v>
      </c>
      <c r="X579" s="4">
        <f>DATEVALUE(TEXT(DbLinkTable[[#This Row],[Date Received]],"MMMM YYYY"))</f>
        <v>42156</v>
      </c>
      <c r="Y579" s="4">
        <f>INT(DbLinkTable[[#This Row],[Date Received]])</f>
        <v>42185</v>
      </c>
    </row>
    <row r="580" spans="1:25">
      <c r="A580">
        <v>12046</v>
      </c>
      <c r="B580" t="s">
        <v>1502</v>
      </c>
      <c r="D580">
        <v>858</v>
      </c>
      <c r="E580" t="s">
        <v>1504</v>
      </c>
      <c r="F580" s="4">
        <v>42185</v>
      </c>
      <c r="G580" s="4" t="s">
        <v>192</v>
      </c>
      <c r="H580" s="4" t="s">
        <v>1560</v>
      </c>
      <c r="I580" s="4">
        <v>0</v>
      </c>
      <c r="J580" s="4"/>
      <c r="K580" s="4"/>
      <c r="L580" s="4"/>
      <c r="M580" s="4"/>
      <c r="N580" s="4"/>
      <c r="O580" s="4">
        <v>0</v>
      </c>
      <c r="P580" s="4">
        <v>42185.530578703707</v>
      </c>
      <c r="Q580" s="4"/>
      <c r="R580" s="4"/>
      <c r="S580" s="79">
        <f>DbLinkTable[[#This Row],[Credit]]+DbLinkTable[[#This Row],[Charge]]</f>
        <v>0</v>
      </c>
      <c r="T580" s="79">
        <f>IF(DbLinkTable[[#This Row],[Price/lb]]*DbLinkTable[[#This Row],[Weight]]&gt;0,DbLinkTable[[#This Row],[Price/lb]]*DbLinkTable[[#This Row],[Weight]],0)</f>
        <v>0</v>
      </c>
      <c r="U580" s="79">
        <f>IF(DbLinkTable[[#This Row],[Price/lb]]*DbLinkTable[[#This Row],[Weight]]&lt;0,DbLinkTable[[#This Row],[Price/lb]]*DbLinkTable[[#This Row],[Weight]],0)</f>
        <v>0</v>
      </c>
      <c r="V580" s="4" t="str">
        <f>IF(COUNTIF($W$2:W580,W580)=1,1,"")</f>
        <v/>
      </c>
      <c r="W580" s="4" t="str">
        <f>CONCATENATE(DbLinkTable[[#This Row],[Customer]],UPPER(DbLinkTable[[#This Row],[Trailer Number]]),DbLinkTable[[#This Row],[Day Received]])</f>
        <v>Company1410770342185</v>
      </c>
      <c r="X580" s="4">
        <f>DATEVALUE(TEXT(DbLinkTable[[#This Row],[Date Received]],"MMMM YYYY"))</f>
        <v>42156</v>
      </c>
      <c r="Y580" s="4">
        <f>INT(DbLinkTable[[#This Row],[Date Received]])</f>
        <v>42185</v>
      </c>
    </row>
    <row r="581" spans="1:25">
      <c r="A581">
        <v>12047</v>
      </c>
      <c r="B581" t="s">
        <v>43</v>
      </c>
      <c r="D581">
        <v>557</v>
      </c>
      <c r="E581" t="s">
        <v>1504</v>
      </c>
      <c r="F581" s="4">
        <v>42185</v>
      </c>
      <c r="G581" s="4" t="s">
        <v>192</v>
      </c>
      <c r="H581" s="4" t="s">
        <v>1560</v>
      </c>
      <c r="I581" s="4">
        <v>0</v>
      </c>
      <c r="J581" s="4"/>
      <c r="K581" s="4"/>
      <c r="L581" s="4"/>
      <c r="M581" s="4"/>
      <c r="N581" s="4"/>
      <c r="O581" s="4">
        <v>0</v>
      </c>
      <c r="P581" s="4">
        <v>42185.538645833331</v>
      </c>
      <c r="Q581" s="4"/>
      <c r="R581" s="4"/>
      <c r="S581" s="79">
        <f>DbLinkTable[[#This Row],[Credit]]+DbLinkTable[[#This Row],[Charge]]</f>
        <v>0</v>
      </c>
      <c r="T581" s="79">
        <f>IF(DbLinkTable[[#This Row],[Price/lb]]*DbLinkTable[[#This Row],[Weight]]&gt;0,DbLinkTable[[#This Row],[Price/lb]]*DbLinkTable[[#This Row],[Weight]],0)</f>
        <v>0</v>
      </c>
      <c r="U581" s="79">
        <f>IF(DbLinkTable[[#This Row],[Price/lb]]*DbLinkTable[[#This Row],[Weight]]&lt;0,DbLinkTable[[#This Row],[Price/lb]]*DbLinkTable[[#This Row],[Weight]],0)</f>
        <v>0</v>
      </c>
      <c r="V581" s="4" t="str">
        <f>IF(COUNTIF($W$2:W581,W581)=1,1,"")</f>
        <v/>
      </c>
      <c r="W581" s="4" t="str">
        <f>CONCATENATE(DbLinkTable[[#This Row],[Customer]],UPPER(DbLinkTable[[#This Row],[Trailer Number]]),DbLinkTable[[#This Row],[Day Received]])</f>
        <v>Company1410770342185</v>
      </c>
      <c r="X581" s="4">
        <f>DATEVALUE(TEXT(DbLinkTable[[#This Row],[Date Received]],"MMMM YYYY"))</f>
        <v>42156</v>
      </c>
      <c r="Y581" s="4">
        <f>INT(DbLinkTable[[#This Row],[Date Received]])</f>
        <v>42185</v>
      </c>
    </row>
    <row r="582" spans="1:25">
      <c r="A582">
        <v>12048</v>
      </c>
      <c r="B582" t="s">
        <v>48</v>
      </c>
      <c r="D582">
        <v>418</v>
      </c>
      <c r="E582" t="s">
        <v>1504</v>
      </c>
      <c r="F582" s="4">
        <v>42185</v>
      </c>
      <c r="G582" s="4" t="s">
        <v>192</v>
      </c>
      <c r="H582" s="4" t="s">
        <v>1560</v>
      </c>
      <c r="I582" s="4">
        <v>0</v>
      </c>
      <c r="J582" s="4"/>
      <c r="K582" s="4"/>
      <c r="L582" s="4"/>
      <c r="M582" s="4"/>
      <c r="N582" s="4"/>
      <c r="O582" s="4">
        <v>0</v>
      </c>
      <c r="P582" s="4">
        <v>42185.542881944442</v>
      </c>
      <c r="Q582" s="4"/>
      <c r="R582" s="4"/>
      <c r="S582" s="79">
        <f>DbLinkTable[[#This Row],[Credit]]+DbLinkTable[[#This Row],[Charge]]</f>
        <v>0</v>
      </c>
      <c r="T582" s="79">
        <f>IF(DbLinkTable[[#This Row],[Price/lb]]*DbLinkTable[[#This Row],[Weight]]&gt;0,DbLinkTable[[#This Row],[Price/lb]]*DbLinkTable[[#This Row],[Weight]],0)</f>
        <v>0</v>
      </c>
      <c r="U582" s="79">
        <f>IF(DbLinkTable[[#This Row],[Price/lb]]*DbLinkTable[[#This Row],[Weight]]&lt;0,DbLinkTable[[#This Row],[Price/lb]]*DbLinkTable[[#This Row],[Weight]],0)</f>
        <v>0</v>
      </c>
      <c r="V582" s="4" t="str">
        <f>IF(COUNTIF($W$2:W582,W582)=1,1,"")</f>
        <v/>
      </c>
      <c r="W582" s="4" t="str">
        <f>CONCATENATE(DbLinkTable[[#This Row],[Customer]],UPPER(DbLinkTable[[#This Row],[Trailer Number]]),DbLinkTable[[#This Row],[Day Received]])</f>
        <v>Company1410770342185</v>
      </c>
      <c r="X582" s="4">
        <f>DATEVALUE(TEXT(DbLinkTable[[#This Row],[Date Received]],"MMMM YYYY"))</f>
        <v>42156</v>
      </c>
      <c r="Y582" s="4">
        <f>INT(DbLinkTable[[#This Row],[Date Received]])</f>
        <v>42185</v>
      </c>
    </row>
    <row r="583" spans="1:25">
      <c r="A583">
        <v>12049</v>
      </c>
      <c r="B583" t="s">
        <v>46</v>
      </c>
      <c r="D583">
        <v>754</v>
      </c>
      <c r="E583" t="s">
        <v>1504</v>
      </c>
      <c r="F583" s="4">
        <v>42185</v>
      </c>
      <c r="G583" s="4" t="s">
        <v>192</v>
      </c>
      <c r="H583" s="4" t="s">
        <v>1560</v>
      </c>
      <c r="I583" s="4">
        <v>0</v>
      </c>
      <c r="J583" s="4"/>
      <c r="K583" s="4"/>
      <c r="L583" s="4"/>
      <c r="M583" s="4"/>
      <c r="N583" s="4"/>
      <c r="O583" s="4">
        <v>0</v>
      </c>
      <c r="P583" s="4">
        <v>42185.549340277779</v>
      </c>
      <c r="Q583" s="4"/>
      <c r="R583" s="4"/>
      <c r="S583" s="79">
        <f>DbLinkTable[[#This Row],[Credit]]+DbLinkTable[[#This Row],[Charge]]</f>
        <v>0</v>
      </c>
      <c r="T583" s="79">
        <f>IF(DbLinkTable[[#This Row],[Price/lb]]*DbLinkTable[[#This Row],[Weight]]&gt;0,DbLinkTable[[#This Row],[Price/lb]]*DbLinkTable[[#This Row],[Weight]],0)</f>
        <v>0</v>
      </c>
      <c r="U583" s="79">
        <f>IF(DbLinkTable[[#This Row],[Price/lb]]*DbLinkTable[[#This Row],[Weight]]&lt;0,DbLinkTable[[#This Row],[Price/lb]]*DbLinkTable[[#This Row],[Weight]],0)</f>
        <v>0</v>
      </c>
      <c r="V583" s="4" t="str">
        <f>IF(COUNTIF($W$2:W583,W583)=1,1,"")</f>
        <v/>
      </c>
      <c r="W583" s="4" t="str">
        <f>CONCATENATE(DbLinkTable[[#This Row],[Customer]],UPPER(DbLinkTable[[#This Row],[Trailer Number]]),DbLinkTable[[#This Row],[Day Received]])</f>
        <v>Company1410770342185</v>
      </c>
      <c r="X583" s="4">
        <f>DATEVALUE(TEXT(DbLinkTable[[#This Row],[Date Received]],"MMMM YYYY"))</f>
        <v>42156</v>
      </c>
      <c r="Y583" s="4">
        <f>INT(DbLinkTable[[#This Row],[Date Received]])</f>
        <v>42185</v>
      </c>
    </row>
    <row r="584" spans="1:25">
      <c r="A584">
        <v>12050</v>
      </c>
      <c r="B584" t="s">
        <v>1510</v>
      </c>
      <c r="D584">
        <v>25</v>
      </c>
      <c r="E584" t="s">
        <v>1504</v>
      </c>
      <c r="F584" s="4">
        <v>42185</v>
      </c>
      <c r="G584" s="4" t="s">
        <v>192</v>
      </c>
      <c r="H584" s="4" t="s">
        <v>1560</v>
      </c>
      <c r="I584" s="4">
        <v>0</v>
      </c>
      <c r="J584" s="4"/>
      <c r="K584" s="4"/>
      <c r="L584" s="4"/>
      <c r="M584" s="4"/>
      <c r="N584" s="4"/>
      <c r="O584" s="4">
        <v>0</v>
      </c>
      <c r="P584" s="4">
        <v>42185.553935185184</v>
      </c>
      <c r="Q584" s="4"/>
      <c r="R584" s="4"/>
      <c r="S584" s="79">
        <f>DbLinkTable[[#This Row],[Credit]]+DbLinkTable[[#This Row],[Charge]]</f>
        <v>0</v>
      </c>
      <c r="T584" s="79">
        <f>IF(DbLinkTable[[#This Row],[Price/lb]]*DbLinkTable[[#This Row],[Weight]]&gt;0,DbLinkTable[[#This Row],[Price/lb]]*DbLinkTable[[#This Row],[Weight]],0)</f>
        <v>0</v>
      </c>
      <c r="U584" s="79">
        <f>IF(DbLinkTable[[#This Row],[Price/lb]]*DbLinkTable[[#This Row],[Weight]]&lt;0,DbLinkTable[[#This Row],[Price/lb]]*DbLinkTable[[#This Row],[Weight]],0)</f>
        <v>0</v>
      </c>
      <c r="V584" s="4" t="str">
        <f>IF(COUNTIF($W$2:W584,W584)=1,1,"")</f>
        <v/>
      </c>
      <c r="W584" s="4" t="str">
        <f>CONCATENATE(DbLinkTable[[#This Row],[Customer]],UPPER(DbLinkTable[[#This Row],[Trailer Number]]),DbLinkTable[[#This Row],[Day Received]])</f>
        <v>Company1410770342185</v>
      </c>
      <c r="X584" s="4">
        <f>DATEVALUE(TEXT(DbLinkTable[[#This Row],[Date Received]],"MMMM YYYY"))</f>
        <v>42156</v>
      </c>
      <c r="Y584" s="4">
        <f>INT(DbLinkTable[[#This Row],[Date Received]])</f>
        <v>42185</v>
      </c>
    </row>
    <row r="585" spans="1:25">
      <c r="A585">
        <v>12051</v>
      </c>
      <c r="B585" t="s">
        <v>1510</v>
      </c>
      <c r="D585">
        <v>64</v>
      </c>
      <c r="E585" t="s">
        <v>1504</v>
      </c>
      <c r="F585" s="4">
        <v>42185</v>
      </c>
      <c r="G585" s="4" t="s">
        <v>192</v>
      </c>
      <c r="H585" s="4" t="s">
        <v>1560</v>
      </c>
      <c r="I585" s="4">
        <v>0</v>
      </c>
      <c r="J585" s="4"/>
      <c r="K585" s="4"/>
      <c r="L585" s="4"/>
      <c r="M585" s="4"/>
      <c r="N585" s="4"/>
      <c r="O585" s="4">
        <v>0</v>
      </c>
      <c r="P585" s="4">
        <v>42185.556122685186</v>
      </c>
      <c r="Q585" s="4"/>
      <c r="R585" s="4"/>
      <c r="S585" s="79">
        <f>DbLinkTable[[#This Row],[Credit]]+DbLinkTable[[#This Row],[Charge]]</f>
        <v>0</v>
      </c>
      <c r="T585" s="79">
        <f>IF(DbLinkTable[[#This Row],[Price/lb]]*DbLinkTable[[#This Row],[Weight]]&gt;0,DbLinkTable[[#This Row],[Price/lb]]*DbLinkTable[[#This Row],[Weight]],0)</f>
        <v>0</v>
      </c>
      <c r="U585" s="79">
        <f>IF(DbLinkTable[[#This Row],[Price/lb]]*DbLinkTable[[#This Row],[Weight]]&lt;0,DbLinkTable[[#This Row],[Price/lb]]*DbLinkTable[[#This Row],[Weight]],0)</f>
        <v>0</v>
      </c>
      <c r="V585" s="4" t="str">
        <f>IF(COUNTIF($W$2:W585,W585)=1,1,"")</f>
        <v/>
      </c>
      <c r="W585" s="4" t="str">
        <f>CONCATENATE(DbLinkTable[[#This Row],[Customer]],UPPER(DbLinkTable[[#This Row],[Trailer Number]]),DbLinkTable[[#This Row],[Day Received]])</f>
        <v>Company1410770342185</v>
      </c>
      <c r="X585" s="4">
        <f>DATEVALUE(TEXT(DbLinkTable[[#This Row],[Date Received]],"MMMM YYYY"))</f>
        <v>42156</v>
      </c>
      <c r="Y585" s="4">
        <f>INT(DbLinkTable[[#This Row],[Date Received]])</f>
        <v>42185</v>
      </c>
    </row>
    <row r="586" spans="1:25">
      <c r="A586">
        <v>12052</v>
      </c>
      <c r="B586" t="s">
        <v>1510</v>
      </c>
      <c r="D586">
        <v>65</v>
      </c>
      <c r="E586" t="s">
        <v>1504</v>
      </c>
      <c r="F586" s="4">
        <v>42185</v>
      </c>
      <c r="G586" s="4" t="s">
        <v>192</v>
      </c>
      <c r="H586" s="4" t="s">
        <v>1560</v>
      </c>
      <c r="I586" s="4">
        <v>0</v>
      </c>
      <c r="J586" s="4"/>
      <c r="K586" s="4"/>
      <c r="L586" s="4"/>
      <c r="M586" s="4"/>
      <c r="N586" s="4"/>
      <c r="O586" s="4">
        <v>0</v>
      </c>
      <c r="P586" s="4">
        <v>42185.557581018518</v>
      </c>
      <c r="Q586" s="4"/>
      <c r="R586" s="4"/>
      <c r="S586" s="79">
        <f>DbLinkTable[[#This Row],[Credit]]+DbLinkTable[[#This Row],[Charge]]</f>
        <v>0</v>
      </c>
      <c r="T586" s="79">
        <f>IF(DbLinkTable[[#This Row],[Price/lb]]*DbLinkTable[[#This Row],[Weight]]&gt;0,DbLinkTable[[#This Row],[Price/lb]]*DbLinkTable[[#This Row],[Weight]],0)</f>
        <v>0</v>
      </c>
      <c r="U586" s="79">
        <f>IF(DbLinkTable[[#This Row],[Price/lb]]*DbLinkTable[[#This Row],[Weight]]&lt;0,DbLinkTable[[#This Row],[Price/lb]]*DbLinkTable[[#This Row],[Weight]],0)</f>
        <v>0</v>
      </c>
      <c r="V586" s="4" t="str">
        <f>IF(COUNTIF($W$2:W586,W586)=1,1,"")</f>
        <v/>
      </c>
      <c r="W586" s="4" t="str">
        <f>CONCATENATE(DbLinkTable[[#This Row],[Customer]],UPPER(DbLinkTable[[#This Row],[Trailer Number]]),DbLinkTable[[#This Row],[Day Received]])</f>
        <v>Company1410770342185</v>
      </c>
      <c r="X586" s="4">
        <f>DATEVALUE(TEXT(DbLinkTable[[#This Row],[Date Received]],"MMMM YYYY"))</f>
        <v>42156</v>
      </c>
      <c r="Y586" s="4">
        <f>INT(DbLinkTable[[#This Row],[Date Received]])</f>
        <v>42185</v>
      </c>
    </row>
    <row r="587" spans="1:25">
      <c r="A587">
        <v>12053</v>
      </c>
      <c r="B587" t="s">
        <v>45</v>
      </c>
      <c r="D587">
        <v>67</v>
      </c>
      <c r="E587" t="s">
        <v>1504</v>
      </c>
      <c r="F587" s="4">
        <v>42185</v>
      </c>
      <c r="G587" s="4" t="s">
        <v>192</v>
      </c>
      <c r="H587" s="4" t="s">
        <v>1560</v>
      </c>
      <c r="I587" s="4">
        <v>0</v>
      </c>
      <c r="J587" s="4"/>
      <c r="K587" s="4"/>
      <c r="L587" s="4"/>
      <c r="M587" s="4"/>
      <c r="N587" s="4"/>
      <c r="O587" s="4">
        <v>0</v>
      </c>
      <c r="P587" s="4">
        <v>42185.560162037036</v>
      </c>
      <c r="Q587" s="4"/>
      <c r="R587" s="4"/>
      <c r="S587" s="79">
        <f>DbLinkTable[[#This Row],[Credit]]+DbLinkTable[[#This Row],[Charge]]</f>
        <v>0</v>
      </c>
      <c r="T587" s="79">
        <f>IF(DbLinkTable[[#This Row],[Price/lb]]*DbLinkTable[[#This Row],[Weight]]&gt;0,DbLinkTable[[#This Row],[Price/lb]]*DbLinkTable[[#This Row],[Weight]],0)</f>
        <v>0</v>
      </c>
      <c r="U587" s="79">
        <f>IF(DbLinkTable[[#This Row],[Price/lb]]*DbLinkTable[[#This Row],[Weight]]&lt;0,DbLinkTable[[#This Row],[Price/lb]]*DbLinkTable[[#This Row],[Weight]],0)</f>
        <v>0</v>
      </c>
      <c r="V587" s="4" t="str">
        <f>IF(COUNTIF($W$2:W587,W587)=1,1,"")</f>
        <v/>
      </c>
      <c r="W587" s="4" t="str">
        <f>CONCATENATE(DbLinkTable[[#This Row],[Customer]],UPPER(DbLinkTable[[#This Row],[Trailer Number]]),DbLinkTable[[#This Row],[Day Received]])</f>
        <v>Company1410770342185</v>
      </c>
      <c r="X587" s="4">
        <f>DATEVALUE(TEXT(DbLinkTable[[#This Row],[Date Received]],"MMMM YYYY"))</f>
        <v>42156</v>
      </c>
      <c r="Y587" s="4">
        <f>INT(DbLinkTable[[#This Row],[Date Received]])</f>
        <v>42185</v>
      </c>
    </row>
    <row r="588" spans="1:25">
      <c r="A588">
        <v>12054</v>
      </c>
      <c r="B588" t="s">
        <v>45</v>
      </c>
      <c r="D588">
        <v>27</v>
      </c>
      <c r="E588" t="s">
        <v>1504</v>
      </c>
      <c r="F588" s="4">
        <v>42185</v>
      </c>
      <c r="G588" s="4" t="s">
        <v>192</v>
      </c>
      <c r="H588" s="4" t="s">
        <v>1560</v>
      </c>
      <c r="I588" s="4">
        <v>0</v>
      </c>
      <c r="J588" s="4"/>
      <c r="K588" s="4"/>
      <c r="L588" s="4"/>
      <c r="M588" s="4"/>
      <c r="N588" s="4"/>
      <c r="O588" s="4">
        <v>0</v>
      </c>
      <c r="P588" s="4">
        <v>42185.562013888892</v>
      </c>
      <c r="Q588" s="4"/>
      <c r="R588" s="4"/>
      <c r="S588" s="79">
        <f>DbLinkTable[[#This Row],[Credit]]+DbLinkTable[[#This Row],[Charge]]</f>
        <v>0</v>
      </c>
      <c r="T588" s="79">
        <f>IF(DbLinkTable[[#This Row],[Price/lb]]*DbLinkTable[[#This Row],[Weight]]&gt;0,DbLinkTable[[#This Row],[Price/lb]]*DbLinkTable[[#This Row],[Weight]],0)</f>
        <v>0</v>
      </c>
      <c r="U588" s="79">
        <f>IF(DbLinkTable[[#This Row],[Price/lb]]*DbLinkTable[[#This Row],[Weight]]&lt;0,DbLinkTable[[#This Row],[Price/lb]]*DbLinkTable[[#This Row],[Weight]],0)</f>
        <v>0</v>
      </c>
      <c r="V588" s="4" t="str">
        <f>IF(COUNTIF($W$2:W588,W588)=1,1,"")</f>
        <v/>
      </c>
      <c r="W588" s="4" t="str">
        <f>CONCATENATE(DbLinkTable[[#This Row],[Customer]],UPPER(DbLinkTable[[#This Row],[Trailer Number]]),DbLinkTable[[#This Row],[Day Received]])</f>
        <v>Company1410770342185</v>
      </c>
      <c r="X588" s="4">
        <f>DATEVALUE(TEXT(DbLinkTable[[#This Row],[Date Received]],"MMMM YYYY"))</f>
        <v>42156</v>
      </c>
      <c r="Y588" s="4">
        <f>INT(DbLinkTable[[#This Row],[Date Received]])</f>
        <v>42185</v>
      </c>
    </row>
    <row r="589" spans="1:25">
      <c r="A589">
        <v>12055</v>
      </c>
      <c r="B589" t="s">
        <v>46</v>
      </c>
      <c r="D589">
        <v>355</v>
      </c>
      <c r="E589" t="s">
        <v>1504</v>
      </c>
      <c r="F589" s="4">
        <v>42185</v>
      </c>
      <c r="G589" s="4" t="s">
        <v>192</v>
      </c>
      <c r="H589" s="4" t="s">
        <v>1560</v>
      </c>
      <c r="I589" s="4">
        <v>0</v>
      </c>
      <c r="J589" s="4"/>
      <c r="K589" s="4"/>
      <c r="L589" s="4"/>
      <c r="M589" s="4"/>
      <c r="N589" s="4"/>
      <c r="O589" s="4">
        <v>0</v>
      </c>
      <c r="P589" s="4">
        <v>42185.573125000003</v>
      </c>
      <c r="Q589" s="4"/>
      <c r="R589" s="4"/>
      <c r="S589" s="79">
        <f>DbLinkTable[[#This Row],[Credit]]+DbLinkTable[[#This Row],[Charge]]</f>
        <v>0</v>
      </c>
      <c r="T589" s="79">
        <f>IF(DbLinkTable[[#This Row],[Price/lb]]*DbLinkTable[[#This Row],[Weight]]&gt;0,DbLinkTable[[#This Row],[Price/lb]]*DbLinkTable[[#This Row],[Weight]],0)</f>
        <v>0</v>
      </c>
      <c r="U589" s="79">
        <f>IF(DbLinkTable[[#This Row],[Price/lb]]*DbLinkTable[[#This Row],[Weight]]&lt;0,DbLinkTable[[#This Row],[Price/lb]]*DbLinkTable[[#This Row],[Weight]],0)</f>
        <v>0</v>
      </c>
      <c r="V589" s="4" t="str">
        <f>IF(COUNTIF($W$2:W589,W589)=1,1,"")</f>
        <v/>
      </c>
      <c r="W589" s="4" t="str">
        <f>CONCATENATE(DbLinkTable[[#This Row],[Customer]],UPPER(DbLinkTable[[#This Row],[Trailer Number]]),DbLinkTable[[#This Row],[Day Received]])</f>
        <v>Company1410770342185</v>
      </c>
      <c r="X589" s="4">
        <f>DATEVALUE(TEXT(DbLinkTable[[#This Row],[Date Received]],"MMMM YYYY"))</f>
        <v>42156</v>
      </c>
      <c r="Y589" s="4">
        <f>INT(DbLinkTable[[#This Row],[Date Received]])</f>
        <v>42185</v>
      </c>
    </row>
    <row r="590" spans="1:25">
      <c r="A590">
        <v>12056</v>
      </c>
      <c r="B590" t="s">
        <v>43</v>
      </c>
      <c r="D590">
        <v>333</v>
      </c>
      <c r="E590" t="s">
        <v>1504</v>
      </c>
      <c r="F590" s="4">
        <v>42185</v>
      </c>
      <c r="G590" s="4" t="s">
        <v>192</v>
      </c>
      <c r="H590" s="4" t="s">
        <v>1560</v>
      </c>
      <c r="I590" s="4">
        <v>0</v>
      </c>
      <c r="J590" s="4"/>
      <c r="K590" s="4"/>
      <c r="L590" s="4"/>
      <c r="M590" s="4"/>
      <c r="N590" s="4"/>
      <c r="O590" s="4">
        <v>0</v>
      </c>
      <c r="P590" s="4">
        <v>42185.604444444441</v>
      </c>
      <c r="Q590" s="4"/>
      <c r="R590" s="4"/>
      <c r="S590" s="79">
        <f>DbLinkTable[[#This Row],[Credit]]+DbLinkTable[[#This Row],[Charge]]</f>
        <v>0</v>
      </c>
      <c r="T590" s="79">
        <f>IF(DbLinkTable[[#This Row],[Price/lb]]*DbLinkTable[[#This Row],[Weight]]&gt;0,DbLinkTable[[#This Row],[Price/lb]]*DbLinkTable[[#This Row],[Weight]],0)</f>
        <v>0</v>
      </c>
      <c r="U590" s="79">
        <f>IF(DbLinkTable[[#This Row],[Price/lb]]*DbLinkTable[[#This Row],[Weight]]&lt;0,DbLinkTable[[#This Row],[Price/lb]]*DbLinkTable[[#This Row],[Weight]],0)</f>
        <v>0</v>
      </c>
      <c r="V590" s="4" t="str">
        <f>IF(COUNTIF($W$2:W590,W590)=1,1,"")</f>
        <v/>
      </c>
      <c r="W590" s="4" t="str">
        <f>CONCATENATE(DbLinkTable[[#This Row],[Customer]],UPPER(DbLinkTable[[#This Row],[Trailer Number]]),DbLinkTable[[#This Row],[Day Received]])</f>
        <v>Company1410770342185</v>
      </c>
      <c r="X590" s="4">
        <f>DATEVALUE(TEXT(DbLinkTable[[#This Row],[Date Received]],"MMMM YYYY"))</f>
        <v>42156</v>
      </c>
      <c r="Y590" s="4">
        <f>INT(DbLinkTable[[#This Row],[Date Received]])</f>
        <v>42185</v>
      </c>
    </row>
    <row r="591" spans="1:25">
      <c r="A591">
        <v>12212</v>
      </c>
      <c r="B591" t="s">
        <v>45</v>
      </c>
      <c r="D591">
        <v>33</v>
      </c>
      <c r="E591" t="s">
        <v>1504</v>
      </c>
      <c r="F591" s="4">
        <v>42198</v>
      </c>
      <c r="G591" s="4" t="s">
        <v>192</v>
      </c>
      <c r="H591" s="4" t="s">
        <v>1561</v>
      </c>
      <c r="I591" s="4">
        <v>0</v>
      </c>
      <c r="J591" s="4"/>
      <c r="K591" s="4"/>
      <c r="L591" s="4"/>
      <c r="M591" s="4"/>
      <c r="N591" s="4"/>
      <c r="O591" s="4">
        <v>0</v>
      </c>
      <c r="P591" s="4">
        <v>42199.549375000002</v>
      </c>
      <c r="Q591" s="4"/>
      <c r="R591" s="4">
        <v>0</v>
      </c>
      <c r="S591" s="79">
        <f>DbLinkTable[[#This Row],[Credit]]+DbLinkTable[[#This Row],[Charge]]</f>
        <v>0</v>
      </c>
      <c r="T591" s="79">
        <f>IF(DbLinkTable[[#This Row],[Price/lb]]*DbLinkTable[[#This Row],[Weight]]&gt;0,DbLinkTable[[#This Row],[Price/lb]]*DbLinkTable[[#This Row],[Weight]],0)</f>
        <v>0</v>
      </c>
      <c r="U591" s="79">
        <f>IF(DbLinkTable[[#This Row],[Price/lb]]*DbLinkTable[[#This Row],[Weight]]&lt;0,DbLinkTable[[#This Row],[Price/lb]]*DbLinkTable[[#This Row],[Weight]],0)</f>
        <v>0</v>
      </c>
      <c r="V591" s="4">
        <f>IF(COUNTIF($W$2:W591,W591)=1,1,"")</f>
        <v>1</v>
      </c>
      <c r="W591" s="4" t="str">
        <f>CONCATENATE(DbLinkTable[[#This Row],[Customer]],UPPER(DbLinkTable[[#This Row],[Trailer Number]]),DbLinkTable[[#This Row],[Day Received]])</f>
        <v>Company14KLFU19015142198</v>
      </c>
      <c r="X591" s="4">
        <f>DATEVALUE(TEXT(DbLinkTable[[#This Row],[Date Received]],"MMMM YYYY"))</f>
        <v>42186</v>
      </c>
      <c r="Y591" s="4">
        <f>INT(DbLinkTable[[#This Row],[Date Received]])</f>
        <v>42198</v>
      </c>
    </row>
    <row r="592" spans="1:25">
      <c r="A592">
        <v>12213</v>
      </c>
      <c r="B592" t="s">
        <v>46</v>
      </c>
      <c r="D592">
        <v>60</v>
      </c>
      <c r="E592" t="s">
        <v>1504</v>
      </c>
      <c r="F592" s="4">
        <v>42198</v>
      </c>
      <c r="G592" s="4" t="s">
        <v>192</v>
      </c>
      <c r="H592" s="4" t="s">
        <v>1561</v>
      </c>
      <c r="I592" s="4">
        <v>0</v>
      </c>
      <c r="J592" s="4"/>
      <c r="K592" s="4"/>
      <c r="L592" s="4"/>
      <c r="M592" s="4"/>
      <c r="N592" s="4"/>
      <c r="O592" s="4">
        <v>0</v>
      </c>
      <c r="P592" s="4">
        <v>42199.552627314813</v>
      </c>
      <c r="Q592" s="4"/>
      <c r="R592" s="4">
        <v>1.4999999999999999E-2</v>
      </c>
      <c r="S592" s="79">
        <f>DbLinkTable[[#This Row],[Credit]]+DbLinkTable[[#This Row],[Charge]]</f>
        <v>0.89999999999999991</v>
      </c>
      <c r="T592" s="79">
        <f>IF(DbLinkTable[[#This Row],[Price/lb]]*DbLinkTable[[#This Row],[Weight]]&gt;0,DbLinkTable[[#This Row],[Price/lb]]*DbLinkTable[[#This Row],[Weight]],0)</f>
        <v>0.89999999999999991</v>
      </c>
      <c r="U592" s="79">
        <f>IF(DbLinkTable[[#This Row],[Price/lb]]*DbLinkTable[[#This Row],[Weight]]&lt;0,DbLinkTable[[#This Row],[Price/lb]]*DbLinkTable[[#This Row],[Weight]],0)</f>
        <v>0</v>
      </c>
      <c r="V592" s="4" t="str">
        <f>IF(COUNTIF($W$2:W592,W592)=1,1,"")</f>
        <v/>
      </c>
      <c r="W592" s="4" t="str">
        <f>CONCATENATE(DbLinkTable[[#This Row],[Customer]],UPPER(DbLinkTable[[#This Row],[Trailer Number]]),DbLinkTable[[#This Row],[Day Received]])</f>
        <v>Company14KLFU19015142198</v>
      </c>
      <c r="X592" s="4">
        <f>DATEVALUE(TEXT(DbLinkTable[[#This Row],[Date Received]],"MMMM YYYY"))</f>
        <v>42186</v>
      </c>
      <c r="Y592" s="4">
        <f>INT(DbLinkTable[[#This Row],[Date Received]])</f>
        <v>42198</v>
      </c>
    </row>
    <row r="593" spans="1:25">
      <c r="A593">
        <v>12214</v>
      </c>
      <c r="B593" t="s">
        <v>46</v>
      </c>
      <c r="D593">
        <v>300</v>
      </c>
      <c r="E593" t="s">
        <v>1504</v>
      </c>
      <c r="F593" s="4">
        <v>42198</v>
      </c>
      <c r="G593" s="4" t="s">
        <v>192</v>
      </c>
      <c r="H593" s="4" t="s">
        <v>1561</v>
      </c>
      <c r="I593" s="4">
        <v>0</v>
      </c>
      <c r="J593" s="4"/>
      <c r="K593" s="4"/>
      <c r="L593" s="4"/>
      <c r="M593" s="4"/>
      <c r="N593" s="4"/>
      <c r="O593" s="4">
        <v>0</v>
      </c>
      <c r="P593" s="4">
        <v>42199.55809027778</v>
      </c>
      <c r="Q593" s="4"/>
      <c r="R593" s="4">
        <v>1.4999999999999999E-2</v>
      </c>
      <c r="S593" s="79">
        <f>DbLinkTable[[#This Row],[Credit]]+DbLinkTable[[#This Row],[Charge]]</f>
        <v>4.5</v>
      </c>
      <c r="T593" s="79">
        <f>IF(DbLinkTable[[#This Row],[Price/lb]]*DbLinkTable[[#This Row],[Weight]]&gt;0,DbLinkTable[[#This Row],[Price/lb]]*DbLinkTable[[#This Row],[Weight]],0)</f>
        <v>4.5</v>
      </c>
      <c r="U593" s="79">
        <f>IF(DbLinkTable[[#This Row],[Price/lb]]*DbLinkTable[[#This Row],[Weight]]&lt;0,DbLinkTable[[#This Row],[Price/lb]]*DbLinkTable[[#This Row],[Weight]],0)</f>
        <v>0</v>
      </c>
      <c r="V593" s="4" t="str">
        <f>IF(COUNTIF($W$2:W593,W593)=1,1,"")</f>
        <v/>
      </c>
      <c r="W593" s="4" t="str">
        <f>CONCATENATE(DbLinkTable[[#This Row],[Customer]],UPPER(DbLinkTable[[#This Row],[Trailer Number]]),DbLinkTable[[#This Row],[Day Received]])</f>
        <v>Company14KLFU19015142198</v>
      </c>
      <c r="X593" s="4">
        <f>DATEVALUE(TEXT(DbLinkTable[[#This Row],[Date Received]],"MMMM YYYY"))</f>
        <v>42186</v>
      </c>
      <c r="Y593" s="4">
        <f>INT(DbLinkTable[[#This Row],[Date Received]])</f>
        <v>42198</v>
      </c>
    </row>
    <row r="594" spans="1:25">
      <c r="A594">
        <v>12215</v>
      </c>
      <c r="B594" t="s">
        <v>1502</v>
      </c>
      <c r="D594">
        <v>859</v>
      </c>
      <c r="E594" t="s">
        <v>1504</v>
      </c>
      <c r="F594" s="4">
        <v>42198</v>
      </c>
      <c r="G594" s="4" t="s">
        <v>192</v>
      </c>
      <c r="H594" s="4" t="s">
        <v>1561</v>
      </c>
      <c r="I594" s="4">
        <v>0</v>
      </c>
      <c r="J594" s="4"/>
      <c r="K594" s="4"/>
      <c r="L594" s="4"/>
      <c r="M594" s="4"/>
      <c r="N594" s="4"/>
      <c r="O594" s="4">
        <v>0</v>
      </c>
      <c r="P594" s="4">
        <v>42199.558287037034</v>
      </c>
      <c r="Q594" s="4"/>
      <c r="R594" s="4">
        <v>0</v>
      </c>
      <c r="S594" s="79">
        <f>DbLinkTable[[#This Row],[Credit]]+DbLinkTable[[#This Row],[Charge]]</f>
        <v>0</v>
      </c>
      <c r="T594" s="79">
        <f>IF(DbLinkTable[[#This Row],[Price/lb]]*DbLinkTable[[#This Row],[Weight]]&gt;0,DbLinkTable[[#This Row],[Price/lb]]*DbLinkTable[[#This Row],[Weight]],0)</f>
        <v>0</v>
      </c>
      <c r="U594" s="79">
        <f>IF(DbLinkTable[[#This Row],[Price/lb]]*DbLinkTable[[#This Row],[Weight]]&lt;0,DbLinkTable[[#This Row],[Price/lb]]*DbLinkTable[[#This Row],[Weight]],0)</f>
        <v>0</v>
      </c>
      <c r="V594" s="4" t="str">
        <f>IF(COUNTIF($W$2:W594,W594)=1,1,"")</f>
        <v/>
      </c>
      <c r="W594" s="4" t="str">
        <f>CONCATENATE(DbLinkTable[[#This Row],[Customer]],UPPER(DbLinkTable[[#This Row],[Trailer Number]]),DbLinkTable[[#This Row],[Day Received]])</f>
        <v>Company14KLFU19015142198</v>
      </c>
      <c r="X594" s="4">
        <f>DATEVALUE(TEXT(DbLinkTable[[#This Row],[Date Received]],"MMMM YYYY"))</f>
        <v>42186</v>
      </c>
      <c r="Y594" s="4">
        <f>INT(DbLinkTable[[#This Row],[Date Received]])</f>
        <v>42198</v>
      </c>
    </row>
    <row r="595" spans="1:25">
      <c r="A595">
        <v>12216</v>
      </c>
      <c r="B595" t="s">
        <v>46</v>
      </c>
      <c r="D595">
        <v>200</v>
      </c>
      <c r="E595" t="s">
        <v>1504</v>
      </c>
      <c r="F595" s="4">
        <v>42198</v>
      </c>
      <c r="G595" s="4" t="s">
        <v>192</v>
      </c>
      <c r="H595" s="4" t="s">
        <v>1561</v>
      </c>
      <c r="I595" s="4">
        <v>0</v>
      </c>
      <c r="J595" s="4"/>
      <c r="K595" s="4"/>
      <c r="L595" s="4"/>
      <c r="M595" s="4"/>
      <c r="N595" s="4"/>
      <c r="O595" s="4">
        <v>0</v>
      </c>
      <c r="P595" s="4">
        <v>42199.564745370371</v>
      </c>
      <c r="Q595" s="4"/>
      <c r="R595" s="4">
        <v>1.4999999999999999E-2</v>
      </c>
      <c r="S595" s="79">
        <f>DbLinkTable[[#This Row],[Credit]]+DbLinkTable[[#This Row],[Charge]]</f>
        <v>3</v>
      </c>
      <c r="T595" s="79">
        <f>IF(DbLinkTable[[#This Row],[Price/lb]]*DbLinkTable[[#This Row],[Weight]]&gt;0,DbLinkTable[[#This Row],[Price/lb]]*DbLinkTable[[#This Row],[Weight]],0)</f>
        <v>3</v>
      </c>
      <c r="U595" s="79">
        <f>IF(DbLinkTable[[#This Row],[Price/lb]]*DbLinkTable[[#This Row],[Weight]]&lt;0,DbLinkTable[[#This Row],[Price/lb]]*DbLinkTable[[#This Row],[Weight]],0)</f>
        <v>0</v>
      </c>
      <c r="V595" s="4" t="str">
        <f>IF(COUNTIF($W$2:W595,W595)=1,1,"")</f>
        <v/>
      </c>
      <c r="W595" s="4" t="str">
        <f>CONCATENATE(DbLinkTable[[#This Row],[Customer]],UPPER(DbLinkTable[[#This Row],[Trailer Number]]),DbLinkTable[[#This Row],[Day Received]])</f>
        <v>Company14KLFU19015142198</v>
      </c>
      <c r="X595" s="4">
        <f>DATEVALUE(TEXT(DbLinkTable[[#This Row],[Date Received]],"MMMM YYYY"))</f>
        <v>42186</v>
      </c>
      <c r="Y595" s="4">
        <f>INT(DbLinkTable[[#This Row],[Date Received]])</f>
        <v>42198</v>
      </c>
    </row>
    <row r="596" spans="1:25">
      <c r="A596">
        <v>12217</v>
      </c>
      <c r="B596" t="s">
        <v>1508</v>
      </c>
      <c r="D596">
        <v>100</v>
      </c>
      <c r="E596" t="s">
        <v>1504</v>
      </c>
      <c r="F596" s="4">
        <v>42198</v>
      </c>
      <c r="G596" s="4" t="s">
        <v>192</v>
      </c>
      <c r="H596" s="4" t="s">
        <v>1561</v>
      </c>
      <c r="I596" s="4">
        <v>0</v>
      </c>
      <c r="J596" s="4"/>
      <c r="K596" s="4"/>
      <c r="L596" s="4"/>
      <c r="M596" s="4"/>
      <c r="N596" s="4"/>
      <c r="O596" s="4">
        <v>0</v>
      </c>
      <c r="P596" s="4">
        <v>42199.565023148149</v>
      </c>
      <c r="Q596" s="4"/>
      <c r="R596" s="4">
        <v>0</v>
      </c>
      <c r="S596" s="79">
        <f>DbLinkTable[[#This Row],[Credit]]+DbLinkTable[[#This Row],[Charge]]</f>
        <v>0</v>
      </c>
      <c r="T596" s="79">
        <f>IF(DbLinkTable[[#This Row],[Price/lb]]*DbLinkTable[[#This Row],[Weight]]&gt;0,DbLinkTable[[#This Row],[Price/lb]]*DbLinkTable[[#This Row],[Weight]],0)</f>
        <v>0</v>
      </c>
      <c r="U596" s="79">
        <f>IF(DbLinkTable[[#This Row],[Price/lb]]*DbLinkTable[[#This Row],[Weight]]&lt;0,DbLinkTable[[#This Row],[Price/lb]]*DbLinkTable[[#This Row],[Weight]],0)</f>
        <v>0</v>
      </c>
      <c r="V596" s="4" t="str">
        <f>IF(COUNTIF($W$2:W596,W596)=1,1,"")</f>
        <v/>
      </c>
      <c r="W596" s="4" t="str">
        <f>CONCATENATE(DbLinkTable[[#This Row],[Customer]],UPPER(DbLinkTable[[#This Row],[Trailer Number]]),DbLinkTable[[#This Row],[Day Received]])</f>
        <v>Company14KLFU19015142198</v>
      </c>
      <c r="X596" s="4">
        <f>DATEVALUE(TEXT(DbLinkTable[[#This Row],[Date Received]],"MMMM YYYY"))</f>
        <v>42186</v>
      </c>
      <c r="Y596" s="4">
        <f>INT(DbLinkTable[[#This Row],[Date Received]])</f>
        <v>42198</v>
      </c>
    </row>
    <row r="597" spans="1:25">
      <c r="A597">
        <v>12218</v>
      </c>
      <c r="B597" t="s">
        <v>1502</v>
      </c>
      <c r="D597">
        <v>429</v>
      </c>
      <c r="E597" t="s">
        <v>1504</v>
      </c>
      <c r="F597" s="4">
        <v>42198</v>
      </c>
      <c r="G597" s="4" t="s">
        <v>192</v>
      </c>
      <c r="H597" s="4" t="s">
        <v>1561</v>
      </c>
      <c r="I597" s="4">
        <v>0</v>
      </c>
      <c r="J597" s="4"/>
      <c r="K597" s="4"/>
      <c r="L597" s="4"/>
      <c r="M597" s="4"/>
      <c r="N597" s="4"/>
      <c r="O597" s="4">
        <v>0</v>
      </c>
      <c r="P597" s="4">
        <v>42199.565196759257</v>
      </c>
      <c r="Q597" s="4"/>
      <c r="R597" s="4">
        <v>0</v>
      </c>
      <c r="S597" s="79">
        <f>DbLinkTable[[#This Row],[Credit]]+DbLinkTable[[#This Row],[Charge]]</f>
        <v>0</v>
      </c>
      <c r="T597" s="79">
        <f>IF(DbLinkTable[[#This Row],[Price/lb]]*DbLinkTable[[#This Row],[Weight]]&gt;0,DbLinkTable[[#This Row],[Price/lb]]*DbLinkTable[[#This Row],[Weight]],0)</f>
        <v>0</v>
      </c>
      <c r="U597" s="79">
        <f>IF(DbLinkTable[[#This Row],[Price/lb]]*DbLinkTable[[#This Row],[Weight]]&lt;0,DbLinkTable[[#This Row],[Price/lb]]*DbLinkTable[[#This Row],[Weight]],0)</f>
        <v>0</v>
      </c>
      <c r="V597" s="4" t="str">
        <f>IF(COUNTIF($W$2:W597,W597)=1,1,"")</f>
        <v/>
      </c>
      <c r="W597" s="4" t="str">
        <f>CONCATENATE(DbLinkTable[[#This Row],[Customer]],UPPER(DbLinkTable[[#This Row],[Trailer Number]]),DbLinkTable[[#This Row],[Day Received]])</f>
        <v>Company14KLFU19015142198</v>
      </c>
      <c r="X597" s="4">
        <f>DATEVALUE(TEXT(DbLinkTable[[#This Row],[Date Received]],"MMMM YYYY"))</f>
        <v>42186</v>
      </c>
      <c r="Y597" s="4">
        <f>INT(DbLinkTable[[#This Row],[Date Received]])</f>
        <v>42198</v>
      </c>
    </row>
    <row r="598" spans="1:25">
      <c r="A598">
        <v>12219</v>
      </c>
      <c r="B598" t="s">
        <v>1502</v>
      </c>
      <c r="D598">
        <v>300</v>
      </c>
      <c r="E598" t="s">
        <v>1504</v>
      </c>
      <c r="F598" s="4">
        <v>42198</v>
      </c>
      <c r="G598" s="4" t="s">
        <v>192</v>
      </c>
      <c r="H598" s="4" t="s">
        <v>1561</v>
      </c>
      <c r="I598" s="4">
        <v>0</v>
      </c>
      <c r="J598" s="4"/>
      <c r="K598" s="4"/>
      <c r="L598" s="4"/>
      <c r="M598" s="4"/>
      <c r="N598" s="4"/>
      <c r="O598" s="4">
        <v>0</v>
      </c>
      <c r="P598" s="4">
        <v>42199.566550925927</v>
      </c>
      <c r="Q598" s="4"/>
      <c r="R598" s="4">
        <v>0</v>
      </c>
      <c r="S598" s="79">
        <f>DbLinkTable[[#This Row],[Credit]]+DbLinkTable[[#This Row],[Charge]]</f>
        <v>0</v>
      </c>
      <c r="T598" s="79">
        <f>IF(DbLinkTable[[#This Row],[Price/lb]]*DbLinkTable[[#This Row],[Weight]]&gt;0,DbLinkTable[[#This Row],[Price/lb]]*DbLinkTable[[#This Row],[Weight]],0)</f>
        <v>0</v>
      </c>
      <c r="U598" s="79">
        <f>IF(DbLinkTable[[#This Row],[Price/lb]]*DbLinkTable[[#This Row],[Weight]]&lt;0,DbLinkTable[[#This Row],[Price/lb]]*DbLinkTable[[#This Row],[Weight]],0)</f>
        <v>0</v>
      </c>
      <c r="V598" s="4" t="str">
        <f>IF(COUNTIF($W$2:W598,W598)=1,1,"")</f>
        <v/>
      </c>
      <c r="W598" s="4" t="str">
        <f>CONCATENATE(DbLinkTable[[#This Row],[Customer]],UPPER(DbLinkTable[[#This Row],[Trailer Number]]),DbLinkTable[[#This Row],[Day Received]])</f>
        <v>Company14KLFU19015142198</v>
      </c>
      <c r="X598" s="4">
        <f>DATEVALUE(TEXT(DbLinkTable[[#This Row],[Date Received]],"MMMM YYYY"))</f>
        <v>42186</v>
      </c>
      <c r="Y598" s="4">
        <f>INT(DbLinkTable[[#This Row],[Date Received]])</f>
        <v>42198</v>
      </c>
    </row>
    <row r="599" spans="1:25">
      <c r="A599">
        <v>12220</v>
      </c>
      <c r="B599" t="s">
        <v>1508</v>
      </c>
      <c r="D599">
        <v>785</v>
      </c>
      <c r="E599" t="s">
        <v>1504</v>
      </c>
      <c r="F599" s="4">
        <v>42198</v>
      </c>
      <c r="G599" s="4" t="s">
        <v>192</v>
      </c>
      <c r="H599" s="4" t="s">
        <v>1561</v>
      </c>
      <c r="I599" s="4">
        <v>0</v>
      </c>
      <c r="J599" s="4"/>
      <c r="K599" s="4"/>
      <c r="L599" s="4"/>
      <c r="M599" s="4"/>
      <c r="N599" s="4"/>
      <c r="O599" s="4">
        <v>0</v>
      </c>
      <c r="P599" s="4">
        <v>42199.566793981481</v>
      </c>
      <c r="Q599" s="4"/>
      <c r="R599" s="4">
        <v>0</v>
      </c>
      <c r="S599" s="79">
        <f>DbLinkTable[[#This Row],[Credit]]+DbLinkTable[[#This Row],[Charge]]</f>
        <v>0</v>
      </c>
      <c r="T599" s="79">
        <f>IF(DbLinkTable[[#This Row],[Price/lb]]*DbLinkTable[[#This Row],[Weight]]&gt;0,DbLinkTable[[#This Row],[Price/lb]]*DbLinkTable[[#This Row],[Weight]],0)</f>
        <v>0</v>
      </c>
      <c r="U599" s="79">
        <f>IF(DbLinkTable[[#This Row],[Price/lb]]*DbLinkTable[[#This Row],[Weight]]&lt;0,DbLinkTable[[#This Row],[Price/lb]]*DbLinkTable[[#This Row],[Weight]],0)</f>
        <v>0</v>
      </c>
      <c r="V599" s="4" t="str">
        <f>IF(COUNTIF($W$2:W599,W599)=1,1,"")</f>
        <v/>
      </c>
      <c r="W599" s="4" t="str">
        <f>CONCATENATE(DbLinkTable[[#This Row],[Customer]],UPPER(DbLinkTable[[#This Row],[Trailer Number]]),DbLinkTable[[#This Row],[Day Received]])</f>
        <v>Company14KLFU19015142198</v>
      </c>
      <c r="X599" s="4">
        <f>DATEVALUE(TEXT(DbLinkTable[[#This Row],[Date Received]],"MMMM YYYY"))</f>
        <v>42186</v>
      </c>
      <c r="Y599" s="4">
        <f>INT(DbLinkTable[[#This Row],[Date Received]])</f>
        <v>42198</v>
      </c>
    </row>
    <row r="600" spans="1:25">
      <c r="A600">
        <v>12221</v>
      </c>
      <c r="B600" t="s">
        <v>46</v>
      </c>
      <c r="D600">
        <v>147</v>
      </c>
      <c r="E600" t="s">
        <v>1504</v>
      </c>
      <c r="F600" s="4">
        <v>42198</v>
      </c>
      <c r="G600" s="4" t="s">
        <v>192</v>
      </c>
      <c r="H600" s="4" t="s">
        <v>1561</v>
      </c>
      <c r="I600" s="4">
        <v>0</v>
      </c>
      <c r="J600" s="4"/>
      <c r="K600" s="4"/>
      <c r="L600" s="4"/>
      <c r="M600" s="4"/>
      <c r="N600" s="4"/>
      <c r="O600" s="4">
        <v>0</v>
      </c>
      <c r="P600" s="4">
        <v>42199.571805555555</v>
      </c>
      <c r="Q600" s="4"/>
      <c r="R600" s="4">
        <v>1.4999999999999999E-2</v>
      </c>
      <c r="S600" s="79">
        <f>DbLinkTable[[#This Row],[Credit]]+DbLinkTable[[#This Row],[Charge]]</f>
        <v>2.2050000000000001</v>
      </c>
      <c r="T600" s="79">
        <f>IF(DbLinkTable[[#This Row],[Price/lb]]*DbLinkTable[[#This Row],[Weight]]&gt;0,DbLinkTable[[#This Row],[Price/lb]]*DbLinkTable[[#This Row],[Weight]],0)</f>
        <v>2.2050000000000001</v>
      </c>
      <c r="U600" s="79">
        <f>IF(DbLinkTable[[#This Row],[Price/lb]]*DbLinkTable[[#This Row],[Weight]]&lt;0,DbLinkTable[[#This Row],[Price/lb]]*DbLinkTable[[#This Row],[Weight]],0)</f>
        <v>0</v>
      </c>
      <c r="V600" s="4" t="str">
        <f>IF(COUNTIF($W$2:W600,W600)=1,1,"")</f>
        <v/>
      </c>
      <c r="W600" s="4" t="str">
        <f>CONCATENATE(DbLinkTable[[#This Row],[Customer]],UPPER(DbLinkTable[[#This Row],[Trailer Number]]),DbLinkTable[[#This Row],[Day Received]])</f>
        <v>Company14KLFU19015142198</v>
      </c>
      <c r="X600" s="4">
        <f>DATEVALUE(TEXT(DbLinkTable[[#This Row],[Date Received]],"MMMM YYYY"))</f>
        <v>42186</v>
      </c>
      <c r="Y600" s="4">
        <f>INT(DbLinkTable[[#This Row],[Date Received]])</f>
        <v>42198</v>
      </c>
    </row>
    <row r="601" spans="1:25">
      <c r="A601">
        <v>12222</v>
      </c>
      <c r="B601" t="s">
        <v>1502</v>
      </c>
      <c r="D601">
        <v>33</v>
      </c>
      <c r="E601" t="s">
        <v>1504</v>
      </c>
      <c r="F601" s="4">
        <v>42198</v>
      </c>
      <c r="G601" s="4" t="s">
        <v>192</v>
      </c>
      <c r="H601" s="4" t="s">
        <v>1561</v>
      </c>
      <c r="I601" s="4">
        <v>0</v>
      </c>
      <c r="J601" s="4"/>
      <c r="K601" s="4"/>
      <c r="L601" s="4"/>
      <c r="M601" s="4"/>
      <c r="N601" s="4"/>
      <c r="O601" s="4">
        <v>0</v>
      </c>
      <c r="P601" s="4">
        <v>42199.577314814815</v>
      </c>
      <c r="Q601" s="4"/>
      <c r="R601" s="4">
        <v>0</v>
      </c>
      <c r="S601" s="79">
        <f>DbLinkTable[[#This Row],[Credit]]+DbLinkTable[[#This Row],[Charge]]</f>
        <v>0</v>
      </c>
      <c r="T601" s="79">
        <f>IF(DbLinkTable[[#This Row],[Price/lb]]*DbLinkTable[[#This Row],[Weight]]&gt;0,DbLinkTable[[#This Row],[Price/lb]]*DbLinkTable[[#This Row],[Weight]],0)</f>
        <v>0</v>
      </c>
      <c r="U601" s="79">
        <f>IF(DbLinkTable[[#This Row],[Price/lb]]*DbLinkTable[[#This Row],[Weight]]&lt;0,DbLinkTable[[#This Row],[Price/lb]]*DbLinkTable[[#This Row],[Weight]],0)</f>
        <v>0</v>
      </c>
      <c r="V601" s="4" t="str">
        <f>IF(COUNTIF($W$2:W601,W601)=1,1,"")</f>
        <v/>
      </c>
      <c r="W601" s="4" t="str">
        <f>CONCATENATE(DbLinkTable[[#This Row],[Customer]],UPPER(DbLinkTable[[#This Row],[Trailer Number]]),DbLinkTable[[#This Row],[Day Received]])</f>
        <v>Company14KLFU19015142198</v>
      </c>
      <c r="X601" s="4">
        <f>DATEVALUE(TEXT(DbLinkTable[[#This Row],[Date Received]],"MMMM YYYY"))</f>
        <v>42186</v>
      </c>
      <c r="Y601" s="4">
        <f>INT(DbLinkTable[[#This Row],[Date Received]])</f>
        <v>42198</v>
      </c>
    </row>
    <row r="602" spans="1:25">
      <c r="A602">
        <v>12223</v>
      </c>
      <c r="B602" t="s">
        <v>43</v>
      </c>
      <c r="D602">
        <v>582</v>
      </c>
      <c r="E602" t="s">
        <v>1504</v>
      </c>
      <c r="F602" s="4">
        <v>42198</v>
      </c>
      <c r="G602" s="4" t="s">
        <v>192</v>
      </c>
      <c r="H602" s="4" t="s">
        <v>1561</v>
      </c>
      <c r="I602" s="4">
        <v>0</v>
      </c>
      <c r="J602" s="4"/>
      <c r="K602" s="4"/>
      <c r="L602" s="4"/>
      <c r="M602" s="4"/>
      <c r="N602" s="4"/>
      <c r="O602" s="4">
        <v>0</v>
      </c>
      <c r="P602" s="4">
        <v>42199.579016203701</v>
      </c>
      <c r="Q602" s="4"/>
      <c r="R602" s="4">
        <v>5.0000000000000001E-3</v>
      </c>
      <c r="S602" s="79">
        <f>DbLinkTable[[#This Row],[Credit]]+DbLinkTable[[#This Row],[Charge]]</f>
        <v>2.91</v>
      </c>
      <c r="T602" s="79">
        <f>IF(DbLinkTable[[#This Row],[Price/lb]]*DbLinkTable[[#This Row],[Weight]]&gt;0,DbLinkTable[[#This Row],[Price/lb]]*DbLinkTable[[#This Row],[Weight]],0)</f>
        <v>2.91</v>
      </c>
      <c r="U602" s="79">
        <f>IF(DbLinkTable[[#This Row],[Price/lb]]*DbLinkTable[[#This Row],[Weight]]&lt;0,DbLinkTable[[#This Row],[Price/lb]]*DbLinkTable[[#This Row],[Weight]],0)</f>
        <v>0</v>
      </c>
      <c r="V602" s="4" t="str">
        <f>IF(COUNTIF($W$2:W602,W602)=1,1,"")</f>
        <v/>
      </c>
      <c r="W602" s="4" t="str">
        <f>CONCATENATE(DbLinkTable[[#This Row],[Customer]],UPPER(DbLinkTable[[#This Row],[Trailer Number]]),DbLinkTable[[#This Row],[Day Received]])</f>
        <v>Company14KLFU19015142198</v>
      </c>
      <c r="X602" s="4">
        <f>DATEVALUE(TEXT(DbLinkTable[[#This Row],[Date Received]],"MMMM YYYY"))</f>
        <v>42186</v>
      </c>
      <c r="Y602" s="4">
        <f>INT(DbLinkTable[[#This Row],[Date Received]])</f>
        <v>42198</v>
      </c>
    </row>
    <row r="603" spans="1:25">
      <c r="A603">
        <v>12224</v>
      </c>
      <c r="B603" t="s">
        <v>43</v>
      </c>
      <c r="D603">
        <v>489</v>
      </c>
      <c r="E603" t="s">
        <v>1504</v>
      </c>
      <c r="F603" s="4">
        <v>42198</v>
      </c>
      <c r="G603" s="4" t="s">
        <v>192</v>
      </c>
      <c r="H603" s="4" t="s">
        <v>1561</v>
      </c>
      <c r="I603" s="4">
        <v>0</v>
      </c>
      <c r="J603" s="4"/>
      <c r="K603" s="4"/>
      <c r="L603" s="4"/>
      <c r="M603" s="4"/>
      <c r="N603" s="4"/>
      <c r="O603" s="4">
        <v>0</v>
      </c>
      <c r="P603" s="4">
        <v>42199.58085648148</v>
      </c>
      <c r="Q603" s="4"/>
      <c r="R603" s="4">
        <v>5.0000000000000001E-3</v>
      </c>
      <c r="S603" s="79">
        <f>DbLinkTable[[#This Row],[Credit]]+DbLinkTable[[#This Row],[Charge]]</f>
        <v>2.4449999999999998</v>
      </c>
      <c r="T603" s="79">
        <f>IF(DbLinkTable[[#This Row],[Price/lb]]*DbLinkTable[[#This Row],[Weight]]&gt;0,DbLinkTable[[#This Row],[Price/lb]]*DbLinkTable[[#This Row],[Weight]],0)</f>
        <v>2.4449999999999998</v>
      </c>
      <c r="U603" s="79">
        <f>IF(DbLinkTable[[#This Row],[Price/lb]]*DbLinkTable[[#This Row],[Weight]]&lt;0,DbLinkTable[[#This Row],[Price/lb]]*DbLinkTable[[#This Row],[Weight]],0)</f>
        <v>0</v>
      </c>
      <c r="V603" s="4" t="str">
        <f>IF(COUNTIF($W$2:W603,W603)=1,1,"")</f>
        <v/>
      </c>
      <c r="W603" s="4" t="str">
        <f>CONCATENATE(DbLinkTable[[#This Row],[Customer]],UPPER(DbLinkTable[[#This Row],[Trailer Number]]),DbLinkTable[[#This Row],[Day Received]])</f>
        <v>Company14KLFU19015142198</v>
      </c>
      <c r="X603" s="4">
        <f>DATEVALUE(TEXT(DbLinkTable[[#This Row],[Date Received]],"MMMM YYYY"))</f>
        <v>42186</v>
      </c>
      <c r="Y603" s="4">
        <f>INT(DbLinkTable[[#This Row],[Date Received]])</f>
        <v>42198</v>
      </c>
    </row>
    <row r="604" spans="1:25">
      <c r="A604">
        <v>12225</v>
      </c>
      <c r="B604" t="s">
        <v>43</v>
      </c>
      <c r="D604">
        <v>409</v>
      </c>
      <c r="E604" t="s">
        <v>1504</v>
      </c>
      <c r="F604" s="4">
        <v>42198</v>
      </c>
      <c r="G604" s="4" t="s">
        <v>192</v>
      </c>
      <c r="H604" s="4" t="s">
        <v>1561</v>
      </c>
      <c r="I604" s="4">
        <v>0</v>
      </c>
      <c r="J604" s="4"/>
      <c r="K604" s="4"/>
      <c r="L604" s="4"/>
      <c r="M604" s="4"/>
      <c r="N604" s="4"/>
      <c r="O604" s="4">
        <v>0</v>
      </c>
      <c r="P604" s="4">
        <v>42199.593969907408</v>
      </c>
      <c r="Q604" s="4"/>
      <c r="R604" s="4">
        <v>5.0000000000000001E-3</v>
      </c>
      <c r="S604" s="79">
        <f>DbLinkTable[[#This Row],[Credit]]+DbLinkTable[[#This Row],[Charge]]</f>
        <v>2.0449999999999999</v>
      </c>
      <c r="T604" s="79">
        <f>IF(DbLinkTable[[#This Row],[Price/lb]]*DbLinkTable[[#This Row],[Weight]]&gt;0,DbLinkTable[[#This Row],[Price/lb]]*DbLinkTable[[#This Row],[Weight]],0)</f>
        <v>2.0449999999999999</v>
      </c>
      <c r="U604" s="79">
        <f>IF(DbLinkTable[[#This Row],[Price/lb]]*DbLinkTable[[#This Row],[Weight]]&lt;0,DbLinkTable[[#This Row],[Price/lb]]*DbLinkTable[[#This Row],[Weight]],0)</f>
        <v>0</v>
      </c>
      <c r="V604" s="4" t="str">
        <f>IF(COUNTIF($W$2:W604,W604)=1,1,"")</f>
        <v/>
      </c>
      <c r="W604" s="4" t="str">
        <f>CONCATENATE(DbLinkTable[[#This Row],[Customer]],UPPER(DbLinkTable[[#This Row],[Trailer Number]]),DbLinkTable[[#This Row],[Day Received]])</f>
        <v>Company14KLFU19015142198</v>
      </c>
      <c r="X604" s="4">
        <f>DATEVALUE(TEXT(DbLinkTable[[#This Row],[Date Received]],"MMMM YYYY"))</f>
        <v>42186</v>
      </c>
      <c r="Y604" s="4">
        <f>INT(DbLinkTable[[#This Row],[Date Received]])</f>
        <v>42198</v>
      </c>
    </row>
    <row r="605" spans="1:25">
      <c r="A605">
        <v>12226</v>
      </c>
      <c r="B605" t="s">
        <v>43</v>
      </c>
      <c r="D605">
        <v>468</v>
      </c>
      <c r="E605" t="s">
        <v>1504</v>
      </c>
      <c r="F605" s="4">
        <v>42198</v>
      </c>
      <c r="G605" s="4" t="s">
        <v>192</v>
      </c>
      <c r="H605" s="4" t="s">
        <v>1561</v>
      </c>
      <c r="I605" s="4">
        <v>0</v>
      </c>
      <c r="J605" s="4"/>
      <c r="K605" s="4"/>
      <c r="L605" s="4"/>
      <c r="M605" s="4"/>
      <c r="N605" s="4"/>
      <c r="O605" s="4">
        <v>0</v>
      </c>
      <c r="P605" s="4">
        <v>42199.595833333333</v>
      </c>
      <c r="Q605" s="4"/>
      <c r="R605" s="4">
        <v>5.0000000000000001E-3</v>
      </c>
      <c r="S605" s="79">
        <f>DbLinkTable[[#This Row],[Credit]]+DbLinkTable[[#This Row],[Charge]]</f>
        <v>2.34</v>
      </c>
      <c r="T605" s="79">
        <f>IF(DbLinkTable[[#This Row],[Price/lb]]*DbLinkTable[[#This Row],[Weight]]&gt;0,DbLinkTable[[#This Row],[Price/lb]]*DbLinkTable[[#This Row],[Weight]],0)</f>
        <v>2.34</v>
      </c>
      <c r="U605" s="79">
        <f>IF(DbLinkTable[[#This Row],[Price/lb]]*DbLinkTable[[#This Row],[Weight]]&lt;0,DbLinkTable[[#This Row],[Price/lb]]*DbLinkTable[[#This Row],[Weight]],0)</f>
        <v>0</v>
      </c>
      <c r="V605" s="4" t="str">
        <f>IF(COUNTIF($W$2:W605,W605)=1,1,"")</f>
        <v/>
      </c>
      <c r="W605" s="4" t="str">
        <f>CONCATENATE(DbLinkTable[[#This Row],[Customer]],UPPER(DbLinkTable[[#This Row],[Trailer Number]]),DbLinkTable[[#This Row],[Day Received]])</f>
        <v>Company14KLFU19015142198</v>
      </c>
      <c r="X605" s="4">
        <f>DATEVALUE(TEXT(DbLinkTable[[#This Row],[Date Received]],"MMMM YYYY"))</f>
        <v>42186</v>
      </c>
      <c r="Y605" s="4">
        <f>INT(DbLinkTable[[#This Row],[Date Received]])</f>
        <v>42198</v>
      </c>
    </row>
    <row r="606" spans="1:25">
      <c r="A606">
        <v>12227</v>
      </c>
      <c r="B606" t="s">
        <v>43</v>
      </c>
      <c r="D606">
        <v>535</v>
      </c>
      <c r="E606" t="s">
        <v>1504</v>
      </c>
      <c r="F606" s="4">
        <v>42198</v>
      </c>
      <c r="G606" s="4" t="s">
        <v>192</v>
      </c>
      <c r="H606" s="4" t="s">
        <v>1561</v>
      </c>
      <c r="I606" s="4">
        <v>0</v>
      </c>
      <c r="J606" s="4"/>
      <c r="K606" s="4"/>
      <c r="L606" s="4"/>
      <c r="M606" s="4"/>
      <c r="N606" s="4"/>
      <c r="O606" s="4">
        <v>0</v>
      </c>
      <c r="P606" s="4">
        <v>42199.597743055558</v>
      </c>
      <c r="Q606" s="4"/>
      <c r="R606" s="4">
        <v>5.0000000000000001E-3</v>
      </c>
      <c r="S606" s="79">
        <f>DbLinkTable[[#This Row],[Credit]]+DbLinkTable[[#This Row],[Charge]]</f>
        <v>2.6750000000000003</v>
      </c>
      <c r="T606" s="79">
        <f>IF(DbLinkTable[[#This Row],[Price/lb]]*DbLinkTable[[#This Row],[Weight]]&gt;0,DbLinkTable[[#This Row],[Price/lb]]*DbLinkTable[[#This Row],[Weight]],0)</f>
        <v>2.6750000000000003</v>
      </c>
      <c r="U606" s="79">
        <f>IF(DbLinkTable[[#This Row],[Price/lb]]*DbLinkTable[[#This Row],[Weight]]&lt;0,DbLinkTable[[#This Row],[Price/lb]]*DbLinkTable[[#This Row],[Weight]],0)</f>
        <v>0</v>
      </c>
      <c r="V606" s="4" t="str">
        <f>IF(COUNTIF($W$2:W606,W606)=1,1,"")</f>
        <v/>
      </c>
      <c r="W606" s="4" t="str">
        <f>CONCATENATE(DbLinkTable[[#This Row],[Customer]],UPPER(DbLinkTable[[#This Row],[Trailer Number]]),DbLinkTable[[#This Row],[Day Received]])</f>
        <v>Company14KLFU19015142198</v>
      </c>
      <c r="X606" s="4">
        <f>DATEVALUE(TEXT(DbLinkTable[[#This Row],[Date Received]],"MMMM YYYY"))</f>
        <v>42186</v>
      </c>
      <c r="Y606" s="4">
        <f>INT(DbLinkTable[[#This Row],[Date Received]])</f>
        <v>42198</v>
      </c>
    </row>
    <row r="607" spans="1:25">
      <c r="A607">
        <v>12228</v>
      </c>
      <c r="B607" t="s">
        <v>43</v>
      </c>
      <c r="D607">
        <v>338</v>
      </c>
      <c r="E607" t="s">
        <v>1504</v>
      </c>
      <c r="F607" s="4">
        <v>42198</v>
      </c>
      <c r="G607" s="4" t="s">
        <v>192</v>
      </c>
      <c r="H607" s="4" t="s">
        <v>1561</v>
      </c>
      <c r="I607" s="4">
        <v>0</v>
      </c>
      <c r="J607" s="4"/>
      <c r="K607" s="4"/>
      <c r="L607" s="4"/>
      <c r="M607" s="4"/>
      <c r="N607" s="4"/>
      <c r="O607" s="4">
        <v>0</v>
      </c>
      <c r="P607" s="4">
        <v>42199.599583333336</v>
      </c>
      <c r="Q607" s="4"/>
      <c r="R607" s="4">
        <v>5.0000000000000001E-3</v>
      </c>
      <c r="S607" s="79">
        <f>DbLinkTable[[#This Row],[Credit]]+DbLinkTable[[#This Row],[Charge]]</f>
        <v>1.69</v>
      </c>
      <c r="T607" s="79">
        <f>IF(DbLinkTable[[#This Row],[Price/lb]]*DbLinkTable[[#This Row],[Weight]]&gt;0,DbLinkTable[[#This Row],[Price/lb]]*DbLinkTable[[#This Row],[Weight]],0)</f>
        <v>1.69</v>
      </c>
      <c r="U607" s="79">
        <f>IF(DbLinkTable[[#This Row],[Price/lb]]*DbLinkTable[[#This Row],[Weight]]&lt;0,DbLinkTable[[#This Row],[Price/lb]]*DbLinkTable[[#This Row],[Weight]],0)</f>
        <v>0</v>
      </c>
      <c r="V607" s="4" t="str">
        <f>IF(COUNTIF($W$2:W607,W607)=1,1,"")</f>
        <v/>
      </c>
      <c r="W607" s="4" t="str">
        <f>CONCATENATE(DbLinkTable[[#This Row],[Customer]],UPPER(DbLinkTable[[#This Row],[Trailer Number]]),DbLinkTable[[#This Row],[Day Received]])</f>
        <v>Company14KLFU19015142198</v>
      </c>
      <c r="X607" s="4">
        <f>DATEVALUE(TEXT(DbLinkTable[[#This Row],[Date Received]],"MMMM YYYY"))</f>
        <v>42186</v>
      </c>
      <c r="Y607" s="4">
        <f>INT(DbLinkTable[[#This Row],[Date Received]])</f>
        <v>42198</v>
      </c>
    </row>
    <row r="608" spans="1:25">
      <c r="A608">
        <v>12229</v>
      </c>
      <c r="B608" t="s">
        <v>43</v>
      </c>
      <c r="D608">
        <v>510</v>
      </c>
      <c r="E608" t="s">
        <v>1504</v>
      </c>
      <c r="F608" s="4">
        <v>42198</v>
      </c>
      <c r="G608" s="4" t="s">
        <v>192</v>
      </c>
      <c r="H608" s="4" t="s">
        <v>1561</v>
      </c>
      <c r="I608" s="4">
        <v>0</v>
      </c>
      <c r="J608" s="4"/>
      <c r="K608" s="4"/>
      <c r="L608" s="4"/>
      <c r="M608" s="4"/>
      <c r="N608" s="4"/>
      <c r="O608" s="4">
        <v>0</v>
      </c>
      <c r="P608" s="4">
        <v>42200.347858796296</v>
      </c>
      <c r="Q608" s="4"/>
      <c r="R608" s="4">
        <v>5.0000000000000001E-3</v>
      </c>
      <c r="S608" s="79">
        <f>DbLinkTable[[#This Row],[Credit]]+DbLinkTable[[#This Row],[Charge]]</f>
        <v>2.5500000000000003</v>
      </c>
      <c r="T608" s="79">
        <f>IF(DbLinkTable[[#This Row],[Price/lb]]*DbLinkTable[[#This Row],[Weight]]&gt;0,DbLinkTable[[#This Row],[Price/lb]]*DbLinkTable[[#This Row],[Weight]],0)</f>
        <v>2.5500000000000003</v>
      </c>
      <c r="U608" s="79">
        <f>IF(DbLinkTable[[#This Row],[Price/lb]]*DbLinkTable[[#This Row],[Weight]]&lt;0,DbLinkTable[[#This Row],[Price/lb]]*DbLinkTable[[#This Row],[Weight]],0)</f>
        <v>0</v>
      </c>
      <c r="V608" s="4" t="str">
        <f>IF(COUNTIF($W$2:W608,W608)=1,1,"")</f>
        <v/>
      </c>
      <c r="W608" s="4" t="str">
        <f>CONCATENATE(DbLinkTable[[#This Row],[Customer]],UPPER(DbLinkTable[[#This Row],[Trailer Number]]),DbLinkTable[[#This Row],[Day Received]])</f>
        <v>Company14KLFU19015142198</v>
      </c>
      <c r="X608" s="4">
        <f>DATEVALUE(TEXT(DbLinkTable[[#This Row],[Date Received]],"MMMM YYYY"))</f>
        <v>42186</v>
      </c>
      <c r="Y608" s="4">
        <f>INT(DbLinkTable[[#This Row],[Date Received]])</f>
        <v>42198</v>
      </c>
    </row>
    <row r="609" spans="1:25">
      <c r="A609">
        <v>12230</v>
      </c>
      <c r="B609" t="s">
        <v>43</v>
      </c>
      <c r="D609">
        <v>500</v>
      </c>
      <c r="E609" t="s">
        <v>1504</v>
      </c>
      <c r="F609" s="4">
        <v>42198</v>
      </c>
      <c r="G609" s="4" t="s">
        <v>192</v>
      </c>
      <c r="H609" s="4" t="s">
        <v>1561</v>
      </c>
      <c r="I609" s="4">
        <v>0</v>
      </c>
      <c r="J609" s="4"/>
      <c r="K609" s="4"/>
      <c r="L609" s="4"/>
      <c r="M609" s="4"/>
      <c r="N609" s="4"/>
      <c r="O609" s="4">
        <v>0</v>
      </c>
      <c r="P609" s="4">
        <v>42200.349259259259</v>
      </c>
      <c r="Q609" s="4"/>
      <c r="R609" s="4">
        <v>5.0000000000000001E-3</v>
      </c>
      <c r="S609" s="79">
        <f>DbLinkTable[[#This Row],[Credit]]+DbLinkTable[[#This Row],[Charge]]</f>
        <v>2.5</v>
      </c>
      <c r="T609" s="79">
        <f>IF(DbLinkTable[[#This Row],[Price/lb]]*DbLinkTable[[#This Row],[Weight]]&gt;0,DbLinkTable[[#This Row],[Price/lb]]*DbLinkTable[[#This Row],[Weight]],0)</f>
        <v>2.5</v>
      </c>
      <c r="U609" s="79">
        <f>IF(DbLinkTable[[#This Row],[Price/lb]]*DbLinkTable[[#This Row],[Weight]]&lt;0,DbLinkTable[[#This Row],[Price/lb]]*DbLinkTable[[#This Row],[Weight]],0)</f>
        <v>0</v>
      </c>
      <c r="V609" s="4" t="str">
        <f>IF(COUNTIF($W$2:W609,W609)=1,1,"")</f>
        <v/>
      </c>
      <c r="W609" s="4" t="str">
        <f>CONCATENATE(DbLinkTable[[#This Row],[Customer]],UPPER(DbLinkTable[[#This Row],[Trailer Number]]),DbLinkTable[[#This Row],[Day Received]])</f>
        <v>Company14KLFU19015142198</v>
      </c>
      <c r="X609" s="4">
        <f>DATEVALUE(TEXT(DbLinkTable[[#This Row],[Date Received]],"MMMM YYYY"))</f>
        <v>42186</v>
      </c>
      <c r="Y609" s="4">
        <f>INT(DbLinkTable[[#This Row],[Date Received]])</f>
        <v>42198</v>
      </c>
    </row>
    <row r="610" spans="1:25">
      <c r="A610">
        <v>12231</v>
      </c>
      <c r="B610" t="s">
        <v>43</v>
      </c>
      <c r="D610">
        <v>520</v>
      </c>
      <c r="E610" t="s">
        <v>1504</v>
      </c>
      <c r="F610" s="4">
        <v>42198</v>
      </c>
      <c r="G610" s="4" t="s">
        <v>192</v>
      </c>
      <c r="H610" s="4" t="s">
        <v>1561</v>
      </c>
      <c r="I610" s="4">
        <v>0</v>
      </c>
      <c r="J610" s="4"/>
      <c r="K610" s="4"/>
      <c r="L610" s="4"/>
      <c r="M610" s="4"/>
      <c r="N610" s="4"/>
      <c r="O610" s="4">
        <v>0</v>
      </c>
      <c r="P610" s="4">
        <v>42200.35056712963</v>
      </c>
      <c r="Q610" s="4"/>
      <c r="R610" s="4">
        <v>5.0000000000000001E-3</v>
      </c>
      <c r="S610" s="79">
        <f>DbLinkTable[[#This Row],[Credit]]+DbLinkTable[[#This Row],[Charge]]</f>
        <v>2.6</v>
      </c>
      <c r="T610" s="79">
        <f>IF(DbLinkTable[[#This Row],[Price/lb]]*DbLinkTable[[#This Row],[Weight]]&gt;0,DbLinkTable[[#This Row],[Price/lb]]*DbLinkTable[[#This Row],[Weight]],0)</f>
        <v>2.6</v>
      </c>
      <c r="U610" s="79">
        <f>IF(DbLinkTable[[#This Row],[Price/lb]]*DbLinkTable[[#This Row],[Weight]]&lt;0,DbLinkTable[[#This Row],[Price/lb]]*DbLinkTable[[#This Row],[Weight]],0)</f>
        <v>0</v>
      </c>
      <c r="V610" s="4" t="str">
        <f>IF(COUNTIF($W$2:W610,W610)=1,1,"")</f>
        <v/>
      </c>
      <c r="W610" s="4" t="str">
        <f>CONCATENATE(DbLinkTable[[#This Row],[Customer]],UPPER(DbLinkTable[[#This Row],[Trailer Number]]),DbLinkTable[[#This Row],[Day Received]])</f>
        <v>Company14KLFU19015142198</v>
      </c>
      <c r="X610" s="4">
        <f>DATEVALUE(TEXT(DbLinkTable[[#This Row],[Date Received]],"MMMM YYYY"))</f>
        <v>42186</v>
      </c>
      <c r="Y610" s="4">
        <f>INT(DbLinkTable[[#This Row],[Date Received]])</f>
        <v>42198</v>
      </c>
    </row>
    <row r="611" spans="1:25">
      <c r="A611">
        <v>12886</v>
      </c>
      <c r="B611" t="s">
        <v>43</v>
      </c>
      <c r="D611">
        <v>2342</v>
      </c>
      <c r="E611" t="s">
        <v>1504</v>
      </c>
      <c r="F611" s="4">
        <v>42250</v>
      </c>
      <c r="G611" s="4" t="s">
        <v>192</v>
      </c>
      <c r="H611" s="4" t="s">
        <v>1515</v>
      </c>
      <c r="I611" s="4">
        <v>0</v>
      </c>
      <c r="J611" s="4"/>
      <c r="K611" s="4"/>
      <c r="L611" s="4"/>
      <c r="M611" s="4"/>
      <c r="N611" s="4"/>
      <c r="O611" s="4">
        <v>0</v>
      </c>
      <c r="P611" s="4">
        <v>42255.571967592594</v>
      </c>
      <c r="Q611" s="4"/>
      <c r="R611" s="4">
        <v>5.0000000000000001E-3</v>
      </c>
      <c r="S611" s="79">
        <f>DbLinkTable[[#This Row],[Credit]]+DbLinkTable[[#This Row],[Charge]]</f>
        <v>11.71</v>
      </c>
      <c r="T611" s="79">
        <f>IF(DbLinkTable[[#This Row],[Price/lb]]*DbLinkTable[[#This Row],[Weight]]&gt;0,DbLinkTable[[#This Row],[Price/lb]]*DbLinkTable[[#This Row],[Weight]],0)</f>
        <v>11.71</v>
      </c>
      <c r="U611" s="79">
        <f>IF(DbLinkTable[[#This Row],[Price/lb]]*DbLinkTable[[#This Row],[Weight]]&lt;0,DbLinkTable[[#This Row],[Price/lb]]*DbLinkTable[[#This Row],[Weight]],0)</f>
        <v>0</v>
      </c>
      <c r="V611" s="4">
        <f>IF(COUNTIF($W$2:W611,W611)=1,1,"")</f>
        <v>1</v>
      </c>
      <c r="W611" s="4" t="str">
        <f>CONCATENATE(DbLinkTable[[#This Row],[Customer]],UPPER(DbLinkTable[[#This Row],[Trailer Number]]),DbLinkTable[[#This Row],[Day Received]])</f>
        <v>Company1434042250</v>
      </c>
      <c r="X611" s="4">
        <f>DATEVALUE(TEXT(DbLinkTable[[#This Row],[Date Received]],"MMMM YYYY"))</f>
        <v>42248</v>
      </c>
      <c r="Y611" s="4">
        <f>INT(DbLinkTable[[#This Row],[Date Received]])</f>
        <v>42250</v>
      </c>
    </row>
    <row r="612" spans="1:25">
      <c r="A612">
        <v>12887</v>
      </c>
      <c r="B612" t="s">
        <v>1502</v>
      </c>
      <c r="D612">
        <v>7497</v>
      </c>
      <c r="E612" t="s">
        <v>1504</v>
      </c>
      <c r="F612" s="4">
        <v>42250</v>
      </c>
      <c r="G612" s="4" t="s">
        <v>192</v>
      </c>
      <c r="H612" s="4" t="s">
        <v>1515</v>
      </c>
      <c r="I612" s="4">
        <v>0</v>
      </c>
      <c r="J612" s="4"/>
      <c r="K612" s="4"/>
      <c r="L612" s="4"/>
      <c r="M612" s="4"/>
      <c r="N612" s="4"/>
      <c r="O612" s="4">
        <v>0</v>
      </c>
      <c r="P612" s="4">
        <v>42255.572546296295</v>
      </c>
      <c r="Q612" s="4"/>
      <c r="R612" s="4">
        <v>0</v>
      </c>
      <c r="S612" s="79">
        <f>DbLinkTable[[#This Row],[Credit]]+DbLinkTable[[#This Row],[Charge]]</f>
        <v>0</v>
      </c>
      <c r="T612" s="79">
        <f>IF(DbLinkTable[[#This Row],[Price/lb]]*DbLinkTable[[#This Row],[Weight]]&gt;0,DbLinkTable[[#This Row],[Price/lb]]*DbLinkTable[[#This Row],[Weight]],0)</f>
        <v>0</v>
      </c>
      <c r="U612" s="79">
        <f>IF(DbLinkTable[[#This Row],[Price/lb]]*DbLinkTable[[#This Row],[Weight]]&lt;0,DbLinkTable[[#This Row],[Price/lb]]*DbLinkTable[[#This Row],[Weight]],0)</f>
        <v>0</v>
      </c>
      <c r="V612" s="4" t="str">
        <f>IF(COUNTIF($W$2:W612,W612)=1,1,"")</f>
        <v/>
      </c>
      <c r="W612" s="4" t="str">
        <f>CONCATENATE(DbLinkTable[[#This Row],[Customer]],UPPER(DbLinkTable[[#This Row],[Trailer Number]]),DbLinkTable[[#This Row],[Day Received]])</f>
        <v>Company1434042250</v>
      </c>
      <c r="X612" s="4">
        <f>DATEVALUE(TEXT(DbLinkTable[[#This Row],[Date Received]],"MMMM YYYY"))</f>
        <v>42248</v>
      </c>
      <c r="Y612" s="4">
        <f>INT(DbLinkTable[[#This Row],[Date Received]])</f>
        <v>42250</v>
      </c>
    </row>
    <row r="613" spans="1:25">
      <c r="A613">
        <v>12888</v>
      </c>
      <c r="B613" t="s">
        <v>46</v>
      </c>
      <c r="D613">
        <v>87</v>
      </c>
      <c r="E613" t="s">
        <v>1504</v>
      </c>
      <c r="F613" s="4">
        <v>42250</v>
      </c>
      <c r="G613" s="4" t="s">
        <v>192</v>
      </c>
      <c r="H613" s="4" t="s">
        <v>1515</v>
      </c>
      <c r="I613" s="4">
        <v>0</v>
      </c>
      <c r="J613" s="4"/>
      <c r="K613" s="4"/>
      <c r="L613" s="4"/>
      <c r="M613" s="4"/>
      <c r="N613" s="4"/>
      <c r="O613" s="4">
        <v>0</v>
      </c>
      <c r="P613" s="4">
        <v>42255.572731481479</v>
      </c>
      <c r="Q613" s="4"/>
      <c r="R613" s="4">
        <v>1.4999999999999999E-2</v>
      </c>
      <c r="S613" s="79">
        <f>DbLinkTable[[#This Row],[Credit]]+DbLinkTable[[#This Row],[Charge]]</f>
        <v>1.3049999999999999</v>
      </c>
      <c r="T613" s="79">
        <f>IF(DbLinkTable[[#This Row],[Price/lb]]*DbLinkTable[[#This Row],[Weight]]&gt;0,DbLinkTable[[#This Row],[Price/lb]]*DbLinkTable[[#This Row],[Weight]],0)</f>
        <v>1.3049999999999999</v>
      </c>
      <c r="U613" s="79">
        <f>IF(DbLinkTable[[#This Row],[Price/lb]]*DbLinkTable[[#This Row],[Weight]]&lt;0,DbLinkTable[[#This Row],[Price/lb]]*DbLinkTable[[#This Row],[Weight]],0)</f>
        <v>0</v>
      </c>
      <c r="V613" s="4" t="str">
        <f>IF(COUNTIF($W$2:W613,W613)=1,1,"")</f>
        <v/>
      </c>
      <c r="W613" s="4" t="str">
        <f>CONCATENATE(DbLinkTable[[#This Row],[Customer]],UPPER(DbLinkTable[[#This Row],[Trailer Number]]),DbLinkTable[[#This Row],[Day Received]])</f>
        <v>Company1434042250</v>
      </c>
      <c r="X613" s="4">
        <f>DATEVALUE(TEXT(DbLinkTable[[#This Row],[Date Received]],"MMMM YYYY"))</f>
        <v>42248</v>
      </c>
      <c r="Y613" s="4">
        <f>INT(DbLinkTable[[#This Row],[Date Received]])</f>
        <v>42250</v>
      </c>
    </row>
    <row r="614" spans="1:25">
      <c r="A614">
        <v>12889</v>
      </c>
      <c r="B614" t="s">
        <v>47</v>
      </c>
      <c r="D614">
        <v>150</v>
      </c>
      <c r="E614" t="s">
        <v>1504</v>
      </c>
      <c r="F614" s="4">
        <v>42250</v>
      </c>
      <c r="G614" s="4" t="s">
        <v>192</v>
      </c>
      <c r="H614" s="4" t="s">
        <v>1515</v>
      </c>
      <c r="I614" s="4">
        <v>0</v>
      </c>
      <c r="J614" s="4"/>
      <c r="K614" s="4"/>
      <c r="L614" s="4"/>
      <c r="M614" s="4"/>
      <c r="N614" s="4"/>
      <c r="O614" s="4">
        <v>0</v>
      </c>
      <c r="P614" s="4">
        <v>42255.57304398148</v>
      </c>
      <c r="Q614" s="4"/>
      <c r="R614" s="4">
        <v>-7.0000000000000007E-2</v>
      </c>
      <c r="S614" s="79">
        <f>DbLinkTable[[#This Row],[Credit]]+DbLinkTable[[#This Row],[Charge]]</f>
        <v>-10.500000000000002</v>
      </c>
      <c r="T614" s="79">
        <f>IF(DbLinkTable[[#This Row],[Price/lb]]*DbLinkTable[[#This Row],[Weight]]&gt;0,DbLinkTable[[#This Row],[Price/lb]]*DbLinkTable[[#This Row],[Weight]],0)</f>
        <v>0</v>
      </c>
      <c r="U614" s="79">
        <f>IF(DbLinkTable[[#This Row],[Price/lb]]*DbLinkTable[[#This Row],[Weight]]&lt;0,DbLinkTable[[#This Row],[Price/lb]]*DbLinkTable[[#This Row],[Weight]],0)</f>
        <v>-10.500000000000002</v>
      </c>
      <c r="V614" s="4" t="str">
        <f>IF(COUNTIF($W$2:W614,W614)=1,1,"")</f>
        <v/>
      </c>
      <c r="W614" s="4" t="str">
        <f>CONCATENATE(DbLinkTable[[#This Row],[Customer]],UPPER(DbLinkTable[[#This Row],[Trailer Number]]),DbLinkTable[[#This Row],[Day Received]])</f>
        <v>Company1434042250</v>
      </c>
      <c r="X614" s="4">
        <f>DATEVALUE(TEXT(DbLinkTable[[#This Row],[Date Received]],"MMMM YYYY"))</f>
        <v>42248</v>
      </c>
      <c r="Y614" s="4">
        <f>INT(DbLinkTable[[#This Row],[Date Received]])</f>
        <v>42250</v>
      </c>
    </row>
    <row r="615" spans="1:25">
      <c r="A615">
        <v>12890</v>
      </c>
      <c r="B615" t="s">
        <v>45</v>
      </c>
      <c r="D615">
        <v>482</v>
      </c>
      <c r="E615" t="s">
        <v>1504</v>
      </c>
      <c r="F615" s="4">
        <v>42250</v>
      </c>
      <c r="G615" s="4" t="s">
        <v>192</v>
      </c>
      <c r="H615" s="4" t="s">
        <v>1515</v>
      </c>
      <c r="I615" s="4">
        <v>0</v>
      </c>
      <c r="J615" s="4"/>
      <c r="K615" s="4"/>
      <c r="L615" s="4"/>
      <c r="M615" s="4"/>
      <c r="N615" s="4"/>
      <c r="O615" s="4">
        <v>0</v>
      </c>
      <c r="P615" s="4">
        <v>42255.573472222219</v>
      </c>
      <c r="Q615" s="4"/>
      <c r="R615" s="4">
        <v>0</v>
      </c>
      <c r="S615" s="79">
        <f>DbLinkTable[[#This Row],[Credit]]+DbLinkTable[[#This Row],[Charge]]</f>
        <v>0</v>
      </c>
      <c r="T615" s="79">
        <f>IF(DbLinkTable[[#This Row],[Price/lb]]*DbLinkTable[[#This Row],[Weight]]&gt;0,DbLinkTable[[#This Row],[Price/lb]]*DbLinkTable[[#This Row],[Weight]],0)</f>
        <v>0</v>
      </c>
      <c r="U615" s="79">
        <f>IF(DbLinkTable[[#This Row],[Price/lb]]*DbLinkTable[[#This Row],[Weight]]&lt;0,DbLinkTable[[#This Row],[Price/lb]]*DbLinkTable[[#This Row],[Weight]],0)</f>
        <v>0</v>
      </c>
      <c r="V615" s="4" t="str">
        <f>IF(COUNTIF($W$2:W615,W615)=1,1,"")</f>
        <v/>
      </c>
      <c r="W615" s="4" t="str">
        <f>CONCATENATE(DbLinkTable[[#This Row],[Customer]],UPPER(DbLinkTable[[#This Row],[Trailer Number]]),DbLinkTable[[#This Row],[Day Received]])</f>
        <v>Company1434042250</v>
      </c>
      <c r="X615" s="4">
        <f>DATEVALUE(TEXT(DbLinkTable[[#This Row],[Date Received]],"MMMM YYYY"))</f>
        <v>42248</v>
      </c>
      <c r="Y615" s="4">
        <f>INT(DbLinkTable[[#This Row],[Date Received]])</f>
        <v>42250</v>
      </c>
    </row>
    <row r="616" spans="1:25">
      <c r="A616">
        <v>12891</v>
      </c>
      <c r="B616" t="s">
        <v>1530</v>
      </c>
      <c r="D616">
        <v>38</v>
      </c>
      <c r="E616" t="s">
        <v>1504</v>
      </c>
      <c r="F616" s="4">
        <v>42250</v>
      </c>
      <c r="G616" s="4" t="s">
        <v>192</v>
      </c>
      <c r="H616" s="4" t="s">
        <v>1515</v>
      </c>
      <c r="I616" s="4">
        <v>0</v>
      </c>
      <c r="J616" s="4"/>
      <c r="K616" s="4"/>
      <c r="L616" s="4"/>
      <c r="M616" s="4"/>
      <c r="N616" s="4"/>
      <c r="O616" s="4">
        <v>0</v>
      </c>
      <c r="P616" s="4">
        <v>42255.573680555557</v>
      </c>
      <c r="Q616" s="4"/>
      <c r="R616" s="4">
        <v>0</v>
      </c>
      <c r="S616" s="79">
        <f>DbLinkTable[[#This Row],[Credit]]+DbLinkTable[[#This Row],[Charge]]</f>
        <v>0</v>
      </c>
      <c r="T616" s="79">
        <f>IF(DbLinkTable[[#This Row],[Price/lb]]*DbLinkTable[[#This Row],[Weight]]&gt;0,DbLinkTable[[#This Row],[Price/lb]]*DbLinkTable[[#This Row],[Weight]],0)</f>
        <v>0</v>
      </c>
      <c r="U616" s="79">
        <f>IF(DbLinkTable[[#This Row],[Price/lb]]*DbLinkTable[[#This Row],[Weight]]&lt;0,DbLinkTable[[#This Row],[Price/lb]]*DbLinkTable[[#This Row],[Weight]],0)</f>
        <v>0</v>
      </c>
      <c r="V616" s="4" t="str">
        <f>IF(COUNTIF($W$2:W616,W616)=1,1,"")</f>
        <v/>
      </c>
      <c r="W616" s="4" t="str">
        <f>CONCATENATE(DbLinkTable[[#This Row],[Customer]],UPPER(DbLinkTable[[#This Row],[Trailer Number]]),DbLinkTable[[#This Row],[Day Received]])</f>
        <v>Company1434042250</v>
      </c>
      <c r="X616" s="4">
        <f>DATEVALUE(TEXT(DbLinkTable[[#This Row],[Date Received]],"MMMM YYYY"))</f>
        <v>42248</v>
      </c>
      <c r="Y616" s="4">
        <f>INT(DbLinkTable[[#This Row],[Date Received]])</f>
        <v>42250</v>
      </c>
    </row>
    <row r="617" spans="1:25">
      <c r="A617">
        <v>12892</v>
      </c>
      <c r="B617" t="s">
        <v>1527</v>
      </c>
      <c r="D617">
        <v>187</v>
      </c>
      <c r="E617" t="s">
        <v>1504</v>
      </c>
      <c r="F617" s="4">
        <v>42250</v>
      </c>
      <c r="G617" s="4" t="s">
        <v>192</v>
      </c>
      <c r="H617" s="4" t="s">
        <v>1515</v>
      </c>
      <c r="I617" s="4">
        <v>0</v>
      </c>
      <c r="J617" s="4"/>
      <c r="K617" s="4"/>
      <c r="L617" s="4"/>
      <c r="M617" s="4"/>
      <c r="N617" s="4"/>
      <c r="O617" s="4">
        <v>0</v>
      </c>
      <c r="P617" s="4">
        <v>42255.573807870373</v>
      </c>
      <c r="Q617" s="4"/>
      <c r="R617" s="4">
        <v>1.4999999999999999E-2</v>
      </c>
      <c r="S617" s="79">
        <f>DbLinkTable[[#This Row],[Credit]]+DbLinkTable[[#This Row],[Charge]]</f>
        <v>2.8049999999999997</v>
      </c>
      <c r="T617" s="79">
        <f>IF(DbLinkTable[[#This Row],[Price/lb]]*DbLinkTable[[#This Row],[Weight]]&gt;0,DbLinkTable[[#This Row],[Price/lb]]*DbLinkTable[[#This Row],[Weight]],0)</f>
        <v>2.8049999999999997</v>
      </c>
      <c r="U617" s="79">
        <f>IF(DbLinkTable[[#This Row],[Price/lb]]*DbLinkTable[[#This Row],[Weight]]&lt;0,DbLinkTable[[#This Row],[Price/lb]]*DbLinkTable[[#This Row],[Weight]],0)</f>
        <v>0</v>
      </c>
      <c r="V617" s="4" t="str">
        <f>IF(COUNTIF($W$2:W617,W617)=1,1,"")</f>
        <v/>
      </c>
      <c r="W617" s="4" t="str">
        <f>CONCATENATE(DbLinkTable[[#This Row],[Customer]],UPPER(DbLinkTable[[#This Row],[Trailer Number]]),DbLinkTable[[#This Row],[Day Received]])</f>
        <v>Company1434042250</v>
      </c>
      <c r="X617" s="4">
        <f>DATEVALUE(TEXT(DbLinkTable[[#This Row],[Date Received]],"MMMM YYYY"))</f>
        <v>42248</v>
      </c>
      <c r="Y617" s="4">
        <f>INT(DbLinkTable[[#This Row],[Date Received]])</f>
        <v>42250</v>
      </c>
    </row>
    <row r="618" spans="1:25">
      <c r="A618">
        <v>12893</v>
      </c>
      <c r="B618" t="s">
        <v>1507</v>
      </c>
      <c r="D618">
        <v>32</v>
      </c>
      <c r="E618" t="s">
        <v>1504</v>
      </c>
      <c r="F618" s="4">
        <v>42250</v>
      </c>
      <c r="G618" s="4" t="s">
        <v>192</v>
      </c>
      <c r="H618" s="4" t="s">
        <v>1515</v>
      </c>
      <c r="I618" s="4">
        <v>0</v>
      </c>
      <c r="J618" s="4"/>
      <c r="K618" s="4"/>
      <c r="L618" s="4"/>
      <c r="M618" s="4"/>
      <c r="N618" s="4"/>
      <c r="O618" s="4">
        <v>0</v>
      </c>
      <c r="P618" s="4">
        <v>42255.573993055557</v>
      </c>
      <c r="Q618" s="4"/>
      <c r="R618" s="4">
        <v>0</v>
      </c>
      <c r="S618" s="79">
        <f>DbLinkTable[[#This Row],[Credit]]+DbLinkTable[[#This Row],[Charge]]</f>
        <v>0</v>
      </c>
      <c r="T618" s="79">
        <f>IF(DbLinkTable[[#This Row],[Price/lb]]*DbLinkTable[[#This Row],[Weight]]&gt;0,DbLinkTable[[#This Row],[Price/lb]]*DbLinkTable[[#This Row],[Weight]],0)</f>
        <v>0</v>
      </c>
      <c r="U618" s="79">
        <f>IF(DbLinkTable[[#This Row],[Price/lb]]*DbLinkTable[[#This Row],[Weight]]&lt;0,DbLinkTable[[#This Row],[Price/lb]]*DbLinkTable[[#This Row],[Weight]],0)</f>
        <v>0</v>
      </c>
      <c r="V618" s="4" t="str">
        <f>IF(COUNTIF($W$2:W618,W618)=1,1,"")</f>
        <v/>
      </c>
      <c r="W618" s="4" t="str">
        <f>CONCATENATE(DbLinkTable[[#This Row],[Customer]],UPPER(DbLinkTable[[#This Row],[Trailer Number]]),DbLinkTable[[#This Row],[Day Received]])</f>
        <v>Company1434042250</v>
      </c>
      <c r="X618" s="4">
        <f>DATEVALUE(TEXT(DbLinkTable[[#This Row],[Date Received]],"MMMM YYYY"))</f>
        <v>42248</v>
      </c>
      <c r="Y618" s="4">
        <f>INT(DbLinkTable[[#This Row],[Date Received]])</f>
        <v>42250</v>
      </c>
    </row>
    <row r="619" spans="1:25">
      <c r="A619">
        <v>12894</v>
      </c>
      <c r="B619" t="s">
        <v>47</v>
      </c>
      <c r="D619">
        <v>60</v>
      </c>
      <c r="E619" t="s">
        <v>1504</v>
      </c>
      <c r="F619" s="4">
        <v>42250</v>
      </c>
      <c r="G619" s="4" t="s">
        <v>192</v>
      </c>
      <c r="H619" s="4" t="s">
        <v>1515</v>
      </c>
      <c r="I619" s="4">
        <v>0</v>
      </c>
      <c r="J619" s="4"/>
      <c r="K619" s="4"/>
      <c r="L619" s="4"/>
      <c r="M619" s="4"/>
      <c r="N619" s="4"/>
      <c r="O619" s="4">
        <v>0</v>
      </c>
      <c r="P619" s="4">
        <v>42255.574421296296</v>
      </c>
      <c r="Q619" s="4"/>
      <c r="R619" s="4">
        <v>-7.0000000000000007E-2</v>
      </c>
      <c r="S619" s="79">
        <f>DbLinkTable[[#This Row],[Credit]]+DbLinkTable[[#This Row],[Charge]]</f>
        <v>-4.2</v>
      </c>
      <c r="T619" s="79">
        <f>IF(DbLinkTable[[#This Row],[Price/lb]]*DbLinkTable[[#This Row],[Weight]]&gt;0,DbLinkTable[[#This Row],[Price/lb]]*DbLinkTable[[#This Row],[Weight]],0)</f>
        <v>0</v>
      </c>
      <c r="U619" s="79">
        <f>IF(DbLinkTable[[#This Row],[Price/lb]]*DbLinkTable[[#This Row],[Weight]]&lt;0,DbLinkTable[[#This Row],[Price/lb]]*DbLinkTable[[#This Row],[Weight]],0)</f>
        <v>-4.2</v>
      </c>
      <c r="V619" s="4" t="str">
        <f>IF(COUNTIF($W$2:W619,W619)=1,1,"")</f>
        <v/>
      </c>
      <c r="W619" s="4" t="str">
        <f>CONCATENATE(DbLinkTable[[#This Row],[Customer]],UPPER(DbLinkTable[[#This Row],[Trailer Number]]),DbLinkTable[[#This Row],[Day Received]])</f>
        <v>Company1434042250</v>
      </c>
      <c r="X619" s="4">
        <f>DATEVALUE(TEXT(DbLinkTable[[#This Row],[Date Received]],"MMMM YYYY"))</f>
        <v>42248</v>
      </c>
      <c r="Y619" s="4">
        <f>INT(DbLinkTable[[#This Row],[Date Received]])</f>
        <v>42250</v>
      </c>
    </row>
    <row r="620" spans="1:25">
      <c r="A620">
        <v>12895</v>
      </c>
      <c r="B620" t="s">
        <v>47</v>
      </c>
      <c r="D620">
        <v>150</v>
      </c>
      <c r="E620" t="s">
        <v>1504</v>
      </c>
      <c r="F620" s="4">
        <v>42251</v>
      </c>
      <c r="G620" s="4" t="s">
        <v>192</v>
      </c>
      <c r="H620" s="4"/>
      <c r="I620" s="4">
        <v>0</v>
      </c>
      <c r="J620" s="4"/>
      <c r="K620" s="4"/>
      <c r="L620" s="4"/>
      <c r="M620" s="4"/>
      <c r="N620" s="4"/>
      <c r="O620" s="4">
        <v>0</v>
      </c>
      <c r="P620" s="4">
        <v>42255.575173611112</v>
      </c>
      <c r="Q620" s="4"/>
      <c r="R620" s="4">
        <v>-7.0000000000000007E-2</v>
      </c>
      <c r="S620" s="79">
        <f>DbLinkTable[[#This Row],[Credit]]+DbLinkTable[[#This Row],[Charge]]</f>
        <v>-10.500000000000002</v>
      </c>
      <c r="T620" s="79">
        <f>IF(DbLinkTable[[#This Row],[Price/lb]]*DbLinkTable[[#This Row],[Weight]]&gt;0,DbLinkTable[[#This Row],[Price/lb]]*DbLinkTable[[#This Row],[Weight]],0)</f>
        <v>0</v>
      </c>
      <c r="U620" s="79">
        <f>IF(DbLinkTable[[#This Row],[Price/lb]]*DbLinkTable[[#This Row],[Weight]]&lt;0,DbLinkTable[[#This Row],[Price/lb]]*DbLinkTable[[#This Row],[Weight]],0)</f>
        <v>-10.500000000000002</v>
      </c>
      <c r="V620" s="4">
        <f>IF(COUNTIF($W$2:W620,W620)=1,1,"")</f>
        <v>1</v>
      </c>
      <c r="W620" s="4" t="str">
        <f>CONCATENATE(DbLinkTable[[#This Row],[Customer]],UPPER(DbLinkTable[[#This Row],[Trailer Number]]),DbLinkTable[[#This Row],[Day Received]])</f>
        <v>Company1442251</v>
      </c>
      <c r="X620" s="4">
        <f>DATEVALUE(TEXT(DbLinkTable[[#This Row],[Date Received]],"MMMM YYYY"))</f>
        <v>42248</v>
      </c>
      <c r="Y620" s="4">
        <f>INT(DbLinkTable[[#This Row],[Date Received]])</f>
        <v>42251</v>
      </c>
    </row>
    <row r="621" spans="1:25">
      <c r="A621">
        <v>12896</v>
      </c>
      <c r="B621" t="s">
        <v>48</v>
      </c>
      <c r="D621">
        <v>300</v>
      </c>
      <c r="E621" t="s">
        <v>1504</v>
      </c>
      <c r="F621" s="4">
        <v>42251</v>
      </c>
      <c r="G621" s="4" t="s">
        <v>192</v>
      </c>
      <c r="H621" s="4"/>
      <c r="I621" s="4">
        <v>0</v>
      </c>
      <c r="J621" s="4"/>
      <c r="K621" s="4"/>
      <c r="L621" s="4"/>
      <c r="M621" s="4"/>
      <c r="N621" s="4"/>
      <c r="O621" s="4">
        <v>0</v>
      </c>
      <c r="P621" s="4">
        <v>42255.575671296298</v>
      </c>
      <c r="Q621" s="4"/>
      <c r="R621" s="4">
        <v>0</v>
      </c>
      <c r="S621" s="79">
        <f>DbLinkTable[[#This Row],[Credit]]+DbLinkTable[[#This Row],[Charge]]</f>
        <v>0</v>
      </c>
      <c r="T621" s="79">
        <f>IF(DbLinkTable[[#This Row],[Price/lb]]*DbLinkTable[[#This Row],[Weight]]&gt;0,DbLinkTable[[#This Row],[Price/lb]]*DbLinkTable[[#This Row],[Weight]],0)</f>
        <v>0</v>
      </c>
      <c r="U621" s="79">
        <f>IF(DbLinkTable[[#This Row],[Price/lb]]*DbLinkTable[[#This Row],[Weight]]&lt;0,DbLinkTable[[#This Row],[Price/lb]]*DbLinkTable[[#This Row],[Weight]],0)</f>
        <v>0</v>
      </c>
      <c r="V621" s="4" t="str">
        <f>IF(COUNTIF($W$2:W621,W621)=1,1,"")</f>
        <v/>
      </c>
      <c r="W621" s="4" t="str">
        <f>CONCATENATE(DbLinkTable[[#This Row],[Customer]],UPPER(DbLinkTable[[#This Row],[Trailer Number]]),DbLinkTable[[#This Row],[Day Received]])</f>
        <v>Company1442251</v>
      </c>
      <c r="X621" s="4">
        <f>DATEVALUE(TEXT(DbLinkTable[[#This Row],[Date Received]],"MMMM YYYY"))</f>
        <v>42248</v>
      </c>
      <c r="Y621" s="4">
        <f>INT(DbLinkTable[[#This Row],[Date Received]])</f>
        <v>42251</v>
      </c>
    </row>
    <row r="622" spans="1:25">
      <c r="A622">
        <v>12897</v>
      </c>
      <c r="B622" t="s">
        <v>1562</v>
      </c>
      <c r="D622">
        <v>190</v>
      </c>
      <c r="E622" t="s">
        <v>1504</v>
      </c>
      <c r="F622" s="4">
        <v>42251</v>
      </c>
      <c r="G622" s="4" t="s">
        <v>192</v>
      </c>
      <c r="H622" s="4"/>
      <c r="I622" s="4">
        <v>0</v>
      </c>
      <c r="J622" s="4"/>
      <c r="K622" s="4"/>
      <c r="L622" s="4"/>
      <c r="M622" s="4"/>
      <c r="N622" s="4"/>
      <c r="O622" s="4">
        <v>0</v>
      </c>
      <c r="P622" s="4">
        <v>42255.576018518521</v>
      </c>
      <c r="Q622" s="4"/>
      <c r="R622" s="4">
        <v>0.18</v>
      </c>
      <c r="S622" s="79">
        <f>DbLinkTable[[#This Row],[Credit]]+DbLinkTable[[#This Row],[Charge]]</f>
        <v>34.199999999999996</v>
      </c>
      <c r="T622" s="79">
        <f>IF(DbLinkTable[[#This Row],[Price/lb]]*DbLinkTable[[#This Row],[Weight]]&gt;0,DbLinkTable[[#This Row],[Price/lb]]*DbLinkTable[[#This Row],[Weight]],0)</f>
        <v>34.199999999999996</v>
      </c>
      <c r="U622" s="79">
        <f>IF(DbLinkTable[[#This Row],[Price/lb]]*DbLinkTable[[#This Row],[Weight]]&lt;0,DbLinkTable[[#This Row],[Price/lb]]*DbLinkTable[[#This Row],[Weight]],0)</f>
        <v>0</v>
      </c>
      <c r="V622" s="4" t="str">
        <f>IF(COUNTIF($W$2:W622,W622)=1,1,"")</f>
        <v/>
      </c>
      <c r="W622" s="4" t="str">
        <f>CONCATENATE(DbLinkTable[[#This Row],[Customer]],UPPER(DbLinkTable[[#This Row],[Trailer Number]]),DbLinkTable[[#This Row],[Day Received]])</f>
        <v>Company1442251</v>
      </c>
      <c r="X622" s="4">
        <f>DATEVALUE(TEXT(DbLinkTable[[#This Row],[Date Received]],"MMMM YYYY"))</f>
        <v>42248</v>
      </c>
      <c r="Y622" s="4">
        <f>INT(DbLinkTable[[#This Row],[Date Received]])</f>
        <v>42251</v>
      </c>
    </row>
    <row r="623" spans="1:25">
      <c r="A623">
        <v>12898</v>
      </c>
      <c r="B623" t="s">
        <v>46</v>
      </c>
      <c r="D623">
        <v>1600</v>
      </c>
      <c r="E623" t="s">
        <v>1504</v>
      </c>
      <c r="F623" s="4">
        <v>42251</v>
      </c>
      <c r="G623" s="4" t="s">
        <v>192</v>
      </c>
      <c r="H623" s="4"/>
      <c r="I623" s="4">
        <v>0</v>
      </c>
      <c r="J623" s="4"/>
      <c r="K623" s="4"/>
      <c r="L623" s="4"/>
      <c r="M623" s="4"/>
      <c r="N623" s="4"/>
      <c r="O623" s="4">
        <v>0</v>
      </c>
      <c r="P623" s="4">
        <v>42255.576157407406</v>
      </c>
      <c r="Q623" s="4"/>
      <c r="R623" s="4">
        <v>1.4999999999999999E-2</v>
      </c>
      <c r="S623" s="79">
        <f>DbLinkTable[[#This Row],[Credit]]+DbLinkTable[[#This Row],[Charge]]</f>
        <v>24</v>
      </c>
      <c r="T623" s="79">
        <f>IF(DbLinkTable[[#This Row],[Price/lb]]*DbLinkTable[[#This Row],[Weight]]&gt;0,DbLinkTable[[#This Row],[Price/lb]]*DbLinkTable[[#This Row],[Weight]],0)</f>
        <v>24</v>
      </c>
      <c r="U623" s="79">
        <f>IF(DbLinkTable[[#This Row],[Price/lb]]*DbLinkTable[[#This Row],[Weight]]&lt;0,DbLinkTable[[#This Row],[Price/lb]]*DbLinkTable[[#This Row],[Weight]],0)</f>
        <v>0</v>
      </c>
      <c r="V623" s="4" t="str">
        <f>IF(COUNTIF($W$2:W623,W623)=1,1,"")</f>
        <v/>
      </c>
      <c r="W623" s="4" t="str">
        <f>CONCATENATE(DbLinkTable[[#This Row],[Customer]],UPPER(DbLinkTable[[#This Row],[Trailer Number]]),DbLinkTable[[#This Row],[Day Received]])</f>
        <v>Company1442251</v>
      </c>
      <c r="X623" s="4">
        <f>DATEVALUE(TEXT(DbLinkTable[[#This Row],[Date Received]],"MMMM YYYY"))</f>
        <v>42248</v>
      </c>
      <c r="Y623" s="4">
        <f>INT(DbLinkTable[[#This Row],[Date Received]])</f>
        <v>42251</v>
      </c>
    </row>
    <row r="624" spans="1:25">
      <c r="A624">
        <v>12899</v>
      </c>
      <c r="B624" t="s">
        <v>43</v>
      </c>
      <c r="D624">
        <v>1400</v>
      </c>
      <c r="E624" t="s">
        <v>1504</v>
      </c>
      <c r="F624" s="4">
        <v>42251</v>
      </c>
      <c r="G624" s="4" t="s">
        <v>192</v>
      </c>
      <c r="H624" s="4"/>
      <c r="I624" s="4">
        <v>0</v>
      </c>
      <c r="J624" s="4"/>
      <c r="K624" s="4"/>
      <c r="L624" s="4"/>
      <c r="M624" s="4"/>
      <c r="N624" s="4"/>
      <c r="O624" s="4">
        <v>0</v>
      </c>
      <c r="P624" s="4">
        <v>42255.576319444444</v>
      </c>
      <c r="Q624" s="4"/>
      <c r="R624" s="4">
        <v>5.0000000000000001E-3</v>
      </c>
      <c r="S624" s="79">
        <f>DbLinkTable[[#This Row],[Credit]]+DbLinkTable[[#This Row],[Charge]]</f>
        <v>7</v>
      </c>
      <c r="T624" s="79">
        <f>IF(DbLinkTable[[#This Row],[Price/lb]]*DbLinkTable[[#This Row],[Weight]]&gt;0,DbLinkTable[[#This Row],[Price/lb]]*DbLinkTable[[#This Row],[Weight]],0)</f>
        <v>7</v>
      </c>
      <c r="U624" s="79">
        <f>IF(DbLinkTable[[#This Row],[Price/lb]]*DbLinkTable[[#This Row],[Weight]]&lt;0,DbLinkTable[[#This Row],[Price/lb]]*DbLinkTable[[#This Row],[Weight]],0)</f>
        <v>0</v>
      </c>
      <c r="V624" s="4" t="str">
        <f>IF(COUNTIF($W$2:W624,W624)=1,1,"")</f>
        <v/>
      </c>
      <c r="W624" s="4" t="str">
        <f>CONCATENATE(DbLinkTable[[#This Row],[Customer]],UPPER(DbLinkTable[[#This Row],[Trailer Number]]),DbLinkTable[[#This Row],[Day Received]])</f>
        <v>Company1442251</v>
      </c>
      <c r="X624" s="4">
        <f>DATEVALUE(TEXT(DbLinkTable[[#This Row],[Date Received]],"MMMM YYYY"))</f>
        <v>42248</v>
      </c>
      <c r="Y624" s="4">
        <f>INT(DbLinkTable[[#This Row],[Date Received]])</f>
        <v>42251</v>
      </c>
    </row>
    <row r="625" spans="1:25">
      <c r="A625">
        <v>12900</v>
      </c>
      <c r="B625" t="s">
        <v>45</v>
      </c>
      <c r="D625">
        <v>360</v>
      </c>
      <c r="E625" t="s">
        <v>1504</v>
      </c>
      <c r="F625" s="4">
        <v>42251</v>
      </c>
      <c r="G625" s="4" t="s">
        <v>192</v>
      </c>
      <c r="H625" s="4"/>
      <c r="I625" s="4">
        <v>0</v>
      </c>
      <c r="J625" s="4"/>
      <c r="K625" s="4"/>
      <c r="L625" s="4"/>
      <c r="M625" s="4"/>
      <c r="N625" s="4"/>
      <c r="O625" s="4">
        <v>0</v>
      </c>
      <c r="P625" s="4">
        <v>42255.576493055552</v>
      </c>
      <c r="Q625" s="4"/>
      <c r="R625" s="4">
        <v>0</v>
      </c>
      <c r="S625" s="79">
        <f>DbLinkTable[[#This Row],[Credit]]+DbLinkTable[[#This Row],[Charge]]</f>
        <v>0</v>
      </c>
      <c r="T625" s="79">
        <f>IF(DbLinkTable[[#This Row],[Price/lb]]*DbLinkTable[[#This Row],[Weight]]&gt;0,DbLinkTable[[#This Row],[Price/lb]]*DbLinkTable[[#This Row],[Weight]],0)</f>
        <v>0</v>
      </c>
      <c r="U625" s="79">
        <f>IF(DbLinkTable[[#This Row],[Price/lb]]*DbLinkTable[[#This Row],[Weight]]&lt;0,DbLinkTable[[#This Row],[Price/lb]]*DbLinkTable[[#This Row],[Weight]],0)</f>
        <v>0</v>
      </c>
      <c r="V625" s="4" t="str">
        <f>IF(COUNTIF($W$2:W625,W625)=1,1,"")</f>
        <v/>
      </c>
      <c r="W625" s="4" t="str">
        <f>CONCATENATE(DbLinkTable[[#This Row],[Customer]],UPPER(DbLinkTable[[#This Row],[Trailer Number]]),DbLinkTable[[#This Row],[Day Received]])</f>
        <v>Company1442251</v>
      </c>
      <c r="X625" s="4">
        <f>DATEVALUE(TEXT(DbLinkTable[[#This Row],[Date Received]],"MMMM YYYY"))</f>
        <v>42248</v>
      </c>
      <c r="Y625" s="4">
        <f>INT(DbLinkTable[[#This Row],[Date Received]])</f>
        <v>42251</v>
      </c>
    </row>
    <row r="626" spans="1:25">
      <c r="A626">
        <v>13264</v>
      </c>
      <c r="B626" t="s">
        <v>47</v>
      </c>
      <c r="D626">
        <v>460</v>
      </c>
      <c r="E626" t="s">
        <v>1501</v>
      </c>
      <c r="F626" s="4">
        <v>42326</v>
      </c>
      <c r="G626" s="4" t="s">
        <v>192</v>
      </c>
      <c r="H626" s="4"/>
      <c r="I626" s="4">
        <v>0</v>
      </c>
      <c r="J626" s="4"/>
      <c r="K626" s="4"/>
      <c r="L626" s="4"/>
      <c r="M626" s="4"/>
      <c r="N626" s="4"/>
      <c r="O626" s="4">
        <v>0</v>
      </c>
      <c r="P626" s="4">
        <v>42327.675439814811</v>
      </c>
      <c r="Q626" s="4"/>
      <c r="R626" s="4">
        <v>-7.0000000000000007E-2</v>
      </c>
      <c r="S626" s="79">
        <f>DbLinkTable[[#This Row],[Credit]]+DbLinkTable[[#This Row],[Charge]]</f>
        <v>-32.200000000000003</v>
      </c>
      <c r="T626" s="79">
        <f>IF(DbLinkTable[[#This Row],[Price/lb]]*DbLinkTable[[#This Row],[Weight]]&gt;0,DbLinkTable[[#This Row],[Price/lb]]*DbLinkTable[[#This Row],[Weight]],0)</f>
        <v>0</v>
      </c>
      <c r="U626" s="79">
        <f>IF(DbLinkTable[[#This Row],[Price/lb]]*DbLinkTable[[#This Row],[Weight]]&lt;0,DbLinkTable[[#This Row],[Price/lb]]*DbLinkTable[[#This Row],[Weight]],0)</f>
        <v>-32.200000000000003</v>
      </c>
      <c r="V626" s="4">
        <f>IF(COUNTIF($W$2:W626,W626)=1,1,"")</f>
        <v>1</v>
      </c>
      <c r="W626" s="4" t="str">
        <f>CONCATENATE(DbLinkTable[[#This Row],[Customer]],UPPER(DbLinkTable[[#This Row],[Trailer Number]]),DbLinkTable[[#This Row],[Day Received]])</f>
        <v>Company1442326</v>
      </c>
      <c r="X626" s="4">
        <f>DATEVALUE(TEXT(DbLinkTable[[#This Row],[Date Received]],"MMMM YYYY"))</f>
        <v>42309</v>
      </c>
      <c r="Y626" s="4">
        <f>INT(DbLinkTable[[#This Row],[Date Received]])</f>
        <v>42326</v>
      </c>
    </row>
    <row r="627" spans="1:25">
      <c r="A627">
        <v>13265</v>
      </c>
      <c r="B627" t="s">
        <v>1502</v>
      </c>
      <c r="D627">
        <v>2630</v>
      </c>
      <c r="E627" t="s">
        <v>1501</v>
      </c>
      <c r="F627" s="4">
        <v>42326</v>
      </c>
      <c r="G627" s="4" t="s">
        <v>192</v>
      </c>
      <c r="H627" s="4"/>
      <c r="I627" s="4">
        <v>0</v>
      </c>
      <c r="J627" s="4"/>
      <c r="K627" s="4"/>
      <c r="L627" s="4"/>
      <c r="M627" s="4"/>
      <c r="N627" s="4"/>
      <c r="O627" s="4">
        <v>0</v>
      </c>
      <c r="P627" s="4">
        <v>42327.675949074073</v>
      </c>
      <c r="Q627" s="4"/>
      <c r="R627" s="4">
        <v>0</v>
      </c>
      <c r="S627" s="79">
        <f>DbLinkTable[[#This Row],[Credit]]+DbLinkTable[[#This Row],[Charge]]</f>
        <v>0</v>
      </c>
      <c r="T627" s="79">
        <f>IF(DbLinkTable[[#This Row],[Price/lb]]*DbLinkTable[[#This Row],[Weight]]&gt;0,DbLinkTable[[#This Row],[Price/lb]]*DbLinkTable[[#This Row],[Weight]],0)</f>
        <v>0</v>
      </c>
      <c r="U627" s="79">
        <f>IF(DbLinkTable[[#This Row],[Price/lb]]*DbLinkTable[[#This Row],[Weight]]&lt;0,DbLinkTable[[#This Row],[Price/lb]]*DbLinkTable[[#This Row],[Weight]],0)</f>
        <v>0</v>
      </c>
      <c r="V627" s="4" t="str">
        <f>IF(COUNTIF($W$2:W627,W627)=1,1,"")</f>
        <v/>
      </c>
      <c r="W627" s="4" t="str">
        <f>CONCATENATE(DbLinkTable[[#This Row],[Customer]],UPPER(DbLinkTable[[#This Row],[Trailer Number]]),DbLinkTable[[#This Row],[Day Received]])</f>
        <v>Company1442326</v>
      </c>
      <c r="X627" s="4">
        <f>DATEVALUE(TEXT(DbLinkTable[[#This Row],[Date Received]],"MMMM YYYY"))</f>
        <v>42309</v>
      </c>
      <c r="Y627" s="4">
        <f>INT(DbLinkTable[[#This Row],[Date Received]])</f>
        <v>42326</v>
      </c>
    </row>
    <row r="628" spans="1:25">
      <c r="A628">
        <v>13266</v>
      </c>
      <c r="B628" t="s">
        <v>43</v>
      </c>
      <c r="D628">
        <v>10929</v>
      </c>
      <c r="E628" t="s">
        <v>1501</v>
      </c>
      <c r="F628" s="4">
        <v>42326</v>
      </c>
      <c r="G628" s="4" t="s">
        <v>192</v>
      </c>
      <c r="H628" s="4"/>
      <c r="I628" s="4">
        <v>0</v>
      </c>
      <c r="J628" s="4"/>
      <c r="K628" s="4"/>
      <c r="L628" s="4"/>
      <c r="M628" s="4"/>
      <c r="N628" s="4"/>
      <c r="O628" s="4">
        <v>0</v>
      </c>
      <c r="P628" s="4">
        <v>42327.676712962966</v>
      </c>
      <c r="Q628" s="4"/>
      <c r="R628" s="4">
        <v>5.0000000000000001E-3</v>
      </c>
      <c r="S628" s="79">
        <f>DbLinkTable[[#This Row],[Credit]]+DbLinkTable[[#This Row],[Charge]]</f>
        <v>54.645000000000003</v>
      </c>
      <c r="T628" s="79">
        <f>IF(DbLinkTable[[#This Row],[Price/lb]]*DbLinkTable[[#This Row],[Weight]]&gt;0,DbLinkTable[[#This Row],[Price/lb]]*DbLinkTable[[#This Row],[Weight]],0)</f>
        <v>54.645000000000003</v>
      </c>
      <c r="U628" s="79">
        <f>IF(DbLinkTable[[#This Row],[Price/lb]]*DbLinkTable[[#This Row],[Weight]]&lt;0,DbLinkTable[[#This Row],[Price/lb]]*DbLinkTable[[#This Row],[Weight]],0)</f>
        <v>0</v>
      </c>
      <c r="V628" s="4" t="str">
        <f>IF(COUNTIF($W$2:W628,W628)=1,1,"")</f>
        <v/>
      </c>
      <c r="W628" s="4" t="str">
        <f>CONCATENATE(DbLinkTable[[#This Row],[Customer]],UPPER(DbLinkTable[[#This Row],[Trailer Number]]),DbLinkTable[[#This Row],[Day Received]])</f>
        <v>Company1442326</v>
      </c>
      <c r="X628" s="4">
        <f>DATEVALUE(TEXT(DbLinkTable[[#This Row],[Date Received]],"MMMM YYYY"))</f>
        <v>42309</v>
      </c>
      <c r="Y628" s="4">
        <f>INT(DbLinkTable[[#This Row],[Date Received]])</f>
        <v>42326</v>
      </c>
    </row>
    <row r="629" spans="1:25">
      <c r="A629">
        <v>13267</v>
      </c>
      <c r="B629" t="s">
        <v>46</v>
      </c>
      <c r="D629">
        <v>480</v>
      </c>
      <c r="E629" t="s">
        <v>1501</v>
      </c>
      <c r="F629" s="4">
        <v>42326</v>
      </c>
      <c r="G629" s="4" t="s">
        <v>192</v>
      </c>
      <c r="H629" s="4"/>
      <c r="I629" s="4">
        <v>0</v>
      </c>
      <c r="J629" s="4"/>
      <c r="K629" s="4"/>
      <c r="L629" s="4"/>
      <c r="M629" s="4"/>
      <c r="N629" s="4"/>
      <c r="O629" s="4">
        <v>0</v>
      </c>
      <c r="P629" s="4">
        <v>42327.676886574074</v>
      </c>
      <c r="Q629" s="4"/>
      <c r="R629" s="4">
        <v>1.4999999999999999E-2</v>
      </c>
      <c r="S629" s="79">
        <f>DbLinkTable[[#This Row],[Credit]]+DbLinkTable[[#This Row],[Charge]]</f>
        <v>7.1999999999999993</v>
      </c>
      <c r="T629" s="79">
        <f>IF(DbLinkTable[[#This Row],[Price/lb]]*DbLinkTable[[#This Row],[Weight]]&gt;0,DbLinkTable[[#This Row],[Price/lb]]*DbLinkTable[[#This Row],[Weight]],0)</f>
        <v>7.1999999999999993</v>
      </c>
      <c r="U629" s="79">
        <f>IF(DbLinkTable[[#This Row],[Price/lb]]*DbLinkTable[[#This Row],[Weight]]&lt;0,DbLinkTable[[#This Row],[Price/lb]]*DbLinkTable[[#This Row],[Weight]],0)</f>
        <v>0</v>
      </c>
      <c r="V629" s="4" t="str">
        <f>IF(COUNTIF($W$2:W629,W629)=1,1,"")</f>
        <v/>
      </c>
      <c r="W629" s="4" t="str">
        <f>CONCATENATE(DbLinkTable[[#This Row],[Customer]],UPPER(DbLinkTable[[#This Row],[Trailer Number]]),DbLinkTable[[#This Row],[Day Received]])</f>
        <v>Company1442326</v>
      </c>
      <c r="X629" s="4">
        <f>DATEVALUE(TEXT(DbLinkTable[[#This Row],[Date Received]],"MMMM YYYY"))</f>
        <v>42309</v>
      </c>
      <c r="Y629" s="4">
        <f>INT(DbLinkTable[[#This Row],[Date Received]])</f>
        <v>42326</v>
      </c>
    </row>
    <row r="630" spans="1:25">
      <c r="E630"/>
      <c r="G630"/>
      <c r="H630"/>
      <c r="I630"/>
      <c r="K630"/>
      <c r="O630"/>
      <c r="R630"/>
      <c r="S630" s="79" t="e">
        <f>DbLinkTable[[#This Row],[Credit]]+DbLinkTable[[#This Row],[Charge]]</f>
        <v>#VALUE!</v>
      </c>
      <c r="T630" s="79" t="e">
        <f>IF(DbLinkTable[[#This Row],[Price/lb]]*DbLinkTable[[#This Row],[Weight]]&gt;0,DbLinkTable[[#This Row],[Price/lb]]*DbLinkTable[[#This Row],[Weight]],0)</f>
        <v>#VALUE!</v>
      </c>
      <c r="U630" s="79" t="e">
        <f>IF(DbLinkTable[[#This Row],[Price/lb]]*DbLinkTable[[#This Row],[Weight]]&lt;0,DbLinkTable[[#This Row],[Price/lb]]*DbLinkTable[[#This Row],[Weight]],0)</f>
        <v>#VALUE!</v>
      </c>
      <c r="V630" s="4">
        <f>IF(COUNTIF($W$2:W630,W630)=1,1,"")</f>
        <v>1</v>
      </c>
      <c r="W630" s="4" t="e">
        <f>CONCATENATE(DbLinkTable[[#This Row],[Customer]],UPPER(DbLinkTable[[#This Row],[Trailer Number]]),DbLinkTable[[#This Row],[Day Received]])</f>
        <v>#VALUE!</v>
      </c>
      <c r="X630" s="4" t="e">
        <f>DATEVALUE(TEXT(DbLinkTable[[#This Row],[Date Received]],"MMMM YYYY"))</f>
        <v>#VALUE!</v>
      </c>
      <c r="Y630" s="4" t="e">
        <f>INT(DbLinkTable[[#This Row],[Date Received]])</f>
        <v>#VALUE!</v>
      </c>
    </row>
    <row r="631" spans="1:25">
      <c r="E631"/>
      <c r="G631"/>
      <c r="H631"/>
      <c r="I631"/>
      <c r="K631"/>
      <c r="O631"/>
      <c r="R631"/>
      <c r="S631" s="79" t="e">
        <f>DbLinkTable[[#This Row],[Credit]]+DbLinkTable[[#This Row],[Charge]]</f>
        <v>#VALUE!</v>
      </c>
      <c r="T631" s="79" t="e">
        <f>IF(DbLinkTable[[#This Row],[Price/lb]]*DbLinkTable[[#This Row],[Weight]]&gt;0,DbLinkTable[[#This Row],[Price/lb]]*DbLinkTable[[#This Row],[Weight]],0)</f>
        <v>#VALUE!</v>
      </c>
      <c r="U631" s="79" t="e">
        <f>IF(DbLinkTable[[#This Row],[Price/lb]]*DbLinkTable[[#This Row],[Weight]]&lt;0,DbLinkTable[[#This Row],[Price/lb]]*DbLinkTable[[#This Row],[Weight]],0)</f>
        <v>#VALUE!</v>
      </c>
      <c r="V631" s="4" t="str">
        <f>IF(COUNTIF($W$2:W631,W631)=1,1,"")</f>
        <v/>
      </c>
      <c r="W631" s="4" t="e">
        <f>CONCATENATE(DbLinkTable[[#This Row],[Customer]],UPPER(DbLinkTable[[#This Row],[Trailer Number]]),DbLinkTable[[#This Row],[Day Received]])</f>
        <v>#VALUE!</v>
      </c>
      <c r="X631" s="4" t="e">
        <f>DATEVALUE(TEXT(DbLinkTable[[#This Row],[Date Received]],"MMMM YYYY"))</f>
        <v>#VALUE!</v>
      </c>
      <c r="Y631" s="4" t="e">
        <f>INT(DbLinkTable[[#This Row],[Date Received]])</f>
        <v>#VALUE!</v>
      </c>
    </row>
    <row r="632" spans="1:25">
      <c r="E632"/>
      <c r="G632"/>
      <c r="H632"/>
      <c r="I632"/>
      <c r="K632"/>
      <c r="O632"/>
      <c r="R632"/>
      <c r="S632" s="79" t="e">
        <f>DbLinkTable[[#This Row],[Credit]]+DbLinkTable[[#This Row],[Charge]]</f>
        <v>#VALUE!</v>
      </c>
      <c r="T632" s="79" t="e">
        <f>IF(DbLinkTable[[#This Row],[Price/lb]]*DbLinkTable[[#This Row],[Weight]]&gt;0,DbLinkTable[[#This Row],[Price/lb]]*DbLinkTable[[#This Row],[Weight]],0)</f>
        <v>#VALUE!</v>
      </c>
      <c r="U632" s="79" t="e">
        <f>IF(DbLinkTable[[#This Row],[Price/lb]]*DbLinkTable[[#This Row],[Weight]]&lt;0,DbLinkTable[[#This Row],[Price/lb]]*DbLinkTable[[#This Row],[Weight]],0)</f>
        <v>#VALUE!</v>
      </c>
      <c r="V632" s="4" t="str">
        <f>IF(COUNTIF($W$2:W632,W632)=1,1,"")</f>
        <v/>
      </c>
      <c r="W632" s="4" t="e">
        <f>CONCATENATE(DbLinkTable[[#This Row],[Customer]],UPPER(DbLinkTable[[#This Row],[Trailer Number]]),DbLinkTable[[#This Row],[Day Received]])</f>
        <v>#VALUE!</v>
      </c>
      <c r="X632" s="4" t="e">
        <f>DATEVALUE(TEXT(DbLinkTable[[#This Row],[Date Received]],"MMMM YYYY"))</f>
        <v>#VALUE!</v>
      </c>
      <c r="Y632" s="4" t="e">
        <f>INT(DbLinkTable[[#This Row],[Date Received]])</f>
        <v>#VALUE!</v>
      </c>
    </row>
    <row r="633" spans="1:25">
      <c r="E633"/>
      <c r="G633"/>
      <c r="H633"/>
      <c r="I633"/>
      <c r="K633"/>
      <c r="O633"/>
      <c r="R633"/>
      <c r="S633" s="79" t="e">
        <f>DbLinkTable[[#This Row],[Credit]]+DbLinkTable[[#This Row],[Charge]]</f>
        <v>#VALUE!</v>
      </c>
      <c r="T633" s="79" t="e">
        <f>IF(DbLinkTable[[#This Row],[Price/lb]]*DbLinkTable[[#This Row],[Weight]]&gt;0,DbLinkTable[[#This Row],[Price/lb]]*DbLinkTable[[#This Row],[Weight]],0)</f>
        <v>#VALUE!</v>
      </c>
      <c r="U633" s="79" t="e">
        <f>IF(DbLinkTable[[#This Row],[Price/lb]]*DbLinkTable[[#This Row],[Weight]]&lt;0,DbLinkTable[[#This Row],[Price/lb]]*DbLinkTable[[#This Row],[Weight]],0)</f>
        <v>#VALUE!</v>
      </c>
      <c r="V633" s="4" t="str">
        <f>IF(COUNTIF($W$2:W633,W633)=1,1,"")</f>
        <v/>
      </c>
      <c r="W633" s="4" t="e">
        <f>CONCATENATE(DbLinkTable[[#This Row],[Customer]],UPPER(DbLinkTable[[#This Row],[Trailer Number]]),DbLinkTable[[#This Row],[Day Received]])</f>
        <v>#VALUE!</v>
      </c>
      <c r="X633" s="4" t="e">
        <f>DATEVALUE(TEXT(DbLinkTable[[#This Row],[Date Received]],"MMMM YYYY"))</f>
        <v>#VALUE!</v>
      </c>
      <c r="Y633" s="4" t="e">
        <f>INT(DbLinkTable[[#This Row],[Date Received]])</f>
        <v>#VALUE!</v>
      </c>
    </row>
    <row r="634" spans="1:25">
      <c r="E634"/>
      <c r="G634"/>
      <c r="H634"/>
      <c r="I634"/>
      <c r="K634"/>
      <c r="O634"/>
      <c r="R634"/>
      <c r="S634" s="79" t="e">
        <f>DbLinkTable[[#This Row],[Credit]]+DbLinkTable[[#This Row],[Charge]]</f>
        <v>#VALUE!</v>
      </c>
      <c r="T634" s="79" t="e">
        <f>IF(DbLinkTable[[#This Row],[Price/lb]]*DbLinkTable[[#This Row],[Weight]]&gt;0,DbLinkTable[[#This Row],[Price/lb]]*DbLinkTable[[#This Row],[Weight]],0)</f>
        <v>#VALUE!</v>
      </c>
      <c r="U634" s="79" t="e">
        <f>IF(DbLinkTable[[#This Row],[Price/lb]]*DbLinkTable[[#This Row],[Weight]]&lt;0,DbLinkTable[[#This Row],[Price/lb]]*DbLinkTable[[#This Row],[Weight]],0)</f>
        <v>#VALUE!</v>
      </c>
      <c r="V634" s="4" t="str">
        <f>IF(COUNTIF($W$2:W634,W634)=1,1,"")</f>
        <v/>
      </c>
      <c r="W634" s="4" t="e">
        <f>CONCATENATE(DbLinkTable[[#This Row],[Customer]],UPPER(DbLinkTable[[#This Row],[Trailer Number]]),DbLinkTable[[#This Row],[Day Received]])</f>
        <v>#VALUE!</v>
      </c>
      <c r="X634" s="4" t="e">
        <f>DATEVALUE(TEXT(DbLinkTable[[#This Row],[Date Received]],"MMMM YYYY"))</f>
        <v>#VALUE!</v>
      </c>
      <c r="Y634" s="4" t="e">
        <f>INT(DbLinkTable[[#This Row],[Date Received]])</f>
        <v>#VALUE!</v>
      </c>
    </row>
    <row r="635" spans="1:25">
      <c r="E635"/>
      <c r="G635"/>
      <c r="H635"/>
      <c r="I635"/>
      <c r="K635"/>
      <c r="O635"/>
      <c r="R635"/>
      <c r="S635" s="79" t="e">
        <f>DbLinkTable[[#This Row],[Credit]]+DbLinkTable[[#This Row],[Charge]]</f>
        <v>#VALUE!</v>
      </c>
      <c r="T635" s="79" t="e">
        <f>IF(DbLinkTable[[#This Row],[Price/lb]]*DbLinkTable[[#This Row],[Weight]]&gt;0,DbLinkTable[[#This Row],[Price/lb]]*DbLinkTable[[#This Row],[Weight]],0)</f>
        <v>#VALUE!</v>
      </c>
      <c r="U635" s="79" t="e">
        <f>IF(DbLinkTable[[#This Row],[Price/lb]]*DbLinkTable[[#This Row],[Weight]]&lt;0,DbLinkTable[[#This Row],[Price/lb]]*DbLinkTable[[#This Row],[Weight]],0)</f>
        <v>#VALUE!</v>
      </c>
      <c r="V635" s="4" t="str">
        <f>IF(COUNTIF($W$2:W635,W635)=1,1,"")</f>
        <v/>
      </c>
      <c r="W635" s="4" t="e">
        <f>CONCATENATE(DbLinkTable[[#This Row],[Customer]],UPPER(DbLinkTable[[#This Row],[Trailer Number]]),DbLinkTable[[#This Row],[Day Received]])</f>
        <v>#VALUE!</v>
      </c>
      <c r="X635" s="4" t="e">
        <f>DATEVALUE(TEXT(DbLinkTable[[#This Row],[Date Received]],"MMMM YYYY"))</f>
        <v>#VALUE!</v>
      </c>
      <c r="Y635" s="4" t="e">
        <f>INT(DbLinkTable[[#This Row],[Date Received]])</f>
        <v>#VALUE!</v>
      </c>
    </row>
    <row r="636" spans="1:25">
      <c r="E636"/>
      <c r="G636"/>
      <c r="H636"/>
      <c r="I636"/>
      <c r="K636"/>
      <c r="O636"/>
      <c r="R636"/>
      <c r="S636" s="79" t="e">
        <f>DbLinkTable[[#This Row],[Credit]]+DbLinkTable[[#This Row],[Charge]]</f>
        <v>#VALUE!</v>
      </c>
      <c r="T636" s="79" t="e">
        <f>IF(DbLinkTable[[#This Row],[Price/lb]]*DbLinkTable[[#This Row],[Weight]]&gt;0,DbLinkTable[[#This Row],[Price/lb]]*DbLinkTable[[#This Row],[Weight]],0)</f>
        <v>#VALUE!</v>
      </c>
      <c r="U636" s="79" t="e">
        <f>IF(DbLinkTable[[#This Row],[Price/lb]]*DbLinkTable[[#This Row],[Weight]]&lt;0,DbLinkTable[[#This Row],[Price/lb]]*DbLinkTable[[#This Row],[Weight]],0)</f>
        <v>#VALUE!</v>
      </c>
      <c r="V636" s="4" t="str">
        <f>IF(COUNTIF($W$2:W636,W636)=1,1,"")</f>
        <v/>
      </c>
      <c r="W636" s="4" t="e">
        <f>CONCATENATE(DbLinkTable[[#This Row],[Customer]],UPPER(DbLinkTable[[#This Row],[Trailer Number]]),DbLinkTable[[#This Row],[Day Received]])</f>
        <v>#VALUE!</v>
      </c>
      <c r="X636" s="4" t="e">
        <f>DATEVALUE(TEXT(DbLinkTable[[#This Row],[Date Received]],"MMMM YYYY"))</f>
        <v>#VALUE!</v>
      </c>
      <c r="Y636" s="4" t="e">
        <f>INT(DbLinkTable[[#This Row],[Date Received]])</f>
        <v>#VALUE!</v>
      </c>
    </row>
    <row r="637" spans="1:25">
      <c r="E637"/>
      <c r="G637"/>
      <c r="H637"/>
      <c r="I637"/>
      <c r="K637"/>
      <c r="O637"/>
      <c r="R637"/>
      <c r="S637" s="79" t="e">
        <f>DbLinkTable[[#This Row],[Credit]]+DbLinkTable[[#This Row],[Charge]]</f>
        <v>#VALUE!</v>
      </c>
      <c r="T637" s="79" t="e">
        <f>IF(DbLinkTable[[#This Row],[Price/lb]]*DbLinkTable[[#This Row],[Weight]]&gt;0,DbLinkTable[[#This Row],[Price/lb]]*DbLinkTable[[#This Row],[Weight]],0)</f>
        <v>#VALUE!</v>
      </c>
      <c r="U637" s="79" t="e">
        <f>IF(DbLinkTable[[#This Row],[Price/lb]]*DbLinkTable[[#This Row],[Weight]]&lt;0,DbLinkTable[[#This Row],[Price/lb]]*DbLinkTable[[#This Row],[Weight]],0)</f>
        <v>#VALUE!</v>
      </c>
      <c r="V637" s="4" t="str">
        <f>IF(COUNTIF($W$2:W637,W637)=1,1,"")</f>
        <v/>
      </c>
      <c r="W637" s="4" t="e">
        <f>CONCATENATE(DbLinkTable[[#This Row],[Customer]],UPPER(DbLinkTable[[#This Row],[Trailer Number]]),DbLinkTable[[#This Row],[Day Received]])</f>
        <v>#VALUE!</v>
      </c>
      <c r="X637" s="4" t="e">
        <f>DATEVALUE(TEXT(DbLinkTable[[#This Row],[Date Received]],"MMMM YYYY"))</f>
        <v>#VALUE!</v>
      </c>
      <c r="Y637" s="4" t="e">
        <f>INT(DbLinkTable[[#This Row],[Date Received]])</f>
        <v>#VALUE!</v>
      </c>
    </row>
    <row r="638" spans="1:25">
      <c r="E638"/>
      <c r="G638"/>
      <c r="H638"/>
      <c r="I638"/>
      <c r="K638"/>
      <c r="O638"/>
      <c r="R638"/>
      <c r="S638" s="79" t="e">
        <f>DbLinkTable[[#This Row],[Credit]]+DbLinkTable[[#This Row],[Charge]]</f>
        <v>#VALUE!</v>
      </c>
      <c r="T638" s="79" t="e">
        <f>IF(DbLinkTable[[#This Row],[Price/lb]]*DbLinkTable[[#This Row],[Weight]]&gt;0,DbLinkTable[[#This Row],[Price/lb]]*DbLinkTable[[#This Row],[Weight]],0)</f>
        <v>#VALUE!</v>
      </c>
      <c r="U638" s="79" t="e">
        <f>IF(DbLinkTable[[#This Row],[Price/lb]]*DbLinkTable[[#This Row],[Weight]]&lt;0,DbLinkTable[[#This Row],[Price/lb]]*DbLinkTable[[#This Row],[Weight]],0)</f>
        <v>#VALUE!</v>
      </c>
      <c r="V638" s="4" t="str">
        <f>IF(COUNTIF($W$2:W638,W638)=1,1,"")</f>
        <v/>
      </c>
      <c r="W638" s="4" t="e">
        <f>CONCATENATE(DbLinkTable[[#This Row],[Customer]],UPPER(DbLinkTable[[#This Row],[Trailer Number]]),DbLinkTable[[#This Row],[Day Received]])</f>
        <v>#VALUE!</v>
      </c>
      <c r="X638" s="4" t="e">
        <f>DATEVALUE(TEXT(DbLinkTable[[#This Row],[Date Received]],"MMMM YYYY"))</f>
        <v>#VALUE!</v>
      </c>
      <c r="Y638" s="4" t="e">
        <f>INT(DbLinkTable[[#This Row],[Date Received]])</f>
        <v>#VALUE!</v>
      </c>
    </row>
    <row r="639" spans="1:25">
      <c r="E639"/>
      <c r="G639"/>
      <c r="H639"/>
      <c r="I639"/>
      <c r="K639"/>
      <c r="O639"/>
      <c r="R639"/>
      <c r="S639" s="79" t="e">
        <f>DbLinkTable[[#This Row],[Credit]]+DbLinkTable[[#This Row],[Charge]]</f>
        <v>#VALUE!</v>
      </c>
      <c r="T639" s="79" t="e">
        <f>IF(DbLinkTable[[#This Row],[Price/lb]]*DbLinkTable[[#This Row],[Weight]]&gt;0,DbLinkTable[[#This Row],[Price/lb]]*DbLinkTable[[#This Row],[Weight]],0)</f>
        <v>#VALUE!</v>
      </c>
      <c r="U639" s="79" t="e">
        <f>IF(DbLinkTable[[#This Row],[Price/lb]]*DbLinkTable[[#This Row],[Weight]]&lt;0,DbLinkTable[[#This Row],[Price/lb]]*DbLinkTable[[#This Row],[Weight]],0)</f>
        <v>#VALUE!</v>
      </c>
      <c r="V639" s="4" t="str">
        <f>IF(COUNTIF($W$2:W639,W639)=1,1,"")</f>
        <v/>
      </c>
      <c r="W639" s="4" t="e">
        <f>CONCATENATE(DbLinkTable[[#This Row],[Customer]],UPPER(DbLinkTable[[#This Row],[Trailer Number]]),DbLinkTable[[#This Row],[Day Received]])</f>
        <v>#VALUE!</v>
      </c>
      <c r="X639" s="4" t="e">
        <f>DATEVALUE(TEXT(DbLinkTable[[#This Row],[Date Received]],"MMMM YYYY"))</f>
        <v>#VALUE!</v>
      </c>
      <c r="Y639" s="4" t="e">
        <f>INT(DbLinkTable[[#This Row],[Date Received]])</f>
        <v>#VALUE!</v>
      </c>
    </row>
    <row r="640" spans="1:25">
      <c r="E640"/>
      <c r="G640"/>
      <c r="H640"/>
      <c r="I640"/>
      <c r="K640"/>
      <c r="O640"/>
      <c r="R640"/>
      <c r="S640" s="79" t="e">
        <f>DbLinkTable[[#This Row],[Credit]]+DbLinkTable[[#This Row],[Charge]]</f>
        <v>#VALUE!</v>
      </c>
      <c r="T640" s="79" t="e">
        <f>IF(DbLinkTable[[#This Row],[Price/lb]]*DbLinkTable[[#This Row],[Weight]]&gt;0,DbLinkTable[[#This Row],[Price/lb]]*DbLinkTable[[#This Row],[Weight]],0)</f>
        <v>#VALUE!</v>
      </c>
      <c r="U640" s="79" t="e">
        <f>IF(DbLinkTable[[#This Row],[Price/lb]]*DbLinkTable[[#This Row],[Weight]]&lt;0,DbLinkTable[[#This Row],[Price/lb]]*DbLinkTable[[#This Row],[Weight]],0)</f>
        <v>#VALUE!</v>
      </c>
      <c r="V640" s="4" t="str">
        <f>IF(COUNTIF($W$2:W640,W640)=1,1,"")</f>
        <v/>
      </c>
      <c r="W640" s="4" t="e">
        <f>CONCATENATE(DbLinkTable[[#This Row],[Customer]],UPPER(DbLinkTable[[#This Row],[Trailer Number]]),DbLinkTable[[#This Row],[Day Received]])</f>
        <v>#VALUE!</v>
      </c>
      <c r="X640" s="4" t="e">
        <f>DATEVALUE(TEXT(DbLinkTable[[#This Row],[Date Received]],"MMMM YYYY"))</f>
        <v>#VALUE!</v>
      </c>
      <c r="Y640" s="4" t="e">
        <f>INT(DbLinkTable[[#This Row],[Date Received]])</f>
        <v>#VALUE!</v>
      </c>
    </row>
    <row r="641" spans="5:25">
      <c r="E641"/>
      <c r="G641"/>
      <c r="H641"/>
      <c r="I641"/>
      <c r="K641"/>
      <c r="O641"/>
      <c r="R641"/>
      <c r="S641" s="79" t="e">
        <f>DbLinkTable[[#This Row],[Credit]]+DbLinkTable[[#This Row],[Charge]]</f>
        <v>#VALUE!</v>
      </c>
      <c r="T641" s="79" t="e">
        <f>IF(DbLinkTable[[#This Row],[Price/lb]]*DbLinkTable[[#This Row],[Weight]]&gt;0,DbLinkTable[[#This Row],[Price/lb]]*DbLinkTable[[#This Row],[Weight]],0)</f>
        <v>#VALUE!</v>
      </c>
      <c r="U641" s="79" t="e">
        <f>IF(DbLinkTable[[#This Row],[Price/lb]]*DbLinkTable[[#This Row],[Weight]]&lt;0,DbLinkTable[[#This Row],[Price/lb]]*DbLinkTable[[#This Row],[Weight]],0)</f>
        <v>#VALUE!</v>
      </c>
      <c r="V641" s="4" t="str">
        <f>IF(COUNTIF($W$2:W641,W641)=1,1,"")</f>
        <v/>
      </c>
      <c r="W641" s="4" t="e">
        <f>CONCATENATE(DbLinkTable[[#This Row],[Customer]],UPPER(DbLinkTable[[#This Row],[Trailer Number]]),DbLinkTable[[#This Row],[Day Received]])</f>
        <v>#VALUE!</v>
      </c>
      <c r="X641" s="4" t="e">
        <f>DATEVALUE(TEXT(DbLinkTable[[#This Row],[Date Received]],"MMMM YYYY"))</f>
        <v>#VALUE!</v>
      </c>
      <c r="Y641" s="4" t="e">
        <f>INT(DbLinkTable[[#This Row],[Date Received]])</f>
        <v>#VALUE!</v>
      </c>
    </row>
    <row r="642" spans="5:25">
      <c r="E642"/>
      <c r="G642"/>
      <c r="H642"/>
      <c r="I642"/>
      <c r="K642"/>
      <c r="O642"/>
      <c r="R642"/>
      <c r="S642" s="79" t="e">
        <f>DbLinkTable[[#This Row],[Credit]]+DbLinkTable[[#This Row],[Charge]]</f>
        <v>#VALUE!</v>
      </c>
      <c r="T642" s="79" t="e">
        <f>IF(DbLinkTable[[#This Row],[Price/lb]]*DbLinkTable[[#This Row],[Weight]]&gt;0,DbLinkTable[[#This Row],[Price/lb]]*DbLinkTable[[#This Row],[Weight]],0)</f>
        <v>#VALUE!</v>
      </c>
      <c r="U642" s="79" t="e">
        <f>IF(DbLinkTable[[#This Row],[Price/lb]]*DbLinkTable[[#This Row],[Weight]]&lt;0,DbLinkTable[[#This Row],[Price/lb]]*DbLinkTable[[#This Row],[Weight]],0)</f>
        <v>#VALUE!</v>
      </c>
      <c r="V642" s="4" t="str">
        <f>IF(COUNTIF($W$2:W642,W642)=1,1,"")</f>
        <v/>
      </c>
      <c r="W642" s="4" t="e">
        <f>CONCATENATE(DbLinkTable[[#This Row],[Customer]],UPPER(DbLinkTable[[#This Row],[Trailer Number]]),DbLinkTable[[#This Row],[Day Received]])</f>
        <v>#VALUE!</v>
      </c>
      <c r="X642" s="4" t="e">
        <f>DATEVALUE(TEXT(DbLinkTable[[#This Row],[Date Received]],"MMMM YYYY"))</f>
        <v>#VALUE!</v>
      </c>
      <c r="Y642" s="4" t="e">
        <f>INT(DbLinkTable[[#This Row],[Date Received]])</f>
        <v>#VALUE!</v>
      </c>
    </row>
    <row r="643" spans="5:25">
      <c r="E643"/>
      <c r="G643"/>
      <c r="H643"/>
      <c r="I643"/>
      <c r="K643"/>
      <c r="O643"/>
      <c r="R643"/>
      <c r="S643" s="79" t="e">
        <f>DbLinkTable[[#This Row],[Credit]]+DbLinkTable[[#This Row],[Charge]]</f>
        <v>#VALUE!</v>
      </c>
      <c r="T643" s="79" t="e">
        <f>IF(DbLinkTable[[#This Row],[Price/lb]]*DbLinkTable[[#This Row],[Weight]]&gt;0,DbLinkTable[[#This Row],[Price/lb]]*DbLinkTable[[#This Row],[Weight]],0)</f>
        <v>#VALUE!</v>
      </c>
      <c r="U643" s="79" t="e">
        <f>IF(DbLinkTable[[#This Row],[Price/lb]]*DbLinkTable[[#This Row],[Weight]]&lt;0,DbLinkTable[[#This Row],[Price/lb]]*DbLinkTable[[#This Row],[Weight]],0)</f>
        <v>#VALUE!</v>
      </c>
      <c r="V643" s="4" t="str">
        <f>IF(COUNTIF($W$2:W643,W643)=1,1,"")</f>
        <v/>
      </c>
      <c r="W643" s="4" t="e">
        <f>CONCATENATE(DbLinkTable[[#This Row],[Customer]],UPPER(DbLinkTable[[#This Row],[Trailer Number]]),DbLinkTable[[#This Row],[Day Received]])</f>
        <v>#VALUE!</v>
      </c>
      <c r="X643" s="4" t="e">
        <f>DATEVALUE(TEXT(DbLinkTable[[#This Row],[Date Received]],"MMMM YYYY"))</f>
        <v>#VALUE!</v>
      </c>
      <c r="Y643" s="4" t="e">
        <f>INT(DbLinkTable[[#This Row],[Date Received]])</f>
        <v>#VALUE!</v>
      </c>
    </row>
    <row r="644" spans="5:25">
      <c r="E644"/>
      <c r="G644"/>
      <c r="H644"/>
      <c r="I644"/>
      <c r="K644"/>
      <c r="O644"/>
      <c r="R644"/>
      <c r="S644" s="79" t="e">
        <f>DbLinkTable[[#This Row],[Credit]]+DbLinkTable[[#This Row],[Charge]]</f>
        <v>#VALUE!</v>
      </c>
      <c r="T644" s="79" t="e">
        <f>IF(DbLinkTable[[#This Row],[Price/lb]]*DbLinkTable[[#This Row],[Weight]]&gt;0,DbLinkTable[[#This Row],[Price/lb]]*DbLinkTable[[#This Row],[Weight]],0)</f>
        <v>#VALUE!</v>
      </c>
      <c r="U644" s="79" t="e">
        <f>IF(DbLinkTable[[#This Row],[Price/lb]]*DbLinkTable[[#This Row],[Weight]]&lt;0,DbLinkTable[[#This Row],[Price/lb]]*DbLinkTable[[#This Row],[Weight]],0)</f>
        <v>#VALUE!</v>
      </c>
      <c r="V644" s="4" t="str">
        <f>IF(COUNTIF($W$2:W644,W644)=1,1,"")</f>
        <v/>
      </c>
      <c r="W644" s="4" t="e">
        <f>CONCATENATE(DbLinkTable[[#This Row],[Customer]],UPPER(DbLinkTable[[#This Row],[Trailer Number]]),DbLinkTable[[#This Row],[Day Received]])</f>
        <v>#VALUE!</v>
      </c>
      <c r="X644" s="4" t="e">
        <f>DATEVALUE(TEXT(DbLinkTable[[#This Row],[Date Received]],"MMMM YYYY"))</f>
        <v>#VALUE!</v>
      </c>
      <c r="Y644" s="4" t="e">
        <f>INT(DbLinkTable[[#This Row],[Date Received]])</f>
        <v>#VALUE!</v>
      </c>
    </row>
    <row r="645" spans="5:25">
      <c r="E645"/>
      <c r="G645"/>
      <c r="H645"/>
      <c r="I645"/>
      <c r="K645"/>
      <c r="O645"/>
      <c r="R645"/>
      <c r="S645" s="79" t="e">
        <f>DbLinkTable[[#This Row],[Credit]]+DbLinkTable[[#This Row],[Charge]]</f>
        <v>#VALUE!</v>
      </c>
      <c r="T645" s="79" t="e">
        <f>IF(DbLinkTable[[#This Row],[Price/lb]]*DbLinkTable[[#This Row],[Weight]]&gt;0,DbLinkTable[[#This Row],[Price/lb]]*DbLinkTable[[#This Row],[Weight]],0)</f>
        <v>#VALUE!</v>
      </c>
      <c r="U645" s="79" t="e">
        <f>IF(DbLinkTable[[#This Row],[Price/lb]]*DbLinkTable[[#This Row],[Weight]]&lt;0,DbLinkTable[[#This Row],[Price/lb]]*DbLinkTable[[#This Row],[Weight]],0)</f>
        <v>#VALUE!</v>
      </c>
      <c r="V645" s="4" t="str">
        <f>IF(COUNTIF($W$2:W645,W645)=1,1,"")</f>
        <v/>
      </c>
      <c r="W645" s="4" t="e">
        <f>CONCATENATE(DbLinkTable[[#This Row],[Customer]],UPPER(DbLinkTable[[#This Row],[Trailer Number]]),DbLinkTable[[#This Row],[Day Received]])</f>
        <v>#VALUE!</v>
      </c>
      <c r="X645" s="4" t="e">
        <f>DATEVALUE(TEXT(DbLinkTable[[#This Row],[Date Received]],"MMMM YYYY"))</f>
        <v>#VALUE!</v>
      </c>
      <c r="Y645" s="4" t="e">
        <f>INT(DbLinkTable[[#This Row],[Date Received]])</f>
        <v>#VALUE!</v>
      </c>
    </row>
    <row r="646" spans="5:25">
      <c r="E646"/>
      <c r="G646"/>
      <c r="H646"/>
      <c r="I646"/>
      <c r="K646"/>
      <c r="O646"/>
      <c r="R646"/>
      <c r="S646" s="79" t="e">
        <f>DbLinkTable[[#This Row],[Credit]]+DbLinkTable[[#This Row],[Charge]]</f>
        <v>#VALUE!</v>
      </c>
      <c r="T646" s="79" t="e">
        <f>IF(DbLinkTable[[#This Row],[Price/lb]]*DbLinkTable[[#This Row],[Weight]]&gt;0,DbLinkTable[[#This Row],[Price/lb]]*DbLinkTable[[#This Row],[Weight]],0)</f>
        <v>#VALUE!</v>
      </c>
      <c r="U646" s="79" t="e">
        <f>IF(DbLinkTable[[#This Row],[Price/lb]]*DbLinkTable[[#This Row],[Weight]]&lt;0,DbLinkTable[[#This Row],[Price/lb]]*DbLinkTable[[#This Row],[Weight]],0)</f>
        <v>#VALUE!</v>
      </c>
      <c r="V646" s="4" t="str">
        <f>IF(COUNTIF($W$2:W646,W646)=1,1,"")</f>
        <v/>
      </c>
      <c r="W646" s="4" t="e">
        <f>CONCATENATE(DbLinkTable[[#This Row],[Customer]],UPPER(DbLinkTable[[#This Row],[Trailer Number]]),DbLinkTable[[#This Row],[Day Received]])</f>
        <v>#VALUE!</v>
      </c>
      <c r="X646" s="4" t="e">
        <f>DATEVALUE(TEXT(DbLinkTable[[#This Row],[Date Received]],"MMMM YYYY"))</f>
        <v>#VALUE!</v>
      </c>
      <c r="Y646" s="4" t="e">
        <f>INT(DbLinkTable[[#This Row],[Date Received]])</f>
        <v>#VALUE!</v>
      </c>
    </row>
    <row r="647" spans="5:25">
      <c r="E647"/>
      <c r="G647"/>
      <c r="H647"/>
      <c r="I647"/>
      <c r="K647"/>
      <c r="O647"/>
      <c r="R647"/>
      <c r="S647" s="79" t="e">
        <f>DbLinkTable[[#This Row],[Credit]]+DbLinkTable[[#This Row],[Charge]]</f>
        <v>#VALUE!</v>
      </c>
      <c r="T647" s="79" t="e">
        <f>IF(DbLinkTable[[#This Row],[Price/lb]]*DbLinkTable[[#This Row],[Weight]]&gt;0,DbLinkTable[[#This Row],[Price/lb]]*DbLinkTable[[#This Row],[Weight]],0)</f>
        <v>#VALUE!</v>
      </c>
      <c r="U647" s="79" t="e">
        <f>IF(DbLinkTable[[#This Row],[Price/lb]]*DbLinkTable[[#This Row],[Weight]]&lt;0,DbLinkTable[[#This Row],[Price/lb]]*DbLinkTable[[#This Row],[Weight]],0)</f>
        <v>#VALUE!</v>
      </c>
      <c r="V647" s="4" t="str">
        <f>IF(COUNTIF($W$2:W647,W647)=1,1,"")</f>
        <v/>
      </c>
      <c r="W647" s="4" t="e">
        <f>CONCATENATE(DbLinkTable[[#This Row],[Customer]],UPPER(DbLinkTable[[#This Row],[Trailer Number]]),DbLinkTable[[#This Row],[Day Received]])</f>
        <v>#VALUE!</v>
      </c>
      <c r="X647" s="4" t="e">
        <f>DATEVALUE(TEXT(DbLinkTable[[#This Row],[Date Received]],"MMMM YYYY"))</f>
        <v>#VALUE!</v>
      </c>
      <c r="Y647" s="4" t="e">
        <f>INT(DbLinkTable[[#This Row],[Date Received]])</f>
        <v>#VALUE!</v>
      </c>
    </row>
    <row r="648" spans="5:25">
      <c r="E648"/>
      <c r="G648"/>
      <c r="H648"/>
      <c r="I648"/>
      <c r="K648"/>
      <c r="O648"/>
      <c r="R648"/>
      <c r="S648" s="79" t="e">
        <f>DbLinkTable[[#This Row],[Credit]]+DbLinkTable[[#This Row],[Charge]]</f>
        <v>#VALUE!</v>
      </c>
      <c r="T648" s="79" t="e">
        <f>IF(DbLinkTable[[#This Row],[Price/lb]]*DbLinkTable[[#This Row],[Weight]]&gt;0,DbLinkTable[[#This Row],[Price/lb]]*DbLinkTable[[#This Row],[Weight]],0)</f>
        <v>#VALUE!</v>
      </c>
      <c r="U648" s="79" t="e">
        <f>IF(DbLinkTable[[#This Row],[Price/lb]]*DbLinkTable[[#This Row],[Weight]]&lt;0,DbLinkTable[[#This Row],[Price/lb]]*DbLinkTable[[#This Row],[Weight]],0)</f>
        <v>#VALUE!</v>
      </c>
      <c r="V648" s="4" t="str">
        <f>IF(COUNTIF($W$2:W648,W648)=1,1,"")</f>
        <v/>
      </c>
      <c r="W648" s="4" t="e">
        <f>CONCATENATE(DbLinkTable[[#This Row],[Customer]],UPPER(DbLinkTable[[#This Row],[Trailer Number]]),DbLinkTable[[#This Row],[Day Received]])</f>
        <v>#VALUE!</v>
      </c>
      <c r="X648" s="4" t="e">
        <f>DATEVALUE(TEXT(DbLinkTable[[#This Row],[Date Received]],"MMMM YYYY"))</f>
        <v>#VALUE!</v>
      </c>
      <c r="Y648" s="4" t="e">
        <f>INT(DbLinkTable[[#This Row],[Date Received]])</f>
        <v>#VALUE!</v>
      </c>
    </row>
    <row r="649" spans="5:25">
      <c r="E649"/>
      <c r="G649"/>
      <c r="H649"/>
      <c r="I649"/>
      <c r="K649"/>
      <c r="O649"/>
      <c r="R649"/>
      <c r="S649" s="79" t="e">
        <f>DbLinkTable[[#This Row],[Credit]]+DbLinkTable[[#This Row],[Charge]]</f>
        <v>#VALUE!</v>
      </c>
      <c r="T649" s="79" t="e">
        <f>IF(DbLinkTable[[#This Row],[Price/lb]]*DbLinkTable[[#This Row],[Weight]]&gt;0,DbLinkTable[[#This Row],[Price/lb]]*DbLinkTable[[#This Row],[Weight]],0)</f>
        <v>#VALUE!</v>
      </c>
      <c r="U649" s="79" t="e">
        <f>IF(DbLinkTable[[#This Row],[Price/lb]]*DbLinkTable[[#This Row],[Weight]]&lt;0,DbLinkTable[[#This Row],[Price/lb]]*DbLinkTable[[#This Row],[Weight]],0)</f>
        <v>#VALUE!</v>
      </c>
      <c r="V649" s="4" t="str">
        <f>IF(COUNTIF($W$2:W649,W649)=1,1,"")</f>
        <v/>
      </c>
      <c r="W649" s="4" t="e">
        <f>CONCATENATE(DbLinkTable[[#This Row],[Customer]],UPPER(DbLinkTable[[#This Row],[Trailer Number]]),DbLinkTable[[#This Row],[Day Received]])</f>
        <v>#VALUE!</v>
      </c>
      <c r="X649" s="4" t="e">
        <f>DATEVALUE(TEXT(DbLinkTable[[#This Row],[Date Received]],"MMMM YYYY"))</f>
        <v>#VALUE!</v>
      </c>
      <c r="Y649" s="4" t="e">
        <f>INT(DbLinkTable[[#This Row],[Date Received]])</f>
        <v>#VALUE!</v>
      </c>
    </row>
    <row r="650" spans="5:25">
      <c r="E650"/>
      <c r="G650"/>
      <c r="H650"/>
      <c r="I650"/>
      <c r="K650"/>
      <c r="O650"/>
      <c r="R650"/>
      <c r="S650" s="79" t="e">
        <f>DbLinkTable[[#This Row],[Credit]]+DbLinkTable[[#This Row],[Charge]]</f>
        <v>#VALUE!</v>
      </c>
      <c r="T650" s="79" t="e">
        <f>IF(DbLinkTable[[#This Row],[Price/lb]]*DbLinkTable[[#This Row],[Weight]]&gt;0,DbLinkTable[[#This Row],[Price/lb]]*DbLinkTable[[#This Row],[Weight]],0)</f>
        <v>#VALUE!</v>
      </c>
      <c r="U650" s="79" t="e">
        <f>IF(DbLinkTable[[#This Row],[Price/lb]]*DbLinkTable[[#This Row],[Weight]]&lt;0,DbLinkTable[[#This Row],[Price/lb]]*DbLinkTable[[#This Row],[Weight]],0)</f>
        <v>#VALUE!</v>
      </c>
      <c r="V650" s="4" t="str">
        <f>IF(COUNTIF($W$2:W650,W650)=1,1,"")</f>
        <v/>
      </c>
      <c r="W650" s="4" t="e">
        <f>CONCATENATE(DbLinkTable[[#This Row],[Customer]],UPPER(DbLinkTable[[#This Row],[Trailer Number]]),DbLinkTable[[#This Row],[Day Received]])</f>
        <v>#VALUE!</v>
      </c>
      <c r="X650" s="4" t="e">
        <f>DATEVALUE(TEXT(DbLinkTable[[#This Row],[Date Received]],"MMMM YYYY"))</f>
        <v>#VALUE!</v>
      </c>
      <c r="Y650" s="4" t="e">
        <f>INT(DbLinkTable[[#This Row],[Date Received]])</f>
        <v>#VALUE!</v>
      </c>
    </row>
    <row r="651" spans="5:25">
      <c r="E651"/>
      <c r="G651"/>
      <c r="H651"/>
      <c r="I651"/>
      <c r="K651"/>
      <c r="O651"/>
      <c r="R651"/>
      <c r="S651" s="79" t="e">
        <f>DbLinkTable[[#This Row],[Credit]]+DbLinkTable[[#This Row],[Charge]]</f>
        <v>#VALUE!</v>
      </c>
      <c r="T651" s="79" t="e">
        <f>IF(DbLinkTable[[#This Row],[Price/lb]]*DbLinkTable[[#This Row],[Weight]]&gt;0,DbLinkTable[[#This Row],[Price/lb]]*DbLinkTable[[#This Row],[Weight]],0)</f>
        <v>#VALUE!</v>
      </c>
      <c r="U651" s="79" t="e">
        <f>IF(DbLinkTable[[#This Row],[Price/lb]]*DbLinkTable[[#This Row],[Weight]]&lt;0,DbLinkTable[[#This Row],[Price/lb]]*DbLinkTable[[#This Row],[Weight]],0)</f>
        <v>#VALUE!</v>
      </c>
      <c r="V651" s="4" t="str">
        <f>IF(COUNTIF($W$2:W651,W651)=1,1,"")</f>
        <v/>
      </c>
      <c r="W651" s="4" t="e">
        <f>CONCATENATE(DbLinkTable[[#This Row],[Customer]],UPPER(DbLinkTable[[#This Row],[Trailer Number]]),DbLinkTable[[#This Row],[Day Received]])</f>
        <v>#VALUE!</v>
      </c>
      <c r="X651" s="4" t="e">
        <f>DATEVALUE(TEXT(DbLinkTable[[#This Row],[Date Received]],"MMMM YYYY"))</f>
        <v>#VALUE!</v>
      </c>
      <c r="Y651" s="4" t="e">
        <f>INT(DbLinkTable[[#This Row],[Date Received]])</f>
        <v>#VALUE!</v>
      </c>
    </row>
    <row r="652" spans="5:25">
      <c r="E652"/>
      <c r="G652"/>
      <c r="H652"/>
      <c r="I652"/>
      <c r="K652"/>
      <c r="O652"/>
      <c r="R652"/>
      <c r="S652" s="79" t="e">
        <f>DbLinkTable[[#This Row],[Credit]]+DbLinkTable[[#This Row],[Charge]]</f>
        <v>#VALUE!</v>
      </c>
      <c r="T652" s="79" t="e">
        <f>IF(DbLinkTable[[#This Row],[Price/lb]]*DbLinkTable[[#This Row],[Weight]]&gt;0,DbLinkTable[[#This Row],[Price/lb]]*DbLinkTable[[#This Row],[Weight]],0)</f>
        <v>#VALUE!</v>
      </c>
      <c r="U652" s="79" t="e">
        <f>IF(DbLinkTable[[#This Row],[Price/lb]]*DbLinkTable[[#This Row],[Weight]]&lt;0,DbLinkTable[[#This Row],[Price/lb]]*DbLinkTable[[#This Row],[Weight]],0)</f>
        <v>#VALUE!</v>
      </c>
      <c r="V652" s="4" t="str">
        <f>IF(COUNTIF($W$2:W652,W652)=1,1,"")</f>
        <v/>
      </c>
      <c r="W652" s="4" t="e">
        <f>CONCATENATE(DbLinkTable[[#This Row],[Customer]],UPPER(DbLinkTable[[#This Row],[Trailer Number]]),DbLinkTable[[#This Row],[Day Received]])</f>
        <v>#VALUE!</v>
      </c>
      <c r="X652" s="4" t="e">
        <f>DATEVALUE(TEXT(DbLinkTable[[#This Row],[Date Received]],"MMMM YYYY"))</f>
        <v>#VALUE!</v>
      </c>
      <c r="Y652" s="4" t="e">
        <f>INT(DbLinkTable[[#This Row],[Date Received]])</f>
        <v>#VALUE!</v>
      </c>
    </row>
    <row r="653" spans="5:25">
      <c r="E653"/>
      <c r="G653"/>
      <c r="H653"/>
      <c r="I653"/>
      <c r="K653"/>
      <c r="O653"/>
      <c r="R653"/>
      <c r="S653" s="79" t="e">
        <f>DbLinkTable[[#This Row],[Credit]]+DbLinkTable[[#This Row],[Charge]]</f>
        <v>#VALUE!</v>
      </c>
      <c r="T653" s="79" t="e">
        <f>IF(DbLinkTable[[#This Row],[Price/lb]]*DbLinkTable[[#This Row],[Weight]]&gt;0,DbLinkTable[[#This Row],[Price/lb]]*DbLinkTable[[#This Row],[Weight]],0)</f>
        <v>#VALUE!</v>
      </c>
      <c r="U653" s="79" t="e">
        <f>IF(DbLinkTable[[#This Row],[Price/lb]]*DbLinkTable[[#This Row],[Weight]]&lt;0,DbLinkTable[[#This Row],[Price/lb]]*DbLinkTable[[#This Row],[Weight]],0)</f>
        <v>#VALUE!</v>
      </c>
      <c r="V653" s="4" t="str">
        <f>IF(COUNTIF($W$2:W653,W653)=1,1,"")</f>
        <v/>
      </c>
      <c r="W653" s="4" t="e">
        <f>CONCATENATE(DbLinkTable[[#This Row],[Customer]],UPPER(DbLinkTable[[#This Row],[Trailer Number]]),DbLinkTable[[#This Row],[Day Received]])</f>
        <v>#VALUE!</v>
      </c>
      <c r="X653" s="4" t="e">
        <f>DATEVALUE(TEXT(DbLinkTable[[#This Row],[Date Received]],"MMMM YYYY"))</f>
        <v>#VALUE!</v>
      </c>
      <c r="Y653" s="4" t="e">
        <f>INT(DbLinkTable[[#This Row],[Date Received]])</f>
        <v>#VALUE!</v>
      </c>
    </row>
    <row r="654" spans="5:25">
      <c r="E654"/>
      <c r="G654"/>
      <c r="H654"/>
      <c r="I654"/>
      <c r="K654"/>
      <c r="O654"/>
      <c r="R654"/>
      <c r="S654" s="79" t="e">
        <f>DbLinkTable[[#This Row],[Credit]]+DbLinkTable[[#This Row],[Charge]]</f>
        <v>#VALUE!</v>
      </c>
      <c r="T654" s="79" t="e">
        <f>IF(DbLinkTable[[#This Row],[Price/lb]]*DbLinkTable[[#This Row],[Weight]]&gt;0,DbLinkTable[[#This Row],[Price/lb]]*DbLinkTable[[#This Row],[Weight]],0)</f>
        <v>#VALUE!</v>
      </c>
      <c r="U654" s="79" t="e">
        <f>IF(DbLinkTable[[#This Row],[Price/lb]]*DbLinkTable[[#This Row],[Weight]]&lt;0,DbLinkTable[[#This Row],[Price/lb]]*DbLinkTable[[#This Row],[Weight]],0)</f>
        <v>#VALUE!</v>
      </c>
      <c r="V654" s="4" t="str">
        <f>IF(COUNTIF($W$2:W654,W654)=1,1,"")</f>
        <v/>
      </c>
      <c r="W654" s="4" t="e">
        <f>CONCATENATE(DbLinkTable[[#This Row],[Customer]],UPPER(DbLinkTable[[#This Row],[Trailer Number]]),DbLinkTable[[#This Row],[Day Received]])</f>
        <v>#VALUE!</v>
      </c>
      <c r="X654" s="4" t="e">
        <f>DATEVALUE(TEXT(DbLinkTable[[#This Row],[Date Received]],"MMMM YYYY"))</f>
        <v>#VALUE!</v>
      </c>
      <c r="Y654" s="4" t="e">
        <f>INT(DbLinkTable[[#This Row],[Date Received]])</f>
        <v>#VALUE!</v>
      </c>
    </row>
    <row r="655" spans="5:25">
      <c r="E655"/>
      <c r="G655"/>
      <c r="H655"/>
      <c r="I655"/>
      <c r="K655"/>
      <c r="O655"/>
      <c r="R655"/>
      <c r="S655" s="79" t="e">
        <f>DbLinkTable[[#This Row],[Credit]]+DbLinkTable[[#This Row],[Charge]]</f>
        <v>#VALUE!</v>
      </c>
      <c r="T655" s="79" t="e">
        <f>IF(DbLinkTable[[#This Row],[Price/lb]]*DbLinkTable[[#This Row],[Weight]]&gt;0,DbLinkTable[[#This Row],[Price/lb]]*DbLinkTable[[#This Row],[Weight]],0)</f>
        <v>#VALUE!</v>
      </c>
      <c r="U655" s="79" t="e">
        <f>IF(DbLinkTable[[#This Row],[Price/lb]]*DbLinkTable[[#This Row],[Weight]]&lt;0,DbLinkTable[[#This Row],[Price/lb]]*DbLinkTable[[#This Row],[Weight]],0)</f>
        <v>#VALUE!</v>
      </c>
      <c r="V655" s="4" t="str">
        <f>IF(COUNTIF($W$2:W655,W655)=1,1,"")</f>
        <v/>
      </c>
      <c r="W655" s="4" t="e">
        <f>CONCATENATE(DbLinkTable[[#This Row],[Customer]],UPPER(DbLinkTable[[#This Row],[Trailer Number]]),DbLinkTable[[#This Row],[Day Received]])</f>
        <v>#VALUE!</v>
      </c>
      <c r="X655" s="4" t="e">
        <f>DATEVALUE(TEXT(DbLinkTable[[#This Row],[Date Received]],"MMMM YYYY"))</f>
        <v>#VALUE!</v>
      </c>
      <c r="Y655" s="4" t="e">
        <f>INT(DbLinkTable[[#This Row],[Date Received]])</f>
        <v>#VALUE!</v>
      </c>
    </row>
    <row r="656" spans="5:25">
      <c r="E656"/>
      <c r="G656"/>
      <c r="H656"/>
      <c r="I656"/>
      <c r="K656"/>
      <c r="O656"/>
      <c r="R656"/>
      <c r="S656" s="79" t="e">
        <f>DbLinkTable[[#This Row],[Credit]]+DbLinkTable[[#This Row],[Charge]]</f>
        <v>#VALUE!</v>
      </c>
      <c r="T656" s="79" t="e">
        <f>IF(DbLinkTable[[#This Row],[Price/lb]]*DbLinkTable[[#This Row],[Weight]]&gt;0,DbLinkTable[[#This Row],[Price/lb]]*DbLinkTable[[#This Row],[Weight]],0)</f>
        <v>#VALUE!</v>
      </c>
      <c r="U656" s="79" t="e">
        <f>IF(DbLinkTable[[#This Row],[Price/lb]]*DbLinkTable[[#This Row],[Weight]]&lt;0,DbLinkTable[[#This Row],[Price/lb]]*DbLinkTable[[#This Row],[Weight]],0)</f>
        <v>#VALUE!</v>
      </c>
      <c r="V656" s="4" t="str">
        <f>IF(COUNTIF($W$2:W656,W656)=1,1,"")</f>
        <v/>
      </c>
      <c r="W656" s="4" t="e">
        <f>CONCATENATE(DbLinkTable[[#This Row],[Customer]],UPPER(DbLinkTable[[#This Row],[Trailer Number]]),DbLinkTable[[#This Row],[Day Received]])</f>
        <v>#VALUE!</v>
      </c>
      <c r="X656" s="4" t="e">
        <f>DATEVALUE(TEXT(DbLinkTable[[#This Row],[Date Received]],"MMMM YYYY"))</f>
        <v>#VALUE!</v>
      </c>
      <c r="Y656" s="4" t="e">
        <f>INT(DbLinkTable[[#This Row],[Date Received]])</f>
        <v>#VALUE!</v>
      </c>
    </row>
    <row r="657" spans="5:25">
      <c r="E657"/>
      <c r="G657"/>
      <c r="H657"/>
      <c r="I657"/>
      <c r="K657"/>
      <c r="O657"/>
      <c r="R657"/>
      <c r="S657" s="79" t="e">
        <f>DbLinkTable[[#This Row],[Credit]]+DbLinkTable[[#This Row],[Charge]]</f>
        <v>#VALUE!</v>
      </c>
      <c r="T657" s="79" t="e">
        <f>IF(DbLinkTable[[#This Row],[Price/lb]]*DbLinkTable[[#This Row],[Weight]]&gt;0,DbLinkTable[[#This Row],[Price/lb]]*DbLinkTable[[#This Row],[Weight]],0)</f>
        <v>#VALUE!</v>
      </c>
      <c r="U657" s="79" t="e">
        <f>IF(DbLinkTable[[#This Row],[Price/lb]]*DbLinkTable[[#This Row],[Weight]]&lt;0,DbLinkTable[[#This Row],[Price/lb]]*DbLinkTable[[#This Row],[Weight]],0)</f>
        <v>#VALUE!</v>
      </c>
      <c r="V657" s="4" t="str">
        <f>IF(COUNTIF($W$2:W657,W657)=1,1,"")</f>
        <v/>
      </c>
      <c r="W657" s="4" t="e">
        <f>CONCATENATE(DbLinkTable[[#This Row],[Customer]],UPPER(DbLinkTable[[#This Row],[Trailer Number]]),DbLinkTable[[#This Row],[Day Received]])</f>
        <v>#VALUE!</v>
      </c>
      <c r="X657" s="4" t="e">
        <f>DATEVALUE(TEXT(DbLinkTable[[#This Row],[Date Received]],"MMMM YYYY"))</f>
        <v>#VALUE!</v>
      </c>
      <c r="Y657" s="4" t="e">
        <f>INT(DbLinkTable[[#This Row],[Date Received]])</f>
        <v>#VALUE!</v>
      </c>
    </row>
    <row r="658" spans="5:25">
      <c r="E658"/>
      <c r="G658"/>
      <c r="H658"/>
      <c r="I658"/>
      <c r="K658"/>
      <c r="O658"/>
      <c r="R658"/>
      <c r="S658" s="79" t="e">
        <f>DbLinkTable[[#This Row],[Credit]]+DbLinkTable[[#This Row],[Charge]]</f>
        <v>#VALUE!</v>
      </c>
      <c r="T658" s="79" t="e">
        <f>IF(DbLinkTable[[#This Row],[Price/lb]]*DbLinkTable[[#This Row],[Weight]]&gt;0,DbLinkTable[[#This Row],[Price/lb]]*DbLinkTable[[#This Row],[Weight]],0)</f>
        <v>#VALUE!</v>
      </c>
      <c r="U658" s="79" t="e">
        <f>IF(DbLinkTable[[#This Row],[Price/lb]]*DbLinkTable[[#This Row],[Weight]]&lt;0,DbLinkTable[[#This Row],[Price/lb]]*DbLinkTable[[#This Row],[Weight]],0)</f>
        <v>#VALUE!</v>
      </c>
      <c r="V658" s="4" t="str">
        <f>IF(COUNTIF($W$2:W658,W658)=1,1,"")</f>
        <v/>
      </c>
      <c r="W658" s="4" t="e">
        <f>CONCATENATE(DbLinkTable[[#This Row],[Customer]],UPPER(DbLinkTable[[#This Row],[Trailer Number]]),DbLinkTable[[#This Row],[Day Received]])</f>
        <v>#VALUE!</v>
      </c>
      <c r="X658" s="4" t="e">
        <f>DATEVALUE(TEXT(DbLinkTable[[#This Row],[Date Received]],"MMMM YYYY"))</f>
        <v>#VALUE!</v>
      </c>
      <c r="Y658" s="4" t="e">
        <f>INT(DbLinkTable[[#This Row],[Date Received]])</f>
        <v>#VALUE!</v>
      </c>
    </row>
    <row r="659" spans="5:25">
      <c r="E659"/>
      <c r="G659"/>
      <c r="H659"/>
      <c r="I659"/>
      <c r="K659"/>
      <c r="O659"/>
      <c r="R659"/>
      <c r="S659" s="79" t="e">
        <f>DbLinkTable[[#This Row],[Credit]]+DbLinkTable[[#This Row],[Charge]]</f>
        <v>#VALUE!</v>
      </c>
      <c r="T659" s="79" t="e">
        <f>IF(DbLinkTable[[#This Row],[Price/lb]]*DbLinkTable[[#This Row],[Weight]]&gt;0,DbLinkTable[[#This Row],[Price/lb]]*DbLinkTable[[#This Row],[Weight]],0)</f>
        <v>#VALUE!</v>
      </c>
      <c r="U659" s="79" t="e">
        <f>IF(DbLinkTable[[#This Row],[Price/lb]]*DbLinkTable[[#This Row],[Weight]]&lt;0,DbLinkTable[[#This Row],[Price/lb]]*DbLinkTable[[#This Row],[Weight]],0)</f>
        <v>#VALUE!</v>
      </c>
      <c r="V659" s="4" t="str">
        <f>IF(COUNTIF($W$2:W659,W659)=1,1,"")</f>
        <v/>
      </c>
      <c r="W659" s="4" t="e">
        <f>CONCATENATE(DbLinkTable[[#This Row],[Customer]],UPPER(DbLinkTable[[#This Row],[Trailer Number]]),DbLinkTable[[#This Row],[Day Received]])</f>
        <v>#VALUE!</v>
      </c>
      <c r="X659" s="4" t="e">
        <f>DATEVALUE(TEXT(DbLinkTable[[#This Row],[Date Received]],"MMMM YYYY"))</f>
        <v>#VALUE!</v>
      </c>
      <c r="Y659" s="4" t="e">
        <f>INT(DbLinkTable[[#This Row],[Date Received]])</f>
        <v>#VALUE!</v>
      </c>
    </row>
    <row r="660" spans="5:25">
      <c r="E660"/>
      <c r="G660"/>
      <c r="H660"/>
      <c r="I660"/>
      <c r="K660"/>
      <c r="O660"/>
      <c r="R660"/>
      <c r="S660" s="79" t="e">
        <f>DbLinkTable[[#This Row],[Credit]]+DbLinkTable[[#This Row],[Charge]]</f>
        <v>#VALUE!</v>
      </c>
      <c r="T660" s="79" t="e">
        <f>IF(DbLinkTable[[#This Row],[Price/lb]]*DbLinkTable[[#This Row],[Weight]]&gt;0,DbLinkTable[[#This Row],[Price/lb]]*DbLinkTable[[#This Row],[Weight]],0)</f>
        <v>#VALUE!</v>
      </c>
      <c r="U660" s="79" t="e">
        <f>IF(DbLinkTable[[#This Row],[Price/lb]]*DbLinkTable[[#This Row],[Weight]]&lt;0,DbLinkTable[[#This Row],[Price/lb]]*DbLinkTable[[#This Row],[Weight]],0)</f>
        <v>#VALUE!</v>
      </c>
      <c r="V660" s="4" t="str">
        <f>IF(COUNTIF($W$2:W660,W660)=1,1,"")</f>
        <v/>
      </c>
      <c r="W660" s="4" t="e">
        <f>CONCATENATE(DbLinkTable[[#This Row],[Customer]],UPPER(DbLinkTable[[#This Row],[Trailer Number]]),DbLinkTable[[#This Row],[Day Received]])</f>
        <v>#VALUE!</v>
      </c>
      <c r="X660" s="4" t="e">
        <f>DATEVALUE(TEXT(DbLinkTable[[#This Row],[Date Received]],"MMMM YYYY"))</f>
        <v>#VALUE!</v>
      </c>
      <c r="Y660" s="4" t="e">
        <f>INT(DbLinkTable[[#This Row],[Date Received]])</f>
        <v>#VALUE!</v>
      </c>
    </row>
    <row r="661" spans="5:25">
      <c r="E661"/>
      <c r="G661"/>
      <c r="H661"/>
      <c r="I661"/>
      <c r="K661"/>
      <c r="O661"/>
      <c r="R661"/>
      <c r="S661" s="79" t="e">
        <f>DbLinkTable[[#This Row],[Credit]]+DbLinkTable[[#This Row],[Charge]]</f>
        <v>#VALUE!</v>
      </c>
      <c r="T661" s="79" t="e">
        <f>IF(DbLinkTable[[#This Row],[Price/lb]]*DbLinkTable[[#This Row],[Weight]]&gt;0,DbLinkTable[[#This Row],[Price/lb]]*DbLinkTable[[#This Row],[Weight]],0)</f>
        <v>#VALUE!</v>
      </c>
      <c r="U661" s="79" t="e">
        <f>IF(DbLinkTable[[#This Row],[Price/lb]]*DbLinkTable[[#This Row],[Weight]]&lt;0,DbLinkTable[[#This Row],[Price/lb]]*DbLinkTable[[#This Row],[Weight]],0)</f>
        <v>#VALUE!</v>
      </c>
      <c r="V661" s="4" t="str">
        <f>IF(COUNTIF($W$2:W661,W661)=1,1,"")</f>
        <v/>
      </c>
      <c r="W661" s="4" t="e">
        <f>CONCATENATE(DbLinkTable[[#This Row],[Customer]],UPPER(DbLinkTable[[#This Row],[Trailer Number]]),DbLinkTable[[#This Row],[Day Received]])</f>
        <v>#VALUE!</v>
      </c>
      <c r="X661" s="4" t="e">
        <f>DATEVALUE(TEXT(DbLinkTable[[#This Row],[Date Received]],"MMMM YYYY"))</f>
        <v>#VALUE!</v>
      </c>
      <c r="Y661" s="4" t="e">
        <f>INT(DbLinkTable[[#This Row],[Date Received]])</f>
        <v>#VALUE!</v>
      </c>
    </row>
    <row r="662" spans="5:25">
      <c r="E662"/>
      <c r="G662"/>
      <c r="H662"/>
      <c r="I662"/>
      <c r="K662"/>
      <c r="O662"/>
      <c r="R662"/>
      <c r="S662" s="79" t="e">
        <f>DbLinkTable[[#This Row],[Credit]]+DbLinkTable[[#This Row],[Charge]]</f>
        <v>#VALUE!</v>
      </c>
      <c r="T662" s="79" t="e">
        <f>IF(DbLinkTable[[#This Row],[Price/lb]]*DbLinkTable[[#This Row],[Weight]]&gt;0,DbLinkTable[[#This Row],[Price/lb]]*DbLinkTable[[#This Row],[Weight]],0)</f>
        <v>#VALUE!</v>
      </c>
      <c r="U662" s="79" t="e">
        <f>IF(DbLinkTable[[#This Row],[Price/lb]]*DbLinkTable[[#This Row],[Weight]]&lt;0,DbLinkTable[[#This Row],[Price/lb]]*DbLinkTable[[#This Row],[Weight]],0)</f>
        <v>#VALUE!</v>
      </c>
      <c r="V662" s="4" t="str">
        <f>IF(COUNTIF($W$2:W662,W662)=1,1,"")</f>
        <v/>
      </c>
      <c r="W662" s="4" t="e">
        <f>CONCATENATE(DbLinkTable[[#This Row],[Customer]],UPPER(DbLinkTable[[#This Row],[Trailer Number]]),DbLinkTable[[#This Row],[Day Received]])</f>
        <v>#VALUE!</v>
      </c>
      <c r="X662" s="4" t="e">
        <f>DATEVALUE(TEXT(DbLinkTable[[#This Row],[Date Received]],"MMMM YYYY"))</f>
        <v>#VALUE!</v>
      </c>
      <c r="Y662" s="4" t="e">
        <f>INT(DbLinkTable[[#This Row],[Date Received]])</f>
        <v>#VALUE!</v>
      </c>
    </row>
    <row r="663" spans="5:25">
      <c r="E663"/>
      <c r="G663"/>
      <c r="H663"/>
      <c r="I663"/>
      <c r="K663"/>
      <c r="O663"/>
      <c r="R663"/>
      <c r="S663" s="79" t="e">
        <f>DbLinkTable[[#This Row],[Credit]]+DbLinkTable[[#This Row],[Charge]]</f>
        <v>#VALUE!</v>
      </c>
      <c r="T663" s="79" t="e">
        <f>IF(DbLinkTable[[#This Row],[Price/lb]]*DbLinkTable[[#This Row],[Weight]]&gt;0,DbLinkTable[[#This Row],[Price/lb]]*DbLinkTable[[#This Row],[Weight]],0)</f>
        <v>#VALUE!</v>
      </c>
      <c r="U663" s="79" t="e">
        <f>IF(DbLinkTable[[#This Row],[Price/lb]]*DbLinkTable[[#This Row],[Weight]]&lt;0,DbLinkTable[[#This Row],[Price/lb]]*DbLinkTable[[#This Row],[Weight]],0)</f>
        <v>#VALUE!</v>
      </c>
      <c r="V663" s="4" t="str">
        <f>IF(COUNTIF($W$2:W663,W663)=1,1,"")</f>
        <v/>
      </c>
      <c r="W663" s="4" t="e">
        <f>CONCATENATE(DbLinkTable[[#This Row],[Customer]],UPPER(DbLinkTable[[#This Row],[Trailer Number]]),DbLinkTable[[#This Row],[Day Received]])</f>
        <v>#VALUE!</v>
      </c>
      <c r="X663" s="4" t="e">
        <f>DATEVALUE(TEXT(DbLinkTable[[#This Row],[Date Received]],"MMMM YYYY"))</f>
        <v>#VALUE!</v>
      </c>
      <c r="Y663" s="4" t="e">
        <f>INT(DbLinkTable[[#This Row],[Date Received]])</f>
        <v>#VALUE!</v>
      </c>
    </row>
    <row r="664" spans="5:25">
      <c r="E664"/>
      <c r="G664"/>
      <c r="H664"/>
      <c r="I664"/>
      <c r="K664"/>
      <c r="O664"/>
      <c r="R664"/>
      <c r="S664" s="79" t="e">
        <f>DbLinkTable[[#This Row],[Credit]]+DbLinkTable[[#This Row],[Charge]]</f>
        <v>#VALUE!</v>
      </c>
      <c r="T664" s="79" t="e">
        <f>IF(DbLinkTable[[#This Row],[Price/lb]]*DbLinkTable[[#This Row],[Weight]]&gt;0,DbLinkTable[[#This Row],[Price/lb]]*DbLinkTable[[#This Row],[Weight]],0)</f>
        <v>#VALUE!</v>
      </c>
      <c r="U664" s="79" t="e">
        <f>IF(DbLinkTable[[#This Row],[Price/lb]]*DbLinkTable[[#This Row],[Weight]]&lt;0,DbLinkTable[[#This Row],[Price/lb]]*DbLinkTable[[#This Row],[Weight]],0)</f>
        <v>#VALUE!</v>
      </c>
      <c r="V664" s="4" t="str">
        <f>IF(COUNTIF($W$2:W664,W664)=1,1,"")</f>
        <v/>
      </c>
      <c r="W664" s="4" t="e">
        <f>CONCATENATE(DbLinkTable[[#This Row],[Customer]],UPPER(DbLinkTable[[#This Row],[Trailer Number]]),DbLinkTable[[#This Row],[Day Received]])</f>
        <v>#VALUE!</v>
      </c>
      <c r="X664" s="4" t="e">
        <f>DATEVALUE(TEXT(DbLinkTable[[#This Row],[Date Received]],"MMMM YYYY"))</f>
        <v>#VALUE!</v>
      </c>
      <c r="Y664" s="4" t="e">
        <f>INT(DbLinkTable[[#This Row],[Date Received]])</f>
        <v>#VALUE!</v>
      </c>
    </row>
    <row r="665" spans="5:25">
      <c r="E665"/>
      <c r="G665"/>
      <c r="H665"/>
      <c r="I665"/>
      <c r="K665"/>
      <c r="O665"/>
      <c r="R665"/>
      <c r="S665" s="79" t="e">
        <f>DbLinkTable[[#This Row],[Credit]]+DbLinkTable[[#This Row],[Charge]]</f>
        <v>#VALUE!</v>
      </c>
      <c r="T665" s="79" t="e">
        <f>IF(DbLinkTable[[#This Row],[Price/lb]]*DbLinkTable[[#This Row],[Weight]]&gt;0,DbLinkTable[[#This Row],[Price/lb]]*DbLinkTable[[#This Row],[Weight]],0)</f>
        <v>#VALUE!</v>
      </c>
      <c r="U665" s="79" t="e">
        <f>IF(DbLinkTable[[#This Row],[Price/lb]]*DbLinkTable[[#This Row],[Weight]]&lt;0,DbLinkTable[[#This Row],[Price/lb]]*DbLinkTable[[#This Row],[Weight]],0)</f>
        <v>#VALUE!</v>
      </c>
      <c r="V665" s="4" t="str">
        <f>IF(COUNTIF($W$2:W665,W665)=1,1,"")</f>
        <v/>
      </c>
      <c r="W665" s="4" t="e">
        <f>CONCATENATE(DbLinkTable[[#This Row],[Customer]],UPPER(DbLinkTable[[#This Row],[Trailer Number]]),DbLinkTable[[#This Row],[Day Received]])</f>
        <v>#VALUE!</v>
      </c>
      <c r="X665" s="4" t="e">
        <f>DATEVALUE(TEXT(DbLinkTable[[#This Row],[Date Received]],"MMMM YYYY"))</f>
        <v>#VALUE!</v>
      </c>
      <c r="Y665" s="4" t="e">
        <f>INT(DbLinkTable[[#This Row],[Date Received]])</f>
        <v>#VALUE!</v>
      </c>
    </row>
    <row r="666" spans="5:25">
      <c r="E666"/>
      <c r="G666"/>
      <c r="H666"/>
      <c r="I666"/>
      <c r="K666"/>
      <c r="O666"/>
      <c r="R666"/>
      <c r="S666" s="79" t="e">
        <f>DbLinkTable[[#This Row],[Credit]]+DbLinkTable[[#This Row],[Charge]]</f>
        <v>#VALUE!</v>
      </c>
      <c r="T666" s="79" t="e">
        <f>IF(DbLinkTable[[#This Row],[Price/lb]]*DbLinkTable[[#This Row],[Weight]]&gt;0,DbLinkTable[[#This Row],[Price/lb]]*DbLinkTable[[#This Row],[Weight]],0)</f>
        <v>#VALUE!</v>
      </c>
      <c r="U666" s="79" t="e">
        <f>IF(DbLinkTable[[#This Row],[Price/lb]]*DbLinkTable[[#This Row],[Weight]]&lt;0,DbLinkTable[[#This Row],[Price/lb]]*DbLinkTable[[#This Row],[Weight]],0)</f>
        <v>#VALUE!</v>
      </c>
      <c r="V666" s="4" t="str">
        <f>IF(COUNTIF($W$2:W666,W666)=1,1,"")</f>
        <v/>
      </c>
      <c r="W666" s="4" t="e">
        <f>CONCATENATE(DbLinkTable[[#This Row],[Customer]],UPPER(DbLinkTable[[#This Row],[Trailer Number]]),DbLinkTable[[#This Row],[Day Received]])</f>
        <v>#VALUE!</v>
      </c>
      <c r="X666" s="4" t="e">
        <f>DATEVALUE(TEXT(DbLinkTable[[#This Row],[Date Received]],"MMMM YYYY"))</f>
        <v>#VALUE!</v>
      </c>
      <c r="Y666" s="4" t="e">
        <f>INT(DbLinkTable[[#This Row],[Date Received]])</f>
        <v>#VALUE!</v>
      </c>
    </row>
    <row r="667" spans="5:25">
      <c r="E667"/>
      <c r="G667"/>
      <c r="H667"/>
      <c r="I667"/>
      <c r="K667"/>
      <c r="O667"/>
      <c r="R667"/>
      <c r="S667" s="79" t="e">
        <f>DbLinkTable[[#This Row],[Credit]]+DbLinkTable[[#This Row],[Charge]]</f>
        <v>#VALUE!</v>
      </c>
      <c r="T667" s="79" t="e">
        <f>IF(DbLinkTable[[#This Row],[Price/lb]]*DbLinkTable[[#This Row],[Weight]]&gt;0,DbLinkTable[[#This Row],[Price/lb]]*DbLinkTable[[#This Row],[Weight]],0)</f>
        <v>#VALUE!</v>
      </c>
      <c r="U667" s="79" t="e">
        <f>IF(DbLinkTable[[#This Row],[Price/lb]]*DbLinkTable[[#This Row],[Weight]]&lt;0,DbLinkTable[[#This Row],[Price/lb]]*DbLinkTable[[#This Row],[Weight]],0)</f>
        <v>#VALUE!</v>
      </c>
      <c r="V667" s="4" t="str">
        <f>IF(COUNTIF($W$2:W667,W667)=1,1,"")</f>
        <v/>
      </c>
      <c r="W667" s="4" t="e">
        <f>CONCATENATE(DbLinkTable[[#This Row],[Customer]],UPPER(DbLinkTable[[#This Row],[Trailer Number]]),DbLinkTable[[#This Row],[Day Received]])</f>
        <v>#VALUE!</v>
      </c>
      <c r="X667" s="4" t="e">
        <f>DATEVALUE(TEXT(DbLinkTable[[#This Row],[Date Received]],"MMMM YYYY"))</f>
        <v>#VALUE!</v>
      </c>
      <c r="Y667" s="4" t="e">
        <f>INT(DbLinkTable[[#This Row],[Date Received]])</f>
        <v>#VALUE!</v>
      </c>
    </row>
    <row r="668" spans="5:25">
      <c r="E668"/>
      <c r="G668"/>
      <c r="H668"/>
      <c r="I668"/>
      <c r="K668"/>
      <c r="O668"/>
      <c r="R668"/>
      <c r="S668" s="79" t="e">
        <f>DbLinkTable[[#This Row],[Credit]]+DbLinkTable[[#This Row],[Charge]]</f>
        <v>#VALUE!</v>
      </c>
      <c r="T668" s="79" t="e">
        <f>IF(DbLinkTable[[#This Row],[Price/lb]]*DbLinkTable[[#This Row],[Weight]]&gt;0,DbLinkTable[[#This Row],[Price/lb]]*DbLinkTable[[#This Row],[Weight]],0)</f>
        <v>#VALUE!</v>
      </c>
      <c r="U668" s="79" t="e">
        <f>IF(DbLinkTable[[#This Row],[Price/lb]]*DbLinkTable[[#This Row],[Weight]]&lt;0,DbLinkTable[[#This Row],[Price/lb]]*DbLinkTable[[#This Row],[Weight]],0)</f>
        <v>#VALUE!</v>
      </c>
      <c r="V668" s="4" t="str">
        <f>IF(COUNTIF($W$2:W668,W668)=1,1,"")</f>
        <v/>
      </c>
      <c r="W668" s="4" t="e">
        <f>CONCATENATE(DbLinkTable[[#This Row],[Customer]],UPPER(DbLinkTable[[#This Row],[Trailer Number]]),DbLinkTable[[#This Row],[Day Received]])</f>
        <v>#VALUE!</v>
      </c>
      <c r="X668" s="4" t="e">
        <f>DATEVALUE(TEXT(DbLinkTable[[#This Row],[Date Received]],"MMMM YYYY"))</f>
        <v>#VALUE!</v>
      </c>
      <c r="Y668" s="4" t="e">
        <f>INT(DbLinkTable[[#This Row],[Date Received]])</f>
        <v>#VALUE!</v>
      </c>
    </row>
    <row r="669" spans="5:25">
      <c r="E669"/>
      <c r="G669"/>
      <c r="H669"/>
      <c r="I669"/>
      <c r="K669"/>
      <c r="O669"/>
      <c r="R669"/>
      <c r="S669" s="79" t="e">
        <f>DbLinkTable[[#This Row],[Credit]]+DbLinkTable[[#This Row],[Charge]]</f>
        <v>#VALUE!</v>
      </c>
      <c r="T669" s="79" t="e">
        <f>IF(DbLinkTable[[#This Row],[Price/lb]]*DbLinkTable[[#This Row],[Weight]]&gt;0,DbLinkTable[[#This Row],[Price/lb]]*DbLinkTable[[#This Row],[Weight]],0)</f>
        <v>#VALUE!</v>
      </c>
      <c r="U669" s="79" t="e">
        <f>IF(DbLinkTable[[#This Row],[Price/lb]]*DbLinkTable[[#This Row],[Weight]]&lt;0,DbLinkTable[[#This Row],[Price/lb]]*DbLinkTable[[#This Row],[Weight]],0)</f>
        <v>#VALUE!</v>
      </c>
      <c r="V669" s="4" t="str">
        <f>IF(COUNTIF($W$2:W669,W669)=1,1,"")</f>
        <v/>
      </c>
      <c r="W669" s="4" t="e">
        <f>CONCATENATE(DbLinkTable[[#This Row],[Customer]],UPPER(DbLinkTable[[#This Row],[Trailer Number]]),DbLinkTable[[#This Row],[Day Received]])</f>
        <v>#VALUE!</v>
      </c>
      <c r="X669" s="4" t="e">
        <f>DATEVALUE(TEXT(DbLinkTable[[#This Row],[Date Received]],"MMMM YYYY"))</f>
        <v>#VALUE!</v>
      </c>
      <c r="Y669" s="4" t="e">
        <f>INT(DbLinkTable[[#This Row],[Date Received]])</f>
        <v>#VALUE!</v>
      </c>
    </row>
    <row r="670" spans="5:25">
      <c r="E670"/>
      <c r="G670"/>
      <c r="H670"/>
      <c r="I670"/>
      <c r="K670"/>
      <c r="O670"/>
      <c r="R670"/>
      <c r="S670" s="79" t="e">
        <f>DbLinkTable[[#This Row],[Credit]]+DbLinkTable[[#This Row],[Charge]]</f>
        <v>#VALUE!</v>
      </c>
      <c r="T670" s="79" t="e">
        <f>IF(DbLinkTable[[#This Row],[Price/lb]]*DbLinkTable[[#This Row],[Weight]]&gt;0,DbLinkTable[[#This Row],[Price/lb]]*DbLinkTable[[#This Row],[Weight]],0)</f>
        <v>#VALUE!</v>
      </c>
      <c r="U670" s="79" t="e">
        <f>IF(DbLinkTable[[#This Row],[Price/lb]]*DbLinkTable[[#This Row],[Weight]]&lt;0,DbLinkTable[[#This Row],[Price/lb]]*DbLinkTable[[#This Row],[Weight]],0)</f>
        <v>#VALUE!</v>
      </c>
      <c r="V670" s="4" t="str">
        <f>IF(COUNTIF($W$2:W670,W670)=1,1,"")</f>
        <v/>
      </c>
      <c r="W670" s="4" t="e">
        <f>CONCATENATE(DbLinkTable[[#This Row],[Customer]],UPPER(DbLinkTable[[#This Row],[Trailer Number]]),DbLinkTable[[#This Row],[Day Received]])</f>
        <v>#VALUE!</v>
      </c>
      <c r="X670" s="4" t="e">
        <f>DATEVALUE(TEXT(DbLinkTable[[#This Row],[Date Received]],"MMMM YYYY"))</f>
        <v>#VALUE!</v>
      </c>
      <c r="Y670" s="4" t="e">
        <f>INT(DbLinkTable[[#This Row],[Date Received]])</f>
        <v>#VALUE!</v>
      </c>
    </row>
    <row r="671" spans="5:25">
      <c r="E671"/>
      <c r="G671"/>
      <c r="H671"/>
      <c r="I671"/>
      <c r="K671"/>
      <c r="O671"/>
      <c r="R671"/>
      <c r="S671" s="79" t="e">
        <f>DbLinkTable[[#This Row],[Credit]]+DbLinkTable[[#This Row],[Charge]]</f>
        <v>#VALUE!</v>
      </c>
      <c r="T671" s="79" t="e">
        <f>IF(DbLinkTable[[#This Row],[Price/lb]]*DbLinkTable[[#This Row],[Weight]]&gt;0,DbLinkTable[[#This Row],[Price/lb]]*DbLinkTable[[#This Row],[Weight]],0)</f>
        <v>#VALUE!</v>
      </c>
      <c r="U671" s="79" t="e">
        <f>IF(DbLinkTable[[#This Row],[Price/lb]]*DbLinkTable[[#This Row],[Weight]]&lt;0,DbLinkTable[[#This Row],[Price/lb]]*DbLinkTable[[#This Row],[Weight]],0)</f>
        <v>#VALUE!</v>
      </c>
      <c r="V671" s="4" t="str">
        <f>IF(COUNTIF($W$2:W671,W671)=1,1,"")</f>
        <v/>
      </c>
      <c r="W671" s="4" t="e">
        <f>CONCATENATE(DbLinkTable[[#This Row],[Customer]],UPPER(DbLinkTable[[#This Row],[Trailer Number]]),DbLinkTable[[#This Row],[Day Received]])</f>
        <v>#VALUE!</v>
      </c>
      <c r="X671" s="4" t="e">
        <f>DATEVALUE(TEXT(DbLinkTable[[#This Row],[Date Received]],"MMMM YYYY"))</f>
        <v>#VALUE!</v>
      </c>
      <c r="Y671" s="4" t="e">
        <f>INT(DbLinkTable[[#This Row],[Date Received]])</f>
        <v>#VALUE!</v>
      </c>
    </row>
    <row r="672" spans="5:25">
      <c r="E672"/>
      <c r="G672"/>
      <c r="H672"/>
      <c r="I672"/>
      <c r="K672"/>
      <c r="O672"/>
      <c r="R672"/>
      <c r="S672" s="79" t="e">
        <f>DbLinkTable[[#This Row],[Credit]]+DbLinkTable[[#This Row],[Charge]]</f>
        <v>#VALUE!</v>
      </c>
      <c r="T672" s="79" t="e">
        <f>IF(DbLinkTable[[#This Row],[Price/lb]]*DbLinkTable[[#This Row],[Weight]]&gt;0,DbLinkTable[[#This Row],[Price/lb]]*DbLinkTable[[#This Row],[Weight]],0)</f>
        <v>#VALUE!</v>
      </c>
      <c r="U672" s="79" t="e">
        <f>IF(DbLinkTable[[#This Row],[Price/lb]]*DbLinkTable[[#This Row],[Weight]]&lt;0,DbLinkTable[[#This Row],[Price/lb]]*DbLinkTable[[#This Row],[Weight]],0)</f>
        <v>#VALUE!</v>
      </c>
      <c r="V672" s="4" t="str">
        <f>IF(COUNTIF($W$2:W672,W672)=1,1,"")</f>
        <v/>
      </c>
      <c r="W672" s="4" t="e">
        <f>CONCATENATE(DbLinkTable[[#This Row],[Customer]],UPPER(DbLinkTable[[#This Row],[Trailer Number]]),DbLinkTable[[#This Row],[Day Received]])</f>
        <v>#VALUE!</v>
      </c>
      <c r="X672" s="4" t="e">
        <f>DATEVALUE(TEXT(DbLinkTable[[#This Row],[Date Received]],"MMMM YYYY"))</f>
        <v>#VALUE!</v>
      </c>
      <c r="Y672" s="4" t="e">
        <f>INT(DbLinkTable[[#This Row],[Date Received]])</f>
        <v>#VALUE!</v>
      </c>
    </row>
    <row r="673" spans="5:25">
      <c r="E673"/>
      <c r="G673"/>
      <c r="H673"/>
      <c r="I673"/>
      <c r="K673"/>
      <c r="O673"/>
      <c r="R673"/>
      <c r="S673" s="79" t="e">
        <f>DbLinkTable[[#This Row],[Credit]]+DbLinkTable[[#This Row],[Charge]]</f>
        <v>#VALUE!</v>
      </c>
      <c r="T673" s="79" t="e">
        <f>IF(DbLinkTable[[#This Row],[Price/lb]]*DbLinkTable[[#This Row],[Weight]]&gt;0,DbLinkTable[[#This Row],[Price/lb]]*DbLinkTable[[#This Row],[Weight]],0)</f>
        <v>#VALUE!</v>
      </c>
      <c r="U673" s="79" t="e">
        <f>IF(DbLinkTable[[#This Row],[Price/lb]]*DbLinkTable[[#This Row],[Weight]]&lt;0,DbLinkTable[[#This Row],[Price/lb]]*DbLinkTable[[#This Row],[Weight]],0)</f>
        <v>#VALUE!</v>
      </c>
      <c r="V673" s="4" t="str">
        <f>IF(COUNTIF($W$2:W673,W673)=1,1,"")</f>
        <v/>
      </c>
      <c r="W673" s="4" t="e">
        <f>CONCATENATE(DbLinkTable[[#This Row],[Customer]],UPPER(DbLinkTable[[#This Row],[Trailer Number]]),DbLinkTable[[#This Row],[Day Received]])</f>
        <v>#VALUE!</v>
      </c>
      <c r="X673" s="4" t="e">
        <f>DATEVALUE(TEXT(DbLinkTable[[#This Row],[Date Received]],"MMMM YYYY"))</f>
        <v>#VALUE!</v>
      </c>
      <c r="Y673" s="4" t="e">
        <f>INT(DbLinkTable[[#This Row],[Date Received]])</f>
        <v>#VALUE!</v>
      </c>
    </row>
    <row r="674" spans="5:25">
      <c r="E674"/>
      <c r="G674"/>
      <c r="H674"/>
      <c r="I674"/>
      <c r="K674"/>
      <c r="O674"/>
      <c r="R674"/>
      <c r="S674" s="79" t="e">
        <f>DbLinkTable[[#This Row],[Credit]]+DbLinkTable[[#This Row],[Charge]]</f>
        <v>#VALUE!</v>
      </c>
      <c r="T674" s="79" t="e">
        <f>IF(DbLinkTable[[#This Row],[Price/lb]]*DbLinkTable[[#This Row],[Weight]]&gt;0,DbLinkTable[[#This Row],[Price/lb]]*DbLinkTable[[#This Row],[Weight]],0)</f>
        <v>#VALUE!</v>
      </c>
      <c r="U674" s="79" t="e">
        <f>IF(DbLinkTable[[#This Row],[Price/lb]]*DbLinkTable[[#This Row],[Weight]]&lt;0,DbLinkTable[[#This Row],[Price/lb]]*DbLinkTable[[#This Row],[Weight]],0)</f>
        <v>#VALUE!</v>
      </c>
      <c r="V674" s="4" t="str">
        <f>IF(COUNTIF($W$2:W674,W674)=1,1,"")</f>
        <v/>
      </c>
      <c r="W674" s="4" t="e">
        <f>CONCATENATE(DbLinkTable[[#This Row],[Customer]],UPPER(DbLinkTable[[#This Row],[Trailer Number]]),DbLinkTable[[#This Row],[Day Received]])</f>
        <v>#VALUE!</v>
      </c>
      <c r="X674" s="4" t="e">
        <f>DATEVALUE(TEXT(DbLinkTable[[#This Row],[Date Received]],"MMMM YYYY"))</f>
        <v>#VALUE!</v>
      </c>
      <c r="Y674" s="4" t="e">
        <f>INT(DbLinkTable[[#This Row],[Date Received]])</f>
        <v>#VALUE!</v>
      </c>
    </row>
    <row r="675" spans="5:25">
      <c r="E675"/>
      <c r="G675"/>
      <c r="H675"/>
      <c r="I675"/>
      <c r="K675"/>
      <c r="O675"/>
      <c r="R675"/>
      <c r="S675" s="79" t="e">
        <f>DbLinkTable[[#This Row],[Credit]]+DbLinkTable[[#This Row],[Charge]]</f>
        <v>#VALUE!</v>
      </c>
      <c r="T675" s="79" t="e">
        <f>IF(DbLinkTable[[#This Row],[Price/lb]]*DbLinkTable[[#This Row],[Weight]]&gt;0,DbLinkTable[[#This Row],[Price/lb]]*DbLinkTable[[#This Row],[Weight]],0)</f>
        <v>#VALUE!</v>
      </c>
      <c r="U675" s="79" t="e">
        <f>IF(DbLinkTable[[#This Row],[Price/lb]]*DbLinkTable[[#This Row],[Weight]]&lt;0,DbLinkTable[[#This Row],[Price/lb]]*DbLinkTable[[#This Row],[Weight]],0)</f>
        <v>#VALUE!</v>
      </c>
      <c r="V675" s="4" t="str">
        <f>IF(COUNTIF($W$2:W675,W675)=1,1,"")</f>
        <v/>
      </c>
      <c r="W675" s="4" t="e">
        <f>CONCATENATE(DbLinkTable[[#This Row],[Customer]],UPPER(DbLinkTable[[#This Row],[Trailer Number]]),DbLinkTable[[#This Row],[Day Received]])</f>
        <v>#VALUE!</v>
      </c>
      <c r="X675" s="4" t="e">
        <f>DATEVALUE(TEXT(DbLinkTable[[#This Row],[Date Received]],"MMMM YYYY"))</f>
        <v>#VALUE!</v>
      </c>
      <c r="Y675" s="4" t="e">
        <f>INT(DbLinkTable[[#This Row],[Date Received]])</f>
        <v>#VALUE!</v>
      </c>
    </row>
    <row r="676" spans="5:25">
      <c r="E676"/>
      <c r="G676"/>
      <c r="H676"/>
      <c r="I676"/>
      <c r="K676"/>
      <c r="O676"/>
      <c r="R676"/>
      <c r="S676" s="79" t="e">
        <f>DbLinkTable[[#This Row],[Credit]]+DbLinkTable[[#This Row],[Charge]]</f>
        <v>#VALUE!</v>
      </c>
      <c r="T676" s="79" t="e">
        <f>IF(DbLinkTable[[#This Row],[Price/lb]]*DbLinkTable[[#This Row],[Weight]]&gt;0,DbLinkTable[[#This Row],[Price/lb]]*DbLinkTable[[#This Row],[Weight]],0)</f>
        <v>#VALUE!</v>
      </c>
      <c r="U676" s="79" t="e">
        <f>IF(DbLinkTable[[#This Row],[Price/lb]]*DbLinkTable[[#This Row],[Weight]]&lt;0,DbLinkTable[[#This Row],[Price/lb]]*DbLinkTable[[#This Row],[Weight]],0)</f>
        <v>#VALUE!</v>
      </c>
      <c r="V676" s="4" t="str">
        <f>IF(COUNTIF($W$2:W676,W676)=1,1,"")</f>
        <v/>
      </c>
      <c r="W676" s="4" t="e">
        <f>CONCATENATE(DbLinkTable[[#This Row],[Customer]],UPPER(DbLinkTable[[#This Row],[Trailer Number]]),DbLinkTable[[#This Row],[Day Received]])</f>
        <v>#VALUE!</v>
      </c>
      <c r="X676" s="4" t="e">
        <f>DATEVALUE(TEXT(DbLinkTable[[#This Row],[Date Received]],"MMMM YYYY"))</f>
        <v>#VALUE!</v>
      </c>
      <c r="Y676" s="4" t="e">
        <f>INT(DbLinkTable[[#This Row],[Date Received]])</f>
        <v>#VALUE!</v>
      </c>
    </row>
    <row r="677" spans="5:25">
      <c r="E677"/>
      <c r="G677"/>
      <c r="H677"/>
      <c r="I677"/>
      <c r="K677"/>
      <c r="O677"/>
      <c r="R677"/>
      <c r="S677" s="79" t="e">
        <f>DbLinkTable[[#This Row],[Credit]]+DbLinkTable[[#This Row],[Charge]]</f>
        <v>#VALUE!</v>
      </c>
      <c r="T677" s="79" t="e">
        <f>IF(DbLinkTable[[#This Row],[Price/lb]]*DbLinkTable[[#This Row],[Weight]]&gt;0,DbLinkTable[[#This Row],[Price/lb]]*DbLinkTable[[#This Row],[Weight]],0)</f>
        <v>#VALUE!</v>
      </c>
      <c r="U677" s="79" t="e">
        <f>IF(DbLinkTable[[#This Row],[Price/lb]]*DbLinkTable[[#This Row],[Weight]]&lt;0,DbLinkTable[[#This Row],[Price/lb]]*DbLinkTable[[#This Row],[Weight]],0)</f>
        <v>#VALUE!</v>
      </c>
      <c r="V677" s="4" t="str">
        <f>IF(COUNTIF($W$2:W677,W677)=1,1,"")</f>
        <v/>
      </c>
      <c r="W677" s="4" t="e">
        <f>CONCATENATE(DbLinkTable[[#This Row],[Customer]],UPPER(DbLinkTable[[#This Row],[Trailer Number]]),DbLinkTable[[#This Row],[Day Received]])</f>
        <v>#VALUE!</v>
      </c>
      <c r="X677" s="4" t="e">
        <f>DATEVALUE(TEXT(DbLinkTable[[#This Row],[Date Received]],"MMMM YYYY"))</f>
        <v>#VALUE!</v>
      </c>
      <c r="Y677" s="4" t="e">
        <f>INT(DbLinkTable[[#This Row],[Date Received]])</f>
        <v>#VALUE!</v>
      </c>
    </row>
    <row r="678" spans="5:25">
      <c r="E678"/>
      <c r="G678"/>
      <c r="H678"/>
      <c r="I678"/>
      <c r="K678"/>
      <c r="O678"/>
      <c r="R678"/>
      <c r="S678" s="79" t="e">
        <f>DbLinkTable[[#This Row],[Credit]]+DbLinkTable[[#This Row],[Charge]]</f>
        <v>#VALUE!</v>
      </c>
      <c r="T678" s="79" t="e">
        <f>IF(DbLinkTable[[#This Row],[Price/lb]]*DbLinkTable[[#This Row],[Weight]]&gt;0,DbLinkTable[[#This Row],[Price/lb]]*DbLinkTable[[#This Row],[Weight]],0)</f>
        <v>#VALUE!</v>
      </c>
      <c r="U678" s="79" t="e">
        <f>IF(DbLinkTable[[#This Row],[Price/lb]]*DbLinkTable[[#This Row],[Weight]]&lt;0,DbLinkTable[[#This Row],[Price/lb]]*DbLinkTable[[#This Row],[Weight]],0)</f>
        <v>#VALUE!</v>
      </c>
      <c r="V678" s="4" t="str">
        <f>IF(COUNTIF($W$2:W678,W678)=1,1,"")</f>
        <v/>
      </c>
      <c r="W678" s="4" t="e">
        <f>CONCATENATE(DbLinkTable[[#This Row],[Customer]],UPPER(DbLinkTable[[#This Row],[Trailer Number]]),DbLinkTable[[#This Row],[Day Received]])</f>
        <v>#VALUE!</v>
      </c>
      <c r="X678" s="4" t="e">
        <f>DATEVALUE(TEXT(DbLinkTable[[#This Row],[Date Received]],"MMMM YYYY"))</f>
        <v>#VALUE!</v>
      </c>
      <c r="Y678" s="4" t="e">
        <f>INT(DbLinkTable[[#This Row],[Date Received]])</f>
        <v>#VALUE!</v>
      </c>
    </row>
    <row r="679" spans="5:25">
      <c r="E679"/>
      <c r="G679"/>
      <c r="H679"/>
      <c r="I679"/>
      <c r="K679"/>
      <c r="O679"/>
      <c r="R679"/>
      <c r="S679" s="79" t="e">
        <f>DbLinkTable[[#This Row],[Credit]]+DbLinkTable[[#This Row],[Charge]]</f>
        <v>#VALUE!</v>
      </c>
      <c r="T679" s="79" t="e">
        <f>IF(DbLinkTable[[#This Row],[Price/lb]]*DbLinkTable[[#This Row],[Weight]]&gt;0,DbLinkTable[[#This Row],[Price/lb]]*DbLinkTable[[#This Row],[Weight]],0)</f>
        <v>#VALUE!</v>
      </c>
      <c r="U679" s="79" t="e">
        <f>IF(DbLinkTable[[#This Row],[Price/lb]]*DbLinkTable[[#This Row],[Weight]]&lt;0,DbLinkTable[[#This Row],[Price/lb]]*DbLinkTable[[#This Row],[Weight]],0)</f>
        <v>#VALUE!</v>
      </c>
      <c r="V679" s="4" t="str">
        <f>IF(COUNTIF($W$2:W679,W679)=1,1,"")</f>
        <v/>
      </c>
      <c r="W679" s="4" t="e">
        <f>CONCATENATE(DbLinkTable[[#This Row],[Customer]],UPPER(DbLinkTable[[#This Row],[Trailer Number]]),DbLinkTable[[#This Row],[Day Received]])</f>
        <v>#VALUE!</v>
      </c>
      <c r="X679" s="4" t="e">
        <f>DATEVALUE(TEXT(DbLinkTable[[#This Row],[Date Received]],"MMMM YYYY"))</f>
        <v>#VALUE!</v>
      </c>
      <c r="Y679" s="4" t="e">
        <f>INT(DbLinkTable[[#This Row],[Date Received]])</f>
        <v>#VALUE!</v>
      </c>
    </row>
    <row r="680" spans="5:25">
      <c r="E680"/>
      <c r="G680"/>
      <c r="H680"/>
      <c r="I680"/>
      <c r="K680"/>
      <c r="O680"/>
      <c r="R680"/>
      <c r="S680" s="79" t="e">
        <f>DbLinkTable[[#This Row],[Credit]]+DbLinkTable[[#This Row],[Charge]]</f>
        <v>#VALUE!</v>
      </c>
      <c r="T680" s="79" t="e">
        <f>IF(DbLinkTable[[#This Row],[Price/lb]]*DbLinkTable[[#This Row],[Weight]]&gt;0,DbLinkTable[[#This Row],[Price/lb]]*DbLinkTable[[#This Row],[Weight]],0)</f>
        <v>#VALUE!</v>
      </c>
      <c r="U680" s="79" t="e">
        <f>IF(DbLinkTable[[#This Row],[Price/lb]]*DbLinkTable[[#This Row],[Weight]]&lt;0,DbLinkTable[[#This Row],[Price/lb]]*DbLinkTable[[#This Row],[Weight]],0)</f>
        <v>#VALUE!</v>
      </c>
      <c r="V680" s="4" t="str">
        <f>IF(COUNTIF($W$2:W680,W680)=1,1,"")</f>
        <v/>
      </c>
      <c r="W680" s="4" t="e">
        <f>CONCATENATE(DbLinkTable[[#This Row],[Customer]],UPPER(DbLinkTable[[#This Row],[Trailer Number]]),DbLinkTable[[#This Row],[Day Received]])</f>
        <v>#VALUE!</v>
      </c>
      <c r="X680" s="4" t="e">
        <f>DATEVALUE(TEXT(DbLinkTable[[#This Row],[Date Received]],"MMMM YYYY"))</f>
        <v>#VALUE!</v>
      </c>
      <c r="Y680" s="4" t="e">
        <f>INT(DbLinkTable[[#This Row],[Date Received]])</f>
        <v>#VALUE!</v>
      </c>
    </row>
    <row r="681" spans="5:25">
      <c r="E681"/>
      <c r="G681"/>
      <c r="H681"/>
      <c r="I681"/>
      <c r="K681"/>
      <c r="O681"/>
      <c r="R681"/>
      <c r="S681" s="79" t="e">
        <f>DbLinkTable[[#This Row],[Credit]]+DbLinkTable[[#This Row],[Charge]]</f>
        <v>#VALUE!</v>
      </c>
      <c r="T681" s="79" t="e">
        <f>IF(DbLinkTable[[#This Row],[Price/lb]]*DbLinkTable[[#This Row],[Weight]]&gt;0,DbLinkTable[[#This Row],[Price/lb]]*DbLinkTable[[#This Row],[Weight]],0)</f>
        <v>#VALUE!</v>
      </c>
      <c r="U681" s="79" t="e">
        <f>IF(DbLinkTable[[#This Row],[Price/lb]]*DbLinkTable[[#This Row],[Weight]]&lt;0,DbLinkTable[[#This Row],[Price/lb]]*DbLinkTable[[#This Row],[Weight]],0)</f>
        <v>#VALUE!</v>
      </c>
      <c r="V681" s="4" t="str">
        <f>IF(COUNTIF($W$2:W681,W681)=1,1,"")</f>
        <v/>
      </c>
      <c r="W681" s="4" t="e">
        <f>CONCATENATE(DbLinkTable[[#This Row],[Customer]],UPPER(DbLinkTable[[#This Row],[Trailer Number]]),DbLinkTable[[#This Row],[Day Received]])</f>
        <v>#VALUE!</v>
      </c>
      <c r="X681" s="4" t="e">
        <f>DATEVALUE(TEXT(DbLinkTable[[#This Row],[Date Received]],"MMMM YYYY"))</f>
        <v>#VALUE!</v>
      </c>
      <c r="Y681" s="4" t="e">
        <f>INT(DbLinkTable[[#This Row],[Date Received]])</f>
        <v>#VALUE!</v>
      </c>
    </row>
    <row r="682" spans="5:25">
      <c r="E682"/>
      <c r="G682"/>
      <c r="H682"/>
      <c r="I682"/>
      <c r="K682"/>
      <c r="O682"/>
      <c r="R682"/>
      <c r="S682" s="79" t="e">
        <f>DbLinkTable[[#This Row],[Credit]]+DbLinkTable[[#This Row],[Charge]]</f>
        <v>#VALUE!</v>
      </c>
      <c r="T682" s="79" t="e">
        <f>IF(DbLinkTable[[#This Row],[Price/lb]]*DbLinkTable[[#This Row],[Weight]]&gt;0,DbLinkTable[[#This Row],[Price/lb]]*DbLinkTable[[#This Row],[Weight]],0)</f>
        <v>#VALUE!</v>
      </c>
      <c r="U682" s="79" t="e">
        <f>IF(DbLinkTable[[#This Row],[Price/lb]]*DbLinkTable[[#This Row],[Weight]]&lt;0,DbLinkTable[[#This Row],[Price/lb]]*DbLinkTable[[#This Row],[Weight]],0)</f>
        <v>#VALUE!</v>
      </c>
      <c r="V682" s="4" t="str">
        <f>IF(COUNTIF($W$2:W682,W682)=1,1,"")</f>
        <v/>
      </c>
      <c r="W682" s="4" t="e">
        <f>CONCATENATE(DbLinkTable[[#This Row],[Customer]],UPPER(DbLinkTable[[#This Row],[Trailer Number]]),DbLinkTable[[#This Row],[Day Received]])</f>
        <v>#VALUE!</v>
      </c>
      <c r="X682" s="4" t="e">
        <f>DATEVALUE(TEXT(DbLinkTable[[#This Row],[Date Received]],"MMMM YYYY"))</f>
        <v>#VALUE!</v>
      </c>
      <c r="Y682" s="4" t="e">
        <f>INT(DbLinkTable[[#This Row],[Date Received]])</f>
        <v>#VALUE!</v>
      </c>
    </row>
    <row r="683" spans="5:25">
      <c r="E683"/>
      <c r="G683"/>
      <c r="H683"/>
      <c r="I683"/>
      <c r="K683"/>
      <c r="O683"/>
      <c r="R683"/>
      <c r="S683" s="79" t="e">
        <f>DbLinkTable[[#This Row],[Credit]]+DbLinkTable[[#This Row],[Charge]]</f>
        <v>#VALUE!</v>
      </c>
      <c r="T683" s="79" t="e">
        <f>IF(DbLinkTable[[#This Row],[Price/lb]]*DbLinkTable[[#This Row],[Weight]]&gt;0,DbLinkTable[[#This Row],[Price/lb]]*DbLinkTable[[#This Row],[Weight]],0)</f>
        <v>#VALUE!</v>
      </c>
      <c r="U683" s="79" t="e">
        <f>IF(DbLinkTable[[#This Row],[Price/lb]]*DbLinkTable[[#This Row],[Weight]]&lt;0,DbLinkTable[[#This Row],[Price/lb]]*DbLinkTable[[#This Row],[Weight]],0)</f>
        <v>#VALUE!</v>
      </c>
      <c r="V683" s="4" t="str">
        <f>IF(COUNTIF($W$2:W683,W683)=1,1,"")</f>
        <v/>
      </c>
      <c r="W683" s="4" t="e">
        <f>CONCATENATE(DbLinkTable[[#This Row],[Customer]],UPPER(DbLinkTable[[#This Row],[Trailer Number]]),DbLinkTable[[#This Row],[Day Received]])</f>
        <v>#VALUE!</v>
      </c>
      <c r="X683" s="4" t="e">
        <f>DATEVALUE(TEXT(DbLinkTable[[#This Row],[Date Received]],"MMMM YYYY"))</f>
        <v>#VALUE!</v>
      </c>
      <c r="Y683" s="4" t="e">
        <f>INT(DbLinkTable[[#This Row],[Date Received]])</f>
        <v>#VALUE!</v>
      </c>
    </row>
    <row r="684" spans="5:25">
      <c r="E684"/>
      <c r="G684"/>
      <c r="H684"/>
      <c r="I684"/>
      <c r="K684"/>
      <c r="O684"/>
      <c r="R684"/>
      <c r="S684" s="79" t="e">
        <f>DbLinkTable[[#This Row],[Credit]]+DbLinkTable[[#This Row],[Charge]]</f>
        <v>#VALUE!</v>
      </c>
      <c r="T684" s="79" t="e">
        <f>IF(DbLinkTable[[#This Row],[Price/lb]]*DbLinkTable[[#This Row],[Weight]]&gt;0,DbLinkTable[[#This Row],[Price/lb]]*DbLinkTable[[#This Row],[Weight]],0)</f>
        <v>#VALUE!</v>
      </c>
      <c r="U684" s="79" t="e">
        <f>IF(DbLinkTable[[#This Row],[Price/lb]]*DbLinkTable[[#This Row],[Weight]]&lt;0,DbLinkTable[[#This Row],[Price/lb]]*DbLinkTable[[#This Row],[Weight]],0)</f>
        <v>#VALUE!</v>
      </c>
      <c r="V684" s="4" t="str">
        <f>IF(COUNTIF($W$2:W684,W684)=1,1,"")</f>
        <v/>
      </c>
      <c r="W684" s="4" t="e">
        <f>CONCATENATE(DbLinkTable[[#This Row],[Customer]],UPPER(DbLinkTable[[#This Row],[Trailer Number]]),DbLinkTable[[#This Row],[Day Received]])</f>
        <v>#VALUE!</v>
      </c>
      <c r="X684" s="4" t="e">
        <f>DATEVALUE(TEXT(DbLinkTable[[#This Row],[Date Received]],"MMMM YYYY"))</f>
        <v>#VALUE!</v>
      </c>
      <c r="Y684" s="4" t="e">
        <f>INT(DbLinkTable[[#This Row],[Date Received]])</f>
        <v>#VALUE!</v>
      </c>
    </row>
    <row r="685" spans="5:25">
      <c r="E685"/>
      <c r="G685"/>
      <c r="H685"/>
      <c r="I685"/>
      <c r="K685"/>
      <c r="O685"/>
      <c r="R685"/>
      <c r="S685" s="79" t="e">
        <f>DbLinkTable[[#This Row],[Credit]]+DbLinkTable[[#This Row],[Charge]]</f>
        <v>#VALUE!</v>
      </c>
      <c r="T685" s="79" t="e">
        <f>IF(DbLinkTable[[#This Row],[Price/lb]]*DbLinkTable[[#This Row],[Weight]]&gt;0,DbLinkTable[[#This Row],[Price/lb]]*DbLinkTable[[#This Row],[Weight]],0)</f>
        <v>#VALUE!</v>
      </c>
      <c r="U685" s="79" t="e">
        <f>IF(DbLinkTable[[#This Row],[Price/lb]]*DbLinkTable[[#This Row],[Weight]]&lt;0,DbLinkTable[[#This Row],[Price/lb]]*DbLinkTable[[#This Row],[Weight]],0)</f>
        <v>#VALUE!</v>
      </c>
      <c r="V685" s="4" t="str">
        <f>IF(COUNTIF($W$2:W685,W685)=1,1,"")</f>
        <v/>
      </c>
      <c r="W685" s="4" t="e">
        <f>CONCATENATE(DbLinkTable[[#This Row],[Customer]],UPPER(DbLinkTable[[#This Row],[Trailer Number]]),DbLinkTable[[#This Row],[Day Received]])</f>
        <v>#VALUE!</v>
      </c>
      <c r="X685" s="4" t="e">
        <f>DATEVALUE(TEXT(DbLinkTable[[#This Row],[Date Received]],"MMMM YYYY"))</f>
        <v>#VALUE!</v>
      </c>
      <c r="Y685" s="4" t="e">
        <f>INT(DbLinkTable[[#This Row],[Date Received]])</f>
        <v>#VALUE!</v>
      </c>
    </row>
    <row r="686" spans="5:25">
      <c r="E686"/>
      <c r="G686"/>
      <c r="H686"/>
      <c r="I686"/>
      <c r="K686"/>
      <c r="O686"/>
      <c r="R686"/>
      <c r="S686" s="79" t="e">
        <f>DbLinkTable[[#This Row],[Credit]]+DbLinkTable[[#This Row],[Charge]]</f>
        <v>#VALUE!</v>
      </c>
      <c r="T686" s="79" t="e">
        <f>IF(DbLinkTable[[#This Row],[Price/lb]]*DbLinkTable[[#This Row],[Weight]]&gt;0,DbLinkTable[[#This Row],[Price/lb]]*DbLinkTable[[#This Row],[Weight]],0)</f>
        <v>#VALUE!</v>
      </c>
      <c r="U686" s="79" t="e">
        <f>IF(DbLinkTable[[#This Row],[Price/lb]]*DbLinkTable[[#This Row],[Weight]]&lt;0,DbLinkTable[[#This Row],[Price/lb]]*DbLinkTable[[#This Row],[Weight]],0)</f>
        <v>#VALUE!</v>
      </c>
      <c r="V686" s="4" t="str">
        <f>IF(COUNTIF($W$2:W686,W686)=1,1,"")</f>
        <v/>
      </c>
      <c r="W686" s="4" t="e">
        <f>CONCATENATE(DbLinkTable[[#This Row],[Customer]],UPPER(DbLinkTable[[#This Row],[Trailer Number]]),DbLinkTable[[#This Row],[Day Received]])</f>
        <v>#VALUE!</v>
      </c>
      <c r="X686" s="4" t="e">
        <f>DATEVALUE(TEXT(DbLinkTable[[#This Row],[Date Received]],"MMMM YYYY"))</f>
        <v>#VALUE!</v>
      </c>
      <c r="Y686" s="4" t="e">
        <f>INT(DbLinkTable[[#This Row],[Date Received]])</f>
        <v>#VALUE!</v>
      </c>
    </row>
    <row r="687" spans="5:25">
      <c r="E687"/>
      <c r="G687"/>
      <c r="H687"/>
      <c r="I687"/>
      <c r="K687"/>
      <c r="O687"/>
      <c r="R687"/>
      <c r="S687" s="79" t="e">
        <f>DbLinkTable[[#This Row],[Credit]]+DbLinkTable[[#This Row],[Charge]]</f>
        <v>#VALUE!</v>
      </c>
      <c r="T687" s="79" t="e">
        <f>IF(DbLinkTable[[#This Row],[Price/lb]]*DbLinkTable[[#This Row],[Weight]]&gt;0,DbLinkTable[[#This Row],[Price/lb]]*DbLinkTable[[#This Row],[Weight]],0)</f>
        <v>#VALUE!</v>
      </c>
      <c r="U687" s="79" t="e">
        <f>IF(DbLinkTable[[#This Row],[Price/lb]]*DbLinkTable[[#This Row],[Weight]]&lt;0,DbLinkTable[[#This Row],[Price/lb]]*DbLinkTable[[#This Row],[Weight]],0)</f>
        <v>#VALUE!</v>
      </c>
      <c r="V687" s="4" t="str">
        <f>IF(COUNTIF($W$2:W687,W687)=1,1,"")</f>
        <v/>
      </c>
      <c r="W687" s="4" t="e">
        <f>CONCATENATE(DbLinkTable[[#This Row],[Customer]],UPPER(DbLinkTable[[#This Row],[Trailer Number]]),DbLinkTable[[#This Row],[Day Received]])</f>
        <v>#VALUE!</v>
      </c>
      <c r="X687" s="4" t="e">
        <f>DATEVALUE(TEXT(DbLinkTable[[#This Row],[Date Received]],"MMMM YYYY"))</f>
        <v>#VALUE!</v>
      </c>
      <c r="Y687" s="4" t="e">
        <f>INT(DbLinkTable[[#This Row],[Date Received]])</f>
        <v>#VALUE!</v>
      </c>
    </row>
    <row r="688" spans="5:25">
      <c r="E688"/>
      <c r="G688"/>
      <c r="H688"/>
      <c r="I688"/>
      <c r="K688"/>
      <c r="O688"/>
      <c r="R688"/>
      <c r="S688" s="79" t="e">
        <f>DbLinkTable[[#This Row],[Credit]]+DbLinkTable[[#This Row],[Charge]]</f>
        <v>#VALUE!</v>
      </c>
      <c r="T688" s="79" t="e">
        <f>IF(DbLinkTable[[#This Row],[Price/lb]]*DbLinkTable[[#This Row],[Weight]]&gt;0,DbLinkTable[[#This Row],[Price/lb]]*DbLinkTable[[#This Row],[Weight]],0)</f>
        <v>#VALUE!</v>
      </c>
      <c r="U688" s="79" t="e">
        <f>IF(DbLinkTable[[#This Row],[Price/lb]]*DbLinkTable[[#This Row],[Weight]]&lt;0,DbLinkTable[[#This Row],[Price/lb]]*DbLinkTable[[#This Row],[Weight]],0)</f>
        <v>#VALUE!</v>
      </c>
      <c r="V688" s="4" t="str">
        <f>IF(COUNTIF($W$2:W688,W688)=1,1,"")</f>
        <v/>
      </c>
      <c r="W688" s="4" t="e">
        <f>CONCATENATE(DbLinkTable[[#This Row],[Customer]],UPPER(DbLinkTable[[#This Row],[Trailer Number]]),DbLinkTable[[#This Row],[Day Received]])</f>
        <v>#VALUE!</v>
      </c>
      <c r="X688" s="4" t="e">
        <f>DATEVALUE(TEXT(DbLinkTable[[#This Row],[Date Received]],"MMMM YYYY"))</f>
        <v>#VALUE!</v>
      </c>
      <c r="Y688" s="4" t="e">
        <f>INT(DbLinkTable[[#This Row],[Date Received]])</f>
        <v>#VALUE!</v>
      </c>
    </row>
    <row r="689" spans="5:25">
      <c r="E689"/>
      <c r="G689"/>
      <c r="H689"/>
      <c r="I689"/>
      <c r="K689"/>
      <c r="O689"/>
      <c r="R689"/>
      <c r="S689" s="79" t="e">
        <f>DbLinkTable[[#This Row],[Credit]]+DbLinkTable[[#This Row],[Charge]]</f>
        <v>#VALUE!</v>
      </c>
      <c r="T689" s="79" t="e">
        <f>IF(DbLinkTable[[#This Row],[Price/lb]]*DbLinkTable[[#This Row],[Weight]]&gt;0,DbLinkTable[[#This Row],[Price/lb]]*DbLinkTable[[#This Row],[Weight]],0)</f>
        <v>#VALUE!</v>
      </c>
      <c r="U689" s="79" t="e">
        <f>IF(DbLinkTable[[#This Row],[Price/lb]]*DbLinkTable[[#This Row],[Weight]]&lt;0,DbLinkTable[[#This Row],[Price/lb]]*DbLinkTable[[#This Row],[Weight]],0)</f>
        <v>#VALUE!</v>
      </c>
      <c r="V689" s="4" t="str">
        <f>IF(COUNTIF($W$2:W689,W689)=1,1,"")</f>
        <v/>
      </c>
      <c r="W689" s="4" t="e">
        <f>CONCATENATE(DbLinkTable[[#This Row],[Customer]],UPPER(DbLinkTable[[#This Row],[Trailer Number]]),DbLinkTable[[#This Row],[Day Received]])</f>
        <v>#VALUE!</v>
      </c>
      <c r="X689" s="4" t="e">
        <f>DATEVALUE(TEXT(DbLinkTable[[#This Row],[Date Received]],"MMMM YYYY"))</f>
        <v>#VALUE!</v>
      </c>
      <c r="Y689" s="4" t="e">
        <f>INT(DbLinkTable[[#This Row],[Date Received]])</f>
        <v>#VALUE!</v>
      </c>
    </row>
    <row r="690" spans="5:25">
      <c r="E690"/>
      <c r="G690"/>
      <c r="H690"/>
      <c r="I690"/>
      <c r="K690"/>
      <c r="O690"/>
      <c r="R690"/>
      <c r="S690" s="79" t="e">
        <f>DbLinkTable[[#This Row],[Credit]]+DbLinkTable[[#This Row],[Charge]]</f>
        <v>#VALUE!</v>
      </c>
      <c r="T690" s="79" t="e">
        <f>IF(DbLinkTable[[#This Row],[Price/lb]]*DbLinkTable[[#This Row],[Weight]]&gt;0,DbLinkTable[[#This Row],[Price/lb]]*DbLinkTable[[#This Row],[Weight]],0)</f>
        <v>#VALUE!</v>
      </c>
      <c r="U690" s="79" t="e">
        <f>IF(DbLinkTable[[#This Row],[Price/lb]]*DbLinkTable[[#This Row],[Weight]]&lt;0,DbLinkTable[[#This Row],[Price/lb]]*DbLinkTable[[#This Row],[Weight]],0)</f>
        <v>#VALUE!</v>
      </c>
      <c r="V690" s="4" t="str">
        <f>IF(COUNTIF($W$2:W690,W690)=1,1,"")</f>
        <v/>
      </c>
      <c r="W690" s="4" t="e">
        <f>CONCATENATE(DbLinkTable[[#This Row],[Customer]],UPPER(DbLinkTable[[#This Row],[Trailer Number]]),DbLinkTable[[#This Row],[Day Received]])</f>
        <v>#VALUE!</v>
      </c>
      <c r="X690" s="4" t="e">
        <f>DATEVALUE(TEXT(DbLinkTable[[#This Row],[Date Received]],"MMMM YYYY"))</f>
        <v>#VALUE!</v>
      </c>
      <c r="Y690" s="4" t="e">
        <f>INT(DbLinkTable[[#This Row],[Date Received]])</f>
        <v>#VALUE!</v>
      </c>
    </row>
    <row r="691" spans="5:25">
      <c r="E691"/>
      <c r="G691"/>
      <c r="H691"/>
      <c r="I691"/>
      <c r="K691"/>
      <c r="O691"/>
      <c r="R691"/>
      <c r="S691" s="79" t="e">
        <f>DbLinkTable[[#This Row],[Credit]]+DbLinkTable[[#This Row],[Charge]]</f>
        <v>#VALUE!</v>
      </c>
      <c r="T691" s="79" t="e">
        <f>IF(DbLinkTable[[#This Row],[Price/lb]]*DbLinkTable[[#This Row],[Weight]]&gt;0,DbLinkTable[[#This Row],[Price/lb]]*DbLinkTable[[#This Row],[Weight]],0)</f>
        <v>#VALUE!</v>
      </c>
      <c r="U691" s="79" t="e">
        <f>IF(DbLinkTable[[#This Row],[Price/lb]]*DbLinkTable[[#This Row],[Weight]]&lt;0,DbLinkTable[[#This Row],[Price/lb]]*DbLinkTable[[#This Row],[Weight]],0)</f>
        <v>#VALUE!</v>
      </c>
      <c r="V691" s="4" t="str">
        <f>IF(COUNTIF($W$2:W691,W691)=1,1,"")</f>
        <v/>
      </c>
      <c r="W691" s="4" t="e">
        <f>CONCATENATE(DbLinkTable[[#This Row],[Customer]],UPPER(DbLinkTable[[#This Row],[Trailer Number]]),DbLinkTable[[#This Row],[Day Received]])</f>
        <v>#VALUE!</v>
      </c>
      <c r="X691" s="4" t="e">
        <f>DATEVALUE(TEXT(DbLinkTable[[#This Row],[Date Received]],"MMMM YYYY"))</f>
        <v>#VALUE!</v>
      </c>
      <c r="Y691" s="4" t="e">
        <f>INT(DbLinkTable[[#This Row],[Date Received]])</f>
        <v>#VALUE!</v>
      </c>
    </row>
    <row r="692" spans="5:25">
      <c r="E692"/>
      <c r="G692"/>
      <c r="H692"/>
      <c r="I692"/>
      <c r="K692"/>
      <c r="O692"/>
      <c r="R692"/>
      <c r="S692" s="79" t="e">
        <f>DbLinkTable[[#This Row],[Credit]]+DbLinkTable[[#This Row],[Charge]]</f>
        <v>#VALUE!</v>
      </c>
      <c r="T692" s="79" t="e">
        <f>IF(DbLinkTable[[#This Row],[Price/lb]]*DbLinkTable[[#This Row],[Weight]]&gt;0,DbLinkTable[[#This Row],[Price/lb]]*DbLinkTable[[#This Row],[Weight]],0)</f>
        <v>#VALUE!</v>
      </c>
      <c r="U692" s="79" t="e">
        <f>IF(DbLinkTable[[#This Row],[Price/lb]]*DbLinkTable[[#This Row],[Weight]]&lt;0,DbLinkTable[[#This Row],[Price/lb]]*DbLinkTable[[#This Row],[Weight]],0)</f>
        <v>#VALUE!</v>
      </c>
      <c r="V692" s="4" t="str">
        <f>IF(COUNTIF($W$2:W692,W692)=1,1,"")</f>
        <v/>
      </c>
      <c r="W692" s="4" t="e">
        <f>CONCATENATE(DbLinkTable[[#This Row],[Customer]],UPPER(DbLinkTable[[#This Row],[Trailer Number]]),DbLinkTable[[#This Row],[Day Received]])</f>
        <v>#VALUE!</v>
      </c>
      <c r="X692" s="4" t="e">
        <f>DATEVALUE(TEXT(DbLinkTable[[#This Row],[Date Received]],"MMMM YYYY"))</f>
        <v>#VALUE!</v>
      </c>
      <c r="Y692" s="4" t="e">
        <f>INT(DbLinkTable[[#This Row],[Date Received]])</f>
        <v>#VALUE!</v>
      </c>
    </row>
    <row r="693" spans="5:25">
      <c r="E693"/>
      <c r="G693"/>
      <c r="H693"/>
      <c r="I693"/>
      <c r="K693"/>
      <c r="O693"/>
      <c r="R693"/>
      <c r="S693" s="79" t="e">
        <f>DbLinkTable[[#This Row],[Credit]]+DbLinkTable[[#This Row],[Charge]]</f>
        <v>#VALUE!</v>
      </c>
      <c r="T693" s="79" t="e">
        <f>IF(DbLinkTable[[#This Row],[Price/lb]]*DbLinkTable[[#This Row],[Weight]]&gt;0,DbLinkTable[[#This Row],[Price/lb]]*DbLinkTable[[#This Row],[Weight]],0)</f>
        <v>#VALUE!</v>
      </c>
      <c r="U693" s="79" t="e">
        <f>IF(DbLinkTable[[#This Row],[Price/lb]]*DbLinkTable[[#This Row],[Weight]]&lt;0,DbLinkTable[[#This Row],[Price/lb]]*DbLinkTable[[#This Row],[Weight]],0)</f>
        <v>#VALUE!</v>
      </c>
      <c r="V693" s="4" t="str">
        <f>IF(COUNTIF($W$2:W693,W693)=1,1,"")</f>
        <v/>
      </c>
      <c r="W693" s="4" t="e">
        <f>CONCATENATE(DbLinkTable[[#This Row],[Customer]],UPPER(DbLinkTable[[#This Row],[Trailer Number]]),DbLinkTable[[#This Row],[Day Received]])</f>
        <v>#VALUE!</v>
      </c>
      <c r="X693" s="4" t="e">
        <f>DATEVALUE(TEXT(DbLinkTable[[#This Row],[Date Received]],"MMMM YYYY"))</f>
        <v>#VALUE!</v>
      </c>
      <c r="Y693" s="4" t="e">
        <f>INT(DbLinkTable[[#This Row],[Date Received]])</f>
        <v>#VALUE!</v>
      </c>
    </row>
    <row r="694" spans="5:25">
      <c r="E694"/>
      <c r="G694"/>
      <c r="H694"/>
      <c r="I694"/>
      <c r="K694"/>
      <c r="O694"/>
      <c r="R694"/>
      <c r="S694" s="79" t="e">
        <f>DbLinkTable[[#This Row],[Credit]]+DbLinkTable[[#This Row],[Charge]]</f>
        <v>#VALUE!</v>
      </c>
      <c r="T694" s="79" t="e">
        <f>IF(DbLinkTable[[#This Row],[Price/lb]]*DbLinkTable[[#This Row],[Weight]]&gt;0,DbLinkTable[[#This Row],[Price/lb]]*DbLinkTable[[#This Row],[Weight]],0)</f>
        <v>#VALUE!</v>
      </c>
      <c r="U694" s="79" t="e">
        <f>IF(DbLinkTable[[#This Row],[Price/lb]]*DbLinkTable[[#This Row],[Weight]]&lt;0,DbLinkTable[[#This Row],[Price/lb]]*DbLinkTable[[#This Row],[Weight]],0)</f>
        <v>#VALUE!</v>
      </c>
      <c r="V694" s="4" t="str">
        <f>IF(COUNTIF($W$2:W694,W694)=1,1,"")</f>
        <v/>
      </c>
      <c r="W694" s="4" t="e">
        <f>CONCATENATE(DbLinkTable[[#This Row],[Customer]],UPPER(DbLinkTable[[#This Row],[Trailer Number]]),DbLinkTable[[#This Row],[Day Received]])</f>
        <v>#VALUE!</v>
      </c>
      <c r="X694" s="4" t="e">
        <f>DATEVALUE(TEXT(DbLinkTable[[#This Row],[Date Received]],"MMMM YYYY"))</f>
        <v>#VALUE!</v>
      </c>
      <c r="Y694" s="4" t="e">
        <f>INT(DbLinkTable[[#This Row],[Date Received]])</f>
        <v>#VALUE!</v>
      </c>
    </row>
    <row r="695" spans="5:25">
      <c r="E695"/>
      <c r="G695"/>
      <c r="H695"/>
      <c r="I695"/>
      <c r="K695"/>
      <c r="O695"/>
      <c r="R695"/>
      <c r="S695" s="79" t="e">
        <f>DbLinkTable[[#This Row],[Credit]]+DbLinkTable[[#This Row],[Charge]]</f>
        <v>#VALUE!</v>
      </c>
      <c r="T695" s="79" t="e">
        <f>IF(DbLinkTable[[#This Row],[Price/lb]]*DbLinkTable[[#This Row],[Weight]]&gt;0,DbLinkTable[[#This Row],[Price/lb]]*DbLinkTable[[#This Row],[Weight]],0)</f>
        <v>#VALUE!</v>
      </c>
      <c r="U695" s="79" t="e">
        <f>IF(DbLinkTable[[#This Row],[Price/lb]]*DbLinkTable[[#This Row],[Weight]]&lt;0,DbLinkTable[[#This Row],[Price/lb]]*DbLinkTable[[#This Row],[Weight]],0)</f>
        <v>#VALUE!</v>
      </c>
      <c r="V695" s="4" t="str">
        <f>IF(COUNTIF($W$2:W695,W695)=1,1,"")</f>
        <v/>
      </c>
      <c r="W695" s="4" t="e">
        <f>CONCATENATE(DbLinkTable[[#This Row],[Customer]],UPPER(DbLinkTable[[#This Row],[Trailer Number]]),DbLinkTable[[#This Row],[Day Received]])</f>
        <v>#VALUE!</v>
      </c>
      <c r="X695" s="4" t="e">
        <f>DATEVALUE(TEXT(DbLinkTable[[#This Row],[Date Received]],"MMMM YYYY"))</f>
        <v>#VALUE!</v>
      </c>
      <c r="Y695" s="4" t="e">
        <f>INT(DbLinkTable[[#This Row],[Date Received]])</f>
        <v>#VALUE!</v>
      </c>
    </row>
    <row r="696" spans="5:25">
      <c r="E696"/>
      <c r="G696"/>
      <c r="H696"/>
      <c r="I696"/>
      <c r="K696"/>
      <c r="O696"/>
      <c r="R696"/>
      <c r="S696" s="79" t="e">
        <f>DbLinkTable[[#This Row],[Credit]]+DbLinkTable[[#This Row],[Charge]]</f>
        <v>#VALUE!</v>
      </c>
      <c r="T696" s="79" t="e">
        <f>IF(DbLinkTable[[#This Row],[Price/lb]]*DbLinkTable[[#This Row],[Weight]]&gt;0,DbLinkTable[[#This Row],[Price/lb]]*DbLinkTable[[#This Row],[Weight]],0)</f>
        <v>#VALUE!</v>
      </c>
      <c r="U696" s="79" t="e">
        <f>IF(DbLinkTable[[#This Row],[Price/lb]]*DbLinkTable[[#This Row],[Weight]]&lt;0,DbLinkTable[[#This Row],[Price/lb]]*DbLinkTable[[#This Row],[Weight]],0)</f>
        <v>#VALUE!</v>
      </c>
      <c r="V696" s="4" t="str">
        <f>IF(COUNTIF($W$2:W696,W696)=1,1,"")</f>
        <v/>
      </c>
      <c r="W696" s="4" t="e">
        <f>CONCATENATE(DbLinkTable[[#This Row],[Customer]],UPPER(DbLinkTable[[#This Row],[Trailer Number]]),DbLinkTable[[#This Row],[Day Received]])</f>
        <v>#VALUE!</v>
      </c>
      <c r="X696" s="4" t="e">
        <f>DATEVALUE(TEXT(DbLinkTable[[#This Row],[Date Received]],"MMMM YYYY"))</f>
        <v>#VALUE!</v>
      </c>
      <c r="Y696" s="4" t="e">
        <f>INT(DbLinkTable[[#This Row],[Date Received]])</f>
        <v>#VALUE!</v>
      </c>
    </row>
    <row r="697" spans="5:25">
      <c r="E697"/>
      <c r="G697"/>
      <c r="H697"/>
      <c r="I697"/>
      <c r="K697"/>
      <c r="O697"/>
      <c r="R697"/>
      <c r="S697" s="79" t="e">
        <f>DbLinkTable[[#This Row],[Credit]]+DbLinkTable[[#This Row],[Charge]]</f>
        <v>#VALUE!</v>
      </c>
      <c r="T697" s="79" t="e">
        <f>IF(DbLinkTable[[#This Row],[Price/lb]]*DbLinkTable[[#This Row],[Weight]]&gt;0,DbLinkTable[[#This Row],[Price/lb]]*DbLinkTable[[#This Row],[Weight]],0)</f>
        <v>#VALUE!</v>
      </c>
      <c r="U697" s="79" t="e">
        <f>IF(DbLinkTable[[#This Row],[Price/lb]]*DbLinkTable[[#This Row],[Weight]]&lt;0,DbLinkTable[[#This Row],[Price/lb]]*DbLinkTable[[#This Row],[Weight]],0)</f>
        <v>#VALUE!</v>
      </c>
      <c r="V697" s="4" t="str">
        <f>IF(COUNTIF($W$2:W697,W697)=1,1,"")</f>
        <v/>
      </c>
      <c r="W697" s="4" t="e">
        <f>CONCATENATE(DbLinkTable[[#This Row],[Customer]],UPPER(DbLinkTable[[#This Row],[Trailer Number]]),DbLinkTable[[#This Row],[Day Received]])</f>
        <v>#VALUE!</v>
      </c>
      <c r="X697" s="4" t="e">
        <f>DATEVALUE(TEXT(DbLinkTable[[#This Row],[Date Received]],"MMMM YYYY"))</f>
        <v>#VALUE!</v>
      </c>
      <c r="Y697" s="4" t="e">
        <f>INT(DbLinkTable[[#This Row],[Date Received]])</f>
        <v>#VALUE!</v>
      </c>
    </row>
    <row r="698" spans="5:25">
      <c r="E698"/>
      <c r="G698"/>
      <c r="H698"/>
      <c r="I698"/>
      <c r="K698"/>
      <c r="O698"/>
      <c r="R698"/>
      <c r="S698" s="79" t="e">
        <f>DbLinkTable[[#This Row],[Credit]]+DbLinkTable[[#This Row],[Charge]]</f>
        <v>#VALUE!</v>
      </c>
      <c r="T698" s="79" t="e">
        <f>IF(DbLinkTable[[#This Row],[Price/lb]]*DbLinkTable[[#This Row],[Weight]]&gt;0,DbLinkTable[[#This Row],[Price/lb]]*DbLinkTable[[#This Row],[Weight]],0)</f>
        <v>#VALUE!</v>
      </c>
      <c r="U698" s="79" t="e">
        <f>IF(DbLinkTable[[#This Row],[Price/lb]]*DbLinkTable[[#This Row],[Weight]]&lt;0,DbLinkTable[[#This Row],[Price/lb]]*DbLinkTable[[#This Row],[Weight]],0)</f>
        <v>#VALUE!</v>
      </c>
      <c r="V698" s="4" t="str">
        <f>IF(COUNTIF($W$2:W698,W698)=1,1,"")</f>
        <v/>
      </c>
      <c r="W698" s="4" t="e">
        <f>CONCATENATE(DbLinkTable[[#This Row],[Customer]],UPPER(DbLinkTable[[#This Row],[Trailer Number]]),DbLinkTable[[#This Row],[Day Received]])</f>
        <v>#VALUE!</v>
      </c>
      <c r="X698" s="4" t="e">
        <f>DATEVALUE(TEXT(DbLinkTable[[#This Row],[Date Received]],"MMMM YYYY"))</f>
        <v>#VALUE!</v>
      </c>
      <c r="Y698" s="4" t="e">
        <f>INT(DbLinkTable[[#This Row],[Date Received]])</f>
        <v>#VALUE!</v>
      </c>
    </row>
    <row r="699" spans="5:25">
      <c r="E699"/>
      <c r="G699"/>
      <c r="H699"/>
      <c r="I699"/>
      <c r="K699"/>
      <c r="O699"/>
      <c r="R699"/>
      <c r="S699" s="79" t="e">
        <f>DbLinkTable[[#This Row],[Credit]]+DbLinkTable[[#This Row],[Charge]]</f>
        <v>#VALUE!</v>
      </c>
      <c r="T699" s="79" t="e">
        <f>IF(DbLinkTable[[#This Row],[Price/lb]]*DbLinkTable[[#This Row],[Weight]]&gt;0,DbLinkTable[[#This Row],[Price/lb]]*DbLinkTable[[#This Row],[Weight]],0)</f>
        <v>#VALUE!</v>
      </c>
      <c r="U699" s="79" t="e">
        <f>IF(DbLinkTable[[#This Row],[Price/lb]]*DbLinkTable[[#This Row],[Weight]]&lt;0,DbLinkTable[[#This Row],[Price/lb]]*DbLinkTable[[#This Row],[Weight]],0)</f>
        <v>#VALUE!</v>
      </c>
      <c r="V699" s="4" t="str">
        <f>IF(COUNTIF($W$2:W699,W699)=1,1,"")</f>
        <v/>
      </c>
      <c r="W699" s="4" t="e">
        <f>CONCATENATE(DbLinkTable[[#This Row],[Customer]],UPPER(DbLinkTable[[#This Row],[Trailer Number]]),DbLinkTable[[#This Row],[Day Received]])</f>
        <v>#VALUE!</v>
      </c>
      <c r="X699" s="4" t="e">
        <f>DATEVALUE(TEXT(DbLinkTable[[#This Row],[Date Received]],"MMMM YYYY"))</f>
        <v>#VALUE!</v>
      </c>
      <c r="Y699" s="4" t="e">
        <f>INT(DbLinkTable[[#This Row],[Date Received]])</f>
        <v>#VALUE!</v>
      </c>
    </row>
    <row r="700" spans="5:25">
      <c r="E700"/>
      <c r="G700"/>
      <c r="H700"/>
      <c r="I700"/>
      <c r="K700"/>
      <c r="O700"/>
      <c r="R700"/>
      <c r="S700" s="79" t="e">
        <f>DbLinkTable[[#This Row],[Credit]]+DbLinkTable[[#This Row],[Charge]]</f>
        <v>#VALUE!</v>
      </c>
      <c r="T700" s="79" t="e">
        <f>IF(DbLinkTable[[#This Row],[Price/lb]]*DbLinkTable[[#This Row],[Weight]]&gt;0,DbLinkTable[[#This Row],[Price/lb]]*DbLinkTable[[#This Row],[Weight]],0)</f>
        <v>#VALUE!</v>
      </c>
      <c r="U700" s="79" t="e">
        <f>IF(DbLinkTable[[#This Row],[Price/lb]]*DbLinkTable[[#This Row],[Weight]]&lt;0,DbLinkTable[[#This Row],[Price/lb]]*DbLinkTable[[#This Row],[Weight]],0)</f>
        <v>#VALUE!</v>
      </c>
      <c r="V700" s="4" t="str">
        <f>IF(COUNTIF($W$2:W700,W700)=1,1,"")</f>
        <v/>
      </c>
      <c r="W700" s="4" t="e">
        <f>CONCATENATE(DbLinkTable[[#This Row],[Customer]],UPPER(DbLinkTable[[#This Row],[Trailer Number]]),DbLinkTable[[#This Row],[Day Received]])</f>
        <v>#VALUE!</v>
      </c>
      <c r="X700" s="4" t="e">
        <f>DATEVALUE(TEXT(DbLinkTable[[#This Row],[Date Received]],"MMMM YYYY"))</f>
        <v>#VALUE!</v>
      </c>
      <c r="Y700" s="4" t="e">
        <f>INT(DbLinkTable[[#This Row],[Date Received]])</f>
        <v>#VALUE!</v>
      </c>
    </row>
    <row r="701" spans="5:25">
      <c r="E701"/>
      <c r="G701"/>
      <c r="H701"/>
      <c r="I701"/>
      <c r="K701"/>
      <c r="O701"/>
      <c r="R701"/>
      <c r="S701" s="79" t="e">
        <f>DbLinkTable[[#This Row],[Credit]]+DbLinkTable[[#This Row],[Charge]]</f>
        <v>#VALUE!</v>
      </c>
      <c r="T701" s="79" t="e">
        <f>IF(DbLinkTable[[#This Row],[Price/lb]]*DbLinkTable[[#This Row],[Weight]]&gt;0,DbLinkTable[[#This Row],[Price/lb]]*DbLinkTable[[#This Row],[Weight]],0)</f>
        <v>#VALUE!</v>
      </c>
      <c r="U701" s="79" t="e">
        <f>IF(DbLinkTable[[#This Row],[Price/lb]]*DbLinkTable[[#This Row],[Weight]]&lt;0,DbLinkTable[[#This Row],[Price/lb]]*DbLinkTable[[#This Row],[Weight]],0)</f>
        <v>#VALUE!</v>
      </c>
      <c r="V701" s="4" t="str">
        <f>IF(COUNTIF($W$2:W701,W701)=1,1,"")</f>
        <v/>
      </c>
      <c r="W701" s="4" t="e">
        <f>CONCATENATE(DbLinkTable[[#This Row],[Customer]],UPPER(DbLinkTable[[#This Row],[Trailer Number]]),DbLinkTable[[#This Row],[Day Received]])</f>
        <v>#VALUE!</v>
      </c>
      <c r="X701" s="4" t="e">
        <f>DATEVALUE(TEXT(DbLinkTable[[#This Row],[Date Received]],"MMMM YYYY"))</f>
        <v>#VALUE!</v>
      </c>
      <c r="Y701" s="4" t="e">
        <f>INT(DbLinkTable[[#This Row],[Date Received]])</f>
        <v>#VALUE!</v>
      </c>
    </row>
    <row r="702" spans="5:25">
      <c r="E702"/>
      <c r="G702"/>
      <c r="H702"/>
      <c r="I702"/>
      <c r="K702"/>
      <c r="O702"/>
      <c r="R702"/>
      <c r="S702" s="79" t="e">
        <f>DbLinkTable[[#This Row],[Credit]]+DbLinkTable[[#This Row],[Charge]]</f>
        <v>#VALUE!</v>
      </c>
      <c r="T702" s="79" t="e">
        <f>IF(DbLinkTable[[#This Row],[Price/lb]]*DbLinkTable[[#This Row],[Weight]]&gt;0,DbLinkTable[[#This Row],[Price/lb]]*DbLinkTable[[#This Row],[Weight]],0)</f>
        <v>#VALUE!</v>
      </c>
      <c r="U702" s="79" t="e">
        <f>IF(DbLinkTable[[#This Row],[Price/lb]]*DbLinkTable[[#This Row],[Weight]]&lt;0,DbLinkTable[[#This Row],[Price/lb]]*DbLinkTable[[#This Row],[Weight]],0)</f>
        <v>#VALUE!</v>
      </c>
      <c r="V702" s="4" t="str">
        <f>IF(COUNTIF($W$2:W702,W702)=1,1,"")</f>
        <v/>
      </c>
      <c r="W702" s="4" t="e">
        <f>CONCATENATE(DbLinkTable[[#This Row],[Customer]],UPPER(DbLinkTable[[#This Row],[Trailer Number]]),DbLinkTable[[#This Row],[Day Received]])</f>
        <v>#VALUE!</v>
      </c>
      <c r="X702" s="4" t="e">
        <f>DATEVALUE(TEXT(DbLinkTable[[#This Row],[Date Received]],"MMMM YYYY"))</f>
        <v>#VALUE!</v>
      </c>
      <c r="Y702" s="4" t="e">
        <f>INT(DbLinkTable[[#This Row],[Date Received]])</f>
        <v>#VALUE!</v>
      </c>
    </row>
    <row r="703" spans="5:25">
      <c r="E703"/>
      <c r="G703"/>
      <c r="H703"/>
      <c r="I703"/>
      <c r="K703"/>
      <c r="O703"/>
      <c r="R703"/>
      <c r="S703" s="79" t="e">
        <f>DbLinkTable[[#This Row],[Credit]]+DbLinkTable[[#This Row],[Charge]]</f>
        <v>#VALUE!</v>
      </c>
      <c r="T703" s="79" t="e">
        <f>IF(DbLinkTable[[#This Row],[Price/lb]]*DbLinkTable[[#This Row],[Weight]]&gt;0,DbLinkTable[[#This Row],[Price/lb]]*DbLinkTable[[#This Row],[Weight]],0)</f>
        <v>#VALUE!</v>
      </c>
      <c r="U703" s="79" t="e">
        <f>IF(DbLinkTable[[#This Row],[Price/lb]]*DbLinkTable[[#This Row],[Weight]]&lt;0,DbLinkTable[[#This Row],[Price/lb]]*DbLinkTable[[#This Row],[Weight]],0)</f>
        <v>#VALUE!</v>
      </c>
      <c r="V703" s="4" t="str">
        <f>IF(COUNTIF($W$2:W703,W703)=1,1,"")</f>
        <v/>
      </c>
      <c r="W703" s="4" t="e">
        <f>CONCATENATE(DbLinkTable[[#This Row],[Customer]],UPPER(DbLinkTable[[#This Row],[Trailer Number]]),DbLinkTable[[#This Row],[Day Received]])</f>
        <v>#VALUE!</v>
      </c>
      <c r="X703" s="4" t="e">
        <f>DATEVALUE(TEXT(DbLinkTable[[#This Row],[Date Received]],"MMMM YYYY"))</f>
        <v>#VALUE!</v>
      </c>
      <c r="Y703" s="4" t="e">
        <f>INT(DbLinkTable[[#This Row],[Date Received]])</f>
        <v>#VALUE!</v>
      </c>
    </row>
    <row r="704" spans="5:25">
      <c r="E704"/>
      <c r="G704"/>
      <c r="H704"/>
      <c r="I704"/>
      <c r="K704"/>
      <c r="O704"/>
      <c r="R704"/>
      <c r="S704" s="79" t="e">
        <f>DbLinkTable[[#This Row],[Credit]]+DbLinkTable[[#This Row],[Charge]]</f>
        <v>#VALUE!</v>
      </c>
      <c r="T704" s="79" t="e">
        <f>IF(DbLinkTable[[#This Row],[Price/lb]]*DbLinkTable[[#This Row],[Weight]]&gt;0,DbLinkTable[[#This Row],[Price/lb]]*DbLinkTable[[#This Row],[Weight]],0)</f>
        <v>#VALUE!</v>
      </c>
      <c r="U704" s="79" t="e">
        <f>IF(DbLinkTable[[#This Row],[Price/lb]]*DbLinkTable[[#This Row],[Weight]]&lt;0,DbLinkTable[[#This Row],[Price/lb]]*DbLinkTable[[#This Row],[Weight]],0)</f>
        <v>#VALUE!</v>
      </c>
      <c r="V704" s="4" t="str">
        <f>IF(COUNTIF($W$2:W704,W704)=1,1,"")</f>
        <v/>
      </c>
      <c r="W704" s="4" t="e">
        <f>CONCATENATE(DbLinkTable[[#This Row],[Customer]],UPPER(DbLinkTable[[#This Row],[Trailer Number]]),DbLinkTable[[#This Row],[Day Received]])</f>
        <v>#VALUE!</v>
      </c>
      <c r="X704" s="4" t="e">
        <f>DATEVALUE(TEXT(DbLinkTable[[#This Row],[Date Received]],"MMMM YYYY"))</f>
        <v>#VALUE!</v>
      </c>
      <c r="Y704" s="4" t="e">
        <f>INT(DbLinkTable[[#This Row],[Date Received]])</f>
        <v>#VALUE!</v>
      </c>
    </row>
    <row r="705" spans="5:25">
      <c r="E705"/>
      <c r="G705"/>
      <c r="H705"/>
      <c r="I705"/>
      <c r="K705"/>
      <c r="O705"/>
      <c r="R705"/>
      <c r="S705" s="79" t="e">
        <f>DbLinkTable[[#This Row],[Credit]]+DbLinkTable[[#This Row],[Charge]]</f>
        <v>#VALUE!</v>
      </c>
      <c r="T705" s="79" t="e">
        <f>IF(DbLinkTable[[#This Row],[Price/lb]]*DbLinkTable[[#This Row],[Weight]]&gt;0,DbLinkTable[[#This Row],[Price/lb]]*DbLinkTable[[#This Row],[Weight]],0)</f>
        <v>#VALUE!</v>
      </c>
      <c r="U705" s="79" t="e">
        <f>IF(DbLinkTable[[#This Row],[Price/lb]]*DbLinkTable[[#This Row],[Weight]]&lt;0,DbLinkTable[[#This Row],[Price/lb]]*DbLinkTable[[#This Row],[Weight]],0)</f>
        <v>#VALUE!</v>
      </c>
      <c r="V705" s="4" t="str">
        <f>IF(COUNTIF($W$2:W705,W705)=1,1,"")</f>
        <v/>
      </c>
      <c r="W705" s="4" t="e">
        <f>CONCATENATE(DbLinkTable[[#This Row],[Customer]],UPPER(DbLinkTable[[#This Row],[Trailer Number]]),DbLinkTable[[#This Row],[Day Received]])</f>
        <v>#VALUE!</v>
      </c>
      <c r="X705" s="4" t="e">
        <f>DATEVALUE(TEXT(DbLinkTable[[#This Row],[Date Received]],"MMMM YYYY"))</f>
        <v>#VALUE!</v>
      </c>
      <c r="Y705" s="4" t="e">
        <f>INT(DbLinkTable[[#This Row],[Date Received]])</f>
        <v>#VALUE!</v>
      </c>
    </row>
    <row r="706" spans="5:25">
      <c r="E706"/>
      <c r="G706"/>
      <c r="H706"/>
      <c r="I706"/>
      <c r="K706"/>
      <c r="O706"/>
      <c r="R706"/>
      <c r="S706" s="79" t="e">
        <f>DbLinkTable[[#This Row],[Credit]]+DbLinkTable[[#This Row],[Charge]]</f>
        <v>#VALUE!</v>
      </c>
      <c r="T706" s="79" t="e">
        <f>IF(DbLinkTable[[#This Row],[Price/lb]]*DbLinkTable[[#This Row],[Weight]]&gt;0,DbLinkTable[[#This Row],[Price/lb]]*DbLinkTable[[#This Row],[Weight]],0)</f>
        <v>#VALUE!</v>
      </c>
      <c r="U706" s="79" t="e">
        <f>IF(DbLinkTable[[#This Row],[Price/lb]]*DbLinkTable[[#This Row],[Weight]]&lt;0,DbLinkTable[[#This Row],[Price/lb]]*DbLinkTable[[#This Row],[Weight]],0)</f>
        <v>#VALUE!</v>
      </c>
      <c r="V706" s="4" t="str">
        <f>IF(COUNTIF($W$2:W706,W706)=1,1,"")</f>
        <v/>
      </c>
      <c r="W706" s="4" t="e">
        <f>CONCATENATE(DbLinkTable[[#This Row],[Customer]],UPPER(DbLinkTable[[#This Row],[Trailer Number]]),DbLinkTable[[#This Row],[Day Received]])</f>
        <v>#VALUE!</v>
      </c>
      <c r="X706" s="4" t="e">
        <f>DATEVALUE(TEXT(DbLinkTable[[#This Row],[Date Received]],"MMMM YYYY"))</f>
        <v>#VALUE!</v>
      </c>
      <c r="Y706" s="4" t="e">
        <f>INT(DbLinkTable[[#This Row],[Date Received]])</f>
        <v>#VALUE!</v>
      </c>
    </row>
    <row r="707" spans="5:25">
      <c r="E707"/>
      <c r="G707"/>
      <c r="H707"/>
      <c r="I707"/>
      <c r="K707"/>
      <c r="O707"/>
      <c r="R707"/>
      <c r="S707" s="79" t="e">
        <f>DbLinkTable[[#This Row],[Credit]]+DbLinkTable[[#This Row],[Charge]]</f>
        <v>#VALUE!</v>
      </c>
      <c r="T707" s="79" t="e">
        <f>IF(DbLinkTable[[#This Row],[Price/lb]]*DbLinkTable[[#This Row],[Weight]]&gt;0,DbLinkTable[[#This Row],[Price/lb]]*DbLinkTable[[#This Row],[Weight]],0)</f>
        <v>#VALUE!</v>
      </c>
      <c r="U707" s="79" t="e">
        <f>IF(DbLinkTable[[#This Row],[Price/lb]]*DbLinkTable[[#This Row],[Weight]]&lt;0,DbLinkTable[[#This Row],[Price/lb]]*DbLinkTable[[#This Row],[Weight]],0)</f>
        <v>#VALUE!</v>
      </c>
      <c r="V707" s="4" t="str">
        <f>IF(COUNTIF($W$2:W707,W707)=1,1,"")</f>
        <v/>
      </c>
      <c r="W707" s="4" t="e">
        <f>CONCATENATE(DbLinkTable[[#This Row],[Customer]],UPPER(DbLinkTable[[#This Row],[Trailer Number]]),DbLinkTable[[#This Row],[Day Received]])</f>
        <v>#VALUE!</v>
      </c>
      <c r="X707" s="4" t="e">
        <f>DATEVALUE(TEXT(DbLinkTable[[#This Row],[Date Received]],"MMMM YYYY"))</f>
        <v>#VALUE!</v>
      </c>
      <c r="Y707" s="4" t="e">
        <f>INT(DbLinkTable[[#This Row],[Date Received]])</f>
        <v>#VALUE!</v>
      </c>
    </row>
    <row r="708" spans="5:25">
      <c r="E708"/>
      <c r="G708"/>
      <c r="H708"/>
      <c r="I708"/>
      <c r="K708"/>
      <c r="O708"/>
      <c r="R708"/>
      <c r="S708" s="79" t="e">
        <f>DbLinkTable[[#This Row],[Credit]]+DbLinkTable[[#This Row],[Charge]]</f>
        <v>#VALUE!</v>
      </c>
      <c r="T708" s="79" t="e">
        <f>IF(DbLinkTable[[#This Row],[Price/lb]]*DbLinkTable[[#This Row],[Weight]]&gt;0,DbLinkTable[[#This Row],[Price/lb]]*DbLinkTable[[#This Row],[Weight]],0)</f>
        <v>#VALUE!</v>
      </c>
      <c r="U708" s="79" t="e">
        <f>IF(DbLinkTable[[#This Row],[Price/lb]]*DbLinkTable[[#This Row],[Weight]]&lt;0,DbLinkTable[[#This Row],[Price/lb]]*DbLinkTable[[#This Row],[Weight]],0)</f>
        <v>#VALUE!</v>
      </c>
      <c r="V708" s="4" t="str">
        <f>IF(COUNTIF($W$2:W708,W708)=1,1,"")</f>
        <v/>
      </c>
      <c r="W708" s="4" t="e">
        <f>CONCATENATE(DbLinkTable[[#This Row],[Customer]],UPPER(DbLinkTable[[#This Row],[Trailer Number]]),DbLinkTable[[#This Row],[Day Received]])</f>
        <v>#VALUE!</v>
      </c>
      <c r="X708" s="4" t="e">
        <f>DATEVALUE(TEXT(DbLinkTable[[#This Row],[Date Received]],"MMMM YYYY"))</f>
        <v>#VALUE!</v>
      </c>
      <c r="Y708" s="4" t="e">
        <f>INT(DbLinkTable[[#This Row],[Date Received]])</f>
        <v>#VALUE!</v>
      </c>
    </row>
    <row r="709" spans="5:25">
      <c r="E709"/>
      <c r="G709"/>
      <c r="H709"/>
      <c r="I709"/>
      <c r="K709"/>
      <c r="O709"/>
      <c r="R709"/>
      <c r="S709" s="79" t="e">
        <f>DbLinkTable[[#This Row],[Credit]]+DbLinkTable[[#This Row],[Charge]]</f>
        <v>#VALUE!</v>
      </c>
      <c r="T709" s="79" t="e">
        <f>IF(DbLinkTable[[#This Row],[Price/lb]]*DbLinkTable[[#This Row],[Weight]]&gt;0,DbLinkTable[[#This Row],[Price/lb]]*DbLinkTable[[#This Row],[Weight]],0)</f>
        <v>#VALUE!</v>
      </c>
      <c r="U709" s="79" t="e">
        <f>IF(DbLinkTable[[#This Row],[Price/lb]]*DbLinkTable[[#This Row],[Weight]]&lt;0,DbLinkTable[[#This Row],[Price/lb]]*DbLinkTable[[#This Row],[Weight]],0)</f>
        <v>#VALUE!</v>
      </c>
      <c r="V709" s="4" t="str">
        <f>IF(COUNTIF($W$2:W709,W709)=1,1,"")</f>
        <v/>
      </c>
      <c r="W709" s="4" t="e">
        <f>CONCATENATE(DbLinkTable[[#This Row],[Customer]],UPPER(DbLinkTable[[#This Row],[Trailer Number]]),DbLinkTable[[#This Row],[Day Received]])</f>
        <v>#VALUE!</v>
      </c>
      <c r="X709" s="4" t="e">
        <f>DATEVALUE(TEXT(DbLinkTable[[#This Row],[Date Received]],"MMMM YYYY"))</f>
        <v>#VALUE!</v>
      </c>
      <c r="Y709" s="4" t="e">
        <f>INT(DbLinkTable[[#This Row],[Date Received]])</f>
        <v>#VALUE!</v>
      </c>
    </row>
    <row r="710" spans="5:25">
      <c r="E710"/>
      <c r="G710"/>
      <c r="H710"/>
      <c r="I710"/>
      <c r="K710"/>
      <c r="O710"/>
      <c r="R710"/>
      <c r="S710" s="79" t="e">
        <f>DbLinkTable[[#This Row],[Credit]]+DbLinkTable[[#This Row],[Charge]]</f>
        <v>#VALUE!</v>
      </c>
      <c r="T710" s="79" t="e">
        <f>IF(DbLinkTable[[#This Row],[Price/lb]]*DbLinkTable[[#This Row],[Weight]]&gt;0,DbLinkTable[[#This Row],[Price/lb]]*DbLinkTable[[#This Row],[Weight]],0)</f>
        <v>#VALUE!</v>
      </c>
      <c r="U710" s="79" t="e">
        <f>IF(DbLinkTable[[#This Row],[Price/lb]]*DbLinkTable[[#This Row],[Weight]]&lt;0,DbLinkTable[[#This Row],[Price/lb]]*DbLinkTable[[#This Row],[Weight]],0)</f>
        <v>#VALUE!</v>
      </c>
      <c r="V710" s="4" t="str">
        <f>IF(COUNTIF($W$2:W710,W710)=1,1,"")</f>
        <v/>
      </c>
      <c r="W710" s="4" t="e">
        <f>CONCATENATE(DbLinkTable[[#This Row],[Customer]],UPPER(DbLinkTable[[#This Row],[Trailer Number]]),DbLinkTable[[#This Row],[Day Received]])</f>
        <v>#VALUE!</v>
      </c>
      <c r="X710" s="4" t="e">
        <f>DATEVALUE(TEXT(DbLinkTable[[#This Row],[Date Received]],"MMMM YYYY"))</f>
        <v>#VALUE!</v>
      </c>
      <c r="Y710" s="4" t="e">
        <f>INT(DbLinkTable[[#This Row],[Date Received]])</f>
        <v>#VALUE!</v>
      </c>
    </row>
    <row r="711" spans="5:25">
      <c r="E711"/>
      <c r="G711"/>
      <c r="H711"/>
      <c r="I711"/>
      <c r="K711"/>
      <c r="O711"/>
      <c r="R711"/>
      <c r="S711" s="79" t="e">
        <f>DbLinkTable[[#This Row],[Credit]]+DbLinkTable[[#This Row],[Charge]]</f>
        <v>#VALUE!</v>
      </c>
      <c r="T711" s="79" t="e">
        <f>IF(DbLinkTable[[#This Row],[Price/lb]]*DbLinkTable[[#This Row],[Weight]]&gt;0,DbLinkTable[[#This Row],[Price/lb]]*DbLinkTable[[#This Row],[Weight]],0)</f>
        <v>#VALUE!</v>
      </c>
      <c r="U711" s="79" t="e">
        <f>IF(DbLinkTable[[#This Row],[Price/lb]]*DbLinkTable[[#This Row],[Weight]]&lt;0,DbLinkTable[[#This Row],[Price/lb]]*DbLinkTable[[#This Row],[Weight]],0)</f>
        <v>#VALUE!</v>
      </c>
      <c r="V711" s="4" t="str">
        <f>IF(COUNTIF($W$2:W711,W711)=1,1,"")</f>
        <v/>
      </c>
      <c r="W711" s="4" t="e">
        <f>CONCATENATE(DbLinkTable[[#This Row],[Customer]],UPPER(DbLinkTable[[#This Row],[Trailer Number]]),DbLinkTable[[#This Row],[Day Received]])</f>
        <v>#VALUE!</v>
      </c>
      <c r="X711" s="4" t="e">
        <f>DATEVALUE(TEXT(DbLinkTable[[#This Row],[Date Received]],"MMMM YYYY"))</f>
        <v>#VALUE!</v>
      </c>
      <c r="Y711" s="4" t="e">
        <f>INT(DbLinkTable[[#This Row],[Date Received]])</f>
        <v>#VALUE!</v>
      </c>
    </row>
    <row r="712" spans="5:25">
      <c r="E712"/>
      <c r="G712"/>
      <c r="H712"/>
      <c r="I712"/>
      <c r="K712"/>
      <c r="O712"/>
      <c r="R712"/>
      <c r="S712" s="79" t="e">
        <f>DbLinkTable[[#This Row],[Credit]]+DbLinkTable[[#This Row],[Charge]]</f>
        <v>#VALUE!</v>
      </c>
      <c r="T712" s="79" t="e">
        <f>IF(DbLinkTable[[#This Row],[Price/lb]]*DbLinkTable[[#This Row],[Weight]]&gt;0,DbLinkTable[[#This Row],[Price/lb]]*DbLinkTable[[#This Row],[Weight]],0)</f>
        <v>#VALUE!</v>
      </c>
      <c r="U712" s="79" t="e">
        <f>IF(DbLinkTable[[#This Row],[Price/lb]]*DbLinkTable[[#This Row],[Weight]]&lt;0,DbLinkTable[[#This Row],[Price/lb]]*DbLinkTable[[#This Row],[Weight]],0)</f>
        <v>#VALUE!</v>
      </c>
      <c r="V712" s="4" t="str">
        <f>IF(COUNTIF($W$2:W712,W712)=1,1,"")</f>
        <v/>
      </c>
      <c r="W712" s="4" t="e">
        <f>CONCATENATE(DbLinkTable[[#This Row],[Customer]],UPPER(DbLinkTable[[#This Row],[Trailer Number]]),DbLinkTable[[#This Row],[Day Received]])</f>
        <v>#VALUE!</v>
      </c>
      <c r="X712" s="4" t="e">
        <f>DATEVALUE(TEXT(DbLinkTable[[#This Row],[Date Received]],"MMMM YYYY"))</f>
        <v>#VALUE!</v>
      </c>
      <c r="Y712" s="4" t="e">
        <f>INT(DbLinkTable[[#This Row],[Date Received]])</f>
        <v>#VALUE!</v>
      </c>
    </row>
    <row r="713" spans="5:25">
      <c r="E713"/>
      <c r="G713"/>
      <c r="H713"/>
      <c r="I713"/>
      <c r="K713"/>
      <c r="O713"/>
      <c r="R713"/>
      <c r="S713" s="79" t="e">
        <f>DbLinkTable[[#This Row],[Credit]]+DbLinkTable[[#This Row],[Charge]]</f>
        <v>#VALUE!</v>
      </c>
      <c r="T713" s="79" t="e">
        <f>IF(DbLinkTable[[#This Row],[Price/lb]]*DbLinkTable[[#This Row],[Weight]]&gt;0,DbLinkTable[[#This Row],[Price/lb]]*DbLinkTable[[#This Row],[Weight]],0)</f>
        <v>#VALUE!</v>
      </c>
      <c r="U713" s="79" t="e">
        <f>IF(DbLinkTable[[#This Row],[Price/lb]]*DbLinkTable[[#This Row],[Weight]]&lt;0,DbLinkTable[[#This Row],[Price/lb]]*DbLinkTable[[#This Row],[Weight]],0)</f>
        <v>#VALUE!</v>
      </c>
      <c r="V713" s="4" t="str">
        <f>IF(COUNTIF($W$2:W713,W713)=1,1,"")</f>
        <v/>
      </c>
      <c r="W713" s="4" t="e">
        <f>CONCATENATE(DbLinkTable[[#This Row],[Customer]],UPPER(DbLinkTable[[#This Row],[Trailer Number]]),DbLinkTable[[#This Row],[Day Received]])</f>
        <v>#VALUE!</v>
      </c>
      <c r="X713" s="4" t="e">
        <f>DATEVALUE(TEXT(DbLinkTable[[#This Row],[Date Received]],"MMMM YYYY"))</f>
        <v>#VALUE!</v>
      </c>
      <c r="Y713" s="4" t="e">
        <f>INT(DbLinkTable[[#This Row],[Date Received]])</f>
        <v>#VALUE!</v>
      </c>
    </row>
    <row r="714" spans="5:25">
      <c r="E714"/>
      <c r="G714"/>
      <c r="H714"/>
      <c r="I714"/>
      <c r="K714"/>
      <c r="O714"/>
      <c r="R714"/>
      <c r="S714" s="79" t="e">
        <f>DbLinkTable[[#This Row],[Credit]]+DbLinkTable[[#This Row],[Charge]]</f>
        <v>#VALUE!</v>
      </c>
      <c r="T714" s="79" t="e">
        <f>IF(DbLinkTable[[#This Row],[Price/lb]]*DbLinkTable[[#This Row],[Weight]]&gt;0,DbLinkTable[[#This Row],[Price/lb]]*DbLinkTable[[#This Row],[Weight]],0)</f>
        <v>#VALUE!</v>
      </c>
      <c r="U714" s="79" t="e">
        <f>IF(DbLinkTable[[#This Row],[Price/lb]]*DbLinkTable[[#This Row],[Weight]]&lt;0,DbLinkTable[[#This Row],[Price/lb]]*DbLinkTable[[#This Row],[Weight]],0)</f>
        <v>#VALUE!</v>
      </c>
      <c r="V714" s="4" t="str">
        <f>IF(COUNTIF($W$2:W714,W714)=1,1,"")</f>
        <v/>
      </c>
      <c r="W714" s="4" t="e">
        <f>CONCATENATE(DbLinkTable[[#This Row],[Customer]],UPPER(DbLinkTable[[#This Row],[Trailer Number]]),DbLinkTable[[#This Row],[Day Received]])</f>
        <v>#VALUE!</v>
      </c>
      <c r="X714" s="4" t="e">
        <f>DATEVALUE(TEXT(DbLinkTable[[#This Row],[Date Received]],"MMMM YYYY"))</f>
        <v>#VALUE!</v>
      </c>
      <c r="Y714" s="4" t="e">
        <f>INT(DbLinkTable[[#This Row],[Date Received]])</f>
        <v>#VALUE!</v>
      </c>
    </row>
    <row r="715" spans="5:25">
      <c r="E715"/>
      <c r="G715"/>
      <c r="H715"/>
      <c r="I715"/>
      <c r="K715"/>
      <c r="O715"/>
      <c r="R715"/>
      <c r="S715" s="79" t="e">
        <f>DbLinkTable[[#This Row],[Credit]]+DbLinkTable[[#This Row],[Charge]]</f>
        <v>#VALUE!</v>
      </c>
      <c r="T715" s="79" t="e">
        <f>IF(DbLinkTable[[#This Row],[Price/lb]]*DbLinkTable[[#This Row],[Weight]]&gt;0,DbLinkTable[[#This Row],[Price/lb]]*DbLinkTable[[#This Row],[Weight]],0)</f>
        <v>#VALUE!</v>
      </c>
      <c r="U715" s="79" t="e">
        <f>IF(DbLinkTable[[#This Row],[Price/lb]]*DbLinkTable[[#This Row],[Weight]]&lt;0,DbLinkTable[[#This Row],[Price/lb]]*DbLinkTable[[#This Row],[Weight]],0)</f>
        <v>#VALUE!</v>
      </c>
      <c r="V715" s="4" t="str">
        <f>IF(COUNTIF($W$2:W715,W715)=1,1,"")</f>
        <v/>
      </c>
      <c r="W715" s="4" t="e">
        <f>CONCATENATE(DbLinkTable[[#This Row],[Customer]],UPPER(DbLinkTable[[#This Row],[Trailer Number]]),DbLinkTable[[#This Row],[Day Received]])</f>
        <v>#VALUE!</v>
      </c>
      <c r="X715" s="4" t="e">
        <f>DATEVALUE(TEXT(DbLinkTable[[#This Row],[Date Received]],"MMMM YYYY"))</f>
        <v>#VALUE!</v>
      </c>
      <c r="Y715" s="4" t="e">
        <f>INT(DbLinkTable[[#This Row],[Date Received]])</f>
        <v>#VALUE!</v>
      </c>
    </row>
    <row r="716" spans="5:25">
      <c r="E716"/>
      <c r="G716"/>
      <c r="H716"/>
      <c r="I716"/>
      <c r="K716"/>
      <c r="O716"/>
      <c r="R716"/>
      <c r="S716" s="79" t="e">
        <f>DbLinkTable[[#This Row],[Credit]]+DbLinkTable[[#This Row],[Charge]]</f>
        <v>#VALUE!</v>
      </c>
      <c r="T716" s="79" t="e">
        <f>IF(DbLinkTable[[#This Row],[Price/lb]]*DbLinkTable[[#This Row],[Weight]]&gt;0,DbLinkTable[[#This Row],[Price/lb]]*DbLinkTable[[#This Row],[Weight]],0)</f>
        <v>#VALUE!</v>
      </c>
      <c r="U716" s="79" t="e">
        <f>IF(DbLinkTable[[#This Row],[Price/lb]]*DbLinkTable[[#This Row],[Weight]]&lt;0,DbLinkTable[[#This Row],[Price/lb]]*DbLinkTable[[#This Row],[Weight]],0)</f>
        <v>#VALUE!</v>
      </c>
      <c r="V716" s="4" t="str">
        <f>IF(COUNTIF($W$2:W716,W716)=1,1,"")</f>
        <v/>
      </c>
      <c r="W716" s="4" t="e">
        <f>CONCATENATE(DbLinkTable[[#This Row],[Customer]],UPPER(DbLinkTable[[#This Row],[Trailer Number]]),DbLinkTable[[#This Row],[Day Received]])</f>
        <v>#VALUE!</v>
      </c>
      <c r="X716" s="4" t="e">
        <f>DATEVALUE(TEXT(DbLinkTable[[#This Row],[Date Received]],"MMMM YYYY"))</f>
        <v>#VALUE!</v>
      </c>
      <c r="Y716" s="4" t="e">
        <f>INT(DbLinkTable[[#This Row],[Date Received]])</f>
        <v>#VALUE!</v>
      </c>
    </row>
    <row r="717" spans="5:25">
      <c r="E717"/>
      <c r="G717"/>
      <c r="H717"/>
      <c r="I717"/>
      <c r="K717"/>
      <c r="O717"/>
      <c r="R717"/>
      <c r="S717" s="79" t="e">
        <f>DbLinkTable[[#This Row],[Credit]]+DbLinkTable[[#This Row],[Charge]]</f>
        <v>#VALUE!</v>
      </c>
      <c r="T717" s="79" t="e">
        <f>IF(DbLinkTable[[#This Row],[Price/lb]]*DbLinkTable[[#This Row],[Weight]]&gt;0,DbLinkTable[[#This Row],[Price/lb]]*DbLinkTable[[#This Row],[Weight]],0)</f>
        <v>#VALUE!</v>
      </c>
      <c r="U717" s="79" t="e">
        <f>IF(DbLinkTable[[#This Row],[Price/lb]]*DbLinkTable[[#This Row],[Weight]]&lt;0,DbLinkTable[[#This Row],[Price/lb]]*DbLinkTable[[#This Row],[Weight]],0)</f>
        <v>#VALUE!</v>
      </c>
      <c r="V717" s="4" t="str">
        <f>IF(COUNTIF($W$2:W717,W717)=1,1,"")</f>
        <v/>
      </c>
      <c r="W717" s="4" t="e">
        <f>CONCATENATE(DbLinkTable[[#This Row],[Customer]],UPPER(DbLinkTable[[#This Row],[Trailer Number]]),DbLinkTable[[#This Row],[Day Received]])</f>
        <v>#VALUE!</v>
      </c>
      <c r="X717" s="4" t="e">
        <f>DATEVALUE(TEXT(DbLinkTable[[#This Row],[Date Received]],"MMMM YYYY"))</f>
        <v>#VALUE!</v>
      </c>
      <c r="Y717" s="4" t="e">
        <f>INT(DbLinkTable[[#This Row],[Date Received]])</f>
        <v>#VALUE!</v>
      </c>
    </row>
    <row r="718" spans="5:25">
      <c r="E718"/>
      <c r="G718"/>
      <c r="H718"/>
      <c r="I718"/>
      <c r="K718"/>
      <c r="O718"/>
      <c r="R718"/>
      <c r="S718" s="79" t="e">
        <f>DbLinkTable[[#This Row],[Credit]]+DbLinkTable[[#This Row],[Charge]]</f>
        <v>#VALUE!</v>
      </c>
      <c r="T718" s="79" t="e">
        <f>IF(DbLinkTable[[#This Row],[Price/lb]]*DbLinkTable[[#This Row],[Weight]]&gt;0,DbLinkTable[[#This Row],[Price/lb]]*DbLinkTable[[#This Row],[Weight]],0)</f>
        <v>#VALUE!</v>
      </c>
      <c r="U718" s="79" t="e">
        <f>IF(DbLinkTable[[#This Row],[Price/lb]]*DbLinkTable[[#This Row],[Weight]]&lt;0,DbLinkTable[[#This Row],[Price/lb]]*DbLinkTable[[#This Row],[Weight]],0)</f>
        <v>#VALUE!</v>
      </c>
      <c r="V718" s="4" t="str">
        <f>IF(COUNTIF($W$2:W718,W718)=1,1,"")</f>
        <v/>
      </c>
      <c r="W718" s="4" t="e">
        <f>CONCATENATE(DbLinkTable[[#This Row],[Customer]],UPPER(DbLinkTable[[#This Row],[Trailer Number]]),DbLinkTable[[#This Row],[Day Received]])</f>
        <v>#VALUE!</v>
      </c>
      <c r="X718" s="4" t="e">
        <f>DATEVALUE(TEXT(DbLinkTable[[#This Row],[Date Received]],"MMMM YYYY"))</f>
        <v>#VALUE!</v>
      </c>
      <c r="Y718" s="4" t="e">
        <f>INT(DbLinkTable[[#This Row],[Date Received]])</f>
        <v>#VALUE!</v>
      </c>
    </row>
    <row r="719" spans="5:25">
      <c r="E719"/>
      <c r="G719"/>
      <c r="H719"/>
      <c r="I719"/>
      <c r="K719"/>
      <c r="O719"/>
      <c r="R719"/>
      <c r="S719" s="79" t="e">
        <f>DbLinkTable[[#This Row],[Credit]]+DbLinkTable[[#This Row],[Charge]]</f>
        <v>#VALUE!</v>
      </c>
      <c r="T719" s="79" t="e">
        <f>IF(DbLinkTable[[#This Row],[Price/lb]]*DbLinkTable[[#This Row],[Weight]]&gt;0,DbLinkTable[[#This Row],[Price/lb]]*DbLinkTable[[#This Row],[Weight]],0)</f>
        <v>#VALUE!</v>
      </c>
      <c r="U719" s="79" t="e">
        <f>IF(DbLinkTable[[#This Row],[Price/lb]]*DbLinkTable[[#This Row],[Weight]]&lt;0,DbLinkTable[[#This Row],[Price/lb]]*DbLinkTable[[#This Row],[Weight]],0)</f>
        <v>#VALUE!</v>
      </c>
      <c r="V719" s="4" t="str">
        <f>IF(COUNTIF($W$2:W719,W719)=1,1,"")</f>
        <v/>
      </c>
      <c r="W719" s="4" t="e">
        <f>CONCATENATE(DbLinkTable[[#This Row],[Customer]],UPPER(DbLinkTable[[#This Row],[Trailer Number]]),DbLinkTable[[#This Row],[Day Received]])</f>
        <v>#VALUE!</v>
      </c>
      <c r="X719" s="4" t="e">
        <f>DATEVALUE(TEXT(DbLinkTable[[#This Row],[Date Received]],"MMMM YYYY"))</f>
        <v>#VALUE!</v>
      </c>
      <c r="Y719" s="4" t="e">
        <f>INT(DbLinkTable[[#This Row],[Date Received]])</f>
        <v>#VALUE!</v>
      </c>
    </row>
    <row r="720" spans="5:25">
      <c r="E720"/>
      <c r="G720"/>
      <c r="H720"/>
      <c r="I720"/>
      <c r="K720"/>
      <c r="O720"/>
      <c r="R720"/>
      <c r="S720" s="79" t="e">
        <f>DbLinkTable[[#This Row],[Credit]]+DbLinkTable[[#This Row],[Charge]]</f>
        <v>#VALUE!</v>
      </c>
      <c r="T720" s="79" t="e">
        <f>IF(DbLinkTable[[#This Row],[Price/lb]]*DbLinkTable[[#This Row],[Weight]]&gt;0,DbLinkTable[[#This Row],[Price/lb]]*DbLinkTable[[#This Row],[Weight]],0)</f>
        <v>#VALUE!</v>
      </c>
      <c r="U720" s="79" t="e">
        <f>IF(DbLinkTable[[#This Row],[Price/lb]]*DbLinkTable[[#This Row],[Weight]]&lt;0,DbLinkTable[[#This Row],[Price/lb]]*DbLinkTable[[#This Row],[Weight]],0)</f>
        <v>#VALUE!</v>
      </c>
      <c r="V720" s="4" t="str">
        <f>IF(COUNTIF($W$2:W720,W720)=1,1,"")</f>
        <v/>
      </c>
      <c r="W720" s="4" t="e">
        <f>CONCATENATE(DbLinkTable[[#This Row],[Customer]],UPPER(DbLinkTable[[#This Row],[Trailer Number]]),DbLinkTable[[#This Row],[Day Received]])</f>
        <v>#VALUE!</v>
      </c>
      <c r="X720" s="4" t="e">
        <f>DATEVALUE(TEXT(DbLinkTable[[#This Row],[Date Received]],"MMMM YYYY"))</f>
        <v>#VALUE!</v>
      </c>
      <c r="Y720" s="4" t="e">
        <f>INT(DbLinkTable[[#This Row],[Date Received]])</f>
        <v>#VALUE!</v>
      </c>
    </row>
    <row r="721" spans="5:25">
      <c r="E721"/>
      <c r="G721"/>
      <c r="H721"/>
      <c r="I721"/>
      <c r="K721"/>
      <c r="O721"/>
      <c r="R721"/>
      <c r="S721" s="79" t="e">
        <f>DbLinkTable[[#This Row],[Credit]]+DbLinkTable[[#This Row],[Charge]]</f>
        <v>#VALUE!</v>
      </c>
      <c r="T721" s="79" t="e">
        <f>IF(DbLinkTable[[#This Row],[Price/lb]]*DbLinkTable[[#This Row],[Weight]]&gt;0,DbLinkTable[[#This Row],[Price/lb]]*DbLinkTable[[#This Row],[Weight]],0)</f>
        <v>#VALUE!</v>
      </c>
      <c r="U721" s="79" t="e">
        <f>IF(DbLinkTable[[#This Row],[Price/lb]]*DbLinkTable[[#This Row],[Weight]]&lt;0,DbLinkTable[[#This Row],[Price/lb]]*DbLinkTable[[#This Row],[Weight]],0)</f>
        <v>#VALUE!</v>
      </c>
      <c r="V721" s="4" t="str">
        <f>IF(COUNTIF($W$2:W721,W721)=1,1,"")</f>
        <v/>
      </c>
      <c r="W721" s="4" t="e">
        <f>CONCATENATE(DbLinkTable[[#This Row],[Customer]],UPPER(DbLinkTable[[#This Row],[Trailer Number]]),DbLinkTable[[#This Row],[Day Received]])</f>
        <v>#VALUE!</v>
      </c>
      <c r="X721" s="4" t="e">
        <f>DATEVALUE(TEXT(DbLinkTable[[#This Row],[Date Received]],"MMMM YYYY"))</f>
        <v>#VALUE!</v>
      </c>
      <c r="Y721" s="4" t="e">
        <f>INT(DbLinkTable[[#This Row],[Date Received]])</f>
        <v>#VALUE!</v>
      </c>
    </row>
    <row r="722" spans="5:25">
      <c r="E722"/>
      <c r="G722"/>
      <c r="H722"/>
      <c r="I722"/>
      <c r="K722"/>
      <c r="O722"/>
      <c r="R722"/>
      <c r="S722" s="79" t="e">
        <f>DbLinkTable[[#This Row],[Credit]]+DbLinkTable[[#This Row],[Charge]]</f>
        <v>#VALUE!</v>
      </c>
      <c r="T722" s="79" t="e">
        <f>IF(DbLinkTable[[#This Row],[Price/lb]]*DbLinkTable[[#This Row],[Weight]]&gt;0,DbLinkTable[[#This Row],[Price/lb]]*DbLinkTable[[#This Row],[Weight]],0)</f>
        <v>#VALUE!</v>
      </c>
      <c r="U722" s="79" t="e">
        <f>IF(DbLinkTable[[#This Row],[Price/lb]]*DbLinkTable[[#This Row],[Weight]]&lt;0,DbLinkTable[[#This Row],[Price/lb]]*DbLinkTable[[#This Row],[Weight]],0)</f>
        <v>#VALUE!</v>
      </c>
      <c r="V722" s="4" t="str">
        <f>IF(COUNTIF($W$2:W722,W722)=1,1,"")</f>
        <v/>
      </c>
      <c r="W722" s="4" t="e">
        <f>CONCATENATE(DbLinkTable[[#This Row],[Customer]],UPPER(DbLinkTable[[#This Row],[Trailer Number]]),DbLinkTable[[#This Row],[Day Received]])</f>
        <v>#VALUE!</v>
      </c>
      <c r="X722" s="4" t="e">
        <f>DATEVALUE(TEXT(DbLinkTable[[#This Row],[Date Received]],"MMMM YYYY"))</f>
        <v>#VALUE!</v>
      </c>
      <c r="Y722" s="4" t="e">
        <f>INT(DbLinkTable[[#This Row],[Date Received]])</f>
        <v>#VALUE!</v>
      </c>
    </row>
    <row r="723" spans="5:25">
      <c r="E723"/>
      <c r="G723"/>
      <c r="H723"/>
      <c r="I723"/>
      <c r="K723"/>
      <c r="O723"/>
      <c r="R723"/>
      <c r="S723" s="79" t="e">
        <f>DbLinkTable[[#This Row],[Credit]]+DbLinkTable[[#This Row],[Charge]]</f>
        <v>#VALUE!</v>
      </c>
      <c r="T723" s="79" t="e">
        <f>IF(DbLinkTable[[#This Row],[Price/lb]]*DbLinkTable[[#This Row],[Weight]]&gt;0,DbLinkTable[[#This Row],[Price/lb]]*DbLinkTable[[#This Row],[Weight]],0)</f>
        <v>#VALUE!</v>
      </c>
      <c r="U723" s="79" t="e">
        <f>IF(DbLinkTable[[#This Row],[Price/lb]]*DbLinkTable[[#This Row],[Weight]]&lt;0,DbLinkTable[[#This Row],[Price/lb]]*DbLinkTable[[#This Row],[Weight]],0)</f>
        <v>#VALUE!</v>
      </c>
      <c r="V723" s="4" t="str">
        <f>IF(COUNTIF($W$2:W723,W723)=1,1,"")</f>
        <v/>
      </c>
      <c r="W723" s="4" t="e">
        <f>CONCATENATE(DbLinkTable[[#This Row],[Customer]],UPPER(DbLinkTable[[#This Row],[Trailer Number]]),DbLinkTable[[#This Row],[Day Received]])</f>
        <v>#VALUE!</v>
      </c>
      <c r="X723" s="4" t="e">
        <f>DATEVALUE(TEXT(DbLinkTable[[#This Row],[Date Received]],"MMMM YYYY"))</f>
        <v>#VALUE!</v>
      </c>
      <c r="Y723" s="4" t="e">
        <f>INT(DbLinkTable[[#This Row],[Date Received]])</f>
        <v>#VALUE!</v>
      </c>
    </row>
    <row r="724" spans="5:25">
      <c r="E724"/>
      <c r="G724"/>
      <c r="H724"/>
      <c r="I724"/>
      <c r="K724"/>
      <c r="O724"/>
      <c r="R724"/>
      <c r="S724" s="79" t="e">
        <f>DbLinkTable[[#This Row],[Credit]]+DbLinkTable[[#This Row],[Charge]]</f>
        <v>#VALUE!</v>
      </c>
      <c r="T724" s="79" t="e">
        <f>IF(DbLinkTable[[#This Row],[Price/lb]]*DbLinkTable[[#This Row],[Weight]]&gt;0,DbLinkTable[[#This Row],[Price/lb]]*DbLinkTable[[#This Row],[Weight]],0)</f>
        <v>#VALUE!</v>
      </c>
      <c r="U724" s="79" t="e">
        <f>IF(DbLinkTable[[#This Row],[Price/lb]]*DbLinkTable[[#This Row],[Weight]]&lt;0,DbLinkTable[[#This Row],[Price/lb]]*DbLinkTable[[#This Row],[Weight]],0)</f>
        <v>#VALUE!</v>
      </c>
      <c r="V724" s="4" t="str">
        <f>IF(COUNTIF($W$2:W724,W724)=1,1,"")</f>
        <v/>
      </c>
      <c r="W724" s="4" t="e">
        <f>CONCATENATE(DbLinkTable[[#This Row],[Customer]],UPPER(DbLinkTable[[#This Row],[Trailer Number]]),DbLinkTable[[#This Row],[Day Received]])</f>
        <v>#VALUE!</v>
      </c>
      <c r="X724" s="4" t="e">
        <f>DATEVALUE(TEXT(DbLinkTable[[#This Row],[Date Received]],"MMMM YYYY"))</f>
        <v>#VALUE!</v>
      </c>
      <c r="Y724" s="4" t="e">
        <f>INT(DbLinkTable[[#This Row],[Date Received]])</f>
        <v>#VALUE!</v>
      </c>
    </row>
    <row r="725" spans="5:25">
      <c r="E725"/>
      <c r="G725"/>
      <c r="H725"/>
      <c r="I725"/>
      <c r="K725"/>
      <c r="O725"/>
      <c r="R725"/>
      <c r="S725" s="79" t="e">
        <f>DbLinkTable[[#This Row],[Credit]]+DbLinkTable[[#This Row],[Charge]]</f>
        <v>#VALUE!</v>
      </c>
      <c r="T725" s="79" t="e">
        <f>IF(DbLinkTable[[#This Row],[Price/lb]]*DbLinkTable[[#This Row],[Weight]]&gt;0,DbLinkTable[[#This Row],[Price/lb]]*DbLinkTable[[#This Row],[Weight]],0)</f>
        <v>#VALUE!</v>
      </c>
      <c r="U725" s="79" t="e">
        <f>IF(DbLinkTable[[#This Row],[Price/lb]]*DbLinkTable[[#This Row],[Weight]]&lt;0,DbLinkTable[[#This Row],[Price/lb]]*DbLinkTable[[#This Row],[Weight]],0)</f>
        <v>#VALUE!</v>
      </c>
      <c r="V725" s="4" t="str">
        <f>IF(COUNTIF($W$2:W725,W725)=1,1,"")</f>
        <v/>
      </c>
      <c r="W725" s="4" t="e">
        <f>CONCATENATE(DbLinkTable[[#This Row],[Customer]],UPPER(DbLinkTable[[#This Row],[Trailer Number]]),DbLinkTable[[#This Row],[Day Received]])</f>
        <v>#VALUE!</v>
      </c>
      <c r="X725" s="4" t="e">
        <f>DATEVALUE(TEXT(DbLinkTable[[#This Row],[Date Received]],"MMMM YYYY"))</f>
        <v>#VALUE!</v>
      </c>
      <c r="Y725" s="4" t="e">
        <f>INT(DbLinkTable[[#This Row],[Date Received]])</f>
        <v>#VALUE!</v>
      </c>
    </row>
    <row r="726" spans="5:25">
      <c r="E726"/>
      <c r="G726"/>
      <c r="H726"/>
      <c r="I726"/>
      <c r="K726"/>
      <c r="O726"/>
      <c r="R726"/>
      <c r="S726" s="79" t="e">
        <f>DbLinkTable[[#This Row],[Credit]]+DbLinkTable[[#This Row],[Charge]]</f>
        <v>#VALUE!</v>
      </c>
      <c r="T726" s="79" t="e">
        <f>IF(DbLinkTable[[#This Row],[Price/lb]]*DbLinkTable[[#This Row],[Weight]]&gt;0,DbLinkTable[[#This Row],[Price/lb]]*DbLinkTable[[#This Row],[Weight]],0)</f>
        <v>#VALUE!</v>
      </c>
      <c r="U726" s="79" t="e">
        <f>IF(DbLinkTable[[#This Row],[Price/lb]]*DbLinkTable[[#This Row],[Weight]]&lt;0,DbLinkTable[[#This Row],[Price/lb]]*DbLinkTable[[#This Row],[Weight]],0)</f>
        <v>#VALUE!</v>
      </c>
      <c r="V726" s="4" t="str">
        <f>IF(COUNTIF($W$2:W726,W726)=1,1,"")</f>
        <v/>
      </c>
      <c r="W726" s="4" t="e">
        <f>CONCATENATE(DbLinkTable[[#This Row],[Customer]],UPPER(DbLinkTable[[#This Row],[Trailer Number]]),DbLinkTable[[#This Row],[Day Received]])</f>
        <v>#VALUE!</v>
      </c>
      <c r="X726" s="4" t="e">
        <f>DATEVALUE(TEXT(DbLinkTable[[#This Row],[Date Received]],"MMMM YYYY"))</f>
        <v>#VALUE!</v>
      </c>
      <c r="Y726" s="4" t="e">
        <f>INT(DbLinkTable[[#This Row],[Date Received]])</f>
        <v>#VALUE!</v>
      </c>
    </row>
    <row r="727" spans="5:25">
      <c r="E727"/>
      <c r="G727"/>
      <c r="H727"/>
      <c r="I727"/>
      <c r="K727"/>
      <c r="O727"/>
      <c r="R727"/>
      <c r="S727" s="79" t="e">
        <f>DbLinkTable[[#This Row],[Credit]]+DbLinkTable[[#This Row],[Charge]]</f>
        <v>#VALUE!</v>
      </c>
      <c r="T727" s="79" t="e">
        <f>IF(DbLinkTable[[#This Row],[Price/lb]]*DbLinkTable[[#This Row],[Weight]]&gt;0,DbLinkTable[[#This Row],[Price/lb]]*DbLinkTable[[#This Row],[Weight]],0)</f>
        <v>#VALUE!</v>
      </c>
      <c r="U727" s="79" t="e">
        <f>IF(DbLinkTable[[#This Row],[Price/lb]]*DbLinkTable[[#This Row],[Weight]]&lt;0,DbLinkTable[[#This Row],[Price/lb]]*DbLinkTable[[#This Row],[Weight]],0)</f>
        <v>#VALUE!</v>
      </c>
      <c r="V727" s="4" t="str">
        <f>IF(COUNTIF($W$2:W727,W727)=1,1,"")</f>
        <v/>
      </c>
      <c r="W727" s="4" t="e">
        <f>CONCATENATE(DbLinkTable[[#This Row],[Customer]],UPPER(DbLinkTable[[#This Row],[Trailer Number]]),DbLinkTable[[#This Row],[Day Received]])</f>
        <v>#VALUE!</v>
      </c>
      <c r="X727" s="4" t="e">
        <f>DATEVALUE(TEXT(DbLinkTable[[#This Row],[Date Received]],"MMMM YYYY"))</f>
        <v>#VALUE!</v>
      </c>
      <c r="Y727" s="4" t="e">
        <f>INT(DbLinkTable[[#This Row],[Date Received]])</f>
        <v>#VALUE!</v>
      </c>
    </row>
    <row r="728" spans="5:25">
      <c r="E728"/>
      <c r="G728"/>
      <c r="H728"/>
      <c r="I728"/>
      <c r="K728"/>
      <c r="O728"/>
      <c r="R728"/>
      <c r="S728" s="79" t="e">
        <f>DbLinkTable[[#This Row],[Credit]]+DbLinkTable[[#This Row],[Charge]]</f>
        <v>#VALUE!</v>
      </c>
      <c r="T728" s="79" t="e">
        <f>IF(DbLinkTable[[#This Row],[Price/lb]]*DbLinkTable[[#This Row],[Weight]]&gt;0,DbLinkTable[[#This Row],[Price/lb]]*DbLinkTable[[#This Row],[Weight]],0)</f>
        <v>#VALUE!</v>
      </c>
      <c r="U728" s="79" t="e">
        <f>IF(DbLinkTable[[#This Row],[Price/lb]]*DbLinkTable[[#This Row],[Weight]]&lt;0,DbLinkTable[[#This Row],[Price/lb]]*DbLinkTable[[#This Row],[Weight]],0)</f>
        <v>#VALUE!</v>
      </c>
      <c r="V728" s="4" t="str">
        <f>IF(COUNTIF($W$2:W728,W728)=1,1,"")</f>
        <v/>
      </c>
      <c r="W728" s="4" t="e">
        <f>CONCATENATE(DbLinkTable[[#This Row],[Customer]],UPPER(DbLinkTable[[#This Row],[Trailer Number]]),DbLinkTable[[#This Row],[Day Received]])</f>
        <v>#VALUE!</v>
      </c>
      <c r="X728" s="4" t="e">
        <f>DATEVALUE(TEXT(DbLinkTable[[#This Row],[Date Received]],"MMMM YYYY"))</f>
        <v>#VALUE!</v>
      </c>
      <c r="Y728" s="4" t="e">
        <f>INT(DbLinkTable[[#This Row],[Date Received]])</f>
        <v>#VALUE!</v>
      </c>
    </row>
    <row r="729" spans="5:25">
      <c r="E729"/>
      <c r="G729"/>
      <c r="H729"/>
      <c r="I729"/>
      <c r="K729"/>
      <c r="O729"/>
      <c r="R729"/>
      <c r="S729" s="79" t="e">
        <f>DbLinkTable[[#This Row],[Credit]]+DbLinkTable[[#This Row],[Charge]]</f>
        <v>#VALUE!</v>
      </c>
      <c r="T729" s="79" t="e">
        <f>IF(DbLinkTable[[#This Row],[Price/lb]]*DbLinkTable[[#This Row],[Weight]]&gt;0,DbLinkTable[[#This Row],[Price/lb]]*DbLinkTable[[#This Row],[Weight]],0)</f>
        <v>#VALUE!</v>
      </c>
      <c r="U729" s="79" t="e">
        <f>IF(DbLinkTable[[#This Row],[Price/lb]]*DbLinkTable[[#This Row],[Weight]]&lt;0,DbLinkTable[[#This Row],[Price/lb]]*DbLinkTable[[#This Row],[Weight]],0)</f>
        <v>#VALUE!</v>
      </c>
      <c r="V729" s="4" t="str">
        <f>IF(COUNTIF($W$2:W729,W729)=1,1,"")</f>
        <v/>
      </c>
      <c r="W729" s="4" t="e">
        <f>CONCATENATE(DbLinkTable[[#This Row],[Customer]],UPPER(DbLinkTable[[#This Row],[Trailer Number]]),DbLinkTable[[#This Row],[Day Received]])</f>
        <v>#VALUE!</v>
      </c>
      <c r="X729" s="4" t="e">
        <f>DATEVALUE(TEXT(DbLinkTable[[#This Row],[Date Received]],"MMMM YYYY"))</f>
        <v>#VALUE!</v>
      </c>
      <c r="Y729" s="4" t="e">
        <f>INT(DbLinkTable[[#This Row],[Date Received]])</f>
        <v>#VALUE!</v>
      </c>
    </row>
    <row r="730" spans="5:25">
      <c r="E730"/>
      <c r="G730"/>
      <c r="H730"/>
      <c r="I730"/>
      <c r="K730"/>
      <c r="O730"/>
      <c r="R730"/>
      <c r="S730" s="79" t="e">
        <f>DbLinkTable[[#This Row],[Credit]]+DbLinkTable[[#This Row],[Charge]]</f>
        <v>#VALUE!</v>
      </c>
      <c r="T730" s="79" t="e">
        <f>IF(DbLinkTable[[#This Row],[Price/lb]]*DbLinkTable[[#This Row],[Weight]]&gt;0,DbLinkTable[[#This Row],[Price/lb]]*DbLinkTable[[#This Row],[Weight]],0)</f>
        <v>#VALUE!</v>
      </c>
      <c r="U730" s="79" t="e">
        <f>IF(DbLinkTable[[#This Row],[Price/lb]]*DbLinkTable[[#This Row],[Weight]]&lt;0,DbLinkTable[[#This Row],[Price/lb]]*DbLinkTable[[#This Row],[Weight]],0)</f>
        <v>#VALUE!</v>
      </c>
      <c r="V730" s="4" t="str">
        <f>IF(COUNTIF($W$2:W730,W730)=1,1,"")</f>
        <v/>
      </c>
      <c r="W730" s="4" t="e">
        <f>CONCATENATE(DbLinkTable[[#This Row],[Customer]],UPPER(DbLinkTable[[#This Row],[Trailer Number]]),DbLinkTable[[#This Row],[Day Received]])</f>
        <v>#VALUE!</v>
      </c>
      <c r="X730" s="4" t="e">
        <f>DATEVALUE(TEXT(DbLinkTable[[#This Row],[Date Received]],"MMMM YYYY"))</f>
        <v>#VALUE!</v>
      </c>
      <c r="Y730" s="4" t="e">
        <f>INT(DbLinkTable[[#This Row],[Date Received]])</f>
        <v>#VALUE!</v>
      </c>
    </row>
    <row r="731" spans="5:25">
      <c r="E731"/>
      <c r="G731"/>
      <c r="H731"/>
      <c r="I731"/>
      <c r="K731"/>
      <c r="O731"/>
      <c r="R731"/>
      <c r="S731" s="79" t="e">
        <f>DbLinkTable[[#This Row],[Credit]]+DbLinkTable[[#This Row],[Charge]]</f>
        <v>#VALUE!</v>
      </c>
      <c r="T731" s="79" t="e">
        <f>IF(DbLinkTable[[#This Row],[Price/lb]]*DbLinkTable[[#This Row],[Weight]]&gt;0,DbLinkTable[[#This Row],[Price/lb]]*DbLinkTable[[#This Row],[Weight]],0)</f>
        <v>#VALUE!</v>
      </c>
      <c r="U731" s="79" t="e">
        <f>IF(DbLinkTable[[#This Row],[Price/lb]]*DbLinkTable[[#This Row],[Weight]]&lt;0,DbLinkTable[[#This Row],[Price/lb]]*DbLinkTable[[#This Row],[Weight]],0)</f>
        <v>#VALUE!</v>
      </c>
      <c r="V731" s="4" t="str">
        <f>IF(COUNTIF($W$2:W731,W731)=1,1,"")</f>
        <v/>
      </c>
      <c r="W731" s="4" t="e">
        <f>CONCATENATE(DbLinkTable[[#This Row],[Customer]],UPPER(DbLinkTable[[#This Row],[Trailer Number]]),DbLinkTable[[#This Row],[Day Received]])</f>
        <v>#VALUE!</v>
      </c>
      <c r="X731" s="4" t="e">
        <f>DATEVALUE(TEXT(DbLinkTable[[#This Row],[Date Received]],"MMMM YYYY"))</f>
        <v>#VALUE!</v>
      </c>
      <c r="Y731" s="4" t="e">
        <f>INT(DbLinkTable[[#This Row],[Date Received]])</f>
        <v>#VALUE!</v>
      </c>
    </row>
    <row r="732" spans="5:25">
      <c r="E732"/>
      <c r="G732"/>
      <c r="H732"/>
      <c r="I732"/>
      <c r="K732"/>
      <c r="O732"/>
      <c r="R732"/>
      <c r="S732" s="79" t="e">
        <f>DbLinkTable[[#This Row],[Credit]]+DbLinkTable[[#This Row],[Charge]]</f>
        <v>#VALUE!</v>
      </c>
      <c r="T732" s="79" t="e">
        <f>IF(DbLinkTable[[#This Row],[Price/lb]]*DbLinkTable[[#This Row],[Weight]]&gt;0,DbLinkTable[[#This Row],[Price/lb]]*DbLinkTable[[#This Row],[Weight]],0)</f>
        <v>#VALUE!</v>
      </c>
      <c r="U732" s="79" t="e">
        <f>IF(DbLinkTable[[#This Row],[Price/lb]]*DbLinkTable[[#This Row],[Weight]]&lt;0,DbLinkTable[[#This Row],[Price/lb]]*DbLinkTable[[#This Row],[Weight]],0)</f>
        <v>#VALUE!</v>
      </c>
      <c r="V732" s="4" t="str">
        <f>IF(COUNTIF($W$2:W732,W732)=1,1,"")</f>
        <v/>
      </c>
      <c r="W732" s="4" t="e">
        <f>CONCATENATE(DbLinkTable[[#This Row],[Customer]],UPPER(DbLinkTable[[#This Row],[Trailer Number]]),DbLinkTable[[#This Row],[Day Received]])</f>
        <v>#VALUE!</v>
      </c>
      <c r="X732" s="4" t="e">
        <f>DATEVALUE(TEXT(DbLinkTable[[#This Row],[Date Received]],"MMMM YYYY"))</f>
        <v>#VALUE!</v>
      </c>
      <c r="Y732" s="4" t="e">
        <f>INT(DbLinkTable[[#This Row],[Date Received]])</f>
        <v>#VALUE!</v>
      </c>
    </row>
    <row r="733" spans="5:25">
      <c r="E733"/>
      <c r="G733"/>
      <c r="H733"/>
      <c r="I733"/>
      <c r="K733"/>
      <c r="O733"/>
      <c r="R733"/>
      <c r="S733" s="79" t="e">
        <f>DbLinkTable[[#This Row],[Credit]]+DbLinkTable[[#This Row],[Charge]]</f>
        <v>#VALUE!</v>
      </c>
      <c r="T733" s="79" t="e">
        <f>IF(DbLinkTable[[#This Row],[Price/lb]]*DbLinkTable[[#This Row],[Weight]]&gt;0,DbLinkTable[[#This Row],[Price/lb]]*DbLinkTable[[#This Row],[Weight]],0)</f>
        <v>#VALUE!</v>
      </c>
      <c r="U733" s="79" t="e">
        <f>IF(DbLinkTable[[#This Row],[Price/lb]]*DbLinkTable[[#This Row],[Weight]]&lt;0,DbLinkTable[[#This Row],[Price/lb]]*DbLinkTable[[#This Row],[Weight]],0)</f>
        <v>#VALUE!</v>
      </c>
      <c r="V733" s="4" t="str">
        <f>IF(COUNTIF($W$2:W733,W733)=1,1,"")</f>
        <v/>
      </c>
      <c r="W733" s="4" t="e">
        <f>CONCATENATE(DbLinkTable[[#This Row],[Customer]],UPPER(DbLinkTable[[#This Row],[Trailer Number]]),DbLinkTable[[#This Row],[Day Received]])</f>
        <v>#VALUE!</v>
      </c>
      <c r="X733" s="4" t="e">
        <f>DATEVALUE(TEXT(DbLinkTable[[#This Row],[Date Received]],"MMMM YYYY"))</f>
        <v>#VALUE!</v>
      </c>
      <c r="Y733" s="4" t="e">
        <f>INT(DbLinkTable[[#This Row],[Date Received]])</f>
        <v>#VALUE!</v>
      </c>
    </row>
    <row r="734" spans="5:25">
      <c r="E734"/>
      <c r="G734"/>
      <c r="H734"/>
      <c r="I734"/>
      <c r="K734"/>
      <c r="O734"/>
      <c r="R734"/>
      <c r="S734" s="79" t="e">
        <f>DbLinkTable[[#This Row],[Credit]]+DbLinkTable[[#This Row],[Charge]]</f>
        <v>#VALUE!</v>
      </c>
      <c r="T734" s="79" t="e">
        <f>IF(DbLinkTable[[#This Row],[Price/lb]]*DbLinkTable[[#This Row],[Weight]]&gt;0,DbLinkTable[[#This Row],[Price/lb]]*DbLinkTable[[#This Row],[Weight]],0)</f>
        <v>#VALUE!</v>
      </c>
      <c r="U734" s="79" t="e">
        <f>IF(DbLinkTable[[#This Row],[Price/lb]]*DbLinkTable[[#This Row],[Weight]]&lt;0,DbLinkTable[[#This Row],[Price/lb]]*DbLinkTable[[#This Row],[Weight]],0)</f>
        <v>#VALUE!</v>
      </c>
      <c r="V734" s="4" t="str">
        <f>IF(COUNTIF($W$2:W734,W734)=1,1,"")</f>
        <v/>
      </c>
      <c r="W734" s="4" t="e">
        <f>CONCATENATE(DbLinkTable[[#This Row],[Customer]],UPPER(DbLinkTable[[#This Row],[Trailer Number]]),DbLinkTable[[#This Row],[Day Received]])</f>
        <v>#VALUE!</v>
      </c>
      <c r="X734" s="4" t="e">
        <f>DATEVALUE(TEXT(DbLinkTable[[#This Row],[Date Received]],"MMMM YYYY"))</f>
        <v>#VALUE!</v>
      </c>
      <c r="Y734" s="4" t="e">
        <f>INT(DbLinkTable[[#This Row],[Date Received]])</f>
        <v>#VALUE!</v>
      </c>
    </row>
    <row r="735" spans="5:25">
      <c r="E735"/>
      <c r="G735"/>
      <c r="H735"/>
      <c r="I735"/>
      <c r="K735"/>
      <c r="O735"/>
      <c r="R735"/>
      <c r="S735" s="79" t="e">
        <f>DbLinkTable[[#This Row],[Credit]]+DbLinkTable[[#This Row],[Charge]]</f>
        <v>#VALUE!</v>
      </c>
      <c r="T735" s="79" t="e">
        <f>IF(DbLinkTable[[#This Row],[Price/lb]]*DbLinkTable[[#This Row],[Weight]]&gt;0,DbLinkTable[[#This Row],[Price/lb]]*DbLinkTable[[#This Row],[Weight]],0)</f>
        <v>#VALUE!</v>
      </c>
      <c r="U735" s="79" t="e">
        <f>IF(DbLinkTable[[#This Row],[Price/lb]]*DbLinkTable[[#This Row],[Weight]]&lt;0,DbLinkTable[[#This Row],[Price/lb]]*DbLinkTable[[#This Row],[Weight]],0)</f>
        <v>#VALUE!</v>
      </c>
      <c r="V735" s="4" t="str">
        <f>IF(COUNTIF($W$2:W735,W735)=1,1,"")</f>
        <v/>
      </c>
      <c r="W735" s="4" t="e">
        <f>CONCATENATE(DbLinkTable[[#This Row],[Customer]],UPPER(DbLinkTable[[#This Row],[Trailer Number]]),DbLinkTable[[#This Row],[Day Received]])</f>
        <v>#VALUE!</v>
      </c>
      <c r="X735" s="4" t="e">
        <f>DATEVALUE(TEXT(DbLinkTable[[#This Row],[Date Received]],"MMMM YYYY"))</f>
        <v>#VALUE!</v>
      </c>
      <c r="Y735" s="4" t="e">
        <f>INT(DbLinkTable[[#This Row],[Date Received]])</f>
        <v>#VALUE!</v>
      </c>
    </row>
    <row r="736" spans="5:25">
      <c r="E736"/>
      <c r="G736"/>
      <c r="H736"/>
      <c r="I736"/>
      <c r="K736"/>
      <c r="O736"/>
      <c r="R736"/>
      <c r="S736" s="79" t="e">
        <f>DbLinkTable[[#This Row],[Credit]]+DbLinkTable[[#This Row],[Charge]]</f>
        <v>#VALUE!</v>
      </c>
      <c r="T736" s="79" t="e">
        <f>IF(DbLinkTable[[#This Row],[Price/lb]]*DbLinkTable[[#This Row],[Weight]]&gt;0,DbLinkTable[[#This Row],[Price/lb]]*DbLinkTable[[#This Row],[Weight]],0)</f>
        <v>#VALUE!</v>
      </c>
      <c r="U736" s="79" t="e">
        <f>IF(DbLinkTable[[#This Row],[Price/lb]]*DbLinkTable[[#This Row],[Weight]]&lt;0,DbLinkTable[[#This Row],[Price/lb]]*DbLinkTable[[#This Row],[Weight]],0)</f>
        <v>#VALUE!</v>
      </c>
      <c r="V736" s="4" t="str">
        <f>IF(COUNTIF($W$2:W736,W736)=1,1,"")</f>
        <v/>
      </c>
      <c r="W736" s="4" t="e">
        <f>CONCATENATE(DbLinkTable[[#This Row],[Customer]],UPPER(DbLinkTable[[#This Row],[Trailer Number]]),DbLinkTable[[#This Row],[Day Received]])</f>
        <v>#VALUE!</v>
      </c>
      <c r="X736" s="4" t="e">
        <f>DATEVALUE(TEXT(DbLinkTable[[#This Row],[Date Received]],"MMMM YYYY"))</f>
        <v>#VALUE!</v>
      </c>
      <c r="Y736" s="4" t="e">
        <f>INT(DbLinkTable[[#This Row],[Date Received]])</f>
        <v>#VALUE!</v>
      </c>
    </row>
    <row r="737" spans="5:25">
      <c r="E737"/>
      <c r="G737"/>
      <c r="H737"/>
      <c r="I737"/>
      <c r="K737"/>
      <c r="O737"/>
      <c r="R737"/>
      <c r="S737" s="79" t="e">
        <f>DbLinkTable[[#This Row],[Credit]]+DbLinkTable[[#This Row],[Charge]]</f>
        <v>#VALUE!</v>
      </c>
      <c r="T737" s="79" t="e">
        <f>IF(DbLinkTable[[#This Row],[Price/lb]]*DbLinkTable[[#This Row],[Weight]]&gt;0,DbLinkTable[[#This Row],[Price/lb]]*DbLinkTable[[#This Row],[Weight]],0)</f>
        <v>#VALUE!</v>
      </c>
      <c r="U737" s="79" t="e">
        <f>IF(DbLinkTable[[#This Row],[Price/lb]]*DbLinkTable[[#This Row],[Weight]]&lt;0,DbLinkTable[[#This Row],[Price/lb]]*DbLinkTable[[#This Row],[Weight]],0)</f>
        <v>#VALUE!</v>
      </c>
      <c r="V737" s="4" t="str">
        <f>IF(COUNTIF($W$2:W737,W737)=1,1,"")</f>
        <v/>
      </c>
      <c r="W737" s="4" t="e">
        <f>CONCATENATE(DbLinkTable[[#This Row],[Customer]],UPPER(DbLinkTable[[#This Row],[Trailer Number]]),DbLinkTable[[#This Row],[Day Received]])</f>
        <v>#VALUE!</v>
      </c>
      <c r="X737" s="4" t="e">
        <f>DATEVALUE(TEXT(DbLinkTable[[#This Row],[Date Received]],"MMMM YYYY"))</f>
        <v>#VALUE!</v>
      </c>
      <c r="Y737" s="4" t="e">
        <f>INT(DbLinkTable[[#This Row],[Date Received]])</f>
        <v>#VALUE!</v>
      </c>
    </row>
    <row r="738" spans="5:25">
      <c r="E738"/>
      <c r="G738"/>
      <c r="H738"/>
      <c r="I738"/>
      <c r="K738"/>
      <c r="O738"/>
      <c r="R738"/>
      <c r="S738" s="79" t="e">
        <f>DbLinkTable[[#This Row],[Credit]]+DbLinkTable[[#This Row],[Charge]]</f>
        <v>#VALUE!</v>
      </c>
      <c r="T738" s="79" t="e">
        <f>IF(DbLinkTable[[#This Row],[Price/lb]]*DbLinkTable[[#This Row],[Weight]]&gt;0,DbLinkTable[[#This Row],[Price/lb]]*DbLinkTable[[#This Row],[Weight]],0)</f>
        <v>#VALUE!</v>
      </c>
      <c r="U738" s="79" t="e">
        <f>IF(DbLinkTable[[#This Row],[Price/lb]]*DbLinkTable[[#This Row],[Weight]]&lt;0,DbLinkTable[[#This Row],[Price/lb]]*DbLinkTable[[#This Row],[Weight]],0)</f>
        <v>#VALUE!</v>
      </c>
      <c r="V738" s="4" t="str">
        <f>IF(COUNTIF($W$2:W738,W738)=1,1,"")</f>
        <v/>
      </c>
      <c r="W738" s="4" t="e">
        <f>CONCATENATE(DbLinkTable[[#This Row],[Customer]],UPPER(DbLinkTable[[#This Row],[Trailer Number]]),DbLinkTable[[#This Row],[Day Received]])</f>
        <v>#VALUE!</v>
      </c>
      <c r="X738" s="4" t="e">
        <f>DATEVALUE(TEXT(DbLinkTable[[#This Row],[Date Received]],"MMMM YYYY"))</f>
        <v>#VALUE!</v>
      </c>
      <c r="Y738" s="4" t="e">
        <f>INT(DbLinkTable[[#This Row],[Date Received]])</f>
        <v>#VALUE!</v>
      </c>
    </row>
    <row r="739" spans="5:25">
      <c r="E739"/>
      <c r="G739"/>
      <c r="H739"/>
      <c r="I739"/>
      <c r="K739"/>
      <c r="O739"/>
      <c r="R739"/>
      <c r="S739" s="79" t="e">
        <f>DbLinkTable[[#This Row],[Credit]]+DbLinkTable[[#This Row],[Charge]]</f>
        <v>#VALUE!</v>
      </c>
      <c r="T739" s="79" t="e">
        <f>IF(DbLinkTable[[#This Row],[Price/lb]]*DbLinkTable[[#This Row],[Weight]]&gt;0,DbLinkTable[[#This Row],[Price/lb]]*DbLinkTable[[#This Row],[Weight]],0)</f>
        <v>#VALUE!</v>
      </c>
      <c r="U739" s="79" t="e">
        <f>IF(DbLinkTable[[#This Row],[Price/lb]]*DbLinkTable[[#This Row],[Weight]]&lt;0,DbLinkTable[[#This Row],[Price/lb]]*DbLinkTable[[#This Row],[Weight]],0)</f>
        <v>#VALUE!</v>
      </c>
      <c r="V739" s="4" t="str">
        <f>IF(COUNTIF($W$2:W739,W739)=1,1,"")</f>
        <v/>
      </c>
      <c r="W739" s="4" t="e">
        <f>CONCATENATE(DbLinkTable[[#This Row],[Customer]],UPPER(DbLinkTable[[#This Row],[Trailer Number]]),DbLinkTable[[#This Row],[Day Received]])</f>
        <v>#VALUE!</v>
      </c>
      <c r="X739" s="4" t="e">
        <f>DATEVALUE(TEXT(DbLinkTable[[#This Row],[Date Received]],"MMMM YYYY"))</f>
        <v>#VALUE!</v>
      </c>
      <c r="Y739" s="4" t="e">
        <f>INT(DbLinkTable[[#This Row],[Date Received]])</f>
        <v>#VALUE!</v>
      </c>
    </row>
    <row r="740" spans="5:25">
      <c r="E740"/>
      <c r="G740"/>
      <c r="H740"/>
      <c r="I740"/>
      <c r="K740"/>
      <c r="O740"/>
      <c r="R740"/>
      <c r="S740" s="79" t="e">
        <f>DbLinkTable[[#This Row],[Credit]]+DbLinkTable[[#This Row],[Charge]]</f>
        <v>#VALUE!</v>
      </c>
      <c r="T740" s="79" t="e">
        <f>IF(DbLinkTable[[#This Row],[Price/lb]]*DbLinkTable[[#This Row],[Weight]]&gt;0,DbLinkTable[[#This Row],[Price/lb]]*DbLinkTable[[#This Row],[Weight]],0)</f>
        <v>#VALUE!</v>
      </c>
      <c r="U740" s="79" t="e">
        <f>IF(DbLinkTable[[#This Row],[Price/lb]]*DbLinkTable[[#This Row],[Weight]]&lt;0,DbLinkTable[[#This Row],[Price/lb]]*DbLinkTable[[#This Row],[Weight]],0)</f>
        <v>#VALUE!</v>
      </c>
      <c r="V740" s="4" t="str">
        <f>IF(COUNTIF($W$2:W740,W740)=1,1,"")</f>
        <v/>
      </c>
      <c r="W740" s="4" t="e">
        <f>CONCATENATE(DbLinkTable[[#This Row],[Customer]],UPPER(DbLinkTable[[#This Row],[Trailer Number]]),DbLinkTable[[#This Row],[Day Received]])</f>
        <v>#VALUE!</v>
      </c>
      <c r="X740" s="4" t="e">
        <f>DATEVALUE(TEXT(DbLinkTable[[#This Row],[Date Received]],"MMMM YYYY"))</f>
        <v>#VALUE!</v>
      </c>
      <c r="Y740" s="4" t="e">
        <f>INT(DbLinkTable[[#This Row],[Date Received]])</f>
        <v>#VALUE!</v>
      </c>
    </row>
    <row r="741" spans="5:25">
      <c r="E741"/>
      <c r="G741"/>
      <c r="H741"/>
      <c r="I741"/>
      <c r="K741"/>
      <c r="O741"/>
      <c r="R741"/>
      <c r="S741" s="79" t="e">
        <f>DbLinkTable[[#This Row],[Credit]]+DbLinkTable[[#This Row],[Charge]]</f>
        <v>#VALUE!</v>
      </c>
      <c r="T741" s="79" t="e">
        <f>IF(DbLinkTable[[#This Row],[Price/lb]]*DbLinkTable[[#This Row],[Weight]]&gt;0,DbLinkTable[[#This Row],[Price/lb]]*DbLinkTable[[#This Row],[Weight]],0)</f>
        <v>#VALUE!</v>
      </c>
      <c r="U741" s="79" t="e">
        <f>IF(DbLinkTable[[#This Row],[Price/lb]]*DbLinkTable[[#This Row],[Weight]]&lt;0,DbLinkTable[[#This Row],[Price/lb]]*DbLinkTable[[#This Row],[Weight]],0)</f>
        <v>#VALUE!</v>
      </c>
      <c r="V741" s="4" t="str">
        <f>IF(COUNTIF($W$2:W741,W741)=1,1,"")</f>
        <v/>
      </c>
      <c r="W741" s="4" t="e">
        <f>CONCATENATE(DbLinkTable[[#This Row],[Customer]],UPPER(DbLinkTable[[#This Row],[Trailer Number]]),DbLinkTable[[#This Row],[Day Received]])</f>
        <v>#VALUE!</v>
      </c>
      <c r="X741" s="4" t="e">
        <f>DATEVALUE(TEXT(DbLinkTable[[#This Row],[Date Received]],"MMMM YYYY"))</f>
        <v>#VALUE!</v>
      </c>
      <c r="Y741" s="4" t="e">
        <f>INT(DbLinkTable[[#This Row],[Date Received]])</f>
        <v>#VALUE!</v>
      </c>
    </row>
    <row r="742" spans="5:25">
      <c r="E742"/>
      <c r="G742"/>
      <c r="H742"/>
      <c r="I742"/>
      <c r="K742"/>
      <c r="O742"/>
      <c r="R742"/>
      <c r="S742" s="79" t="e">
        <f>DbLinkTable[[#This Row],[Credit]]+DbLinkTable[[#This Row],[Charge]]</f>
        <v>#VALUE!</v>
      </c>
      <c r="T742" s="79" t="e">
        <f>IF(DbLinkTable[[#This Row],[Price/lb]]*DbLinkTable[[#This Row],[Weight]]&gt;0,DbLinkTable[[#This Row],[Price/lb]]*DbLinkTable[[#This Row],[Weight]],0)</f>
        <v>#VALUE!</v>
      </c>
      <c r="U742" s="79" t="e">
        <f>IF(DbLinkTable[[#This Row],[Price/lb]]*DbLinkTable[[#This Row],[Weight]]&lt;0,DbLinkTable[[#This Row],[Price/lb]]*DbLinkTable[[#This Row],[Weight]],0)</f>
        <v>#VALUE!</v>
      </c>
      <c r="V742" s="4" t="str">
        <f>IF(COUNTIF($W$2:W742,W742)=1,1,"")</f>
        <v/>
      </c>
      <c r="W742" s="4" t="e">
        <f>CONCATENATE(DbLinkTable[[#This Row],[Customer]],UPPER(DbLinkTable[[#This Row],[Trailer Number]]),DbLinkTable[[#This Row],[Day Received]])</f>
        <v>#VALUE!</v>
      </c>
      <c r="X742" s="4" t="e">
        <f>DATEVALUE(TEXT(DbLinkTable[[#This Row],[Date Received]],"MMMM YYYY"))</f>
        <v>#VALUE!</v>
      </c>
      <c r="Y742" s="4" t="e">
        <f>INT(DbLinkTable[[#This Row],[Date Received]])</f>
        <v>#VALUE!</v>
      </c>
    </row>
    <row r="743" spans="5:25">
      <c r="E743"/>
      <c r="G743"/>
      <c r="H743"/>
      <c r="I743"/>
      <c r="K743"/>
      <c r="O743"/>
      <c r="R743"/>
      <c r="S743" s="79" t="e">
        <f>DbLinkTable[[#This Row],[Credit]]+DbLinkTable[[#This Row],[Charge]]</f>
        <v>#VALUE!</v>
      </c>
      <c r="T743" s="79" t="e">
        <f>IF(DbLinkTable[[#This Row],[Price/lb]]*DbLinkTable[[#This Row],[Weight]]&gt;0,DbLinkTable[[#This Row],[Price/lb]]*DbLinkTable[[#This Row],[Weight]],0)</f>
        <v>#VALUE!</v>
      </c>
      <c r="U743" s="79" t="e">
        <f>IF(DbLinkTable[[#This Row],[Price/lb]]*DbLinkTable[[#This Row],[Weight]]&lt;0,DbLinkTable[[#This Row],[Price/lb]]*DbLinkTable[[#This Row],[Weight]],0)</f>
        <v>#VALUE!</v>
      </c>
      <c r="V743" s="4" t="str">
        <f>IF(COUNTIF($W$2:W743,W743)=1,1,"")</f>
        <v/>
      </c>
      <c r="W743" s="4" t="e">
        <f>CONCATENATE(DbLinkTable[[#This Row],[Customer]],UPPER(DbLinkTable[[#This Row],[Trailer Number]]),DbLinkTable[[#This Row],[Day Received]])</f>
        <v>#VALUE!</v>
      </c>
      <c r="X743" s="4" t="e">
        <f>DATEVALUE(TEXT(DbLinkTable[[#This Row],[Date Received]],"MMMM YYYY"))</f>
        <v>#VALUE!</v>
      </c>
      <c r="Y743" s="4" t="e">
        <f>INT(DbLinkTable[[#This Row],[Date Received]])</f>
        <v>#VALUE!</v>
      </c>
    </row>
    <row r="744" spans="5:25">
      <c r="E744"/>
      <c r="G744"/>
      <c r="H744"/>
      <c r="I744"/>
      <c r="K744"/>
      <c r="O744"/>
      <c r="R744"/>
      <c r="S744" s="79" t="e">
        <f>DbLinkTable[[#This Row],[Credit]]+DbLinkTable[[#This Row],[Charge]]</f>
        <v>#VALUE!</v>
      </c>
      <c r="T744" s="79" t="e">
        <f>IF(DbLinkTable[[#This Row],[Price/lb]]*DbLinkTable[[#This Row],[Weight]]&gt;0,DbLinkTable[[#This Row],[Price/lb]]*DbLinkTable[[#This Row],[Weight]],0)</f>
        <v>#VALUE!</v>
      </c>
      <c r="U744" s="79" t="e">
        <f>IF(DbLinkTable[[#This Row],[Price/lb]]*DbLinkTable[[#This Row],[Weight]]&lt;0,DbLinkTable[[#This Row],[Price/lb]]*DbLinkTable[[#This Row],[Weight]],0)</f>
        <v>#VALUE!</v>
      </c>
      <c r="V744" s="4" t="str">
        <f>IF(COUNTIF($W$2:W744,W744)=1,1,"")</f>
        <v/>
      </c>
      <c r="W744" s="4" t="e">
        <f>CONCATENATE(DbLinkTable[[#This Row],[Customer]],UPPER(DbLinkTable[[#This Row],[Trailer Number]]),DbLinkTable[[#This Row],[Day Received]])</f>
        <v>#VALUE!</v>
      </c>
      <c r="X744" s="4" t="e">
        <f>DATEVALUE(TEXT(DbLinkTable[[#This Row],[Date Received]],"MMMM YYYY"))</f>
        <v>#VALUE!</v>
      </c>
      <c r="Y744" s="4" t="e">
        <f>INT(DbLinkTable[[#This Row],[Date Received]])</f>
        <v>#VALUE!</v>
      </c>
    </row>
    <row r="745" spans="5:25">
      <c r="E745"/>
      <c r="G745"/>
      <c r="H745"/>
      <c r="I745"/>
      <c r="K745"/>
      <c r="O745"/>
      <c r="R745"/>
      <c r="S745" s="79" t="e">
        <f>DbLinkTable[[#This Row],[Credit]]+DbLinkTable[[#This Row],[Charge]]</f>
        <v>#VALUE!</v>
      </c>
      <c r="T745" s="79" t="e">
        <f>IF(DbLinkTable[[#This Row],[Price/lb]]*DbLinkTable[[#This Row],[Weight]]&gt;0,DbLinkTable[[#This Row],[Price/lb]]*DbLinkTable[[#This Row],[Weight]],0)</f>
        <v>#VALUE!</v>
      </c>
      <c r="U745" s="79" t="e">
        <f>IF(DbLinkTable[[#This Row],[Price/lb]]*DbLinkTable[[#This Row],[Weight]]&lt;0,DbLinkTable[[#This Row],[Price/lb]]*DbLinkTable[[#This Row],[Weight]],0)</f>
        <v>#VALUE!</v>
      </c>
      <c r="V745" s="4" t="str">
        <f>IF(COUNTIF($W$2:W745,W745)=1,1,"")</f>
        <v/>
      </c>
      <c r="W745" s="4" t="e">
        <f>CONCATENATE(DbLinkTable[[#This Row],[Customer]],UPPER(DbLinkTable[[#This Row],[Trailer Number]]),DbLinkTable[[#This Row],[Day Received]])</f>
        <v>#VALUE!</v>
      </c>
      <c r="X745" s="4" t="e">
        <f>DATEVALUE(TEXT(DbLinkTable[[#This Row],[Date Received]],"MMMM YYYY"))</f>
        <v>#VALUE!</v>
      </c>
      <c r="Y745" s="4" t="e">
        <f>INT(DbLinkTable[[#This Row],[Date Received]])</f>
        <v>#VALUE!</v>
      </c>
    </row>
    <row r="746" spans="5:25">
      <c r="E746"/>
      <c r="G746"/>
      <c r="H746"/>
      <c r="I746"/>
      <c r="K746"/>
      <c r="O746"/>
      <c r="R746"/>
      <c r="S746" s="79" t="e">
        <f>DbLinkTable[[#This Row],[Credit]]+DbLinkTable[[#This Row],[Charge]]</f>
        <v>#VALUE!</v>
      </c>
      <c r="T746" s="79" t="e">
        <f>IF(DbLinkTable[[#This Row],[Price/lb]]*DbLinkTable[[#This Row],[Weight]]&gt;0,DbLinkTable[[#This Row],[Price/lb]]*DbLinkTable[[#This Row],[Weight]],0)</f>
        <v>#VALUE!</v>
      </c>
      <c r="U746" s="79" t="e">
        <f>IF(DbLinkTable[[#This Row],[Price/lb]]*DbLinkTable[[#This Row],[Weight]]&lt;0,DbLinkTable[[#This Row],[Price/lb]]*DbLinkTable[[#This Row],[Weight]],0)</f>
        <v>#VALUE!</v>
      </c>
      <c r="V746" s="4" t="str">
        <f>IF(COUNTIF($W$2:W746,W746)=1,1,"")</f>
        <v/>
      </c>
      <c r="W746" s="4" t="e">
        <f>CONCATENATE(DbLinkTable[[#This Row],[Customer]],UPPER(DbLinkTable[[#This Row],[Trailer Number]]),DbLinkTable[[#This Row],[Day Received]])</f>
        <v>#VALUE!</v>
      </c>
      <c r="X746" s="4" t="e">
        <f>DATEVALUE(TEXT(DbLinkTable[[#This Row],[Date Received]],"MMMM YYYY"))</f>
        <v>#VALUE!</v>
      </c>
      <c r="Y746" s="4" t="e">
        <f>INT(DbLinkTable[[#This Row],[Date Received]])</f>
        <v>#VALUE!</v>
      </c>
    </row>
    <row r="747" spans="5:25">
      <c r="E747"/>
      <c r="G747"/>
      <c r="H747"/>
      <c r="I747"/>
      <c r="K747"/>
      <c r="O747"/>
      <c r="R747"/>
      <c r="S747" s="79" t="e">
        <f>DbLinkTable[[#This Row],[Credit]]+DbLinkTable[[#This Row],[Charge]]</f>
        <v>#VALUE!</v>
      </c>
      <c r="T747" s="79" t="e">
        <f>IF(DbLinkTable[[#This Row],[Price/lb]]*DbLinkTable[[#This Row],[Weight]]&gt;0,DbLinkTable[[#This Row],[Price/lb]]*DbLinkTable[[#This Row],[Weight]],0)</f>
        <v>#VALUE!</v>
      </c>
      <c r="U747" s="79" t="e">
        <f>IF(DbLinkTable[[#This Row],[Price/lb]]*DbLinkTable[[#This Row],[Weight]]&lt;0,DbLinkTable[[#This Row],[Price/lb]]*DbLinkTable[[#This Row],[Weight]],0)</f>
        <v>#VALUE!</v>
      </c>
      <c r="V747" s="4" t="str">
        <f>IF(COUNTIF($W$2:W747,W747)=1,1,"")</f>
        <v/>
      </c>
      <c r="W747" s="4" t="e">
        <f>CONCATENATE(DbLinkTable[[#This Row],[Customer]],UPPER(DbLinkTable[[#This Row],[Trailer Number]]),DbLinkTable[[#This Row],[Day Received]])</f>
        <v>#VALUE!</v>
      </c>
      <c r="X747" s="4" t="e">
        <f>DATEVALUE(TEXT(DbLinkTable[[#This Row],[Date Received]],"MMMM YYYY"))</f>
        <v>#VALUE!</v>
      </c>
      <c r="Y747" s="4" t="e">
        <f>INT(DbLinkTable[[#This Row],[Date Received]])</f>
        <v>#VALUE!</v>
      </c>
    </row>
    <row r="748" spans="5:25">
      <c r="E748"/>
      <c r="G748"/>
      <c r="H748"/>
      <c r="I748"/>
      <c r="K748"/>
      <c r="O748"/>
      <c r="R748"/>
      <c r="S748" s="79" t="e">
        <f>DbLinkTable[[#This Row],[Credit]]+DbLinkTable[[#This Row],[Charge]]</f>
        <v>#VALUE!</v>
      </c>
      <c r="T748" s="79" t="e">
        <f>IF(DbLinkTable[[#This Row],[Price/lb]]*DbLinkTable[[#This Row],[Weight]]&gt;0,DbLinkTable[[#This Row],[Price/lb]]*DbLinkTable[[#This Row],[Weight]],0)</f>
        <v>#VALUE!</v>
      </c>
      <c r="U748" s="79" t="e">
        <f>IF(DbLinkTable[[#This Row],[Price/lb]]*DbLinkTable[[#This Row],[Weight]]&lt;0,DbLinkTable[[#This Row],[Price/lb]]*DbLinkTable[[#This Row],[Weight]],0)</f>
        <v>#VALUE!</v>
      </c>
      <c r="V748" s="4" t="str">
        <f>IF(COUNTIF($W$2:W748,W748)=1,1,"")</f>
        <v/>
      </c>
      <c r="W748" s="4" t="e">
        <f>CONCATENATE(DbLinkTable[[#This Row],[Customer]],UPPER(DbLinkTable[[#This Row],[Trailer Number]]),DbLinkTable[[#This Row],[Day Received]])</f>
        <v>#VALUE!</v>
      </c>
      <c r="X748" s="4" t="e">
        <f>DATEVALUE(TEXT(DbLinkTable[[#This Row],[Date Received]],"MMMM YYYY"))</f>
        <v>#VALUE!</v>
      </c>
      <c r="Y748" s="4" t="e">
        <f>INT(DbLinkTable[[#This Row],[Date Received]])</f>
        <v>#VALUE!</v>
      </c>
    </row>
    <row r="749" spans="5:25">
      <c r="E749"/>
      <c r="G749"/>
      <c r="H749"/>
      <c r="I749"/>
      <c r="K749"/>
      <c r="O749"/>
      <c r="R749"/>
      <c r="S749" s="79" t="e">
        <f>DbLinkTable[[#This Row],[Credit]]+DbLinkTable[[#This Row],[Charge]]</f>
        <v>#VALUE!</v>
      </c>
      <c r="T749" s="79" t="e">
        <f>IF(DbLinkTable[[#This Row],[Price/lb]]*DbLinkTable[[#This Row],[Weight]]&gt;0,DbLinkTable[[#This Row],[Price/lb]]*DbLinkTable[[#This Row],[Weight]],0)</f>
        <v>#VALUE!</v>
      </c>
      <c r="U749" s="79" t="e">
        <f>IF(DbLinkTable[[#This Row],[Price/lb]]*DbLinkTable[[#This Row],[Weight]]&lt;0,DbLinkTable[[#This Row],[Price/lb]]*DbLinkTable[[#This Row],[Weight]],0)</f>
        <v>#VALUE!</v>
      </c>
      <c r="V749" s="4" t="str">
        <f>IF(COUNTIF($W$2:W749,W749)=1,1,"")</f>
        <v/>
      </c>
      <c r="W749" s="4" t="e">
        <f>CONCATENATE(DbLinkTable[[#This Row],[Customer]],UPPER(DbLinkTable[[#This Row],[Trailer Number]]),DbLinkTable[[#This Row],[Day Received]])</f>
        <v>#VALUE!</v>
      </c>
      <c r="X749" s="4" t="e">
        <f>DATEVALUE(TEXT(DbLinkTable[[#This Row],[Date Received]],"MMMM YYYY"))</f>
        <v>#VALUE!</v>
      </c>
      <c r="Y749" s="4" t="e">
        <f>INT(DbLinkTable[[#This Row],[Date Received]])</f>
        <v>#VALUE!</v>
      </c>
    </row>
    <row r="750" spans="5:25">
      <c r="E750"/>
      <c r="G750"/>
      <c r="H750"/>
      <c r="I750"/>
      <c r="K750"/>
      <c r="O750"/>
      <c r="R750"/>
      <c r="S750" s="79" t="e">
        <f>DbLinkTable[[#This Row],[Credit]]+DbLinkTable[[#This Row],[Charge]]</f>
        <v>#VALUE!</v>
      </c>
      <c r="T750" s="79" t="e">
        <f>IF(DbLinkTable[[#This Row],[Price/lb]]*DbLinkTable[[#This Row],[Weight]]&gt;0,DbLinkTable[[#This Row],[Price/lb]]*DbLinkTable[[#This Row],[Weight]],0)</f>
        <v>#VALUE!</v>
      </c>
      <c r="U750" s="79" t="e">
        <f>IF(DbLinkTable[[#This Row],[Price/lb]]*DbLinkTable[[#This Row],[Weight]]&lt;0,DbLinkTable[[#This Row],[Price/lb]]*DbLinkTable[[#This Row],[Weight]],0)</f>
        <v>#VALUE!</v>
      </c>
      <c r="V750" s="4" t="str">
        <f>IF(COUNTIF($W$2:W750,W750)=1,1,"")</f>
        <v/>
      </c>
      <c r="W750" s="4" t="e">
        <f>CONCATENATE(DbLinkTable[[#This Row],[Customer]],UPPER(DbLinkTable[[#This Row],[Trailer Number]]),DbLinkTable[[#This Row],[Day Received]])</f>
        <v>#VALUE!</v>
      </c>
      <c r="X750" s="4" t="e">
        <f>DATEVALUE(TEXT(DbLinkTable[[#This Row],[Date Received]],"MMMM YYYY"))</f>
        <v>#VALUE!</v>
      </c>
      <c r="Y750" s="4" t="e">
        <f>INT(DbLinkTable[[#This Row],[Date Received]])</f>
        <v>#VALUE!</v>
      </c>
    </row>
    <row r="751" spans="5:25">
      <c r="E751"/>
      <c r="G751"/>
      <c r="H751"/>
      <c r="I751"/>
      <c r="K751"/>
      <c r="O751"/>
      <c r="R751"/>
      <c r="S751" s="79" t="e">
        <f>DbLinkTable[[#This Row],[Credit]]+DbLinkTable[[#This Row],[Charge]]</f>
        <v>#VALUE!</v>
      </c>
      <c r="T751" s="79" t="e">
        <f>IF(DbLinkTable[[#This Row],[Price/lb]]*DbLinkTable[[#This Row],[Weight]]&gt;0,DbLinkTable[[#This Row],[Price/lb]]*DbLinkTable[[#This Row],[Weight]],0)</f>
        <v>#VALUE!</v>
      </c>
      <c r="U751" s="79" t="e">
        <f>IF(DbLinkTable[[#This Row],[Price/lb]]*DbLinkTable[[#This Row],[Weight]]&lt;0,DbLinkTable[[#This Row],[Price/lb]]*DbLinkTable[[#This Row],[Weight]],0)</f>
        <v>#VALUE!</v>
      </c>
      <c r="V751" s="4" t="str">
        <f>IF(COUNTIF($W$2:W751,W751)=1,1,"")</f>
        <v/>
      </c>
      <c r="W751" s="4" t="e">
        <f>CONCATENATE(DbLinkTable[[#This Row],[Customer]],UPPER(DbLinkTable[[#This Row],[Trailer Number]]),DbLinkTable[[#This Row],[Day Received]])</f>
        <v>#VALUE!</v>
      </c>
      <c r="X751" s="4" t="e">
        <f>DATEVALUE(TEXT(DbLinkTable[[#This Row],[Date Received]],"MMMM YYYY"))</f>
        <v>#VALUE!</v>
      </c>
      <c r="Y751" s="4" t="e">
        <f>INT(DbLinkTable[[#This Row],[Date Received]])</f>
        <v>#VALUE!</v>
      </c>
    </row>
    <row r="752" spans="5:25">
      <c r="E752"/>
      <c r="G752"/>
      <c r="H752"/>
      <c r="I752"/>
      <c r="K752"/>
      <c r="O752"/>
      <c r="R752"/>
      <c r="S752" s="79" t="e">
        <f>DbLinkTable[[#This Row],[Credit]]+DbLinkTable[[#This Row],[Charge]]</f>
        <v>#VALUE!</v>
      </c>
      <c r="T752" s="79" t="e">
        <f>IF(DbLinkTable[[#This Row],[Price/lb]]*DbLinkTable[[#This Row],[Weight]]&gt;0,DbLinkTable[[#This Row],[Price/lb]]*DbLinkTable[[#This Row],[Weight]],0)</f>
        <v>#VALUE!</v>
      </c>
      <c r="U752" s="79" t="e">
        <f>IF(DbLinkTable[[#This Row],[Price/lb]]*DbLinkTable[[#This Row],[Weight]]&lt;0,DbLinkTable[[#This Row],[Price/lb]]*DbLinkTable[[#This Row],[Weight]],0)</f>
        <v>#VALUE!</v>
      </c>
      <c r="V752" s="4" t="str">
        <f>IF(COUNTIF($W$2:W752,W752)=1,1,"")</f>
        <v/>
      </c>
      <c r="W752" s="4" t="e">
        <f>CONCATENATE(DbLinkTable[[#This Row],[Customer]],UPPER(DbLinkTable[[#This Row],[Trailer Number]]),DbLinkTable[[#This Row],[Day Received]])</f>
        <v>#VALUE!</v>
      </c>
      <c r="X752" s="4" t="e">
        <f>DATEVALUE(TEXT(DbLinkTable[[#This Row],[Date Received]],"MMMM YYYY"))</f>
        <v>#VALUE!</v>
      </c>
      <c r="Y752" s="4" t="e">
        <f>INT(DbLinkTable[[#This Row],[Date Received]])</f>
        <v>#VALUE!</v>
      </c>
    </row>
    <row r="753" spans="5:25">
      <c r="E753"/>
      <c r="G753"/>
      <c r="H753"/>
      <c r="I753"/>
      <c r="K753"/>
      <c r="O753"/>
      <c r="R753"/>
      <c r="S753" s="79" t="e">
        <f>DbLinkTable[[#This Row],[Credit]]+DbLinkTable[[#This Row],[Charge]]</f>
        <v>#VALUE!</v>
      </c>
      <c r="T753" s="79" t="e">
        <f>IF(DbLinkTable[[#This Row],[Price/lb]]*DbLinkTable[[#This Row],[Weight]]&gt;0,DbLinkTable[[#This Row],[Price/lb]]*DbLinkTable[[#This Row],[Weight]],0)</f>
        <v>#VALUE!</v>
      </c>
      <c r="U753" s="79" t="e">
        <f>IF(DbLinkTable[[#This Row],[Price/lb]]*DbLinkTable[[#This Row],[Weight]]&lt;0,DbLinkTable[[#This Row],[Price/lb]]*DbLinkTable[[#This Row],[Weight]],0)</f>
        <v>#VALUE!</v>
      </c>
      <c r="V753" s="4" t="str">
        <f>IF(COUNTIF($W$2:W753,W753)=1,1,"")</f>
        <v/>
      </c>
      <c r="W753" s="4" t="e">
        <f>CONCATENATE(DbLinkTable[[#This Row],[Customer]],UPPER(DbLinkTable[[#This Row],[Trailer Number]]),DbLinkTable[[#This Row],[Day Received]])</f>
        <v>#VALUE!</v>
      </c>
      <c r="X753" s="4" t="e">
        <f>DATEVALUE(TEXT(DbLinkTable[[#This Row],[Date Received]],"MMMM YYYY"))</f>
        <v>#VALUE!</v>
      </c>
      <c r="Y753" s="4" t="e">
        <f>INT(DbLinkTable[[#This Row],[Date Received]])</f>
        <v>#VALUE!</v>
      </c>
    </row>
    <row r="754" spans="5:25">
      <c r="E754"/>
      <c r="G754"/>
      <c r="H754"/>
      <c r="I754"/>
      <c r="K754"/>
      <c r="O754"/>
      <c r="R754"/>
      <c r="S754" s="79" t="e">
        <f>DbLinkTable[[#This Row],[Credit]]+DbLinkTable[[#This Row],[Charge]]</f>
        <v>#VALUE!</v>
      </c>
      <c r="T754" s="79" t="e">
        <f>IF(DbLinkTable[[#This Row],[Price/lb]]*DbLinkTable[[#This Row],[Weight]]&gt;0,DbLinkTable[[#This Row],[Price/lb]]*DbLinkTable[[#This Row],[Weight]],0)</f>
        <v>#VALUE!</v>
      </c>
      <c r="U754" s="79" t="e">
        <f>IF(DbLinkTable[[#This Row],[Price/lb]]*DbLinkTable[[#This Row],[Weight]]&lt;0,DbLinkTable[[#This Row],[Price/lb]]*DbLinkTable[[#This Row],[Weight]],0)</f>
        <v>#VALUE!</v>
      </c>
      <c r="V754" s="4" t="str">
        <f>IF(COUNTIF($W$2:W754,W754)=1,1,"")</f>
        <v/>
      </c>
      <c r="W754" s="4" t="e">
        <f>CONCATENATE(DbLinkTable[[#This Row],[Customer]],UPPER(DbLinkTable[[#This Row],[Trailer Number]]),DbLinkTable[[#This Row],[Day Received]])</f>
        <v>#VALUE!</v>
      </c>
      <c r="X754" s="4" t="e">
        <f>DATEVALUE(TEXT(DbLinkTable[[#This Row],[Date Received]],"MMMM YYYY"))</f>
        <v>#VALUE!</v>
      </c>
      <c r="Y754" s="4" t="e">
        <f>INT(DbLinkTable[[#This Row],[Date Received]])</f>
        <v>#VALUE!</v>
      </c>
    </row>
    <row r="755" spans="5:25">
      <c r="E755"/>
      <c r="G755"/>
      <c r="H755"/>
      <c r="I755"/>
      <c r="K755"/>
      <c r="O755"/>
      <c r="R755"/>
      <c r="S755" s="79" t="e">
        <f>DbLinkTable[[#This Row],[Credit]]+DbLinkTable[[#This Row],[Charge]]</f>
        <v>#VALUE!</v>
      </c>
      <c r="T755" s="79" t="e">
        <f>IF(DbLinkTable[[#This Row],[Price/lb]]*DbLinkTable[[#This Row],[Weight]]&gt;0,DbLinkTable[[#This Row],[Price/lb]]*DbLinkTable[[#This Row],[Weight]],0)</f>
        <v>#VALUE!</v>
      </c>
      <c r="U755" s="79" t="e">
        <f>IF(DbLinkTable[[#This Row],[Price/lb]]*DbLinkTable[[#This Row],[Weight]]&lt;0,DbLinkTable[[#This Row],[Price/lb]]*DbLinkTable[[#This Row],[Weight]],0)</f>
        <v>#VALUE!</v>
      </c>
      <c r="V755" s="4" t="str">
        <f>IF(COUNTIF($W$2:W755,W755)=1,1,"")</f>
        <v/>
      </c>
      <c r="W755" s="4" t="e">
        <f>CONCATENATE(DbLinkTable[[#This Row],[Customer]],UPPER(DbLinkTable[[#This Row],[Trailer Number]]),DbLinkTable[[#This Row],[Day Received]])</f>
        <v>#VALUE!</v>
      </c>
      <c r="X755" s="4" t="e">
        <f>DATEVALUE(TEXT(DbLinkTable[[#This Row],[Date Received]],"MMMM YYYY"))</f>
        <v>#VALUE!</v>
      </c>
      <c r="Y755" s="4" t="e">
        <f>INT(DbLinkTable[[#This Row],[Date Received]])</f>
        <v>#VALUE!</v>
      </c>
    </row>
    <row r="756" spans="5:25">
      <c r="E756"/>
      <c r="G756"/>
      <c r="H756"/>
      <c r="I756"/>
      <c r="K756"/>
      <c r="O756"/>
      <c r="R756"/>
      <c r="S756" s="79" t="e">
        <f>DbLinkTable[[#This Row],[Credit]]+DbLinkTable[[#This Row],[Charge]]</f>
        <v>#VALUE!</v>
      </c>
      <c r="T756" s="79" t="e">
        <f>IF(DbLinkTable[[#This Row],[Price/lb]]*DbLinkTable[[#This Row],[Weight]]&gt;0,DbLinkTable[[#This Row],[Price/lb]]*DbLinkTable[[#This Row],[Weight]],0)</f>
        <v>#VALUE!</v>
      </c>
      <c r="U756" s="79" t="e">
        <f>IF(DbLinkTable[[#This Row],[Price/lb]]*DbLinkTable[[#This Row],[Weight]]&lt;0,DbLinkTable[[#This Row],[Price/lb]]*DbLinkTable[[#This Row],[Weight]],0)</f>
        <v>#VALUE!</v>
      </c>
      <c r="V756" s="4" t="str">
        <f>IF(COUNTIF($W$2:W756,W756)=1,1,"")</f>
        <v/>
      </c>
      <c r="W756" s="4" t="e">
        <f>CONCATENATE(DbLinkTable[[#This Row],[Customer]],UPPER(DbLinkTable[[#This Row],[Trailer Number]]),DbLinkTable[[#This Row],[Day Received]])</f>
        <v>#VALUE!</v>
      </c>
      <c r="X756" s="4" t="e">
        <f>DATEVALUE(TEXT(DbLinkTable[[#This Row],[Date Received]],"MMMM YYYY"))</f>
        <v>#VALUE!</v>
      </c>
      <c r="Y756" s="4" t="e">
        <f>INT(DbLinkTable[[#This Row],[Date Received]])</f>
        <v>#VALUE!</v>
      </c>
    </row>
    <row r="757" spans="5:25">
      <c r="E757"/>
      <c r="G757"/>
      <c r="H757"/>
      <c r="I757"/>
      <c r="K757"/>
      <c r="O757"/>
      <c r="R757"/>
      <c r="S757" s="79" t="e">
        <f>DbLinkTable[[#This Row],[Credit]]+DbLinkTable[[#This Row],[Charge]]</f>
        <v>#VALUE!</v>
      </c>
      <c r="T757" s="79" t="e">
        <f>IF(DbLinkTable[[#This Row],[Price/lb]]*DbLinkTable[[#This Row],[Weight]]&gt;0,DbLinkTable[[#This Row],[Price/lb]]*DbLinkTable[[#This Row],[Weight]],0)</f>
        <v>#VALUE!</v>
      </c>
      <c r="U757" s="79" t="e">
        <f>IF(DbLinkTable[[#This Row],[Price/lb]]*DbLinkTable[[#This Row],[Weight]]&lt;0,DbLinkTable[[#This Row],[Price/lb]]*DbLinkTable[[#This Row],[Weight]],0)</f>
        <v>#VALUE!</v>
      </c>
      <c r="V757" s="4" t="str">
        <f>IF(COUNTIF($W$2:W757,W757)=1,1,"")</f>
        <v/>
      </c>
      <c r="W757" s="4" t="e">
        <f>CONCATENATE(DbLinkTable[[#This Row],[Customer]],UPPER(DbLinkTable[[#This Row],[Trailer Number]]),DbLinkTable[[#This Row],[Day Received]])</f>
        <v>#VALUE!</v>
      </c>
      <c r="X757" s="4" t="e">
        <f>DATEVALUE(TEXT(DbLinkTable[[#This Row],[Date Received]],"MMMM YYYY"))</f>
        <v>#VALUE!</v>
      </c>
      <c r="Y757" s="4" t="e">
        <f>INT(DbLinkTable[[#This Row],[Date Received]])</f>
        <v>#VALUE!</v>
      </c>
    </row>
    <row r="758" spans="5:25">
      <c r="E758"/>
      <c r="G758"/>
      <c r="H758"/>
      <c r="I758"/>
      <c r="K758"/>
      <c r="O758"/>
      <c r="R758"/>
      <c r="S758" s="79" t="e">
        <f>DbLinkTable[[#This Row],[Credit]]+DbLinkTable[[#This Row],[Charge]]</f>
        <v>#VALUE!</v>
      </c>
      <c r="T758" s="79" t="e">
        <f>IF(DbLinkTable[[#This Row],[Price/lb]]*DbLinkTable[[#This Row],[Weight]]&gt;0,DbLinkTable[[#This Row],[Price/lb]]*DbLinkTable[[#This Row],[Weight]],0)</f>
        <v>#VALUE!</v>
      </c>
      <c r="U758" s="79" t="e">
        <f>IF(DbLinkTable[[#This Row],[Price/lb]]*DbLinkTable[[#This Row],[Weight]]&lt;0,DbLinkTable[[#This Row],[Price/lb]]*DbLinkTable[[#This Row],[Weight]],0)</f>
        <v>#VALUE!</v>
      </c>
      <c r="V758" s="4" t="str">
        <f>IF(COUNTIF($W$2:W758,W758)=1,1,"")</f>
        <v/>
      </c>
      <c r="W758" s="4" t="e">
        <f>CONCATENATE(DbLinkTable[[#This Row],[Customer]],UPPER(DbLinkTable[[#This Row],[Trailer Number]]),DbLinkTable[[#This Row],[Day Received]])</f>
        <v>#VALUE!</v>
      </c>
      <c r="X758" s="4" t="e">
        <f>DATEVALUE(TEXT(DbLinkTable[[#This Row],[Date Received]],"MMMM YYYY"))</f>
        <v>#VALUE!</v>
      </c>
      <c r="Y758" s="4" t="e">
        <f>INT(DbLinkTable[[#This Row],[Date Received]])</f>
        <v>#VALUE!</v>
      </c>
    </row>
    <row r="759" spans="5:25">
      <c r="E759"/>
      <c r="G759"/>
      <c r="H759"/>
      <c r="I759"/>
      <c r="K759"/>
      <c r="O759"/>
      <c r="R759"/>
      <c r="S759" s="79" t="e">
        <f>DbLinkTable[[#This Row],[Credit]]+DbLinkTable[[#This Row],[Charge]]</f>
        <v>#VALUE!</v>
      </c>
      <c r="T759" s="79" t="e">
        <f>IF(DbLinkTable[[#This Row],[Price/lb]]*DbLinkTable[[#This Row],[Weight]]&gt;0,DbLinkTable[[#This Row],[Price/lb]]*DbLinkTable[[#This Row],[Weight]],0)</f>
        <v>#VALUE!</v>
      </c>
      <c r="U759" s="79" t="e">
        <f>IF(DbLinkTable[[#This Row],[Price/lb]]*DbLinkTable[[#This Row],[Weight]]&lt;0,DbLinkTable[[#This Row],[Price/lb]]*DbLinkTable[[#This Row],[Weight]],0)</f>
        <v>#VALUE!</v>
      </c>
      <c r="V759" s="4" t="str">
        <f>IF(COUNTIF($W$2:W759,W759)=1,1,"")</f>
        <v/>
      </c>
      <c r="W759" s="4" t="e">
        <f>CONCATENATE(DbLinkTable[[#This Row],[Customer]],UPPER(DbLinkTable[[#This Row],[Trailer Number]]),DbLinkTable[[#This Row],[Day Received]])</f>
        <v>#VALUE!</v>
      </c>
      <c r="X759" s="4" t="e">
        <f>DATEVALUE(TEXT(DbLinkTable[[#This Row],[Date Received]],"MMMM YYYY"))</f>
        <v>#VALUE!</v>
      </c>
      <c r="Y759" s="4" t="e">
        <f>INT(DbLinkTable[[#This Row],[Date Received]])</f>
        <v>#VALUE!</v>
      </c>
    </row>
    <row r="760" spans="5:25">
      <c r="E760"/>
      <c r="G760"/>
      <c r="H760"/>
      <c r="I760"/>
      <c r="K760"/>
      <c r="O760"/>
      <c r="R760"/>
      <c r="S760" s="79" t="e">
        <f>DbLinkTable[[#This Row],[Credit]]+DbLinkTable[[#This Row],[Charge]]</f>
        <v>#VALUE!</v>
      </c>
      <c r="T760" s="79" t="e">
        <f>IF(DbLinkTable[[#This Row],[Price/lb]]*DbLinkTable[[#This Row],[Weight]]&gt;0,DbLinkTable[[#This Row],[Price/lb]]*DbLinkTable[[#This Row],[Weight]],0)</f>
        <v>#VALUE!</v>
      </c>
      <c r="U760" s="79" t="e">
        <f>IF(DbLinkTable[[#This Row],[Price/lb]]*DbLinkTable[[#This Row],[Weight]]&lt;0,DbLinkTable[[#This Row],[Price/lb]]*DbLinkTable[[#This Row],[Weight]],0)</f>
        <v>#VALUE!</v>
      </c>
      <c r="V760" s="4" t="str">
        <f>IF(COUNTIF($W$2:W760,W760)=1,1,"")</f>
        <v/>
      </c>
      <c r="W760" s="4" t="e">
        <f>CONCATENATE(DbLinkTable[[#This Row],[Customer]],UPPER(DbLinkTable[[#This Row],[Trailer Number]]),DbLinkTable[[#This Row],[Day Received]])</f>
        <v>#VALUE!</v>
      </c>
      <c r="X760" s="4" t="e">
        <f>DATEVALUE(TEXT(DbLinkTable[[#This Row],[Date Received]],"MMMM YYYY"))</f>
        <v>#VALUE!</v>
      </c>
      <c r="Y760" s="4" t="e">
        <f>INT(DbLinkTable[[#This Row],[Date Received]])</f>
        <v>#VALUE!</v>
      </c>
    </row>
    <row r="761" spans="5:25">
      <c r="E761"/>
      <c r="G761"/>
      <c r="H761"/>
      <c r="I761"/>
      <c r="K761"/>
      <c r="O761"/>
      <c r="R761"/>
      <c r="S761" s="79" t="e">
        <f>DbLinkTable[[#This Row],[Credit]]+DbLinkTable[[#This Row],[Charge]]</f>
        <v>#VALUE!</v>
      </c>
      <c r="T761" s="79" t="e">
        <f>IF(DbLinkTable[[#This Row],[Price/lb]]*DbLinkTable[[#This Row],[Weight]]&gt;0,DbLinkTable[[#This Row],[Price/lb]]*DbLinkTable[[#This Row],[Weight]],0)</f>
        <v>#VALUE!</v>
      </c>
      <c r="U761" s="79" t="e">
        <f>IF(DbLinkTable[[#This Row],[Price/lb]]*DbLinkTable[[#This Row],[Weight]]&lt;0,DbLinkTable[[#This Row],[Price/lb]]*DbLinkTable[[#This Row],[Weight]],0)</f>
        <v>#VALUE!</v>
      </c>
      <c r="V761" s="4" t="str">
        <f>IF(COUNTIF($W$2:W761,W761)=1,1,"")</f>
        <v/>
      </c>
      <c r="W761" s="4" t="e">
        <f>CONCATENATE(DbLinkTable[[#This Row],[Customer]],UPPER(DbLinkTable[[#This Row],[Trailer Number]]),DbLinkTable[[#This Row],[Day Received]])</f>
        <v>#VALUE!</v>
      </c>
      <c r="X761" s="4" t="e">
        <f>DATEVALUE(TEXT(DbLinkTable[[#This Row],[Date Received]],"MMMM YYYY"))</f>
        <v>#VALUE!</v>
      </c>
      <c r="Y761" s="4" t="e">
        <f>INT(DbLinkTable[[#This Row],[Date Received]])</f>
        <v>#VALUE!</v>
      </c>
    </row>
    <row r="762" spans="5:25">
      <c r="E762"/>
      <c r="G762"/>
      <c r="H762"/>
      <c r="I762"/>
      <c r="K762"/>
      <c r="O762"/>
      <c r="R762"/>
      <c r="S762" s="79" t="e">
        <f>DbLinkTable[[#This Row],[Credit]]+DbLinkTable[[#This Row],[Charge]]</f>
        <v>#VALUE!</v>
      </c>
      <c r="T762" s="79" t="e">
        <f>IF(DbLinkTable[[#This Row],[Price/lb]]*DbLinkTable[[#This Row],[Weight]]&gt;0,DbLinkTable[[#This Row],[Price/lb]]*DbLinkTable[[#This Row],[Weight]],0)</f>
        <v>#VALUE!</v>
      </c>
      <c r="U762" s="79" t="e">
        <f>IF(DbLinkTable[[#This Row],[Price/lb]]*DbLinkTable[[#This Row],[Weight]]&lt;0,DbLinkTable[[#This Row],[Price/lb]]*DbLinkTable[[#This Row],[Weight]],0)</f>
        <v>#VALUE!</v>
      </c>
      <c r="V762" s="4" t="str">
        <f>IF(COUNTIF($W$2:W762,W762)=1,1,"")</f>
        <v/>
      </c>
      <c r="W762" s="4" t="e">
        <f>CONCATENATE(DbLinkTable[[#This Row],[Customer]],UPPER(DbLinkTable[[#This Row],[Trailer Number]]),DbLinkTable[[#This Row],[Day Received]])</f>
        <v>#VALUE!</v>
      </c>
      <c r="X762" s="4" t="e">
        <f>DATEVALUE(TEXT(DbLinkTable[[#This Row],[Date Received]],"MMMM YYYY"))</f>
        <v>#VALUE!</v>
      </c>
      <c r="Y762" s="4" t="e">
        <f>INT(DbLinkTable[[#This Row],[Date Received]])</f>
        <v>#VALUE!</v>
      </c>
    </row>
    <row r="763" spans="5:25">
      <c r="E763"/>
      <c r="G763"/>
      <c r="H763"/>
      <c r="I763"/>
      <c r="K763"/>
      <c r="O763"/>
      <c r="R763"/>
      <c r="S763" s="79" t="e">
        <f>DbLinkTable[[#This Row],[Credit]]+DbLinkTable[[#This Row],[Charge]]</f>
        <v>#VALUE!</v>
      </c>
      <c r="T763" s="79" t="e">
        <f>IF(DbLinkTable[[#This Row],[Price/lb]]*DbLinkTable[[#This Row],[Weight]]&gt;0,DbLinkTable[[#This Row],[Price/lb]]*DbLinkTable[[#This Row],[Weight]],0)</f>
        <v>#VALUE!</v>
      </c>
      <c r="U763" s="79" t="e">
        <f>IF(DbLinkTable[[#This Row],[Price/lb]]*DbLinkTable[[#This Row],[Weight]]&lt;0,DbLinkTable[[#This Row],[Price/lb]]*DbLinkTable[[#This Row],[Weight]],0)</f>
        <v>#VALUE!</v>
      </c>
      <c r="V763" s="4" t="str">
        <f>IF(COUNTIF($W$2:W763,W763)=1,1,"")</f>
        <v/>
      </c>
      <c r="W763" s="4" t="e">
        <f>CONCATENATE(DbLinkTable[[#This Row],[Customer]],UPPER(DbLinkTable[[#This Row],[Trailer Number]]),DbLinkTable[[#This Row],[Day Received]])</f>
        <v>#VALUE!</v>
      </c>
      <c r="X763" s="4" t="e">
        <f>DATEVALUE(TEXT(DbLinkTable[[#This Row],[Date Received]],"MMMM YYYY"))</f>
        <v>#VALUE!</v>
      </c>
      <c r="Y763" s="4" t="e">
        <f>INT(DbLinkTable[[#This Row],[Date Received]])</f>
        <v>#VALUE!</v>
      </c>
    </row>
    <row r="764" spans="5:25">
      <c r="E764"/>
      <c r="G764"/>
      <c r="H764"/>
      <c r="I764"/>
      <c r="K764"/>
      <c r="O764"/>
      <c r="R764"/>
      <c r="S764" s="79" t="e">
        <f>DbLinkTable[[#This Row],[Credit]]+DbLinkTable[[#This Row],[Charge]]</f>
        <v>#VALUE!</v>
      </c>
      <c r="T764" s="79" t="e">
        <f>IF(DbLinkTable[[#This Row],[Price/lb]]*DbLinkTable[[#This Row],[Weight]]&gt;0,DbLinkTable[[#This Row],[Price/lb]]*DbLinkTable[[#This Row],[Weight]],0)</f>
        <v>#VALUE!</v>
      </c>
      <c r="U764" s="79" t="e">
        <f>IF(DbLinkTable[[#This Row],[Price/lb]]*DbLinkTable[[#This Row],[Weight]]&lt;0,DbLinkTable[[#This Row],[Price/lb]]*DbLinkTable[[#This Row],[Weight]],0)</f>
        <v>#VALUE!</v>
      </c>
      <c r="V764" s="4" t="str">
        <f>IF(COUNTIF($W$2:W764,W764)=1,1,"")</f>
        <v/>
      </c>
      <c r="W764" s="4" t="e">
        <f>CONCATENATE(DbLinkTable[[#This Row],[Customer]],UPPER(DbLinkTable[[#This Row],[Trailer Number]]),DbLinkTable[[#This Row],[Day Received]])</f>
        <v>#VALUE!</v>
      </c>
      <c r="X764" s="4" t="e">
        <f>DATEVALUE(TEXT(DbLinkTable[[#This Row],[Date Received]],"MMMM YYYY"))</f>
        <v>#VALUE!</v>
      </c>
      <c r="Y764" s="4" t="e">
        <f>INT(DbLinkTable[[#This Row],[Date Received]])</f>
        <v>#VALUE!</v>
      </c>
    </row>
    <row r="765" spans="5:25">
      <c r="E765"/>
      <c r="G765"/>
      <c r="H765"/>
      <c r="I765"/>
      <c r="K765"/>
      <c r="O765"/>
      <c r="R765"/>
      <c r="S765" s="79" t="e">
        <f>DbLinkTable[[#This Row],[Credit]]+DbLinkTable[[#This Row],[Charge]]</f>
        <v>#VALUE!</v>
      </c>
      <c r="T765" s="79" t="e">
        <f>IF(DbLinkTable[[#This Row],[Price/lb]]*DbLinkTable[[#This Row],[Weight]]&gt;0,DbLinkTable[[#This Row],[Price/lb]]*DbLinkTable[[#This Row],[Weight]],0)</f>
        <v>#VALUE!</v>
      </c>
      <c r="U765" s="79" t="e">
        <f>IF(DbLinkTable[[#This Row],[Price/lb]]*DbLinkTable[[#This Row],[Weight]]&lt;0,DbLinkTable[[#This Row],[Price/lb]]*DbLinkTable[[#This Row],[Weight]],0)</f>
        <v>#VALUE!</v>
      </c>
      <c r="V765" s="4" t="str">
        <f>IF(COUNTIF($W$2:W765,W765)=1,1,"")</f>
        <v/>
      </c>
      <c r="W765" s="4" t="e">
        <f>CONCATENATE(DbLinkTable[[#This Row],[Customer]],UPPER(DbLinkTable[[#This Row],[Trailer Number]]),DbLinkTable[[#This Row],[Day Received]])</f>
        <v>#VALUE!</v>
      </c>
      <c r="X765" s="4" t="e">
        <f>DATEVALUE(TEXT(DbLinkTable[[#This Row],[Date Received]],"MMMM YYYY"))</f>
        <v>#VALUE!</v>
      </c>
      <c r="Y765" s="4" t="e">
        <f>INT(DbLinkTable[[#This Row],[Date Received]])</f>
        <v>#VALUE!</v>
      </c>
    </row>
    <row r="766" spans="5:25">
      <c r="E766"/>
      <c r="G766"/>
      <c r="H766"/>
      <c r="I766"/>
      <c r="K766"/>
      <c r="O766"/>
      <c r="R766"/>
      <c r="S766" s="79" t="e">
        <f>DbLinkTable[[#This Row],[Credit]]+DbLinkTable[[#This Row],[Charge]]</f>
        <v>#VALUE!</v>
      </c>
      <c r="T766" s="79" t="e">
        <f>IF(DbLinkTable[[#This Row],[Price/lb]]*DbLinkTable[[#This Row],[Weight]]&gt;0,DbLinkTable[[#This Row],[Price/lb]]*DbLinkTable[[#This Row],[Weight]],0)</f>
        <v>#VALUE!</v>
      </c>
      <c r="U766" s="79" t="e">
        <f>IF(DbLinkTable[[#This Row],[Price/lb]]*DbLinkTable[[#This Row],[Weight]]&lt;0,DbLinkTable[[#This Row],[Price/lb]]*DbLinkTable[[#This Row],[Weight]],0)</f>
        <v>#VALUE!</v>
      </c>
      <c r="V766" s="4" t="str">
        <f>IF(COUNTIF($W$2:W766,W766)=1,1,"")</f>
        <v/>
      </c>
      <c r="W766" s="4" t="e">
        <f>CONCATENATE(DbLinkTable[[#This Row],[Customer]],UPPER(DbLinkTable[[#This Row],[Trailer Number]]),DbLinkTable[[#This Row],[Day Received]])</f>
        <v>#VALUE!</v>
      </c>
      <c r="X766" s="4" t="e">
        <f>DATEVALUE(TEXT(DbLinkTable[[#This Row],[Date Received]],"MMMM YYYY"))</f>
        <v>#VALUE!</v>
      </c>
      <c r="Y766" s="4" t="e">
        <f>INT(DbLinkTable[[#This Row],[Date Received]])</f>
        <v>#VALUE!</v>
      </c>
    </row>
    <row r="767" spans="5:25">
      <c r="E767"/>
      <c r="G767"/>
      <c r="H767"/>
      <c r="I767"/>
      <c r="K767"/>
      <c r="O767"/>
      <c r="R767"/>
      <c r="S767" s="79" t="e">
        <f>DbLinkTable[[#This Row],[Credit]]+DbLinkTable[[#This Row],[Charge]]</f>
        <v>#VALUE!</v>
      </c>
      <c r="T767" s="79" t="e">
        <f>IF(DbLinkTable[[#This Row],[Price/lb]]*DbLinkTable[[#This Row],[Weight]]&gt;0,DbLinkTable[[#This Row],[Price/lb]]*DbLinkTable[[#This Row],[Weight]],0)</f>
        <v>#VALUE!</v>
      </c>
      <c r="U767" s="79" t="e">
        <f>IF(DbLinkTable[[#This Row],[Price/lb]]*DbLinkTable[[#This Row],[Weight]]&lt;0,DbLinkTable[[#This Row],[Price/lb]]*DbLinkTable[[#This Row],[Weight]],0)</f>
        <v>#VALUE!</v>
      </c>
      <c r="V767" s="4" t="str">
        <f>IF(COUNTIF($W$2:W767,W767)=1,1,"")</f>
        <v/>
      </c>
      <c r="W767" s="4" t="e">
        <f>CONCATENATE(DbLinkTable[[#This Row],[Customer]],UPPER(DbLinkTable[[#This Row],[Trailer Number]]),DbLinkTable[[#This Row],[Day Received]])</f>
        <v>#VALUE!</v>
      </c>
      <c r="X767" s="4" t="e">
        <f>DATEVALUE(TEXT(DbLinkTable[[#This Row],[Date Received]],"MMMM YYYY"))</f>
        <v>#VALUE!</v>
      </c>
      <c r="Y767" s="4" t="e">
        <f>INT(DbLinkTable[[#This Row],[Date Received]])</f>
        <v>#VALUE!</v>
      </c>
    </row>
    <row r="768" spans="5:25">
      <c r="E768"/>
      <c r="G768"/>
      <c r="H768"/>
      <c r="I768"/>
      <c r="K768"/>
      <c r="O768"/>
      <c r="R768"/>
      <c r="S768" s="79" t="e">
        <f>DbLinkTable[[#This Row],[Credit]]+DbLinkTable[[#This Row],[Charge]]</f>
        <v>#VALUE!</v>
      </c>
      <c r="T768" s="79" t="e">
        <f>IF(DbLinkTable[[#This Row],[Price/lb]]*DbLinkTable[[#This Row],[Weight]]&gt;0,DbLinkTable[[#This Row],[Price/lb]]*DbLinkTable[[#This Row],[Weight]],0)</f>
        <v>#VALUE!</v>
      </c>
      <c r="U768" s="79" t="e">
        <f>IF(DbLinkTable[[#This Row],[Price/lb]]*DbLinkTable[[#This Row],[Weight]]&lt;0,DbLinkTable[[#This Row],[Price/lb]]*DbLinkTable[[#This Row],[Weight]],0)</f>
        <v>#VALUE!</v>
      </c>
      <c r="V768" s="4" t="str">
        <f>IF(COUNTIF($W$2:W768,W768)=1,1,"")</f>
        <v/>
      </c>
      <c r="W768" s="4" t="e">
        <f>CONCATENATE(DbLinkTable[[#This Row],[Customer]],UPPER(DbLinkTable[[#This Row],[Trailer Number]]),DbLinkTable[[#This Row],[Day Received]])</f>
        <v>#VALUE!</v>
      </c>
      <c r="X768" s="4" t="e">
        <f>DATEVALUE(TEXT(DbLinkTable[[#This Row],[Date Received]],"MMMM YYYY"))</f>
        <v>#VALUE!</v>
      </c>
      <c r="Y768" s="4" t="e">
        <f>INT(DbLinkTable[[#This Row],[Date Received]])</f>
        <v>#VALUE!</v>
      </c>
    </row>
    <row r="769" spans="5:25">
      <c r="E769"/>
      <c r="G769"/>
      <c r="H769"/>
      <c r="I769"/>
      <c r="K769"/>
      <c r="O769"/>
      <c r="R769"/>
      <c r="S769" s="79" t="e">
        <f>DbLinkTable[[#This Row],[Credit]]+DbLinkTable[[#This Row],[Charge]]</f>
        <v>#VALUE!</v>
      </c>
      <c r="T769" s="79" t="e">
        <f>IF(DbLinkTable[[#This Row],[Price/lb]]*DbLinkTable[[#This Row],[Weight]]&gt;0,DbLinkTable[[#This Row],[Price/lb]]*DbLinkTable[[#This Row],[Weight]],0)</f>
        <v>#VALUE!</v>
      </c>
      <c r="U769" s="79" t="e">
        <f>IF(DbLinkTable[[#This Row],[Price/lb]]*DbLinkTable[[#This Row],[Weight]]&lt;0,DbLinkTable[[#This Row],[Price/lb]]*DbLinkTable[[#This Row],[Weight]],0)</f>
        <v>#VALUE!</v>
      </c>
      <c r="V769" s="4" t="str">
        <f>IF(COUNTIF($W$2:W769,W769)=1,1,"")</f>
        <v/>
      </c>
      <c r="W769" s="4" t="e">
        <f>CONCATENATE(DbLinkTable[[#This Row],[Customer]],UPPER(DbLinkTable[[#This Row],[Trailer Number]]),DbLinkTable[[#This Row],[Day Received]])</f>
        <v>#VALUE!</v>
      </c>
      <c r="X769" s="4" t="e">
        <f>DATEVALUE(TEXT(DbLinkTable[[#This Row],[Date Received]],"MMMM YYYY"))</f>
        <v>#VALUE!</v>
      </c>
      <c r="Y769" s="4" t="e">
        <f>INT(DbLinkTable[[#This Row],[Date Received]])</f>
        <v>#VALUE!</v>
      </c>
    </row>
    <row r="770" spans="5:25">
      <c r="E770"/>
      <c r="G770"/>
      <c r="H770"/>
      <c r="I770"/>
      <c r="K770"/>
      <c r="O770"/>
      <c r="R770"/>
      <c r="S770" s="79" t="e">
        <f>DbLinkTable[[#This Row],[Credit]]+DbLinkTable[[#This Row],[Charge]]</f>
        <v>#VALUE!</v>
      </c>
      <c r="T770" s="79" t="e">
        <f>IF(DbLinkTable[[#This Row],[Price/lb]]*DbLinkTable[[#This Row],[Weight]]&gt;0,DbLinkTable[[#This Row],[Price/lb]]*DbLinkTable[[#This Row],[Weight]],0)</f>
        <v>#VALUE!</v>
      </c>
      <c r="U770" s="79" t="e">
        <f>IF(DbLinkTable[[#This Row],[Price/lb]]*DbLinkTable[[#This Row],[Weight]]&lt;0,DbLinkTable[[#This Row],[Price/lb]]*DbLinkTable[[#This Row],[Weight]],0)</f>
        <v>#VALUE!</v>
      </c>
      <c r="V770" s="4" t="str">
        <f>IF(COUNTIF($W$2:W770,W770)=1,1,"")</f>
        <v/>
      </c>
      <c r="W770" s="4" t="e">
        <f>CONCATENATE(DbLinkTable[[#This Row],[Customer]],UPPER(DbLinkTable[[#This Row],[Trailer Number]]),DbLinkTable[[#This Row],[Day Received]])</f>
        <v>#VALUE!</v>
      </c>
      <c r="X770" s="4" t="e">
        <f>DATEVALUE(TEXT(DbLinkTable[[#This Row],[Date Received]],"MMMM YYYY"))</f>
        <v>#VALUE!</v>
      </c>
      <c r="Y770" s="4" t="e">
        <f>INT(DbLinkTable[[#This Row],[Date Received]])</f>
        <v>#VALUE!</v>
      </c>
    </row>
    <row r="771" spans="5:25">
      <c r="E771"/>
      <c r="G771"/>
      <c r="H771"/>
      <c r="I771"/>
      <c r="K771"/>
      <c r="O771"/>
      <c r="R771"/>
      <c r="S771" s="79" t="e">
        <f>DbLinkTable[[#This Row],[Credit]]+DbLinkTable[[#This Row],[Charge]]</f>
        <v>#VALUE!</v>
      </c>
      <c r="T771" s="79" t="e">
        <f>IF(DbLinkTable[[#This Row],[Price/lb]]*DbLinkTable[[#This Row],[Weight]]&gt;0,DbLinkTable[[#This Row],[Price/lb]]*DbLinkTable[[#This Row],[Weight]],0)</f>
        <v>#VALUE!</v>
      </c>
      <c r="U771" s="79" t="e">
        <f>IF(DbLinkTable[[#This Row],[Price/lb]]*DbLinkTable[[#This Row],[Weight]]&lt;0,DbLinkTable[[#This Row],[Price/lb]]*DbLinkTable[[#This Row],[Weight]],0)</f>
        <v>#VALUE!</v>
      </c>
      <c r="V771" s="4" t="str">
        <f>IF(COUNTIF($W$2:W771,W771)=1,1,"")</f>
        <v/>
      </c>
      <c r="W771" s="4" t="e">
        <f>CONCATENATE(DbLinkTable[[#This Row],[Customer]],UPPER(DbLinkTable[[#This Row],[Trailer Number]]),DbLinkTable[[#This Row],[Day Received]])</f>
        <v>#VALUE!</v>
      </c>
      <c r="X771" s="4" t="e">
        <f>DATEVALUE(TEXT(DbLinkTable[[#This Row],[Date Received]],"MMMM YYYY"))</f>
        <v>#VALUE!</v>
      </c>
      <c r="Y771" s="4" t="e">
        <f>INT(DbLinkTable[[#This Row],[Date Received]])</f>
        <v>#VALUE!</v>
      </c>
    </row>
    <row r="772" spans="5:25">
      <c r="E772"/>
      <c r="G772"/>
      <c r="H772"/>
      <c r="I772"/>
      <c r="K772"/>
      <c r="O772"/>
      <c r="R772"/>
      <c r="S772" s="79" t="e">
        <f>DbLinkTable[[#This Row],[Credit]]+DbLinkTable[[#This Row],[Charge]]</f>
        <v>#VALUE!</v>
      </c>
      <c r="T772" s="79" t="e">
        <f>IF(DbLinkTable[[#This Row],[Price/lb]]*DbLinkTable[[#This Row],[Weight]]&gt;0,DbLinkTable[[#This Row],[Price/lb]]*DbLinkTable[[#This Row],[Weight]],0)</f>
        <v>#VALUE!</v>
      </c>
      <c r="U772" s="79" t="e">
        <f>IF(DbLinkTable[[#This Row],[Price/lb]]*DbLinkTable[[#This Row],[Weight]]&lt;0,DbLinkTable[[#This Row],[Price/lb]]*DbLinkTable[[#This Row],[Weight]],0)</f>
        <v>#VALUE!</v>
      </c>
      <c r="V772" s="4" t="str">
        <f>IF(COUNTIF($W$2:W772,W772)=1,1,"")</f>
        <v/>
      </c>
      <c r="W772" s="4" t="e">
        <f>CONCATENATE(DbLinkTable[[#This Row],[Customer]],UPPER(DbLinkTable[[#This Row],[Trailer Number]]),DbLinkTable[[#This Row],[Day Received]])</f>
        <v>#VALUE!</v>
      </c>
      <c r="X772" s="4" t="e">
        <f>DATEVALUE(TEXT(DbLinkTable[[#This Row],[Date Received]],"MMMM YYYY"))</f>
        <v>#VALUE!</v>
      </c>
      <c r="Y772" s="4" t="e">
        <f>INT(DbLinkTable[[#This Row],[Date Received]])</f>
        <v>#VALUE!</v>
      </c>
    </row>
    <row r="773" spans="5:25">
      <c r="E773"/>
      <c r="G773"/>
      <c r="H773"/>
      <c r="I773"/>
      <c r="K773"/>
      <c r="O773"/>
      <c r="R773"/>
      <c r="S773" s="79" t="e">
        <f>DbLinkTable[[#This Row],[Credit]]+DbLinkTable[[#This Row],[Charge]]</f>
        <v>#VALUE!</v>
      </c>
      <c r="T773" s="79" t="e">
        <f>IF(DbLinkTable[[#This Row],[Price/lb]]*DbLinkTable[[#This Row],[Weight]]&gt;0,DbLinkTable[[#This Row],[Price/lb]]*DbLinkTable[[#This Row],[Weight]],0)</f>
        <v>#VALUE!</v>
      </c>
      <c r="U773" s="79" t="e">
        <f>IF(DbLinkTable[[#This Row],[Price/lb]]*DbLinkTable[[#This Row],[Weight]]&lt;0,DbLinkTable[[#This Row],[Price/lb]]*DbLinkTable[[#This Row],[Weight]],0)</f>
        <v>#VALUE!</v>
      </c>
      <c r="V773" s="4" t="str">
        <f>IF(COUNTIF($W$2:W773,W773)=1,1,"")</f>
        <v/>
      </c>
      <c r="W773" s="4" t="e">
        <f>CONCATENATE(DbLinkTable[[#This Row],[Customer]],UPPER(DbLinkTable[[#This Row],[Trailer Number]]),DbLinkTable[[#This Row],[Day Received]])</f>
        <v>#VALUE!</v>
      </c>
      <c r="X773" s="4" t="e">
        <f>DATEVALUE(TEXT(DbLinkTable[[#This Row],[Date Received]],"MMMM YYYY"))</f>
        <v>#VALUE!</v>
      </c>
      <c r="Y773" s="4" t="e">
        <f>INT(DbLinkTable[[#This Row],[Date Received]])</f>
        <v>#VALUE!</v>
      </c>
    </row>
    <row r="774" spans="5:25">
      <c r="E774"/>
      <c r="G774"/>
      <c r="H774"/>
      <c r="I774"/>
      <c r="K774"/>
      <c r="O774"/>
      <c r="R774"/>
      <c r="S774" s="79" t="e">
        <f>DbLinkTable[[#This Row],[Credit]]+DbLinkTable[[#This Row],[Charge]]</f>
        <v>#VALUE!</v>
      </c>
      <c r="T774" s="79" t="e">
        <f>IF(DbLinkTable[[#This Row],[Price/lb]]*DbLinkTable[[#This Row],[Weight]]&gt;0,DbLinkTable[[#This Row],[Price/lb]]*DbLinkTable[[#This Row],[Weight]],0)</f>
        <v>#VALUE!</v>
      </c>
      <c r="U774" s="79" t="e">
        <f>IF(DbLinkTable[[#This Row],[Price/lb]]*DbLinkTable[[#This Row],[Weight]]&lt;0,DbLinkTable[[#This Row],[Price/lb]]*DbLinkTable[[#This Row],[Weight]],0)</f>
        <v>#VALUE!</v>
      </c>
      <c r="V774" s="4" t="str">
        <f>IF(COUNTIF($W$2:W774,W774)=1,1,"")</f>
        <v/>
      </c>
      <c r="W774" s="4" t="e">
        <f>CONCATENATE(DbLinkTable[[#This Row],[Customer]],UPPER(DbLinkTable[[#This Row],[Trailer Number]]),DbLinkTable[[#This Row],[Day Received]])</f>
        <v>#VALUE!</v>
      </c>
      <c r="X774" s="4" t="e">
        <f>DATEVALUE(TEXT(DbLinkTable[[#This Row],[Date Received]],"MMMM YYYY"))</f>
        <v>#VALUE!</v>
      </c>
      <c r="Y774" s="4" t="e">
        <f>INT(DbLinkTable[[#This Row],[Date Received]])</f>
        <v>#VALUE!</v>
      </c>
    </row>
    <row r="775" spans="5:25">
      <c r="E775"/>
      <c r="G775"/>
      <c r="H775"/>
      <c r="I775"/>
      <c r="K775"/>
      <c r="O775"/>
      <c r="R775"/>
      <c r="S775" s="99" t="e">
        <f>DbLinkTable[[#This Row],[Credit]]+DbLinkTable[[#This Row],[Charge]]</f>
        <v>#VALUE!</v>
      </c>
      <c r="T775" s="99" t="e">
        <f>IF(DbLinkTable[[#This Row],[Price/lb]]*DbLinkTable[[#This Row],[Weight]]&gt;0,DbLinkTable[[#This Row],[Price/lb]]*DbLinkTable[[#This Row],[Weight]],0)</f>
        <v>#VALUE!</v>
      </c>
      <c r="U775" s="99" t="e">
        <f>IF(DbLinkTable[[#This Row],[Price/lb]]*DbLinkTable[[#This Row],[Weight]]&lt;0,DbLinkTable[[#This Row],[Price/lb]]*DbLinkTable[[#This Row],[Weight]],0)</f>
        <v>#VALUE!</v>
      </c>
      <c r="V775" s="88" t="str">
        <f>IF(COUNTIF($W$2:W754,W775)=1,1,"")</f>
        <v/>
      </c>
      <c r="W775" s="88" t="e">
        <f>CONCATENATE(DbLinkTable[[#This Row],[Customer]],UPPER(DbLinkTable[[#This Row],[Trailer Number]]),DbLinkTable[[#This Row],[Day Received]])</f>
        <v>#VALUE!</v>
      </c>
      <c r="X775" s="88" t="e">
        <f>DATEVALUE(TEXT(DbLinkTable[[#This Row],[Date Received]],"MMMM YYYY"))</f>
        <v>#VALUE!</v>
      </c>
      <c r="Y775" s="88" t="e">
        <f>INT(DbLinkTable[[#This Row],[Date Received]])</f>
        <v>#VALUE!</v>
      </c>
    </row>
    <row r="776" spans="5:25">
      <c r="E776"/>
      <c r="G776"/>
      <c r="H776"/>
      <c r="I776"/>
      <c r="K776"/>
      <c r="O776"/>
      <c r="R776"/>
      <c r="S776" s="79" t="e">
        <f>DbLinkTable[[#This Row],[Credit]]+DbLinkTable[[#This Row],[Charge]]</f>
        <v>#VALUE!</v>
      </c>
      <c r="T776" s="79" t="e">
        <f>IF(DbLinkTable[[#This Row],[Price/lb]]*DbLinkTable[[#This Row],[Weight]]&gt;0,DbLinkTable[[#This Row],[Price/lb]]*DbLinkTable[[#This Row],[Weight]],0)</f>
        <v>#VALUE!</v>
      </c>
      <c r="U776" s="79" t="e">
        <f>IF(DbLinkTable[[#This Row],[Price/lb]]*DbLinkTable[[#This Row],[Weight]]&lt;0,DbLinkTable[[#This Row],[Price/lb]]*DbLinkTable[[#This Row],[Weight]],0)</f>
        <v>#VALUE!</v>
      </c>
      <c r="V776" s="4" t="str">
        <f>IF(COUNTIF($W$2:W776,W776)=1,1,"")</f>
        <v/>
      </c>
      <c r="W776" s="4" t="e">
        <f>CONCATENATE(DbLinkTable[[#This Row],[Customer]],UPPER(DbLinkTable[[#This Row],[Trailer Number]]),DbLinkTable[[#This Row],[Day Received]])</f>
        <v>#VALUE!</v>
      </c>
      <c r="X776" s="4" t="e">
        <f>DATEVALUE(TEXT(DbLinkTable[[#This Row],[Date Received]],"MMMM YYYY"))</f>
        <v>#VALUE!</v>
      </c>
      <c r="Y776" s="4" t="e">
        <f>INT(DbLinkTable[[#This Row],[Date Received]])</f>
        <v>#VALUE!</v>
      </c>
    </row>
    <row r="777" spans="5:25">
      <c r="E777"/>
      <c r="G777"/>
      <c r="H777"/>
      <c r="I777"/>
      <c r="K777"/>
      <c r="O777"/>
      <c r="R777"/>
      <c r="S777" s="79" t="e">
        <f>DbLinkTable[[#This Row],[Credit]]+DbLinkTable[[#This Row],[Charge]]</f>
        <v>#VALUE!</v>
      </c>
      <c r="T777" s="79" t="e">
        <f>IF(DbLinkTable[[#This Row],[Price/lb]]*DbLinkTable[[#This Row],[Weight]]&gt;0,DbLinkTable[[#This Row],[Price/lb]]*DbLinkTable[[#This Row],[Weight]],0)</f>
        <v>#VALUE!</v>
      </c>
      <c r="U777" s="79" t="e">
        <f>IF(DbLinkTable[[#This Row],[Price/lb]]*DbLinkTable[[#This Row],[Weight]]&lt;0,DbLinkTable[[#This Row],[Price/lb]]*DbLinkTable[[#This Row],[Weight]],0)</f>
        <v>#VALUE!</v>
      </c>
      <c r="V777" s="4" t="str">
        <f>IF(COUNTIF($W$2:W777,W777)=1,1,"")</f>
        <v/>
      </c>
      <c r="W777" s="4" t="e">
        <f>CONCATENATE(DbLinkTable[[#This Row],[Customer]],UPPER(DbLinkTable[[#This Row],[Trailer Number]]),DbLinkTable[[#This Row],[Day Received]])</f>
        <v>#VALUE!</v>
      </c>
      <c r="X777" s="4" t="e">
        <f>DATEVALUE(TEXT(DbLinkTable[[#This Row],[Date Received]],"MMMM YYYY"))</f>
        <v>#VALUE!</v>
      </c>
      <c r="Y777" s="4" t="e">
        <f>INT(DbLinkTable[[#This Row],[Date Received]])</f>
        <v>#VALUE!</v>
      </c>
    </row>
    <row r="778" spans="5:25">
      <c r="E778"/>
      <c r="G778"/>
      <c r="H778"/>
      <c r="I778"/>
      <c r="K778"/>
      <c r="O778"/>
      <c r="R778"/>
      <c r="S778" s="79" t="e">
        <f>DbLinkTable[[#This Row],[Credit]]+DbLinkTable[[#This Row],[Charge]]</f>
        <v>#VALUE!</v>
      </c>
      <c r="T778" s="79" t="e">
        <f>IF(DbLinkTable[[#This Row],[Price/lb]]*DbLinkTable[[#This Row],[Weight]]&gt;0,DbLinkTable[[#This Row],[Price/lb]]*DbLinkTable[[#This Row],[Weight]],0)</f>
        <v>#VALUE!</v>
      </c>
      <c r="U778" s="79" t="e">
        <f>IF(DbLinkTable[[#This Row],[Price/lb]]*DbLinkTable[[#This Row],[Weight]]&lt;0,DbLinkTable[[#This Row],[Price/lb]]*DbLinkTable[[#This Row],[Weight]],0)</f>
        <v>#VALUE!</v>
      </c>
      <c r="V778" s="4" t="str">
        <f>IF(COUNTIF($W$2:W778,W778)=1,1,"")</f>
        <v/>
      </c>
      <c r="W778" s="4" t="e">
        <f>CONCATENATE(DbLinkTable[[#This Row],[Customer]],UPPER(DbLinkTable[[#This Row],[Trailer Number]]),DbLinkTable[[#This Row],[Day Received]])</f>
        <v>#VALUE!</v>
      </c>
      <c r="X778" s="4" t="e">
        <f>DATEVALUE(TEXT(DbLinkTable[[#This Row],[Date Received]],"MMMM YYYY"))</f>
        <v>#VALUE!</v>
      </c>
      <c r="Y778" s="4" t="e">
        <f>INT(DbLinkTable[[#This Row],[Date Received]])</f>
        <v>#VALUE!</v>
      </c>
    </row>
    <row r="779" spans="5:25">
      <c r="E779"/>
      <c r="G779"/>
      <c r="H779"/>
      <c r="I779"/>
      <c r="K779"/>
      <c r="O779"/>
      <c r="R779"/>
      <c r="S779" s="79" t="e">
        <f>DbLinkTable[[#This Row],[Credit]]+DbLinkTable[[#This Row],[Charge]]</f>
        <v>#VALUE!</v>
      </c>
      <c r="T779" s="79" t="e">
        <f>IF(DbLinkTable[[#This Row],[Price/lb]]*DbLinkTable[[#This Row],[Weight]]&gt;0,DbLinkTable[[#This Row],[Price/lb]]*DbLinkTable[[#This Row],[Weight]],0)</f>
        <v>#VALUE!</v>
      </c>
      <c r="U779" s="79" t="e">
        <f>IF(DbLinkTable[[#This Row],[Price/lb]]*DbLinkTable[[#This Row],[Weight]]&lt;0,DbLinkTable[[#This Row],[Price/lb]]*DbLinkTable[[#This Row],[Weight]],0)</f>
        <v>#VALUE!</v>
      </c>
      <c r="V779" s="4" t="str">
        <f>IF(COUNTIF($W$2:W779,W779)=1,1,"")</f>
        <v/>
      </c>
      <c r="W779" s="4" t="e">
        <f>CONCATENATE(DbLinkTable[[#This Row],[Customer]],UPPER(DbLinkTable[[#This Row],[Trailer Number]]),DbLinkTable[[#This Row],[Day Received]])</f>
        <v>#VALUE!</v>
      </c>
      <c r="X779" s="4" t="e">
        <f>DATEVALUE(TEXT(DbLinkTable[[#This Row],[Date Received]],"MMMM YYYY"))</f>
        <v>#VALUE!</v>
      </c>
      <c r="Y779" s="4" t="e">
        <f>INT(DbLinkTable[[#This Row],[Date Received]])</f>
        <v>#VALUE!</v>
      </c>
    </row>
    <row r="780" spans="5:25">
      <c r="E780"/>
      <c r="G780"/>
      <c r="H780"/>
      <c r="I780"/>
      <c r="K780"/>
      <c r="O780"/>
      <c r="R780"/>
      <c r="S780" s="79" t="e">
        <f>DbLinkTable[[#This Row],[Credit]]+DbLinkTable[[#This Row],[Charge]]</f>
        <v>#VALUE!</v>
      </c>
      <c r="T780" s="79" t="e">
        <f>IF(DbLinkTable[[#This Row],[Price/lb]]*DbLinkTable[[#This Row],[Weight]]&gt;0,DbLinkTable[[#This Row],[Price/lb]]*DbLinkTable[[#This Row],[Weight]],0)</f>
        <v>#VALUE!</v>
      </c>
      <c r="U780" s="79" t="e">
        <f>IF(DbLinkTable[[#This Row],[Price/lb]]*DbLinkTable[[#This Row],[Weight]]&lt;0,DbLinkTable[[#This Row],[Price/lb]]*DbLinkTable[[#This Row],[Weight]],0)</f>
        <v>#VALUE!</v>
      </c>
      <c r="V780" s="4" t="str">
        <f>IF(COUNTIF($W$2:W780,W780)=1,1,"")</f>
        <v/>
      </c>
      <c r="W780" s="4" t="e">
        <f>CONCATENATE(DbLinkTable[[#This Row],[Customer]],UPPER(DbLinkTable[[#This Row],[Trailer Number]]),DbLinkTable[[#This Row],[Day Received]])</f>
        <v>#VALUE!</v>
      </c>
      <c r="X780" s="4" t="e">
        <f>DATEVALUE(TEXT(DbLinkTable[[#This Row],[Date Received]],"MMMM YYYY"))</f>
        <v>#VALUE!</v>
      </c>
      <c r="Y780" s="4" t="e">
        <f>INT(DbLinkTable[[#This Row],[Date Received]])</f>
        <v>#VALUE!</v>
      </c>
    </row>
    <row r="781" spans="5:25">
      <c r="E781"/>
      <c r="G781"/>
      <c r="H781"/>
      <c r="I781"/>
      <c r="K781"/>
      <c r="O781"/>
      <c r="R781"/>
      <c r="S781" s="79" t="e">
        <f>DbLinkTable[[#This Row],[Credit]]+DbLinkTable[[#This Row],[Charge]]</f>
        <v>#VALUE!</v>
      </c>
      <c r="T781" s="79" t="e">
        <f>IF(DbLinkTable[[#This Row],[Price/lb]]*DbLinkTable[[#This Row],[Weight]]&gt;0,DbLinkTable[[#This Row],[Price/lb]]*DbLinkTable[[#This Row],[Weight]],0)</f>
        <v>#VALUE!</v>
      </c>
      <c r="U781" s="79" t="e">
        <f>IF(DbLinkTable[[#This Row],[Price/lb]]*DbLinkTable[[#This Row],[Weight]]&lt;0,DbLinkTable[[#This Row],[Price/lb]]*DbLinkTable[[#This Row],[Weight]],0)</f>
        <v>#VALUE!</v>
      </c>
      <c r="V781" s="4" t="str">
        <f>IF(COUNTIF($W$2:W781,W781)=1,1,"")</f>
        <v/>
      </c>
      <c r="W781" s="4" t="e">
        <f>CONCATENATE(DbLinkTable[[#This Row],[Customer]],UPPER(DbLinkTable[[#This Row],[Trailer Number]]),DbLinkTable[[#This Row],[Day Received]])</f>
        <v>#VALUE!</v>
      </c>
      <c r="X781" s="4" t="e">
        <f>DATEVALUE(TEXT(DbLinkTable[[#This Row],[Date Received]],"MMMM YYYY"))</f>
        <v>#VALUE!</v>
      </c>
      <c r="Y781" s="4" t="e">
        <f>INT(DbLinkTable[[#This Row],[Date Received]])</f>
        <v>#VALUE!</v>
      </c>
    </row>
    <row r="782" spans="5:25">
      <c r="E782"/>
      <c r="G782"/>
      <c r="H782"/>
      <c r="I782"/>
      <c r="K782"/>
      <c r="O782"/>
      <c r="R782"/>
      <c r="S782" s="79" t="e">
        <f>DbLinkTable[[#This Row],[Credit]]+DbLinkTable[[#This Row],[Charge]]</f>
        <v>#VALUE!</v>
      </c>
      <c r="T782" s="79" t="e">
        <f>IF(DbLinkTable[[#This Row],[Price/lb]]*DbLinkTable[[#This Row],[Weight]]&gt;0,DbLinkTable[[#This Row],[Price/lb]]*DbLinkTable[[#This Row],[Weight]],0)</f>
        <v>#VALUE!</v>
      </c>
      <c r="U782" s="79" t="e">
        <f>IF(DbLinkTable[[#This Row],[Price/lb]]*DbLinkTable[[#This Row],[Weight]]&lt;0,DbLinkTable[[#This Row],[Price/lb]]*DbLinkTable[[#This Row],[Weight]],0)</f>
        <v>#VALUE!</v>
      </c>
      <c r="V782" s="4" t="str">
        <f>IF(COUNTIF($W$2:W782,W782)=1,1,"")</f>
        <v/>
      </c>
      <c r="W782" s="4" t="e">
        <f>CONCATENATE(DbLinkTable[[#This Row],[Customer]],UPPER(DbLinkTable[[#This Row],[Trailer Number]]),DbLinkTable[[#This Row],[Day Received]])</f>
        <v>#VALUE!</v>
      </c>
      <c r="X782" s="4" t="e">
        <f>DATEVALUE(TEXT(DbLinkTable[[#This Row],[Date Received]],"MMMM YYYY"))</f>
        <v>#VALUE!</v>
      </c>
      <c r="Y782" s="4" t="e">
        <f>INT(DbLinkTable[[#This Row],[Date Received]])</f>
        <v>#VALUE!</v>
      </c>
    </row>
    <row r="783" spans="5:25">
      <c r="E783"/>
      <c r="G783"/>
      <c r="H783"/>
      <c r="I783"/>
      <c r="K783"/>
      <c r="O783"/>
      <c r="R783"/>
      <c r="S783" s="79" t="e">
        <f>DbLinkTable[[#This Row],[Credit]]+DbLinkTable[[#This Row],[Charge]]</f>
        <v>#VALUE!</v>
      </c>
      <c r="T783" s="79" t="e">
        <f>IF(DbLinkTable[[#This Row],[Price/lb]]*DbLinkTable[[#This Row],[Weight]]&gt;0,DbLinkTable[[#This Row],[Price/lb]]*DbLinkTable[[#This Row],[Weight]],0)</f>
        <v>#VALUE!</v>
      </c>
      <c r="U783" s="79" t="e">
        <f>IF(DbLinkTable[[#This Row],[Price/lb]]*DbLinkTable[[#This Row],[Weight]]&lt;0,DbLinkTable[[#This Row],[Price/lb]]*DbLinkTable[[#This Row],[Weight]],0)</f>
        <v>#VALUE!</v>
      </c>
      <c r="V783" s="4" t="str">
        <f>IF(COUNTIF($W$2:W783,W783)=1,1,"")</f>
        <v/>
      </c>
      <c r="W783" s="4" t="e">
        <f>CONCATENATE(DbLinkTable[[#This Row],[Customer]],UPPER(DbLinkTable[[#This Row],[Trailer Number]]),DbLinkTable[[#This Row],[Day Received]])</f>
        <v>#VALUE!</v>
      </c>
      <c r="X783" s="4" t="e">
        <f>DATEVALUE(TEXT(DbLinkTable[[#This Row],[Date Received]],"MMMM YYYY"))</f>
        <v>#VALUE!</v>
      </c>
      <c r="Y783" s="4" t="e">
        <f>INT(DbLinkTable[[#This Row],[Date Received]])</f>
        <v>#VALUE!</v>
      </c>
    </row>
    <row r="784" spans="5:25">
      <c r="E784"/>
      <c r="G784"/>
      <c r="H784"/>
      <c r="I784"/>
      <c r="K784"/>
      <c r="O784"/>
      <c r="R784"/>
      <c r="S784" s="79" t="e">
        <f>DbLinkTable[[#This Row],[Credit]]+DbLinkTable[[#This Row],[Charge]]</f>
        <v>#VALUE!</v>
      </c>
      <c r="T784" s="79" t="e">
        <f>IF(DbLinkTable[[#This Row],[Price/lb]]*DbLinkTable[[#This Row],[Weight]]&gt;0,DbLinkTable[[#This Row],[Price/lb]]*DbLinkTable[[#This Row],[Weight]],0)</f>
        <v>#VALUE!</v>
      </c>
      <c r="U784" s="79" t="e">
        <f>IF(DbLinkTable[[#This Row],[Price/lb]]*DbLinkTable[[#This Row],[Weight]]&lt;0,DbLinkTable[[#This Row],[Price/lb]]*DbLinkTable[[#This Row],[Weight]],0)</f>
        <v>#VALUE!</v>
      </c>
      <c r="V784" s="4" t="str">
        <f>IF(COUNTIF($W$2:W784,W784)=1,1,"")</f>
        <v/>
      </c>
      <c r="W784" s="4" t="e">
        <f>CONCATENATE(DbLinkTable[[#This Row],[Customer]],UPPER(DbLinkTable[[#This Row],[Trailer Number]]),DbLinkTable[[#This Row],[Day Received]])</f>
        <v>#VALUE!</v>
      </c>
      <c r="X784" s="4" t="e">
        <f>DATEVALUE(TEXT(DbLinkTable[[#This Row],[Date Received]],"MMMM YYYY"))</f>
        <v>#VALUE!</v>
      </c>
      <c r="Y784" s="4" t="e">
        <f>INT(DbLinkTable[[#This Row],[Date Received]])</f>
        <v>#VALUE!</v>
      </c>
    </row>
    <row r="785" spans="5:25">
      <c r="E785"/>
      <c r="G785"/>
      <c r="H785"/>
      <c r="I785"/>
      <c r="K785"/>
      <c r="O785"/>
      <c r="R785"/>
      <c r="S785" s="79" t="e">
        <f>DbLinkTable[[#This Row],[Credit]]+DbLinkTable[[#This Row],[Charge]]</f>
        <v>#VALUE!</v>
      </c>
      <c r="T785" s="79" t="e">
        <f>IF(DbLinkTable[[#This Row],[Price/lb]]*DbLinkTable[[#This Row],[Weight]]&gt;0,DbLinkTable[[#This Row],[Price/lb]]*DbLinkTable[[#This Row],[Weight]],0)</f>
        <v>#VALUE!</v>
      </c>
      <c r="U785" s="79" t="e">
        <f>IF(DbLinkTable[[#This Row],[Price/lb]]*DbLinkTable[[#This Row],[Weight]]&lt;0,DbLinkTable[[#This Row],[Price/lb]]*DbLinkTable[[#This Row],[Weight]],0)</f>
        <v>#VALUE!</v>
      </c>
      <c r="V785" s="4" t="str">
        <f>IF(COUNTIF($W$2:W785,W785)=1,1,"")</f>
        <v/>
      </c>
      <c r="W785" s="4" t="e">
        <f>CONCATENATE(DbLinkTable[[#This Row],[Customer]],UPPER(DbLinkTable[[#This Row],[Trailer Number]]),DbLinkTable[[#This Row],[Day Received]])</f>
        <v>#VALUE!</v>
      </c>
      <c r="X785" s="4" t="e">
        <f>DATEVALUE(TEXT(DbLinkTable[[#This Row],[Date Received]],"MMMM YYYY"))</f>
        <v>#VALUE!</v>
      </c>
      <c r="Y785" s="4" t="e">
        <f>INT(DbLinkTable[[#This Row],[Date Received]])</f>
        <v>#VALUE!</v>
      </c>
    </row>
    <row r="786" spans="5:25">
      <c r="E786"/>
      <c r="G786"/>
      <c r="H786"/>
      <c r="I786"/>
      <c r="K786"/>
      <c r="O786"/>
      <c r="R786"/>
      <c r="S786" s="79" t="e">
        <f>DbLinkTable[[#This Row],[Credit]]+DbLinkTable[[#This Row],[Charge]]</f>
        <v>#VALUE!</v>
      </c>
      <c r="T786" s="79" t="e">
        <f>IF(DbLinkTable[[#This Row],[Price/lb]]*DbLinkTable[[#This Row],[Weight]]&gt;0,DbLinkTable[[#This Row],[Price/lb]]*DbLinkTable[[#This Row],[Weight]],0)</f>
        <v>#VALUE!</v>
      </c>
      <c r="U786" s="79" t="e">
        <f>IF(DbLinkTable[[#This Row],[Price/lb]]*DbLinkTable[[#This Row],[Weight]]&lt;0,DbLinkTable[[#This Row],[Price/lb]]*DbLinkTable[[#This Row],[Weight]],0)</f>
        <v>#VALUE!</v>
      </c>
      <c r="V786" s="4" t="str">
        <f>IF(COUNTIF($W$2:W786,W786)=1,1,"")</f>
        <v/>
      </c>
      <c r="W786" s="4" t="e">
        <f>CONCATENATE(DbLinkTable[[#This Row],[Customer]],UPPER(DbLinkTable[[#This Row],[Trailer Number]]),DbLinkTable[[#This Row],[Day Received]])</f>
        <v>#VALUE!</v>
      </c>
      <c r="X786" s="4" t="e">
        <f>DATEVALUE(TEXT(DbLinkTable[[#This Row],[Date Received]],"MMMM YYYY"))</f>
        <v>#VALUE!</v>
      </c>
      <c r="Y786" s="4" t="e">
        <f>INT(DbLinkTable[[#This Row],[Date Received]])</f>
        <v>#VALUE!</v>
      </c>
    </row>
    <row r="787" spans="5:25">
      <c r="E787"/>
      <c r="G787"/>
      <c r="H787"/>
      <c r="I787"/>
      <c r="K787"/>
      <c r="O787"/>
      <c r="R787"/>
      <c r="S787" s="79" t="e">
        <f>DbLinkTable[[#This Row],[Credit]]+DbLinkTable[[#This Row],[Charge]]</f>
        <v>#VALUE!</v>
      </c>
      <c r="T787" s="79" t="e">
        <f>IF(DbLinkTable[[#This Row],[Price/lb]]*DbLinkTable[[#This Row],[Weight]]&gt;0,DbLinkTable[[#This Row],[Price/lb]]*DbLinkTable[[#This Row],[Weight]],0)</f>
        <v>#VALUE!</v>
      </c>
      <c r="U787" s="79" t="e">
        <f>IF(DbLinkTable[[#This Row],[Price/lb]]*DbLinkTable[[#This Row],[Weight]]&lt;0,DbLinkTable[[#This Row],[Price/lb]]*DbLinkTable[[#This Row],[Weight]],0)</f>
        <v>#VALUE!</v>
      </c>
      <c r="V787" s="4" t="str">
        <f>IF(COUNTIF($W$2:W787,W787)=1,1,"")</f>
        <v/>
      </c>
      <c r="W787" s="4" t="e">
        <f>CONCATENATE(DbLinkTable[[#This Row],[Customer]],UPPER(DbLinkTable[[#This Row],[Trailer Number]]),DbLinkTable[[#This Row],[Day Received]])</f>
        <v>#VALUE!</v>
      </c>
      <c r="X787" s="4" t="e">
        <f>DATEVALUE(TEXT(DbLinkTable[[#This Row],[Date Received]],"MMMM YYYY"))</f>
        <v>#VALUE!</v>
      </c>
      <c r="Y787" s="4" t="e">
        <f>INT(DbLinkTable[[#This Row],[Date Received]])</f>
        <v>#VALUE!</v>
      </c>
    </row>
    <row r="788" spans="5:25">
      <c r="E788"/>
      <c r="G788"/>
      <c r="H788"/>
      <c r="I788"/>
      <c r="K788"/>
      <c r="O788"/>
      <c r="R788"/>
      <c r="S788" s="79" t="e">
        <f>DbLinkTable[[#This Row],[Credit]]+DbLinkTable[[#This Row],[Charge]]</f>
        <v>#VALUE!</v>
      </c>
      <c r="T788" s="79" t="e">
        <f>IF(DbLinkTable[[#This Row],[Price/lb]]*DbLinkTable[[#This Row],[Weight]]&gt;0,DbLinkTable[[#This Row],[Price/lb]]*DbLinkTable[[#This Row],[Weight]],0)</f>
        <v>#VALUE!</v>
      </c>
      <c r="U788" s="79" t="e">
        <f>IF(DbLinkTable[[#This Row],[Price/lb]]*DbLinkTable[[#This Row],[Weight]]&lt;0,DbLinkTable[[#This Row],[Price/lb]]*DbLinkTable[[#This Row],[Weight]],0)</f>
        <v>#VALUE!</v>
      </c>
      <c r="V788" s="4" t="str">
        <f>IF(COUNTIF($W$2:W788,W788)=1,1,"")</f>
        <v/>
      </c>
      <c r="W788" s="4" t="e">
        <f>CONCATENATE(DbLinkTable[[#This Row],[Customer]],UPPER(DbLinkTable[[#This Row],[Trailer Number]]),DbLinkTable[[#This Row],[Day Received]])</f>
        <v>#VALUE!</v>
      </c>
      <c r="X788" s="4" t="e">
        <f>DATEVALUE(TEXT(DbLinkTable[[#This Row],[Date Received]],"MMMM YYYY"))</f>
        <v>#VALUE!</v>
      </c>
      <c r="Y788" s="4" t="e">
        <f>INT(DbLinkTable[[#This Row],[Date Received]])</f>
        <v>#VALUE!</v>
      </c>
    </row>
    <row r="789" spans="5:25">
      <c r="E789"/>
      <c r="G789"/>
      <c r="H789"/>
      <c r="I789"/>
      <c r="K789"/>
      <c r="O789"/>
      <c r="R789"/>
      <c r="S789" s="79" t="e">
        <f>DbLinkTable[[#This Row],[Credit]]+DbLinkTable[[#This Row],[Charge]]</f>
        <v>#VALUE!</v>
      </c>
      <c r="T789" s="79" t="e">
        <f>IF(DbLinkTable[[#This Row],[Price/lb]]*DbLinkTable[[#This Row],[Weight]]&gt;0,DbLinkTable[[#This Row],[Price/lb]]*DbLinkTable[[#This Row],[Weight]],0)</f>
        <v>#VALUE!</v>
      </c>
      <c r="U789" s="79" t="e">
        <f>IF(DbLinkTable[[#This Row],[Price/lb]]*DbLinkTable[[#This Row],[Weight]]&lt;0,DbLinkTable[[#This Row],[Price/lb]]*DbLinkTable[[#This Row],[Weight]],0)</f>
        <v>#VALUE!</v>
      </c>
      <c r="V789" s="4" t="str">
        <f>IF(COUNTIF($W$2:W789,W789)=1,1,"")</f>
        <v/>
      </c>
      <c r="W789" s="4" t="e">
        <f>CONCATENATE(DbLinkTable[[#This Row],[Customer]],UPPER(DbLinkTable[[#This Row],[Trailer Number]]),DbLinkTable[[#This Row],[Day Received]])</f>
        <v>#VALUE!</v>
      </c>
      <c r="X789" s="4" t="e">
        <f>DATEVALUE(TEXT(DbLinkTable[[#This Row],[Date Received]],"MMMM YYYY"))</f>
        <v>#VALUE!</v>
      </c>
      <c r="Y789" s="4" t="e">
        <f>INT(DbLinkTable[[#This Row],[Date Received]])</f>
        <v>#VALUE!</v>
      </c>
    </row>
    <row r="790" spans="5:25">
      <c r="E790"/>
      <c r="G790"/>
      <c r="H790"/>
      <c r="I790"/>
      <c r="K790"/>
      <c r="O790"/>
      <c r="R790"/>
      <c r="S790" s="79" t="e">
        <f>DbLinkTable[[#This Row],[Credit]]+DbLinkTable[[#This Row],[Charge]]</f>
        <v>#VALUE!</v>
      </c>
      <c r="T790" s="79" t="e">
        <f>IF(DbLinkTable[[#This Row],[Price/lb]]*DbLinkTable[[#This Row],[Weight]]&gt;0,DbLinkTable[[#This Row],[Price/lb]]*DbLinkTable[[#This Row],[Weight]],0)</f>
        <v>#VALUE!</v>
      </c>
      <c r="U790" s="79" t="e">
        <f>IF(DbLinkTable[[#This Row],[Price/lb]]*DbLinkTable[[#This Row],[Weight]]&lt;0,DbLinkTable[[#This Row],[Price/lb]]*DbLinkTable[[#This Row],[Weight]],0)</f>
        <v>#VALUE!</v>
      </c>
      <c r="V790" s="4" t="str">
        <f>IF(COUNTIF($W$2:W790,W790)=1,1,"")</f>
        <v/>
      </c>
      <c r="W790" s="4" t="e">
        <f>CONCATENATE(DbLinkTable[[#This Row],[Customer]],UPPER(DbLinkTable[[#This Row],[Trailer Number]]),DbLinkTable[[#This Row],[Day Received]])</f>
        <v>#VALUE!</v>
      </c>
      <c r="X790" s="4" t="e">
        <f>DATEVALUE(TEXT(DbLinkTable[[#This Row],[Date Received]],"MMMM YYYY"))</f>
        <v>#VALUE!</v>
      </c>
      <c r="Y790" s="4" t="e">
        <f>INT(DbLinkTable[[#This Row],[Date Received]])</f>
        <v>#VALUE!</v>
      </c>
    </row>
    <row r="791" spans="5:25">
      <c r="E791"/>
      <c r="G791"/>
      <c r="H791"/>
      <c r="I791"/>
      <c r="K791"/>
      <c r="O791"/>
      <c r="R791"/>
      <c r="S791" s="79" t="e">
        <f>DbLinkTable[[#This Row],[Credit]]+DbLinkTable[[#This Row],[Charge]]</f>
        <v>#VALUE!</v>
      </c>
      <c r="T791" s="79" t="e">
        <f>IF(DbLinkTable[[#This Row],[Price/lb]]*DbLinkTable[[#This Row],[Weight]]&gt;0,DbLinkTable[[#This Row],[Price/lb]]*DbLinkTable[[#This Row],[Weight]],0)</f>
        <v>#VALUE!</v>
      </c>
      <c r="U791" s="79" t="e">
        <f>IF(DbLinkTable[[#This Row],[Price/lb]]*DbLinkTable[[#This Row],[Weight]]&lt;0,DbLinkTable[[#This Row],[Price/lb]]*DbLinkTable[[#This Row],[Weight]],0)</f>
        <v>#VALUE!</v>
      </c>
      <c r="V791" s="4" t="str">
        <f>IF(COUNTIF($W$2:W791,W791)=1,1,"")</f>
        <v/>
      </c>
      <c r="W791" s="4" t="e">
        <f>CONCATENATE(DbLinkTable[[#This Row],[Customer]],UPPER(DbLinkTable[[#This Row],[Trailer Number]]),DbLinkTable[[#This Row],[Day Received]])</f>
        <v>#VALUE!</v>
      </c>
      <c r="X791" s="4" t="e">
        <f>DATEVALUE(TEXT(DbLinkTable[[#This Row],[Date Received]],"MMMM YYYY"))</f>
        <v>#VALUE!</v>
      </c>
      <c r="Y791" s="4" t="e">
        <f>INT(DbLinkTable[[#This Row],[Date Received]])</f>
        <v>#VALUE!</v>
      </c>
    </row>
    <row r="792" spans="5:25">
      <c r="E792"/>
      <c r="G792"/>
      <c r="H792"/>
      <c r="I792"/>
      <c r="K792"/>
      <c r="O792"/>
      <c r="R792"/>
      <c r="S792" s="79" t="e">
        <f>DbLinkTable[[#This Row],[Credit]]+DbLinkTable[[#This Row],[Charge]]</f>
        <v>#VALUE!</v>
      </c>
      <c r="T792" s="79" t="e">
        <f>IF(DbLinkTable[[#This Row],[Price/lb]]*DbLinkTable[[#This Row],[Weight]]&gt;0,DbLinkTable[[#This Row],[Price/lb]]*DbLinkTable[[#This Row],[Weight]],0)</f>
        <v>#VALUE!</v>
      </c>
      <c r="U792" s="79" t="e">
        <f>IF(DbLinkTable[[#This Row],[Price/lb]]*DbLinkTable[[#This Row],[Weight]]&lt;0,DbLinkTable[[#This Row],[Price/lb]]*DbLinkTable[[#This Row],[Weight]],0)</f>
        <v>#VALUE!</v>
      </c>
      <c r="V792" s="4" t="str">
        <f>IF(COUNTIF($W$2:W792,W792)=1,1,"")</f>
        <v/>
      </c>
      <c r="W792" s="4" t="e">
        <f>CONCATENATE(DbLinkTable[[#This Row],[Customer]],UPPER(DbLinkTable[[#This Row],[Trailer Number]]),DbLinkTable[[#This Row],[Day Received]])</f>
        <v>#VALUE!</v>
      </c>
      <c r="X792" s="4" t="e">
        <f>DATEVALUE(TEXT(DbLinkTable[[#This Row],[Date Received]],"MMMM YYYY"))</f>
        <v>#VALUE!</v>
      </c>
      <c r="Y792" s="4" t="e">
        <f>INT(DbLinkTable[[#This Row],[Date Received]])</f>
        <v>#VALUE!</v>
      </c>
    </row>
    <row r="793" spans="5:25">
      <c r="E793"/>
      <c r="G793"/>
      <c r="H793"/>
      <c r="I793"/>
      <c r="K793"/>
      <c r="O793"/>
      <c r="R793"/>
      <c r="S793" s="79" t="e">
        <f>DbLinkTable[[#This Row],[Credit]]+DbLinkTable[[#This Row],[Charge]]</f>
        <v>#VALUE!</v>
      </c>
      <c r="T793" s="79" t="e">
        <f>IF(DbLinkTable[[#This Row],[Price/lb]]*DbLinkTable[[#This Row],[Weight]]&gt;0,DbLinkTable[[#This Row],[Price/lb]]*DbLinkTable[[#This Row],[Weight]],0)</f>
        <v>#VALUE!</v>
      </c>
      <c r="U793" s="79" t="e">
        <f>IF(DbLinkTable[[#This Row],[Price/lb]]*DbLinkTable[[#This Row],[Weight]]&lt;0,DbLinkTable[[#This Row],[Price/lb]]*DbLinkTable[[#This Row],[Weight]],0)</f>
        <v>#VALUE!</v>
      </c>
      <c r="V793" s="4" t="str">
        <f>IF(COUNTIF($W$2:W793,W793)=1,1,"")</f>
        <v/>
      </c>
      <c r="W793" s="4" t="e">
        <f>CONCATENATE(DbLinkTable[[#This Row],[Customer]],UPPER(DbLinkTable[[#This Row],[Trailer Number]]),DbLinkTable[[#This Row],[Day Received]])</f>
        <v>#VALUE!</v>
      </c>
      <c r="X793" s="4" t="e">
        <f>DATEVALUE(TEXT(DbLinkTable[[#This Row],[Date Received]],"MMMM YYYY"))</f>
        <v>#VALUE!</v>
      </c>
      <c r="Y793" s="4" t="e">
        <f>INT(DbLinkTable[[#This Row],[Date Received]])</f>
        <v>#VALUE!</v>
      </c>
    </row>
    <row r="794" spans="5:25">
      <c r="E794"/>
      <c r="G794"/>
      <c r="H794"/>
      <c r="I794"/>
      <c r="K794"/>
      <c r="O794"/>
      <c r="R794"/>
      <c r="S794" s="79" t="e">
        <f>DbLinkTable[[#This Row],[Credit]]+DbLinkTable[[#This Row],[Charge]]</f>
        <v>#VALUE!</v>
      </c>
      <c r="T794" s="79" t="e">
        <f>IF(DbLinkTable[[#This Row],[Price/lb]]*DbLinkTable[[#This Row],[Weight]]&gt;0,DbLinkTable[[#This Row],[Price/lb]]*DbLinkTable[[#This Row],[Weight]],0)</f>
        <v>#VALUE!</v>
      </c>
      <c r="U794" s="79" t="e">
        <f>IF(DbLinkTable[[#This Row],[Price/lb]]*DbLinkTable[[#This Row],[Weight]]&lt;0,DbLinkTable[[#This Row],[Price/lb]]*DbLinkTable[[#This Row],[Weight]],0)</f>
        <v>#VALUE!</v>
      </c>
      <c r="V794" s="4" t="str">
        <f>IF(COUNTIF($W$2:W794,W794)=1,1,"")</f>
        <v/>
      </c>
      <c r="W794" s="4" t="e">
        <f>CONCATENATE(DbLinkTable[[#This Row],[Customer]],UPPER(DbLinkTable[[#This Row],[Trailer Number]]),DbLinkTable[[#This Row],[Day Received]])</f>
        <v>#VALUE!</v>
      </c>
      <c r="X794" s="4" t="e">
        <f>DATEVALUE(TEXT(DbLinkTable[[#This Row],[Date Received]],"MMMM YYYY"))</f>
        <v>#VALUE!</v>
      </c>
      <c r="Y794" s="4" t="e">
        <f>INT(DbLinkTable[[#This Row],[Date Received]])</f>
        <v>#VALUE!</v>
      </c>
    </row>
    <row r="795" spans="5:25">
      <c r="E795"/>
      <c r="G795"/>
      <c r="H795"/>
      <c r="I795"/>
      <c r="K795"/>
      <c r="O795"/>
      <c r="R795"/>
      <c r="S795" s="79" t="e">
        <f>DbLinkTable[[#This Row],[Credit]]+DbLinkTable[[#This Row],[Charge]]</f>
        <v>#VALUE!</v>
      </c>
      <c r="T795" s="79" t="e">
        <f>IF(DbLinkTable[[#This Row],[Price/lb]]*DbLinkTable[[#This Row],[Weight]]&gt;0,DbLinkTable[[#This Row],[Price/lb]]*DbLinkTable[[#This Row],[Weight]],0)</f>
        <v>#VALUE!</v>
      </c>
      <c r="U795" s="79" t="e">
        <f>IF(DbLinkTable[[#This Row],[Price/lb]]*DbLinkTable[[#This Row],[Weight]]&lt;0,DbLinkTable[[#This Row],[Price/lb]]*DbLinkTable[[#This Row],[Weight]],0)</f>
        <v>#VALUE!</v>
      </c>
      <c r="V795" s="4" t="str">
        <f>IF(COUNTIF($W$2:W795,W795)=1,1,"")</f>
        <v/>
      </c>
      <c r="W795" s="4" t="e">
        <f>CONCATENATE(DbLinkTable[[#This Row],[Customer]],UPPER(DbLinkTable[[#This Row],[Trailer Number]]),DbLinkTable[[#This Row],[Day Received]])</f>
        <v>#VALUE!</v>
      </c>
      <c r="X795" s="4" t="e">
        <f>DATEVALUE(TEXT(DbLinkTable[[#This Row],[Date Received]],"MMMM YYYY"))</f>
        <v>#VALUE!</v>
      </c>
      <c r="Y795" s="4" t="e">
        <f>INT(DbLinkTable[[#This Row],[Date Received]])</f>
        <v>#VALUE!</v>
      </c>
    </row>
    <row r="796" spans="5:25">
      <c r="E796"/>
      <c r="G796"/>
      <c r="H796"/>
      <c r="I796"/>
      <c r="K796"/>
      <c r="O796"/>
      <c r="R796"/>
      <c r="S796" s="79" t="e">
        <f>DbLinkTable[[#This Row],[Credit]]+DbLinkTable[[#This Row],[Charge]]</f>
        <v>#VALUE!</v>
      </c>
      <c r="T796" s="79" t="e">
        <f>IF(DbLinkTable[[#This Row],[Price/lb]]*DbLinkTable[[#This Row],[Weight]]&gt;0,DbLinkTable[[#This Row],[Price/lb]]*DbLinkTable[[#This Row],[Weight]],0)</f>
        <v>#VALUE!</v>
      </c>
      <c r="U796" s="79" t="e">
        <f>IF(DbLinkTable[[#This Row],[Price/lb]]*DbLinkTable[[#This Row],[Weight]]&lt;0,DbLinkTable[[#This Row],[Price/lb]]*DbLinkTable[[#This Row],[Weight]],0)</f>
        <v>#VALUE!</v>
      </c>
      <c r="V796" s="4" t="str">
        <f>IF(COUNTIF($W$2:W796,W796)=1,1,"")</f>
        <v/>
      </c>
      <c r="W796" s="4" t="e">
        <f>CONCATENATE(DbLinkTable[[#This Row],[Customer]],UPPER(DbLinkTable[[#This Row],[Trailer Number]]),DbLinkTable[[#This Row],[Day Received]])</f>
        <v>#VALUE!</v>
      </c>
      <c r="X796" s="4" t="e">
        <f>DATEVALUE(TEXT(DbLinkTable[[#This Row],[Date Received]],"MMMM YYYY"))</f>
        <v>#VALUE!</v>
      </c>
      <c r="Y796" s="4" t="e">
        <f>INT(DbLinkTable[[#This Row],[Date Received]])</f>
        <v>#VALUE!</v>
      </c>
    </row>
    <row r="797" spans="5:25">
      <c r="E797"/>
      <c r="G797"/>
      <c r="H797"/>
      <c r="I797"/>
      <c r="K797"/>
      <c r="O797"/>
      <c r="R797"/>
      <c r="S797" s="79" t="e">
        <f>DbLinkTable[[#This Row],[Credit]]+DbLinkTable[[#This Row],[Charge]]</f>
        <v>#VALUE!</v>
      </c>
      <c r="T797" s="79" t="e">
        <f>IF(DbLinkTable[[#This Row],[Price/lb]]*DbLinkTable[[#This Row],[Weight]]&gt;0,DbLinkTable[[#This Row],[Price/lb]]*DbLinkTable[[#This Row],[Weight]],0)</f>
        <v>#VALUE!</v>
      </c>
      <c r="U797" s="79" t="e">
        <f>IF(DbLinkTable[[#This Row],[Price/lb]]*DbLinkTable[[#This Row],[Weight]]&lt;0,DbLinkTable[[#This Row],[Price/lb]]*DbLinkTable[[#This Row],[Weight]],0)</f>
        <v>#VALUE!</v>
      </c>
      <c r="V797" s="4" t="str">
        <f>IF(COUNTIF($W$2:W797,W797)=1,1,"")</f>
        <v/>
      </c>
      <c r="W797" s="4" t="e">
        <f>CONCATENATE(DbLinkTable[[#This Row],[Customer]],UPPER(DbLinkTable[[#This Row],[Trailer Number]]),DbLinkTable[[#This Row],[Day Received]])</f>
        <v>#VALUE!</v>
      </c>
      <c r="X797" s="4" t="e">
        <f>DATEVALUE(TEXT(DbLinkTable[[#This Row],[Date Received]],"MMMM YYYY"))</f>
        <v>#VALUE!</v>
      </c>
      <c r="Y797" s="4" t="e">
        <f>INT(DbLinkTable[[#This Row],[Date Received]])</f>
        <v>#VALUE!</v>
      </c>
    </row>
    <row r="798" spans="5:25">
      <c r="E798"/>
      <c r="G798"/>
      <c r="H798"/>
      <c r="I798"/>
      <c r="K798"/>
      <c r="O798"/>
      <c r="R798"/>
      <c r="S798" s="79" t="e">
        <f>DbLinkTable[[#This Row],[Credit]]+DbLinkTable[[#This Row],[Charge]]</f>
        <v>#VALUE!</v>
      </c>
      <c r="T798" s="79" t="e">
        <f>IF(DbLinkTable[[#This Row],[Price/lb]]*DbLinkTable[[#This Row],[Weight]]&gt;0,DbLinkTable[[#This Row],[Price/lb]]*DbLinkTable[[#This Row],[Weight]],0)</f>
        <v>#VALUE!</v>
      </c>
      <c r="U798" s="79" t="e">
        <f>IF(DbLinkTable[[#This Row],[Price/lb]]*DbLinkTable[[#This Row],[Weight]]&lt;0,DbLinkTable[[#This Row],[Price/lb]]*DbLinkTable[[#This Row],[Weight]],0)</f>
        <v>#VALUE!</v>
      </c>
      <c r="V798" s="4" t="str">
        <f>IF(COUNTIF($W$2:W798,W798)=1,1,"")</f>
        <v/>
      </c>
      <c r="W798" s="4" t="e">
        <f>CONCATENATE(DbLinkTable[[#This Row],[Customer]],UPPER(DbLinkTable[[#This Row],[Trailer Number]]),DbLinkTable[[#This Row],[Day Received]])</f>
        <v>#VALUE!</v>
      </c>
      <c r="X798" s="4" t="e">
        <f>DATEVALUE(TEXT(DbLinkTable[[#This Row],[Date Received]],"MMMM YYYY"))</f>
        <v>#VALUE!</v>
      </c>
      <c r="Y798" s="4" t="e">
        <f>INT(DbLinkTable[[#This Row],[Date Received]])</f>
        <v>#VALUE!</v>
      </c>
    </row>
    <row r="799" spans="5:25">
      <c r="E799"/>
      <c r="G799"/>
      <c r="H799"/>
      <c r="I799"/>
      <c r="K799"/>
      <c r="O799"/>
      <c r="R799"/>
      <c r="S799" s="79" t="e">
        <f>DbLinkTable[[#This Row],[Credit]]+DbLinkTable[[#This Row],[Charge]]</f>
        <v>#VALUE!</v>
      </c>
      <c r="T799" s="79" t="e">
        <f>IF(DbLinkTable[[#This Row],[Price/lb]]*DbLinkTable[[#This Row],[Weight]]&gt;0,DbLinkTable[[#This Row],[Price/lb]]*DbLinkTable[[#This Row],[Weight]],0)</f>
        <v>#VALUE!</v>
      </c>
      <c r="U799" s="79" t="e">
        <f>IF(DbLinkTable[[#This Row],[Price/lb]]*DbLinkTable[[#This Row],[Weight]]&lt;0,DbLinkTable[[#This Row],[Price/lb]]*DbLinkTable[[#This Row],[Weight]],0)</f>
        <v>#VALUE!</v>
      </c>
      <c r="V799" s="4" t="str">
        <f>IF(COUNTIF($W$2:W799,W799)=1,1,"")</f>
        <v/>
      </c>
      <c r="W799" s="4" t="e">
        <f>CONCATENATE(DbLinkTable[[#This Row],[Customer]],UPPER(DbLinkTable[[#This Row],[Trailer Number]]),DbLinkTable[[#This Row],[Day Received]])</f>
        <v>#VALUE!</v>
      </c>
      <c r="X799" s="4" t="e">
        <f>DATEVALUE(TEXT(DbLinkTable[[#This Row],[Date Received]],"MMMM YYYY"))</f>
        <v>#VALUE!</v>
      </c>
      <c r="Y799" s="4" t="e">
        <f>INT(DbLinkTable[[#This Row],[Date Received]])</f>
        <v>#VALUE!</v>
      </c>
    </row>
    <row r="800" spans="5:25">
      <c r="E800"/>
      <c r="G800"/>
      <c r="H800"/>
      <c r="I800"/>
      <c r="K800"/>
      <c r="O800"/>
      <c r="R800"/>
      <c r="S800" s="79" t="e">
        <f>DbLinkTable[[#This Row],[Credit]]+DbLinkTable[[#This Row],[Charge]]</f>
        <v>#VALUE!</v>
      </c>
      <c r="T800" s="79" t="e">
        <f>IF(DbLinkTable[[#This Row],[Price/lb]]*DbLinkTable[[#This Row],[Weight]]&gt;0,DbLinkTable[[#This Row],[Price/lb]]*DbLinkTable[[#This Row],[Weight]],0)</f>
        <v>#VALUE!</v>
      </c>
      <c r="U800" s="79" t="e">
        <f>IF(DbLinkTable[[#This Row],[Price/lb]]*DbLinkTable[[#This Row],[Weight]]&lt;0,DbLinkTable[[#This Row],[Price/lb]]*DbLinkTable[[#This Row],[Weight]],0)</f>
        <v>#VALUE!</v>
      </c>
      <c r="V800" s="4" t="str">
        <f>IF(COUNTIF($W$2:W800,W800)=1,1,"")</f>
        <v/>
      </c>
      <c r="W800" s="4" t="e">
        <f>CONCATENATE(DbLinkTable[[#This Row],[Customer]],UPPER(DbLinkTable[[#This Row],[Trailer Number]]),DbLinkTable[[#This Row],[Day Received]])</f>
        <v>#VALUE!</v>
      </c>
      <c r="X800" s="4" t="e">
        <f>DATEVALUE(TEXT(DbLinkTable[[#This Row],[Date Received]],"MMMM YYYY"))</f>
        <v>#VALUE!</v>
      </c>
      <c r="Y800" s="4" t="e">
        <f>INT(DbLinkTable[[#This Row],[Date Received]])</f>
        <v>#VALUE!</v>
      </c>
    </row>
    <row r="801" spans="5:25">
      <c r="E801"/>
      <c r="G801"/>
      <c r="H801"/>
      <c r="I801"/>
      <c r="K801"/>
      <c r="O801"/>
      <c r="R801"/>
      <c r="S801" s="79" t="e">
        <f>DbLinkTable[[#This Row],[Credit]]+DbLinkTable[[#This Row],[Charge]]</f>
        <v>#VALUE!</v>
      </c>
      <c r="T801" s="79" t="e">
        <f>IF(DbLinkTable[[#This Row],[Price/lb]]*DbLinkTable[[#This Row],[Weight]]&gt;0,DbLinkTable[[#This Row],[Price/lb]]*DbLinkTable[[#This Row],[Weight]],0)</f>
        <v>#VALUE!</v>
      </c>
      <c r="U801" s="79" t="e">
        <f>IF(DbLinkTable[[#This Row],[Price/lb]]*DbLinkTable[[#This Row],[Weight]]&lt;0,DbLinkTable[[#This Row],[Price/lb]]*DbLinkTable[[#This Row],[Weight]],0)</f>
        <v>#VALUE!</v>
      </c>
      <c r="V801" s="4" t="str">
        <f>IF(COUNTIF($W$2:W801,W801)=1,1,"")</f>
        <v/>
      </c>
      <c r="W801" s="4" t="e">
        <f>CONCATENATE(DbLinkTable[[#This Row],[Customer]],UPPER(DbLinkTable[[#This Row],[Trailer Number]]),DbLinkTable[[#This Row],[Day Received]])</f>
        <v>#VALUE!</v>
      </c>
      <c r="X801" s="4" t="e">
        <f>DATEVALUE(TEXT(DbLinkTable[[#This Row],[Date Received]],"MMMM YYYY"))</f>
        <v>#VALUE!</v>
      </c>
      <c r="Y801" s="4" t="e">
        <f>INT(DbLinkTable[[#This Row],[Date Received]])</f>
        <v>#VALUE!</v>
      </c>
    </row>
    <row r="802" spans="5:25">
      <c r="E802"/>
      <c r="G802"/>
      <c r="H802"/>
      <c r="I802"/>
      <c r="K802"/>
      <c r="O802"/>
      <c r="R802"/>
      <c r="S802" s="79" t="e">
        <f>DbLinkTable[[#This Row],[Credit]]+DbLinkTable[[#This Row],[Charge]]</f>
        <v>#VALUE!</v>
      </c>
      <c r="T802" s="79" t="e">
        <f>IF(DbLinkTable[[#This Row],[Price/lb]]*DbLinkTable[[#This Row],[Weight]]&gt;0,DbLinkTable[[#This Row],[Price/lb]]*DbLinkTable[[#This Row],[Weight]],0)</f>
        <v>#VALUE!</v>
      </c>
      <c r="U802" s="79" t="e">
        <f>IF(DbLinkTable[[#This Row],[Price/lb]]*DbLinkTable[[#This Row],[Weight]]&lt;0,DbLinkTable[[#This Row],[Price/lb]]*DbLinkTable[[#This Row],[Weight]],0)</f>
        <v>#VALUE!</v>
      </c>
      <c r="V802" s="4" t="str">
        <f>IF(COUNTIF($W$2:W802,W802)=1,1,"")</f>
        <v/>
      </c>
      <c r="W802" s="4" t="e">
        <f>CONCATENATE(DbLinkTable[[#This Row],[Customer]],UPPER(DbLinkTable[[#This Row],[Trailer Number]]),DbLinkTable[[#This Row],[Day Received]])</f>
        <v>#VALUE!</v>
      </c>
      <c r="X802" s="4" t="e">
        <f>DATEVALUE(TEXT(DbLinkTable[[#This Row],[Date Received]],"MMMM YYYY"))</f>
        <v>#VALUE!</v>
      </c>
      <c r="Y802" s="4" t="e">
        <f>INT(DbLinkTable[[#This Row],[Date Received]])</f>
        <v>#VALUE!</v>
      </c>
    </row>
    <row r="803" spans="5:25">
      <c r="E803"/>
      <c r="G803"/>
      <c r="H803"/>
      <c r="I803"/>
      <c r="K803"/>
      <c r="O803"/>
      <c r="R803"/>
      <c r="S803" s="79" t="e">
        <f>DbLinkTable[[#This Row],[Credit]]+DbLinkTable[[#This Row],[Charge]]</f>
        <v>#VALUE!</v>
      </c>
      <c r="T803" s="79" t="e">
        <f>IF(DbLinkTable[[#This Row],[Price/lb]]*DbLinkTable[[#This Row],[Weight]]&gt;0,DbLinkTable[[#This Row],[Price/lb]]*DbLinkTable[[#This Row],[Weight]],0)</f>
        <v>#VALUE!</v>
      </c>
      <c r="U803" s="79" t="e">
        <f>IF(DbLinkTable[[#This Row],[Price/lb]]*DbLinkTable[[#This Row],[Weight]]&lt;0,DbLinkTable[[#This Row],[Price/lb]]*DbLinkTable[[#This Row],[Weight]],0)</f>
        <v>#VALUE!</v>
      </c>
      <c r="V803" s="4" t="str">
        <f>IF(COUNTIF($W$2:W803,W803)=1,1,"")</f>
        <v/>
      </c>
      <c r="W803" s="4" t="e">
        <f>CONCATENATE(DbLinkTable[[#This Row],[Customer]],UPPER(DbLinkTable[[#This Row],[Trailer Number]]),DbLinkTable[[#This Row],[Day Received]])</f>
        <v>#VALUE!</v>
      </c>
      <c r="X803" s="4" t="e">
        <f>DATEVALUE(TEXT(DbLinkTable[[#This Row],[Date Received]],"MMMM YYYY"))</f>
        <v>#VALUE!</v>
      </c>
      <c r="Y803" s="4" t="e">
        <f>INT(DbLinkTable[[#This Row],[Date Received]])</f>
        <v>#VALUE!</v>
      </c>
    </row>
    <row r="804" spans="5:25">
      <c r="E804"/>
      <c r="G804"/>
      <c r="H804"/>
      <c r="I804"/>
      <c r="K804"/>
      <c r="O804"/>
      <c r="R804"/>
      <c r="S804" s="79" t="e">
        <f>DbLinkTable[[#This Row],[Credit]]+DbLinkTable[[#This Row],[Charge]]</f>
        <v>#VALUE!</v>
      </c>
      <c r="T804" s="79" t="e">
        <f>IF(DbLinkTable[[#This Row],[Price/lb]]*DbLinkTable[[#This Row],[Weight]]&gt;0,DbLinkTable[[#This Row],[Price/lb]]*DbLinkTable[[#This Row],[Weight]],0)</f>
        <v>#VALUE!</v>
      </c>
      <c r="U804" s="79" t="e">
        <f>IF(DbLinkTable[[#This Row],[Price/lb]]*DbLinkTable[[#This Row],[Weight]]&lt;0,DbLinkTable[[#This Row],[Price/lb]]*DbLinkTable[[#This Row],[Weight]],0)</f>
        <v>#VALUE!</v>
      </c>
      <c r="V804" s="4" t="str">
        <f>IF(COUNTIF($W$2:W804,W804)=1,1,"")</f>
        <v/>
      </c>
      <c r="W804" s="4" t="e">
        <f>CONCATENATE(DbLinkTable[[#This Row],[Customer]],UPPER(DbLinkTable[[#This Row],[Trailer Number]]),DbLinkTable[[#This Row],[Day Received]])</f>
        <v>#VALUE!</v>
      </c>
      <c r="X804" s="4" t="e">
        <f>DATEVALUE(TEXT(DbLinkTable[[#This Row],[Date Received]],"MMMM YYYY"))</f>
        <v>#VALUE!</v>
      </c>
      <c r="Y804" s="4" t="e">
        <f>INT(DbLinkTable[[#This Row],[Date Received]])</f>
        <v>#VALUE!</v>
      </c>
    </row>
    <row r="805" spans="5:25">
      <c r="E805"/>
      <c r="G805"/>
      <c r="H805"/>
      <c r="I805"/>
      <c r="K805"/>
      <c r="O805"/>
      <c r="R805"/>
      <c r="S805" s="79" t="e">
        <f>DbLinkTable[[#This Row],[Credit]]+DbLinkTable[[#This Row],[Charge]]</f>
        <v>#VALUE!</v>
      </c>
      <c r="T805" s="79" t="e">
        <f>IF(DbLinkTable[[#This Row],[Price/lb]]*DbLinkTable[[#This Row],[Weight]]&gt;0,DbLinkTable[[#This Row],[Price/lb]]*DbLinkTable[[#This Row],[Weight]],0)</f>
        <v>#VALUE!</v>
      </c>
      <c r="U805" s="79" t="e">
        <f>IF(DbLinkTable[[#This Row],[Price/lb]]*DbLinkTable[[#This Row],[Weight]]&lt;0,DbLinkTable[[#This Row],[Price/lb]]*DbLinkTable[[#This Row],[Weight]],0)</f>
        <v>#VALUE!</v>
      </c>
      <c r="V805" s="4" t="str">
        <f>IF(COUNTIF($W$2:W805,W805)=1,1,"")</f>
        <v/>
      </c>
      <c r="W805" s="4" t="e">
        <f>CONCATENATE(DbLinkTable[[#This Row],[Customer]],UPPER(DbLinkTable[[#This Row],[Trailer Number]]),DbLinkTable[[#This Row],[Day Received]])</f>
        <v>#VALUE!</v>
      </c>
      <c r="X805" s="4" t="e">
        <f>DATEVALUE(TEXT(DbLinkTable[[#This Row],[Date Received]],"MMMM YYYY"))</f>
        <v>#VALUE!</v>
      </c>
      <c r="Y805" s="4" t="e">
        <f>INT(DbLinkTable[[#This Row],[Date Received]])</f>
        <v>#VALUE!</v>
      </c>
    </row>
    <row r="806" spans="5:25">
      <c r="E806"/>
      <c r="G806"/>
      <c r="H806"/>
      <c r="I806"/>
      <c r="K806"/>
      <c r="O806"/>
      <c r="R806"/>
      <c r="S806" s="99" t="e">
        <f>DbLinkTable[[#This Row],[Credit]]+DbLinkTable[[#This Row],[Charge]]</f>
        <v>#VALUE!</v>
      </c>
      <c r="T806" s="99" t="e">
        <f>IF(DbLinkTable[[#This Row],[Price/lb]]*DbLinkTable[[#This Row],[Weight]]&gt;0,DbLinkTable[[#This Row],[Price/lb]]*DbLinkTable[[#This Row],[Weight]],0)</f>
        <v>#VALUE!</v>
      </c>
      <c r="U806" s="99" t="e">
        <f>IF(DbLinkTable[[#This Row],[Price/lb]]*DbLinkTable[[#This Row],[Weight]]&lt;0,DbLinkTable[[#This Row],[Price/lb]]*DbLinkTable[[#This Row],[Weight]],0)</f>
        <v>#VALUE!</v>
      </c>
      <c r="V806" s="88" t="str">
        <f>IF(COUNTIF($W$2:W151,W806)=1,1,"")</f>
        <v/>
      </c>
      <c r="W806" s="88" t="e">
        <f>CONCATENATE(DbLinkTable[[#This Row],[Customer]],UPPER(DbLinkTable[[#This Row],[Trailer Number]]),DbLinkTable[[#This Row],[Day Received]])</f>
        <v>#VALUE!</v>
      </c>
      <c r="X806" s="88" t="e">
        <f>DATEVALUE(TEXT(DbLinkTable[[#This Row],[Date Received]],"MMMM YYYY"))</f>
        <v>#VALUE!</v>
      </c>
      <c r="Y806" s="88" t="e">
        <f>INT(DbLinkTable[[#This Row],[Date Received]])</f>
        <v>#VALUE!</v>
      </c>
    </row>
    <row r="807" spans="5:25">
      <c r="E807"/>
      <c r="G807"/>
      <c r="H807"/>
      <c r="I807"/>
      <c r="K807"/>
      <c r="O807"/>
      <c r="R807"/>
      <c r="S807" s="79" t="e">
        <f>DbLinkTable[[#This Row],[Credit]]+DbLinkTable[[#This Row],[Charge]]</f>
        <v>#VALUE!</v>
      </c>
      <c r="T807" s="79" t="e">
        <f>IF(DbLinkTable[[#This Row],[Price/lb]]*DbLinkTable[[#This Row],[Weight]]&gt;0,DbLinkTable[[#This Row],[Price/lb]]*DbLinkTable[[#This Row],[Weight]],0)</f>
        <v>#VALUE!</v>
      </c>
      <c r="U807" s="79" t="e">
        <f>IF(DbLinkTable[[#This Row],[Price/lb]]*DbLinkTable[[#This Row],[Weight]]&lt;0,DbLinkTable[[#This Row],[Price/lb]]*DbLinkTable[[#This Row],[Weight]],0)</f>
        <v>#VALUE!</v>
      </c>
      <c r="V807" s="4" t="str">
        <f>IF(COUNTIF($W$2:W807,W807)=1,1,"")</f>
        <v/>
      </c>
      <c r="W807" s="4" t="e">
        <f>CONCATENATE(DbLinkTable[[#This Row],[Customer]],UPPER(DbLinkTable[[#This Row],[Trailer Number]]),DbLinkTable[[#This Row],[Day Received]])</f>
        <v>#VALUE!</v>
      </c>
      <c r="X807" s="4" t="e">
        <f>DATEVALUE(TEXT(DbLinkTable[[#This Row],[Date Received]],"MMMM YYYY"))</f>
        <v>#VALUE!</v>
      </c>
      <c r="Y807" s="4" t="e">
        <f>INT(DbLinkTable[[#This Row],[Date Received]])</f>
        <v>#VALUE!</v>
      </c>
    </row>
    <row r="808" spans="5:25">
      <c r="E808"/>
      <c r="G808"/>
      <c r="H808"/>
      <c r="I808"/>
      <c r="K808"/>
      <c r="O808"/>
      <c r="R808"/>
      <c r="S808" s="79" t="e">
        <f>DbLinkTable[[#This Row],[Credit]]+DbLinkTable[[#This Row],[Charge]]</f>
        <v>#VALUE!</v>
      </c>
      <c r="T808" s="79" t="e">
        <f>IF(DbLinkTable[[#This Row],[Price/lb]]*DbLinkTable[[#This Row],[Weight]]&gt;0,DbLinkTable[[#This Row],[Price/lb]]*DbLinkTable[[#This Row],[Weight]],0)</f>
        <v>#VALUE!</v>
      </c>
      <c r="U808" s="79" t="e">
        <f>IF(DbLinkTable[[#This Row],[Price/lb]]*DbLinkTable[[#This Row],[Weight]]&lt;0,DbLinkTable[[#This Row],[Price/lb]]*DbLinkTable[[#This Row],[Weight]],0)</f>
        <v>#VALUE!</v>
      </c>
      <c r="V808" s="4" t="str">
        <f>IF(COUNTIF($W$2:W808,W808)=1,1,"")</f>
        <v/>
      </c>
      <c r="W808" s="4" t="e">
        <f>CONCATENATE(DbLinkTable[[#This Row],[Customer]],UPPER(DbLinkTable[[#This Row],[Trailer Number]]),DbLinkTable[[#This Row],[Day Received]])</f>
        <v>#VALUE!</v>
      </c>
      <c r="X808" s="4" t="e">
        <f>DATEVALUE(TEXT(DbLinkTable[[#This Row],[Date Received]],"MMMM YYYY"))</f>
        <v>#VALUE!</v>
      </c>
      <c r="Y808" s="4" t="e">
        <f>INT(DbLinkTable[[#This Row],[Date Received]])</f>
        <v>#VALUE!</v>
      </c>
    </row>
    <row r="809" spans="5:25">
      <c r="E809"/>
      <c r="G809"/>
      <c r="H809"/>
      <c r="I809"/>
      <c r="K809"/>
      <c r="O809"/>
      <c r="R809"/>
      <c r="S809" s="79" t="e">
        <f>DbLinkTable[[#This Row],[Credit]]+DbLinkTable[[#This Row],[Charge]]</f>
        <v>#VALUE!</v>
      </c>
      <c r="T809" s="79" t="e">
        <f>IF(DbLinkTable[[#This Row],[Price/lb]]*DbLinkTable[[#This Row],[Weight]]&gt;0,DbLinkTable[[#This Row],[Price/lb]]*DbLinkTable[[#This Row],[Weight]],0)</f>
        <v>#VALUE!</v>
      </c>
      <c r="U809" s="79" t="e">
        <f>IF(DbLinkTable[[#This Row],[Price/lb]]*DbLinkTable[[#This Row],[Weight]]&lt;0,DbLinkTable[[#This Row],[Price/lb]]*DbLinkTable[[#This Row],[Weight]],0)</f>
        <v>#VALUE!</v>
      </c>
      <c r="V809" s="4" t="str">
        <f>IF(COUNTIF($W$2:W809,W809)=1,1,"")</f>
        <v/>
      </c>
      <c r="W809" s="4" t="e">
        <f>CONCATENATE(DbLinkTable[[#This Row],[Customer]],UPPER(DbLinkTable[[#This Row],[Trailer Number]]),DbLinkTable[[#This Row],[Day Received]])</f>
        <v>#VALUE!</v>
      </c>
      <c r="X809" s="4" t="e">
        <f>DATEVALUE(TEXT(DbLinkTable[[#This Row],[Date Received]],"MMMM YYYY"))</f>
        <v>#VALUE!</v>
      </c>
      <c r="Y809" s="4" t="e">
        <f>INT(DbLinkTable[[#This Row],[Date Received]])</f>
        <v>#VALUE!</v>
      </c>
    </row>
    <row r="810" spans="5:25">
      <c r="E810"/>
      <c r="G810"/>
      <c r="H810"/>
      <c r="I810"/>
      <c r="K810"/>
      <c r="O810"/>
      <c r="R810"/>
      <c r="S810" s="79" t="e">
        <f>DbLinkTable[[#This Row],[Credit]]+DbLinkTable[[#This Row],[Charge]]</f>
        <v>#VALUE!</v>
      </c>
      <c r="T810" s="79" t="e">
        <f>IF(DbLinkTable[[#This Row],[Price/lb]]*DbLinkTable[[#This Row],[Weight]]&gt;0,DbLinkTable[[#This Row],[Price/lb]]*DbLinkTable[[#This Row],[Weight]],0)</f>
        <v>#VALUE!</v>
      </c>
      <c r="U810" s="79" t="e">
        <f>IF(DbLinkTable[[#This Row],[Price/lb]]*DbLinkTable[[#This Row],[Weight]]&lt;0,DbLinkTable[[#This Row],[Price/lb]]*DbLinkTable[[#This Row],[Weight]],0)</f>
        <v>#VALUE!</v>
      </c>
      <c r="V810" s="4" t="str">
        <f>IF(COUNTIF($W$2:W810,W810)=1,1,"")</f>
        <v/>
      </c>
      <c r="W810" s="4" t="e">
        <f>CONCATENATE(DbLinkTable[[#This Row],[Customer]],UPPER(DbLinkTable[[#This Row],[Trailer Number]]),DbLinkTable[[#This Row],[Day Received]])</f>
        <v>#VALUE!</v>
      </c>
      <c r="X810" s="4" t="e">
        <f>DATEVALUE(TEXT(DbLinkTable[[#This Row],[Date Received]],"MMMM YYYY"))</f>
        <v>#VALUE!</v>
      </c>
      <c r="Y810" s="4" t="e">
        <f>INT(DbLinkTable[[#This Row],[Date Received]])</f>
        <v>#VALUE!</v>
      </c>
    </row>
    <row r="811" spans="5:25">
      <c r="E811"/>
      <c r="G811"/>
      <c r="H811"/>
      <c r="I811"/>
      <c r="K811"/>
      <c r="O811"/>
      <c r="R811"/>
      <c r="S811" s="79" t="e">
        <f>DbLinkTable[[#This Row],[Credit]]+DbLinkTable[[#This Row],[Charge]]</f>
        <v>#VALUE!</v>
      </c>
      <c r="T811" s="79" t="e">
        <f>IF(DbLinkTable[[#This Row],[Price/lb]]*DbLinkTable[[#This Row],[Weight]]&gt;0,DbLinkTable[[#This Row],[Price/lb]]*DbLinkTable[[#This Row],[Weight]],0)</f>
        <v>#VALUE!</v>
      </c>
      <c r="U811" s="79" t="e">
        <f>IF(DbLinkTable[[#This Row],[Price/lb]]*DbLinkTable[[#This Row],[Weight]]&lt;0,DbLinkTable[[#This Row],[Price/lb]]*DbLinkTable[[#This Row],[Weight]],0)</f>
        <v>#VALUE!</v>
      </c>
      <c r="V811" s="4" t="str">
        <f>IF(COUNTIF($W$2:W811,W811)=1,1,"")</f>
        <v/>
      </c>
      <c r="W811" s="4" t="e">
        <f>CONCATENATE(DbLinkTable[[#This Row],[Customer]],UPPER(DbLinkTable[[#This Row],[Trailer Number]]),DbLinkTable[[#This Row],[Day Received]])</f>
        <v>#VALUE!</v>
      </c>
      <c r="X811" s="4" t="e">
        <f>DATEVALUE(TEXT(DbLinkTable[[#This Row],[Date Received]],"MMMM YYYY"))</f>
        <v>#VALUE!</v>
      </c>
      <c r="Y811" s="4" t="e">
        <f>INT(DbLinkTable[[#This Row],[Date Received]])</f>
        <v>#VALUE!</v>
      </c>
    </row>
    <row r="812" spans="5:25">
      <c r="E812"/>
      <c r="G812"/>
      <c r="H812"/>
      <c r="I812"/>
      <c r="K812"/>
      <c r="O812"/>
      <c r="R812"/>
      <c r="S812" s="79" t="e">
        <f>DbLinkTable[[#This Row],[Credit]]+DbLinkTable[[#This Row],[Charge]]</f>
        <v>#VALUE!</v>
      </c>
      <c r="T812" s="79" t="e">
        <f>IF(DbLinkTable[[#This Row],[Price/lb]]*DbLinkTable[[#This Row],[Weight]]&gt;0,DbLinkTable[[#This Row],[Price/lb]]*DbLinkTable[[#This Row],[Weight]],0)</f>
        <v>#VALUE!</v>
      </c>
      <c r="U812" s="79" t="e">
        <f>IF(DbLinkTable[[#This Row],[Price/lb]]*DbLinkTable[[#This Row],[Weight]]&lt;0,DbLinkTable[[#This Row],[Price/lb]]*DbLinkTable[[#This Row],[Weight]],0)</f>
        <v>#VALUE!</v>
      </c>
      <c r="V812" s="4" t="str">
        <f>IF(COUNTIF($W$2:W812,W812)=1,1,"")</f>
        <v/>
      </c>
      <c r="W812" s="4" t="e">
        <f>CONCATENATE(DbLinkTable[[#This Row],[Customer]],UPPER(DbLinkTable[[#This Row],[Trailer Number]]),DbLinkTable[[#This Row],[Day Received]])</f>
        <v>#VALUE!</v>
      </c>
      <c r="X812" s="4" t="e">
        <f>DATEVALUE(TEXT(DbLinkTable[[#This Row],[Date Received]],"MMMM YYYY"))</f>
        <v>#VALUE!</v>
      </c>
      <c r="Y812" s="4" t="e">
        <f>INT(DbLinkTable[[#This Row],[Date Received]])</f>
        <v>#VALUE!</v>
      </c>
    </row>
    <row r="813" spans="5:25">
      <c r="E813"/>
      <c r="G813"/>
      <c r="H813"/>
      <c r="I813"/>
      <c r="K813"/>
      <c r="O813"/>
      <c r="R813"/>
      <c r="S813" s="79" t="e">
        <f>DbLinkTable[[#This Row],[Credit]]+DbLinkTable[[#This Row],[Charge]]</f>
        <v>#VALUE!</v>
      </c>
      <c r="T813" s="79" t="e">
        <f>IF(DbLinkTable[[#This Row],[Price/lb]]*DbLinkTable[[#This Row],[Weight]]&gt;0,DbLinkTable[[#This Row],[Price/lb]]*DbLinkTable[[#This Row],[Weight]],0)</f>
        <v>#VALUE!</v>
      </c>
      <c r="U813" s="79" t="e">
        <f>IF(DbLinkTable[[#This Row],[Price/lb]]*DbLinkTable[[#This Row],[Weight]]&lt;0,DbLinkTable[[#This Row],[Price/lb]]*DbLinkTable[[#This Row],[Weight]],0)</f>
        <v>#VALUE!</v>
      </c>
      <c r="V813" s="4" t="str">
        <f>IF(COUNTIF($W$2:W813,W813)=1,1,"")</f>
        <v/>
      </c>
      <c r="W813" s="4" t="e">
        <f>CONCATENATE(DbLinkTable[[#This Row],[Customer]],UPPER(DbLinkTable[[#This Row],[Trailer Number]]),DbLinkTable[[#This Row],[Day Received]])</f>
        <v>#VALUE!</v>
      </c>
      <c r="X813" s="4" t="e">
        <f>DATEVALUE(TEXT(DbLinkTable[[#This Row],[Date Received]],"MMMM YYYY"))</f>
        <v>#VALUE!</v>
      </c>
      <c r="Y813" s="4" t="e">
        <f>INT(DbLinkTable[[#This Row],[Date Received]])</f>
        <v>#VALUE!</v>
      </c>
    </row>
    <row r="814" spans="5:25">
      <c r="E814"/>
      <c r="G814"/>
      <c r="H814"/>
      <c r="I814"/>
      <c r="K814"/>
      <c r="O814"/>
      <c r="R814"/>
      <c r="S814" s="79" t="e">
        <f>DbLinkTable[[#This Row],[Credit]]+DbLinkTable[[#This Row],[Charge]]</f>
        <v>#VALUE!</v>
      </c>
      <c r="T814" s="79" t="e">
        <f>IF(DbLinkTable[[#This Row],[Price/lb]]*DbLinkTable[[#This Row],[Weight]]&gt;0,DbLinkTable[[#This Row],[Price/lb]]*DbLinkTable[[#This Row],[Weight]],0)</f>
        <v>#VALUE!</v>
      </c>
      <c r="U814" s="79" t="e">
        <f>IF(DbLinkTable[[#This Row],[Price/lb]]*DbLinkTable[[#This Row],[Weight]]&lt;0,DbLinkTable[[#This Row],[Price/lb]]*DbLinkTable[[#This Row],[Weight]],0)</f>
        <v>#VALUE!</v>
      </c>
      <c r="V814" s="4" t="str">
        <f>IF(COUNTIF($W$2:W814,W814)=1,1,"")</f>
        <v/>
      </c>
      <c r="W814" s="4" t="e">
        <f>CONCATENATE(DbLinkTable[[#This Row],[Customer]],UPPER(DbLinkTable[[#This Row],[Trailer Number]]),DbLinkTable[[#This Row],[Day Received]])</f>
        <v>#VALUE!</v>
      </c>
      <c r="X814" s="4" t="e">
        <f>DATEVALUE(TEXT(DbLinkTable[[#This Row],[Date Received]],"MMMM YYYY"))</f>
        <v>#VALUE!</v>
      </c>
      <c r="Y814" s="4" t="e">
        <f>INT(DbLinkTable[[#This Row],[Date Received]])</f>
        <v>#VALUE!</v>
      </c>
    </row>
    <row r="815" spans="5:25">
      <c r="E815"/>
      <c r="G815"/>
      <c r="H815"/>
      <c r="I815"/>
      <c r="K815"/>
      <c r="O815"/>
      <c r="R815"/>
      <c r="S815" s="79" t="e">
        <f>DbLinkTable[[#This Row],[Credit]]+DbLinkTable[[#This Row],[Charge]]</f>
        <v>#VALUE!</v>
      </c>
      <c r="T815" s="79" t="e">
        <f>IF(DbLinkTable[[#This Row],[Price/lb]]*DbLinkTable[[#This Row],[Weight]]&gt;0,DbLinkTable[[#This Row],[Price/lb]]*DbLinkTable[[#This Row],[Weight]],0)</f>
        <v>#VALUE!</v>
      </c>
      <c r="U815" s="79" t="e">
        <f>IF(DbLinkTable[[#This Row],[Price/lb]]*DbLinkTable[[#This Row],[Weight]]&lt;0,DbLinkTable[[#This Row],[Price/lb]]*DbLinkTable[[#This Row],[Weight]],0)</f>
        <v>#VALUE!</v>
      </c>
      <c r="V815" s="4" t="str">
        <f>IF(COUNTIF($W$2:W815,W815)=1,1,"")</f>
        <v/>
      </c>
      <c r="W815" s="4" t="e">
        <f>CONCATENATE(DbLinkTable[[#This Row],[Customer]],UPPER(DbLinkTable[[#This Row],[Trailer Number]]),DbLinkTable[[#This Row],[Day Received]])</f>
        <v>#VALUE!</v>
      </c>
      <c r="X815" s="4" t="e">
        <f>DATEVALUE(TEXT(DbLinkTable[[#This Row],[Date Received]],"MMMM YYYY"))</f>
        <v>#VALUE!</v>
      </c>
      <c r="Y815" s="4" t="e">
        <f>INT(DbLinkTable[[#This Row],[Date Received]])</f>
        <v>#VALUE!</v>
      </c>
    </row>
    <row r="816" spans="5:25">
      <c r="E816"/>
      <c r="G816"/>
      <c r="H816"/>
      <c r="I816"/>
      <c r="K816"/>
      <c r="O816"/>
      <c r="R816"/>
      <c r="S816" s="79" t="e">
        <f>DbLinkTable[[#This Row],[Credit]]+DbLinkTable[[#This Row],[Charge]]</f>
        <v>#VALUE!</v>
      </c>
      <c r="T816" s="79" t="e">
        <f>IF(DbLinkTable[[#This Row],[Price/lb]]*DbLinkTable[[#This Row],[Weight]]&gt;0,DbLinkTable[[#This Row],[Price/lb]]*DbLinkTable[[#This Row],[Weight]],0)</f>
        <v>#VALUE!</v>
      </c>
      <c r="U816" s="79" t="e">
        <f>IF(DbLinkTable[[#This Row],[Price/lb]]*DbLinkTable[[#This Row],[Weight]]&lt;0,DbLinkTable[[#This Row],[Price/lb]]*DbLinkTable[[#This Row],[Weight]],0)</f>
        <v>#VALUE!</v>
      </c>
      <c r="V816" s="4" t="str">
        <f>IF(COUNTIF($W$2:W816,W816)=1,1,"")</f>
        <v/>
      </c>
      <c r="W816" s="4" t="e">
        <f>CONCATENATE(DbLinkTable[[#This Row],[Customer]],UPPER(DbLinkTable[[#This Row],[Trailer Number]]),DbLinkTable[[#This Row],[Day Received]])</f>
        <v>#VALUE!</v>
      </c>
      <c r="X816" s="4" t="e">
        <f>DATEVALUE(TEXT(DbLinkTable[[#This Row],[Date Received]],"MMMM YYYY"))</f>
        <v>#VALUE!</v>
      </c>
      <c r="Y816" s="4" t="e">
        <f>INT(DbLinkTable[[#This Row],[Date Received]])</f>
        <v>#VALUE!</v>
      </c>
    </row>
    <row r="817" spans="5:25">
      <c r="E817"/>
      <c r="G817"/>
      <c r="H817"/>
      <c r="I817"/>
      <c r="K817"/>
      <c r="O817"/>
      <c r="R817"/>
      <c r="S817" s="79" t="e">
        <f>DbLinkTable[[#This Row],[Credit]]+DbLinkTable[[#This Row],[Charge]]</f>
        <v>#VALUE!</v>
      </c>
      <c r="T817" s="79" t="e">
        <f>IF(DbLinkTable[[#This Row],[Price/lb]]*DbLinkTable[[#This Row],[Weight]]&gt;0,DbLinkTable[[#This Row],[Price/lb]]*DbLinkTable[[#This Row],[Weight]],0)</f>
        <v>#VALUE!</v>
      </c>
      <c r="U817" s="79" t="e">
        <f>IF(DbLinkTable[[#This Row],[Price/lb]]*DbLinkTable[[#This Row],[Weight]]&lt;0,DbLinkTable[[#This Row],[Price/lb]]*DbLinkTable[[#This Row],[Weight]],0)</f>
        <v>#VALUE!</v>
      </c>
      <c r="V817" s="4" t="str">
        <f>IF(COUNTIF($W$2:W817,W817)=1,1,"")</f>
        <v/>
      </c>
      <c r="W817" s="4" t="e">
        <f>CONCATENATE(DbLinkTable[[#This Row],[Customer]],UPPER(DbLinkTable[[#This Row],[Trailer Number]]),DbLinkTable[[#This Row],[Day Received]])</f>
        <v>#VALUE!</v>
      </c>
      <c r="X817" s="4" t="e">
        <f>DATEVALUE(TEXT(DbLinkTable[[#This Row],[Date Received]],"MMMM YYYY"))</f>
        <v>#VALUE!</v>
      </c>
      <c r="Y817" s="4" t="e">
        <f>INT(DbLinkTable[[#This Row],[Date Received]])</f>
        <v>#VALUE!</v>
      </c>
    </row>
    <row r="818" spans="5:25">
      <c r="E818"/>
      <c r="G818"/>
      <c r="H818"/>
      <c r="I818"/>
      <c r="K818"/>
      <c r="O818"/>
      <c r="R818"/>
      <c r="S818" s="79" t="e">
        <f>DbLinkTable[[#This Row],[Credit]]+DbLinkTable[[#This Row],[Charge]]</f>
        <v>#VALUE!</v>
      </c>
      <c r="T818" s="79" t="e">
        <f>IF(DbLinkTable[[#This Row],[Price/lb]]*DbLinkTable[[#This Row],[Weight]]&gt;0,DbLinkTable[[#This Row],[Price/lb]]*DbLinkTable[[#This Row],[Weight]],0)</f>
        <v>#VALUE!</v>
      </c>
      <c r="U818" s="79" t="e">
        <f>IF(DbLinkTable[[#This Row],[Price/lb]]*DbLinkTable[[#This Row],[Weight]]&lt;0,DbLinkTable[[#This Row],[Price/lb]]*DbLinkTable[[#This Row],[Weight]],0)</f>
        <v>#VALUE!</v>
      </c>
      <c r="V818" s="4" t="str">
        <f>IF(COUNTIF($W$2:W818,W818)=1,1,"")</f>
        <v/>
      </c>
      <c r="W818" s="4" t="e">
        <f>CONCATENATE(DbLinkTable[[#This Row],[Customer]],UPPER(DbLinkTable[[#This Row],[Trailer Number]]),DbLinkTable[[#This Row],[Day Received]])</f>
        <v>#VALUE!</v>
      </c>
      <c r="X818" s="4" t="e">
        <f>DATEVALUE(TEXT(DbLinkTable[[#This Row],[Date Received]],"MMMM YYYY"))</f>
        <v>#VALUE!</v>
      </c>
      <c r="Y818" s="4" t="e">
        <f>INT(DbLinkTable[[#This Row],[Date Received]])</f>
        <v>#VALUE!</v>
      </c>
    </row>
    <row r="819" spans="5:25">
      <c r="E819"/>
      <c r="G819"/>
      <c r="H819"/>
      <c r="I819"/>
      <c r="K819"/>
      <c r="O819"/>
      <c r="R819"/>
      <c r="S819" s="79" t="e">
        <f>DbLinkTable[[#This Row],[Credit]]+DbLinkTable[[#This Row],[Charge]]</f>
        <v>#VALUE!</v>
      </c>
      <c r="T819" s="79" t="e">
        <f>IF(DbLinkTable[[#This Row],[Price/lb]]*DbLinkTable[[#This Row],[Weight]]&gt;0,DbLinkTable[[#This Row],[Price/lb]]*DbLinkTable[[#This Row],[Weight]],0)</f>
        <v>#VALUE!</v>
      </c>
      <c r="U819" s="79" t="e">
        <f>IF(DbLinkTable[[#This Row],[Price/lb]]*DbLinkTable[[#This Row],[Weight]]&lt;0,DbLinkTable[[#This Row],[Price/lb]]*DbLinkTable[[#This Row],[Weight]],0)</f>
        <v>#VALUE!</v>
      </c>
      <c r="V819" s="4" t="str">
        <f>IF(COUNTIF($W$2:W819,W819)=1,1,"")</f>
        <v/>
      </c>
      <c r="W819" s="4" t="e">
        <f>CONCATENATE(DbLinkTable[[#This Row],[Customer]],UPPER(DbLinkTable[[#This Row],[Trailer Number]]),DbLinkTable[[#This Row],[Day Received]])</f>
        <v>#VALUE!</v>
      </c>
      <c r="X819" s="4" t="e">
        <f>DATEVALUE(TEXT(DbLinkTable[[#This Row],[Date Received]],"MMMM YYYY"))</f>
        <v>#VALUE!</v>
      </c>
      <c r="Y819" s="4" t="e">
        <f>INT(DbLinkTable[[#This Row],[Date Received]])</f>
        <v>#VALUE!</v>
      </c>
    </row>
    <row r="820" spans="5:25">
      <c r="E820"/>
      <c r="G820"/>
      <c r="H820"/>
      <c r="I820"/>
      <c r="K820"/>
      <c r="O820"/>
      <c r="R820"/>
      <c r="S820" s="79" t="e">
        <f>DbLinkTable[[#This Row],[Credit]]+DbLinkTable[[#This Row],[Charge]]</f>
        <v>#VALUE!</v>
      </c>
      <c r="T820" s="79" t="e">
        <f>IF(DbLinkTable[[#This Row],[Price/lb]]*DbLinkTable[[#This Row],[Weight]]&gt;0,DbLinkTable[[#This Row],[Price/lb]]*DbLinkTable[[#This Row],[Weight]],0)</f>
        <v>#VALUE!</v>
      </c>
      <c r="U820" s="79" t="e">
        <f>IF(DbLinkTable[[#This Row],[Price/lb]]*DbLinkTable[[#This Row],[Weight]]&lt;0,DbLinkTable[[#This Row],[Price/lb]]*DbLinkTable[[#This Row],[Weight]],0)</f>
        <v>#VALUE!</v>
      </c>
      <c r="V820" s="4" t="str">
        <f>IF(COUNTIF($W$2:W820,W820)=1,1,"")</f>
        <v/>
      </c>
      <c r="W820" s="4" t="e">
        <f>CONCATENATE(DbLinkTable[[#This Row],[Customer]],UPPER(DbLinkTable[[#This Row],[Trailer Number]]),DbLinkTable[[#This Row],[Day Received]])</f>
        <v>#VALUE!</v>
      </c>
      <c r="X820" s="4" t="e">
        <f>DATEVALUE(TEXT(DbLinkTable[[#This Row],[Date Received]],"MMMM YYYY"))</f>
        <v>#VALUE!</v>
      </c>
      <c r="Y820" s="4" t="e">
        <f>INT(DbLinkTable[[#This Row],[Date Received]])</f>
        <v>#VALUE!</v>
      </c>
    </row>
    <row r="821" spans="5:25">
      <c r="E821"/>
      <c r="G821"/>
      <c r="H821"/>
      <c r="I821"/>
      <c r="K821"/>
      <c r="O821"/>
      <c r="R821"/>
      <c r="S821" s="79" t="e">
        <f>DbLinkTable[[#This Row],[Credit]]+DbLinkTable[[#This Row],[Charge]]</f>
        <v>#VALUE!</v>
      </c>
      <c r="T821" s="79" t="e">
        <f>IF(DbLinkTable[[#This Row],[Price/lb]]*DbLinkTable[[#This Row],[Weight]]&gt;0,DbLinkTable[[#This Row],[Price/lb]]*DbLinkTable[[#This Row],[Weight]],0)</f>
        <v>#VALUE!</v>
      </c>
      <c r="U821" s="79" t="e">
        <f>IF(DbLinkTable[[#This Row],[Price/lb]]*DbLinkTable[[#This Row],[Weight]]&lt;0,DbLinkTable[[#This Row],[Price/lb]]*DbLinkTable[[#This Row],[Weight]],0)</f>
        <v>#VALUE!</v>
      </c>
      <c r="V821" s="4" t="str">
        <f>IF(COUNTIF($W$2:W821,W821)=1,1,"")</f>
        <v/>
      </c>
      <c r="W821" s="4" t="e">
        <f>CONCATENATE(DbLinkTable[[#This Row],[Customer]],UPPER(DbLinkTable[[#This Row],[Trailer Number]]),DbLinkTable[[#This Row],[Day Received]])</f>
        <v>#VALUE!</v>
      </c>
      <c r="X821" s="4" t="e">
        <f>DATEVALUE(TEXT(DbLinkTable[[#This Row],[Date Received]],"MMMM YYYY"))</f>
        <v>#VALUE!</v>
      </c>
      <c r="Y821" s="4" t="e">
        <f>INT(DbLinkTable[[#This Row],[Date Received]])</f>
        <v>#VALUE!</v>
      </c>
    </row>
    <row r="822" spans="5:25">
      <c r="E822"/>
      <c r="G822"/>
      <c r="H822"/>
      <c r="I822"/>
      <c r="K822"/>
      <c r="O822"/>
      <c r="R822"/>
      <c r="S822" s="79" t="e">
        <f>DbLinkTable[[#This Row],[Credit]]+DbLinkTable[[#This Row],[Charge]]</f>
        <v>#VALUE!</v>
      </c>
      <c r="T822" s="79" t="e">
        <f>IF(DbLinkTable[[#This Row],[Price/lb]]*DbLinkTable[[#This Row],[Weight]]&gt;0,DbLinkTable[[#This Row],[Price/lb]]*DbLinkTable[[#This Row],[Weight]],0)</f>
        <v>#VALUE!</v>
      </c>
      <c r="U822" s="79" t="e">
        <f>IF(DbLinkTable[[#This Row],[Price/lb]]*DbLinkTable[[#This Row],[Weight]]&lt;0,DbLinkTable[[#This Row],[Price/lb]]*DbLinkTable[[#This Row],[Weight]],0)</f>
        <v>#VALUE!</v>
      </c>
      <c r="V822" s="4" t="str">
        <f>IF(COUNTIF($W$2:W822,W822)=1,1,"")</f>
        <v/>
      </c>
      <c r="W822" s="4" t="e">
        <f>CONCATENATE(DbLinkTable[[#This Row],[Customer]],UPPER(DbLinkTable[[#This Row],[Trailer Number]]),DbLinkTable[[#This Row],[Day Received]])</f>
        <v>#VALUE!</v>
      </c>
      <c r="X822" s="4" t="e">
        <f>DATEVALUE(TEXT(DbLinkTable[[#This Row],[Date Received]],"MMMM YYYY"))</f>
        <v>#VALUE!</v>
      </c>
      <c r="Y822" s="4" t="e">
        <f>INT(DbLinkTable[[#This Row],[Date Received]])</f>
        <v>#VALUE!</v>
      </c>
    </row>
    <row r="823" spans="5:25">
      <c r="E823"/>
      <c r="G823"/>
      <c r="H823"/>
      <c r="I823"/>
      <c r="K823"/>
      <c r="O823"/>
      <c r="R823"/>
      <c r="S823" s="79" t="e">
        <f>DbLinkTable[[#This Row],[Credit]]+DbLinkTable[[#This Row],[Charge]]</f>
        <v>#VALUE!</v>
      </c>
      <c r="T823" s="79" t="e">
        <f>IF(DbLinkTable[[#This Row],[Price/lb]]*DbLinkTable[[#This Row],[Weight]]&gt;0,DbLinkTable[[#This Row],[Price/lb]]*DbLinkTable[[#This Row],[Weight]],0)</f>
        <v>#VALUE!</v>
      </c>
      <c r="U823" s="79" t="e">
        <f>IF(DbLinkTable[[#This Row],[Price/lb]]*DbLinkTable[[#This Row],[Weight]]&lt;0,DbLinkTable[[#This Row],[Price/lb]]*DbLinkTable[[#This Row],[Weight]],0)</f>
        <v>#VALUE!</v>
      </c>
      <c r="V823" s="4" t="str">
        <f>IF(COUNTIF($W$2:W823,W823)=1,1,"")</f>
        <v/>
      </c>
      <c r="W823" s="4" t="e">
        <f>CONCATENATE(DbLinkTable[[#This Row],[Customer]],UPPER(DbLinkTable[[#This Row],[Trailer Number]]),DbLinkTable[[#This Row],[Day Received]])</f>
        <v>#VALUE!</v>
      </c>
      <c r="X823" s="4" t="e">
        <f>DATEVALUE(TEXT(DbLinkTable[[#This Row],[Date Received]],"MMMM YYYY"))</f>
        <v>#VALUE!</v>
      </c>
      <c r="Y823" s="4" t="e">
        <f>INT(DbLinkTable[[#This Row],[Date Received]])</f>
        <v>#VALUE!</v>
      </c>
    </row>
    <row r="824" spans="5:25">
      <c r="E824"/>
      <c r="G824"/>
      <c r="H824"/>
      <c r="I824"/>
      <c r="K824"/>
      <c r="O824"/>
      <c r="R824"/>
      <c r="S824" s="79" t="e">
        <f>DbLinkTable[[#This Row],[Credit]]+DbLinkTable[[#This Row],[Charge]]</f>
        <v>#VALUE!</v>
      </c>
      <c r="T824" s="79" t="e">
        <f>IF(DbLinkTable[[#This Row],[Price/lb]]*DbLinkTable[[#This Row],[Weight]]&gt;0,DbLinkTable[[#This Row],[Price/lb]]*DbLinkTable[[#This Row],[Weight]],0)</f>
        <v>#VALUE!</v>
      </c>
      <c r="U824" s="79" t="e">
        <f>IF(DbLinkTable[[#This Row],[Price/lb]]*DbLinkTable[[#This Row],[Weight]]&lt;0,DbLinkTable[[#This Row],[Price/lb]]*DbLinkTable[[#This Row],[Weight]],0)</f>
        <v>#VALUE!</v>
      </c>
      <c r="V824" s="4" t="str">
        <f>IF(COUNTIF($W$2:W824,W824)=1,1,"")</f>
        <v/>
      </c>
      <c r="W824" s="4" t="e">
        <f>CONCATENATE(DbLinkTable[[#This Row],[Customer]],UPPER(DbLinkTable[[#This Row],[Trailer Number]]),DbLinkTable[[#This Row],[Day Received]])</f>
        <v>#VALUE!</v>
      </c>
      <c r="X824" s="4" t="e">
        <f>DATEVALUE(TEXT(DbLinkTable[[#This Row],[Date Received]],"MMMM YYYY"))</f>
        <v>#VALUE!</v>
      </c>
      <c r="Y824" s="4" t="e">
        <f>INT(DbLinkTable[[#This Row],[Date Received]])</f>
        <v>#VALUE!</v>
      </c>
    </row>
    <row r="825" spans="5:25">
      <c r="E825"/>
      <c r="G825"/>
      <c r="H825"/>
      <c r="I825"/>
      <c r="K825"/>
      <c r="O825"/>
      <c r="R825"/>
      <c r="S825" s="79" t="e">
        <f>DbLinkTable[[#This Row],[Credit]]+DbLinkTable[[#This Row],[Charge]]</f>
        <v>#VALUE!</v>
      </c>
      <c r="T825" s="79" t="e">
        <f>IF(DbLinkTable[[#This Row],[Price/lb]]*DbLinkTable[[#This Row],[Weight]]&gt;0,DbLinkTable[[#This Row],[Price/lb]]*DbLinkTable[[#This Row],[Weight]],0)</f>
        <v>#VALUE!</v>
      </c>
      <c r="U825" s="79" t="e">
        <f>IF(DbLinkTable[[#This Row],[Price/lb]]*DbLinkTable[[#This Row],[Weight]]&lt;0,DbLinkTable[[#This Row],[Price/lb]]*DbLinkTable[[#This Row],[Weight]],0)</f>
        <v>#VALUE!</v>
      </c>
      <c r="V825" s="4" t="str">
        <f>IF(COUNTIF($W$2:W825,W825)=1,1,"")</f>
        <v/>
      </c>
      <c r="W825" s="4" t="e">
        <f>CONCATENATE(DbLinkTable[[#This Row],[Customer]],UPPER(DbLinkTable[[#This Row],[Trailer Number]]),DbLinkTable[[#This Row],[Day Received]])</f>
        <v>#VALUE!</v>
      </c>
      <c r="X825" s="4" t="e">
        <f>DATEVALUE(TEXT(DbLinkTable[[#This Row],[Date Received]],"MMMM YYYY"))</f>
        <v>#VALUE!</v>
      </c>
      <c r="Y825" s="4" t="e">
        <f>INT(DbLinkTable[[#This Row],[Date Received]])</f>
        <v>#VALUE!</v>
      </c>
    </row>
    <row r="826" spans="5:25">
      <c r="E826"/>
      <c r="G826"/>
      <c r="H826"/>
      <c r="I826"/>
      <c r="K826"/>
      <c r="O826"/>
      <c r="R826"/>
      <c r="S826" s="79" t="e">
        <f>DbLinkTable[[#This Row],[Credit]]+DbLinkTable[[#This Row],[Charge]]</f>
        <v>#VALUE!</v>
      </c>
      <c r="T826" s="79" t="e">
        <f>IF(DbLinkTable[[#This Row],[Price/lb]]*DbLinkTable[[#This Row],[Weight]]&gt;0,DbLinkTable[[#This Row],[Price/lb]]*DbLinkTable[[#This Row],[Weight]],0)</f>
        <v>#VALUE!</v>
      </c>
      <c r="U826" s="79" t="e">
        <f>IF(DbLinkTable[[#This Row],[Price/lb]]*DbLinkTable[[#This Row],[Weight]]&lt;0,DbLinkTable[[#This Row],[Price/lb]]*DbLinkTable[[#This Row],[Weight]],0)</f>
        <v>#VALUE!</v>
      </c>
      <c r="V826" s="4" t="str">
        <f>IF(COUNTIF($W$2:W826,W826)=1,1,"")</f>
        <v/>
      </c>
      <c r="W826" s="4" t="e">
        <f>CONCATENATE(DbLinkTable[[#This Row],[Customer]],UPPER(DbLinkTable[[#This Row],[Trailer Number]]),DbLinkTable[[#This Row],[Day Received]])</f>
        <v>#VALUE!</v>
      </c>
      <c r="X826" s="4" t="e">
        <f>DATEVALUE(TEXT(DbLinkTable[[#This Row],[Date Received]],"MMMM YYYY"))</f>
        <v>#VALUE!</v>
      </c>
      <c r="Y826" s="4" t="e">
        <f>INT(DbLinkTable[[#This Row],[Date Received]])</f>
        <v>#VALUE!</v>
      </c>
    </row>
    <row r="827" spans="5:25">
      <c r="E827"/>
      <c r="G827"/>
      <c r="H827"/>
      <c r="I827"/>
      <c r="K827"/>
      <c r="O827"/>
      <c r="R827"/>
      <c r="S827" s="79" t="e">
        <f>DbLinkTable[[#This Row],[Credit]]+DbLinkTable[[#This Row],[Charge]]</f>
        <v>#VALUE!</v>
      </c>
      <c r="T827" s="79" t="e">
        <f>IF(DbLinkTable[[#This Row],[Price/lb]]*DbLinkTable[[#This Row],[Weight]]&gt;0,DbLinkTable[[#This Row],[Price/lb]]*DbLinkTable[[#This Row],[Weight]],0)</f>
        <v>#VALUE!</v>
      </c>
      <c r="U827" s="79" t="e">
        <f>IF(DbLinkTable[[#This Row],[Price/lb]]*DbLinkTable[[#This Row],[Weight]]&lt;0,DbLinkTable[[#This Row],[Price/lb]]*DbLinkTable[[#This Row],[Weight]],0)</f>
        <v>#VALUE!</v>
      </c>
      <c r="V827" s="4" t="str">
        <f>IF(COUNTIF($W$2:W827,W827)=1,1,"")</f>
        <v/>
      </c>
      <c r="W827" s="4" t="e">
        <f>CONCATENATE(DbLinkTable[[#This Row],[Customer]],UPPER(DbLinkTable[[#This Row],[Trailer Number]]),DbLinkTable[[#This Row],[Day Received]])</f>
        <v>#VALUE!</v>
      </c>
      <c r="X827" s="4" t="e">
        <f>DATEVALUE(TEXT(DbLinkTable[[#This Row],[Date Received]],"MMMM YYYY"))</f>
        <v>#VALUE!</v>
      </c>
      <c r="Y827" s="4" t="e">
        <f>INT(DbLinkTable[[#This Row],[Date Received]])</f>
        <v>#VALUE!</v>
      </c>
    </row>
    <row r="828" spans="5:25">
      <c r="E828"/>
      <c r="G828"/>
      <c r="H828"/>
      <c r="I828"/>
      <c r="K828"/>
      <c r="O828"/>
      <c r="R828"/>
      <c r="S828" s="79" t="e">
        <f>DbLinkTable[[#This Row],[Credit]]+DbLinkTable[[#This Row],[Charge]]</f>
        <v>#VALUE!</v>
      </c>
      <c r="T828" s="79" t="e">
        <f>IF(DbLinkTable[[#This Row],[Price/lb]]*DbLinkTable[[#This Row],[Weight]]&gt;0,DbLinkTable[[#This Row],[Price/lb]]*DbLinkTable[[#This Row],[Weight]],0)</f>
        <v>#VALUE!</v>
      </c>
      <c r="U828" s="79" t="e">
        <f>IF(DbLinkTable[[#This Row],[Price/lb]]*DbLinkTable[[#This Row],[Weight]]&lt;0,DbLinkTable[[#This Row],[Price/lb]]*DbLinkTable[[#This Row],[Weight]],0)</f>
        <v>#VALUE!</v>
      </c>
      <c r="V828" s="4" t="str">
        <f>IF(COUNTIF($W$2:W828,W828)=1,1,"")</f>
        <v/>
      </c>
      <c r="W828" s="4" t="e">
        <f>CONCATENATE(DbLinkTable[[#This Row],[Customer]],UPPER(DbLinkTable[[#This Row],[Trailer Number]]),DbLinkTable[[#This Row],[Day Received]])</f>
        <v>#VALUE!</v>
      </c>
      <c r="X828" s="4" t="e">
        <f>DATEVALUE(TEXT(DbLinkTable[[#This Row],[Date Received]],"MMMM YYYY"))</f>
        <v>#VALUE!</v>
      </c>
      <c r="Y828" s="4" t="e">
        <f>INT(DbLinkTable[[#This Row],[Date Received]])</f>
        <v>#VALUE!</v>
      </c>
    </row>
    <row r="829" spans="5:25">
      <c r="E829"/>
      <c r="G829"/>
      <c r="H829"/>
      <c r="I829"/>
      <c r="K829"/>
      <c r="O829"/>
      <c r="R829"/>
      <c r="S829" s="79" t="e">
        <f>DbLinkTable[[#This Row],[Credit]]+DbLinkTable[[#This Row],[Charge]]</f>
        <v>#VALUE!</v>
      </c>
      <c r="T829" s="79" t="e">
        <f>IF(DbLinkTable[[#This Row],[Price/lb]]*DbLinkTable[[#This Row],[Weight]]&gt;0,DbLinkTable[[#This Row],[Price/lb]]*DbLinkTable[[#This Row],[Weight]],0)</f>
        <v>#VALUE!</v>
      </c>
      <c r="U829" s="79" t="e">
        <f>IF(DbLinkTable[[#This Row],[Price/lb]]*DbLinkTable[[#This Row],[Weight]]&lt;0,DbLinkTable[[#This Row],[Price/lb]]*DbLinkTable[[#This Row],[Weight]],0)</f>
        <v>#VALUE!</v>
      </c>
      <c r="V829" s="4" t="str">
        <f>IF(COUNTIF($W$2:W829,W829)=1,1,"")</f>
        <v/>
      </c>
      <c r="W829" s="4" t="e">
        <f>CONCATENATE(DbLinkTable[[#This Row],[Customer]],UPPER(DbLinkTable[[#This Row],[Trailer Number]]),DbLinkTable[[#This Row],[Day Received]])</f>
        <v>#VALUE!</v>
      </c>
      <c r="X829" s="4" t="e">
        <f>DATEVALUE(TEXT(DbLinkTable[[#This Row],[Date Received]],"MMMM YYYY"))</f>
        <v>#VALUE!</v>
      </c>
      <c r="Y829" s="4" t="e">
        <f>INT(DbLinkTable[[#This Row],[Date Received]])</f>
        <v>#VALUE!</v>
      </c>
    </row>
    <row r="830" spans="5:25">
      <c r="E830"/>
      <c r="G830"/>
      <c r="H830"/>
      <c r="I830"/>
      <c r="K830"/>
      <c r="O830"/>
      <c r="R830"/>
      <c r="S830" s="79" t="e">
        <f>DbLinkTable[[#This Row],[Credit]]+DbLinkTable[[#This Row],[Charge]]</f>
        <v>#VALUE!</v>
      </c>
      <c r="T830" s="79" t="e">
        <f>IF(DbLinkTable[[#This Row],[Price/lb]]*DbLinkTable[[#This Row],[Weight]]&gt;0,DbLinkTable[[#This Row],[Price/lb]]*DbLinkTable[[#This Row],[Weight]],0)</f>
        <v>#VALUE!</v>
      </c>
      <c r="U830" s="79" t="e">
        <f>IF(DbLinkTable[[#This Row],[Price/lb]]*DbLinkTable[[#This Row],[Weight]]&lt;0,DbLinkTable[[#This Row],[Price/lb]]*DbLinkTable[[#This Row],[Weight]],0)</f>
        <v>#VALUE!</v>
      </c>
      <c r="V830" s="4" t="str">
        <f>IF(COUNTIF($W$2:W830,W830)=1,1,"")</f>
        <v/>
      </c>
      <c r="W830" s="4" t="e">
        <f>CONCATENATE(DbLinkTable[[#This Row],[Customer]],UPPER(DbLinkTable[[#This Row],[Trailer Number]]),DbLinkTable[[#This Row],[Day Received]])</f>
        <v>#VALUE!</v>
      </c>
      <c r="X830" s="4" t="e">
        <f>DATEVALUE(TEXT(DbLinkTable[[#This Row],[Date Received]],"MMMM YYYY"))</f>
        <v>#VALUE!</v>
      </c>
      <c r="Y830" s="4" t="e">
        <f>INT(DbLinkTable[[#This Row],[Date Received]])</f>
        <v>#VALUE!</v>
      </c>
    </row>
    <row r="831" spans="5:25">
      <c r="E831"/>
      <c r="G831"/>
      <c r="H831"/>
      <c r="I831"/>
      <c r="K831"/>
      <c r="O831"/>
      <c r="R831"/>
      <c r="S831" s="79" t="e">
        <f>DbLinkTable[[#This Row],[Credit]]+DbLinkTable[[#This Row],[Charge]]</f>
        <v>#VALUE!</v>
      </c>
      <c r="T831" s="79" t="e">
        <f>IF(DbLinkTable[[#This Row],[Price/lb]]*DbLinkTable[[#This Row],[Weight]]&gt;0,DbLinkTable[[#This Row],[Price/lb]]*DbLinkTable[[#This Row],[Weight]],0)</f>
        <v>#VALUE!</v>
      </c>
      <c r="U831" s="79" t="e">
        <f>IF(DbLinkTable[[#This Row],[Price/lb]]*DbLinkTable[[#This Row],[Weight]]&lt;0,DbLinkTable[[#This Row],[Price/lb]]*DbLinkTable[[#This Row],[Weight]],0)</f>
        <v>#VALUE!</v>
      </c>
      <c r="V831" s="4" t="str">
        <f>IF(COUNTIF($W$2:W831,W831)=1,1,"")</f>
        <v/>
      </c>
      <c r="W831" s="4" t="e">
        <f>CONCATENATE(DbLinkTable[[#This Row],[Customer]],UPPER(DbLinkTable[[#This Row],[Trailer Number]]),DbLinkTable[[#This Row],[Day Received]])</f>
        <v>#VALUE!</v>
      </c>
      <c r="X831" s="4" t="e">
        <f>DATEVALUE(TEXT(DbLinkTable[[#This Row],[Date Received]],"MMMM YYYY"))</f>
        <v>#VALUE!</v>
      </c>
      <c r="Y831" s="4" t="e">
        <f>INT(DbLinkTable[[#This Row],[Date Received]])</f>
        <v>#VALUE!</v>
      </c>
    </row>
    <row r="832" spans="5:25">
      <c r="E832"/>
      <c r="G832"/>
      <c r="H832"/>
      <c r="I832"/>
      <c r="K832"/>
      <c r="O832"/>
      <c r="R832"/>
      <c r="S832" s="79" t="e">
        <f>DbLinkTable[[#This Row],[Credit]]+DbLinkTable[[#This Row],[Charge]]</f>
        <v>#VALUE!</v>
      </c>
      <c r="T832" s="79" t="e">
        <f>IF(DbLinkTable[[#This Row],[Price/lb]]*DbLinkTable[[#This Row],[Weight]]&gt;0,DbLinkTable[[#This Row],[Price/lb]]*DbLinkTable[[#This Row],[Weight]],0)</f>
        <v>#VALUE!</v>
      </c>
      <c r="U832" s="79" t="e">
        <f>IF(DbLinkTable[[#This Row],[Price/lb]]*DbLinkTable[[#This Row],[Weight]]&lt;0,DbLinkTable[[#This Row],[Price/lb]]*DbLinkTable[[#This Row],[Weight]],0)</f>
        <v>#VALUE!</v>
      </c>
      <c r="V832" s="4" t="str">
        <f>IF(COUNTIF($W$2:W832,W832)=1,1,"")</f>
        <v/>
      </c>
      <c r="W832" s="4" t="e">
        <f>CONCATENATE(DbLinkTable[[#This Row],[Customer]],UPPER(DbLinkTable[[#This Row],[Trailer Number]]),DbLinkTable[[#This Row],[Day Received]])</f>
        <v>#VALUE!</v>
      </c>
      <c r="X832" s="4" t="e">
        <f>DATEVALUE(TEXT(DbLinkTable[[#This Row],[Date Received]],"MMMM YYYY"))</f>
        <v>#VALUE!</v>
      </c>
      <c r="Y832" s="4" t="e">
        <f>INT(DbLinkTable[[#This Row],[Date Received]])</f>
        <v>#VALUE!</v>
      </c>
    </row>
    <row r="833" spans="5:25">
      <c r="E833"/>
      <c r="G833"/>
      <c r="H833"/>
      <c r="I833"/>
      <c r="K833"/>
      <c r="O833"/>
      <c r="R833"/>
      <c r="S833" s="79" t="e">
        <f>DbLinkTable[[#This Row],[Credit]]+DbLinkTable[[#This Row],[Charge]]</f>
        <v>#VALUE!</v>
      </c>
      <c r="T833" s="79" t="e">
        <f>IF(DbLinkTable[[#This Row],[Price/lb]]*DbLinkTable[[#This Row],[Weight]]&gt;0,DbLinkTable[[#This Row],[Price/lb]]*DbLinkTable[[#This Row],[Weight]],0)</f>
        <v>#VALUE!</v>
      </c>
      <c r="U833" s="79" t="e">
        <f>IF(DbLinkTable[[#This Row],[Price/lb]]*DbLinkTable[[#This Row],[Weight]]&lt;0,DbLinkTable[[#This Row],[Price/lb]]*DbLinkTable[[#This Row],[Weight]],0)</f>
        <v>#VALUE!</v>
      </c>
      <c r="V833" s="4" t="str">
        <f>IF(COUNTIF($W$2:W833,W833)=1,1,"")</f>
        <v/>
      </c>
      <c r="W833" s="4" t="e">
        <f>CONCATENATE(DbLinkTable[[#This Row],[Customer]],UPPER(DbLinkTable[[#This Row],[Trailer Number]]),DbLinkTable[[#This Row],[Day Received]])</f>
        <v>#VALUE!</v>
      </c>
      <c r="X833" s="4" t="e">
        <f>DATEVALUE(TEXT(DbLinkTable[[#This Row],[Date Received]],"MMMM YYYY"))</f>
        <v>#VALUE!</v>
      </c>
      <c r="Y833" s="4" t="e">
        <f>INT(DbLinkTable[[#This Row],[Date Received]])</f>
        <v>#VALUE!</v>
      </c>
    </row>
    <row r="834" spans="5:25">
      <c r="E834"/>
      <c r="G834"/>
      <c r="H834"/>
      <c r="I834"/>
      <c r="K834"/>
      <c r="O834"/>
      <c r="R834"/>
      <c r="S834" s="79" t="e">
        <f>DbLinkTable[[#This Row],[Credit]]+DbLinkTable[[#This Row],[Charge]]</f>
        <v>#VALUE!</v>
      </c>
      <c r="T834" s="79" t="e">
        <f>IF(DbLinkTable[[#This Row],[Price/lb]]*DbLinkTable[[#This Row],[Weight]]&gt;0,DbLinkTable[[#This Row],[Price/lb]]*DbLinkTable[[#This Row],[Weight]],0)</f>
        <v>#VALUE!</v>
      </c>
      <c r="U834" s="79" t="e">
        <f>IF(DbLinkTable[[#This Row],[Price/lb]]*DbLinkTable[[#This Row],[Weight]]&lt;0,DbLinkTable[[#This Row],[Price/lb]]*DbLinkTable[[#This Row],[Weight]],0)</f>
        <v>#VALUE!</v>
      </c>
      <c r="V834" s="4" t="str">
        <f>IF(COUNTIF($W$2:W834,W834)=1,1,"")</f>
        <v/>
      </c>
      <c r="W834" s="4" t="e">
        <f>CONCATENATE(DbLinkTable[[#This Row],[Customer]],UPPER(DbLinkTable[[#This Row],[Trailer Number]]),DbLinkTable[[#This Row],[Day Received]])</f>
        <v>#VALUE!</v>
      </c>
      <c r="X834" s="4" t="e">
        <f>DATEVALUE(TEXT(DbLinkTable[[#This Row],[Date Received]],"MMMM YYYY"))</f>
        <v>#VALUE!</v>
      </c>
      <c r="Y834" s="4" t="e">
        <f>INT(DbLinkTable[[#This Row],[Date Received]])</f>
        <v>#VALUE!</v>
      </c>
    </row>
    <row r="835" spans="5:25">
      <c r="E835"/>
      <c r="G835"/>
      <c r="H835"/>
      <c r="I835"/>
      <c r="K835"/>
      <c r="O835"/>
      <c r="R835"/>
      <c r="S835" s="79" t="e">
        <f>DbLinkTable[[#This Row],[Credit]]+DbLinkTable[[#This Row],[Charge]]</f>
        <v>#VALUE!</v>
      </c>
      <c r="T835" s="79" t="e">
        <f>IF(DbLinkTable[[#This Row],[Price/lb]]*DbLinkTable[[#This Row],[Weight]]&gt;0,DbLinkTable[[#This Row],[Price/lb]]*DbLinkTable[[#This Row],[Weight]],0)</f>
        <v>#VALUE!</v>
      </c>
      <c r="U835" s="79" t="e">
        <f>IF(DbLinkTable[[#This Row],[Price/lb]]*DbLinkTable[[#This Row],[Weight]]&lt;0,DbLinkTable[[#This Row],[Price/lb]]*DbLinkTable[[#This Row],[Weight]],0)</f>
        <v>#VALUE!</v>
      </c>
      <c r="V835" s="4" t="str">
        <f>IF(COUNTIF($W$2:W835,W835)=1,1,"")</f>
        <v/>
      </c>
      <c r="W835" s="4" t="e">
        <f>CONCATENATE(DbLinkTable[[#This Row],[Customer]],UPPER(DbLinkTable[[#This Row],[Trailer Number]]),DbLinkTable[[#This Row],[Day Received]])</f>
        <v>#VALUE!</v>
      </c>
      <c r="X835" s="4" t="e">
        <f>DATEVALUE(TEXT(DbLinkTable[[#This Row],[Date Received]],"MMMM YYYY"))</f>
        <v>#VALUE!</v>
      </c>
      <c r="Y835" s="4" t="e">
        <f>INT(DbLinkTable[[#This Row],[Date Received]])</f>
        <v>#VALUE!</v>
      </c>
    </row>
    <row r="836" spans="5:25">
      <c r="E836"/>
      <c r="G836"/>
      <c r="H836"/>
      <c r="I836"/>
      <c r="K836"/>
      <c r="O836"/>
      <c r="R836"/>
      <c r="S836" s="79" t="e">
        <f>DbLinkTable[[#This Row],[Credit]]+DbLinkTable[[#This Row],[Charge]]</f>
        <v>#VALUE!</v>
      </c>
      <c r="T836" s="79" t="e">
        <f>IF(DbLinkTable[[#This Row],[Price/lb]]*DbLinkTable[[#This Row],[Weight]]&gt;0,DbLinkTable[[#This Row],[Price/lb]]*DbLinkTable[[#This Row],[Weight]],0)</f>
        <v>#VALUE!</v>
      </c>
      <c r="U836" s="79" t="e">
        <f>IF(DbLinkTable[[#This Row],[Price/lb]]*DbLinkTable[[#This Row],[Weight]]&lt;0,DbLinkTable[[#This Row],[Price/lb]]*DbLinkTable[[#This Row],[Weight]],0)</f>
        <v>#VALUE!</v>
      </c>
      <c r="V836" s="4" t="str">
        <f>IF(COUNTIF($W$2:W836,W836)=1,1,"")</f>
        <v/>
      </c>
      <c r="W836" s="4" t="e">
        <f>CONCATENATE(DbLinkTable[[#This Row],[Customer]],UPPER(DbLinkTable[[#This Row],[Trailer Number]]),DbLinkTable[[#This Row],[Day Received]])</f>
        <v>#VALUE!</v>
      </c>
      <c r="X836" s="4" t="e">
        <f>DATEVALUE(TEXT(DbLinkTable[[#This Row],[Date Received]],"MMMM YYYY"))</f>
        <v>#VALUE!</v>
      </c>
      <c r="Y836" s="4" t="e">
        <f>INT(DbLinkTable[[#This Row],[Date Received]])</f>
        <v>#VALUE!</v>
      </c>
    </row>
    <row r="837" spans="5:25">
      <c r="E837"/>
      <c r="G837"/>
      <c r="H837"/>
      <c r="I837"/>
      <c r="K837"/>
      <c r="O837"/>
      <c r="R837"/>
      <c r="S837" s="79" t="e">
        <f>DbLinkTable[[#This Row],[Credit]]+DbLinkTable[[#This Row],[Charge]]</f>
        <v>#VALUE!</v>
      </c>
      <c r="T837" s="79" t="e">
        <f>IF(DbLinkTable[[#This Row],[Price/lb]]*DbLinkTable[[#This Row],[Weight]]&gt;0,DbLinkTable[[#This Row],[Price/lb]]*DbLinkTable[[#This Row],[Weight]],0)</f>
        <v>#VALUE!</v>
      </c>
      <c r="U837" s="79" t="e">
        <f>IF(DbLinkTable[[#This Row],[Price/lb]]*DbLinkTable[[#This Row],[Weight]]&lt;0,DbLinkTable[[#This Row],[Price/lb]]*DbLinkTable[[#This Row],[Weight]],0)</f>
        <v>#VALUE!</v>
      </c>
      <c r="V837" s="4" t="str">
        <f>IF(COUNTIF($W$2:W837,W837)=1,1,"")</f>
        <v/>
      </c>
      <c r="W837" s="4" t="e">
        <f>CONCATENATE(DbLinkTable[[#This Row],[Customer]],UPPER(DbLinkTable[[#This Row],[Trailer Number]]),DbLinkTable[[#This Row],[Day Received]])</f>
        <v>#VALUE!</v>
      </c>
      <c r="X837" s="4" t="e">
        <f>DATEVALUE(TEXT(DbLinkTable[[#This Row],[Date Received]],"MMMM YYYY"))</f>
        <v>#VALUE!</v>
      </c>
      <c r="Y837" s="4" t="e">
        <f>INT(DbLinkTable[[#This Row],[Date Received]])</f>
        <v>#VALUE!</v>
      </c>
    </row>
    <row r="838" spans="5:25">
      <c r="E838"/>
      <c r="G838"/>
      <c r="H838"/>
      <c r="I838"/>
      <c r="K838"/>
      <c r="O838"/>
      <c r="R838"/>
      <c r="S838" s="79" t="e">
        <f>DbLinkTable[[#This Row],[Credit]]+DbLinkTable[[#This Row],[Charge]]</f>
        <v>#VALUE!</v>
      </c>
      <c r="T838" s="79" t="e">
        <f>IF(DbLinkTable[[#This Row],[Price/lb]]*DbLinkTable[[#This Row],[Weight]]&gt;0,DbLinkTable[[#This Row],[Price/lb]]*DbLinkTable[[#This Row],[Weight]],0)</f>
        <v>#VALUE!</v>
      </c>
      <c r="U838" s="79" t="e">
        <f>IF(DbLinkTable[[#This Row],[Price/lb]]*DbLinkTable[[#This Row],[Weight]]&lt;0,DbLinkTable[[#This Row],[Price/lb]]*DbLinkTable[[#This Row],[Weight]],0)</f>
        <v>#VALUE!</v>
      </c>
      <c r="V838" s="4" t="str">
        <f>IF(COUNTIF($W$2:W838,W838)=1,1,"")</f>
        <v/>
      </c>
      <c r="W838" s="4" t="e">
        <f>CONCATENATE(DbLinkTable[[#This Row],[Customer]],UPPER(DbLinkTable[[#This Row],[Trailer Number]]),DbLinkTable[[#This Row],[Day Received]])</f>
        <v>#VALUE!</v>
      </c>
      <c r="X838" s="4" t="e">
        <f>DATEVALUE(TEXT(DbLinkTable[[#This Row],[Date Received]],"MMMM YYYY"))</f>
        <v>#VALUE!</v>
      </c>
      <c r="Y838" s="4" t="e">
        <f>INT(DbLinkTable[[#This Row],[Date Received]])</f>
        <v>#VALUE!</v>
      </c>
    </row>
    <row r="839" spans="5:25">
      <c r="E839"/>
      <c r="G839"/>
      <c r="H839"/>
      <c r="I839"/>
      <c r="K839"/>
      <c r="O839"/>
      <c r="R839"/>
      <c r="S839" s="79" t="e">
        <f>DbLinkTable[[#This Row],[Credit]]+DbLinkTable[[#This Row],[Charge]]</f>
        <v>#VALUE!</v>
      </c>
      <c r="T839" s="79" t="e">
        <f>IF(DbLinkTable[[#This Row],[Price/lb]]*DbLinkTable[[#This Row],[Weight]]&gt;0,DbLinkTable[[#This Row],[Price/lb]]*DbLinkTable[[#This Row],[Weight]],0)</f>
        <v>#VALUE!</v>
      </c>
      <c r="U839" s="79" t="e">
        <f>IF(DbLinkTable[[#This Row],[Price/lb]]*DbLinkTable[[#This Row],[Weight]]&lt;0,DbLinkTable[[#This Row],[Price/lb]]*DbLinkTable[[#This Row],[Weight]],0)</f>
        <v>#VALUE!</v>
      </c>
      <c r="V839" s="4" t="str">
        <f>IF(COUNTIF($W$2:W839,W839)=1,1,"")</f>
        <v/>
      </c>
      <c r="W839" s="4" t="e">
        <f>CONCATENATE(DbLinkTable[[#This Row],[Customer]],UPPER(DbLinkTable[[#This Row],[Trailer Number]]),DbLinkTable[[#This Row],[Day Received]])</f>
        <v>#VALUE!</v>
      </c>
      <c r="X839" s="4" t="e">
        <f>DATEVALUE(TEXT(DbLinkTable[[#This Row],[Date Received]],"MMMM YYYY"))</f>
        <v>#VALUE!</v>
      </c>
      <c r="Y839" s="4" t="e">
        <f>INT(DbLinkTable[[#This Row],[Date Received]])</f>
        <v>#VALUE!</v>
      </c>
    </row>
    <row r="840" spans="5:25">
      <c r="E840"/>
      <c r="G840"/>
      <c r="H840"/>
      <c r="I840"/>
      <c r="K840"/>
      <c r="O840"/>
      <c r="R840"/>
      <c r="S840" s="79" t="e">
        <f>DbLinkTable[[#This Row],[Credit]]+DbLinkTable[[#This Row],[Charge]]</f>
        <v>#VALUE!</v>
      </c>
      <c r="T840" s="79" t="e">
        <f>IF(DbLinkTable[[#This Row],[Price/lb]]*DbLinkTable[[#This Row],[Weight]]&gt;0,DbLinkTable[[#This Row],[Price/lb]]*DbLinkTable[[#This Row],[Weight]],0)</f>
        <v>#VALUE!</v>
      </c>
      <c r="U840" s="79" t="e">
        <f>IF(DbLinkTable[[#This Row],[Price/lb]]*DbLinkTable[[#This Row],[Weight]]&lt;0,DbLinkTable[[#This Row],[Price/lb]]*DbLinkTable[[#This Row],[Weight]],0)</f>
        <v>#VALUE!</v>
      </c>
      <c r="V840" s="4" t="str">
        <f>IF(COUNTIF($W$2:W840,W840)=1,1,"")</f>
        <v/>
      </c>
      <c r="W840" s="4" t="e">
        <f>CONCATENATE(DbLinkTable[[#This Row],[Customer]],UPPER(DbLinkTable[[#This Row],[Trailer Number]]),DbLinkTable[[#This Row],[Day Received]])</f>
        <v>#VALUE!</v>
      </c>
      <c r="X840" s="4" t="e">
        <f>DATEVALUE(TEXT(DbLinkTable[[#This Row],[Date Received]],"MMMM YYYY"))</f>
        <v>#VALUE!</v>
      </c>
      <c r="Y840" s="4" t="e">
        <f>INT(DbLinkTable[[#This Row],[Date Received]])</f>
        <v>#VALUE!</v>
      </c>
    </row>
    <row r="841" spans="5:25">
      <c r="E841"/>
      <c r="G841"/>
      <c r="H841"/>
      <c r="I841"/>
      <c r="K841"/>
      <c r="O841"/>
      <c r="R841"/>
      <c r="S841" s="79" t="e">
        <f>DbLinkTable[[#This Row],[Credit]]+DbLinkTable[[#This Row],[Charge]]</f>
        <v>#VALUE!</v>
      </c>
      <c r="T841" s="79" t="e">
        <f>IF(DbLinkTable[[#This Row],[Price/lb]]*DbLinkTable[[#This Row],[Weight]]&gt;0,DbLinkTable[[#This Row],[Price/lb]]*DbLinkTable[[#This Row],[Weight]],0)</f>
        <v>#VALUE!</v>
      </c>
      <c r="U841" s="79" t="e">
        <f>IF(DbLinkTable[[#This Row],[Price/lb]]*DbLinkTable[[#This Row],[Weight]]&lt;0,DbLinkTable[[#This Row],[Price/lb]]*DbLinkTable[[#This Row],[Weight]],0)</f>
        <v>#VALUE!</v>
      </c>
      <c r="V841" s="4" t="str">
        <f>IF(COUNTIF($W$2:W841,W841)=1,1,"")</f>
        <v/>
      </c>
      <c r="W841" s="4" t="e">
        <f>CONCATENATE(DbLinkTable[[#This Row],[Customer]],UPPER(DbLinkTable[[#This Row],[Trailer Number]]),DbLinkTable[[#This Row],[Day Received]])</f>
        <v>#VALUE!</v>
      </c>
      <c r="X841" s="4" t="e">
        <f>DATEVALUE(TEXT(DbLinkTable[[#This Row],[Date Received]],"MMMM YYYY"))</f>
        <v>#VALUE!</v>
      </c>
      <c r="Y841" s="4" t="e">
        <f>INT(DbLinkTable[[#This Row],[Date Received]])</f>
        <v>#VALUE!</v>
      </c>
    </row>
    <row r="842" spans="5:25">
      <c r="E842"/>
      <c r="G842"/>
      <c r="H842"/>
      <c r="I842"/>
      <c r="K842"/>
      <c r="O842"/>
      <c r="R842"/>
      <c r="S842" s="79" t="e">
        <f>DbLinkTable[[#This Row],[Credit]]+DbLinkTable[[#This Row],[Charge]]</f>
        <v>#VALUE!</v>
      </c>
      <c r="T842" s="79" t="e">
        <f>IF(DbLinkTable[[#This Row],[Price/lb]]*DbLinkTable[[#This Row],[Weight]]&gt;0,DbLinkTable[[#This Row],[Price/lb]]*DbLinkTable[[#This Row],[Weight]],0)</f>
        <v>#VALUE!</v>
      </c>
      <c r="U842" s="79" t="e">
        <f>IF(DbLinkTable[[#This Row],[Price/lb]]*DbLinkTable[[#This Row],[Weight]]&lt;0,DbLinkTable[[#This Row],[Price/lb]]*DbLinkTable[[#This Row],[Weight]],0)</f>
        <v>#VALUE!</v>
      </c>
      <c r="V842" s="4" t="str">
        <f>IF(COUNTIF($W$2:W842,W842)=1,1,"")</f>
        <v/>
      </c>
      <c r="W842" s="4" t="e">
        <f>CONCATENATE(DbLinkTable[[#This Row],[Customer]],UPPER(DbLinkTable[[#This Row],[Trailer Number]]),DbLinkTable[[#This Row],[Day Received]])</f>
        <v>#VALUE!</v>
      </c>
      <c r="X842" s="4" t="e">
        <f>DATEVALUE(TEXT(DbLinkTable[[#This Row],[Date Received]],"MMMM YYYY"))</f>
        <v>#VALUE!</v>
      </c>
      <c r="Y842" s="4" t="e">
        <f>INT(DbLinkTable[[#This Row],[Date Received]])</f>
        <v>#VALUE!</v>
      </c>
    </row>
    <row r="843" spans="5:25">
      <c r="E843"/>
      <c r="G843"/>
      <c r="H843"/>
      <c r="I843"/>
      <c r="K843"/>
      <c r="O843"/>
      <c r="R843"/>
      <c r="S843" s="79" t="e">
        <f>DbLinkTable[[#This Row],[Credit]]+DbLinkTable[[#This Row],[Charge]]</f>
        <v>#VALUE!</v>
      </c>
      <c r="T843" s="79" t="e">
        <f>IF(DbLinkTable[[#This Row],[Price/lb]]*DbLinkTable[[#This Row],[Weight]]&gt;0,DbLinkTable[[#This Row],[Price/lb]]*DbLinkTable[[#This Row],[Weight]],0)</f>
        <v>#VALUE!</v>
      </c>
      <c r="U843" s="79" t="e">
        <f>IF(DbLinkTable[[#This Row],[Price/lb]]*DbLinkTable[[#This Row],[Weight]]&lt;0,DbLinkTable[[#This Row],[Price/lb]]*DbLinkTable[[#This Row],[Weight]],0)</f>
        <v>#VALUE!</v>
      </c>
      <c r="V843" s="4" t="str">
        <f>IF(COUNTIF($W$2:W843,W843)=1,1,"")</f>
        <v/>
      </c>
      <c r="W843" s="4" t="e">
        <f>CONCATENATE(DbLinkTable[[#This Row],[Customer]],UPPER(DbLinkTable[[#This Row],[Trailer Number]]),DbLinkTable[[#This Row],[Day Received]])</f>
        <v>#VALUE!</v>
      </c>
      <c r="X843" s="4" t="e">
        <f>DATEVALUE(TEXT(DbLinkTable[[#This Row],[Date Received]],"MMMM YYYY"))</f>
        <v>#VALUE!</v>
      </c>
      <c r="Y843" s="4" t="e">
        <f>INT(DbLinkTable[[#This Row],[Date Received]])</f>
        <v>#VALUE!</v>
      </c>
    </row>
    <row r="844" spans="5:25">
      <c r="E844"/>
      <c r="G844"/>
      <c r="H844"/>
      <c r="I844"/>
      <c r="K844"/>
      <c r="O844"/>
      <c r="R844"/>
      <c r="S844" s="79" t="e">
        <f>DbLinkTable[[#This Row],[Credit]]+DbLinkTable[[#This Row],[Charge]]</f>
        <v>#VALUE!</v>
      </c>
      <c r="T844" s="79" t="e">
        <f>IF(DbLinkTable[[#This Row],[Price/lb]]*DbLinkTable[[#This Row],[Weight]]&gt;0,DbLinkTable[[#This Row],[Price/lb]]*DbLinkTable[[#This Row],[Weight]],0)</f>
        <v>#VALUE!</v>
      </c>
      <c r="U844" s="79" t="e">
        <f>IF(DbLinkTable[[#This Row],[Price/lb]]*DbLinkTable[[#This Row],[Weight]]&lt;0,DbLinkTable[[#This Row],[Price/lb]]*DbLinkTable[[#This Row],[Weight]],0)</f>
        <v>#VALUE!</v>
      </c>
      <c r="V844" s="4" t="str">
        <f>IF(COUNTIF($W$2:W844,W844)=1,1,"")</f>
        <v/>
      </c>
      <c r="W844" s="4" t="e">
        <f>CONCATENATE(DbLinkTable[[#This Row],[Customer]],UPPER(DbLinkTable[[#This Row],[Trailer Number]]),DbLinkTable[[#This Row],[Day Received]])</f>
        <v>#VALUE!</v>
      </c>
      <c r="X844" s="4" t="e">
        <f>DATEVALUE(TEXT(DbLinkTable[[#This Row],[Date Received]],"MMMM YYYY"))</f>
        <v>#VALUE!</v>
      </c>
      <c r="Y844" s="4" t="e">
        <f>INT(DbLinkTable[[#This Row],[Date Received]])</f>
        <v>#VALUE!</v>
      </c>
    </row>
    <row r="845" spans="5:25">
      <c r="E845"/>
      <c r="G845"/>
      <c r="H845"/>
      <c r="I845"/>
      <c r="K845"/>
      <c r="O845"/>
      <c r="R845"/>
      <c r="S845" s="79" t="e">
        <f>DbLinkTable[[#This Row],[Credit]]+DbLinkTable[[#This Row],[Charge]]</f>
        <v>#VALUE!</v>
      </c>
      <c r="T845" s="79" t="e">
        <f>IF(DbLinkTable[[#This Row],[Price/lb]]*DbLinkTable[[#This Row],[Weight]]&gt;0,DbLinkTable[[#This Row],[Price/lb]]*DbLinkTable[[#This Row],[Weight]],0)</f>
        <v>#VALUE!</v>
      </c>
      <c r="U845" s="79" t="e">
        <f>IF(DbLinkTable[[#This Row],[Price/lb]]*DbLinkTable[[#This Row],[Weight]]&lt;0,DbLinkTable[[#This Row],[Price/lb]]*DbLinkTable[[#This Row],[Weight]],0)</f>
        <v>#VALUE!</v>
      </c>
      <c r="V845" s="4" t="str">
        <f>IF(COUNTIF($W$2:W845,W845)=1,1,"")</f>
        <v/>
      </c>
      <c r="W845" s="4" t="e">
        <f>CONCATENATE(DbLinkTable[[#This Row],[Customer]],UPPER(DbLinkTable[[#This Row],[Trailer Number]]),DbLinkTable[[#This Row],[Day Received]])</f>
        <v>#VALUE!</v>
      </c>
      <c r="X845" s="4" t="e">
        <f>DATEVALUE(TEXT(DbLinkTable[[#This Row],[Date Received]],"MMMM YYYY"))</f>
        <v>#VALUE!</v>
      </c>
      <c r="Y845" s="4" t="e">
        <f>INT(DbLinkTable[[#This Row],[Date Received]])</f>
        <v>#VALUE!</v>
      </c>
    </row>
    <row r="846" spans="5:25">
      <c r="E846"/>
      <c r="G846"/>
      <c r="H846"/>
      <c r="I846"/>
      <c r="K846"/>
      <c r="O846"/>
      <c r="R846"/>
      <c r="S846" s="79" t="e">
        <f>DbLinkTable[[#This Row],[Credit]]+DbLinkTable[[#This Row],[Charge]]</f>
        <v>#VALUE!</v>
      </c>
      <c r="T846" s="79" t="e">
        <f>IF(DbLinkTable[[#This Row],[Price/lb]]*DbLinkTable[[#This Row],[Weight]]&gt;0,DbLinkTable[[#This Row],[Price/lb]]*DbLinkTable[[#This Row],[Weight]],0)</f>
        <v>#VALUE!</v>
      </c>
      <c r="U846" s="79" t="e">
        <f>IF(DbLinkTable[[#This Row],[Price/lb]]*DbLinkTable[[#This Row],[Weight]]&lt;0,DbLinkTable[[#This Row],[Price/lb]]*DbLinkTable[[#This Row],[Weight]],0)</f>
        <v>#VALUE!</v>
      </c>
      <c r="V846" s="4" t="str">
        <f>IF(COUNTIF($W$2:W846,W846)=1,1,"")</f>
        <v/>
      </c>
      <c r="W846" s="4" t="e">
        <f>CONCATENATE(DbLinkTable[[#This Row],[Customer]],UPPER(DbLinkTable[[#This Row],[Trailer Number]]),DbLinkTable[[#This Row],[Day Received]])</f>
        <v>#VALUE!</v>
      </c>
      <c r="X846" s="4" t="e">
        <f>DATEVALUE(TEXT(DbLinkTable[[#This Row],[Date Received]],"MMMM YYYY"))</f>
        <v>#VALUE!</v>
      </c>
      <c r="Y846" s="4" t="e">
        <f>INT(DbLinkTable[[#This Row],[Date Received]])</f>
        <v>#VALUE!</v>
      </c>
    </row>
    <row r="847" spans="5:25">
      <c r="E847"/>
      <c r="G847"/>
      <c r="H847"/>
      <c r="I847"/>
      <c r="K847"/>
      <c r="O847"/>
      <c r="R847"/>
      <c r="S847" s="79" t="e">
        <f>DbLinkTable[[#This Row],[Credit]]+DbLinkTable[[#This Row],[Charge]]</f>
        <v>#VALUE!</v>
      </c>
      <c r="T847" s="79" t="e">
        <f>IF(DbLinkTable[[#This Row],[Price/lb]]*DbLinkTable[[#This Row],[Weight]]&gt;0,DbLinkTable[[#This Row],[Price/lb]]*DbLinkTable[[#This Row],[Weight]],0)</f>
        <v>#VALUE!</v>
      </c>
      <c r="U847" s="79" t="e">
        <f>IF(DbLinkTable[[#This Row],[Price/lb]]*DbLinkTable[[#This Row],[Weight]]&lt;0,DbLinkTable[[#This Row],[Price/lb]]*DbLinkTable[[#This Row],[Weight]],0)</f>
        <v>#VALUE!</v>
      </c>
      <c r="V847" s="4" t="str">
        <f>IF(COUNTIF($W$2:W847,W847)=1,1,"")</f>
        <v/>
      </c>
      <c r="W847" s="4" t="e">
        <f>CONCATENATE(DbLinkTable[[#This Row],[Customer]],UPPER(DbLinkTable[[#This Row],[Trailer Number]]),DbLinkTable[[#This Row],[Day Received]])</f>
        <v>#VALUE!</v>
      </c>
      <c r="X847" s="4" t="e">
        <f>DATEVALUE(TEXT(DbLinkTable[[#This Row],[Date Received]],"MMMM YYYY"))</f>
        <v>#VALUE!</v>
      </c>
      <c r="Y847" s="4" t="e">
        <f>INT(DbLinkTable[[#This Row],[Date Received]])</f>
        <v>#VALUE!</v>
      </c>
    </row>
    <row r="848" spans="5:25">
      <c r="E848"/>
      <c r="G848"/>
      <c r="H848"/>
      <c r="I848"/>
      <c r="K848"/>
      <c r="O848"/>
      <c r="R848"/>
      <c r="S848" s="79" t="e">
        <f>DbLinkTable[[#This Row],[Credit]]+DbLinkTable[[#This Row],[Charge]]</f>
        <v>#VALUE!</v>
      </c>
      <c r="T848" s="79" t="e">
        <f>IF(DbLinkTable[[#This Row],[Price/lb]]*DbLinkTable[[#This Row],[Weight]]&gt;0,DbLinkTable[[#This Row],[Price/lb]]*DbLinkTable[[#This Row],[Weight]],0)</f>
        <v>#VALUE!</v>
      </c>
      <c r="U848" s="79" t="e">
        <f>IF(DbLinkTable[[#This Row],[Price/lb]]*DbLinkTable[[#This Row],[Weight]]&lt;0,DbLinkTable[[#This Row],[Price/lb]]*DbLinkTable[[#This Row],[Weight]],0)</f>
        <v>#VALUE!</v>
      </c>
      <c r="V848" s="4" t="str">
        <f>IF(COUNTIF($W$2:W848,W848)=1,1,"")</f>
        <v/>
      </c>
      <c r="W848" s="4" t="e">
        <f>CONCATENATE(DbLinkTable[[#This Row],[Customer]],UPPER(DbLinkTable[[#This Row],[Trailer Number]]),DbLinkTable[[#This Row],[Day Received]])</f>
        <v>#VALUE!</v>
      </c>
      <c r="X848" s="4" t="e">
        <f>DATEVALUE(TEXT(DbLinkTable[[#This Row],[Date Received]],"MMMM YYYY"))</f>
        <v>#VALUE!</v>
      </c>
      <c r="Y848" s="4" t="e">
        <f>INT(DbLinkTable[[#This Row],[Date Received]])</f>
        <v>#VALUE!</v>
      </c>
    </row>
    <row r="849" spans="5:25">
      <c r="E849"/>
      <c r="G849"/>
      <c r="H849"/>
      <c r="I849"/>
      <c r="K849"/>
      <c r="O849"/>
      <c r="R849"/>
      <c r="S849" s="79" t="e">
        <f>DbLinkTable[[#This Row],[Credit]]+DbLinkTable[[#This Row],[Charge]]</f>
        <v>#VALUE!</v>
      </c>
      <c r="T849" s="79" t="e">
        <f>IF(DbLinkTable[[#This Row],[Price/lb]]*DbLinkTable[[#This Row],[Weight]]&gt;0,DbLinkTable[[#This Row],[Price/lb]]*DbLinkTable[[#This Row],[Weight]],0)</f>
        <v>#VALUE!</v>
      </c>
      <c r="U849" s="79" t="e">
        <f>IF(DbLinkTable[[#This Row],[Price/lb]]*DbLinkTable[[#This Row],[Weight]]&lt;0,DbLinkTable[[#This Row],[Price/lb]]*DbLinkTable[[#This Row],[Weight]],0)</f>
        <v>#VALUE!</v>
      </c>
      <c r="V849" s="4" t="str">
        <f>IF(COUNTIF($W$2:W849,W849)=1,1,"")</f>
        <v/>
      </c>
      <c r="W849" s="4" t="e">
        <f>CONCATENATE(DbLinkTable[[#This Row],[Customer]],UPPER(DbLinkTable[[#This Row],[Trailer Number]]),DbLinkTable[[#This Row],[Day Received]])</f>
        <v>#VALUE!</v>
      </c>
      <c r="X849" s="4" t="e">
        <f>DATEVALUE(TEXT(DbLinkTable[[#This Row],[Date Received]],"MMMM YYYY"))</f>
        <v>#VALUE!</v>
      </c>
      <c r="Y849" s="4" t="e">
        <f>INT(DbLinkTable[[#This Row],[Date Received]])</f>
        <v>#VALUE!</v>
      </c>
    </row>
    <row r="850" spans="5:25">
      <c r="E850"/>
      <c r="G850"/>
      <c r="H850"/>
      <c r="I850"/>
      <c r="K850"/>
      <c r="O850"/>
      <c r="R850"/>
      <c r="S850" s="79" t="e">
        <f>DbLinkTable[[#This Row],[Credit]]+DbLinkTable[[#This Row],[Charge]]</f>
        <v>#VALUE!</v>
      </c>
      <c r="T850" s="79" t="e">
        <f>IF(DbLinkTable[[#This Row],[Price/lb]]*DbLinkTable[[#This Row],[Weight]]&gt;0,DbLinkTable[[#This Row],[Price/lb]]*DbLinkTable[[#This Row],[Weight]],0)</f>
        <v>#VALUE!</v>
      </c>
      <c r="U850" s="79" t="e">
        <f>IF(DbLinkTable[[#This Row],[Price/lb]]*DbLinkTable[[#This Row],[Weight]]&lt;0,DbLinkTable[[#This Row],[Price/lb]]*DbLinkTable[[#This Row],[Weight]],0)</f>
        <v>#VALUE!</v>
      </c>
      <c r="V850" s="4" t="str">
        <f>IF(COUNTIF($W$2:W850,W850)=1,1,"")</f>
        <v/>
      </c>
      <c r="W850" s="4" t="e">
        <f>CONCATENATE(DbLinkTable[[#This Row],[Customer]],UPPER(DbLinkTable[[#This Row],[Trailer Number]]),DbLinkTable[[#This Row],[Day Received]])</f>
        <v>#VALUE!</v>
      </c>
      <c r="X850" s="4" t="e">
        <f>DATEVALUE(TEXT(DbLinkTable[[#This Row],[Date Received]],"MMMM YYYY"))</f>
        <v>#VALUE!</v>
      </c>
      <c r="Y850" s="4" t="e">
        <f>INT(DbLinkTable[[#This Row],[Date Received]])</f>
        <v>#VALUE!</v>
      </c>
    </row>
    <row r="851" spans="5:25">
      <c r="E851"/>
      <c r="G851"/>
      <c r="H851"/>
      <c r="I851"/>
      <c r="K851"/>
      <c r="O851"/>
      <c r="R851"/>
      <c r="S851" s="79" t="e">
        <f>DbLinkTable[[#This Row],[Credit]]+DbLinkTable[[#This Row],[Charge]]</f>
        <v>#VALUE!</v>
      </c>
      <c r="T851" s="79" t="e">
        <f>IF(DbLinkTable[[#This Row],[Price/lb]]*DbLinkTable[[#This Row],[Weight]]&gt;0,DbLinkTable[[#This Row],[Price/lb]]*DbLinkTable[[#This Row],[Weight]],0)</f>
        <v>#VALUE!</v>
      </c>
      <c r="U851" s="79" t="e">
        <f>IF(DbLinkTable[[#This Row],[Price/lb]]*DbLinkTable[[#This Row],[Weight]]&lt;0,DbLinkTable[[#This Row],[Price/lb]]*DbLinkTable[[#This Row],[Weight]],0)</f>
        <v>#VALUE!</v>
      </c>
      <c r="V851" s="4" t="str">
        <f>IF(COUNTIF($W$2:W851,W851)=1,1,"")</f>
        <v/>
      </c>
      <c r="W851" s="4" t="e">
        <f>CONCATENATE(DbLinkTable[[#This Row],[Customer]],UPPER(DbLinkTable[[#This Row],[Trailer Number]]),DbLinkTable[[#This Row],[Day Received]])</f>
        <v>#VALUE!</v>
      </c>
      <c r="X851" s="4" t="e">
        <f>DATEVALUE(TEXT(DbLinkTable[[#This Row],[Date Received]],"MMMM YYYY"))</f>
        <v>#VALUE!</v>
      </c>
      <c r="Y851" s="4" t="e">
        <f>INT(DbLinkTable[[#This Row],[Date Received]])</f>
        <v>#VALUE!</v>
      </c>
    </row>
    <row r="852" spans="5:25">
      <c r="E852"/>
      <c r="G852"/>
      <c r="H852"/>
      <c r="I852"/>
      <c r="K852"/>
      <c r="O852"/>
      <c r="R852"/>
      <c r="S852" s="79" t="e">
        <f>DbLinkTable[[#This Row],[Credit]]+DbLinkTable[[#This Row],[Charge]]</f>
        <v>#VALUE!</v>
      </c>
      <c r="T852" s="79" t="e">
        <f>IF(DbLinkTable[[#This Row],[Price/lb]]*DbLinkTable[[#This Row],[Weight]]&gt;0,DbLinkTable[[#This Row],[Price/lb]]*DbLinkTable[[#This Row],[Weight]],0)</f>
        <v>#VALUE!</v>
      </c>
      <c r="U852" s="79" t="e">
        <f>IF(DbLinkTable[[#This Row],[Price/lb]]*DbLinkTable[[#This Row],[Weight]]&lt;0,DbLinkTable[[#This Row],[Price/lb]]*DbLinkTable[[#This Row],[Weight]],0)</f>
        <v>#VALUE!</v>
      </c>
      <c r="V852" s="4" t="str">
        <f>IF(COUNTIF($W$2:W852,W852)=1,1,"")</f>
        <v/>
      </c>
      <c r="W852" s="4" t="e">
        <f>CONCATENATE(DbLinkTable[[#This Row],[Customer]],UPPER(DbLinkTable[[#This Row],[Trailer Number]]),DbLinkTable[[#This Row],[Day Received]])</f>
        <v>#VALUE!</v>
      </c>
      <c r="X852" s="4" t="e">
        <f>DATEVALUE(TEXT(DbLinkTable[[#This Row],[Date Received]],"MMMM YYYY"))</f>
        <v>#VALUE!</v>
      </c>
      <c r="Y852" s="4" t="e">
        <f>INT(DbLinkTable[[#This Row],[Date Received]])</f>
        <v>#VALUE!</v>
      </c>
    </row>
    <row r="853" spans="5:25">
      <c r="E853"/>
      <c r="G853"/>
      <c r="H853"/>
      <c r="I853"/>
      <c r="K853"/>
      <c r="O853"/>
      <c r="R853"/>
      <c r="S853" s="79" t="e">
        <f>DbLinkTable[[#This Row],[Credit]]+DbLinkTable[[#This Row],[Charge]]</f>
        <v>#VALUE!</v>
      </c>
      <c r="T853" s="79" t="e">
        <f>IF(DbLinkTable[[#This Row],[Price/lb]]*DbLinkTable[[#This Row],[Weight]]&gt;0,DbLinkTable[[#This Row],[Price/lb]]*DbLinkTable[[#This Row],[Weight]],0)</f>
        <v>#VALUE!</v>
      </c>
      <c r="U853" s="79" t="e">
        <f>IF(DbLinkTable[[#This Row],[Price/lb]]*DbLinkTable[[#This Row],[Weight]]&lt;0,DbLinkTable[[#This Row],[Price/lb]]*DbLinkTable[[#This Row],[Weight]],0)</f>
        <v>#VALUE!</v>
      </c>
      <c r="V853" s="4" t="str">
        <f>IF(COUNTIF($W$2:W853,W853)=1,1,"")</f>
        <v/>
      </c>
      <c r="W853" s="4" t="e">
        <f>CONCATENATE(DbLinkTable[[#This Row],[Customer]],UPPER(DbLinkTable[[#This Row],[Trailer Number]]),DbLinkTable[[#This Row],[Day Received]])</f>
        <v>#VALUE!</v>
      </c>
      <c r="X853" s="4" t="e">
        <f>DATEVALUE(TEXT(DbLinkTable[[#This Row],[Date Received]],"MMMM YYYY"))</f>
        <v>#VALUE!</v>
      </c>
      <c r="Y853" s="4" t="e">
        <f>INT(DbLinkTable[[#This Row],[Date Received]])</f>
        <v>#VALUE!</v>
      </c>
    </row>
    <row r="854" spans="5:25">
      <c r="E854"/>
      <c r="G854"/>
      <c r="H854"/>
      <c r="I854"/>
      <c r="K854"/>
      <c r="O854"/>
      <c r="R854"/>
      <c r="S854" s="79" t="e">
        <f>DbLinkTable[[#This Row],[Credit]]+DbLinkTable[[#This Row],[Charge]]</f>
        <v>#VALUE!</v>
      </c>
      <c r="T854" s="79" t="e">
        <f>IF(DbLinkTable[[#This Row],[Price/lb]]*DbLinkTable[[#This Row],[Weight]]&gt;0,DbLinkTable[[#This Row],[Price/lb]]*DbLinkTable[[#This Row],[Weight]],0)</f>
        <v>#VALUE!</v>
      </c>
      <c r="U854" s="79" t="e">
        <f>IF(DbLinkTable[[#This Row],[Price/lb]]*DbLinkTable[[#This Row],[Weight]]&lt;0,DbLinkTable[[#This Row],[Price/lb]]*DbLinkTable[[#This Row],[Weight]],0)</f>
        <v>#VALUE!</v>
      </c>
      <c r="V854" s="4" t="str">
        <f>IF(COUNTIF($W$2:W854,W854)=1,1,"")</f>
        <v/>
      </c>
      <c r="W854" s="4" t="e">
        <f>CONCATENATE(DbLinkTable[[#This Row],[Customer]],UPPER(DbLinkTable[[#This Row],[Trailer Number]]),DbLinkTable[[#This Row],[Day Received]])</f>
        <v>#VALUE!</v>
      </c>
      <c r="X854" s="4" t="e">
        <f>DATEVALUE(TEXT(DbLinkTable[[#This Row],[Date Received]],"MMMM YYYY"))</f>
        <v>#VALUE!</v>
      </c>
      <c r="Y854" s="4" t="e">
        <f>INT(DbLinkTable[[#This Row],[Date Received]])</f>
        <v>#VALUE!</v>
      </c>
    </row>
    <row r="855" spans="5:25">
      <c r="E855"/>
      <c r="G855"/>
      <c r="H855"/>
      <c r="I855"/>
      <c r="K855"/>
      <c r="O855"/>
      <c r="R855"/>
      <c r="S855" s="79" t="e">
        <f>DbLinkTable[[#This Row],[Credit]]+DbLinkTable[[#This Row],[Charge]]</f>
        <v>#VALUE!</v>
      </c>
      <c r="T855" s="79" t="e">
        <f>IF(DbLinkTable[[#This Row],[Price/lb]]*DbLinkTable[[#This Row],[Weight]]&gt;0,DbLinkTable[[#This Row],[Price/lb]]*DbLinkTable[[#This Row],[Weight]],0)</f>
        <v>#VALUE!</v>
      </c>
      <c r="U855" s="79" t="e">
        <f>IF(DbLinkTable[[#This Row],[Price/lb]]*DbLinkTable[[#This Row],[Weight]]&lt;0,DbLinkTable[[#This Row],[Price/lb]]*DbLinkTable[[#This Row],[Weight]],0)</f>
        <v>#VALUE!</v>
      </c>
      <c r="V855" s="4" t="str">
        <f>IF(COUNTIF($W$2:W855,W855)=1,1,"")</f>
        <v/>
      </c>
      <c r="W855" s="4" t="e">
        <f>CONCATENATE(DbLinkTable[[#This Row],[Customer]],UPPER(DbLinkTable[[#This Row],[Trailer Number]]),DbLinkTable[[#This Row],[Day Received]])</f>
        <v>#VALUE!</v>
      </c>
      <c r="X855" s="4" t="e">
        <f>DATEVALUE(TEXT(DbLinkTable[[#This Row],[Date Received]],"MMMM YYYY"))</f>
        <v>#VALUE!</v>
      </c>
      <c r="Y855" s="4" t="e">
        <f>INT(DbLinkTable[[#This Row],[Date Received]])</f>
        <v>#VALUE!</v>
      </c>
    </row>
    <row r="856" spans="5:25">
      <c r="E856"/>
      <c r="G856"/>
      <c r="H856"/>
      <c r="I856"/>
      <c r="K856"/>
      <c r="O856"/>
      <c r="R856"/>
      <c r="S856" s="79" t="e">
        <f>DbLinkTable[[#This Row],[Credit]]+DbLinkTable[[#This Row],[Charge]]</f>
        <v>#VALUE!</v>
      </c>
      <c r="T856" s="79" t="e">
        <f>IF(DbLinkTable[[#This Row],[Price/lb]]*DbLinkTable[[#This Row],[Weight]]&gt;0,DbLinkTable[[#This Row],[Price/lb]]*DbLinkTable[[#This Row],[Weight]],0)</f>
        <v>#VALUE!</v>
      </c>
      <c r="U856" s="79" t="e">
        <f>IF(DbLinkTable[[#This Row],[Price/lb]]*DbLinkTable[[#This Row],[Weight]]&lt;0,DbLinkTable[[#This Row],[Price/lb]]*DbLinkTable[[#This Row],[Weight]],0)</f>
        <v>#VALUE!</v>
      </c>
      <c r="V856" s="4" t="str">
        <f>IF(COUNTIF($W$2:W856,W856)=1,1,"")</f>
        <v/>
      </c>
      <c r="W856" s="4" t="e">
        <f>CONCATENATE(DbLinkTable[[#This Row],[Customer]],UPPER(DbLinkTable[[#This Row],[Trailer Number]]),DbLinkTable[[#This Row],[Day Received]])</f>
        <v>#VALUE!</v>
      </c>
      <c r="X856" s="4" t="e">
        <f>DATEVALUE(TEXT(DbLinkTable[[#This Row],[Date Received]],"MMMM YYYY"))</f>
        <v>#VALUE!</v>
      </c>
      <c r="Y856" s="4" t="e">
        <f>INT(DbLinkTable[[#This Row],[Date Received]])</f>
        <v>#VALUE!</v>
      </c>
    </row>
    <row r="857" spans="5:25">
      <c r="E857"/>
      <c r="G857"/>
      <c r="H857"/>
      <c r="I857"/>
      <c r="K857"/>
      <c r="O857"/>
      <c r="R857"/>
      <c r="S857" s="79" t="e">
        <f>DbLinkTable[[#This Row],[Credit]]+DbLinkTable[[#This Row],[Charge]]</f>
        <v>#VALUE!</v>
      </c>
      <c r="T857" s="79" t="e">
        <f>IF(DbLinkTable[[#This Row],[Price/lb]]*DbLinkTable[[#This Row],[Weight]]&gt;0,DbLinkTable[[#This Row],[Price/lb]]*DbLinkTable[[#This Row],[Weight]],0)</f>
        <v>#VALUE!</v>
      </c>
      <c r="U857" s="79" t="e">
        <f>IF(DbLinkTable[[#This Row],[Price/lb]]*DbLinkTable[[#This Row],[Weight]]&lt;0,DbLinkTable[[#This Row],[Price/lb]]*DbLinkTable[[#This Row],[Weight]],0)</f>
        <v>#VALUE!</v>
      </c>
      <c r="V857" s="4" t="str">
        <f>IF(COUNTIF($W$2:W857,W857)=1,1,"")</f>
        <v/>
      </c>
      <c r="W857" s="4" t="e">
        <f>CONCATENATE(DbLinkTable[[#This Row],[Customer]],UPPER(DbLinkTable[[#This Row],[Trailer Number]]),DbLinkTable[[#This Row],[Day Received]])</f>
        <v>#VALUE!</v>
      </c>
      <c r="X857" s="4" t="e">
        <f>DATEVALUE(TEXT(DbLinkTable[[#This Row],[Date Received]],"MMMM YYYY"))</f>
        <v>#VALUE!</v>
      </c>
      <c r="Y857" s="4" t="e">
        <f>INT(DbLinkTable[[#This Row],[Date Received]])</f>
        <v>#VALUE!</v>
      </c>
    </row>
    <row r="858" spans="5:25">
      <c r="E858"/>
      <c r="G858"/>
      <c r="H858"/>
      <c r="I858"/>
      <c r="K858"/>
      <c r="O858"/>
      <c r="R858"/>
      <c r="S858" s="79" t="e">
        <f>DbLinkTable[[#This Row],[Credit]]+DbLinkTable[[#This Row],[Charge]]</f>
        <v>#VALUE!</v>
      </c>
      <c r="T858" s="79" t="e">
        <f>IF(DbLinkTable[[#This Row],[Price/lb]]*DbLinkTable[[#This Row],[Weight]]&gt;0,DbLinkTable[[#This Row],[Price/lb]]*DbLinkTable[[#This Row],[Weight]],0)</f>
        <v>#VALUE!</v>
      </c>
      <c r="U858" s="79" t="e">
        <f>IF(DbLinkTable[[#This Row],[Price/lb]]*DbLinkTable[[#This Row],[Weight]]&lt;0,DbLinkTable[[#This Row],[Price/lb]]*DbLinkTable[[#This Row],[Weight]],0)</f>
        <v>#VALUE!</v>
      </c>
      <c r="V858" s="4" t="str">
        <f>IF(COUNTIF($W$2:W858,W858)=1,1,"")</f>
        <v/>
      </c>
      <c r="W858" s="4" t="e">
        <f>CONCATENATE(DbLinkTable[[#This Row],[Customer]],UPPER(DbLinkTable[[#This Row],[Trailer Number]]),DbLinkTable[[#This Row],[Day Received]])</f>
        <v>#VALUE!</v>
      </c>
      <c r="X858" s="4" t="e">
        <f>DATEVALUE(TEXT(DbLinkTable[[#This Row],[Date Received]],"MMMM YYYY"))</f>
        <v>#VALUE!</v>
      </c>
      <c r="Y858" s="4" t="e">
        <f>INT(DbLinkTable[[#This Row],[Date Received]])</f>
        <v>#VALUE!</v>
      </c>
    </row>
    <row r="859" spans="5:25">
      <c r="E859"/>
      <c r="G859"/>
      <c r="H859"/>
      <c r="I859"/>
      <c r="K859"/>
      <c r="O859"/>
      <c r="R859"/>
      <c r="S859" s="79" t="e">
        <f>DbLinkTable[[#This Row],[Credit]]+DbLinkTable[[#This Row],[Charge]]</f>
        <v>#VALUE!</v>
      </c>
      <c r="T859" s="79" t="e">
        <f>IF(DbLinkTable[[#This Row],[Price/lb]]*DbLinkTable[[#This Row],[Weight]]&gt;0,DbLinkTable[[#This Row],[Price/lb]]*DbLinkTable[[#This Row],[Weight]],0)</f>
        <v>#VALUE!</v>
      </c>
      <c r="U859" s="79" t="e">
        <f>IF(DbLinkTable[[#This Row],[Price/lb]]*DbLinkTable[[#This Row],[Weight]]&lt;0,DbLinkTable[[#This Row],[Price/lb]]*DbLinkTable[[#This Row],[Weight]],0)</f>
        <v>#VALUE!</v>
      </c>
      <c r="V859" s="4" t="str">
        <f>IF(COUNTIF($W$2:W859,W859)=1,1,"")</f>
        <v/>
      </c>
      <c r="W859" s="4" t="e">
        <f>CONCATENATE(DbLinkTable[[#This Row],[Customer]],UPPER(DbLinkTable[[#This Row],[Trailer Number]]),DbLinkTable[[#This Row],[Day Received]])</f>
        <v>#VALUE!</v>
      </c>
      <c r="X859" s="4" t="e">
        <f>DATEVALUE(TEXT(DbLinkTable[[#This Row],[Date Received]],"MMMM YYYY"))</f>
        <v>#VALUE!</v>
      </c>
      <c r="Y859" s="4" t="e">
        <f>INT(DbLinkTable[[#This Row],[Date Received]])</f>
        <v>#VALUE!</v>
      </c>
    </row>
    <row r="860" spans="5:25">
      <c r="E860"/>
      <c r="G860"/>
      <c r="H860"/>
      <c r="I860"/>
      <c r="K860"/>
      <c r="O860"/>
      <c r="R860"/>
      <c r="S860" s="79" t="e">
        <f>DbLinkTable[[#This Row],[Credit]]+DbLinkTable[[#This Row],[Charge]]</f>
        <v>#VALUE!</v>
      </c>
      <c r="T860" s="79" t="e">
        <f>IF(DbLinkTable[[#This Row],[Price/lb]]*DbLinkTable[[#This Row],[Weight]]&gt;0,DbLinkTable[[#This Row],[Price/lb]]*DbLinkTable[[#This Row],[Weight]],0)</f>
        <v>#VALUE!</v>
      </c>
      <c r="U860" s="79" t="e">
        <f>IF(DbLinkTable[[#This Row],[Price/lb]]*DbLinkTable[[#This Row],[Weight]]&lt;0,DbLinkTable[[#This Row],[Price/lb]]*DbLinkTable[[#This Row],[Weight]],0)</f>
        <v>#VALUE!</v>
      </c>
      <c r="V860" s="4" t="str">
        <f>IF(COUNTIF($W$2:W860,W860)=1,1,"")</f>
        <v/>
      </c>
      <c r="W860" s="4" t="e">
        <f>CONCATENATE(DbLinkTable[[#This Row],[Customer]],UPPER(DbLinkTable[[#This Row],[Trailer Number]]),DbLinkTable[[#This Row],[Day Received]])</f>
        <v>#VALUE!</v>
      </c>
      <c r="X860" s="4" t="e">
        <f>DATEVALUE(TEXT(DbLinkTable[[#This Row],[Date Received]],"MMMM YYYY"))</f>
        <v>#VALUE!</v>
      </c>
      <c r="Y860" s="4" t="e">
        <f>INT(DbLinkTable[[#This Row],[Date Received]])</f>
        <v>#VALUE!</v>
      </c>
    </row>
    <row r="861" spans="5:25">
      <c r="E861"/>
      <c r="G861"/>
      <c r="H861"/>
      <c r="I861"/>
      <c r="K861"/>
      <c r="O861"/>
      <c r="R861"/>
      <c r="S861" s="79" t="e">
        <f>DbLinkTable[[#This Row],[Credit]]+DbLinkTable[[#This Row],[Charge]]</f>
        <v>#VALUE!</v>
      </c>
      <c r="T861" s="79" t="e">
        <f>IF(DbLinkTable[[#This Row],[Price/lb]]*DbLinkTable[[#This Row],[Weight]]&gt;0,DbLinkTable[[#This Row],[Price/lb]]*DbLinkTable[[#This Row],[Weight]],0)</f>
        <v>#VALUE!</v>
      </c>
      <c r="U861" s="79" t="e">
        <f>IF(DbLinkTable[[#This Row],[Price/lb]]*DbLinkTable[[#This Row],[Weight]]&lt;0,DbLinkTable[[#This Row],[Price/lb]]*DbLinkTable[[#This Row],[Weight]],0)</f>
        <v>#VALUE!</v>
      </c>
      <c r="V861" s="4" t="str">
        <f>IF(COUNTIF($W$2:W861,W861)=1,1,"")</f>
        <v/>
      </c>
      <c r="W861" s="4" t="e">
        <f>CONCATENATE(DbLinkTable[[#This Row],[Customer]],UPPER(DbLinkTable[[#This Row],[Trailer Number]]),DbLinkTable[[#This Row],[Day Received]])</f>
        <v>#VALUE!</v>
      </c>
      <c r="X861" s="4" t="e">
        <f>DATEVALUE(TEXT(DbLinkTable[[#This Row],[Date Received]],"MMMM YYYY"))</f>
        <v>#VALUE!</v>
      </c>
      <c r="Y861" s="4" t="e">
        <f>INT(DbLinkTable[[#This Row],[Date Received]])</f>
        <v>#VALUE!</v>
      </c>
    </row>
    <row r="862" spans="5:25">
      <c r="E862"/>
      <c r="G862"/>
      <c r="H862"/>
      <c r="I862"/>
      <c r="K862"/>
      <c r="O862"/>
      <c r="R862"/>
      <c r="S862" s="79" t="e">
        <f>DbLinkTable[[#This Row],[Credit]]+DbLinkTable[[#This Row],[Charge]]</f>
        <v>#VALUE!</v>
      </c>
      <c r="T862" s="79" t="e">
        <f>IF(DbLinkTable[[#This Row],[Price/lb]]*DbLinkTable[[#This Row],[Weight]]&gt;0,DbLinkTable[[#This Row],[Price/lb]]*DbLinkTable[[#This Row],[Weight]],0)</f>
        <v>#VALUE!</v>
      </c>
      <c r="U862" s="79" t="e">
        <f>IF(DbLinkTable[[#This Row],[Price/lb]]*DbLinkTable[[#This Row],[Weight]]&lt;0,DbLinkTable[[#This Row],[Price/lb]]*DbLinkTable[[#This Row],[Weight]],0)</f>
        <v>#VALUE!</v>
      </c>
      <c r="V862" s="4" t="str">
        <f>IF(COUNTIF($W$2:W862,W862)=1,1,"")</f>
        <v/>
      </c>
      <c r="W862" s="4" t="e">
        <f>CONCATENATE(DbLinkTable[[#This Row],[Customer]],UPPER(DbLinkTable[[#This Row],[Trailer Number]]),DbLinkTable[[#This Row],[Day Received]])</f>
        <v>#VALUE!</v>
      </c>
      <c r="X862" s="4" t="e">
        <f>DATEVALUE(TEXT(DbLinkTable[[#This Row],[Date Received]],"MMMM YYYY"))</f>
        <v>#VALUE!</v>
      </c>
      <c r="Y862" s="4" t="e">
        <f>INT(DbLinkTable[[#This Row],[Date Received]])</f>
        <v>#VALUE!</v>
      </c>
    </row>
    <row r="863" spans="5:25">
      <c r="E863"/>
      <c r="G863"/>
      <c r="H863"/>
      <c r="I863"/>
      <c r="K863"/>
      <c r="O863"/>
      <c r="R863"/>
      <c r="S863" s="79" t="e">
        <f>DbLinkTable[[#This Row],[Credit]]+DbLinkTable[[#This Row],[Charge]]</f>
        <v>#VALUE!</v>
      </c>
      <c r="T863" s="79" t="e">
        <f>IF(DbLinkTable[[#This Row],[Price/lb]]*DbLinkTable[[#This Row],[Weight]]&gt;0,DbLinkTable[[#This Row],[Price/lb]]*DbLinkTable[[#This Row],[Weight]],0)</f>
        <v>#VALUE!</v>
      </c>
      <c r="U863" s="79" t="e">
        <f>IF(DbLinkTable[[#This Row],[Price/lb]]*DbLinkTable[[#This Row],[Weight]]&lt;0,DbLinkTable[[#This Row],[Price/lb]]*DbLinkTable[[#This Row],[Weight]],0)</f>
        <v>#VALUE!</v>
      </c>
      <c r="V863" s="4" t="str">
        <f>IF(COUNTIF($W$2:W863,W863)=1,1,"")</f>
        <v/>
      </c>
      <c r="W863" s="4" t="e">
        <f>CONCATENATE(DbLinkTable[[#This Row],[Customer]],UPPER(DbLinkTable[[#This Row],[Trailer Number]]),DbLinkTable[[#This Row],[Day Received]])</f>
        <v>#VALUE!</v>
      </c>
      <c r="X863" s="4" t="e">
        <f>DATEVALUE(TEXT(DbLinkTable[[#This Row],[Date Received]],"MMMM YYYY"))</f>
        <v>#VALUE!</v>
      </c>
      <c r="Y863" s="4" t="e">
        <f>INT(DbLinkTable[[#This Row],[Date Received]])</f>
        <v>#VALUE!</v>
      </c>
    </row>
    <row r="864" spans="5:25">
      <c r="E864"/>
      <c r="G864"/>
      <c r="H864"/>
      <c r="I864"/>
      <c r="K864"/>
      <c r="O864"/>
      <c r="R864"/>
      <c r="S864" s="79" t="e">
        <f>DbLinkTable[[#This Row],[Credit]]+DbLinkTable[[#This Row],[Charge]]</f>
        <v>#VALUE!</v>
      </c>
      <c r="T864" s="79" t="e">
        <f>IF(DbLinkTable[[#This Row],[Price/lb]]*DbLinkTable[[#This Row],[Weight]]&gt;0,DbLinkTable[[#This Row],[Price/lb]]*DbLinkTable[[#This Row],[Weight]],0)</f>
        <v>#VALUE!</v>
      </c>
      <c r="U864" s="79" t="e">
        <f>IF(DbLinkTable[[#This Row],[Price/lb]]*DbLinkTable[[#This Row],[Weight]]&lt;0,DbLinkTable[[#This Row],[Price/lb]]*DbLinkTable[[#This Row],[Weight]],0)</f>
        <v>#VALUE!</v>
      </c>
      <c r="V864" s="4" t="str">
        <f>IF(COUNTIF($W$2:W864,W864)=1,1,"")</f>
        <v/>
      </c>
      <c r="W864" s="4" t="e">
        <f>CONCATENATE(DbLinkTable[[#This Row],[Customer]],UPPER(DbLinkTable[[#This Row],[Trailer Number]]),DbLinkTable[[#This Row],[Day Received]])</f>
        <v>#VALUE!</v>
      </c>
      <c r="X864" s="4" t="e">
        <f>DATEVALUE(TEXT(DbLinkTable[[#This Row],[Date Received]],"MMMM YYYY"))</f>
        <v>#VALUE!</v>
      </c>
      <c r="Y864" s="4" t="e">
        <f>INT(DbLinkTable[[#This Row],[Date Received]])</f>
        <v>#VALUE!</v>
      </c>
    </row>
    <row r="865" spans="5:25">
      <c r="E865"/>
      <c r="G865"/>
      <c r="H865"/>
      <c r="I865"/>
      <c r="K865"/>
      <c r="O865"/>
      <c r="R865"/>
      <c r="S865" s="79" t="e">
        <f>DbLinkTable[[#This Row],[Credit]]+DbLinkTable[[#This Row],[Charge]]</f>
        <v>#VALUE!</v>
      </c>
      <c r="T865" s="79" t="e">
        <f>IF(DbLinkTable[[#This Row],[Price/lb]]*DbLinkTable[[#This Row],[Weight]]&gt;0,DbLinkTable[[#This Row],[Price/lb]]*DbLinkTable[[#This Row],[Weight]],0)</f>
        <v>#VALUE!</v>
      </c>
      <c r="U865" s="79" t="e">
        <f>IF(DbLinkTable[[#This Row],[Price/lb]]*DbLinkTable[[#This Row],[Weight]]&lt;0,DbLinkTable[[#This Row],[Price/lb]]*DbLinkTable[[#This Row],[Weight]],0)</f>
        <v>#VALUE!</v>
      </c>
      <c r="V865" s="4" t="str">
        <f>IF(COUNTIF($W$2:W865,W865)=1,1,"")</f>
        <v/>
      </c>
      <c r="W865" s="4" t="e">
        <f>CONCATENATE(DbLinkTable[[#This Row],[Customer]],UPPER(DbLinkTable[[#This Row],[Trailer Number]]),DbLinkTable[[#This Row],[Day Received]])</f>
        <v>#VALUE!</v>
      </c>
      <c r="X865" s="4" t="e">
        <f>DATEVALUE(TEXT(DbLinkTable[[#This Row],[Date Received]],"MMMM YYYY"))</f>
        <v>#VALUE!</v>
      </c>
      <c r="Y865" s="4" t="e">
        <f>INT(DbLinkTable[[#This Row],[Date Received]])</f>
        <v>#VALUE!</v>
      </c>
    </row>
    <row r="866" spans="5:25">
      <c r="E866"/>
      <c r="G866"/>
      <c r="H866"/>
      <c r="I866"/>
      <c r="K866"/>
      <c r="O866"/>
      <c r="R866"/>
      <c r="S866" s="79" t="e">
        <f>DbLinkTable[[#This Row],[Credit]]+DbLinkTable[[#This Row],[Charge]]</f>
        <v>#VALUE!</v>
      </c>
      <c r="T866" s="79" t="e">
        <f>IF(DbLinkTable[[#This Row],[Price/lb]]*DbLinkTable[[#This Row],[Weight]]&gt;0,DbLinkTable[[#This Row],[Price/lb]]*DbLinkTable[[#This Row],[Weight]],0)</f>
        <v>#VALUE!</v>
      </c>
      <c r="U866" s="79" t="e">
        <f>IF(DbLinkTable[[#This Row],[Price/lb]]*DbLinkTable[[#This Row],[Weight]]&lt;0,DbLinkTable[[#This Row],[Price/lb]]*DbLinkTable[[#This Row],[Weight]],0)</f>
        <v>#VALUE!</v>
      </c>
      <c r="V866" s="4" t="str">
        <f>IF(COUNTIF($W$2:W866,W866)=1,1,"")</f>
        <v/>
      </c>
      <c r="W866" s="4" t="e">
        <f>CONCATENATE(DbLinkTable[[#This Row],[Customer]],UPPER(DbLinkTable[[#This Row],[Trailer Number]]),DbLinkTable[[#This Row],[Day Received]])</f>
        <v>#VALUE!</v>
      </c>
      <c r="X866" s="4" t="e">
        <f>DATEVALUE(TEXT(DbLinkTable[[#This Row],[Date Received]],"MMMM YYYY"))</f>
        <v>#VALUE!</v>
      </c>
      <c r="Y866" s="4" t="e">
        <f>INT(DbLinkTable[[#This Row],[Date Received]])</f>
        <v>#VALUE!</v>
      </c>
    </row>
    <row r="867" spans="5:25">
      <c r="E867"/>
      <c r="G867"/>
      <c r="H867"/>
      <c r="I867"/>
      <c r="K867"/>
      <c r="O867"/>
      <c r="R867"/>
      <c r="S867" s="79" t="e">
        <f>DbLinkTable[[#This Row],[Credit]]+DbLinkTable[[#This Row],[Charge]]</f>
        <v>#VALUE!</v>
      </c>
      <c r="T867" s="79" t="e">
        <f>IF(DbLinkTable[[#This Row],[Price/lb]]*DbLinkTable[[#This Row],[Weight]]&gt;0,DbLinkTable[[#This Row],[Price/lb]]*DbLinkTable[[#This Row],[Weight]],0)</f>
        <v>#VALUE!</v>
      </c>
      <c r="U867" s="79" t="e">
        <f>IF(DbLinkTable[[#This Row],[Price/lb]]*DbLinkTable[[#This Row],[Weight]]&lt;0,DbLinkTable[[#This Row],[Price/lb]]*DbLinkTable[[#This Row],[Weight]],0)</f>
        <v>#VALUE!</v>
      </c>
      <c r="V867" s="4" t="str">
        <f>IF(COUNTIF($W$2:W867,W867)=1,1,"")</f>
        <v/>
      </c>
      <c r="W867" s="4" t="e">
        <f>CONCATENATE(DbLinkTable[[#This Row],[Customer]],UPPER(DbLinkTable[[#This Row],[Trailer Number]]),DbLinkTable[[#This Row],[Day Received]])</f>
        <v>#VALUE!</v>
      </c>
      <c r="X867" s="4" t="e">
        <f>DATEVALUE(TEXT(DbLinkTable[[#This Row],[Date Received]],"MMMM YYYY"))</f>
        <v>#VALUE!</v>
      </c>
      <c r="Y867" s="4" t="e">
        <f>INT(DbLinkTable[[#This Row],[Date Received]])</f>
        <v>#VALUE!</v>
      </c>
    </row>
    <row r="868" spans="5:25">
      <c r="E868"/>
      <c r="G868"/>
      <c r="H868"/>
      <c r="I868"/>
      <c r="K868"/>
      <c r="O868"/>
      <c r="R868"/>
      <c r="S868" s="79" t="e">
        <f>DbLinkTable[[#This Row],[Credit]]+DbLinkTable[[#This Row],[Charge]]</f>
        <v>#VALUE!</v>
      </c>
      <c r="T868" s="79" t="e">
        <f>IF(DbLinkTable[[#This Row],[Price/lb]]*DbLinkTable[[#This Row],[Weight]]&gt;0,DbLinkTable[[#This Row],[Price/lb]]*DbLinkTable[[#This Row],[Weight]],0)</f>
        <v>#VALUE!</v>
      </c>
      <c r="U868" s="79" t="e">
        <f>IF(DbLinkTable[[#This Row],[Price/lb]]*DbLinkTable[[#This Row],[Weight]]&lt;0,DbLinkTable[[#This Row],[Price/lb]]*DbLinkTable[[#This Row],[Weight]],0)</f>
        <v>#VALUE!</v>
      </c>
      <c r="V868" s="4" t="str">
        <f>IF(COUNTIF($W$2:W868,W868)=1,1,"")</f>
        <v/>
      </c>
      <c r="W868" s="4" t="e">
        <f>CONCATENATE(DbLinkTable[[#This Row],[Customer]],UPPER(DbLinkTable[[#This Row],[Trailer Number]]),DbLinkTable[[#This Row],[Day Received]])</f>
        <v>#VALUE!</v>
      </c>
      <c r="X868" s="4" t="e">
        <f>DATEVALUE(TEXT(DbLinkTable[[#This Row],[Date Received]],"MMMM YYYY"))</f>
        <v>#VALUE!</v>
      </c>
      <c r="Y868" s="4" t="e">
        <f>INT(DbLinkTable[[#This Row],[Date Received]])</f>
        <v>#VALUE!</v>
      </c>
    </row>
    <row r="869" spans="5:25">
      <c r="E869"/>
      <c r="G869"/>
      <c r="H869"/>
      <c r="I869"/>
      <c r="K869"/>
      <c r="O869"/>
      <c r="R869"/>
      <c r="S869" s="79" t="e">
        <f>DbLinkTable[[#This Row],[Credit]]+DbLinkTable[[#This Row],[Charge]]</f>
        <v>#VALUE!</v>
      </c>
      <c r="T869" s="79" t="e">
        <f>IF(DbLinkTable[[#This Row],[Price/lb]]*DbLinkTable[[#This Row],[Weight]]&gt;0,DbLinkTable[[#This Row],[Price/lb]]*DbLinkTable[[#This Row],[Weight]],0)</f>
        <v>#VALUE!</v>
      </c>
      <c r="U869" s="79" t="e">
        <f>IF(DbLinkTable[[#This Row],[Price/lb]]*DbLinkTable[[#This Row],[Weight]]&lt;0,DbLinkTable[[#This Row],[Price/lb]]*DbLinkTable[[#This Row],[Weight]],0)</f>
        <v>#VALUE!</v>
      </c>
      <c r="V869" s="4" t="str">
        <f>IF(COUNTIF($W$2:W869,W869)=1,1,"")</f>
        <v/>
      </c>
      <c r="W869" s="4" t="e">
        <f>CONCATENATE(DbLinkTable[[#This Row],[Customer]],UPPER(DbLinkTable[[#This Row],[Trailer Number]]),DbLinkTable[[#This Row],[Day Received]])</f>
        <v>#VALUE!</v>
      </c>
      <c r="X869" s="4" t="e">
        <f>DATEVALUE(TEXT(DbLinkTable[[#This Row],[Date Received]],"MMMM YYYY"))</f>
        <v>#VALUE!</v>
      </c>
      <c r="Y869" s="4" t="e">
        <f>INT(DbLinkTable[[#This Row],[Date Received]])</f>
        <v>#VALUE!</v>
      </c>
    </row>
    <row r="870" spans="5:25">
      <c r="E870"/>
      <c r="G870"/>
      <c r="H870"/>
      <c r="I870"/>
      <c r="K870"/>
      <c r="O870"/>
      <c r="R870"/>
      <c r="S870" s="79" t="e">
        <f>DbLinkTable[[#This Row],[Credit]]+DbLinkTable[[#This Row],[Charge]]</f>
        <v>#VALUE!</v>
      </c>
      <c r="T870" s="79" t="e">
        <f>IF(DbLinkTable[[#This Row],[Price/lb]]*DbLinkTable[[#This Row],[Weight]]&gt;0,DbLinkTable[[#This Row],[Price/lb]]*DbLinkTable[[#This Row],[Weight]],0)</f>
        <v>#VALUE!</v>
      </c>
      <c r="U870" s="79" t="e">
        <f>IF(DbLinkTable[[#This Row],[Price/lb]]*DbLinkTable[[#This Row],[Weight]]&lt;0,DbLinkTable[[#This Row],[Price/lb]]*DbLinkTable[[#This Row],[Weight]],0)</f>
        <v>#VALUE!</v>
      </c>
      <c r="V870" s="4" t="str">
        <f>IF(COUNTIF($W$2:W870,W870)=1,1,"")</f>
        <v/>
      </c>
      <c r="W870" s="4" t="e">
        <f>CONCATENATE(DbLinkTable[[#This Row],[Customer]],UPPER(DbLinkTable[[#This Row],[Trailer Number]]),DbLinkTable[[#This Row],[Day Received]])</f>
        <v>#VALUE!</v>
      </c>
      <c r="X870" s="4" t="e">
        <f>DATEVALUE(TEXT(DbLinkTable[[#This Row],[Date Received]],"MMMM YYYY"))</f>
        <v>#VALUE!</v>
      </c>
      <c r="Y870" s="4" t="e">
        <f>INT(DbLinkTable[[#This Row],[Date Received]])</f>
        <v>#VALUE!</v>
      </c>
    </row>
    <row r="871" spans="5:25">
      <c r="E871"/>
      <c r="G871"/>
      <c r="H871"/>
      <c r="I871"/>
      <c r="K871"/>
      <c r="O871"/>
      <c r="R871"/>
      <c r="S871" s="79" t="e">
        <f>DbLinkTable[[#This Row],[Credit]]+DbLinkTable[[#This Row],[Charge]]</f>
        <v>#VALUE!</v>
      </c>
      <c r="T871" s="79" t="e">
        <f>IF(DbLinkTable[[#This Row],[Price/lb]]*DbLinkTable[[#This Row],[Weight]]&gt;0,DbLinkTable[[#This Row],[Price/lb]]*DbLinkTable[[#This Row],[Weight]],0)</f>
        <v>#VALUE!</v>
      </c>
      <c r="U871" s="79" t="e">
        <f>IF(DbLinkTable[[#This Row],[Price/lb]]*DbLinkTable[[#This Row],[Weight]]&lt;0,DbLinkTable[[#This Row],[Price/lb]]*DbLinkTable[[#This Row],[Weight]],0)</f>
        <v>#VALUE!</v>
      </c>
      <c r="V871" s="4" t="str">
        <f>IF(COUNTIF($W$2:W871,W871)=1,1,"")</f>
        <v/>
      </c>
      <c r="W871" s="4" t="e">
        <f>CONCATENATE(DbLinkTable[[#This Row],[Customer]],UPPER(DbLinkTable[[#This Row],[Trailer Number]]),DbLinkTable[[#This Row],[Day Received]])</f>
        <v>#VALUE!</v>
      </c>
      <c r="X871" s="4" t="e">
        <f>DATEVALUE(TEXT(DbLinkTable[[#This Row],[Date Received]],"MMMM YYYY"))</f>
        <v>#VALUE!</v>
      </c>
      <c r="Y871" s="4" t="e">
        <f>INT(DbLinkTable[[#This Row],[Date Received]])</f>
        <v>#VALUE!</v>
      </c>
    </row>
    <row r="872" spans="5:25">
      <c r="E872"/>
      <c r="G872"/>
      <c r="H872"/>
      <c r="I872"/>
      <c r="K872"/>
      <c r="O872"/>
      <c r="R872"/>
      <c r="S872" s="79" t="e">
        <f>DbLinkTable[[#This Row],[Credit]]+DbLinkTable[[#This Row],[Charge]]</f>
        <v>#VALUE!</v>
      </c>
      <c r="T872" s="79" t="e">
        <f>IF(DbLinkTable[[#This Row],[Price/lb]]*DbLinkTable[[#This Row],[Weight]]&gt;0,DbLinkTable[[#This Row],[Price/lb]]*DbLinkTable[[#This Row],[Weight]],0)</f>
        <v>#VALUE!</v>
      </c>
      <c r="U872" s="79" t="e">
        <f>IF(DbLinkTable[[#This Row],[Price/lb]]*DbLinkTable[[#This Row],[Weight]]&lt;0,DbLinkTable[[#This Row],[Price/lb]]*DbLinkTable[[#This Row],[Weight]],0)</f>
        <v>#VALUE!</v>
      </c>
      <c r="V872" s="4" t="str">
        <f>IF(COUNTIF($W$2:W872,W872)=1,1,"")</f>
        <v/>
      </c>
      <c r="W872" s="4" t="e">
        <f>CONCATENATE(DbLinkTable[[#This Row],[Customer]],UPPER(DbLinkTable[[#This Row],[Trailer Number]]),DbLinkTable[[#This Row],[Day Received]])</f>
        <v>#VALUE!</v>
      </c>
      <c r="X872" s="4" t="e">
        <f>DATEVALUE(TEXT(DbLinkTable[[#This Row],[Date Received]],"MMMM YYYY"))</f>
        <v>#VALUE!</v>
      </c>
      <c r="Y872" s="4" t="e">
        <f>INT(DbLinkTable[[#This Row],[Date Received]])</f>
        <v>#VALUE!</v>
      </c>
    </row>
    <row r="873" spans="5:25">
      <c r="E873"/>
      <c r="G873"/>
      <c r="H873"/>
      <c r="I873"/>
      <c r="K873"/>
      <c r="O873"/>
      <c r="R873"/>
      <c r="S873" s="79" t="e">
        <f>DbLinkTable[[#This Row],[Credit]]+DbLinkTable[[#This Row],[Charge]]</f>
        <v>#VALUE!</v>
      </c>
      <c r="T873" s="79" t="e">
        <f>IF(DbLinkTable[[#This Row],[Price/lb]]*DbLinkTable[[#This Row],[Weight]]&gt;0,DbLinkTable[[#This Row],[Price/lb]]*DbLinkTable[[#This Row],[Weight]],0)</f>
        <v>#VALUE!</v>
      </c>
      <c r="U873" s="79" t="e">
        <f>IF(DbLinkTable[[#This Row],[Price/lb]]*DbLinkTable[[#This Row],[Weight]]&lt;0,DbLinkTable[[#This Row],[Price/lb]]*DbLinkTable[[#This Row],[Weight]],0)</f>
        <v>#VALUE!</v>
      </c>
      <c r="V873" s="4" t="str">
        <f>IF(COUNTIF($W$2:W873,W873)=1,1,"")</f>
        <v/>
      </c>
      <c r="W873" s="4" t="e">
        <f>CONCATENATE(DbLinkTable[[#This Row],[Customer]],UPPER(DbLinkTable[[#This Row],[Trailer Number]]),DbLinkTable[[#This Row],[Day Received]])</f>
        <v>#VALUE!</v>
      </c>
      <c r="X873" s="4" t="e">
        <f>DATEVALUE(TEXT(DbLinkTable[[#This Row],[Date Received]],"MMMM YYYY"))</f>
        <v>#VALUE!</v>
      </c>
      <c r="Y873" s="4" t="e">
        <f>INT(DbLinkTable[[#This Row],[Date Received]])</f>
        <v>#VALUE!</v>
      </c>
    </row>
    <row r="874" spans="5:25">
      <c r="E874"/>
      <c r="G874"/>
      <c r="H874"/>
      <c r="I874"/>
      <c r="K874"/>
      <c r="O874"/>
      <c r="R874"/>
      <c r="S874" s="79" t="e">
        <f>DbLinkTable[[#This Row],[Credit]]+DbLinkTable[[#This Row],[Charge]]</f>
        <v>#VALUE!</v>
      </c>
      <c r="T874" s="79" t="e">
        <f>IF(DbLinkTable[[#This Row],[Price/lb]]*DbLinkTable[[#This Row],[Weight]]&gt;0,DbLinkTable[[#This Row],[Price/lb]]*DbLinkTable[[#This Row],[Weight]],0)</f>
        <v>#VALUE!</v>
      </c>
      <c r="U874" s="79" t="e">
        <f>IF(DbLinkTable[[#This Row],[Price/lb]]*DbLinkTable[[#This Row],[Weight]]&lt;0,DbLinkTable[[#This Row],[Price/lb]]*DbLinkTable[[#This Row],[Weight]],0)</f>
        <v>#VALUE!</v>
      </c>
      <c r="V874" s="4" t="str">
        <f>IF(COUNTIF($W$2:W874,W874)=1,1,"")</f>
        <v/>
      </c>
      <c r="W874" s="4" t="e">
        <f>CONCATENATE(DbLinkTable[[#This Row],[Customer]],UPPER(DbLinkTable[[#This Row],[Trailer Number]]),DbLinkTable[[#This Row],[Day Received]])</f>
        <v>#VALUE!</v>
      </c>
      <c r="X874" s="4" t="e">
        <f>DATEVALUE(TEXT(DbLinkTable[[#This Row],[Date Received]],"MMMM YYYY"))</f>
        <v>#VALUE!</v>
      </c>
      <c r="Y874" s="4" t="e">
        <f>INT(DbLinkTable[[#This Row],[Date Received]])</f>
        <v>#VALUE!</v>
      </c>
    </row>
    <row r="875" spans="5:25">
      <c r="E875"/>
      <c r="G875"/>
      <c r="H875"/>
      <c r="I875"/>
      <c r="K875"/>
      <c r="O875"/>
      <c r="R875"/>
      <c r="S875" s="79" t="e">
        <f>DbLinkTable[[#This Row],[Credit]]+DbLinkTable[[#This Row],[Charge]]</f>
        <v>#VALUE!</v>
      </c>
      <c r="T875" s="79" t="e">
        <f>IF(DbLinkTable[[#This Row],[Price/lb]]*DbLinkTable[[#This Row],[Weight]]&gt;0,DbLinkTable[[#This Row],[Price/lb]]*DbLinkTable[[#This Row],[Weight]],0)</f>
        <v>#VALUE!</v>
      </c>
      <c r="U875" s="79" t="e">
        <f>IF(DbLinkTable[[#This Row],[Price/lb]]*DbLinkTable[[#This Row],[Weight]]&lt;0,DbLinkTable[[#This Row],[Price/lb]]*DbLinkTable[[#This Row],[Weight]],0)</f>
        <v>#VALUE!</v>
      </c>
      <c r="V875" s="4" t="str">
        <f>IF(COUNTIF($W$2:W875,W875)=1,1,"")</f>
        <v/>
      </c>
      <c r="W875" s="4" t="e">
        <f>CONCATENATE(DbLinkTable[[#This Row],[Customer]],UPPER(DbLinkTable[[#This Row],[Trailer Number]]),DbLinkTable[[#This Row],[Day Received]])</f>
        <v>#VALUE!</v>
      </c>
      <c r="X875" s="4" t="e">
        <f>DATEVALUE(TEXT(DbLinkTable[[#This Row],[Date Received]],"MMMM YYYY"))</f>
        <v>#VALUE!</v>
      </c>
      <c r="Y875" s="4" t="e">
        <f>INT(DbLinkTable[[#This Row],[Date Received]])</f>
        <v>#VALUE!</v>
      </c>
    </row>
    <row r="876" spans="5:25">
      <c r="E876"/>
      <c r="G876"/>
      <c r="H876"/>
      <c r="I876"/>
      <c r="K876"/>
      <c r="O876"/>
      <c r="R876"/>
      <c r="S876" s="79" t="e">
        <f>DbLinkTable[[#This Row],[Credit]]+DbLinkTable[[#This Row],[Charge]]</f>
        <v>#VALUE!</v>
      </c>
      <c r="T876" s="79" t="e">
        <f>IF(DbLinkTable[[#This Row],[Price/lb]]*DbLinkTable[[#This Row],[Weight]]&gt;0,DbLinkTable[[#This Row],[Price/lb]]*DbLinkTable[[#This Row],[Weight]],0)</f>
        <v>#VALUE!</v>
      </c>
      <c r="U876" s="79" t="e">
        <f>IF(DbLinkTable[[#This Row],[Price/lb]]*DbLinkTable[[#This Row],[Weight]]&lt;0,DbLinkTable[[#This Row],[Price/lb]]*DbLinkTable[[#This Row],[Weight]],0)</f>
        <v>#VALUE!</v>
      </c>
      <c r="V876" s="4" t="str">
        <f>IF(COUNTIF($W$2:W876,W876)=1,1,"")</f>
        <v/>
      </c>
      <c r="W876" s="4" t="e">
        <f>CONCATENATE(DbLinkTable[[#This Row],[Customer]],UPPER(DbLinkTable[[#This Row],[Trailer Number]]),DbLinkTable[[#This Row],[Day Received]])</f>
        <v>#VALUE!</v>
      </c>
      <c r="X876" s="4" t="e">
        <f>DATEVALUE(TEXT(DbLinkTable[[#This Row],[Date Received]],"MMMM YYYY"))</f>
        <v>#VALUE!</v>
      </c>
      <c r="Y876" s="4" t="e">
        <f>INT(DbLinkTable[[#This Row],[Date Received]])</f>
        <v>#VALUE!</v>
      </c>
    </row>
    <row r="877" spans="5:25">
      <c r="E877"/>
      <c r="G877"/>
      <c r="H877"/>
      <c r="I877"/>
      <c r="K877"/>
      <c r="O877"/>
      <c r="R877"/>
      <c r="S877" s="79" t="e">
        <f>DbLinkTable[[#This Row],[Credit]]+DbLinkTable[[#This Row],[Charge]]</f>
        <v>#VALUE!</v>
      </c>
      <c r="T877" s="79" t="e">
        <f>IF(DbLinkTable[[#This Row],[Price/lb]]*DbLinkTable[[#This Row],[Weight]]&gt;0,DbLinkTable[[#This Row],[Price/lb]]*DbLinkTable[[#This Row],[Weight]],0)</f>
        <v>#VALUE!</v>
      </c>
      <c r="U877" s="79" t="e">
        <f>IF(DbLinkTable[[#This Row],[Price/lb]]*DbLinkTable[[#This Row],[Weight]]&lt;0,DbLinkTable[[#This Row],[Price/lb]]*DbLinkTable[[#This Row],[Weight]],0)</f>
        <v>#VALUE!</v>
      </c>
      <c r="V877" s="4" t="str">
        <f>IF(COUNTIF($W$2:W877,W877)=1,1,"")</f>
        <v/>
      </c>
      <c r="W877" s="4" t="e">
        <f>CONCATENATE(DbLinkTable[[#This Row],[Customer]],UPPER(DbLinkTable[[#This Row],[Trailer Number]]),DbLinkTable[[#This Row],[Day Received]])</f>
        <v>#VALUE!</v>
      </c>
      <c r="X877" s="4" t="e">
        <f>DATEVALUE(TEXT(DbLinkTable[[#This Row],[Date Received]],"MMMM YYYY"))</f>
        <v>#VALUE!</v>
      </c>
      <c r="Y877" s="4" t="e">
        <f>INT(DbLinkTable[[#This Row],[Date Received]])</f>
        <v>#VALUE!</v>
      </c>
    </row>
    <row r="878" spans="5:25">
      <c r="E878"/>
      <c r="G878"/>
      <c r="H878"/>
      <c r="I878"/>
      <c r="K878"/>
      <c r="O878"/>
      <c r="R878"/>
      <c r="S878" s="79" t="e">
        <f>DbLinkTable[[#This Row],[Credit]]+DbLinkTable[[#This Row],[Charge]]</f>
        <v>#VALUE!</v>
      </c>
      <c r="T878" s="79" t="e">
        <f>IF(DbLinkTable[[#This Row],[Price/lb]]*DbLinkTable[[#This Row],[Weight]]&gt;0,DbLinkTable[[#This Row],[Price/lb]]*DbLinkTable[[#This Row],[Weight]],0)</f>
        <v>#VALUE!</v>
      </c>
      <c r="U878" s="79" t="e">
        <f>IF(DbLinkTable[[#This Row],[Price/lb]]*DbLinkTable[[#This Row],[Weight]]&lt;0,DbLinkTable[[#This Row],[Price/lb]]*DbLinkTable[[#This Row],[Weight]],0)</f>
        <v>#VALUE!</v>
      </c>
      <c r="V878" s="4" t="str">
        <f>IF(COUNTIF($W$2:W878,W878)=1,1,"")</f>
        <v/>
      </c>
      <c r="W878" s="4" t="e">
        <f>CONCATENATE(DbLinkTable[[#This Row],[Customer]],UPPER(DbLinkTable[[#This Row],[Trailer Number]]),DbLinkTable[[#This Row],[Day Received]])</f>
        <v>#VALUE!</v>
      </c>
      <c r="X878" s="4" t="e">
        <f>DATEVALUE(TEXT(DbLinkTable[[#This Row],[Date Received]],"MMMM YYYY"))</f>
        <v>#VALUE!</v>
      </c>
      <c r="Y878" s="4" t="e">
        <f>INT(DbLinkTable[[#This Row],[Date Received]])</f>
        <v>#VALUE!</v>
      </c>
    </row>
    <row r="879" spans="5:25">
      <c r="E879"/>
      <c r="G879"/>
      <c r="H879"/>
      <c r="I879"/>
      <c r="K879"/>
      <c r="O879"/>
      <c r="R879"/>
      <c r="S879" s="79" t="e">
        <f>DbLinkTable[[#This Row],[Credit]]+DbLinkTable[[#This Row],[Charge]]</f>
        <v>#VALUE!</v>
      </c>
      <c r="T879" s="79" t="e">
        <f>IF(DbLinkTable[[#This Row],[Price/lb]]*DbLinkTable[[#This Row],[Weight]]&gt;0,DbLinkTable[[#This Row],[Price/lb]]*DbLinkTable[[#This Row],[Weight]],0)</f>
        <v>#VALUE!</v>
      </c>
      <c r="U879" s="79" t="e">
        <f>IF(DbLinkTable[[#This Row],[Price/lb]]*DbLinkTable[[#This Row],[Weight]]&lt;0,DbLinkTable[[#This Row],[Price/lb]]*DbLinkTable[[#This Row],[Weight]],0)</f>
        <v>#VALUE!</v>
      </c>
      <c r="V879" s="4" t="str">
        <f>IF(COUNTIF($W$2:W879,W879)=1,1,"")</f>
        <v/>
      </c>
      <c r="W879" s="4" t="e">
        <f>CONCATENATE(DbLinkTable[[#This Row],[Customer]],UPPER(DbLinkTable[[#This Row],[Trailer Number]]),DbLinkTable[[#This Row],[Day Received]])</f>
        <v>#VALUE!</v>
      </c>
      <c r="X879" s="4" t="e">
        <f>DATEVALUE(TEXT(DbLinkTable[[#This Row],[Date Received]],"MMMM YYYY"))</f>
        <v>#VALUE!</v>
      </c>
      <c r="Y879" s="4" t="e">
        <f>INT(DbLinkTable[[#This Row],[Date Received]])</f>
        <v>#VALUE!</v>
      </c>
    </row>
    <row r="880" spans="5:25">
      <c r="E880"/>
      <c r="G880"/>
      <c r="H880"/>
      <c r="I880"/>
      <c r="K880"/>
      <c r="O880"/>
      <c r="R880"/>
      <c r="S880" s="79" t="e">
        <f>DbLinkTable[[#This Row],[Credit]]+DbLinkTable[[#This Row],[Charge]]</f>
        <v>#VALUE!</v>
      </c>
      <c r="T880" s="79" t="e">
        <f>IF(DbLinkTable[[#This Row],[Price/lb]]*DbLinkTable[[#This Row],[Weight]]&gt;0,DbLinkTable[[#This Row],[Price/lb]]*DbLinkTable[[#This Row],[Weight]],0)</f>
        <v>#VALUE!</v>
      </c>
      <c r="U880" s="79" t="e">
        <f>IF(DbLinkTable[[#This Row],[Price/lb]]*DbLinkTable[[#This Row],[Weight]]&lt;0,DbLinkTable[[#This Row],[Price/lb]]*DbLinkTable[[#This Row],[Weight]],0)</f>
        <v>#VALUE!</v>
      </c>
      <c r="V880" s="4" t="str">
        <f>IF(COUNTIF($W$2:W880,W880)=1,1,"")</f>
        <v/>
      </c>
      <c r="W880" s="4" t="e">
        <f>CONCATENATE(DbLinkTable[[#This Row],[Customer]],UPPER(DbLinkTable[[#This Row],[Trailer Number]]),DbLinkTable[[#This Row],[Day Received]])</f>
        <v>#VALUE!</v>
      </c>
      <c r="X880" s="4" t="e">
        <f>DATEVALUE(TEXT(DbLinkTable[[#This Row],[Date Received]],"MMMM YYYY"))</f>
        <v>#VALUE!</v>
      </c>
      <c r="Y880" s="4" t="e">
        <f>INT(DbLinkTable[[#This Row],[Date Received]])</f>
        <v>#VALUE!</v>
      </c>
    </row>
    <row r="881" spans="5:25">
      <c r="E881"/>
      <c r="G881"/>
      <c r="H881"/>
      <c r="I881"/>
      <c r="K881"/>
      <c r="O881"/>
      <c r="R881"/>
      <c r="S881" s="79" t="e">
        <f>DbLinkTable[[#This Row],[Credit]]+DbLinkTable[[#This Row],[Charge]]</f>
        <v>#VALUE!</v>
      </c>
      <c r="T881" s="79" t="e">
        <f>IF(DbLinkTable[[#This Row],[Price/lb]]*DbLinkTable[[#This Row],[Weight]]&gt;0,DbLinkTable[[#This Row],[Price/lb]]*DbLinkTable[[#This Row],[Weight]],0)</f>
        <v>#VALUE!</v>
      </c>
      <c r="U881" s="79" t="e">
        <f>IF(DbLinkTable[[#This Row],[Price/lb]]*DbLinkTable[[#This Row],[Weight]]&lt;0,DbLinkTable[[#This Row],[Price/lb]]*DbLinkTable[[#This Row],[Weight]],0)</f>
        <v>#VALUE!</v>
      </c>
      <c r="V881" s="4" t="str">
        <f>IF(COUNTIF($W$2:W881,W881)=1,1,"")</f>
        <v/>
      </c>
      <c r="W881" s="4" t="e">
        <f>CONCATENATE(DbLinkTable[[#This Row],[Customer]],UPPER(DbLinkTable[[#This Row],[Trailer Number]]),DbLinkTable[[#This Row],[Day Received]])</f>
        <v>#VALUE!</v>
      </c>
      <c r="X881" s="4" t="e">
        <f>DATEVALUE(TEXT(DbLinkTable[[#This Row],[Date Received]],"MMMM YYYY"))</f>
        <v>#VALUE!</v>
      </c>
      <c r="Y881" s="4" t="e">
        <f>INT(DbLinkTable[[#This Row],[Date Received]])</f>
        <v>#VALUE!</v>
      </c>
    </row>
    <row r="882" spans="5:25">
      <c r="E882"/>
      <c r="G882"/>
      <c r="H882"/>
      <c r="I882"/>
      <c r="K882"/>
      <c r="O882"/>
      <c r="R882"/>
      <c r="S882" s="79" t="e">
        <f>DbLinkTable[[#This Row],[Credit]]+DbLinkTable[[#This Row],[Charge]]</f>
        <v>#VALUE!</v>
      </c>
      <c r="T882" s="79" t="e">
        <f>IF(DbLinkTable[[#This Row],[Price/lb]]*DbLinkTable[[#This Row],[Weight]]&gt;0,DbLinkTable[[#This Row],[Price/lb]]*DbLinkTable[[#This Row],[Weight]],0)</f>
        <v>#VALUE!</v>
      </c>
      <c r="U882" s="79" t="e">
        <f>IF(DbLinkTable[[#This Row],[Price/lb]]*DbLinkTable[[#This Row],[Weight]]&lt;0,DbLinkTable[[#This Row],[Price/lb]]*DbLinkTable[[#This Row],[Weight]],0)</f>
        <v>#VALUE!</v>
      </c>
      <c r="V882" s="4" t="str">
        <f>IF(COUNTIF($W$2:W882,W882)=1,1,"")</f>
        <v/>
      </c>
      <c r="W882" s="4" t="e">
        <f>CONCATENATE(DbLinkTable[[#This Row],[Customer]],UPPER(DbLinkTable[[#This Row],[Trailer Number]]),DbLinkTable[[#This Row],[Day Received]])</f>
        <v>#VALUE!</v>
      </c>
      <c r="X882" s="4" t="e">
        <f>DATEVALUE(TEXT(DbLinkTable[[#This Row],[Date Received]],"MMMM YYYY"))</f>
        <v>#VALUE!</v>
      </c>
      <c r="Y882" s="4" t="e">
        <f>INT(DbLinkTable[[#This Row],[Date Received]])</f>
        <v>#VALUE!</v>
      </c>
    </row>
    <row r="883" spans="5:25">
      <c r="E883"/>
      <c r="G883"/>
      <c r="H883"/>
      <c r="I883"/>
      <c r="K883"/>
      <c r="O883"/>
      <c r="R883"/>
      <c r="S883" s="79" t="e">
        <f>DbLinkTable[[#This Row],[Credit]]+DbLinkTable[[#This Row],[Charge]]</f>
        <v>#VALUE!</v>
      </c>
      <c r="T883" s="79" t="e">
        <f>IF(DbLinkTable[[#This Row],[Price/lb]]*DbLinkTable[[#This Row],[Weight]]&gt;0,DbLinkTable[[#This Row],[Price/lb]]*DbLinkTable[[#This Row],[Weight]],0)</f>
        <v>#VALUE!</v>
      </c>
      <c r="U883" s="79" t="e">
        <f>IF(DbLinkTable[[#This Row],[Price/lb]]*DbLinkTable[[#This Row],[Weight]]&lt;0,DbLinkTable[[#This Row],[Price/lb]]*DbLinkTable[[#This Row],[Weight]],0)</f>
        <v>#VALUE!</v>
      </c>
      <c r="V883" s="4" t="str">
        <f>IF(COUNTIF($W$2:W883,W883)=1,1,"")</f>
        <v/>
      </c>
      <c r="W883" s="4" t="e">
        <f>CONCATENATE(DbLinkTable[[#This Row],[Customer]],UPPER(DbLinkTable[[#This Row],[Trailer Number]]),DbLinkTable[[#This Row],[Day Received]])</f>
        <v>#VALUE!</v>
      </c>
      <c r="X883" s="4" t="e">
        <f>DATEVALUE(TEXT(DbLinkTable[[#This Row],[Date Received]],"MMMM YYYY"))</f>
        <v>#VALUE!</v>
      </c>
      <c r="Y883" s="4" t="e">
        <f>INT(DbLinkTable[[#This Row],[Date Received]])</f>
        <v>#VALUE!</v>
      </c>
    </row>
    <row r="884" spans="5:25">
      <c r="E884"/>
      <c r="G884"/>
      <c r="H884"/>
      <c r="I884"/>
      <c r="K884"/>
      <c r="O884"/>
      <c r="R884"/>
      <c r="S884" s="79" t="e">
        <f>DbLinkTable[[#This Row],[Credit]]+DbLinkTable[[#This Row],[Charge]]</f>
        <v>#VALUE!</v>
      </c>
      <c r="T884" s="79" t="e">
        <f>IF(DbLinkTable[[#This Row],[Price/lb]]*DbLinkTable[[#This Row],[Weight]]&gt;0,DbLinkTable[[#This Row],[Price/lb]]*DbLinkTable[[#This Row],[Weight]],0)</f>
        <v>#VALUE!</v>
      </c>
      <c r="U884" s="79" t="e">
        <f>IF(DbLinkTable[[#This Row],[Price/lb]]*DbLinkTable[[#This Row],[Weight]]&lt;0,DbLinkTable[[#This Row],[Price/lb]]*DbLinkTable[[#This Row],[Weight]],0)</f>
        <v>#VALUE!</v>
      </c>
      <c r="V884" s="4" t="str">
        <f>IF(COUNTIF($W$2:W884,W884)=1,1,"")</f>
        <v/>
      </c>
      <c r="W884" s="4" t="e">
        <f>CONCATENATE(DbLinkTable[[#This Row],[Customer]],UPPER(DbLinkTable[[#This Row],[Trailer Number]]),DbLinkTable[[#This Row],[Day Received]])</f>
        <v>#VALUE!</v>
      </c>
      <c r="X884" s="4" t="e">
        <f>DATEVALUE(TEXT(DbLinkTable[[#This Row],[Date Received]],"MMMM YYYY"))</f>
        <v>#VALUE!</v>
      </c>
      <c r="Y884" s="4" t="e">
        <f>INT(DbLinkTable[[#This Row],[Date Received]])</f>
        <v>#VALUE!</v>
      </c>
    </row>
    <row r="885" spans="5:25">
      <c r="E885"/>
      <c r="G885"/>
      <c r="H885"/>
      <c r="I885"/>
      <c r="K885"/>
      <c r="O885"/>
      <c r="R885"/>
      <c r="S885" s="79" t="e">
        <f>DbLinkTable[[#This Row],[Credit]]+DbLinkTable[[#This Row],[Charge]]</f>
        <v>#VALUE!</v>
      </c>
      <c r="T885" s="79" t="e">
        <f>IF(DbLinkTable[[#This Row],[Price/lb]]*DbLinkTable[[#This Row],[Weight]]&gt;0,DbLinkTable[[#This Row],[Price/lb]]*DbLinkTable[[#This Row],[Weight]],0)</f>
        <v>#VALUE!</v>
      </c>
      <c r="U885" s="79" t="e">
        <f>IF(DbLinkTable[[#This Row],[Price/lb]]*DbLinkTable[[#This Row],[Weight]]&lt;0,DbLinkTable[[#This Row],[Price/lb]]*DbLinkTable[[#This Row],[Weight]],0)</f>
        <v>#VALUE!</v>
      </c>
      <c r="V885" s="4" t="str">
        <f>IF(COUNTIF($W$2:W885,W885)=1,1,"")</f>
        <v/>
      </c>
      <c r="W885" s="4" t="e">
        <f>CONCATENATE(DbLinkTable[[#This Row],[Customer]],UPPER(DbLinkTable[[#This Row],[Trailer Number]]),DbLinkTable[[#This Row],[Day Received]])</f>
        <v>#VALUE!</v>
      </c>
      <c r="X885" s="4" t="e">
        <f>DATEVALUE(TEXT(DbLinkTable[[#This Row],[Date Received]],"MMMM YYYY"))</f>
        <v>#VALUE!</v>
      </c>
      <c r="Y885" s="4" t="e">
        <f>INT(DbLinkTable[[#This Row],[Date Received]])</f>
        <v>#VALUE!</v>
      </c>
    </row>
    <row r="886" spans="5:25">
      <c r="E886"/>
      <c r="G886"/>
      <c r="H886"/>
      <c r="I886"/>
      <c r="K886"/>
      <c r="O886"/>
      <c r="R886"/>
      <c r="S886" s="79" t="e">
        <f>DbLinkTable[[#This Row],[Credit]]+DbLinkTable[[#This Row],[Charge]]</f>
        <v>#VALUE!</v>
      </c>
      <c r="T886" s="79" t="e">
        <f>IF(DbLinkTable[[#This Row],[Price/lb]]*DbLinkTable[[#This Row],[Weight]]&gt;0,DbLinkTable[[#This Row],[Price/lb]]*DbLinkTable[[#This Row],[Weight]],0)</f>
        <v>#VALUE!</v>
      </c>
      <c r="U886" s="79" t="e">
        <f>IF(DbLinkTable[[#This Row],[Price/lb]]*DbLinkTable[[#This Row],[Weight]]&lt;0,DbLinkTable[[#This Row],[Price/lb]]*DbLinkTable[[#This Row],[Weight]],0)</f>
        <v>#VALUE!</v>
      </c>
      <c r="V886" s="4" t="str">
        <f>IF(COUNTIF($W$2:W886,W886)=1,1,"")</f>
        <v/>
      </c>
      <c r="W886" s="4" t="e">
        <f>CONCATENATE(DbLinkTable[[#This Row],[Customer]],UPPER(DbLinkTable[[#This Row],[Trailer Number]]),DbLinkTable[[#This Row],[Day Received]])</f>
        <v>#VALUE!</v>
      </c>
      <c r="X886" s="4" t="e">
        <f>DATEVALUE(TEXT(DbLinkTable[[#This Row],[Date Received]],"MMMM YYYY"))</f>
        <v>#VALUE!</v>
      </c>
      <c r="Y886" s="4" t="e">
        <f>INT(DbLinkTable[[#This Row],[Date Received]])</f>
        <v>#VALUE!</v>
      </c>
    </row>
    <row r="887" spans="5:25">
      <c r="E887"/>
      <c r="G887"/>
      <c r="H887"/>
      <c r="I887"/>
      <c r="K887"/>
      <c r="O887"/>
      <c r="R887"/>
      <c r="S887" s="79" t="e">
        <f>DbLinkTable[[#This Row],[Credit]]+DbLinkTable[[#This Row],[Charge]]</f>
        <v>#VALUE!</v>
      </c>
      <c r="T887" s="79" t="e">
        <f>IF(DbLinkTable[[#This Row],[Price/lb]]*DbLinkTable[[#This Row],[Weight]]&gt;0,DbLinkTable[[#This Row],[Price/lb]]*DbLinkTable[[#This Row],[Weight]],0)</f>
        <v>#VALUE!</v>
      </c>
      <c r="U887" s="79" t="e">
        <f>IF(DbLinkTable[[#This Row],[Price/lb]]*DbLinkTable[[#This Row],[Weight]]&lt;0,DbLinkTable[[#This Row],[Price/lb]]*DbLinkTable[[#This Row],[Weight]],0)</f>
        <v>#VALUE!</v>
      </c>
      <c r="V887" s="4" t="str">
        <f>IF(COUNTIF($W$2:W887,W887)=1,1,"")</f>
        <v/>
      </c>
      <c r="W887" s="4" t="e">
        <f>CONCATENATE(DbLinkTable[[#This Row],[Customer]],UPPER(DbLinkTable[[#This Row],[Trailer Number]]),DbLinkTable[[#This Row],[Day Received]])</f>
        <v>#VALUE!</v>
      </c>
      <c r="X887" s="4" t="e">
        <f>DATEVALUE(TEXT(DbLinkTable[[#This Row],[Date Received]],"MMMM YYYY"))</f>
        <v>#VALUE!</v>
      </c>
      <c r="Y887" s="4" t="e">
        <f>INT(DbLinkTable[[#This Row],[Date Received]])</f>
        <v>#VALUE!</v>
      </c>
    </row>
    <row r="888" spans="5:25">
      <c r="E888"/>
      <c r="G888"/>
      <c r="H888"/>
      <c r="I888"/>
      <c r="K888"/>
      <c r="O888"/>
      <c r="R888"/>
      <c r="S888" s="79" t="e">
        <f>DbLinkTable[[#This Row],[Credit]]+DbLinkTable[[#This Row],[Charge]]</f>
        <v>#VALUE!</v>
      </c>
      <c r="T888" s="79" t="e">
        <f>IF(DbLinkTable[[#This Row],[Price/lb]]*DbLinkTable[[#This Row],[Weight]]&gt;0,DbLinkTable[[#This Row],[Price/lb]]*DbLinkTable[[#This Row],[Weight]],0)</f>
        <v>#VALUE!</v>
      </c>
      <c r="U888" s="79" t="e">
        <f>IF(DbLinkTable[[#This Row],[Price/lb]]*DbLinkTable[[#This Row],[Weight]]&lt;0,DbLinkTable[[#This Row],[Price/lb]]*DbLinkTable[[#This Row],[Weight]],0)</f>
        <v>#VALUE!</v>
      </c>
      <c r="V888" s="4" t="str">
        <f>IF(COUNTIF($W$2:W888,W888)=1,1,"")</f>
        <v/>
      </c>
      <c r="W888" s="4" t="e">
        <f>CONCATENATE(DbLinkTable[[#This Row],[Customer]],UPPER(DbLinkTable[[#This Row],[Trailer Number]]),DbLinkTable[[#This Row],[Day Received]])</f>
        <v>#VALUE!</v>
      </c>
      <c r="X888" s="4" t="e">
        <f>DATEVALUE(TEXT(DbLinkTable[[#This Row],[Date Received]],"MMMM YYYY"))</f>
        <v>#VALUE!</v>
      </c>
      <c r="Y888" s="4" t="e">
        <f>INT(DbLinkTable[[#This Row],[Date Received]])</f>
        <v>#VALUE!</v>
      </c>
    </row>
    <row r="889" spans="5:25">
      <c r="E889"/>
      <c r="G889"/>
      <c r="H889"/>
      <c r="I889"/>
      <c r="K889"/>
      <c r="O889"/>
      <c r="R889"/>
      <c r="S889" s="79" t="e">
        <f>DbLinkTable[[#This Row],[Credit]]+DbLinkTable[[#This Row],[Charge]]</f>
        <v>#VALUE!</v>
      </c>
      <c r="T889" s="79" t="e">
        <f>IF(DbLinkTable[[#This Row],[Price/lb]]*DbLinkTable[[#This Row],[Weight]]&gt;0,DbLinkTable[[#This Row],[Price/lb]]*DbLinkTable[[#This Row],[Weight]],0)</f>
        <v>#VALUE!</v>
      </c>
      <c r="U889" s="79" t="e">
        <f>IF(DbLinkTable[[#This Row],[Price/lb]]*DbLinkTable[[#This Row],[Weight]]&lt;0,DbLinkTable[[#This Row],[Price/lb]]*DbLinkTable[[#This Row],[Weight]],0)</f>
        <v>#VALUE!</v>
      </c>
      <c r="V889" s="4" t="str">
        <f>IF(COUNTIF($W$2:W889,W889)=1,1,"")</f>
        <v/>
      </c>
      <c r="W889" s="4" t="e">
        <f>CONCATENATE(DbLinkTable[[#This Row],[Customer]],UPPER(DbLinkTable[[#This Row],[Trailer Number]]),DbLinkTable[[#This Row],[Day Received]])</f>
        <v>#VALUE!</v>
      </c>
      <c r="X889" s="4" t="e">
        <f>DATEVALUE(TEXT(DbLinkTable[[#This Row],[Date Received]],"MMMM YYYY"))</f>
        <v>#VALUE!</v>
      </c>
      <c r="Y889" s="4" t="e">
        <f>INT(DbLinkTable[[#This Row],[Date Received]])</f>
        <v>#VALUE!</v>
      </c>
    </row>
    <row r="890" spans="5:25">
      <c r="E890"/>
      <c r="G890"/>
      <c r="H890"/>
      <c r="I890"/>
      <c r="K890"/>
      <c r="O890"/>
      <c r="R890"/>
      <c r="S890" s="79" t="e">
        <f>DbLinkTable[[#This Row],[Credit]]+DbLinkTable[[#This Row],[Charge]]</f>
        <v>#VALUE!</v>
      </c>
      <c r="T890" s="79" t="e">
        <f>IF(DbLinkTable[[#This Row],[Price/lb]]*DbLinkTable[[#This Row],[Weight]]&gt;0,DbLinkTable[[#This Row],[Price/lb]]*DbLinkTable[[#This Row],[Weight]],0)</f>
        <v>#VALUE!</v>
      </c>
      <c r="U890" s="79" t="e">
        <f>IF(DbLinkTable[[#This Row],[Price/lb]]*DbLinkTable[[#This Row],[Weight]]&lt;0,DbLinkTable[[#This Row],[Price/lb]]*DbLinkTable[[#This Row],[Weight]],0)</f>
        <v>#VALUE!</v>
      </c>
      <c r="V890" s="4" t="str">
        <f>IF(COUNTIF($W$2:W890,W890)=1,1,"")</f>
        <v/>
      </c>
      <c r="W890" s="4" t="e">
        <f>CONCATENATE(DbLinkTable[[#This Row],[Customer]],UPPER(DbLinkTable[[#This Row],[Trailer Number]]),DbLinkTable[[#This Row],[Day Received]])</f>
        <v>#VALUE!</v>
      </c>
      <c r="X890" s="4" t="e">
        <f>DATEVALUE(TEXT(DbLinkTable[[#This Row],[Date Received]],"MMMM YYYY"))</f>
        <v>#VALUE!</v>
      </c>
      <c r="Y890" s="4" t="e">
        <f>INT(DbLinkTable[[#This Row],[Date Received]])</f>
        <v>#VALUE!</v>
      </c>
    </row>
    <row r="891" spans="5:25">
      <c r="E891"/>
      <c r="G891"/>
      <c r="H891"/>
      <c r="I891"/>
      <c r="K891"/>
      <c r="O891"/>
      <c r="R891"/>
      <c r="S891" s="79" t="e">
        <f>DbLinkTable[[#This Row],[Credit]]+DbLinkTable[[#This Row],[Charge]]</f>
        <v>#VALUE!</v>
      </c>
      <c r="T891" s="79" t="e">
        <f>IF(DbLinkTable[[#This Row],[Price/lb]]*DbLinkTable[[#This Row],[Weight]]&gt;0,DbLinkTable[[#This Row],[Price/lb]]*DbLinkTable[[#This Row],[Weight]],0)</f>
        <v>#VALUE!</v>
      </c>
      <c r="U891" s="79" t="e">
        <f>IF(DbLinkTable[[#This Row],[Price/lb]]*DbLinkTable[[#This Row],[Weight]]&lt;0,DbLinkTable[[#This Row],[Price/lb]]*DbLinkTable[[#This Row],[Weight]],0)</f>
        <v>#VALUE!</v>
      </c>
      <c r="V891" s="4" t="str">
        <f>IF(COUNTIF($W$2:W891,W891)=1,1,"")</f>
        <v/>
      </c>
      <c r="W891" s="4" t="e">
        <f>CONCATENATE(DbLinkTable[[#This Row],[Customer]],UPPER(DbLinkTable[[#This Row],[Trailer Number]]),DbLinkTable[[#This Row],[Day Received]])</f>
        <v>#VALUE!</v>
      </c>
      <c r="X891" s="4" t="e">
        <f>DATEVALUE(TEXT(DbLinkTable[[#This Row],[Date Received]],"MMMM YYYY"))</f>
        <v>#VALUE!</v>
      </c>
      <c r="Y891" s="4" t="e">
        <f>INT(DbLinkTable[[#This Row],[Date Received]])</f>
        <v>#VALUE!</v>
      </c>
    </row>
    <row r="892" spans="5:25">
      <c r="E892"/>
      <c r="G892"/>
      <c r="H892"/>
      <c r="I892"/>
      <c r="K892"/>
      <c r="O892"/>
      <c r="R892"/>
      <c r="S892" s="79" t="e">
        <f>DbLinkTable[[#This Row],[Credit]]+DbLinkTable[[#This Row],[Charge]]</f>
        <v>#VALUE!</v>
      </c>
      <c r="T892" s="79" t="e">
        <f>IF(DbLinkTable[[#This Row],[Price/lb]]*DbLinkTable[[#This Row],[Weight]]&gt;0,DbLinkTable[[#This Row],[Price/lb]]*DbLinkTable[[#This Row],[Weight]],0)</f>
        <v>#VALUE!</v>
      </c>
      <c r="U892" s="79" t="e">
        <f>IF(DbLinkTable[[#This Row],[Price/lb]]*DbLinkTable[[#This Row],[Weight]]&lt;0,DbLinkTable[[#This Row],[Price/lb]]*DbLinkTable[[#This Row],[Weight]],0)</f>
        <v>#VALUE!</v>
      </c>
      <c r="V892" s="4" t="str">
        <f>IF(COUNTIF($W$2:W892,W892)=1,1,"")</f>
        <v/>
      </c>
      <c r="W892" s="4" t="e">
        <f>CONCATENATE(DbLinkTable[[#This Row],[Customer]],UPPER(DbLinkTable[[#This Row],[Trailer Number]]),DbLinkTable[[#This Row],[Day Received]])</f>
        <v>#VALUE!</v>
      </c>
      <c r="X892" s="4" t="e">
        <f>DATEVALUE(TEXT(DbLinkTable[[#This Row],[Date Received]],"MMMM YYYY"))</f>
        <v>#VALUE!</v>
      </c>
      <c r="Y892" s="4" t="e">
        <f>INT(DbLinkTable[[#This Row],[Date Received]])</f>
        <v>#VALUE!</v>
      </c>
    </row>
    <row r="893" spans="5:25">
      <c r="E893"/>
      <c r="G893"/>
      <c r="H893"/>
      <c r="I893"/>
      <c r="K893"/>
      <c r="O893"/>
      <c r="R893"/>
      <c r="S893" s="79" t="e">
        <f>DbLinkTable[[#This Row],[Credit]]+DbLinkTable[[#This Row],[Charge]]</f>
        <v>#VALUE!</v>
      </c>
      <c r="T893" s="79" t="e">
        <f>IF(DbLinkTable[[#This Row],[Price/lb]]*DbLinkTable[[#This Row],[Weight]]&gt;0,DbLinkTable[[#This Row],[Price/lb]]*DbLinkTable[[#This Row],[Weight]],0)</f>
        <v>#VALUE!</v>
      </c>
      <c r="U893" s="79" t="e">
        <f>IF(DbLinkTable[[#This Row],[Price/lb]]*DbLinkTable[[#This Row],[Weight]]&lt;0,DbLinkTable[[#This Row],[Price/lb]]*DbLinkTable[[#This Row],[Weight]],0)</f>
        <v>#VALUE!</v>
      </c>
      <c r="V893" s="4" t="str">
        <f>IF(COUNTIF($W$2:W893,W893)=1,1,"")</f>
        <v/>
      </c>
      <c r="W893" s="4" t="e">
        <f>CONCATENATE(DbLinkTable[[#This Row],[Customer]],UPPER(DbLinkTable[[#This Row],[Trailer Number]]),DbLinkTable[[#This Row],[Day Received]])</f>
        <v>#VALUE!</v>
      </c>
      <c r="X893" s="4" t="e">
        <f>DATEVALUE(TEXT(DbLinkTable[[#This Row],[Date Received]],"MMMM YYYY"))</f>
        <v>#VALUE!</v>
      </c>
      <c r="Y893" s="4" t="e">
        <f>INT(DbLinkTable[[#This Row],[Date Received]])</f>
        <v>#VALUE!</v>
      </c>
    </row>
    <row r="894" spans="5:25">
      <c r="E894"/>
      <c r="G894"/>
      <c r="H894"/>
      <c r="I894"/>
      <c r="K894"/>
      <c r="O894"/>
      <c r="R894"/>
      <c r="S894" s="79" t="e">
        <f>DbLinkTable[[#This Row],[Credit]]+DbLinkTable[[#This Row],[Charge]]</f>
        <v>#VALUE!</v>
      </c>
      <c r="T894" s="79" t="e">
        <f>IF(DbLinkTable[[#This Row],[Price/lb]]*DbLinkTable[[#This Row],[Weight]]&gt;0,DbLinkTable[[#This Row],[Price/lb]]*DbLinkTable[[#This Row],[Weight]],0)</f>
        <v>#VALUE!</v>
      </c>
      <c r="U894" s="79" t="e">
        <f>IF(DbLinkTable[[#This Row],[Price/lb]]*DbLinkTable[[#This Row],[Weight]]&lt;0,DbLinkTable[[#This Row],[Price/lb]]*DbLinkTable[[#This Row],[Weight]],0)</f>
        <v>#VALUE!</v>
      </c>
      <c r="V894" s="4" t="str">
        <f>IF(COUNTIF($W$2:W894,W894)=1,1,"")</f>
        <v/>
      </c>
      <c r="W894" s="4" t="e">
        <f>CONCATENATE(DbLinkTable[[#This Row],[Customer]],UPPER(DbLinkTable[[#This Row],[Trailer Number]]),DbLinkTable[[#This Row],[Day Received]])</f>
        <v>#VALUE!</v>
      </c>
      <c r="X894" s="4" t="e">
        <f>DATEVALUE(TEXT(DbLinkTable[[#This Row],[Date Received]],"MMMM YYYY"))</f>
        <v>#VALUE!</v>
      </c>
      <c r="Y894" s="4" t="e">
        <f>INT(DbLinkTable[[#This Row],[Date Received]])</f>
        <v>#VALUE!</v>
      </c>
    </row>
    <row r="895" spans="5:25">
      <c r="E895"/>
      <c r="G895"/>
      <c r="H895"/>
      <c r="I895"/>
      <c r="K895"/>
      <c r="O895"/>
      <c r="R895"/>
      <c r="S895" s="79" t="e">
        <f>DbLinkTable[[#This Row],[Credit]]+DbLinkTable[[#This Row],[Charge]]</f>
        <v>#VALUE!</v>
      </c>
      <c r="T895" s="79" t="e">
        <f>IF(DbLinkTable[[#This Row],[Price/lb]]*DbLinkTable[[#This Row],[Weight]]&gt;0,DbLinkTable[[#This Row],[Price/lb]]*DbLinkTable[[#This Row],[Weight]],0)</f>
        <v>#VALUE!</v>
      </c>
      <c r="U895" s="79" t="e">
        <f>IF(DbLinkTable[[#This Row],[Price/lb]]*DbLinkTable[[#This Row],[Weight]]&lt;0,DbLinkTable[[#This Row],[Price/lb]]*DbLinkTable[[#This Row],[Weight]],0)</f>
        <v>#VALUE!</v>
      </c>
      <c r="V895" s="4" t="str">
        <f>IF(COUNTIF($W$2:W895,W895)=1,1,"")</f>
        <v/>
      </c>
      <c r="W895" s="4" t="e">
        <f>CONCATENATE(DbLinkTable[[#This Row],[Customer]],UPPER(DbLinkTable[[#This Row],[Trailer Number]]),DbLinkTable[[#This Row],[Day Received]])</f>
        <v>#VALUE!</v>
      </c>
      <c r="X895" s="4" t="e">
        <f>DATEVALUE(TEXT(DbLinkTable[[#This Row],[Date Received]],"MMMM YYYY"))</f>
        <v>#VALUE!</v>
      </c>
      <c r="Y895" s="4" t="e">
        <f>INT(DbLinkTable[[#This Row],[Date Received]])</f>
        <v>#VALUE!</v>
      </c>
    </row>
    <row r="896" spans="5:25">
      <c r="E896"/>
      <c r="G896"/>
      <c r="H896"/>
      <c r="I896"/>
      <c r="K896"/>
      <c r="O896"/>
      <c r="R896"/>
      <c r="S896" s="79" t="e">
        <f>DbLinkTable[[#This Row],[Credit]]+DbLinkTable[[#This Row],[Charge]]</f>
        <v>#VALUE!</v>
      </c>
      <c r="T896" s="79" t="e">
        <f>IF(DbLinkTable[[#This Row],[Price/lb]]*DbLinkTable[[#This Row],[Weight]]&gt;0,DbLinkTable[[#This Row],[Price/lb]]*DbLinkTable[[#This Row],[Weight]],0)</f>
        <v>#VALUE!</v>
      </c>
      <c r="U896" s="79" t="e">
        <f>IF(DbLinkTable[[#This Row],[Price/lb]]*DbLinkTable[[#This Row],[Weight]]&lt;0,DbLinkTable[[#This Row],[Price/lb]]*DbLinkTable[[#This Row],[Weight]],0)</f>
        <v>#VALUE!</v>
      </c>
      <c r="V896" s="4" t="str">
        <f>IF(COUNTIF($W$2:W896,W896)=1,1,"")</f>
        <v/>
      </c>
      <c r="W896" s="4" t="e">
        <f>CONCATENATE(DbLinkTable[[#This Row],[Customer]],UPPER(DbLinkTable[[#This Row],[Trailer Number]]),DbLinkTable[[#This Row],[Day Received]])</f>
        <v>#VALUE!</v>
      </c>
      <c r="X896" s="4" t="e">
        <f>DATEVALUE(TEXT(DbLinkTable[[#This Row],[Date Received]],"MMMM YYYY"))</f>
        <v>#VALUE!</v>
      </c>
      <c r="Y896" s="4" t="e">
        <f>INT(DbLinkTable[[#This Row],[Date Received]])</f>
        <v>#VALUE!</v>
      </c>
    </row>
    <row r="897" spans="5:25">
      <c r="E897"/>
      <c r="G897"/>
      <c r="H897"/>
      <c r="I897"/>
      <c r="K897"/>
      <c r="O897"/>
      <c r="R897"/>
      <c r="S897" s="79" t="e">
        <f>DbLinkTable[[#This Row],[Credit]]+DbLinkTable[[#This Row],[Charge]]</f>
        <v>#VALUE!</v>
      </c>
      <c r="T897" s="79" t="e">
        <f>IF(DbLinkTable[[#This Row],[Price/lb]]*DbLinkTable[[#This Row],[Weight]]&gt;0,DbLinkTable[[#This Row],[Price/lb]]*DbLinkTable[[#This Row],[Weight]],0)</f>
        <v>#VALUE!</v>
      </c>
      <c r="U897" s="79" t="e">
        <f>IF(DbLinkTable[[#This Row],[Price/lb]]*DbLinkTable[[#This Row],[Weight]]&lt;0,DbLinkTable[[#This Row],[Price/lb]]*DbLinkTable[[#This Row],[Weight]],0)</f>
        <v>#VALUE!</v>
      </c>
      <c r="V897" s="4" t="str">
        <f>IF(COUNTIF($W$2:W897,W897)=1,1,"")</f>
        <v/>
      </c>
      <c r="W897" s="4" t="e">
        <f>CONCATENATE(DbLinkTable[[#This Row],[Customer]],UPPER(DbLinkTable[[#This Row],[Trailer Number]]),DbLinkTable[[#This Row],[Day Received]])</f>
        <v>#VALUE!</v>
      </c>
      <c r="X897" s="4" t="e">
        <f>DATEVALUE(TEXT(DbLinkTable[[#This Row],[Date Received]],"MMMM YYYY"))</f>
        <v>#VALUE!</v>
      </c>
      <c r="Y897" s="4" t="e">
        <f>INT(DbLinkTable[[#This Row],[Date Received]])</f>
        <v>#VALUE!</v>
      </c>
    </row>
    <row r="898" spans="5:25">
      <c r="E898"/>
      <c r="G898"/>
      <c r="H898"/>
      <c r="I898"/>
      <c r="K898"/>
      <c r="O898"/>
      <c r="R898"/>
      <c r="S898" s="79" t="e">
        <f>DbLinkTable[[#This Row],[Credit]]+DbLinkTable[[#This Row],[Charge]]</f>
        <v>#VALUE!</v>
      </c>
      <c r="T898" s="79" t="e">
        <f>IF(DbLinkTable[[#This Row],[Price/lb]]*DbLinkTable[[#This Row],[Weight]]&gt;0,DbLinkTable[[#This Row],[Price/lb]]*DbLinkTable[[#This Row],[Weight]],0)</f>
        <v>#VALUE!</v>
      </c>
      <c r="U898" s="79" t="e">
        <f>IF(DbLinkTable[[#This Row],[Price/lb]]*DbLinkTable[[#This Row],[Weight]]&lt;0,DbLinkTable[[#This Row],[Price/lb]]*DbLinkTable[[#This Row],[Weight]],0)</f>
        <v>#VALUE!</v>
      </c>
      <c r="V898" s="4" t="str">
        <f>IF(COUNTIF($W$2:W898,W898)=1,1,"")</f>
        <v/>
      </c>
      <c r="W898" s="4" t="e">
        <f>CONCATENATE(DbLinkTable[[#This Row],[Customer]],UPPER(DbLinkTable[[#This Row],[Trailer Number]]),DbLinkTable[[#This Row],[Day Received]])</f>
        <v>#VALUE!</v>
      </c>
      <c r="X898" s="4" t="e">
        <f>DATEVALUE(TEXT(DbLinkTable[[#This Row],[Date Received]],"MMMM YYYY"))</f>
        <v>#VALUE!</v>
      </c>
      <c r="Y898" s="4" t="e">
        <f>INT(DbLinkTable[[#This Row],[Date Received]])</f>
        <v>#VALUE!</v>
      </c>
    </row>
    <row r="899" spans="5:25">
      <c r="E899"/>
      <c r="G899"/>
      <c r="H899"/>
      <c r="I899"/>
      <c r="K899"/>
      <c r="O899"/>
      <c r="R899"/>
      <c r="S899" s="79" t="e">
        <f>DbLinkTable[[#This Row],[Credit]]+DbLinkTable[[#This Row],[Charge]]</f>
        <v>#VALUE!</v>
      </c>
      <c r="T899" s="79" t="e">
        <f>IF(DbLinkTable[[#This Row],[Price/lb]]*DbLinkTable[[#This Row],[Weight]]&gt;0,DbLinkTable[[#This Row],[Price/lb]]*DbLinkTable[[#This Row],[Weight]],0)</f>
        <v>#VALUE!</v>
      </c>
      <c r="U899" s="79" t="e">
        <f>IF(DbLinkTable[[#This Row],[Price/lb]]*DbLinkTable[[#This Row],[Weight]]&lt;0,DbLinkTable[[#This Row],[Price/lb]]*DbLinkTable[[#This Row],[Weight]],0)</f>
        <v>#VALUE!</v>
      </c>
      <c r="V899" s="4" t="str">
        <f>IF(COUNTIF($W$2:W899,W899)=1,1,"")</f>
        <v/>
      </c>
      <c r="W899" s="4" t="e">
        <f>CONCATENATE(DbLinkTable[[#This Row],[Customer]],UPPER(DbLinkTable[[#This Row],[Trailer Number]]),DbLinkTable[[#This Row],[Day Received]])</f>
        <v>#VALUE!</v>
      </c>
      <c r="X899" s="4" t="e">
        <f>DATEVALUE(TEXT(DbLinkTable[[#This Row],[Date Received]],"MMMM YYYY"))</f>
        <v>#VALUE!</v>
      </c>
      <c r="Y899" s="4" t="e">
        <f>INT(DbLinkTable[[#This Row],[Date Received]])</f>
        <v>#VALUE!</v>
      </c>
    </row>
    <row r="900" spans="5:25">
      <c r="E900"/>
      <c r="G900"/>
      <c r="H900"/>
      <c r="I900"/>
      <c r="K900"/>
      <c r="O900"/>
      <c r="R900"/>
      <c r="S900" s="79" t="e">
        <f>DbLinkTable[[#This Row],[Credit]]+DbLinkTable[[#This Row],[Charge]]</f>
        <v>#VALUE!</v>
      </c>
      <c r="T900" s="79" t="e">
        <f>IF(DbLinkTable[[#This Row],[Price/lb]]*DbLinkTable[[#This Row],[Weight]]&gt;0,DbLinkTable[[#This Row],[Price/lb]]*DbLinkTable[[#This Row],[Weight]],0)</f>
        <v>#VALUE!</v>
      </c>
      <c r="U900" s="79" t="e">
        <f>IF(DbLinkTable[[#This Row],[Price/lb]]*DbLinkTable[[#This Row],[Weight]]&lt;0,DbLinkTable[[#This Row],[Price/lb]]*DbLinkTable[[#This Row],[Weight]],0)</f>
        <v>#VALUE!</v>
      </c>
      <c r="V900" s="4" t="str">
        <f>IF(COUNTIF($W$2:W900,W900)=1,1,"")</f>
        <v/>
      </c>
      <c r="W900" s="4" t="e">
        <f>CONCATENATE(DbLinkTable[[#This Row],[Customer]],UPPER(DbLinkTable[[#This Row],[Trailer Number]]),DbLinkTable[[#This Row],[Day Received]])</f>
        <v>#VALUE!</v>
      </c>
      <c r="X900" s="4" t="e">
        <f>DATEVALUE(TEXT(DbLinkTable[[#This Row],[Date Received]],"MMMM YYYY"))</f>
        <v>#VALUE!</v>
      </c>
      <c r="Y900" s="4" t="e">
        <f>INT(DbLinkTable[[#This Row],[Date Received]])</f>
        <v>#VALUE!</v>
      </c>
    </row>
    <row r="901" spans="5:25">
      <c r="E901"/>
      <c r="G901"/>
      <c r="H901"/>
      <c r="I901"/>
      <c r="K901"/>
      <c r="O901"/>
      <c r="R901"/>
      <c r="S901" s="79" t="e">
        <f>DbLinkTable[[#This Row],[Credit]]+DbLinkTable[[#This Row],[Charge]]</f>
        <v>#VALUE!</v>
      </c>
      <c r="T901" s="79" t="e">
        <f>IF(DbLinkTable[[#This Row],[Price/lb]]*DbLinkTable[[#This Row],[Weight]]&gt;0,DbLinkTable[[#This Row],[Price/lb]]*DbLinkTable[[#This Row],[Weight]],0)</f>
        <v>#VALUE!</v>
      </c>
      <c r="U901" s="79" t="e">
        <f>IF(DbLinkTable[[#This Row],[Price/lb]]*DbLinkTable[[#This Row],[Weight]]&lt;0,DbLinkTable[[#This Row],[Price/lb]]*DbLinkTable[[#This Row],[Weight]],0)</f>
        <v>#VALUE!</v>
      </c>
      <c r="V901" s="4" t="str">
        <f>IF(COUNTIF($W$2:W901,W901)=1,1,"")</f>
        <v/>
      </c>
      <c r="W901" s="4" t="e">
        <f>CONCATENATE(DbLinkTable[[#This Row],[Customer]],UPPER(DbLinkTable[[#This Row],[Trailer Number]]),DbLinkTable[[#This Row],[Day Received]])</f>
        <v>#VALUE!</v>
      </c>
      <c r="X901" s="4" t="e">
        <f>DATEVALUE(TEXT(DbLinkTable[[#This Row],[Date Received]],"MMMM YYYY"))</f>
        <v>#VALUE!</v>
      </c>
      <c r="Y901" s="4" t="e">
        <f>INT(DbLinkTable[[#This Row],[Date Received]])</f>
        <v>#VALUE!</v>
      </c>
    </row>
    <row r="902" spans="5:25">
      <c r="E902"/>
      <c r="G902"/>
      <c r="H902"/>
      <c r="I902"/>
      <c r="K902"/>
      <c r="O902"/>
      <c r="R902"/>
      <c r="S902" s="79" t="e">
        <f>DbLinkTable[[#This Row],[Credit]]+DbLinkTable[[#This Row],[Charge]]</f>
        <v>#VALUE!</v>
      </c>
      <c r="T902" s="79" t="e">
        <f>IF(DbLinkTable[[#This Row],[Price/lb]]*DbLinkTable[[#This Row],[Weight]]&gt;0,DbLinkTable[[#This Row],[Price/lb]]*DbLinkTable[[#This Row],[Weight]],0)</f>
        <v>#VALUE!</v>
      </c>
      <c r="U902" s="79" t="e">
        <f>IF(DbLinkTable[[#This Row],[Price/lb]]*DbLinkTable[[#This Row],[Weight]]&lt;0,DbLinkTable[[#This Row],[Price/lb]]*DbLinkTable[[#This Row],[Weight]],0)</f>
        <v>#VALUE!</v>
      </c>
      <c r="V902" s="4" t="str">
        <f>IF(COUNTIF($W$2:W902,W902)=1,1,"")</f>
        <v/>
      </c>
      <c r="W902" s="4" t="e">
        <f>CONCATENATE(DbLinkTable[[#This Row],[Customer]],UPPER(DbLinkTable[[#This Row],[Trailer Number]]),DbLinkTable[[#This Row],[Day Received]])</f>
        <v>#VALUE!</v>
      </c>
      <c r="X902" s="4" t="e">
        <f>DATEVALUE(TEXT(DbLinkTable[[#This Row],[Date Received]],"MMMM YYYY"))</f>
        <v>#VALUE!</v>
      </c>
      <c r="Y902" s="4" t="e">
        <f>INT(DbLinkTable[[#This Row],[Date Received]])</f>
        <v>#VALUE!</v>
      </c>
    </row>
    <row r="903" spans="5:25">
      <c r="E903"/>
      <c r="G903"/>
      <c r="H903"/>
      <c r="I903"/>
      <c r="K903"/>
      <c r="O903"/>
      <c r="R903"/>
      <c r="S903" s="79" t="e">
        <f>DbLinkTable[[#This Row],[Credit]]+DbLinkTable[[#This Row],[Charge]]</f>
        <v>#VALUE!</v>
      </c>
      <c r="T903" s="79" t="e">
        <f>IF(DbLinkTable[[#This Row],[Price/lb]]*DbLinkTable[[#This Row],[Weight]]&gt;0,DbLinkTable[[#This Row],[Price/lb]]*DbLinkTable[[#This Row],[Weight]],0)</f>
        <v>#VALUE!</v>
      </c>
      <c r="U903" s="79" t="e">
        <f>IF(DbLinkTable[[#This Row],[Price/lb]]*DbLinkTable[[#This Row],[Weight]]&lt;0,DbLinkTable[[#This Row],[Price/lb]]*DbLinkTable[[#This Row],[Weight]],0)</f>
        <v>#VALUE!</v>
      </c>
      <c r="V903" s="4" t="str">
        <f>IF(COUNTIF($W$2:W903,W903)=1,1,"")</f>
        <v/>
      </c>
      <c r="W903" s="4" t="e">
        <f>CONCATENATE(DbLinkTable[[#This Row],[Customer]],UPPER(DbLinkTable[[#This Row],[Trailer Number]]),DbLinkTable[[#This Row],[Day Received]])</f>
        <v>#VALUE!</v>
      </c>
      <c r="X903" s="4" t="e">
        <f>DATEVALUE(TEXT(DbLinkTable[[#This Row],[Date Received]],"MMMM YYYY"))</f>
        <v>#VALUE!</v>
      </c>
      <c r="Y903" s="4" t="e">
        <f>INT(DbLinkTable[[#This Row],[Date Received]])</f>
        <v>#VALUE!</v>
      </c>
    </row>
    <row r="904" spans="5:25">
      <c r="E904"/>
      <c r="G904"/>
      <c r="H904"/>
      <c r="I904"/>
      <c r="K904"/>
      <c r="O904"/>
      <c r="R904"/>
      <c r="S904" s="79" t="e">
        <f>DbLinkTable[[#This Row],[Credit]]+DbLinkTable[[#This Row],[Charge]]</f>
        <v>#VALUE!</v>
      </c>
      <c r="T904" s="79" t="e">
        <f>IF(DbLinkTable[[#This Row],[Price/lb]]*DbLinkTable[[#This Row],[Weight]]&gt;0,DbLinkTable[[#This Row],[Price/lb]]*DbLinkTable[[#This Row],[Weight]],0)</f>
        <v>#VALUE!</v>
      </c>
      <c r="U904" s="79" t="e">
        <f>IF(DbLinkTable[[#This Row],[Price/lb]]*DbLinkTable[[#This Row],[Weight]]&lt;0,DbLinkTable[[#This Row],[Price/lb]]*DbLinkTable[[#This Row],[Weight]],0)</f>
        <v>#VALUE!</v>
      </c>
      <c r="V904" s="4" t="str">
        <f>IF(COUNTIF($W$2:W904,W904)=1,1,"")</f>
        <v/>
      </c>
      <c r="W904" s="4" t="e">
        <f>CONCATENATE(DbLinkTable[[#This Row],[Customer]],UPPER(DbLinkTable[[#This Row],[Trailer Number]]),DbLinkTable[[#This Row],[Day Received]])</f>
        <v>#VALUE!</v>
      </c>
      <c r="X904" s="4" t="e">
        <f>DATEVALUE(TEXT(DbLinkTable[[#This Row],[Date Received]],"MMMM YYYY"))</f>
        <v>#VALUE!</v>
      </c>
      <c r="Y904" s="4" t="e">
        <f>INT(DbLinkTable[[#This Row],[Date Received]])</f>
        <v>#VALUE!</v>
      </c>
    </row>
    <row r="905" spans="5:25">
      <c r="E905"/>
      <c r="G905"/>
      <c r="H905"/>
      <c r="I905"/>
      <c r="K905"/>
      <c r="O905"/>
      <c r="R905"/>
      <c r="S905" s="79" t="e">
        <f>DbLinkTable[[#This Row],[Credit]]+DbLinkTable[[#This Row],[Charge]]</f>
        <v>#VALUE!</v>
      </c>
      <c r="T905" s="79" t="e">
        <f>IF(DbLinkTable[[#This Row],[Price/lb]]*DbLinkTable[[#This Row],[Weight]]&gt;0,DbLinkTable[[#This Row],[Price/lb]]*DbLinkTable[[#This Row],[Weight]],0)</f>
        <v>#VALUE!</v>
      </c>
      <c r="U905" s="79" t="e">
        <f>IF(DbLinkTable[[#This Row],[Price/lb]]*DbLinkTable[[#This Row],[Weight]]&lt;0,DbLinkTable[[#This Row],[Price/lb]]*DbLinkTable[[#This Row],[Weight]],0)</f>
        <v>#VALUE!</v>
      </c>
      <c r="V905" s="4" t="str">
        <f>IF(COUNTIF($W$2:W905,W905)=1,1,"")</f>
        <v/>
      </c>
      <c r="W905" s="4" t="e">
        <f>CONCATENATE(DbLinkTable[[#This Row],[Customer]],UPPER(DbLinkTable[[#This Row],[Trailer Number]]),DbLinkTable[[#This Row],[Day Received]])</f>
        <v>#VALUE!</v>
      </c>
      <c r="X905" s="4" t="e">
        <f>DATEVALUE(TEXT(DbLinkTable[[#This Row],[Date Received]],"MMMM YYYY"))</f>
        <v>#VALUE!</v>
      </c>
      <c r="Y905" s="4" t="e">
        <f>INT(DbLinkTable[[#This Row],[Date Received]])</f>
        <v>#VALUE!</v>
      </c>
    </row>
    <row r="906" spans="5:25">
      <c r="E906"/>
      <c r="G906"/>
      <c r="H906"/>
      <c r="I906"/>
      <c r="K906"/>
      <c r="O906"/>
      <c r="R906"/>
      <c r="S906" s="79" t="e">
        <f>DbLinkTable[[#This Row],[Credit]]+DbLinkTable[[#This Row],[Charge]]</f>
        <v>#VALUE!</v>
      </c>
      <c r="T906" s="79" t="e">
        <f>IF(DbLinkTable[[#This Row],[Price/lb]]*DbLinkTable[[#This Row],[Weight]]&gt;0,DbLinkTable[[#This Row],[Price/lb]]*DbLinkTable[[#This Row],[Weight]],0)</f>
        <v>#VALUE!</v>
      </c>
      <c r="U906" s="79" t="e">
        <f>IF(DbLinkTable[[#This Row],[Price/lb]]*DbLinkTable[[#This Row],[Weight]]&lt;0,DbLinkTable[[#This Row],[Price/lb]]*DbLinkTable[[#This Row],[Weight]],0)</f>
        <v>#VALUE!</v>
      </c>
      <c r="V906" s="4" t="str">
        <f>IF(COUNTIF($W$2:W906,W906)=1,1,"")</f>
        <v/>
      </c>
      <c r="W906" s="4" t="e">
        <f>CONCATENATE(DbLinkTable[[#This Row],[Customer]],UPPER(DbLinkTable[[#This Row],[Trailer Number]]),DbLinkTable[[#This Row],[Day Received]])</f>
        <v>#VALUE!</v>
      </c>
      <c r="X906" s="4" t="e">
        <f>DATEVALUE(TEXT(DbLinkTable[[#This Row],[Date Received]],"MMMM YYYY"))</f>
        <v>#VALUE!</v>
      </c>
      <c r="Y906" s="4" t="e">
        <f>INT(DbLinkTable[[#This Row],[Date Received]])</f>
        <v>#VALUE!</v>
      </c>
    </row>
    <row r="907" spans="5:25">
      <c r="E907"/>
      <c r="G907"/>
      <c r="H907"/>
      <c r="I907"/>
      <c r="K907"/>
      <c r="O907"/>
      <c r="R907"/>
      <c r="S907" s="79" t="e">
        <f>DbLinkTable[[#This Row],[Credit]]+DbLinkTable[[#This Row],[Charge]]</f>
        <v>#VALUE!</v>
      </c>
      <c r="T907" s="79" t="e">
        <f>IF(DbLinkTable[[#This Row],[Price/lb]]*DbLinkTable[[#This Row],[Weight]]&gt;0,DbLinkTable[[#This Row],[Price/lb]]*DbLinkTable[[#This Row],[Weight]],0)</f>
        <v>#VALUE!</v>
      </c>
      <c r="U907" s="79" t="e">
        <f>IF(DbLinkTable[[#This Row],[Price/lb]]*DbLinkTable[[#This Row],[Weight]]&lt;0,DbLinkTable[[#This Row],[Price/lb]]*DbLinkTable[[#This Row],[Weight]],0)</f>
        <v>#VALUE!</v>
      </c>
      <c r="V907" s="4" t="str">
        <f>IF(COUNTIF($W$2:W907,W907)=1,1,"")</f>
        <v/>
      </c>
      <c r="W907" s="4" t="e">
        <f>CONCATENATE(DbLinkTable[[#This Row],[Customer]],UPPER(DbLinkTable[[#This Row],[Trailer Number]]),DbLinkTable[[#This Row],[Day Received]])</f>
        <v>#VALUE!</v>
      </c>
      <c r="X907" s="4" t="e">
        <f>DATEVALUE(TEXT(DbLinkTable[[#This Row],[Date Received]],"MMMM YYYY"))</f>
        <v>#VALUE!</v>
      </c>
      <c r="Y907" s="4" t="e">
        <f>INT(DbLinkTable[[#This Row],[Date Received]])</f>
        <v>#VALUE!</v>
      </c>
    </row>
    <row r="908" spans="5:25">
      <c r="E908"/>
      <c r="G908"/>
      <c r="H908"/>
      <c r="I908"/>
      <c r="K908"/>
      <c r="O908"/>
      <c r="R908"/>
      <c r="S908" s="79" t="e">
        <f>DbLinkTable[[#This Row],[Credit]]+DbLinkTable[[#This Row],[Charge]]</f>
        <v>#VALUE!</v>
      </c>
      <c r="T908" s="79" t="e">
        <f>IF(DbLinkTable[[#This Row],[Price/lb]]*DbLinkTable[[#This Row],[Weight]]&gt;0,DbLinkTable[[#This Row],[Price/lb]]*DbLinkTable[[#This Row],[Weight]],0)</f>
        <v>#VALUE!</v>
      </c>
      <c r="U908" s="79" t="e">
        <f>IF(DbLinkTable[[#This Row],[Price/lb]]*DbLinkTable[[#This Row],[Weight]]&lt;0,DbLinkTable[[#This Row],[Price/lb]]*DbLinkTable[[#This Row],[Weight]],0)</f>
        <v>#VALUE!</v>
      </c>
      <c r="V908" s="4" t="str">
        <f>IF(COUNTIF($W$2:W908,W908)=1,1,"")</f>
        <v/>
      </c>
      <c r="W908" s="4" t="e">
        <f>CONCATENATE(DbLinkTable[[#This Row],[Customer]],UPPER(DbLinkTable[[#This Row],[Trailer Number]]),DbLinkTable[[#This Row],[Day Received]])</f>
        <v>#VALUE!</v>
      </c>
      <c r="X908" s="4" t="e">
        <f>DATEVALUE(TEXT(DbLinkTable[[#This Row],[Date Received]],"MMMM YYYY"))</f>
        <v>#VALUE!</v>
      </c>
      <c r="Y908" s="4" t="e">
        <f>INT(DbLinkTable[[#This Row],[Date Received]])</f>
        <v>#VALUE!</v>
      </c>
    </row>
    <row r="909" spans="5:25">
      <c r="E909"/>
      <c r="G909"/>
      <c r="H909"/>
      <c r="I909"/>
      <c r="K909"/>
      <c r="O909"/>
      <c r="R909"/>
      <c r="S909" s="79" t="e">
        <f>DbLinkTable[[#This Row],[Credit]]+DbLinkTable[[#This Row],[Charge]]</f>
        <v>#VALUE!</v>
      </c>
      <c r="T909" s="79" t="e">
        <f>IF(DbLinkTable[[#This Row],[Price/lb]]*DbLinkTable[[#This Row],[Weight]]&gt;0,DbLinkTable[[#This Row],[Price/lb]]*DbLinkTable[[#This Row],[Weight]],0)</f>
        <v>#VALUE!</v>
      </c>
      <c r="U909" s="79" t="e">
        <f>IF(DbLinkTable[[#This Row],[Price/lb]]*DbLinkTable[[#This Row],[Weight]]&lt;0,DbLinkTable[[#This Row],[Price/lb]]*DbLinkTable[[#This Row],[Weight]],0)</f>
        <v>#VALUE!</v>
      </c>
      <c r="V909" s="4" t="str">
        <f>IF(COUNTIF($W$2:W909,W909)=1,1,"")</f>
        <v/>
      </c>
      <c r="W909" s="4" t="e">
        <f>CONCATENATE(DbLinkTable[[#This Row],[Customer]],UPPER(DbLinkTable[[#This Row],[Trailer Number]]),DbLinkTable[[#This Row],[Day Received]])</f>
        <v>#VALUE!</v>
      </c>
      <c r="X909" s="4" t="e">
        <f>DATEVALUE(TEXT(DbLinkTable[[#This Row],[Date Received]],"MMMM YYYY"))</f>
        <v>#VALUE!</v>
      </c>
      <c r="Y909" s="4" t="e">
        <f>INT(DbLinkTable[[#This Row],[Date Received]])</f>
        <v>#VALUE!</v>
      </c>
    </row>
    <row r="910" spans="5:25">
      <c r="E910"/>
      <c r="G910"/>
      <c r="H910"/>
      <c r="I910"/>
      <c r="K910"/>
      <c r="O910"/>
      <c r="R910"/>
      <c r="S910" s="79" t="e">
        <f>DbLinkTable[[#This Row],[Credit]]+DbLinkTable[[#This Row],[Charge]]</f>
        <v>#VALUE!</v>
      </c>
      <c r="T910" s="79" t="e">
        <f>IF(DbLinkTable[[#This Row],[Price/lb]]*DbLinkTable[[#This Row],[Weight]]&gt;0,DbLinkTable[[#This Row],[Price/lb]]*DbLinkTable[[#This Row],[Weight]],0)</f>
        <v>#VALUE!</v>
      </c>
      <c r="U910" s="79" t="e">
        <f>IF(DbLinkTable[[#This Row],[Price/lb]]*DbLinkTable[[#This Row],[Weight]]&lt;0,DbLinkTable[[#This Row],[Price/lb]]*DbLinkTable[[#This Row],[Weight]],0)</f>
        <v>#VALUE!</v>
      </c>
      <c r="V910" s="4" t="str">
        <f>IF(COUNTIF($W$2:W910,W910)=1,1,"")</f>
        <v/>
      </c>
      <c r="W910" s="4" t="e">
        <f>CONCATENATE(DbLinkTable[[#This Row],[Customer]],UPPER(DbLinkTable[[#This Row],[Trailer Number]]),DbLinkTable[[#This Row],[Day Received]])</f>
        <v>#VALUE!</v>
      </c>
      <c r="X910" s="4" t="e">
        <f>DATEVALUE(TEXT(DbLinkTable[[#This Row],[Date Received]],"MMMM YYYY"))</f>
        <v>#VALUE!</v>
      </c>
      <c r="Y910" s="4" t="e">
        <f>INT(DbLinkTable[[#This Row],[Date Received]])</f>
        <v>#VALUE!</v>
      </c>
    </row>
    <row r="911" spans="5:25">
      <c r="E911"/>
      <c r="G911"/>
      <c r="H911"/>
      <c r="I911"/>
      <c r="K911"/>
      <c r="O911"/>
      <c r="R911"/>
      <c r="S911" s="79" t="e">
        <f>DbLinkTable[[#This Row],[Credit]]+DbLinkTable[[#This Row],[Charge]]</f>
        <v>#VALUE!</v>
      </c>
      <c r="T911" s="79" t="e">
        <f>IF(DbLinkTable[[#This Row],[Price/lb]]*DbLinkTable[[#This Row],[Weight]]&gt;0,DbLinkTable[[#This Row],[Price/lb]]*DbLinkTable[[#This Row],[Weight]],0)</f>
        <v>#VALUE!</v>
      </c>
      <c r="U911" s="79" t="e">
        <f>IF(DbLinkTable[[#This Row],[Price/lb]]*DbLinkTable[[#This Row],[Weight]]&lt;0,DbLinkTable[[#This Row],[Price/lb]]*DbLinkTable[[#This Row],[Weight]],0)</f>
        <v>#VALUE!</v>
      </c>
      <c r="V911" s="4" t="str">
        <f>IF(COUNTIF($W$2:W911,W911)=1,1,"")</f>
        <v/>
      </c>
      <c r="W911" s="4" t="e">
        <f>CONCATENATE(DbLinkTable[[#This Row],[Customer]],UPPER(DbLinkTable[[#This Row],[Trailer Number]]),DbLinkTable[[#This Row],[Day Received]])</f>
        <v>#VALUE!</v>
      </c>
      <c r="X911" s="4" t="e">
        <f>DATEVALUE(TEXT(DbLinkTable[[#This Row],[Date Received]],"MMMM YYYY"))</f>
        <v>#VALUE!</v>
      </c>
      <c r="Y911" s="4" t="e">
        <f>INT(DbLinkTable[[#This Row],[Date Received]])</f>
        <v>#VALUE!</v>
      </c>
    </row>
    <row r="912" spans="5:25">
      <c r="E912"/>
      <c r="G912"/>
      <c r="H912"/>
      <c r="I912"/>
      <c r="K912"/>
      <c r="O912"/>
      <c r="R912"/>
      <c r="S912" s="79" t="e">
        <f>DbLinkTable[[#This Row],[Credit]]+DbLinkTable[[#This Row],[Charge]]</f>
        <v>#VALUE!</v>
      </c>
      <c r="T912" s="79" t="e">
        <f>IF(DbLinkTable[[#This Row],[Price/lb]]*DbLinkTable[[#This Row],[Weight]]&gt;0,DbLinkTable[[#This Row],[Price/lb]]*DbLinkTable[[#This Row],[Weight]],0)</f>
        <v>#VALUE!</v>
      </c>
      <c r="U912" s="79" t="e">
        <f>IF(DbLinkTable[[#This Row],[Price/lb]]*DbLinkTable[[#This Row],[Weight]]&lt;0,DbLinkTable[[#This Row],[Price/lb]]*DbLinkTable[[#This Row],[Weight]],0)</f>
        <v>#VALUE!</v>
      </c>
      <c r="V912" s="4" t="str">
        <f>IF(COUNTIF($W$2:W912,W912)=1,1,"")</f>
        <v/>
      </c>
      <c r="W912" s="4" t="e">
        <f>CONCATENATE(DbLinkTable[[#This Row],[Customer]],UPPER(DbLinkTable[[#This Row],[Trailer Number]]),DbLinkTable[[#This Row],[Day Received]])</f>
        <v>#VALUE!</v>
      </c>
      <c r="X912" s="4" t="e">
        <f>DATEVALUE(TEXT(DbLinkTable[[#This Row],[Date Received]],"MMMM YYYY"))</f>
        <v>#VALUE!</v>
      </c>
      <c r="Y912" s="4" t="e">
        <f>INT(DbLinkTable[[#This Row],[Date Received]])</f>
        <v>#VALUE!</v>
      </c>
    </row>
    <row r="913" spans="5:25">
      <c r="E913"/>
      <c r="G913"/>
      <c r="H913"/>
      <c r="I913"/>
      <c r="K913"/>
      <c r="O913"/>
      <c r="R913"/>
      <c r="S913" s="79" t="e">
        <f>DbLinkTable[[#This Row],[Credit]]+DbLinkTable[[#This Row],[Charge]]</f>
        <v>#VALUE!</v>
      </c>
      <c r="T913" s="79" t="e">
        <f>IF(DbLinkTable[[#This Row],[Price/lb]]*DbLinkTable[[#This Row],[Weight]]&gt;0,DbLinkTable[[#This Row],[Price/lb]]*DbLinkTable[[#This Row],[Weight]],0)</f>
        <v>#VALUE!</v>
      </c>
      <c r="U913" s="79" t="e">
        <f>IF(DbLinkTable[[#This Row],[Price/lb]]*DbLinkTable[[#This Row],[Weight]]&lt;0,DbLinkTable[[#This Row],[Price/lb]]*DbLinkTable[[#This Row],[Weight]],0)</f>
        <v>#VALUE!</v>
      </c>
      <c r="V913" s="4" t="str">
        <f>IF(COUNTIF($W$2:W913,W913)=1,1,"")</f>
        <v/>
      </c>
      <c r="W913" s="4" t="e">
        <f>CONCATENATE(DbLinkTable[[#This Row],[Customer]],UPPER(DbLinkTable[[#This Row],[Trailer Number]]),DbLinkTable[[#This Row],[Day Received]])</f>
        <v>#VALUE!</v>
      </c>
      <c r="X913" s="4" t="e">
        <f>DATEVALUE(TEXT(DbLinkTable[[#This Row],[Date Received]],"MMMM YYYY"))</f>
        <v>#VALUE!</v>
      </c>
      <c r="Y913" s="4" t="e">
        <f>INT(DbLinkTable[[#This Row],[Date Received]])</f>
        <v>#VALUE!</v>
      </c>
    </row>
    <row r="914" spans="5:25">
      <c r="E914"/>
      <c r="G914"/>
      <c r="H914"/>
      <c r="I914"/>
      <c r="K914"/>
      <c r="O914"/>
      <c r="R914"/>
      <c r="S914" s="79" t="e">
        <f>DbLinkTable[[#This Row],[Credit]]+DbLinkTable[[#This Row],[Charge]]</f>
        <v>#VALUE!</v>
      </c>
      <c r="T914" s="79" t="e">
        <f>IF(DbLinkTable[[#This Row],[Price/lb]]*DbLinkTable[[#This Row],[Weight]]&gt;0,DbLinkTable[[#This Row],[Price/lb]]*DbLinkTable[[#This Row],[Weight]],0)</f>
        <v>#VALUE!</v>
      </c>
      <c r="U914" s="79" t="e">
        <f>IF(DbLinkTable[[#This Row],[Price/lb]]*DbLinkTable[[#This Row],[Weight]]&lt;0,DbLinkTable[[#This Row],[Price/lb]]*DbLinkTable[[#This Row],[Weight]],0)</f>
        <v>#VALUE!</v>
      </c>
      <c r="V914" s="4" t="str">
        <f>IF(COUNTIF($W$2:W914,W914)=1,1,"")</f>
        <v/>
      </c>
      <c r="W914" s="4" t="e">
        <f>CONCATENATE(DbLinkTable[[#This Row],[Customer]],UPPER(DbLinkTable[[#This Row],[Trailer Number]]),DbLinkTable[[#This Row],[Day Received]])</f>
        <v>#VALUE!</v>
      </c>
      <c r="X914" s="4" t="e">
        <f>DATEVALUE(TEXT(DbLinkTable[[#This Row],[Date Received]],"MMMM YYYY"))</f>
        <v>#VALUE!</v>
      </c>
      <c r="Y914" s="4" t="e">
        <f>INT(DbLinkTable[[#This Row],[Date Received]])</f>
        <v>#VALUE!</v>
      </c>
    </row>
    <row r="915" spans="5:25">
      <c r="E915"/>
      <c r="G915"/>
      <c r="H915"/>
      <c r="I915"/>
      <c r="K915"/>
      <c r="O915"/>
      <c r="R915"/>
      <c r="S915" s="79" t="e">
        <f>DbLinkTable[[#This Row],[Credit]]+DbLinkTable[[#This Row],[Charge]]</f>
        <v>#VALUE!</v>
      </c>
      <c r="T915" s="79" t="e">
        <f>IF(DbLinkTable[[#This Row],[Price/lb]]*DbLinkTable[[#This Row],[Weight]]&gt;0,DbLinkTable[[#This Row],[Price/lb]]*DbLinkTable[[#This Row],[Weight]],0)</f>
        <v>#VALUE!</v>
      </c>
      <c r="U915" s="79" t="e">
        <f>IF(DbLinkTable[[#This Row],[Price/lb]]*DbLinkTable[[#This Row],[Weight]]&lt;0,DbLinkTable[[#This Row],[Price/lb]]*DbLinkTable[[#This Row],[Weight]],0)</f>
        <v>#VALUE!</v>
      </c>
      <c r="V915" s="4" t="str">
        <f>IF(COUNTIF($W$2:W915,W915)=1,1,"")</f>
        <v/>
      </c>
      <c r="W915" s="4" t="e">
        <f>CONCATENATE(DbLinkTable[[#This Row],[Customer]],UPPER(DbLinkTable[[#This Row],[Trailer Number]]),DbLinkTable[[#This Row],[Day Received]])</f>
        <v>#VALUE!</v>
      </c>
      <c r="X915" s="4" t="e">
        <f>DATEVALUE(TEXT(DbLinkTable[[#This Row],[Date Received]],"MMMM YYYY"))</f>
        <v>#VALUE!</v>
      </c>
      <c r="Y915" s="4" t="e">
        <f>INT(DbLinkTable[[#This Row],[Date Received]])</f>
        <v>#VALUE!</v>
      </c>
    </row>
    <row r="916" spans="5:25">
      <c r="E916"/>
      <c r="G916"/>
      <c r="H916"/>
      <c r="I916"/>
      <c r="K916"/>
      <c r="O916"/>
      <c r="R916"/>
      <c r="S916" s="79" t="e">
        <f>DbLinkTable[[#This Row],[Credit]]+DbLinkTable[[#This Row],[Charge]]</f>
        <v>#VALUE!</v>
      </c>
      <c r="T916" s="79" t="e">
        <f>IF(DbLinkTable[[#This Row],[Price/lb]]*DbLinkTable[[#This Row],[Weight]]&gt;0,DbLinkTable[[#This Row],[Price/lb]]*DbLinkTable[[#This Row],[Weight]],0)</f>
        <v>#VALUE!</v>
      </c>
      <c r="U916" s="79" t="e">
        <f>IF(DbLinkTable[[#This Row],[Price/lb]]*DbLinkTable[[#This Row],[Weight]]&lt;0,DbLinkTable[[#This Row],[Price/lb]]*DbLinkTable[[#This Row],[Weight]],0)</f>
        <v>#VALUE!</v>
      </c>
      <c r="V916" s="4" t="str">
        <f>IF(COUNTIF($W$2:W916,W916)=1,1,"")</f>
        <v/>
      </c>
      <c r="W916" s="4" t="e">
        <f>CONCATENATE(DbLinkTable[[#This Row],[Customer]],UPPER(DbLinkTable[[#This Row],[Trailer Number]]),DbLinkTable[[#This Row],[Day Received]])</f>
        <v>#VALUE!</v>
      </c>
      <c r="X916" s="4" t="e">
        <f>DATEVALUE(TEXT(DbLinkTable[[#This Row],[Date Received]],"MMMM YYYY"))</f>
        <v>#VALUE!</v>
      </c>
      <c r="Y916" s="4" t="e">
        <f>INT(DbLinkTable[[#This Row],[Date Received]])</f>
        <v>#VALUE!</v>
      </c>
    </row>
    <row r="917" spans="5:25">
      <c r="E917"/>
      <c r="G917"/>
      <c r="H917"/>
      <c r="I917"/>
      <c r="K917"/>
      <c r="O917"/>
      <c r="R917"/>
      <c r="S917" s="79" t="e">
        <f>DbLinkTable[[#This Row],[Credit]]+DbLinkTable[[#This Row],[Charge]]</f>
        <v>#VALUE!</v>
      </c>
      <c r="T917" s="79" t="e">
        <f>IF(DbLinkTable[[#This Row],[Price/lb]]*DbLinkTable[[#This Row],[Weight]]&gt;0,DbLinkTable[[#This Row],[Price/lb]]*DbLinkTable[[#This Row],[Weight]],0)</f>
        <v>#VALUE!</v>
      </c>
      <c r="U917" s="79" t="e">
        <f>IF(DbLinkTable[[#This Row],[Price/lb]]*DbLinkTable[[#This Row],[Weight]]&lt;0,DbLinkTable[[#This Row],[Price/lb]]*DbLinkTable[[#This Row],[Weight]],0)</f>
        <v>#VALUE!</v>
      </c>
      <c r="V917" s="4" t="str">
        <f>IF(COUNTIF($W$2:W917,W917)=1,1,"")</f>
        <v/>
      </c>
      <c r="W917" s="4" t="e">
        <f>CONCATENATE(DbLinkTable[[#This Row],[Customer]],UPPER(DbLinkTable[[#This Row],[Trailer Number]]),DbLinkTable[[#This Row],[Day Received]])</f>
        <v>#VALUE!</v>
      </c>
      <c r="X917" s="4" t="e">
        <f>DATEVALUE(TEXT(DbLinkTable[[#This Row],[Date Received]],"MMMM YYYY"))</f>
        <v>#VALUE!</v>
      </c>
      <c r="Y917" s="4" t="e">
        <f>INT(DbLinkTable[[#This Row],[Date Received]])</f>
        <v>#VALUE!</v>
      </c>
    </row>
    <row r="918" spans="5:25">
      <c r="E918"/>
      <c r="G918"/>
      <c r="H918"/>
      <c r="I918"/>
      <c r="K918"/>
      <c r="O918"/>
      <c r="R918"/>
      <c r="S918" s="79" t="e">
        <f>DbLinkTable[[#This Row],[Credit]]+DbLinkTable[[#This Row],[Charge]]</f>
        <v>#VALUE!</v>
      </c>
      <c r="T918" s="79" t="e">
        <f>IF(DbLinkTable[[#This Row],[Price/lb]]*DbLinkTable[[#This Row],[Weight]]&gt;0,DbLinkTable[[#This Row],[Price/lb]]*DbLinkTable[[#This Row],[Weight]],0)</f>
        <v>#VALUE!</v>
      </c>
      <c r="U918" s="79" t="e">
        <f>IF(DbLinkTable[[#This Row],[Price/lb]]*DbLinkTable[[#This Row],[Weight]]&lt;0,DbLinkTable[[#This Row],[Price/lb]]*DbLinkTable[[#This Row],[Weight]],0)</f>
        <v>#VALUE!</v>
      </c>
      <c r="V918" s="4" t="str">
        <f>IF(COUNTIF($W$2:W918,W918)=1,1,"")</f>
        <v/>
      </c>
      <c r="W918" s="4" t="e">
        <f>CONCATENATE(DbLinkTable[[#This Row],[Customer]],UPPER(DbLinkTable[[#This Row],[Trailer Number]]),DbLinkTable[[#This Row],[Day Received]])</f>
        <v>#VALUE!</v>
      </c>
      <c r="X918" s="4" t="e">
        <f>DATEVALUE(TEXT(DbLinkTable[[#This Row],[Date Received]],"MMMM YYYY"))</f>
        <v>#VALUE!</v>
      </c>
      <c r="Y918" s="4" t="e">
        <f>INT(DbLinkTable[[#This Row],[Date Received]])</f>
        <v>#VALUE!</v>
      </c>
    </row>
    <row r="919" spans="5:25">
      <c r="E919"/>
      <c r="G919"/>
      <c r="H919"/>
      <c r="I919"/>
      <c r="K919"/>
      <c r="O919"/>
      <c r="R919"/>
      <c r="S919" s="79" t="e">
        <f>DbLinkTable[[#This Row],[Credit]]+DbLinkTable[[#This Row],[Charge]]</f>
        <v>#VALUE!</v>
      </c>
      <c r="T919" s="79" t="e">
        <f>IF(DbLinkTable[[#This Row],[Price/lb]]*DbLinkTable[[#This Row],[Weight]]&gt;0,DbLinkTable[[#This Row],[Price/lb]]*DbLinkTable[[#This Row],[Weight]],0)</f>
        <v>#VALUE!</v>
      </c>
      <c r="U919" s="79" t="e">
        <f>IF(DbLinkTable[[#This Row],[Price/lb]]*DbLinkTable[[#This Row],[Weight]]&lt;0,DbLinkTable[[#This Row],[Price/lb]]*DbLinkTable[[#This Row],[Weight]],0)</f>
        <v>#VALUE!</v>
      </c>
      <c r="V919" s="4" t="str">
        <f>IF(COUNTIF($W$2:W919,W919)=1,1,"")</f>
        <v/>
      </c>
      <c r="W919" s="4" t="e">
        <f>CONCATENATE(DbLinkTable[[#This Row],[Customer]],UPPER(DbLinkTable[[#This Row],[Trailer Number]]),DbLinkTable[[#This Row],[Day Received]])</f>
        <v>#VALUE!</v>
      </c>
      <c r="X919" s="4" t="e">
        <f>DATEVALUE(TEXT(DbLinkTable[[#This Row],[Date Received]],"MMMM YYYY"))</f>
        <v>#VALUE!</v>
      </c>
      <c r="Y919" s="4" t="e">
        <f>INT(DbLinkTable[[#This Row],[Date Received]])</f>
        <v>#VALUE!</v>
      </c>
    </row>
    <row r="920" spans="5:25">
      <c r="E920"/>
      <c r="G920"/>
      <c r="H920"/>
      <c r="I920"/>
      <c r="K920"/>
      <c r="O920"/>
      <c r="R920"/>
      <c r="S920" s="79" t="e">
        <f>DbLinkTable[[#This Row],[Credit]]+DbLinkTable[[#This Row],[Charge]]</f>
        <v>#VALUE!</v>
      </c>
      <c r="T920" s="79" t="e">
        <f>IF(DbLinkTable[[#This Row],[Price/lb]]*DbLinkTable[[#This Row],[Weight]]&gt;0,DbLinkTable[[#This Row],[Price/lb]]*DbLinkTable[[#This Row],[Weight]],0)</f>
        <v>#VALUE!</v>
      </c>
      <c r="U920" s="79" t="e">
        <f>IF(DbLinkTable[[#This Row],[Price/lb]]*DbLinkTable[[#This Row],[Weight]]&lt;0,DbLinkTable[[#This Row],[Price/lb]]*DbLinkTable[[#This Row],[Weight]],0)</f>
        <v>#VALUE!</v>
      </c>
      <c r="V920" s="4" t="str">
        <f>IF(COUNTIF($W$2:W920,W920)=1,1,"")</f>
        <v/>
      </c>
      <c r="W920" s="4" t="e">
        <f>CONCATENATE(DbLinkTable[[#This Row],[Customer]],UPPER(DbLinkTable[[#This Row],[Trailer Number]]),DbLinkTable[[#This Row],[Day Received]])</f>
        <v>#VALUE!</v>
      </c>
      <c r="X920" s="4" t="e">
        <f>DATEVALUE(TEXT(DbLinkTable[[#This Row],[Date Received]],"MMMM YYYY"))</f>
        <v>#VALUE!</v>
      </c>
      <c r="Y920" s="4" t="e">
        <f>INT(DbLinkTable[[#This Row],[Date Received]])</f>
        <v>#VALUE!</v>
      </c>
    </row>
    <row r="921" spans="5:25">
      <c r="E921"/>
      <c r="G921"/>
      <c r="H921"/>
      <c r="I921"/>
      <c r="K921"/>
      <c r="O921"/>
      <c r="R921"/>
      <c r="S921" s="79" t="e">
        <f>DbLinkTable[[#This Row],[Credit]]+DbLinkTable[[#This Row],[Charge]]</f>
        <v>#VALUE!</v>
      </c>
      <c r="T921" s="79" t="e">
        <f>IF(DbLinkTable[[#This Row],[Price/lb]]*DbLinkTable[[#This Row],[Weight]]&gt;0,DbLinkTable[[#This Row],[Price/lb]]*DbLinkTable[[#This Row],[Weight]],0)</f>
        <v>#VALUE!</v>
      </c>
      <c r="U921" s="79" t="e">
        <f>IF(DbLinkTable[[#This Row],[Price/lb]]*DbLinkTable[[#This Row],[Weight]]&lt;0,DbLinkTable[[#This Row],[Price/lb]]*DbLinkTable[[#This Row],[Weight]],0)</f>
        <v>#VALUE!</v>
      </c>
      <c r="V921" s="4" t="str">
        <f>IF(COUNTIF($W$2:W921,W921)=1,1,"")</f>
        <v/>
      </c>
      <c r="W921" s="4" t="e">
        <f>CONCATENATE(DbLinkTable[[#This Row],[Customer]],UPPER(DbLinkTable[[#This Row],[Trailer Number]]),DbLinkTable[[#This Row],[Day Received]])</f>
        <v>#VALUE!</v>
      </c>
      <c r="X921" s="4" t="e">
        <f>DATEVALUE(TEXT(DbLinkTable[[#This Row],[Date Received]],"MMMM YYYY"))</f>
        <v>#VALUE!</v>
      </c>
      <c r="Y921" s="4" t="e">
        <f>INT(DbLinkTable[[#This Row],[Date Received]])</f>
        <v>#VALUE!</v>
      </c>
    </row>
    <row r="922" spans="5:25">
      <c r="E922"/>
      <c r="G922"/>
      <c r="H922"/>
      <c r="I922"/>
      <c r="K922"/>
      <c r="O922"/>
      <c r="R922"/>
      <c r="S922" s="79" t="e">
        <f>DbLinkTable[[#This Row],[Credit]]+DbLinkTable[[#This Row],[Charge]]</f>
        <v>#VALUE!</v>
      </c>
      <c r="T922" s="79" t="e">
        <f>IF(DbLinkTable[[#This Row],[Price/lb]]*DbLinkTable[[#This Row],[Weight]]&gt;0,DbLinkTable[[#This Row],[Price/lb]]*DbLinkTable[[#This Row],[Weight]],0)</f>
        <v>#VALUE!</v>
      </c>
      <c r="U922" s="79" t="e">
        <f>IF(DbLinkTable[[#This Row],[Price/lb]]*DbLinkTable[[#This Row],[Weight]]&lt;0,DbLinkTable[[#This Row],[Price/lb]]*DbLinkTable[[#This Row],[Weight]],0)</f>
        <v>#VALUE!</v>
      </c>
      <c r="V922" s="4" t="str">
        <f>IF(COUNTIF($W$2:W922,W922)=1,1,"")</f>
        <v/>
      </c>
      <c r="W922" s="4" t="e">
        <f>CONCATENATE(DbLinkTable[[#This Row],[Customer]],UPPER(DbLinkTable[[#This Row],[Trailer Number]]),DbLinkTable[[#This Row],[Day Received]])</f>
        <v>#VALUE!</v>
      </c>
      <c r="X922" s="4" t="e">
        <f>DATEVALUE(TEXT(DbLinkTable[[#This Row],[Date Received]],"MMMM YYYY"))</f>
        <v>#VALUE!</v>
      </c>
      <c r="Y922" s="4" t="e">
        <f>INT(DbLinkTable[[#This Row],[Date Received]])</f>
        <v>#VALUE!</v>
      </c>
    </row>
    <row r="923" spans="5:25">
      <c r="E923"/>
      <c r="G923"/>
      <c r="H923"/>
      <c r="I923"/>
      <c r="K923"/>
      <c r="O923"/>
      <c r="R923"/>
      <c r="S923" s="79" t="e">
        <f>DbLinkTable[[#This Row],[Credit]]+DbLinkTable[[#This Row],[Charge]]</f>
        <v>#VALUE!</v>
      </c>
      <c r="T923" s="79" t="e">
        <f>IF(DbLinkTable[[#This Row],[Price/lb]]*DbLinkTable[[#This Row],[Weight]]&gt;0,DbLinkTable[[#This Row],[Price/lb]]*DbLinkTable[[#This Row],[Weight]],0)</f>
        <v>#VALUE!</v>
      </c>
      <c r="U923" s="79" t="e">
        <f>IF(DbLinkTable[[#This Row],[Price/lb]]*DbLinkTable[[#This Row],[Weight]]&lt;0,DbLinkTable[[#This Row],[Price/lb]]*DbLinkTable[[#This Row],[Weight]],0)</f>
        <v>#VALUE!</v>
      </c>
      <c r="V923" s="4" t="str">
        <f>IF(COUNTIF($W$2:W923,W923)=1,1,"")</f>
        <v/>
      </c>
      <c r="W923" s="4" t="e">
        <f>CONCATENATE(DbLinkTable[[#This Row],[Customer]],UPPER(DbLinkTable[[#This Row],[Trailer Number]]),DbLinkTable[[#This Row],[Day Received]])</f>
        <v>#VALUE!</v>
      </c>
      <c r="X923" s="4" t="e">
        <f>DATEVALUE(TEXT(DbLinkTable[[#This Row],[Date Received]],"MMMM YYYY"))</f>
        <v>#VALUE!</v>
      </c>
      <c r="Y923" s="4" t="e">
        <f>INT(DbLinkTable[[#This Row],[Date Received]])</f>
        <v>#VALUE!</v>
      </c>
    </row>
    <row r="924" spans="5:25">
      <c r="E924"/>
      <c r="G924"/>
      <c r="H924"/>
      <c r="I924"/>
      <c r="K924"/>
      <c r="O924"/>
      <c r="R924"/>
      <c r="S924" s="79" t="e">
        <f>DbLinkTable[[#This Row],[Credit]]+DbLinkTable[[#This Row],[Charge]]</f>
        <v>#VALUE!</v>
      </c>
      <c r="T924" s="79" t="e">
        <f>IF(DbLinkTable[[#This Row],[Price/lb]]*DbLinkTable[[#This Row],[Weight]]&gt;0,DbLinkTable[[#This Row],[Price/lb]]*DbLinkTable[[#This Row],[Weight]],0)</f>
        <v>#VALUE!</v>
      </c>
      <c r="U924" s="79" t="e">
        <f>IF(DbLinkTable[[#This Row],[Price/lb]]*DbLinkTable[[#This Row],[Weight]]&lt;0,DbLinkTable[[#This Row],[Price/lb]]*DbLinkTable[[#This Row],[Weight]],0)</f>
        <v>#VALUE!</v>
      </c>
      <c r="V924" s="4" t="str">
        <f>IF(COUNTIF($W$2:W924,W924)=1,1,"")</f>
        <v/>
      </c>
      <c r="W924" s="4" t="e">
        <f>CONCATENATE(DbLinkTable[[#This Row],[Customer]],UPPER(DbLinkTable[[#This Row],[Trailer Number]]),DbLinkTable[[#This Row],[Day Received]])</f>
        <v>#VALUE!</v>
      </c>
      <c r="X924" s="4" t="e">
        <f>DATEVALUE(TEXT(DbLinkTable[[#This Row],[Date Received]],"MMMM YYYY"))</f>
        <v>#VALUE!</v>
      </c>
      <c r="Y924" s="4" t="e">
        <f>INT(DbLinkTable[[#This Row],[Date Received]])</f>
        <v>#VALUE!</v>
      </c>
    </row>
    <row r="925" spans="5:25">
      <c r="E925"/>
      <c r="G925"/>
      <c r="H925"/>
      <c r="I925"/>
      <c r="K925"/>
      <c r="O925"/>
      <c r="R925"/>
      <c r="S925" s="79" t="e">
        <f>DbLinkTable[[#This Row],[Credit]]+DbLinkTable[[#This Row],[Charge]]</f>
        <v>#VALUE!</v>
      </c>
      <c r="T925" s="79" t="e">
        <f>IF(DbLinkTable[[#This Row],[Price/lb]]*DbLinkTable[[#This Row],[Weight]]&gt;0,DbLinkTable[[#This Row],[Price/lb]]*DbLinkTable[[#This Row],[Weight]],0)</f>
        <v>#VALUE!</v>
      </c>
      <c r="U925" s="79" t="e">
        <f>IF(DbLinkTable[[#This Row],[Price/lb]]*DbLinkTable[[#This Row],[Weight]]&lt;0,DbLinkTable[[#This Row],[Price/lb]]*DbLinkTable[[#This Row],[Weight]],0)</f>
        <v>#VALUE!</v>
      </c>
      <c r="V925" s="4" t="str">
        <f>IF(COUNTIF($W$2:W925,W925)=1,1,"")</f>
        <v/>
      </c>
      <c r="W925" s="4" t="e">
        <f>CONCATENATE(DbLinkTable[[#This Row],[Customer]],UPPER(DbLinkTable[[#This Row],[Trailer Number]]),DbLinkTable[[#This Row],[Day Received]])</f>
        <v>#VALUE!</v>
      </c>
      <c r="X925" s="4" t="e">
        <f>DATEVALUE(TEXT(DbLinkTable[[#This Row],[Date Received]],"MMMM YYYY"))</f>
        <v>#VALUE!</v>
      </c>
      <c r="Y925" s="4" t="e">
        <f>INT(DbLinkTable[[#This Row],[Date Received]])</f>
        <v>#VALUE!</v>
      </c>
    </row>
    <row r="926" spans="5:25">
      <c r="E926"/>
      <c r="G926"/>
      <c r="H926"/>
      <c r="I926"/>
      <c r="K926"/>
      <c r="O926"/>
      <c r="R926"/>
      <c r="S926" s="79" t="e">
        <f>DbLinkTable[[#This Row],[Credit]]+DbLinkTable[[#This Row],[Charge]]</f>
        <v>#VALUE!</v>
      </c>
      <c r="T926" s="79" t="e">
        <f>IF(DbLinkTable[[#This Row],[Price/lb]]*DbLinkTable[[#This Row],[Weight]]&gt;0,DbLinkTable[[#This Row],[Price/lb]]*DbLinkTable[[#This Row],[Weight]],0)</f>
        <v>#VALUE!</v>
      </c>
      <c r="U926" s="79" t="e">
        <f>IF(DbLinkTable[[#This Row],[Price/lb]]*DbLinkTable[[#This Row],[Weight]]&lt;0,DbLinkTable[[#This Row],[Price/lb]]*DbLinkTable[[#This Row],[Weight]],0)</f>
        <v>#VALUE!</v>
      </c>
      <c r="V926" s="4" t="str">
        <f>IF(COUNTIF($W$2:W926,W926)=1,1,"")</f>
        <v/>
      </c>
      <c r="W926" s="4" t="e">
        <f>CONCATENATE(DbLinkTable[[#This Row],[Customer]],UPPER(DbLinkTable[[#This Row],[Trailer Number]]),DbLinkTable[[#This Row],[Day Received]])</f>
        <v>#VALUE!</v>
      </c>
      <c r="X926" s="4" t="e">
        <f>DATEVALUE(TEXT(DbLinkTable[[#This Row],[Date Received]],"MMMM YYYY"))</f>
        <v>#VALUE!</v>
      </c>
      <c r="Y926" s="4" t="e">
        <f>INT(DbLinkTable[[#This Row],[Date Received]])</f>
        <v>#VALUE!</v>
      </c>
    </row>
    <row r="927" spans="5:25">
      <c r="E927"/>
      <c r="G927"/>
      <c r="H927"/>
      <c r="I927"/>
      <c r="K927"/>
      <c r="O927"/>
      <c r="R927"/>
      <c r="S927" s="79" t="e">
        <f>DbLinkTable[[#This Row],[Credit]]+DbLinkTable[[#This Row],[Charge]]</f>
        <v>#VALUE!</v>
      </c>
      <c r="T927" s="79" t="e">
        <f>IF(DbLinkTable[[#This Row],[Price/lb]]*DbLinkTable[[#This Row],[Weight]]&gt;0,DbLinkTable[[#This Row],[Price/lb]]*DbLinkTable[[#This Row],[Weight]],0)</f>
        <v>#VALUE!</v>
      </c>
      <c r="U927" s="79" t="e">
        <f>IF(DbLinkTable[[#This Row],[Price/lb]]*DbLinkTable[[#This Row],[Weight]]&lt;0,DbLinkTable[[#This Row],[Price/lb]]*DbLinkTable[[#This Row],[Weight]],0)</f>
        <v>#VALUE!</v>
      </c>
      <c r="V927" s="4" t="str">
        <f>IF(COUNTIF($W$2:W927,W927)=1,1,"")</f>
        <v/>
      </c>
      <c r="W927" s="4" t="e">
        <f>CONCATENATE(DbLinkTable[[#This Row],[Customer]],UPPER(DbLinkTable[[#This Row],[Trailer Number]]),DbLinkTable[[#This Row],[Day Received]])</f>
        <v>#VALUE!</v>
      </c>
      <c r="X927" s="4" t="e">
        <f>DATEVALUE(TEXT(DbLinkTable[[#This Row],[Date Received]],"MMMM YYYY"))</f>
        <v>#VALUE!</v>
      </c>
      <c r="Y927" s="4" t="e">
        <f>INT(DbLinkTable[[#This Row],[Date Received]])</f>
        <v>#VALUE!</v>
      </c>
    </row>
    <row r="928" spans="5:25">
      <c r="E928"/>
      <c r="G928"/>
      <c r="H928"/>
      <c r="I928"/>
      <c r="K928"/>
      <c r="O928"/>
      <c r="R928"/>
      <c r="S928" s="79" t="e">
        <f>DbLinkTable[[#This Row],[Credit]]+DbLinkTable[[#This Row],[Charge]]</f>
        <v>#VALUE!</v>
      </c>
      <c r="T928" s="79" t="e">
        <f>IF(DbLinkTable[[#This Row],[Price/lb]]*DbLinkTable[[#This Row],[Weight]]&gt;0,DbLinkTable[[#This Row],[Price/lb]]*DbLinkTable[[#This Row],[Weight]],0)</f>
        <v>#VALUE!</v>
      </c>
      <c r="U928" s="79" t="e">
        <f>IF(DbLinkTable[[#This Row],[Price/lb]]*DbLinkTable[[#This Row],[Weight]]&lt;0,DbLinkTable[[#This Row],[Price/lb]]*DbLinkTable[[#This Row],[Weight]],0)</f>
        <v>#VALUE!</v>
      </c>
      <c r="V928" s="4" t="str">
        <f>IF(COUNTIF($W$2:W928,W928)=1,1,"")</f>
        <v/>
      </c>
      <c r="W928" s="4" t="e">
        <f>CONCATENATE(DbLinkTable[[#This Row],[Customer]],UPPER(DbLinkTable[[#This Row],[Trailer Number]]),DbLinkTable[[#This Row],[Day Received]])</f>
        <v>#VALUE!</v>
      </c>
      <c r="X928" s="4" t="e">
        <f>DATEVALUE(TEXT(DbLinkTable[[#This Row],[Date Received]],"MMMM YYYY"))</f>
        <v>#VALUE!</v>
      </c>
      <c r="Y928" s="4" t="e">
        <f>INT(DbLinkTable[[#This Row],[Date Received]])</f>
        <v>#VALUE!</v>
      </c>
    </row>
    <row r="929" spans="5:25">
      <c r="E929"/>
      <c r="G929"/>
      <c r="H929"/>
      <c r="I929"/>
      <c r="K929"/>
      <c r="O929"/>
      <c r="R929"/>
      <c r="S929" s="79" t="e">
        <f>DbLinkTable[[#This Row],[Credit]]+DbLinkTable[[#This Row],[Charge]]</f>
        <v>#VALUE!</v>
      </c>
      <c r="T929" s="79" t="e">
        <f>IF(DbLinkTable[[#This Row],[Price/lb]]*DbLinkTable[[#This Row],[Weight]]&gt;0,DbLinkTable[[#This Row],[Price/lb]]*DbLinkTable[[#This Row],[Weight]],0)</f>
        <v>#VALUE!</v>
      </c>
      <c r="U929" s="79" t="e">
        <f>IF(DbLinkTable[[#This Row],[Price/lb]]*DbLinkTable[[#This Row],[Weight]]&lt;0,DbLinkTable[[#This Row],[Price/lb]]*DbLinkTable[[#This Row],[Weight]],0)</f>
        <v>#VALUE!</v>
      </c>
      <c r="V929" s="4" t="str">
        <f>IF(COUNTIF($W$2:W929,W929)=1,1,"")</f>
        <v/>
      </c>
      <c r="W929" s="4" t="e">
        <f>CONCATENATE(DbLinkTable[[#This Row],[Customer]],UPPER(DbLinkTable[[#This Row],[Trailer Number]]),DbLinkTable[[#This Row],[Day Received]])</f>
        <v>#VALUE!</v>
      </c>
      <c r="X929" s="4" t="e">
        <f>DATEVALUE(TEXT(DbLinkTable[[#This Row],[Date Received]],"MMMM YYYY"))</f>
        <v>#VALUE!</v>
      </c>
      <c r="Y929" s="4" t="e">
        <f>INT(DbLinkTable[[#This Row],[Date Received]])</f>
        <v>#VALUE!</v>
      </c>
    </row>
    <row r="930" spans="5:25">
      <c r="E930"/>
      <c r="G930"/>
      <c r="H930"/>
      <c r="I930"/>
      <c r="K930"/>
      <c r="O930"/>
      <c r="R930"/>
      <c r="S930" s="79" t="e">
        <f>DbLinkTable[[#This Row],[Credit]]+DbLinkTable[[#This Row],[Charge]]</f>
        <v>#VALUE!</v>
      </c>
      <c r="T930" s="79" t="e">
        <f>IF(DbLinkTable[[#This Row],[Price/lb]]*DbLinkTable[[#This Row],[Weight]]&gt;0,DbLinkTable[[#This Row],[Price/lb]]*DbLinkTable[[#This Row],[Weight]],0)</f>
        <v>#VALUE!</v>
      </c>
      <c r="U930" s="79" t="e">
        <f>IF(DbLinkTable[[#This Row],[Price/lb]]*DbLinkTable[[#This Row],[Weight]]&lt;0,DbLinkTable[[#This Row],[Price/lb]]*DbLinkTable[[#This Row],[Weight]],0)</f>
        <v>#VALUE!</v>
      </c>
      <c r="V930" s="4" t="str">
        <f>IF(COUNTIF($W$2:W930,W930)=1,1,"")</f>
        <v/>
      </c>
      <c r="W930" s="4" t="e">
        <f>CONCATENATE(DbLinkTable[[#This Row],[Customer]],UPPER(DbLinkTable[[#This Row],[Trailer Number]]),DbLinkTable[[#This Row],[Day Received]])</f>
        <v>#VALUE!</v>
      </c>
      <c r="X930" s="4" t="e">
        <f>DATEVALUE(TEXT(DbLinkTable[[#This Row],[Date Received]],"MMMM YYYY"))</f>
        <v>#VALUE!</v>
      </c>
      <c r="Y930" s="4" t="e">
        <f>INT(DbLinkTable[[#This Row],[Date Received]])</f>
        <v>#VALUE!</v>
      </c>
    </row>
    <row r="931" spans="5:25">
      <c r="E931"/>
      <c r="G931"/>
      <c r="H931"/>
      <c r="I931"/>
      <c r="K931"/>
      <c r="O931"/>
      <c r="R931"/>
      <c r="S931" s="79" t="e">
        <f>DbLinkTable[[#This Row],[Credit]]+DbLinkTable[[#This Row],[Charge]]</f>
        <v>#VALUE!</v>
      </c>
      <c r="T931" s="79" t="e">
        <f>IF(DbLinkTable[[#This Row],[Price/lb]]*DbLinkTable[[#This Row],[Weight]]&gt;0,DbLinkTable[[#This Row],[Price/lb]]*DbLinkTable[[#This Row],[Weight]],0)</f>
        <v>#VALUE!</v>
      </c>
      <c r="U931" s="79" t="e">
        <f>IF(DbLinkTable[[#This Row],[Price/lb]]*DbLinkTable[[#This Row],[Weight]]&lt;0,DbLinkTable[[#This Row],[Price/lb]]*DbLinkTable[[#This Row],[Weight]],0)</f>
        <v>#VALUE!</v>
      </c>
      <c r="V931" s="4" t="str">
        <f>IF(COUNTIF($W$2:W931,W931)=1,1,"")</f>
        <v/>
      </c>
      <c r="W931" s="4" t="e">
        <f>CONCATENATE(DbLinkTable[[#This Row],[Customer]],UPPER(DbLinkTable[[#This Row],[Trailer Number]]),DbLinkTable[[#This Row],[Day Received]])</f>
        <v>#VALUE!</v>
      </c>
      <c r="X931" s="4" t="e">
        <f>DATEVALUE(TEXT(DbLinkTable[[#This Row],[Date Received]],"MMMM YYYY"))</f>
        <v>#VALUE!</v>
      </c>
      <c r="Y931" s="4" t="e">
        <f>INT(DbLinkTable[[#This Row],[Date Received]])</f>
        <v>#VALUE!</v>
      </c>
    </row>
    <row r="932" spans="5:25">
      <c r="E932"/>
      <c r="G932"/>
      <c r="H932"/>
      <c r="I932"/>
      <c r="K932"/>
      <c r="O932"/>
      <c r="R932"/>
      <c r="S932" s="79" t="e">
        <f>DbLinkTable[[#This Row],[Credit]]+DbLinkTable[[#This Row],[Charge]]</f>
        <v>#VALUE!</v>
      </c>
      <c r="T932" s="79" t="e">
        <f>IF(DbLinkTable[[#This Row],[Price/lb]]*DbLinkTable[[#This Row],[Weight]]&gt;0,DbLinkTable[[#This Row],[Price/lb]]*DbLinkTable[[#This Row],[Weight]],0)</f>
        <v>#VALUE!</v>
      </c>
      <c r="U932" s="79" t="e">
        <f>IF(DbLinkTable[[#This Row],[Price/lb]]*DbLinkTable[[#This Row],[Weight]]&lt;0,DbLinkTable[[#This Row],[Price/lb]]*DbLinkTable[[#This Row],[Weight]],0)</f>
        <v>#VALUE!</v>
      </c>
      <c r="V932" s="4" t="str">
        <f>IF(COUNTIF($W$2:W932,W932)=1,1,"")</f>
        <v/>
      </c>
      <c r="W932" s="4" t="e">
        <f>CONCATENATE(DbLinkTable[[#This Row],[Customer]],UPPER(DbLinkTable[[#This Row],[Trailer Number]]),DbLinkTable[[#This Row],[Day Received]])</f>
        <v>#VALUE!</v>
      </c>
      <c r="X932" s="4" t="e">
        <f>DATEVALUE(TEXT(DbLinkTable[[#This Row],[Date Received]],"MMMM YYYY"))</f>
        <v>#VALUE!</v>
      </c>
      <c r="Y932" s="4" t="e">
        <f>INT(DbLinkTable[[#This Row],[Date Received]])</f>
        <v>#VALUE!</v>
      </c>
    </row>
    <row r="933" spans="5:25">
      <c r="E933"/>
      <c r="G933"/>
      <c r="H933"/>
      <c r="I933"/>
      <c r="K933"/>
      <c r="O933"/>
      <c r="R933"/>
      <c r="S933" s="79" t="e">
        <f>DbLinkTable[[#This Row],[Credit]]+DbLinkTable[[#This Row],[Charge]]</f>
        <v>#VALUE!</v>
      </c>
      <c r="T933" s="79" t="e">
        <f>IF(DbLinkTable[[#This Row],[Price/lb]]*DbLinkTable[[#This Row],[Weight]]&gt;0,DbLinkTable[[#This Row],[Price/lb]]*DbLinkTable[[#This Row],[Weight]],0)</f>
        <v>#VALUE!</v>
      </c>
      <c r="U933" s="79" t="e">
        <f>IF(DbLinkTable[[#This Row],[Price/lb]]*DbLinkTable[[#This Row],[Weight]]&lt;0,DbLinkTable[[#This Row],[Price/lb]]*DbLinkTable[[#This Row],[Weight]],0)</f>
        <v>#VALUE!</v>
      </c>
      <c r="V933" s="4" t="str">
        <f>IF(COUNTIF($W$2:W933,W933)=1,1,"")</f>
        <v/>
      </c>
      <c r="W933" s="4" t="e">
        <f>CONCATENATE(DbLinkTable[[#This Row],[Customer]],UPPER(DbLinkTable[[#This Row],[Trailer Number]]),DbLinkTable[[#This Row],[Day Received]])</f>
        <v>#VALUE!</v>
      </c>
      <c r="X933" s="4" t="e">
        <f>DATEVALUE(TEXT(DbLinkTable[[#This Row],[Date Received]],"MMMM YYYY"))</f>
        <v>#VALUE!</v>
      </c>
      <c r="Y933" s="4" t="e">
        <f>INT(DbLinkTable[[#This Row],[Date Received]])</f>
        <v>#VALUE!</v>
      </c>
    </row>
    <row r="934" spans="5:25">
      <c r="E934"/>
      <c r="G934"/>
      <c r="H934"/>
      <c r="I934"/>
      <c r="K934"/>
      <c r="O934"/>
      <c r="R934"/>
      <c r="S934" s="79" t="e">
        <f>DbLinkTable[[#This Row],[Credit]]+DbLinkTable[[#This Row],[Charge]]</f>
        <v>#VALUE!</v>
      </c>
      <c r="T934" s="79" t="e">
        <f>IF(DbLinkTable[[#This Row],[Price/lb]]*DbLinkTable[[#This Row],[Weight]]&gt;0,DbLinkTable[[#This Row],[Price/lb]]*DbLinkTable[[#This Row],[Weight]],0)</f>
        <v>#VALUE!</v>
      </c>
      <c r="U934" s="79" t="e">
        <f>IF(DbLinkTable[[#This Row],[Price/lb]]*DbLinkTable[[#This Row],[Weight]]&lt;0,DbLinkTable[[#This Row],[Price/lb]]*DbLinkTable[[#This Row],[Weight]],0)</f>
        <v>#VALUE!</v>
      </c>
      <c r="V934" s="4" t="str">
        <f>IF(COUNTIF($W$2:W934,W934)=1,1,"")</f>
        <v/>
      </c>
      <c r="W934" s="4" t="e">
        <f>CONCATENATE(DbLinkTable[[#This Row],[Customer]],UPPER(DbLinkTable[[#This Row],[Trailer Number]]),DbLinkTable[[#This Row],[Day Received]])</f>
        <v>#VALUE!</v>
      </c>
      <c r="X934" s="4" t="e">
        <f>DATEVALUE(TEXT(DbLinkTable[[#This Row],[Date Received]],"MMMM YYYY"))</f>
        <v>#VALUE!</v>
      </c>
      <c r="Y934" s="4" t="e">
        <f>INT(DbLinkTable[[#This Row],[Date Received]])</f>
        <v>#VALUE!</v>
      </c>
    </row>
    <row r="935" spans="5:25">
      <c r="E935"/>
      <c r="G935"/>
      <c r="H935"/>
      <c r="I935"/>
      <c r="K935"/>
      <c r="O935"/>
      <c r="R935"/>
      <c r="S935" s="79" t="e">
        <f>DbLinkTable[[#This Row],[Credit]]+DbLinkTable[[#This Row],[Charge]]</f>
        <v>#VALUE!</v>
      </c>
      <c r="T935" s="79" t="e">
        <f>IF(DbLinkTable[[#This Row],[Price/lb]]*DbLinkTable[[#This Row],[Weight]]&gt;0,DbLinkTable[[#This Row],[Price/lb]]*DbLinkTable[[#This Row],[Weight]],0)</f>
        <v>#VALUE!</v>
      </c>
      <c r="U935" s="79" t="e">
        <f>IF(DbLinkTable[[#This Row],[Price/lb]]*DbLinkTable[[#This Row],[Weight]]&lt;0,DbLinkTable[[#This Row],[Price/lb]]*DbLinkTable[[#This Row],[Weight]],0)</f>
        <v>#VALUE!</v>
      </c>
      <c r="V935" s="4" t="str">
        <f>IF(COUNTIF($W$2:W935,W935)=1,1,"")</f>
        <v/>
      </c>
      <c r="W935" s="4" t="e">
        <f>CONCATENATE(DbLinkTable[[#This Row],[Customer]],UPPER(DbLinkTable[[#This Row],[Trailer Number]]),DbLinkTable[[#This Row],[Day Received]])</f>
        <v>#VALUE!</v>
      </c>
      <c r="X935" s="4" t="e">
        <f>DATEVALUE(TEXT(DbLinkTable[[#This Row],[Date Received]],"MMMM YYYY"))</f>
        <v>#VALUE!</v>
      </c>
      <c r="Y935" s="4" t="e">
        <f>INT(DbLinkTable[[#This Row],[Date Received]])</f>
        <v>#VALUE!</v>
      </c>
    </row>
    <row r="936" spans="5:25">
      <c r="E936"/>
      <c r="G936"/>
      <c r="H936"/>
      <c r="I936"/>
      <c r="K936"/>
      <c r="O936"/>
      <c r="R936"/>
      <c r="S936" s="79" t="e">
        <f>DbLinkTable[[#This Row],[Credit]]+DbLinkTable[[#This Row],[Charge]]</f>
        <v>#VALUE!</v>
      </c>
      <c r="T936" s="79" t="e">
        <f>IF(DbLinkTable[[#This Row],[Price/lb]]*DbLinkTable[[#This Row],[Weight]]&gt;0,DbLinkTable[[#This Row],[Price/lb]]*DbLinkTable[[#This Row],[Weight]],0)</f>
        <v>#VALUE!</v>
      </c>
      <c r="U936" s="79" t="e">
        <f>IF(DbLinkTable[[#This Row],[Price/lb]]*DbLinkTable[[#This Row],[Weight]]&lt;0,DbLinkTable[[#This Row],[Price/lb]]*DbLinkTable[[#This Row],[Weight]],0)</f>
        <v>#VALUE!</v>
      </c>
      <c r="V936" s="4" t="str">
        <f>IF(COUNTIF($W$2:W936,W936)=1,1,"")</f>
        <v/>
      </c>
      <c r="W936" s="4" t="e">
        <f>CONCATENATE(DbLinkTable[[#This Row],[Customer]],UPPER(DbLinkTable[[#This Row],[Trailer Number]]),DbLinkTable[[#This Row],[Day Received]])</f>
        <v>#VALUE!</v>
      </c>
      <c r="X936" s="4" t="e">
        <f>DATEVALUE(TEXT(DbLinkTable[[#This Row],[Date Received]],"MMMM YYYY"))</f>
        <v>#VALUE!</v>
      </c>
      <c r="Y936" s="4" t="e">
        <f>INT(DbLinkTable[[#This Row],[Date Received]])</f>
        <v>#VALUE!</v>
      </c>
    </row>
    <row r="937" spans="5:25">
      <c r="E937"/>
      <c r="G937"/>
      <c r="H937"/>
      <c r="I937"/>
      <c r="K937"/>
      <c r="O937"/>
      <c r="R937"/>
      <c r="S937" s="79" t="e">
        <f>DbLinkTable[[#This Row],[Credit]]+DbLinkTable[[#This Row],[Charge]]</f>
        <v>#VALUE!</v>
      </c>
      <c r="T937" s="79" t="e">
        <f>IF(DbLinkTable[[#This Row],[Price/lb]]*DbLinkTable[[#This Row],[Weight]]&gt;0,DbLinkTable[[#This Row],[Price/lb]]*DbLinkTable[[#This Row],[Weight]],0)</f>
        <v>#VALUE!</v>
      </c>
      <c r="U937" s="79" t="e">
        <f>IF(DbLinkTable[[#This Row],[Price/lb]]*DbLinkTable[[#This Row],[Weight]]&lt;0,DbLinkTable[[#This Row],[Price/lb]]*DbLinkTable[[#This Row],[Weight]],0)</f>
        <v>#VALUE!</v>
      </c>
      <c r="V937" s="4" t="str">
        <f>IF(COUNTIF($W$2:W937,W937)=1,1,"")</f>
        <v/>
      </c>
      <c r="W937" s="4" t="e">
        <f>CONCATENATE(DbLinkTable[[#This Row],[Customer]],UPPER(DbLinkTable[[#This Row],[Trailer Number]]),DbLinkTable[[#This Row],[Day Received]])</f>
        <v>#VALUE!</v>
      </c>
      <c r="X937" s="4" t="e">
        <f>DATEVALUE(TEXT(DbLinkTable[[#This Row],[Date Received]],"MMMM YYYY"))</f>
        <v>#VALUE!</v>
      </c>
      <c r="Y937" s="4" t="e">
        <f>INT(DbLinkTable[[#This Row],[Date Received]])</f>
        <v>#VALUE!</v>
      </c>
    </row>
    <row r="938" spans="5:25">
      <c r="E938"/>
      <c r="G938"/>
      <c r="H938"/>
      <c r="I938"/>
      <c r="K938"/>
      <c r="O938"/>
      <c r="R938"/>
      <c r="S938" s="79" t="e">
        <f>DbLinkTable[[#This Row],[Credit]]+DbLinkTable[[#This Row],[Charge]]</f>
        <v>#VALUE!</v>
      </c>
      <c r="T938" s="79" t="e">
        <f>IF(DbLinkTable[[#This Row],[Price/lb]]*DbLinkTable[[#This Row],[Weight]]&gt;0,DbLinkTable[[#This Row],[Price/lb]]*DbLinkTable[[#This Row],[Weight]],0)</f>
        <v>#VALUE!</v>
      </c>
      <c r="U938" s="79" t="e">
        <f>IF(DbLinkTable[[#This Row],[Price/lb]]*DbLinkTable[[#This Row],[Weight]]&lt;0,DbLinkTable[[#This Row],[Price/lb]]*DbLinkTable[[#This Row],[Weight]],0)</f>
        <v>#VALUE!</v>
      </c>
      <c r="V938" s="4" t="str">
        <f>IF(COUNTIF($W$2:W938,W938)=1,1,"")</f>
        <v/>
      </c>
      <c r="W938" s="4" t="e">
        <f>CONCATENATE(DbLinkTable[[#This Row],[Customer]],UPPER(DbLinkTable[[#This Row],[Trailer Number]]),DbLinkTable[[#This Row],[Day Received]])</f>
        <v>#VALUE!</v>
      </c>
      <c r="X938" s="4" t="e">
        <f>DATEVALUE(TEXT(DbLinkTable[[#This Row],[Date Received]],"MMMM YYYY"))</f>
        <v>#VALUE!</v>
      </c>
      <c r="Y938" s="4" t="e">
        <f>INT(DbLinkTable[[#This Row],[Date Received]])</f>
        <v>#VALUE!</v>
      </c>
    </row>
    <row r="939" spans="5:25">
      <c r="E939"/>
      <c r="G939"/>
      <c r="H939"/>
      <c r="I939"/>
      <c r="K939"/>
      <c r="O939"/>
      <c r="R939"/>
      <c r="S939" s="79" t="e">
        <f>DbLinkTable[[#This Row],[Credit]]+DbLinkTable[[#This Row],[Charge]]</f>
        <v>#VALUE!</v>
      </c>
      <c r="T939" s="79" t="e">
        <f>IF(DbLinkTable[[#This Row],[Price/lb]]*DbLinkTable[[#This Row],[Weight]]&gt;0,DbLinkTable[[#This Row],[Price/lb]]*DbLinkTable[[#This Row],[Weight]],0)</f>
        <v>#VALUE!</v>
      </c>
      <c r="U939" s="79" t="e">
        <f>IF(DbLinkTable[[#This Row],[Price/lb]]*DbLinkTable[[#This Row],[Weight]]&lt;0,DbLinkTable[[#This Row],[Price/lb]]*DbLinkTable[[#This Row],[Weight]],0)</f>
        <v>#VALUE!</v>
      </c>
      <c r="V939" s="4" t="str">
        <f>IF(COUNTIF($W$2:W939,W939)=1,1,"")</f>
        <v/>
      </c>
      <c r="W939" s="4" t="e">
        <f>CONCATENATE(DbLinkTable[[#This Row],[Customer]],UPPER(DbLinkTable[[#This Row],[Trailer Number]]),DbLinkTable[[#This Row],[Day Received]])</f>
        <v>#VALUE!</v>
      </c>
      <c r="X939" s="4" t="e">
        <f>DATEVALUE(TEXT(DbLinkTable[[#This Row],[Date Received]],"MMMM YYYY"))</f>
        <v>#VALUE!</v>
      </c>
      <c r="Y939" s="4" t="e">
        <f>INT(DbLinkTable[[#This Row],[Date Received]])</f>
        <v>#VALUE!</v>
      </c>
    </row>
    <row r="940" spans="5:25">
      <c r="E940"/>
      <c r="G940"/>
      <c r="H940"/>
      <c r="I940"/>
      <c r="K940"/>
      <c r="O940"/>
      <c r="R940"/>
      <c r="S940" s="79" t="e">
        <f>DbLinkTable[[#This Row],[Credit]]+DbLinkTable[[#This Row],[Charge]]</f>
        <v>#VALUE!</v>
      </c>
      <c r="T940" s="79" t="e">
        <f>IF(DbLinkTable[[#This Row],[Price/lb]]*DbLinkTable[[#This Row],[Weight]]&gt;0,DbLinkTable[[#This Row],[Price/lb]]*DbLinkTable[[#This Row],[Weight]],0)</f>
        <v>#VALUE!</v>
      </c>
      <c r="U940" s="79" t="e">
        <f>IF(DbLinkTable[[#This Row],[Price/lb]]*DbLinkTable[[#This Row],[Weight]]&lt;0,DbLinkTable[[#This Row],[Price/lb]]*DbLinkTable[[#This Row],[Weight]],0)</f>
        <v>#VALUE!</v>
      </c>
      <c r="V940" s="4" t="str">
        <f>IF(COUNTIF($W$2:W940,W940)=1,1,"")</f>
        <v/>
      </c>
      <c r="W940" s="4" t="e">
        <f>CONCATENATE(DbLinkTable[[#This Row],[Customer]],UPPER(DbLinkTable[[#This Row],[Trailer Number]]),DbLinkTable[[#This Row],[Day Received]])</f>
        <v>#VALUE!</v>
      </c>
      <c r="X940" s="4" t="e">
        <f>DATEVALUE(TEXT(DbLinkTable[[#This Row],[Date Received]],"MMMM YYYY"))</f>
        <v>#VALUE!</v>
      </c>
      <c r="Y940" s="4" t="e">
        <f>INT(DbLinkTable[[#This Row],[Date Received]])</f>
        <v>#VALUE!</v>
      </c>
    </row>
    <row r="941" spans="5:25">
      <c r="E941"/>
      <c r="G941"/>
      <c r="H941"/>
      <c r="I941"/>
      <c r="K941"/>
      <c r="O941"/>
      <c r="R941"/>
      <c r="S941" s="79" t="e">
        <f>DbLinkTable[[#This Row],[Credit]]+DbLinkTable[[#This Row],[Charge]]</f>
        <v>#VALUE!</v>
      </c>
      <c r="T941" s="79" t="e">
        <f>IF(DbLinkTable[[#This Row],[Price/lb]]*DbLinkTable[[#This Row],[Weight]]&gt;0,DbLinkTable[[#This Row],[Price/lb]]*DbLinkTable[[#This Row],[Weight]],0)</f>
        <v>#VALUE!</v>
      </c>
      <c r="U941" s="79" t="e">
        <f>IF(DbLinkTable[[#This Row],[Price/lb]]*DbLinkTable[[#This Row],[Weight]]&lt;0,DbLinkTable[[#This Row],[Price/lb]]*DbLinkTable[[#This Row],[Weight]],0)</f>
        <v>#VALUE!</v>
      </c>
      <c r="V941" s="4" t="str">
        <f>IF(COUNTIF($W$2:W941,W941)=1,1,"")</f>
        <v/>
      </c>
      <c r="W941" s="4" t="e">
        <f>CONCATENATE(DbLinkTable[[#This Row],[Customer]],UPPER(DbLinkTable[[#This Row],[Trailer Number]]),DbLinkTable[[#This Row],[Day Received]])</f>
        <v>#VALUE!</v>
      </c>
      <c r="X941" s="4" t="e">
        <f>DATEVALUE(TEXT(DbLinkTable[[#This Row],[Date Received]],"MMMM YYYY"))</f>
        <v>#VALUE!</v>
      </c>
      <c r="Y941" s="4" t="e">
        <f>INT(DbLinkTable[[#This Row],[Date Received]])</f>
        <v>#VALUE!</v>
      </c>
    </row>
    <row r="942" spans="5:25">
      <c r="E942"/>
      <c r="G942"/>
      <c r="H942"/>
      <c r="I942"/>
      <c r="K942"/>
      <c r="O942"/>
      <c r="R942"/>
      <c r="S942" s="79" t="e">
        <f>DbLinkTable[[#This Row],[Credit]]+DbLinkTable[[#This Row],[Charge]]</f>
        <v>#VALUE!</v>
      </c>
      <c r="T942" s="79" t="e">
        <f>IF(DbLinkTable[[#This Row],[Price/lb]]*DbLinkTable[[#This Row],[Weight]]&gt;0,DbLinkTable[[#This Row],[Price/lb]]*DbLinkTable[[#This Row],[Weight]],0)</f>
        <v>#VALUE!</v>
      </c>
      <c r="U942" s="79" t="e">
        <f>IF(DbLinkTable[[#This Row],[Price/lb]]*DbLinkTable[[#This Row],[Weight]]&lt;0,DbLinkTable[[#This Row],[Price/lb]]*DbLinkTable[[#This Row],[Weight]],0)</f>
        <v>#VALUE!</v>
      </c>
      <c r="V942" s="4" t="str">
        <f>IF(COUNTIF($W$2:W942,W942)=1,1,"")</f>
        <v/>
      </c>
      <c r="W942" s="4" t="e">
        <f>CONCATENATE(DbLinkTable[[#This Row],[Customer]],UPPER(DbLinkTable[[#This Row],[Trailer Number]]),DbLinkTable[[#This Row],[Day Received]])</f>
        <v>#VALUE!</v>
      </c>
      <c r="X942" s="4" t="e">
        <f>DATEVALUE(TEXT(DbLinkTable[[#This Row],[Date Received]],"MMMM YYYY"))</f>
        <v>#VALUE!</v>
      </c>
      <c r="Y942" s="4" t="e">
        <f>INT(DbLinkTable[[#This Row],[Date Received]])</f>
        <v>#VALUE!</v>
      </c>
    </row>
    <row r="943" spans="5:25">
      <c r="E943"/>
      <c r="G943"/>
      <c r="H943"/>
      <c r="I943"/>
      <c r="K943"/>
      <c r="O943"/>
      <c r="R943"/>
      <c r="S943" s="79" t="e">
        <f>DbLinkTable[[#This Row],[Credit]]+DbLinkTable[[#This Row],[Charge]]</f>
        <v>#VALUE!</v>
      </c>
      <c r="T943" s="79" t="e">
        <f>IF(DbLinkTable[[#This Row],[Price/lb]]*DbLinkTable[[#This Row],[Weight]]&gt;0,DbLinkTable[[#This Row],[Price/lb]]*DbLinkTable[[#This Row],[Weight]],0)</f>
        <v>#VALUE!</v>
      </c>
      <c r="U943" s="79" t="e">
        <f>IF(DbLinkTable[[#This Row],[Price/lb]]*DbLinkTable[[#This Row],[Weight]]&lt;0,DbLinkTable[[#This Row],[Price/lb]]*DbLinkTable[[#This Row],[Weight]],0)</f>
        <v>#VALUE!</v>
      </c>
      <c r="V943" s="4" t="str">
        <f>IF(COUNTIF($W$2:W943,W943)=1,1,"")</f>
        <v/>
      </c>
      <c r="W943" s="4" t="e">
        <f>CONCATENATE(DbLinkTable[[#This Row],[Customer]],UPPER(DbLinkTable[[#This Row],[Trailer Number]]),DbLinkTable[[#This Row],[Day Received]])</f>
        <v>#VALUE!</v>
      </c>
      <c r="X943" s="4" t="e">
        <f>DATEVALUE(TEXT(DbLinkTable[[#This Row],[Date Received]],"MMMM YYYY"))</f>
        <v>#VALUE!</v>
      </c>
      <c r="Y943" s="4" t="e">
        <f>INT(DbLinkTable[[#This Row],[Date Received]])</f>
        <v>#VALUE!</v>
      </c>
    </row>
    <row r="944" spans="5:25">
      <c r="E944"/>
      <c r="G944"/>
      <c r="H944"/>
      <c r="I944"/>
      <c r="K944"/>
      <c r="O944"/>
      <c r="R944"/>
      <c r="S944" s="79" t="e">
        <f>DbLinkTable[[#This Row],[Credit]]+DbLinkTable[[#This Row],[Charge]]</f>
        <v>#VALUE!</v>
      </c>
      <c r="T944" s="79" t="e">
        <f>IF(DbLinkTable[[#This Row],[Price/lb]]*DbLinkTable[[#This Row],[Weight]]&gt;0,DbLinkTable[[#This Row],[Price/lb]]*DbLinkTable[[#This Row],[Weight]],0)</f>
        <v>#VALUE!</v>
      </c>
      <c r="U944" s="79" t="e">
        <f>IF(DbLinkTable[[#This Row],[Price/lb]]*DbLinkTable[[#This Row],[Weight]]&lt;0,DbLinkTable[[#This Row],[Price/lb]]*DbLinkTable[[#This Row],[Weight]],0)</f>
        <v>#VALUE!</v>
      </c>
      <c r="V944" s="4" t="str">
        <f>IF(COUNTIF($W$2:W944,W944)=1,1,"")</f>
        <v/>
      </c>
      <c r="W944" s="4" t="e">
        <f>CONCATENATE(DbLinkTable[[#This Row],[Customer]],UPPER(DbLinkTable[[#This Row],[Trailer Number]]),DbLinkTable[[#This Row],[Day Received]])</f>
        <v>#VALUE!</v>
      </c>
      <c r="X944" s="4" t="e">
        <f>DATEVALUE(TEXT(DbLinkTable[[#This Row],[Date Received]],"MMMM YYYY"))</f>
        <v>#VALUE!</v>
      </c>
      <c r="Y944" s="4" t="e">
        <f>INT(DbLinkTable[[#This Row],[Date Received]])</f>
        <v>#VALUE!</v>
      </c>
    </row>
    <row r="945" spans="5:25">
      <c r="E945"/>
      <c r="G945"/>
      <c r="H945"/>
      <c r="I945"/>
      <c r="K945"/>
      <c r="O945"/>
      <c r="R945"/>
      <c r="S945" s="79" t="e">
        <f>DbLinkTable[[#This Row],[Credit]]+DbLinkTable[[#This Row],[Charge]]</f>
        <v>#VALUE!</v>
      </c>
      <c r="T945" s="79" t="e">
        <f>IF(DbLinkTable[[#This Row],[Price/lb]]*DbLinkTable[[#This Row],[Weight]]&gt;0,DbLinkTable[[#This Row],[Price/lb]]*DbLinkTable[[#This Row],[Weight]],0)</f>
        <v>#VALUE!</v>
      </c>
      <c r="U945" s="79" t="e">
        <f>IF(DbLinkTable[[#This Row],[Price/lb]]*DbLinkTable[[#This Row],[Weight]]&lt;0,DbLinkTable[[#This Row],[Price/lb]]*DbLinkTable[[#This Row],[Weight]],0)</f>
        <v>#VALUE!</v>
      </c>
      <c r="V945" s="4" t="str">
        <f>IF(COUNTIF($W$2:W945,W945)=1,1,"")</f>
        <v/>
      </c>
      <c r="W945" s="4" t="e">
        <f>CONCATENATE(DbLinkTable[[#This Row],[Customer]],UPPER(DbLinkTable[[#This Row],[Trailer Number]]),DbLinkTable[[#This Row],[Day Received]])</f>
        <v>#VALUE!</v>
      </c>
      <c r="X945" s="4" t="e">
        <f>DATEVALUE(TEXT(DbLinkTable[[#This Row],[Date Received]],"MMMM YYYY"))</f>
        <v>#VALUE!</v>
      </c>
      <c r="Y945" s="4" t="e">
        <f>INT(DbLinkTable[[#This Row],[Date Received]])</f>
        <v>#VALUE!</v>
      </c>
    </row>
    <row r="946" spans="5:25">
      <c r="E946"/>
      <c r="G946"/>
      <c r="H946"/>
      <c r="I946"/>
      <c r="K946"/>
      <c r="O946"/>
      <c r="R946"/>
      <c r="S946" s="79" t="e">
        <f>DbLinkTable[[#This Row],[Credit]]+DbLinkTable[[#This Row],[Charge]]</f>
        <v>#VALUE!</v>
      </c>
      <c r="T946" s="79" t="e">
        <f>IF(DbLinkTable[[#This Row],[Price/lb]]*DbLinkTable[[#This Row],[Weight]]&gt;0,DbLinkTable[[#This Row],[Price/lb]]*DbLinkTable[[#This Row],[Weight]],0)</f>
        <v>#VALUE!</v>
      </c>
      <c r="U946" s="79" t="e">
        <f>IF(DbLinkTable[[#This Row],[Price/lb]]*DbLinkTable[[#This Row],[Weight]]&lt;0,DbLinkTable[[#This Row],[Price/lb]]*DbLinkTable[[#This Row],[Weight]],0)</f>
        <v>#VALUE!</v>
      </c>
      <c r="V946" s="4" t="str">
        <f>IF(COUNTIF($W$2:W946,W946)=1,1,"")</f>
        <v/>
      </c>
      <c r="W946" s="4" t="e">
        <f>CONCATENATE(DbLinkTable[[#This Row],[Customer]],UPPER(DbLinkTable[[#This Row],[Trailer Number]]),DbLinkTable[[#This Row],[Day Received]])</f>
        <v>#VALUE!</v>
      </c>
      <c r="X946" s="4" t="e">
        <f>DATEVALUE(TEXT(DbLinkTable[[#This Row],[Date Received]],"MMMM YYYY"))</f>
        <v>#VALUE!</v>
      </c>
      <c r="Y946" s="4" t="e">
        <f>INT(DbLinkTable[[#This Row],[Date Received]])</f>
        <v>#VALUE!</v>
      </c>
    </row>
    <row r="947" spans="5:25">
      <c r="E947"/>
      <c r="G947"/>
      <c r="H947"/>
      <c r="I947"/>
      <c r="K947"/>
      <c r="O947"/>
      <c r="R947"/>
      <c r="S947" s="79" t="e">
        <f>DbLinkTable[[#This Row],[Credit]]+DbLinkTable[[#This Row],[Charge]]</f>
        <v>#VALUE!</v>
      </c>
      <c r="T947" s="79" t="e">
        <f>IF(DbLinkTable[[#This Row],[Price/lb]]*DbLinkTable[[#This Row],[Weight]]&gt;0,DbLinkTable[[#This Row],[Price/lb]]*DbLinkTable[[#This Row],[Weight]],0)</f>
        <v>#VALUE!</v>
      </c>
      <c r="U947" s="79" t="e">
        <f>IF(DbLinkTable[[#This Row],[Price/lb]]*DbLinkTable[[#This Row],[Weight]]&lt;0,DbLinkTable[[#This Row],[Price/lb]]*DbLinkTable[[#This Row],[Weight]],0)</f>
        <v>#VALUE!</v>
      </c>
      <c r="V947" s="4" t="str">
        <f>IF(COUNTIF($W$2:W947,W947)=1,1,"")</f>
        <v/>
      </c>
      <c r="W947" s="4" t="e">
        <f>CONCATENATE(DbLinkTable[[#This Row],[Customer]],UPPER(DbLinkTable[[#This Row],[Trailer Number]]),DbLinkTable[[#This Row],[Day Received]])</f>
        <v>#VALUE!</v>
      </c>
      <c r="X947" s="4" t="e">
        <f>DATEVALUE(TEXT(DbLinkTable[[#This Row],[Date Received]],"MMMM YYYY"))</f>
        <v>#VALUE!</v>
      </c>
      <c r="Y947" s="4" t="e">
        <f>INT(DbLinkTable[[#This Row],[Date Received]])</f>
        <v>#VALUE!</v>
      </c>
    </row>
    <row r="948" spans="5:25">
      <c r="E948"/>
      <c r="G948"/>
      <c r="H948"/>
      <c r="I948"/>
      <c r="K948"/>
      <c r="O948"/>
      <c r="R948"/>
      <c r="S948" s="79" t="e">
        <f>DbLinkTable[[#This Row],[Credit]]+DbLinkTable[[#This Row],[Charge]]</f>
        <v>#VALUE!</v>
      </c>
      <c r="T948" s="79" t="e">
        <f>IF(DbLinkTable[[#This Row],[Price/lb]]*DbLinkTable[[#This Row],[Weight]]&gt;0,DbLinkTable[[#This Row],[Price/lb]]*DbLinkTable[[#This Row],[Weight]],0)</f>
        <v>#VALUE!</v>
      </c>
      <c r="U948" s="79" t="e">
        <f>IF(DbLinkTable[[#This Row],[Price/lb]]*DbLinkTable[[#This Row],[Weight]]&lt;0,DbLinkTable[[#This Row],[Price/lb]]*DbLinkTable[[#This Row],[Weight]],0)</f>
        <v>#VALUE!</v>
      </c>
      <c r="V948" s="4" t="str">
        <f>IF(COUNTIF($W$2:W948,W948)=1,1,"")</f>
        <v/>
      </c>
      <c r="W948" s="4" t="e">
        <f>CONCATENATE(DbLinkTable[[#This Row],[Customer]],UPPER(DbLinkTable[[#This Row],[Trailer Number]]),DbLinkTable[[#This Row],[Day Received]])</f>
        <v>#VALUE!</v>
      </c>
      <c r="X948" s="4" t="e">
        <f>DATEVALUE(TEXT(DbLinkTable[[#This Row],[Date Received]],"MMMM YYYY"))</f>
        <v>#VALUE!</v>
      </c>
      <c r="Y948" s="4" t="e">
        <f>INT(DbLinkTable[[#This Row],[Date Received]])</f>
        <v>#VALUE!</v>
      </c>
    </row>
    <row r="949" spans="5:25">
      <c r="E949"/>
      <c r="G949"/>
      <c r="H949"/>
      <c r="I949"/>
      <c r="K949"/>
      <c r="O949"/>
      <c r="R949"/>
      <c r="S949" s="79" t="e">
        <f>DbLinkTable[[#This Row],[Credit]]+DbLinkTable[[#This Row],[Charge]]</f>
        <v>#VALUE!</v>
      </c>
      <c r="T949" s="79" t="e">
        <f>IF(DbLinkTable[[#This Row],[Price/lb]]*DbLinkTable[[#This Row],[Weight]]&gt;0,DbLinkTable[[#This Row],[Price/lb]]*DbLinkTable[[#This Row],[Weight]],0)</f>
        <v>#VALUE!</v>
      </c>
      <c r="U949" s="79" t="e">
        <f>IF(DbLinkTable[[#This Row],[Price/lb]]*DbLinkTable[[#This Row],[Weight]]&lt;0,DbLinkTable[[#This Row],[Price/lb]]*DbLinkTable[[#This Row],[Weight]],0)</f>
        <v>#VALUE!</v>
      </c>
      <c r="V949" s="4" t="str">
        <f>IF(COUNTIF($W$2:W949,W949)=1,1,"")</f>
        <v/>
      </c>
      <c r="W949" s="4" t="e">
        <f>CONCATENATE(DbLinkTable[[#This Row],[Customer]],UPPER(DbLinkTable[[#This Row],[Trailer Number]]),DbLinkTable[[#This Row],[Day Received]])</f>
        <v>#VALUE!</v>
      </c>
      <c r="X949" s="4" t="e">
        <f>DATEVALUE(TEXT(DbLinkTable[[#This Row],[Date Received]],"MMMM YYYY"))</f>
        <v>#VALUE!</v>
      </c>
      <c r="Y949" s="4" t="e">
        <f>INT(DbLinkTable[[#This Row],[Date Received]])</f>
        <v>#VALUE!</v>
      </c>
    </row>
    <row r="950" spans="5:25">
      <c r="E950"/>
      <c r="G950"/>
      <c r="H950"/>
      <c r="I950"/>
      <c r="K950"/>
      <c r="O950"/>
      <c r="R950"/>
      <c r="S950" s="79" t="e">
        <f>DbLinkTable[[#This Row],[Credit]]+DbLinkTable[[#This Row],[Charge]]</f>
        <v>#VALUE!</v>
      </c>
      <c r="T950" s="79" t="e">
        <f>IF(DbLinkTable[[#This Row],[Price/lb]]*DbLinkTable[[#This Row],[Weight]]&gt;0,DbLinkTable[[#This Row],[Price/lb]]*DbLinkTable[[#This Row],[Weight]],0)</f>
        <v>#VALUE!</v>
      </c>
      <c r="U950" s="79" t="e">
        <f>IF(DbLinkTable[[#This Row],[Price/lb]]*DbLinkTable[[#This Row],[Weight]]&lt;0,DbLinkTable[[#This Row],[Price/lb]]*DbLinkTable[[#This Row],[Weight]],0)</f>
        <v>#VALUE!</v>
      </c>
      <c r="V950" s="4" t="str">
        <f>IF(COUNTIF($W$2:W950,W950)=1,1,"")</f>
        <v/>
      </c>
      <c r="W950" s="4" t="e">
        <f>CONCATENATE(DbLinkTable[[#This Row],[Customer]],UPPER(DbLinkTable[[#This Row],[Trailer Number]]),DbLinkTable[[#This Row],[Day Received]])</f>
        <v>#VALUE!</v>
      </c>
      <c r="X950" s="4" t="e">
        <f>DATEVALUE(TEXT(DbLinkTable[[#This Row],[Date Received]],"MMMM YYYY"))</f>
        <v>#VALUE!</v>
      </c>
      <c r="Y950" s="4" t="e">
        <f>INT(DbLinkTable[[#This Row],[Date Received]])</f>
        <v>#VALUE!</v>
      </c>
    </row>
    <row r="951" spans="5:25">
      <c r="E951"/>
      <c r="G951"/>
      <c r="H951"/>
      <c r="I951"/>
      <c r="K951"/>
      <c r="O951"/>
      <c r="R951"/>
      <c r="S951" s="79" t="e">
        <f>DbLinkTable[[#This Row],[Credit]]+DbLinkTable[[#This Row],[Charge]]</f>
        <v>#VALUE!</v>
      </c>
      <c r="T951" s="79" t="e">
        <f>IF(DbLinkTable[[#This Row],[Price/lb]]*DbLinkTable[[#This Row],[Weight]]&gt;0,DbLinkTable[[#This Row],[Price/lb]]*DbLinkTable[[#This Row],[Weight]],0)</f>
        <v>#VALUE!</v>
      </c>
      <c r="U951" s="79" t="e">
        <f>IF(DbLinkTable[[#This Row],[Price/lb]]*DbLinkTable[[#This Row],[Weight]]&lt;0,DbLinkTable[[#This Row],[Price/lb]]*DbLinkTable[[#This Row],[Weight]],0)</f>
        <v>#VALUE!</v>
      </c>
      <c r="V951" s="4" t="str">
        <f>IF(COUNTIF($W$2:W951,W951)=1,1,"")</f>
        <v/>
      </c>
      <c r="W951" s="4" t="e">
        <f>CONCATENATE(DbLinkTable[[#This Row],[Customer]],UPPER(DbLinkTable[[#This Row],[Trailer Number]]),DbLinkTable[[#This Row],[Day Received]])</f>
        <v>#VALUE!</v>
      </c>
      <c r="X951" s="4" t="e">
        <f>DATEVALUE(TEXT(DbLinkTable[[#This Row],[Date Received]],"MMMM YYYY"))</f>
        <v>#VALUE!</v>
      </c>
      <c r="Y951" s="4" t="e">
        <f>INT(DbLinkTable[[#This Row],[Date Received]])</f>
        <v>#VALUE!</v>
      </c>
    </row>
    <row r="952" spans="5:25">
      <c r="E952"/>
      <c r="G952"/>
      <c r="H952"/>
      <c r="I952"/>
      <c r="K952"/>
      <c r="O952"/>
      <c r="R952"/>
      <c r="S952" s="79" t="e">
        <f>DbLinkTable[[#This Row],[Credit]]+DbLinkTable[[#This Row],[Charge]]</f>
        <v>#VALUE!</v>
      </c>
      <c r="T952" s="79" t="e">
        <f>IF(DbLinkTable[[#This Row],[Price/lb]]*DbLinkTable[[#This Row],[Weight]]&gt;0,DbLinkTable[[#This Row],[Price/lb]]*DbLinkTable[[#This Row],[Weight]],0)</f>
        <v>#VALUE!</v>
      </c>
      <c r="U952" s="79" t="e">
        <f>IF(DbLinkTable[[#This Row],[Price/lb]]*DbLinkTable[[#This Row],[Weight]]&lt;0,DbLinkTable[[#This Row],[Price/lb]]*DbLinkTable[[#This Row],[Weight]],0)</f>
        <v>#VALUE!</v>
      </c>
      <c r="V952" s="4" t="str">
        <f>IF(COUNTIF($W$2:W952,W952)=1,1,"")</f>
        <v/>
      </c>
      <c r="W952" s="4" t="e">
        <f>CONCATENATE(DbLinkTable[[#This Row],[Customer]],UPPER(DbLinkTable[[#This Row],[Trailer Number]]),DbLinkTable[[#This Row],[Day Received]])</f>
        <v>#VALUE!</v>
      </c>
      <c r="X952" s="4" t="e">
        <f>DATEVALUE(TEXT(DbLinkTable[[#This Row],[Date Received]],"MMMM YYYY"))</f>
        <v>#VALUE!</v>
      </c>
      <c r="Y952" s="4" t="e">
        <f>INT(DbLinkTable[[#This Row],[Date Received]])</f>
        <v>#VALUE!</v>
      </c>
    </row>
    <row r="953" spans="5:25">
      <c r="E953"/>
      <c r="G953"/>
      <c r="H953"/>
      <c r="I953"/>
      <c r="K953"/>
      <c r="O953"/>
      <c r="R953"/>
      <c r="S953" s="79" t="e">
        <f>DbLinkTable[[#This Row],[Credit]]+DbLinkTable[[#This Row],[Charge]]</f>
        <v>#VALUE!</v>
      </c>
      <c r="T953" s="79" t="e">
        <f>IF(DbLinkTable[[#This Row],[Price/lb]]*DbLinkTable[[#This Row],[Weight]]&gt;0,DbLinkTable[[#This Row],[Price/lb]]*DbLinkTable[[#This Row],[Weight]],0)</f>
        <v>#VALUE!</v>
      </c>
      <c r="U953" s="79" t="e">
        <f>IF(DbLinkTable[[#This Row],[Price/lb]]*DbLinkTable[[#This Row],[Weight]]&lt;0,DbLinkTable[[#This Row],[Price/lb]]*DbLinkTable[[#This Row],[Weight]],0)</f>
        <v>#VALUE!</v>
      </c>
      <c r="V953" s="4" t="str">
        <f>IF(COUNTIF($W$2:W953,W953)=1,1,"")</f>
        <v/>
      </c>
      <c r="W953" s="4" t="e">
        <f>CONCATENATE(DbLinkTable[[#This Row],[Customer]],UPPER(DbLinkTable[[#This Row],[Trailer Number]]),DbLinkTable[[#This Row],[Day Received]])</f>
        <v>#VALUE!</v>
      </c>
      <c r="X953" s="4" t="e">
        <f>DATEVALUE(TEXT(DbLinkTable[[#This Row],[Date Received]],"MMMM YYYY"))</f>
        <v>#VALUE!</v>
      </c>
      <c r="Y953" s="4" t="e">
        <f>INT(DbLinkTable[[#This Row],[Date Received]])</f>
        <v>#VALUE!</v>
      </c>
    </row>
    <row r="954" spans="5:25">
      <c r="E954"/>
      <c r="G954"/>
      <c r="H954"/>
      <c r="I954"/>
      <c r="K954"/>
      <c r="O954"/>
      <c r="R954"/>
      <c r="S954" s="79" t="e">
        <f>DbLinkTable[[#This Row],[Credit]]+DbLinkTable[[#This Row],[Charge]]</f>
        <v>#VALUE!</v>
      </c>
      <c r="T954" s="79" t="e">
        <f>IF(DbLinkTable[[#This Row],[Price/lb]]*DbLinkTable[[#This Row],[Weight]]&gt;0,DbLinkTable[[#This Row],[Price/lb]]*DbLinkTable[[#This Row],[Weight]],0)</f>
        <v>#VALUE!</v>
      </c>
      <c r="U954" s="79" t="e">
        <f>IF(DbLinkTable[[#This Row],[Price/lb]]*DbLinkTable[[#This Row],[Weight]]&lt;0,DbLinkTable[[#This Row],[Price/lb]]*DbLinkTable[[#This Row],[Weight]],0)</f>
        <v>#VALUE!</v>
      </c>
      <c r="V954" s="4" t="str">
        <f>IF(COUNTIF($W$2:W954,W954)=1,1,"")</f>
        <v/>
      </c>
      <c r="W954" s="4" t="e">
        <f>CONCATENATE(DbLinkTable[[#This Row],[Customer]],UPPER(DbLinkTable[[#This Row],[Trailer Number]]),DbLinkTable[[#This Row],[Day Received]])</f>
        <v>#VALUE!</v>
      </c>
      <c r="X954" s="4" t="e">
        <f>DATEVALUE(TEXT(DbLinkTable[[#This Row],[Date Received]],"MMMM YYYY"))</f>
        <v>#VALUE!</v>
      </c>
      <c r="Y954" s="4" t="e">
        <f>INT(DbLinkTable[[#This Row],[Date Received]])</f>
        <v>#VALUE!</v>
      </c>
    </row>
    <row r="955" spans="5:25">
      <c r="E955"/>
      <c r="G955"/>
      <c r="H955"/>
      <c r="I955"/>
      <c r="K955"/>
      <c r="O955"/>
      <c r="R955"/>
      <c r="S955" s="79" t="e">
        <f>DbLinkTable[[#This Row],[Credit]]+DbLinkTable[[#This Row],[Charge]]</f>
        <v>#VALUE!</v>
      </c>
      <c r="T955" s="79" t="e">
        <f>IF(DbLinkTable[[#This Row],[Price/lb]]*DbLinkTable[[#This Row],[Weight]]&gt;0,DbLinkTable[[#This Row],[Price/lb]]*DbLinkTable[[#This Row],[Weight]],0)</f>
        <v>#VALUE!</v>
      </c>
      <c r="U955" s="79" t="e">
        <f>IF(DbLinkTable[[#This Row],[Price/lb]]*DbLinkTable[[#This Row],[Weight]]&lt;0,DbLinkTable[[#This Row],[Price/lb]]*DbLinkTable[[#This Row],[Weight]],0)</f>
        <v>#VALUE!</v>
      </c>
      <c r="V955" s="4" t="str">
        <f>IF(COUNTIF($W$2:W955,W955)=1,1,"")</f>
        <v/>
      </c>
      <c r="W955" s="4" t="e">
        <f>CONCATENATE(DbLinkTable[[#This Row],[Customer]],UPPER(DbLinkTable[[#This Row],[Trailer Number]]),DbLinkTable[[#This Row],[Day Received]])</f>
        <v>#VALUE!</v>
      </c>
      <c r="X955" s="4" t="e">
        <f>DATEVALUE(TEXT(DbLinkTable[[#This Row],[Date Received]],"MMMM YYYY"))</f>
        <v>#VALUE!</v>
      </c>
      <c r="Y955" s="4" t="e">
        <f>INT(DbLinkTable[[#This Row],[Date Received]])</f>
        <v>#VALUE!</v>
      </c>
    </row>
    <row r="956" spans="5:25">
      <c r="E956"/>
      <c r="G956"/>
      <c r="H956"/>
      <c r="I956"/>
      <c r="K956"/>
      <c r="O956"/>
      <c r="R956"/>
      <c r="S956" s="79" t="e">
        <f>DbLinkTable[[#This Row],[Credit]]+DbLinkTable[[#This Row],[Charge]]</f>
        <v>#VALUE!</v>
      </c>
      <c r="T956" s="79" t="e">
        <f>IF(DbLinkTable[[#This Row],[Price/lb]]*DbLinkTable[[#This Row],[Weight]]&gt;0,DbLinkTable[[#This Row],[Price/lb]]*DbLinkTable[[#This Row],[Weight]],0)</f>
        <v>#VALUE!</v>
      </c>
      <c r="U956" s="79" t="e">
        <f>IF(DbLinkTable[[#This Row],[Price/lb]]*DbLinkTable[[#This Row],[Weight]]&lt;0,DbLinkTable[[#This Row],[Price/lb]]*DbLinkTable[[#This Row],[Weight]],0)</f>
        <v>#VALUE!</v>
      </c>
      <c r="V956" s="4" t="str">
        <f>IF(COUNTIF($W$2:W956,W956)=1,1,"")</f>
        <v/>
      </c>
      <c r="W956" s="4" t="e">
        <f>CONCATENATE(DbLinkTable[[#This Row],[Customer]],UPPER(DbLinkTable[[#This Row],[Trailer Number]]),DbLinkTable[[#This Row],[Day Received]])</f>
        <v>#VALUE!</v>
      </c>
      <c r="X956" s="4" t="e">
        <f>DATEVALUE(TEXT(DbLinkTable[[#This Row],[Date Received]],"MMMM YYYY"))</f>
        <v>#VALUE!</v>
      </c>
      <c r="Y956" s="4" t="e">
        <f>INT(DbLinkTable[[#This Row],[Date Received]])</f>
        <v>#VALUE!</v>
      </c>
    </row>
    <row r="957" spans="5:25">
      <c r="E957"/>
      <c r="G957"/>
      <c r="H957"/>
      <c r="I957"/>
      <c r="K957"/>
      <c r="O957"/>
      <c r="R957"/>
      <c r="S957" s="79" t="e">
        <f>DbLinkTable[[#This Row],[Credit]]+DbLinkTable[[#This Row],[Charge]]</f>
        <v>#VALUE!</v>
      </c>
      <c r="T957" s="79" t="e">
        <f>IF(DbLinkTable[[#This Row],[Price/lb]]*DbLinkTable[[#This Row],[Weight]]&gt;0,DbLinkTable[[#This Row],[Price/lb]]*DbLinkTable[[#This Row],[Weight]],0)</f>
        <v>#VALUE!</v>
      </c>
      <c r="U957" s="79" t="e">
        <f>IF(DbLinkTable[[#This Row],[Price/lb]]*DbLinkTable[[#This Row],[Weight]]&lt;0,DbLinkTable[[#This Row],[Price/lb]]*DbLinkTable[[#This Row],[Weight]],0)</f>
        <v>#VALUE!</v>
      </c>
      <c r="V957" s="4" t="str">
        <f>IF(COUNTIF($W$2:W957,W957)=1,1,"")</f>
        <v/>
      </c>
      <c r="W957" s="4" t="e">
        <f>CONCATENATE(DbLinkTable[[#This Row],[Customer]],UPPER(DbLinkTable[[#This Row],[Trailer Number]]),DbLinkTable[[#This Row],[Day Received]])</f>
        <v>#VALUE!</v>
      </c>
      <c r="X957" s="4" t="e">
        <f>DATEVALUE(TEXT(DbLinkTable[[#This Row],[Date Received]],"MMMM YYYY"))</f>
        <v>#VALUE!</v>
      </c>
      <c r="Y957" s="4" t="e">
        <f>INT(DbLinkTable[[#This Row],[Date Received]])</f>
        <v>#VALUE!</v>
      </c>
    </row>
    <row r="958" spans="5:25">
      <c r="E958"/>
      <c r="G958"/>
      <c r="H958"/>
      <c r="I958"/>
      <c r="K958"/>
      <c r="O958"/>
      <c r="R958"/>
      <c r="S958" s="79" t="e">
        <f>DbLinkTable[[#This Row],[Credit]]+DbLinkTable[[#This Row],[Charge]]</f>
        <v>#VALUE!</v>
      </c>
      <c r="T958" s="79" t="e">
        <f>IF(DbLinkTable[[#This Row],[Price/lb]]*DbLinkTable[[#This Row],[Weight]]&gt;0,DbLinkTable[[#This Row],[Price/lb]]*DbLinkTable[[#This Row],[Weight]],0)</f>
        <v>#VALUE!</v>
      </c>
      <c r="U958" s="79" t="e">
        <f>IF(DbLinkTable[[#This Row],[Price/lb]]*DbLinkTable[[#This Row],[Weight]]&lt;0,DbLinkTable[[#This Row],[Price/lb]]*DbLinkTable[[#This Row],[Weight]],0)</f>
        <v>#VALUE!</v>
      </c>
      <c r="V958" s="4" t="str">
        <f>IF(COUNTIF($W$2:W958,W958)=1,1,"")</f>
        <v/>
      </c>
      <c r="W958" s="4" t="e">
        <f>CONCATENATE(DbLinkTable[[#This Row],[Customer]],UPPER(DbLinkTable[[#This Row],[Trailer Number]]),DbLinkTable[[#This Row],[Day Received]])</f>
        <v>#VALUE!</v>
      </c>
      <c r="X958" s="4" t="e">
        <f>DATEVALUE(TEXT(DbLinkTable[[#This Row],[Date Received]],"MMMM YYYY"))</f>
        <v>#VALUE!</v>
      </c>
      <c r="Y958" s="4" t="e">
        <f>INT(DbLinkTable[[#This Row],[Date Received]])</f>
        <v>#VALUE!</v>
      </c>
    </row>
    <row r="959" spans="5:25">
      <c r="E959"/>
      <c r="G959"/>
      <c r="H959"/>
      <c r="I959"/>
      <c r="K959"/>
      <c r="O959"/>
      <c r="R959"/>
      <c r="S959" s="79" t="e">
        <f>DbLinkTable[[#This Row],[Credit]]+DbLinkTable[[#This Row],[Charge]]</f>
        <v>#VALUE!</v>
      </c>
      <c r="T959" s="79" t="e">
        <f>IF(DbLinkTable[[#This Row],[Price/lb]]*DbLinkTable[[#This Row],[Weight]]&gt;0,DbLinkTable[[#This Row],[Price/lb]]*DbLinkTable[[#This Row],[Weight]],0)</f>
        <v>#VALUE!</v>
      </c>
      <c r="U959" s="79" t="e">
        <f>IF(DbLinkTable[[#This Row],[Price/lb]]*DbLinkTable[[#This Row],[Weight]]&lt;0,DbLinkTable[[#This Row],[Price/lb]]*DbLinkTable[[#This Row],[Weight]],0)</f>
        <v>#VALUE!</v>
      </c>
      <c r="V959" s="4" t="str">
        <f>IF(COUNTIF($W$2:W959,W959)=1,1,"")</f>
        <v/>
      </c>
      <c r="W959" s="4" t="e">
        <f>CONCATENATE(DbLinkTable[[#This Row],[Customer]],UPPER(DbLinkTable[[#This Row],[Trailer Number]]),DbLinkTable[[#This Row],[Day Received]])</f>
        <v>#VALUE!</v>
      </c>
      <c r="X959" s="4" t="e">
        <f>DATEVALUE(TEXT(DbLinkTable[[#This Row],[Date Received]],"MMMM YYYY"))</f>
        <v>#VALUE!</v>
      </c>
      <c r="Y959" s="4" t="e">
        <f>INT(DbLinkTable[[#This Row],[Date Received]])</f>
        <v>#VALUE!</v>
      </c>
    </row>
    <row r="960" spans="5:25">
      <c r="E960"/>
      <c r="G960"/>
      <c r="H960"/>
      <c r="I960"/>
      <c r="K960"/>
      <c r="O960"/>
      <c r="R960"/>
      <c r="S960" s="79" t="e">
        <f>DbLinkTable[[#This Row],[Credit]]+DbLinkTable[[#This Row],[Charge]]</f>
        <v>#VALUE!</v>
      </c>
      <c r="T960" s="79" t="e">
        <f>IF(DbLinkTable[[#This Row],[Price/lb]]*DbLinkTable[[#This Row],[Weight]]&gt;0,DbLinkTable[[#This Row],[Price/lb]]*DbLinkTable[[#This Row],[Weight]],0)</f>
        <v>#VALUE!</v>
      </c>
      <c r="U960" s="79" t="e">
        <f>IF(DbLinkTable[[#This Row],[Price/lb]]*DbLinkTable[[#This Row],[Weight]]&lt;0,DbLinkTable[[#This Row],[Price/lb]]*DbLinkTable[[#This Row],[Weight]],0)</f>
        <v>#VALUE!</v>
      </c>
      <c r="V960" s="4" t="str">
        <f>IF(COUNTIF($W$2:W960,W960)=1,1,"")</f>
        <v/>
      </c>
      <c r="W960" s="4" t="e">
        <f>CONCATENATE(DbLinkTable[[#This Row],[Customer]],UPPER(DbLinkTable[[#This Row],[Trailer Number]]),DbLinkTable[[#This Row],[Day Received]])</f>
        <v>#VALUE!</v>
      </c>
      <c r="X960" s="4" t="e">
        <f>DATEVALUE(TEXT(DbLinkTable[[#This Row],[Date Received]],"MMMM YYYY"))</f>
        <v>#VALUE!</v>
      </c>
      <c r="Y960" s="4" t="e">
        <f>INT(DbLinkTable[[#This Row],[Date Received]])</f>
        <v>#VALUE!</v>
      </c>
    </row>
    <row r="961" spans="5:25">
      <c r="E961"/>
      <c r="G961"/>
      <c r="H961"/>
      <c r="I961"/>
      <c r="K961"/>
      <c r="O961"/>
      <c r="R961"/>
      <c r="S961" s="79" t="e">
        <f>DbLinkTable[[#This Row],[Credit]]+DbLinkTable[[#This Row],[Charge]]</f>
        <v>#VALUE!</v>
      </c>
      <c r="T961" s="79" t="e">
        <f>IF(DbLinkTable[[#This Row],[Price/lb]]*DbLinkTable[[#This Row],[Weight]]&gt;0,DbLinkTable[[#This Row],[Price/lb]]*DbLinkTable[[#This Row],[Weight]],0)</f>
        <v>#VALUE!</v>
      </c>
      <c r="U961" s="79" t="e">
        <f>IF(DbLinkTable[[#This Row],[Price/lb]]*DbLinkTable[[#This Row],[Weight]]&lt;0,DbLinkTable[[#This Row],[Price/lb]]*DbLinkTable[[#This Row],[Weight]],0)</f>
        <v>#VALUE!</v>
      </c>
      <c r="V961" s="4" t="str">
        <f>IF(COUNTIF($W$2:W961,W961)=1,1,"")</f>
        <v/>
      </c>
      <c r="W961" s="4" t="e">
        <f>CONCATENATE(DbLinkTable[[#This Row],[Customer]],UPPER(DbLinkTable[[#This Row],[Trailer Number]]),DbLinkTable[[#This Row],[Day Received]])</f>
        <v>#VALUE!</v>
      </c>
      <c r="X961" s="4" t="e">
        <f>DATEVALUE(TEXT(DbLinkTable[[#This Row],[Date Received]],"MMMM YYYY"))</f>
        <v>#VALUE!</v>
      </c>
      <c r="Y961" s="4" t="e">
        <f>INT(DbLinkTable[[#This Row],[Date Received]])</f>
        <v>#VALUE!</v>
      </c>
    </row>
    <row r="962" spans="5:25">
      <c r="E962"/>
      <c r="G962"/>
      <c r="H962"/>
      <c r="I962"/>
      <c r="K962"/>
      <c r="O962"/>
      <c r="R962"/>
      <c r="S962" s="79" t="e">
        <f>DbLinkTable[[#This Row],[Credit]]+DbLinkTable[[#This Row],[Charge]]</f>
        <v>#VALUE!</v>
      </c>
      <c r="T962" s="79" t="e">
        <f>IF(DbLinkTable[[#This Row],[Price/lb]]*DbLinkTable[[#This Row],[Weight]]&gt;0,DbLinkTable[[#This Row],[Price/lb]]*DbLinkTable[[#This Row],[Weight]],0)</f>
        <v>#VALUE!</v>
      </c>
      <c r="U962" s="79" t="e">
        <f>IF(DbLinkTable[[#This Row],[Price/lb]]*DbLinkTable[[#This Row],[Weight]]&lt;0,DbLinkTable[[#This Row],[Price/lb]]*DbLinkTable[[#This Row],[Weight]],0)</f>
        <v>#VALUE!</v>
      </c>
      <c r="V962" s="4" t="str">
        <f>IF(COUNTIF($W$2:W962,W962)=1,1,"")</f>
        <v/>
      </c>
      <c r="W962" s="4" t="e">
        <f>CONCATENATE(DbLinkTable[[#This Row],[Customer]],UPPER(DbLinkTable[[#This Row],[Trailer Number]]),DbLinkTable[[#This Row],[Day Received]])</f>
        <v>#VALUE!</v>
      </c>
      <c r="X962" s="4" t="e">
        <f>DATEVALUE(TEXT(DbLinkTable[[#This Row],[Date Received]],"MMMM YYYY"))</f>
        <v>#VALUE!</v>
      </c>
      <c r="Y962" s="4" t="e">
        <f>INT(DbLinkTable[[#This Row],[Date Received]])</f>
        <v>#VALUE!</v>
      </c>
    </row>
    <row r="963" spans="5:25">
      <c r="E963"/>
      <c r="G963"/>
      <c r="H963"/>
      <c r="I963"/>
      <c r="K963"/>
      <c r="O963"/>
      <c r="R963"/>
      <c r="S963" s="79" t="e">
        <f>DbLinkTable[[#This Row],[Credit]]+DbLinkTable[[#This Row],[Charge]]</f>
        <v>#VALUE!</v>
      </c>
      <c r="T963" s="79" t="e">
        <f>IF(DbLinkTable[[#This Row],[Price/lb]]*DbLinkTable[[#This Row],[Weight]]&gt;0,DbLinkTable[[#This Row],[Price/lb]]*DbLinkTable[[#This Row],[Weight]],0)</f>
        <v>#VALUE!</v>
      </c>
      <c r="U963" s="79" t="e">
        <f>IF(DbLinkTable[[#This Row],[Price/lb]]*DbLinkTable[[#This Row],[Weight]]&lt;0,DbLinkTable[[#This Row],[Price/lb]]*DbLinkTable[[#This Row],[Weight]],0)</f>
        <v>#VALUE!</v>
      </c>
      <c r="V963" s="4" t="str">
        <f>IF(COUNTIF($W$2:W963,W963)=1,1,"")</f>
        <v/>
      </c>
      <c r="W963" s="4" t="e">
        <f>CONCATENATE(DbLinkTable[[#This Row],[Customer]],UPPER(DbLinkTable[[#This Row],[Trailer Number]]),DbLinkTable[[#This Row],[Day Received]])</f>
        <v>#VALUE!</v>
      </c>
      <c r="X963" s="4" t="e">
        <f>DATEVALUE(TEXT(DbLinkTable[[#This Row],[Date Received]],"MMMM YYYY"))</f>
        <v>#VALUE!</v>
      </c>
      <c r="Y963" s="4" t="e">
        <f>INT(DbLinkTable[[#This Row],[Date Received]])</f>
        <v>#VALUE!</v>
      </c>
    </row>
    <row r="964" spans="5:25">
      <c r="E964"/>
      <c r="G964"/>
      <c r="H964"/>
      <c r="I964"/>
      <c r="K964"/>
      <c r="O964"/>
      <c r="R964"/>
      <c r="S964" s="79" t="e">
        <f>DbLinkTable[[#This Row],[Credit]]+DbLinkTable[[#This Row],[Charge]]</f>
        <v>#VALUE!</v>
      </c>
      <c r="T964" s="79" t="e">
        <f>IF(DbLinkTable[[#This Row],[Price/lb]]*DbLinkTable[[#This Row],[Weight]]&gt;0,DbLinkTable[[#This Row],[Price/lb]]*DbLinkTable[[#This Row],[Weight]],0)</f>
        <v>#VALUE!</v>
      </c>
      <c r="U964" s="79" t="e">
        <f>IF(DbLinkTable[[#This Row],[Price/lb]]*DbLinkTable[[#This Row],[Weight]]&lt;0,DbLinkTable[[#This Row],[Price/lb]]*DbLinkTable[[#This Row],[Weight]],0)</f>
        <v>#VALUE!</v>
      </c>
      <c r="V964" s="4" t="str">
        <f>IF(COUNTIF($W$2:W964,W964)=1,1,"")</f>
        <v/>
      </c>
      <c r="W964" s="4" t="e">
        <f>CONCATENATE(DbLinkTable[[#This Row],[Customer]],UPPER(DbLinkTable[[#This Row],[Trailer Number]]),DbLinkTable[[#This Row],[Day Received]])</f>
        <v>#VALUE!</v>
      </c>
      <c r="X964" s="4" t="e">
        <f>DATEVALUE(TEXT(DbLinkTable[[#This Row],[Date Received]],"MMMM YYYY"))</f>
        <v>#VALUE!</v>
      </c>
      <c r="Y964" s="4" t="e">
        <f>INT(DbLinkTable[[#This Row],[Date Received]])</f>
        <v>#VALUE!</v>
      </c>
    </row>
    <row r="965" spans="5:25">
      <c r="E965"/>
      <c r="G965"/>
      <c r="H965"/>
      <c r="I965"/>
      <c r="K965"/>
      <c r="O965"/>
      <c r="R965"/>
      <c r="S965" s="79" t="e">
        <f>DbLinkTable[[#This Row],[Credit]]+DbLinkTable[[#This Row],[Charge]]</f>
        <v>#VALUE!</v>
      </c>
      <c r="T965" s="79" t="e">
        <f>IF(DbLinkTable[[#This Row],[Price/lb]]*DbLinkTable[[#This Row],[Weight]]&gt;0,DbLinkTable[[#This Row],[Price/lb]]*DbLinkTable[[#This Row],[Weight]],0)</f>
        <v>#VALUE!</v>
      </c>
      <c r="U965" s="79" t="e">
        <f>IF(DbLinkTable[[#This Row],[Price/lb]]*DbLinkTable[[#This Row],[Weight]]&lt;0,DbLinkTable[[#This Row],[Price/lb]]*DbLinkTable[[#This Row],[Weight]],0)</f>
        <v>#VALUE!</v>
      </c>
      <c r="V965" s="4" t="str">
        <f>IF(COUNTIF($W$2:W965,W965)=1,1,"")</f>
        <v/>
      </c>
      <c r="W965" s="4" t="e">
        <f>CONCATENATE(DbLinkTable[[#This Row],[Customer]],UPPER(DbLinkTable[[#This Row],[Trailer Number]]),DbLinkTable[[#This Row],[Day Received]])</f>
        <v>#VALUE!</v>
      </c>
      <c r="X965" s="4" t="e">
        <f>DATEVALUE(TEXT(DbLinkTable[[#This Row],[Date Received]],"MMMM YYYY"))</f>
        <v>#VALUE!</v>
      </c>
      <c r="Y965" s="4" t="e">
        <f>INT(DbLinkTable[[#This Row],[Date Received]])</f>
        <v>#VALUE!</v>
      </c>
    </row>
    <row r="966" spans="5:25">
      <c r="E966"/>
      <c r="G966"/>
      <c r="H966"/>
      <c r="I966"/>
      <c r="K966"/>
      <c r="O966"/>
      <c r="R966"/>
      <c r="S966" s="79" t="e">
        <f>DbLinkTable[[#This Row],[Credit]]+DbLinkTable[[#This Row],[Charge]]</f>
        <v>#VALUE!</v>
      </c>
      <c r="T966" s="79" t="e">
        <f>IF(DbLinkTable[[#This Row],[Price/lb]]*DbLinkTable[[#This Row],[Weight]]&gt;0,DbLinkTable[[#This Row],[Price/lb]]*DbLinkTable[[#This Row],[Weight]],0)</f>
        <v>#VALUE!</v>
      </c>
      <c r="U966" s="79" t="e">
        <f>IF(DbLinkTable[[#This Row],[Price/lb]]*DbLinkTable[[#This Row],[Weight]]&lt;0,DbLinkTable[[#This Row],[Price/lb]]*DbLinkTable[[#This Row],[Weight]],0)</f>
        <v>#VALUE!</v>
      </c>
      <c r="V966" s="4" t="str">
        <f>IF(COUNTIF($W$2:W966,W966)=1,1,"")</f>
        <v/>
      </c>
      <c r="W966" s="4" t="e">
        <f>CONCATENATE(DbLinkTable[[#This Row],[Customer]],UPPER(DbLinkTable[[#This Row],[Trailer Number]]),DbLinkTable[[#This Row],[Day Received]])</f>
        <v>#VALUE!</v>
      </c>
      <c r="X966" s="4" t="e">
        <f>DATEVALUE(TEXT(DbLinkTable[[#This Row],[Date Received]],"MMMM YYYY"))</f>
        <v>#VALUE!</v>
      </c>
      <c r="Y966" s="4" t="e">
        <f>INT(DbLinkTable[[#This Row],[Date Received]])</f>
        <v>#VALUE!</v>
      </c>
    </row>
    <row r="967" spans="5:25">
      <c r="E967"/>
      <c r="G967"/>
      <c r="H967"/>
      <c r="I967"/>
      <c r="K967"/>
      <c r="O967"/>
      <c r="R967"/>
      <c r="S967" s="79" t="e">
        <f>DbLinkTable[[#This Row],[Credit]]+DbLinkTable[[#This Row],[Charge]]</f>
        <v>#VALUE!</v>
      </c>
      <c r="T967" s="79" t="e">
        <f>IF(DbLinkTable[[#This Row],[Price/lb]]*DbLinkTable[[#This Row],[Weight]]&gt;0,DbLinkTable[[#This Row],[Price/lb]]*DbLinkTable[[#This Row],[Weight]],0)</f>
        <v>#VALUE!</v>
      </c>
      <c r="U967" s="79" t="e">
        <f>IF(DbLinkTable[[#This Row],[Price/lb]]*DbLinkTable[[#This Row],[Weight]]&lt;0,DbLinkTable[[#This Row],[Price/lb]]*DbLinkTable[[#This Row],[Weight]],0)</f>
        <v>#VALUE!</v>
      </c>
      <c r="V967" s="4" t="str">
        <f>IF(COUNTIF($W$2:W967,W967)=1,1,"")</f>
        <v/>
      </c>
      <c r="W967" s="4" t="e">
        <f>CONCATENATE(DbLinkTable[[#This Row],[Customer]],UPPER(DbLinkTable[[#This Row],[Trailer Number]]),DbLinkTable[[#This Row],[Day Received]])</f>
        <v>#VALUE!</v>
      </c>
      <c r="X967" s="4" t="e">
        <f>DATEVALUE(TEXT(DbLinkTable[[#This Row],[Date Received]],"MMMM YYYY"))</f>
        <v>#VALUE!</v>
      </c>
      <c r="Y967" s="4" t="e">
        <f>INT(DbLinkTable[[#This Row],[Date Received]])</f>
        <v>#VALUE!</v>
      </c>
    </row>
    <row r="968" spans="5:25">
      <c r="E968"/>
      <c r="G968"/>
      <c r="H968"/>
      <c r="I968"/>
      <c r="K968"/>
      <c r="O968"/>
      <c r="R968"/>
      <c r="S968" s="79" t="e">
        <f>DbLinkTable[[#This Row],[Credit]]+DbLinkTable[[#This Row],[Charge]]</f>
        <v>#VALUE!</v>
      </c>
      <c r="T968" s="79" t="e">
        <f>IF(DbLinkTable[[#This Row],[Price/lb]]*DbLinkTable[[#This Row],[Weight]]&gt;0,DbLinkTable[[#This Row],[Price/lb]]*DbLinkTable[[#This Row],[Weight]],0)</f>
        <v>#VALUE!</v>
      </c>
      <c r="U968" s="79" t="e">
        <f>IF(DbLinkTable[[#This Row],[Price/lb]]*DbLinkTable[[#This Row],[Weight]]&lt;0,DbLinkTable[[#This Row],[Price/lb]]*DbLinkTable[[#This Row],[Weight]],0)</f>
        <v>#VALUE!</v>
      </c>
      <c r="V968" s="4" t="str">
        <f>IF(COUNTIF($W$2:W968,W968)=1,1,"")</f>
        <v/>
      </c>
      <c r="W968" s="4" t="e">
        <f>CONCATENATE(DbLinkTable[[#This Row],[Customer]],UPPER(DbLinkTable[[#This Row],[Trailer Number]]),DbLinkTable[[#This Row],[Day Received]])</f>
        <v>#VALUE!</v>
      </c>
      <c r="X968" s="4" t="e">
        <f>DATEVALUE(TEXT(DbLinkTable[[#This Row],[Date Received]],"MMMM YYYY"))</f>
        <v>#VALUE!</v>
      </c>
      <c r="Y968" s="4" t="e">
        <f>INT(DbLinkTable[[#This Row],[Date Received]])</f>
        <v>#VALUE!</v>
      </c>
    </row>
    <row r="969" spans="5:25">
      <c r="E969"/>
      <c r="G969"/>
      <c r="H969"/>
      <c r="I969"/>
      <c r="K969"/>
      <c r="O969"/>
      <c r="R969"/>
      <c r="S969" s="79" t="e">
        <f>DbLinkTable[[#This Row],[Credit]]+DbLinkTable[[#This Row],[Charge]]</f>
        <v>#VALUE!</v>
      </c>
      <c r="T969" s="79" t="e">
        <f>IF(DbLinkTable[[#This Row],[Price/lb]]*DbLinkTable[[#This Row],[Weight]]&gt;0,DbLinkTable[[#This Row],[Price/lb]]*DbLinkTable[[#This Row],[Weight]],0)</f>
        <v>#VALUE!</v>
      </c>
      <c r="U969" s="79" t="e">
        <f>IF(DbLinkTable[[#This Row],[Price/lb]]*DbLinkTable[[#This Row],[Weight]]&lt;0,DbLinkTable[[#This Row],[Price/lb]]*DbLinkTable[[#This Row],[Weight]],0)</f>
        <v>#VALUE!</v>
      </c>
      <c r="V969" s="4" t="str">
        <f>IF(COUNTIF($W$2:W969,W969)=1,1,"")</f>
        <v/>
      </c>
      <c r="W969" s="4" t="e">
        <f>CONCATENATE(DbLinkTable[[#This Row],[Customer]],UPPER(DbLinkTable[[#This Row],[Trailer Number]]),DbLinkTable[[#This Row],[Day Received]])</f>
        <v>#VALUE!</v>
      </c>
      <c r="X969" s="4" t="e">
        <f>DATEVALUE(TEXT(DbLinkTable[[#This Row],[Date Received]],"MMMM YYYY"))</f>
        <v>#VALUE!</v>
      </c>
      <c r="Y969" s="4" t="e">
        <f>INT(DbLinkTable[[#This Row],[Date Received]])</f>
        <v>#VALUE!</v>
      </c>
    </row>
    <row r="970" spans="5:25">
      <c r="E970"/>
      <c r="G970"/>
      <c r="H970"/>
      <c r="I970"/>
      <c r="K970"/>
      <c r="O970"/>
      <c r="R970"/>
      <c r="S970" s="79" t="e">
        <f>DbLinkTable[[#This Row],[Credit]]+DbLinkTable[[#This Row],[Charge]]</f>
        <v>#VALUE!</v>
      </c>
      <c r="T970" s="79" t="e">
        <f>IF(DbLinkTable[[#This Row],[Price/lb]]*DbLinkTable[[#This Row],[Weight]]&gt;0,DbLinkTable[[#This Row],[Price/lb]]*DbLinkTable[[#This Row],[Weight]],0)</f>
        <v>#VALUE!</v>
      </c>
      <c r="U970" s="79" t="e">
        <f>IF(DbLinkTable[[#This Row],[Price/lb]]*DbLinkTable[[#This Row],[Weight]]&lt;0,DbLinkTable[[#This Row],[Price/lb]]*DbLinkTable[[#This Row],[Weight]],0)</f>
        <v>#VALUE!</v>
      </c>
      <c r="V970" s="4" t="str">
        <f>IF(COUNTIF($W$2:W970,W970)=1,1,"")</f>
        <v/>
      </c>
      <c r="W970" s="4" t="e">
        <f>CONCATENATE(DbLinkTable[[#This Row],[Customer]],UPPER(DbLinkTable[[#This Row],[Trailer Number]]),DbLinkTable[[#This Row],[Day Received]])</f>
        <v>#VALUE!</v>
      </c>
      <c r="X970" s="4" t="e">
        <f>DATEVALUE(TEXT(DbLinkTable[[#This Row],[Date Received]],"MMMM YYYY"))</f>
        <v>#VALUE!</v>
      </c>
      <c r="Y970" s="4" t="e">
        <f>INT(DbLinkTable[[#This Row],[Date Received]])</f>
        <v>#VALUE!</v>
      </c>
    </row>
    <row r="971" spans="5:25">
      <c r="E971"/>
      <c r="G971"/>
      <c r="H971"/>
      <c r="I971"/>
      <c r="K971"/>
      <c r="O971"/>
      <c r="R971"/>
      <c r="S971" s="79" t="e">
        <f>DbLinkTable[[#This Row],[Credit]]+DbLinkTable[[#This Row],[Charge]]</f>
        <v>#VALUE!</v>
      </c>
      <c r="T971" s="79" t="e">
        <f>IF(DbLinkTable[[#This Row],[Price/lb]]*DbLinkTable[[#This Row],[Weight]]&gt;0,DbLinkTable[[#This Row],[Price/lb]]*DbLinkTable[[#This Row],[Weight]],0)</f>
        <v>#VALUE!</v>
      </c>
      <c r="U971" s="79" t="e">
        <f>IF(DbLinkTable[[#This Row],[Price/lb]]*DbLinkTable[[#This Row],[Weight]]&lt;0,DbLinkTable[[#This Row],[Price/lb]]*DbLinkTable[[#This Row],[Weight]],0)</f>
        <v>#VALUE!</v>
      </c>
      <c r="V971" s="4" t="str">
        <f>IF(COUNTIF($W$2:W971,W971)=1,1,"")</f>
        <v/>
      </c>
      <c r="W971" s="4" t="e">
        <f>CONCATENATE(DbLinkTable[[#This Row],[Customer]],UPPER(DbLinkTable[[#This Row],[Trailer Number]]),DbLinkTable[[#This Row],[Day Received]])</f>
        <v>#VALUE!</v>
      </c>
      <c r="X971" s="4" t="e">
        <f>DATEVALUE(TEXT(DbLinkTable[[#This Row],[Date Received]],"MMMM YYYY"))</f>
        <v>#VALUE!</v>
      </c>
      <c r="Y971" s="4" t="e">
        <f>INT(DbLinkTable[[#This Row],[Date Received]])</f>
        <v>#VALUE!</v>
      </c>
    </row>
    <row r="972" spans="5:25">
      <c r="E972"/>
      <c r="G972"/>
      <c r="H972"/>
      <c r="I972"/>
      <c r="K972"/>
      <c r="O972"/>
      <c r="R972"/>
      <c r="S972" s="79" t="e">
        <f>DbLinkTable[[#This Row],[Credit]]+DbLinkTable[[#This Row],[Charge]]</f>
        <v>#VALUE!</v>
      </c>
      <c r="T972" s="79" t="e">
        <f>IF(DbLinkTable[[#This Row],[Price/lb]]*DbLinkTable[[#This Row],[Weight]]&gt;0,DbLinkTable[[#This Row],[Price/lb]]*DbLinkTable[[#This Row],[Weight]],0)</f>
        <v>#VALUE!</v>
      </c>
      <c r="U972" s="79" t="e">
        <f>IF(DbLinkTable[[#This Row],[Price/lb]]*DbLinkTable[[#This Row],[Weight]]&lt;0,DbLinkTable[[#This Row],[Price/lb]]*DbLinkTable[[#This Row],[Weight]],0)</f>
        <v>#VALUE!</v>
      </c>
      <c r="V972" s="4" t="str">
        <f>IF(COUNTIF($W$2:W972,W972)=1,1,"")</f>
        <v/>
      </c>
      <c r="W972" s="4" t="e">
        <f>CONCATENATE(DbLinkTable[[#This Row],[Customer]],UPPER(DbLinkTable[[#This Row],[Trailer Number]]),DbLinkTable[[#This Row],[Day Received]])</f>
        <v>#VALUE!</v>
      </c>
      <c r="X972" s="4" t="e">
        <f>DATEVALUE(TEXT(DbLinkTable[[#This Row],[Date Received]],"MMMM YYYY"))</f>
        <v>#VALUE!</v>
      </c>
      <c r="Y972" s="4" t="e">
        <f>INT(DbLinkTable[[#This Row],[Date Received]])</f>
        <v>#VALUE!</v>
      </c>
    </row>
    <row r="973" spans="5:25">
      <c r="E973"/>
      <c r="G973"/>
      <c r="H973"/>
      <c r="I973"/>
      <c r="K973"/>
      <c r="O973"/>
      <c r="R973"/>
      <c r="S973" s="79" t="e">
        <f>DbLinkTable[[#This Row],[Credit]]+DbLinkTable[[#This Row],[Charge]]</f>
        <v>#VALUE!</v>
      </c>
      <c r="T973" s="79" t="e">
        <f>IF(DbLinkTable[[#This Row],[Price/lb]]*DbLinkTable[[#This Row],[Weight]]&gt;0,DbLinkTable[[#This Row],[Price/lb]]*DbLinkTable[[#This Row],[Weight]],0)</f>
        <v>#VALUE!</v>
      </c>
      <c r="U973" s="79" t="e">
        <f>IF(DbLinkTable[[#This Row],[Price/lb]]*DbLinkTable[[#This Row],[Weight]]&lt;0,DbLinkTable[[#This Row],[Price/lb]]*DbLinkTable[[#This Row],[Weight]],0)</f>
        <v>#VALUE!</v>
      </c>
      <c r="V973" s="4" t="str">
        <f>IF(COUNTIF($W$2:W973,W973)=1,1,"")</f>
        <v/>
      </c>
      <c r="W973" s="4" t="e">
        <f>CONCATENATE(DbLinkTable[[#This Row],[Customer]],UPPER(DbLinkTable[[#This Row],[Trailer Number]]),DbLinkTable[[#This Row],[Day Received]])</f>
        <v>#VALUE!</v>
      </c>
      <c r="X973" s="4" t="e">
        <f>DATEVALUE(TEXT(DbLinkTable[[#This Row],[Date Received]],"MMMM YYYY"))</f>
        <v>#VALUE!</v>
      </c>
      <c r="Y973" s="4" t="e">
        <f>INT(DbLinkTable[[#This Row],[Date Received]])</f>
        <v>#VALUE!</v>
      </c>
    </row>
    <row r="974" spans="5:25">
      <c r="E974"/>
      <c r="G974"/>
      <c r="H974"/>
      <c r="I974"/>
      <c r="K974"/>
      <c r="O974"/>
      <c r="R974"/>
      <c r="S974" s="79" t="e">
        <f>DbLinkTable[[#This Row],[Credit]]+DbLinkTable[[#This Row],[Charge]]</f>
        <v>#VALUE!</v>
      </c>
      <c r="T974" s="79" t="e">
        <f>IF(DbLinkTable[[#This Row],[Price/lb]]*DbLinkTable[[#This Row],[Weight]]&gt;0,DbLinkTable[[#This Row],[Price/lb]]*DbLinkTable[[#This Row],[Weight]],0)</f>
        <v>#VALUE!</v>
      </c>
      <c r="U974" s="79" t="e">
        <f>IF(DbLinkTable[[#This Row],[Price/lb]]*DbLinkTable[[#This Row],[Weight]]&lt;0,DbLinkTable[[#This Row],[Price/lb]]*DbLinkTable[[#This Row],[Weight]],0)</f>
        <v>#VALUE!</v>
      </c>
      <c r="V974" s="4" t="str">
        <f>IF(COUNTIF($W$2:W974,W974)=1,1,"")</f>
        <v/>
      </c>
      <c r="W974" s="4" t="e">
        <f>CONCATENATE(DbLinkTable[[#This Row],[Customer]],UPPER(DbLinkTable[[#This Row],[Trailer Number]]),DbLinkTable[[#This Row],[Day Received]])</f>
        <v>#VALUE!</v>
      </c>
      <c r="X974" s="4" t="e">
        <f>DATEVALUE(TEXT(DbLinkTable[[#This Row],[Date Received]],"MMMM YYYY"))</f>
        <v>#VALUE!</v>
      </c>
      <c r="Y974" s="4" t="e">
        <f>INT(DbLinkTable[[#This Row],[Date Received]])</f>
        <v>#VALUE!</v>
      </c>
    </row>
    <row r="975" spans="5:25">
      <c r="E975"/>
      <c r="G975"/>
      <c r="H975"/>
      <c r="I975"/>
      <c r="K975"/>
      <c r="O975"/>
      <c r="R975"/>
      <c r="S975" s="79" t="e">
        <f>DbLinkTable[[#This Row],[Credit]]+DbLinkTable[[#This Row],[Charge]]</f>
        <v>#VALUE!</v>
      </c>
      <c r="T975" s="79" t="e">
        <f>IF(DbLinkTable[[#This Row],[Price/lb]]*DbLinkTable[[#This Row],[Weight]]&gt;0,DbLinkTable[[#This Row],[Price/lb]]*DbLinkTable[[#This Row],[Weight]],0)</f>
        <v>#VALUE!</v>
      </c>
      <c r="U975" s="79" t="e">
        <f>IF(DbLinkTable[[#This Row],[Price/lb]]*DbLinkTable[[#This Row],[Weight]]&lt;0,DbLinkTable[[#This Row],[Price/lb]]*DbLinkTable[[#This Row],[Weight]],0)</f>
        <v>#VALUE!</v>
      </c>
      <c r="V975" s="4" t="str">
        <f>IF(COUNTIF($W$2:W975,W975)=1,1,"")</f>
        <v/>
      </c>
      <c r="W975" s="4" t="e">
        <f>CONCATENATE(DbLinkTable[[#This Row],[Customer]],UPPER(DbLinkTable[[#This Row],[Trailer Number]]),DbLinkTable[[#This Row],[Day Received]])</f>
        <v>#VALUE!</v>
      </c>
      <c r="X975" s="4" t="e">
        <f>DATEVALUE(TEXT(DbLinkTable[[#This Row],[Date Received]],"MMMM YYYY"))</f>
        <v>#VALUE!</v>
      </c>
      <c r="Y975" s="4" t="e">
        <f>INT(DbLinkTable[[#This Row],[Date Received]])</f>
        <v>#VALUE!</v>
      </c>
    </row>
    <row r="976" spans="5:25">
      <c r="E976"/>
      <c r="G976"/>
      <c r="H976"/>
      <c r="I976"/>
      <c r="K976"/>
      <c r="O976"/>
      <c r="R976"/>
      <c r="S976" s="79" t="e">
        <f>DbLinkTable[[#This Row],[Credit]]+DbLinkTable[[#This Row],[Charge]]</f>
        <v>#VALUE!</v>
      </c>
      <c r="T976" s="79" t="e">
        <f>IF(DbLinkTable[[#This Row],[Price/lb]]*DbLinkTable[[#This Row],[Weight]]&gt;0,DbLinkTable[[#This Row],[Price/lb]]*DbLinkTable[[#This Row],[Weight]],0)</f>
        <v>#VALUE!</v>
      </c>
      <c r="U976" s="79" t="e">
        <f>IF(DbLinkTable[[#This Row],[Price/lb]]*DbLinkTable[[#This Row],[Weight]]&lt;0,DbLinkTable[[#This Row],[Price/lb]]*DbLinkTable[[#This Row],[Weight]],0)</f>
        <v>#VALUE!</v>
      </c>
      <c r="V976" s="4" t="str">
        <f>IF(COUNTIF($W$2:W976,W976)=1,1,"")</f>
        <v/>
      </c>
      <c r="W976" s="4" t="e">
        <f>CONCATENATE(DbLinkTable[[#This Row],[Customer]],UPPER(DbLinkTable[[#This Row],[Trailer Number]]),DbLinkTable[[#This Row],[Day Received]])</f>
        <v>#VALUE!</v>
      </c>
      <c r="X976" s="4" t="e">
        <f>DATEVALUE(TEXT(DbLinkTable[[#This Row],[Date Received]],"MMMM YYYY"))</f>
        <v>#VALUE!</v>
      </c>
      <c r="Y976" s="4" t="e">
        <f>INT(DbLinkTable[[#This Row],[Date Received]])</f>
        <v>#VALUE!</v>
      </c>
    </row>
    <row r="977" spans="5:25">
      <c r="E977"/>
      <c r="G977"/>
      <c r="H977"/>
      <c r="I977"/>
      <c r="K977"/>
      <c r="O977"/>
      <c r="R977"/>
      <c r="S977" s="79" t="e">
        <f>DbLinkTable[[#This Row],[Credit]]+DbLinkTable[[#This Row],[Charge]]</f>
        <v>#VALUE!</v>
      </c>
      <c r="T977" s="79" t="e">
        <f>IF(DbLinkTable[[#This Row],[Price/lb]]*DbLinkTable[[#This Row],[Weight]]&gt;0,DbLinkTable[[#This Row],[Price/lb]]*DbLinkTable[[#This Row],[Weight]],0)</f>
        <v>#VALUE!</v>
      </c>
      <c r="U977" s="79" t="e">
        <f>IF(DbLinkTable[[#This Row],[Price/lb]]*DbLinkTable[[#This Row],[Weight]]&lt;0,DbLinkTable[[#This Row],[Price/lb]]*DbLinkTable[[#This Row],[Weight]],0)</f>
        <v>#VALUE!</v>
      </c>
      <c r="V977" s="4" t="str">
        <f>IF(COUNTIF($W$2:W977,W977)=1,1,"")</f>
        <v/>
      </c>
      <c r="W977" s="4" t="e">
        <f>CONCATENATE(DbLinkTable[[#This Row],[Customer]],UPPER(DbLinkTable[[#This Row],[Trailer Number]]),DbLinkTable[[#This Row],[Day Received]])</f>
        <v>#VALUE!</v>
      </c>
      <c r="X977" s="4" t="e">
        <f>DATEVALUE(TEXT(DbLinkTable[[#This Row],[Date Received]],"MMMM YYYY"))</f>
        <v>#VALUE!</v>
      </c>
      <c r="Y977" s="4" t="e">
        <f>INT(DbLinkTable[[#This Row],[Date Received]])</f>
        <v>#VALUE!</v>
      </c>
    </row>
    <row r="978" spans="5:25">
      <c r="E978"/>
      <c r="G978"/>
      <c r="H978"/>
      <c r="I978"/>
      <c r="K978"/>
      <c r="O978"/>
      <c r="R978"/>
      <c r="S978" s="79" t="e">
        <f>DbLinkTable[[#This Row],[Credit]]+DbLinkTable[[#This Row],[Charge]]</f>
        <v>#VALUE!</v>
      </c>
      <c r="T978" s="79" t="e">
        <f>IF(DbLinkTable[[#This Row],[Price/lb]]*DbLinkTable[[#This Row],[Weight]]&gt;0,DbLinkTable[[#This Row],[Price/lb]]*DbLinkTable[[#This Row],[Weight]],0)</f>
        <v>#VALUE!</v>
      </c>
      <c r="U978" s="79" t="e">
        <f>IF(DbLinkTable[[#This Row],[Price/lb]]*DbLinkTable[[#This Row],[Weight]]&lt;0,DbLinkTable[[#This Row],[Price/lb]]*DbLinkTable[[#This Row],[Weight]],0)</f>
        <v>#VALUE!</v>
      </c>
      <c r="V978" s="4" t="str">
        <f>IF(COUNTIF($W$2:W978,W978)=1,1,"")</f>
        <v/>
      </c>
      <c r="W978" s="4" t="e">
        <f>CONCATENATE(DbLinkTable[[#This Row],[Customer]],UPPER(DbLinkTable[[#This Row],[Trailer Number]]),DbLinkTable[[#This Row],[Day Received]])</f>
        <v>#VALUE!</v>
      </c>
      <c r="X978" s="4" t="e">
        <f>DATEVALUE(TEXT(DbLinkTable[[#This Row],[Date Received]],"MMMM YYYY"))</f>
        <v>#VALUE!</v>
      </c>
      <c r="Y978" s="4" t="e">
        <f>INT(DbLinkTable[[#This Row],[Date Received]])</f>
        <v>#VALUE!</v>
      </c>
    </row>
    <row r="979" spans="5:25">
      <c r="E979"/>
      <c r="G979"/>
      <c r="H979"/>
      <c r="I979"/>
      <c r="K979"/>
      <c r="O979"/>
      <c r="R979"/>
      <c r="S979" s="79" t="e">
        <f>DbLinkTable[[#This Row],[Credit]]+DbLinkTable[[#This Row],[Charge]]</f>
        <v>#VALUE!</v>
      </c>
      <c r="T979" s="79" t="e">
        <f>IF(DbLinkTable[[#This Row],[Price/lb]]*DbLinkTable[[#This Row],[Weight]]&gt;0,DbLinkTable[[#This Row],[Price/lb]]*DbLinkTable[[#This Row],[Weight]],0)</f>
        <v>#VALUE!</v>
      </c>
      <c r="U979" s="79" t="e">
        <f>IF(DbLinkTable[[#This Row],[Price/lb]]*DbLinkTable[[#This Row],[Weight]]&lt;0,DbLinkTable[[#This Row],[Price/lb]]*DbLinkTable[[#This Row],[Weight]],0)</f>
        <v>#VALUE!</v>
      </c>
      <c r="V979" s="4" t="str">
        <f>IF(COUNTIF($W$2:W979,W979)=1,1,"")</f>
        <v/>
      </c>
      <c r="W979" s="4" t="e">
        <f>CONCATENATE(DbLinkTable[[#This Row],[Customer]],UPPER(DbLinkTable[[#This Row],[Trailer Number]]),DbLinkTable[[#This Row],[Day Received]])</f>
        <v>#VALUE!</v>
      </c>
      <c r="X979" s="4" t="e">
        <f>DATEVALUE(TEXT(DbLinkTable[[#This Row],[Date Received]],"MMMM YYYY"))</f>
        <v>#VALUE!</v>
      </c>
      <c r="Y979" s="4" t="e">
        <f>INT(DbLinkTable[[#This Row],[Date Received]])</f>
        <v>#VALUE!</v>
      </c>
    </row>
    <row r="980" spans="5:25">
      <c r="E980"/>
      <c r="G980"/>
      <c r="H980"/>
      <c r="I980"/>
      <c r="K980"/>
      <c r="O980"/>
      <c r="R980"/>
      <c r="S980" s="79" t="e">
        <f>DbLinkTable[[#This Row],[Credit]]+DbLinkTable[[#This Row],[Charge]]</f>
        <v>#VALUE!</v>
      </c>
      <c r="T980" s="79" t="e">
        <f>IF(DbLinkTable[[#This Row],[Price/lb]]*DbLinkTable[[#This Row],[Weight]]&gt;0,DbLinkTable[[#This Row],[Price/lb]]*DbLinkTable[[#This Row],[Weight]],0)</f>
        <v>#VALUE!</v>
      </c>
      <c r="U980" s="79" t="e">
        <f>IF(DbLinkTable[[#This Row],[Price/lb]]*DbLinkTable[[#This Row],[Weight]]&lt;0,DbLinkTable[[#This Row],[Price/lb]]*DbLinkTable[[#This Row],[Weight]],0)</f>
        <v>#VALUE!</v>
      </c>
      <c r="V980" s="4" t="str">
        <f>IF(COUNTIF($W$2:W980,W980)=1,1,"")</f>
        <v/>
      </c>
      <c r="W980" s="4" t="e">
        <f>CONCATENATE(DbLinkTable[[#This Row],[Customer]],UPPER(DbLinkTable[[#This Row],[Trailer Number]]),DbLinkTable[[#This Row],[Day Received]])</f>
        <v>#VALUE!</v>
      </c>
      <c r="X980" s="4" t="e">
        <f>DATEVALUE(TEXT(DbLinkTable[[#This Row],[Date Received]],"MMMM YYYY"))</f>
        <v>#VALUE!</v>
      </c>
      <c r="Y980" s="4" t="e">
        <f>INT(DbLinkTable[[#This Row],[Date Received]])</f>
        <v>#VALUE!</v>
      </c>
    </row>
    <row r="981" spans="5:25">
      <c r="E981"/>
      <c r="G981"/>
      <c r="H981"/>
      <c r="I981"/>
      <c r="K981"/>
      <c r="O981"/>
      <c r="R981"/>
      <c r="S981" s="79" t="e">
        <f>DbLinkTable[[#This Row],[Credit]]+DbLinkTable[[#This Row],[Charge]]</f>
        <v>#VALUE!</v>
      </c>
      <c r="T981" s="79" t="e">
        <f>IF(DbLinkTable[[#This Row],[Price/lb]]*DbLinkTable[[#This Row],[Weight]]&gt;0,DbLinkTable[[#This Row],[Price/lb]]*DbLinkTable[[#This Row],[Weight]],0)</f>
        <v>#VALUE!</v>
      </c>
      <c r="U981" s="79" t="e">
        <f>IF(DbLinkTable[[#This Row],[Price/lb]]*DbLinkTable[[#This Row],[Weight]]&lt;0,DbLinkTable[[#This Row],[Price/lb]]*DbLinkTable[[#This Row],[Weight]],0)</f>
        <v>#VALUE!</v>
      </c>
      <c r="V981" s="4" t="str">
        <f>IF(COUNTIF($W$2:W981,W981)=1,1,"")</f>
        <v/>
      </c>
      <c r="W981" s="4" t="e">
        <f>CONCATENATE(DbLinkTable[[#This Row],[Customer]],UPPER(DbLinkTable[[#This Row],[Trailer Number]]),DbLinkTable[[#This Row],[Day Received]])</f>
        <v>#VALUE!</v>
      </c>
      <c r="X981" s="4" t="e">
        <f>DATEVALUE(TEXT(DbLinkTable[[#This Row],[Date Received]],"MMMM YYYY"))</f>
        <v>#VALUE!</v>
      </c>
      <c r="Y981" s="4" t="e">
        <f>INT(DbLinkTable[[#This Row],[Date Received]])</f>
        <v>#VALUE!</v>
      </c>
    </row>
    <row r="982" spans="5:25">
      <c r="E982"/>
      <c r="G982"/>
      <c r="H982"/>
      <c r="I982"/>
      <c r="K982"/>
      <c r="O982"/>
      <c r="R982"/>
      <c r="S982" s="79" t="e">
        <f>DbLinkTable[[#This Row],[Credit]]+DbLinkTable[[#This Row],[Charge]]</f>
        <v>#VALUE!</v>
      </c>
      <c r="T982" s="79" t="e">
        <f>IF(DbLinkTable[[#This Row],[Price/lb]]*DbLinkTable[[#This Row],[Weight]]&gt;0,DbLinkTable[[#This Row],[Price/lb]]*DbLinkTable[[#This Row],[Weight]],0)</f>
        <v>#VALUE!</v>
      </c>
      <c r="U982" s="79" t="e">
        <f>IF(DbLinkTable[[#This Row],[Price/lb]]*DbLinkTable[[#This Row],[Weight]]&lt;0,DbLinkTable[[#This Row],[Price/lb]]*DbLinkTable[[#This Row],[Weight]],0)</f>
        <v>#VALUE!</v>
      </c>
      <c r="V982" s="4" t="str">
        <f>IF(COUNTIF($W$2:W982,W982)=1,1,"")</f>
        <v/>
      </c>
      <c r="W982" s="4" t="e">
        <f>CONCATENATE(DbLinkTable[[#This Row],[Customer]],UPPER(DbLinkTable[[#This Row],[Trailer Number]]),DbLinkTable[[#This Row],[Day Received]])</f>
        <v>#VALUE!</v>
      </c>
      <c r="X982" s="4" t="e">
        <f>DATEVALUE(TEXT(DbLinkTable[[#This Row],[Date Received]],"MMMM YYYY"))</f>
        <v>#VALUE!</v>
      </c>
      <c r="Y982" s="4" t="e">
        <f>INT(DbLinkTable[[#This Row],[Date Received]])</f>
        <v>#VALUE!</v>
      </c>
    </row>
    <row r="983" spans="5:25">
      <c r="E983"/>
      <c r="G983"/>
      <c r="H983"/>
      <c r="I983"/>
      <c r="K983"/>
      <c r="O983"/>
      <c r="R983"/>
      <c r="S983" s="79" t="e">
        <f>DbLinkTable[[#This Row],[Credit]]+DbLinkTable[[#This Row],[Charge]]</f>
        <v>#VALUE!</v>
      </c>
      <c r="T983" s="79" t="e">
        <f>IF(DbLinkTable[[#This Row],[Price/lb]]*DbLinkTable[[#This Row],[Weight]]&gt;0,DbLinkTable[[#This Row],[Price/lb]]*DbLinkTable[[#This Row],[Weight]],0)</f>
        <v>#VALUE!</v>
      </c>
      <c r="U983" s="79" t="e">
        <f>IF(DbLinkTable[[#This Row],[Price/lb]]*DbLinkTable[[#This Row],[Weight]]&lt;0,DbLinkTable[[#This Row],[Price/lb]]*DbLinkTable[[#This Row],[Weight]],0)</f>
        <v>#VALUE!</v>
      </c>
      <c r="V983" s="4" t="str">
        <f>IF(COUNTIF($W$2:W983,W983)=1,1,"")</f>
        <v/>
      </c>
      <c r="W983" s="4" t="e">
        <f>CONCATENATE(DbLinkTable[[#This Row],[Customer]],UPPER(DbLinkTable[[#This Row],[Trailer Number]]),DbLinkTable[[#This Row],[Day Received]])</f>
        <v>#VALUE!</v>
      </c>
      <c r="X983" s="4" t="e">
        <f>DATEVALUE(TEXT(DbLinkTable[[#This Row],[Date Received]],"MMMM YYYY"))</f>
        <v>#VALUE!</v>
      </c>
      <c r="Y983" s="4" t="e">
        <f>INT(DbLinkTable[[#This Row],[Date Received]])</f>
        <v>#VALUE!</v>
      </c>
    </row>
    <row r="984" spans="5:25">
      <c r="E984"/>
      <c r="G984"/>
      <c r="H984"/>
      <c r="I984"/>
      <c r="K984"/>
      <c r="O984"/>
      <c r="R984"/>
      <c r="S984" s="79" t="e">
        <f>DbLinkTable[[#This Row],[Credit]]+DbLinkTable[[#This Row],[Charge]]</f>
        <v>#VALUE!</v>
      </c>
      <c r="T984" s="79" t="e">
        <f>IF(DbLinkTable[[#This Row],[Price/lb]]*DbLinkTable[[#This Row],[Weight]]&gt;0,DbLinkTable[[#This Row],[Price/lb]]*DbLinkTable[[#This Row],[Weight]],0)</f>
        <v>#VALUE!</v>
      </c>
      <c r="U984" s="79" t="e">
        <f>IF(DbLinkTable[[#This Row],[Price/lb]]*DbLinkTable[[#This Row],[Weight]]&lt;0,DbLinkTable[[#This Row],[Price/lb]]*DbLinkTable[[#This Row],[Weight]],0)</f>
        <v>#VALUE!</v>
      </c>
      <c r="V984" s="4" t="str">
        <f>IF(COUNTIF($W$2:W984,W984)=1,1,"")</f>
        <v/>
      </c>
      <c r="W984" s="4" t="e">
        <f>CONCATENATE(DbLinkTable[[#This Row],[Customer]],UPPER(DbLinkTable[[#This Row],[Trailer Number]]),DbLinkTable[[#This Row],[Day Received]])</f>
        <v>#VALUE!</v>
      </c>
      <c r="X984" s="4" t="e">
        <f>DATEVALUE(TEXT(DbLinkTable[[#This Row],[Date Received]],"MMMM YYYY"))</f>
        <v>#VALUE!</v>
      </c>
      <c r="Y984" s="4" t="e">
        <f>INT(DbLinkTable[[#This Row],[Date Received]])</f>
        <v>#VALUE!</v>
      </c>
    </row>
    <row r="985" spans="5:25">
      <c r="E985"/>
      <c r="G985"/>
      <c r="H985"/>
      <c r="I985"/>
      <c r="K985"/>
      <c r="O985"/>
      <c r="R985"/>
      <c r="S985" s="79" t="e">
        <f>DbLinkTable[[#This Row],[Credit]]+DbLinkTable[[#This Row],[Charge]]</f>
        <v>#VALUE!</v>
      </c>
      <c r="T985" s="79" t="e">
        <f>IF(DbLinkTable[[#This Row],[Price/lb]]*DbLinkTable[[#This Row],[Weight]]&gt;0,DbLinkTable[[#This Row],[Price/lb]]*DbLinkTable[[#This Row],[Weight]],0)</f>
        <v>#VALUE!</v>
      </c>
      <c r="U985" s="79" t="e">
        <f>IF(DbLinkTable[[#This Row],[Price/lb]]*DbLinkTable[[#This Row],[Weight]]&lt;0,DbLinkTable[[#This Row],[Price/lb]]*DbLinkTable[[#This Row],[Weight]],0)</f>
        <v>#VALUE!</v>
      </c>
      <c r="V985" s="4" t="str">
        <f>IF(COUNTIF($W$2:W985,W985)=1,1,"")</f>
        <v/>
      </c>
      <c r="W985" s="4" t="e">
        <f>CONCATENATE(DbLinkTable[[#This Row],[Customer]],UPPER(DbLinkTable[[#This Row],[Trailer Number]]),DbLinkTable[[#This Row],[Day Received]])</f>
        <v>#VALUE!</v>
      </c>
      <c r="X985" s="4" t="e">
        <f>DATEVALUE(TEXT(DbLinkTable[[#This Row],[Date Received]],"MMMM YYYY"))</f>
        <v>#VALUE!</v>
      </c>
      <c r="Y985" s="4" t="e">
        <f>INT(DbLinkTable[[#This Row],[Date Received]])</f>
        <v>#VALUE!</v>
      </c>
    </row>
    <row r="986" spans="5:25">
      <c r="E986"/>
      <c r="G986"/>
      <c r="H986"/>
      <c r="I986"/>
      <c r="K986"/>
      <c r="O986"/>
      <c r="R986"/>
      <c r="S986" s="79" t="e">
        <f>DbLinkTable[[#This Row],[Credit]]+DbLinkTable[[#This Row],[Charge]]</f>
        <v>#VALUE!</v>
      </c>
      <c r="T986" s="79" t="e">
        <f>IF(DbLinkTable[[#This Row],[Price/lb]]*DbLinkTable[[#This Row],[Weight]]&gt;0,DbLinkTable[[#This Row],[Price/lb]]*DbLinkTable[[#This Row],[Weight]],0)</f>
        <v>#VALUE!</v>
      </c>
      <c r="U986" s="79" t="e">
        <f>IF(DbLinkTable[[#This Row],[Price/lb]]*DbLinkTable[[#This Row],[Weight]]&lt;0,DbLinkTable[[#This Row],[Price/lb]]*DbLinkTable[[#This Row],[Weight]],0)</f>
        <v>#VALUE!</v>
      </c>
      <c r="V986" s="4" t="str">
        <f>IF(COUNTIF($W$2:W986,W986)=1,1,"")</f>
        <v/>
      </c>
      <c r="W986" s="4" t="e">
        <f>CONCATENATE(DbLinkTable[[#This Row],[Customer]],UPPER(DbLinkTable[[#This Row],[Trailer Number]]),DbLinkTable[[#This Row],[Day Received]])</f>
        <v>#VALUE!</v>
      </c>
      <c r="X986" s="4" t="e">
        <f>DATEVALUE(TEXT(DbLinkTable[[#This Row],[Date Received]],"MMMM YYYY"))</f>
        <v>#VALUE!</v>
      </c>
      <c r="Y986" s="4" t="e">
        <f>INT(DbLinkTable[[#This Row],[Date Received]])</f>
        <v>#VALUE!</v>
      </c>
    </row>
    <row r="987" spans="5:25">
      <c r="E987"/>
      <c r="G987"/>
      <c r="H987"/>
      <c r="I987"/>
      <c r="K987"/>
      <c r="O987"/>
      <c r="R987"/>
      <c r="S987" s="79" t="e">
        <f>DbLinkTable[[#This Row],[Credit]]+DbLinkTable[[#This Row],[Charge]]</f>
        <v>#VALUE!</v>
      </c>
      <c r="T987" s="79" t="e">
        <f>IF(DbLinkTable[[#This Row],[Price/lb]]*DbLinkTable[[#This Row],[Weight]]&gt;0,DbLinkTable[[#This Row],[Price/lb]]*DbLinkTable[[#This Row],[Weight]],0)</f>
        <v>#VALUE!</v>
      </c>
      <c r="U987" s="79" t="e">
        <f>IF(DbLinkTable[[#This Row],[Price/lb]]*DbLinkTable[[#This Row],[Weight]]&lt;0,DbLinkTable[[#This Row],[Price/lb]]*DbLinkTable[[#This Row],[Weight]],0)</f>
        <v>#VALUE!</v>
      </c>
      <c r="V987" s="4" t="str">
        <f>IF(COUNTIF($W$2:W987,W987)=1,1,"")</f>
        <v/>
      </c>
      <c r="W987" s="4" t="e">
        <f>CONCATENATE(DbLinkTable[[#This Row],[Customer]],UPPER(DbLinkTable[[#This Row],[Trailer Number]]),DbLinkTable[[#This Row],[Day Received]])</f>
        <v>#VALUE!</v>
      </c>
      <c r="X987" s="4" t="e">
        <f>DATEVALUE(TEXT(DbLinkTable[[#This Row],[Date Received]],"MMMM YYYY"))</f>
        <v>#VALUE!</v>
      </c>
      <c r="Y987" s="4" t="e">
        <f>INT(DbLinkTable[[#This Row],[Date Received]])</f>
        <v>#VALUE!</v>
      </c>
    </row>
    <row r="988" spans="5:25">
      <c r="E988"/>
      <c r="G988"/>
      <c r="H988"/>
      <c r="I988"/>
      <c r="K988"/>
      <c r="O988"/>
      <c r="R988"/>
      <c r="S988" s="79" t="e">
        <f>DbLinkTable[[#This Row],[Credit]]+DbLinkTable[[#This Row],[Charge]]</f>
        <v>#VALUE!</v>
      </c>
      <c r="T988" s="79" t="e">
        <f>IF(DbLinkTable[[#This Row],[Price/lb]]*DbLinkTable[[#This Row],[Weight]]&gt;0,DbLinkTable[[#This Row],[Price/lb]]*DbLinkTable[[#This Row],[Weight]],0)</f>
        <v>#VALUE!</v>
      </c>
      <c r="U988" s="79" t="e">
        <f>IF(DbLinkTable[[#This Row],[Price/lb]]*DbLinkTable[[#This Row],[Weight]]&lt;0,DbLinkTable[[#This Row],[Price/lb]]*DbLinkTable[[#This Row],[Weight]],0)</f>
        <v>#VALUE!</v>
      </c>
      <c r="V988" s="4" t="str">
        <f>IF(COUNTIF($W$2:W988,W988)=1,1,"")</f>
        <v/>
      </c>
      <c r="W988" s="4" t="e">
        <f>CONCATENATE(DbLinkTable[[#This Row],[Customer]],UPPER(DbLinkTable[[#This Row],[Trailer Number]]),DbLinkTable[[#This Row],[Day Received]])</f>
        <v>#VALUE!</v>
      </c>
      <c r="X988" s="4" t="e">
        <f>DATEVALUE(TEXT(DbLinkTable[[#This Row],[Date Received]],"MMMM YYYY"))</f>
        <v>#VALUE!</v>
      </c>
      <c r="Y988" s="4" t="e">
        <f>INT(DbLinkTable[[#This Row],[Date Received]])</f>
        <v>#VALUE!</v>
      </c>
    </row>
    <row r="989" spans="5:25">
      <c r="E989"/>
      <c r="G989"/>
      <c r="H989"/>
      <c r="I989"/>
      <c r="K989"/>
      <c r="O989"/>
      <c r="R989"/>
      <c r="S989" s="79" t="e">
        <f>DbLinkTable[[#This Row],[Credit]]+DbLinkTable[[#This Row],[Charge]]</f>
        <v>#VALUE!</v>
      </c>
      <c r="T989" s="79" t="e">
        <f>IF(DbLinkTable[[#This Row],[Price/lb]]*DbLinkTable[[#This Row],[Weight]]&gt;0,DbLinkTable[[#This Row],[Price/lb]]*DbLinkTable[[#This Row],[Weight]],0)</f>
        <v>#VALUE!</v>
      </c>
      <c r="U989" s="79" t="e">
        <f>IF(DbLinkTable[[#This Row],[Price/lb]]*DbLinkTable[[#This Row],[Weight]]&lt;0,DbLinkTable[[#This Row],[Price/lb]]*DbLinkTable[[#This Row],[Weight]],0)</f>
        <v>#VALUE!</v>
      </c>
      <c r="V989" s="4" t="str">
        <f>IF(COUNTIF($W$2:W989,W989)=1,1,"")</f>
        <v/>
      </c>
      <c r="W989" s="4" t="e">
        <f>CONCATENATE(DbLinkTable[[#This Row],[Customer]],UPPER(DbLinkTable[[#This Row],[Trailer Number]]),DbLinkTable[[#This Row],[Day Received]])</f>
        <v>#VALUE!</v>
      </c>
      <c r="X989" s="4" t="e">
        <f>DATEVALUE(TEXT(DbLinkTable[[#This Row],[Date Received]],"MMMM YYYY"))</f>
        <v>#VALUE!</v>
      </c>
      <c r="Y989" s="4" t="e">
        <f>INT(DbLinkTable[[#This Row],[Date Received]])</f>
        <v>#VALUE!</v>
      </c>
    </row>
    <row r="990" spans="5:25">
      <c r="E990"/>
      <c r="G990"/>
      <c r="H990"/>
      <c r="I990"/>
      <c r="K990"/>
      <c r="O990"/>
      <c r="R990"/>
      <c r="S990" s="79" t="e">
        <f>DbLinkTable[[#This Row],[Credit]]+DbLinkTable[[#This Row],[Charge]]</f>
        <v>#VALUE!</v>
      </c>
      <c r="T990" s="79" t="e">
        <f>IF(DbLinkTable[[#This Row],[Price/lb]]*DbLinkTable[[#This Row],[Weight]]&gt;0,DbLinkTable[[#This Row],[Price/lb]]*DbLinkTable[[#This Row],[Weight]],0)</f>
        <v>#VALUE!</v>
      </c>
      <c r="U990" s="79" t="e">
        <f>IF(DbLinkTable[[#This Row],[Price/lb]]*DbLinkTable[[#This Row],[Weight]]&lt;0,DbLinkTable[[#This Row],[Price/lb]]*DbLinkTable[[#This Row],[Weight]],0)</f>
        <v>#VALUE!</v>
      </c>
      <c r="V990" s="4" t="str">
        <f>IF(COUNTIF($W$2:W990,W990)=1,1,"")</f>
        <v/>
      </c>
      <c r="W990" s="4" t="e">
        <f>CONCATENATE(DbLinkTable[[#This Row],[Customer]],UPPER(DbLinkTable[[#This Row],[Trailer Number]]),DbLinkTable[[#This Row],[Day Received]])</f>
        <v>#VALUE!</v>
      </c>
      <c r="X990" s="4" t="e">
        <f>DATEVALUE(TEXT(DbLinkTable[[#This Row],[Date Received]],"MMMM YYYY"))</f>
        <v>#VALUE!</v>
      </c>
      <c r="Y990" s="4" t="e">
        <f>INT(DbLinkTable[[#This Row],[Date Received]])</f>
        <v>#VALUE!</v>
      </c>
    </row>
    <row r="991" spans="5:25">
      <c r="E991"/>
      <c r="G991"/>
      <c r="H991"/>
      <c r="I991"/>
      <c r="K991"/>
      <c r="O991"/>
      <c r="R991"/>
      <c r="S991" s="79" t="e">
        <f>DbLinkTable[[#This Row],[Credit]]+DbLinkTable[[#This Row],[Charge]]</f>
        <v>#VALUE!</v>
      </c>
      <c r="T991" s="79" t="e">
        <f>IF(DbLinkTable[[#This Row],[Price/lb]]*DbLinkTable[[#This Row],[Weight]]&gt;0,DbLinkTable[[#This Row],[Price/lb]]*DbLinkTable[[#This Row],[Weight]],0)</f>
        <v>#VALUE!</v>
      </c>
      <c r="U991" s="79" t="e">
        <f>IF(DbLinkTable[[#This Row],[Price/lb]]*DbLinkTable[[#This Row],[Weight]]&lt;0,DbLinkTable[[#This Row],[Price/lb]]*DbLinkTable[[#This Row],[Weight]],0)</f>
        <v>#VALUE!</v>
      </c>
      <c r="V991" s="4" t="str">
        <f>IF(COUNTIF($W$2:W991,W991)=1,1,"")</f>
        <v/>
      </c>
      <c r="W991" s="4" t="e">
        <f>CONCATENATE(DbLinkTable[[#This Row],[Customer]],UPPER(DbLinkTable[[#This Row],[Trailer Number]]),DbLinkTable[[#This Row],[Day Received]])</f>
        <v>#VALUE!</v>
      </c>
      <c r="X991" s="4" t="e">
        <f>DATEVALUE(TEXT(DbLinkTable[[#This Row],[Date Received]],"MMMM YYYY"))</f>
        <v>#VALUE!</v>
      </c>
      <c r="Y991" s="4" t="e">
        <f>INT(DbLinkTable[[#This Row],[Date Received]])</f>
        <v>#VALUE!</v>
      </c>
    </row>
    <row r="992" spans="5:25">
      <c r="E992"/>
      <c r="G992"/>
      <c r="H992"/>
      <c r="I992"/>
      <c r="K992"/>
      <c r="O992"/>
      <c r="R992"/>
      <c r="S992" s="79" t="e">
        <f>DbLinkTable[[#This Row],[Credit]]+DbLinkTable[[#This Row],[Charge]]</f>
        <v>#VALUE!</v>
      </c>
      <c r="T992" s="79" t="e">
        <f>IF(DbLinkTable[[#This Row],[Price/lb]]*DbLinkTable[[#This Row],[Weight]]&gt;0,DbLinkTable[[#This Row],[Price/lb]]*DbLinkTable[[#This Row],[Weight]],0)</f>
        <v>#VALUE!</v>
      </c>
      <c r="U992" s="79" t="e">
        <f>IF(DbLinkTable[[#This Row],[Price/lb]]*DbLinkTable[[#This Row],[Weight]]&lt;0,DbLinkTable[[#This Row],[Price/lb]]*DbLinkTable[[#This Row],[Weight]],0)</f>
        <v>#VALUE!</v>
      </c>
      <c r="V992" s="4" t="str">
        <f>IF(COUNTIF($W$2:W992,W992)=1,1,"")</f>
        <v/>
      </c>
      <c r="W992" s="4" t="e">
        <f>CONCATENATE(DbLinkTable[[#This Row],[Customer]],UPPER(DbLinkTable[[#This Row],[Trailer Number]]),DbLinkTable[[#This Row],[Day Received]])</f>
        <v>#VALUE!</v>
      </c>
      <c r="X992" s="4" t="e">
        <f>DATEVALUE(TEXT(DbLinkTable[[#This Row],[Date Received]],"MMMM YYYY"))</f>
        <v>#VALUE!</v>
      </c>
      <c r="Y992" s="4" t="e">
        <f>INT(DbLinkTable[[#This Row],[Date Received]])</f>
        <v>#VALUE!</v>
      </c>
    </row>
    <row r="993" spans="5:25">
      <c r="E993"/>
      <c r="G993"/>
      <c r="H993"/>
      <c r="I993"/>
      <c r="K993"/>
      <c r="O993"/>
      <c r="R993"/>
      <c r="S993" s="79" t="e">
        <f>DbLinkTable[[#This Row],[Credit]]+DbLinkTable[[#This Row],[Charge]]</f>
        <v>#VALUE!</v>
      </c>
      <c r="T993" s="79" t="e">
        <f>IF(DbLinkTable[[#This Row],[Price/lb]]*DbLinkTable[[#This Row],[Weight]]&gt;0,DbLinkTable[[#This Row],[Price/lb]]*DbLinkTable[[#This Row],[Weight]],0)</f>
        <v>#VALUE!</v>
      </c>
      <c r="U993" s="79" t="e">
        <f>IF(DbLinkTable[[#This Row],[Price/lb]]*DbLinkTable[[#This Row],[Weight]]&lt;0,DbLinkTable[[#This Row],[Price/lb]]*DbLinkTable[[#This Row],[Weight]],0)</f>
        <v>#VALUE!</v>
      </c>
      <c r="V993" s="4" t="str">
        <f>IF(COUNTIF($W$2:W993,W993)=1,1,"")</f>
        <v/>
      </c>
      <c r="W993" s="4" t="e">
        <f>CONCATENATE(DbLinkTable[[#This Row],[Customer]],UPPER(DbLinkTable[[#This Row],[Trailer Number]]),DbLinkTable[[#This Row],[Day Received]])</f>
        <v>#VALUE!</v>
      </c>
      <c r="X993" s="4" t="e">
        <f>DATEVALUE(TEXT(DbLinkTable[[#This Row],[Date Received]],"MMMM YYYY"))</f>
        <v>#VALUE!</v>
      </c>
      <c r="Y993" s="4" t="e">
        <f>INT(DbLinkTable[[#This Row],[Date Received]])</f>
        <v>#VALUE!</v>
      </c>
    </row>
    <row r="994" spans="5:25">
      <c r="E994"/>
      <c r="G994"/>
      <c r="H994"/>
      <c r="I994"/>
      <c r="K994"/>
      <c r="O994"/>
      <c r="R994"/>
      <c r="S994" s="79" t="e">
        <f>DbLinkTable[[#This Row],[Credit]]+DbLinkTable[[#This Row],[Charge]]</f>
        <v>#VALUE!</v>
      </c>
      <c r="T994" s="79" t="e">
        <f>IF(DbLinkTable[[#This Row],[Price/lb]]*DbLinkTable[[#This Row],[Weight]]&gt;0,DbLinkTable[[#This Row],[Price/lb]]*DbLinkTable[[#This Row],[Weight]],0)</f>
        <v>#VALUE!</v>
      </c>
      <c r="U994" s="79" t="e">
        <f>IF(DbLinkTable[[#This Row],[Price/lb]]*DbLinkTable[[#This Row],[Weight]]&lt;0,DbLinkTable[[#This Row],[Price/lb]]*DbLinkTable[[#This Row],[Weight]],0)</f>
        <v>#VALUE!</v>
      </c>
      <c r="V994" s="4" t="str">
        <f>IF(COUNTIF($W$2:W994,W994)=1,1,"")</f>
        <v/>
      </c>
      <c r="W994" s="4" t="e">
        <f>CONCATENATE(DbLinkTable[[#This Row],[Customer]],UPPER(DbLinkTable[[#This Row],[Trailer Number]]),DbLinkTable[[#This Row],[Day Received]])</f>
        <v>#VALUE!</v>
      </c>
      <c r="X994" s="4" t="e">
        <f>DATEVALUE(TEXT(DbLinkTable[[#This Row],[Date Received]],"MMMM YYYY"))</f>
        <v>#VALUE!</v>
      </c>
      <c r="Y994" s="4" t="e">
        <f>INT(DbLinkTable[[#This Row],[Date Received]])</f>
        <v>#VALUE!</v>
      </c>
    </row>
    <row r="995" spans="5:25">
      <c r="E995"/>
      <c r="G995"/>
      <c r="H995"/>
      <c r="I995"/>
      <c r="K995"/>
      <c r="O995"/>
      <c r="R995"/>
      <c r="S995" s="79" t="e">
        <f>DbLinkTable[[#This Row],[Credit]]+DbLinkTable[[#This Row],[Charge]]</f>
        <v>#VALUE!</v>
      </c>
      <c r="T995" s="79" t="e">
        <f>IF(DbLinkTable[[#This Row],[Price/lb]]*DbLinkTable[[#This Row],[Weight]]&gt;0,DbLinkTable[[#This Row],[Price/lb]]*DbLinkTable[[#This Row],[Weight]],0)</f>
        <v>#VALUE!</v>
      </c>
      <c r="U995" s="79" t="e">
        <f>IF(DbLinkTable[[#This Row],[Price/lb]]*DbLinkTable[[#This Row],[Weight]]&lt;0,DbLinkTable[[#This Row],[Price/lb]]*DbLinkTable[[#This Row],[Weight]],0)</f>
        <v>#VALUE!</v>
      </c>
      <c r="V995" s="4" t="str">
        <f>IF(COUNTIF($W$2:W995,W995)=1,1,"")</f>
        <v/>
      </c>
      <c r="W995" s="4" t="e">
        <f>CONCATENATE(DbLinkTable[[#This Row],[Customer]],UPPER(DbLinkTable[[#This Row],[Trailer Number]]),DbLinkTable[[#This Row],[Day Received]])</f>
        <v>#VALUE!</v>
      </c>
      <c r="X995" s="4" t="e">
        <f>DATEVALUE(TEXT(DbLinkTable[[#This Row],[Date Received]],"MMMM YYYY"))</f>
        <v>#VALUE!</v>
      </c>
      <c r="Y995" s="4" t="e">
        <f>INT(DbLinkTable[[#This Row],[Date Received]])</f>
        <v>#VALUE!</v>
      </c>
    </row>
    <row r="996" spans="5:25">
      <c r="E996"/>
      <c r="G996"/>
      <c r="H996"/>
      <c r="I996"/>
      <c r="K996"/>
      <c r="O996"/>
      <c r="R996"/>
      <c r="S996" s="79" t="e">
        <f>DbLinkTable[[#This Row],[Credit]]+DbLinkTable[[#This Row],[Charge]]</f>
        <v>#VALUE!</v>
      </c>
      <c r="T996" s="79" t="e">
        <f>IF(DbLinkTable[[#This Row],[Price/lb]]*DbLinkTable[[#This Row],[Weight]]&gt;0,DbLinkTable[[#This Row],[Price/lb]]*DbLinkTable[[#This Row],[Weight]],0)</f>
        <v>#VALUE!</v>
      </c>
      <c r="U996" s="79" t="e">
        <f>IF(DbLinkTable[[#This Row],[Price/lb]]*DbLinkTable[[#This Row],[Weight]]&lt;0,DbLinkTable[[#This Row],[Price/lb]]*DbLinkTable[[#This Row],[Weight]],0)</f>
        <v>#VALUE!</v>
      </c>
      <c r="V996" s="4" t="str">
        <f>IF(COUNTIF($W$2:W996,W996)=1,1,"")</f>
        <v/>
      </c>
      <c r="W996" s="4" t="e">
        <f>CONCATENATE(DbLinkTable[[#This Row],[Customer]],UPPER(DbLinkTable[[#This Row],[Trailer Number]]),DbLinkTable[[#This Row],[Day Received]])</f>
        <v>#VALUE!</v>
      </c>
      <c r="X996" s="4" t="e">
        <f>DATEVALUE(TEXT(DbLinkTable[[#This Row],[Date Received]],"MMMM YYYY"))</f>
        <v>#VALUE!</v>
      </c>
      <c r="Y996" s="4" t="e">
        <f>INT(DbLinkTable[[#This Row],[Date Received]])</f>
        <v>#VALUE!</v>
      </c>
    </row>
    <row r="997" spans="5:25">
      <c r="E997"/>
      <c r="G997"/>
      <c r="H997"/>
      <c r="I997"/>
      <c r="K997"/>
      <c r="O997"/>
      <c r="R997"/>
      <c r="S997" s="79" t="e">
        <f>DbLinkTable[[#This Row],[Credit]]+DbLinkTable[[#This Row],[Charge]]</f>
        <v>#VALUE!</v>
      </c>
      <c r="T997" s="79" t="e">
        <f>IF(DbLinkTable[[#This Row],[Price/lb]]*DbLinkTable[[#This Row],[Weight]]&gt;0,DbLinkTable[[#This Row],[Price/lb]]*DbLinkTable[[#This Row],[Weight]],0)</f>
        <v>#VALUE!</v>
      </c>
      <c r="U997" s="79" t="e">
        <f>IF(DbLinkTable[[#This Row],[Price/lb]]*DbLinkTable[[#This Row],[Weight]]&lt;0,DbLinkTable[[#This Row],[Price/lb]]*DbLinkTable[[#This Row],[Weight]],0)</f>
        <v>#VALUE!</v>
      </c>
      <c r="V997" s="4" t="str">
        <f>IF(COUNTIF($W$2:W997,W997)=1,1,"")</f>
        <v/>
      </c>
      <c r="W997" s="4" t="e">
        <f>CONCATENATE(DbLinkTable[[#This Row],[Customer]],UPPER(DbLinkTable[[#This Row],[Trailer Number]]),DbLinkTable[[#This Row],[Day Received]])</f>
        <v>#VALUE!</v>
      </c>
      <c r="X997" s="4" t="e">
        <f>DATEVALUE(TEXT(DbLinkTable[[#This Row],[Date Received]],"MMMM YYYY"))</f>
        <v>#VALUE!</v>
      </c>
      <c r="Y997" s="4" t="e">
        <f>INT(DbLinkTable[[#This Row],[Date Received]])</f>
        <v>#VALUE!</v>
      </c>
    </row>
    <row r="998" spans="5:25">
      <c r="E998"/>
      <c r="G998"/>
      <c r="H998"/>
      <c r="I998"/>
      <c r="K998"/>
      <c r="O998"/>
      <c r="R998"/>
      <c r="S998" s="79" t="e">
        <f>DbLinkTable[[#This Row],[Credit]]+DbLinkTable[[#This Row],[Charge]]</f>
        <v>#VALUE!</v>
      </c>
      <c r="T998" s="79" t="e">
        <f>IF(DbLinkTable[[#This Row],[Price/lb]]*DbLinkTable[[#This Row],[Weight]]&gt;0,DbLinkTable[[#This Row],[Price/lb]]*DbLinkTable[[#This Row],[Weight]],0)</f>
        <v>#VALUE!</v>
      </c>
      <c r="U998" s="79" t="e">
        <f>IF(DbLinkTable[[#This Row],[Price/lb]]*DbLinkTable[[#This Row],[Weight]]&lt;0,DbLinkTable[[#This Row],[Price/lb]]*DbLinkTable[[#This Row],[Weight]],0)</f>
        <v>#VALUE!</v>
      </c>
      <c r="V998" s="4" t="str">
        <f>IF(COUNTIF($W$2:W998,W998)=1,1,"")</f>
        <v/>
      </c>
      <c r="W998" s="4" t="e">
        <f>CONCATENATE(DbLinkTable[[#This Row],[Customer]],UPPER(DbLinkTable[[#This Row],[Trailer Number]]),DbLinkTable[[#This Row],[Day Received]])</f>
        <v>#VALUE!</v>
      </c>
      <c r="X998" s="4" t="e">
        <f>DATEVALUE(TEXT(DbLinkTable[[#This Row],[Date Received]],"MMMM YYYY"))</f>
        <v>#VALUE!</v>
      </c>
      <c r="Y998" s="4" t="e">
        <f>INT(DbLinkTable[[#This Row],[Date Received]])</f>
        <v>#VALUE!</v>
      </c>
    </row>
    <row r="999" spans="5:25">
      <c r="E999"/>
      <c r="G999"/>
      <c r="H999"/>
      <c r="I999"/>
      <c r="K999"/>
      <c r="O999"/>
      <c r="R999"/>
      <c r="S999" s="79" t="e">
        <f>DbLinkTable[[#This Row],[Credit]]+DbLinkTable[[#This Row],[Charge]]</f>
        <v>#VALUE!</v>
      </c>
      <c r="T999" s="79" t="e">
        <f>IF(DbLinkTable[[#This Row],[Price/lb]]*DbLinkTable[[#This Row],[Weight]]&gt;0,DbLinkTable[[#This Row],[Price/lb]]*DbLinkTable[[#This Row],[Weight]],0)</f>
        <v>#VALUE!</v>
      </c>
      <c r="U999" s="79" t="e">
        <f>IF(DbLinkTable[[#This Row],[Price/lb]]*DbLinkTable[[#This Row],[Weight]]&lt;0,DbLinkTable[[#This Row],[Price/lb]]*DbLinkTable[[#This Row],[Weight]],0)</f>
        <v>#VALUE!</v>
      </c>
      <c r="V999" s="4" t="str">
        <f>IF(COUNTIF($W$2:W999,W999)=1,1,"")</f>
        <v/>
      </c>
      <c r="W999" s="4" t="e">
        <f>CONCATENATE(DbLinkTable[[#This Row],[Customer]],UPPER(DbLinkTable[[#This Row],[Trailer Number]]),DbLinkTable[[#This Row],[Day Received]])</f>
        <v>#VALUE!</v>
      </c>
      <c r="X999" s="4" t="e">
        <f>DATEVALUE(TEXT(DbLinkTable[[#This Row],[Date Received]],"MMMM YYYY"))</f>
        <v>#VALUE!</v>
      </c>
      <c r="Y999" s="4" t="e">
        <f>INT(DbLinkTable[[#This Row],[Date Received]])</f>
        <v>#VALUE!</v>
      </c>
    </row>
    <row r="1000" spans="5:25">
      <c r="E1000"/>
      <c r="G1000"/>
      <c r="H1000"/>
      <c r="I1000"/>
      <c r="K1000"/>
      <c r="O1000"/>
      <c r="R1000"/>
      <c r="S1000" s="79" t="e">
        <f>DbLinkTable[[#This Row],[Credit]]+DbLinkTable[[#This Row],[Charge]]</f>
        <v>#VALUE!</v>
      </c>
      <c r="T1000" s="79" t="e">
        <f>IF(DbLinkTable[[#This Row],[Price/lb]]*DbLinkTable[[#This Row],[Weight]]&gt;0,DbLinkTable[[#This Row],[Price/lb]]*DbLinkTable[[#This Row],[Weight]],0)</f>
        <v>#VALUE!</v>
      </c>
      <c r="U1000" s="79" t="e">
        <f>IF(DbLinkTable[[#This Row],[Price/lb]]*DbLinkTable[[#This Row],[Weight]]&lt;0,DbLinkTable[[#This Row],[Price/lb]]*DbLinkTable[[#This Row],[Weight]],0)</f>
        <v>#VALUE!</v>
      </c>
      <c r="V1000" s="4" t="str">
        <f>IF(COUNTIF($W$2:W1000,W1000)=1,1,"")</f>
        <v/>
      </c>
      <c r="W1000" s="4" t="e">
        <f>CONCATENATE(DbLinkTable[[#This Row],[Customer]],UPPER(DbLinkTable[[#This Row],[Trailer Number]]),DbLinkTable[[#This Row],[Day Received]])</f>
        <v>#VALUE!</v>
      </c>
      <c r="X1000" s="4" t="e">
        <f>DATEVALUE(TEXT(DbLinkTable[[#This Row],[Date Received]],"MMMM YYYY"))</f>
        <v>#VALUE!</v>
      </c>
      <c r="Y1000" s="4" t="e">
        <f>INT(DbLinkTable[[#This Row],[Date Received]])</f>
        <v>#VALUE!</v>
      </c>
    </row>
    <row r="1001" spans="5:25">
      <c r="E1001"/>
      <c r="G1001"/>
      <c r="H1001"/>
      <c r="I1001"/>
      <c r="K1001"/>
      <c r="O1001"/>
      <c r="R1001"/>
      <c r="S1001" s="79" t="e">
        <f>DbLinkTable[[#This Row],[Credit]]+DbLinkTable[[#This Row],[Charge]]</f>
        <v>#VALUE!</v>
      </c>
      <c r="T1001" s="79" t="e">
        <f>IF(DbLinkTable[[#This Row],[Price/lb]]*DbLinkTable[[#This Row],[Weight]]&gt;0,DbLinkTable[[#This Row],[Price/lb]]*DbLinkTable[[#This Row],[Weight]],0)</f>
        <v>#VALUE!</v>
      </c>
      <c r="U1001" s="79" t="e">
        <f>IF(DbLinkTable[[#This Row],[Price/lb]]*DbLinkTable[[#This Row],[Weight]]&lt;0,DbLinkTable[[#This Row],[Price/lb]]*DbLinkTable[[#This Row],[Weight]],0)</f>
        <v>#VALUE!</v>
      </c>
      <c r="V1001" s="4" t="str">
        <f>IF(COUNTIF($W$2:W1001,W1001)=1,1,"")</f>
        <v/>
      </c>
      <c r="W1001" s="4" t="e">
        <f>CONCATENATE(DbLinkTable[[#This Row],[Customer]],UPPER(DbLinkTable[[#This Row],[Trailer Number]]),DbLinkTable[[#This Row],[Day Received]])</f>
        <v>#VALUE!</v>
      </c>
      <c r="X1001" s="4" t="e">
        <f>DATEVALUE(TEXT(DbLinkTable[[#This Row],[Date Received]],"MMMM YYYY"))</f>
        <v>#VALUE!</v>
      </c>
      <c r="Y1001" s="4" t="e">
        <f>INT(DbLinkTable[[#This Row],[Date Received]])</f>
        <v>#VALUE!</v>
      </c>
    </row>
    <row r="1002" spans="5:25">
      <c r="E1002"/>
      <c r="G1002"/>
      <c r="H1002"/>
      <c r="I1002"/>
      <c r="K1002"/>
      <c r="O1002"/>
      <c r="R1002"/>
      <c r="S1002" s="79" t="e">
        <f>DbLinkTable[[#This Row],[Credit]]+DbLinkTable[[#This Row],[Charge]]</f>
        <v>#VALUE!</v>
      </c>
      <c r="T1002" s="79" t="e">
        <f>IF(DbLinkTable[[#This Row],[Price/lb]]*DbLinkTable[[#This Row],[Weight]]&gt;0,DbLinkTable[[#This Row],[Price/lb]]*DbLinkTable[[#This Row],[Weight]],0)</f>
        <v>#VALUE!</v>
      </c>
      <c r="U1002" s="79" t="e">
        <f>IF(DbLinkTable[[#This Row],[Price/lb]]*DbLinkTable[[#This Row],[Weight]]&lt;0,DbLinkTable[[#This Row],[Price/lb]]*DbLinkTable[[#This Row],[Weight]],0)</f>
        <v>#VALUE!</v>
      </c>
      <c r="V1002" s="4" t="str">
        <f>IF(COUNTIF($W$2:W1002,W1002)=1,1,"")</f>
        <v/>
      </c>
      <c r="W1002" s="4" t="e">
        <f>CONCATENATE(DbLinkTable[[#This Row],[Customer]],UPPER(DbLinkTable[[#This Row],[Trailer Number]]),DbLinkTable[[#This Row],[Day Received]])</f>
        <v>#VALUE!</v>
      </c>
      <c r="X1002" s="4" t="e">
        <f>DATEVALUE(TEXT(DbLinkTable[[#This Row],[Date Received]],"MMMM YYYY"))</f>
        <v>#VALUE!</v>
      </c>
      <c r="Y1002" s="4" t="e">
        <f>INT(DbLinkTable[[#This Row],[Date Received]])</f>
        <v>#VALUE!</v>
      </c>
    </row>
    <row r="1003" spans="5:25">
      <c r="E1003"/>
      <c r="G1003"/>
      <c r="H1003"/>
      <c r="I1003"/>
      <c r="K1003"/>
      <c r="O1003"/>
      <c r="R1003"/>
      <c r="S1003" s="79" t="e">
        <f>DbLinkTable[[#This Row],[Credit]]+DbLinkTable[[#This Row],[Charge]]</f>
        <v>#VALUE!</v>
      </c>
      <c r="T1003" s="79" t="e">
        <f>IF(DbLinkTable[[#This Row],[Price/lb]]*DbLinkTable[[#This Row],[Weight]]&gt;0,DbLinkTable[[#This Row],[Price/lb]]*DbLinkTable[[#This Row],[Weight]],0)</f>
        <v>#VALUE!</v>
      </c>
      <c r="U1003" s="79" t="e">
        <f>IF(DbLinkTable[[#This Row],[Price/lb]]*DbLinkTable[[#This Row],[Weight]]&lt;0,DbLinkTable[[#This Row],[Price/lb]]*DbLinkTable[[#This Row],[Weight]],0)</f>
        <v>#VALUE!</v>
      </c>
      <c r="V1003" s="4" t="str">
        <f>IF(COUNTIF($W$2:W1003,W1003)=1,1,"")</f>
        <v/>
      </c>
      <c r="W1003" s="4" t="e">
        <f>CONCATENATE(DbLinkTable[[#This Row],[Customer]],UPPER(DbLinkTable[[#This Row],[Trailer Number]]),DbLinkTable[[#This Row],[Day Received]])</f>
        <v>#VALUE!</v>
      </c>
      <c r="X1003" s="4" t="e">
        <f>DATEVALUE(TEXT(DbLinkTable[[#This Row],[Date Received]],"MMMM YYYY"))</f>
        <v>#VALUE!</v>
      </c>
      <c r="Y1003" s="4" t="e">
        <f>INT(DbLinkTable[[#This Row],[Date Received]])</f>
        <v>#VALUE!</v>
      </c>
    </row>
    <row r="1004" spans="5:25">
      <c r="E1004"/>
      <c r="G1004"/>
      <c r="H1004"/>
      <c r="I1004"/>
      <c r="K1004"/>
      <c r="O1004"/>
      <c r="R1004"/>
      <c r="S1004" s="79" t="e">
        <f>DbLinkTable[[#This Row],[Credit]]+DbLinkTable[[#This Row],[Charge]]</f>
        <v>#VALUE!</v>
      </c>
      <c r="T1004" s="79" t="e">
        <f>IF(DbLinkTable[[#This Row],[Price/lb]]*DbLinkTable[[#This Row],[Weight]]&gt;0,DbLinkTable[[#This Row],[Price/lb]]*DbLinkTable[[#This Row],[Weight]],0)</f>
        <v>#VALUE!</v>
      </c>
      <c r="U1004" s="79" t="e">
        <f>IF(DbLinkTable[[#This Row],[Price/lb]]*DbLinkTable[[#This Row],[Weight]]&lt;0,DbLinkTable[[#This Row],[Price/lb]]*DbLinkTable[[#This Row],[Weight]],0)</f>
        <v>#VALUE!</v>
      </c>
      <c r="V1004" s="4" t="str">
        <f>IF(COUNTIF($W$2:W1004,W1004)=1,1,"")</f>
        <v/>
      </c>
      <c r="W1004" s="4" t="e">
        <f>CONCATENATE(DbLinkTable[[#This Row],[Customer]],UPPER(DbLinkTable[[#This Row],[Trailer Number]]),DbLinkTable[[#This Row],[Day Received]])</f>
        <v>#VALUE!</v>
      </c>
      <c r="X1004" s="4" t="e">
        <f>DATEVALUE(TEXT(DbLinkTable[[#This Row],[Date Received]],"MMMM YYYY"))</f>
        <v>#VALUE!</v>
      </c>
      <c r="Y1004" s="4" t="e">
        <f>INT(DbLinkTable[[#This Row],[Date Received]])</f>
        <v>#VALUE!</v>
      </c>
    </row>
    <row r="1005" spans="5:25">
      <c r="E1005"/>
      <c r="G1005"/>
      <c r="H1005"/>
      <c r="I1005"/>
      <c r="K1005"/>
      <c r="O1005"/>
      <c r="R1005"/>
      <c r="S1005" s="79" t="e">
        <f>DbLinkTable[[#This Row],[Credit]]+DbLinkTable[[#This Row],[Charge]]</f>
        <v>#VALUE!</v>
      </c>
      <c r="T1005" s="79" t="e">
        <f>IF(DbLinkTable[[#This Row],[Price/lb]]*DbLinkTable[[#This Row],[Weight]]&gt;0,DbLinkTable[[#This Row],[Price/lb]]*DbLinkTable[[#This Row],[Weight]],0)</f>
        <v>#VALUE!</v>
      </c>
      <c r="U1005" s="79" t="e">
        <f>IF(DbLinkTable[[#This Row],[Price/lb]]*DbLinkTable[[#This Row],[Weight]]&lt;0,DbLinkTable[[#This Row],[Price/lb]]*DbLinkTable[[#This Row],[Weight]],0)</f>
        <v>#VALUE!</v>
      </c>
      <c r="V1005" s="4" t="str">
        <f>IF(COUNTIF($W$2:W1005,W1005)=1,1,"")</f>
        <v/>
      </c>
      <c r="W1005" s="4" t="e">
        <f>CONCATENATE(DbLinkTable[[#This Row],[Customer]],UPPER(DbLinkTable[[#This Row],[Trailer Number]]),DbLinkTable[[#This Row],[Day Received]])</f>
        <v>#VALUE!</v>
      </c>
      <c r="X1005" s="4" t="e">
        <f>DATEVALUE(TEXT(DbLinkTable[[#This Row],[Date Received]],"MMMM YYYY"))</f>
        <v>#VALUE!</v>
      </c>
      <c r="Y1005" s="4" t="e">
        <f>INT(DbLinkTable[[#This Row],[Date Received]])</f>
        <v>#VALUE!</v>
      </c>
    </row>
    <row r="1006" spans="5:25">
      <c r="E1006"/>
      <c r="G1006"/>
      <c r="H1006"/>
      <c r="I1006"/>
      <c r="K1006"/>
      <c r="O1006"/>
      <c r="R1006"/>
      <c r="S1006" s="79" t="e">
        <f>DbLinkTable[[#This Row],[Credit]]+DbLinkTable[[#This Row],[Charge]]</f>
        <v>#VALUE!</v>
      </c>
      <c r="T1006" s="79" t="e">
        <f>IF(DbLinkTable[[#This Row],[Price/lb]]*DbLinkTable[[#This Row],[Weight]]&gt;0,DbLinkTable[[#This Row],[Price/lb]]*DbLinkTable[[#This Row],[Weight]],0)</f>
        <v>#VALUE!</v>
      </c>
      <c r="U1006" s="79" t="e">
        <f>IF(DbLinkTable[[#This Row],[Price/lb]]*DbLinkTable[[#This Row],[Weight]]&lt;0,DbLinkTable[[#This Row],[Price/lb]]*DbLinkTable[[#This Row],[Weight]],0)</f>
        <v>#VALUE!</v>
      </c>
      <c r="V1006" s="4" t="str">
        <f>IF(COUNTIF($W$2:W1006,W1006)=1,1,"")</f>
        <v/>
      </c>
      <c r="W1006" s="4" t="e">
        <f>CONCATENATE(DbLinkTable[[#This Row],[Customer]],UPPER(DbLinkTable[[#This Row],[Trailer Number]]),DbLinkTable[[#This Row],[Day Received]])</f>
        <v>#VALUE!</v>
      </c>
      <c r="X1006" s="4" t="e">
        <f>DATEVALUE(TEXT(DbLinkTable[[#This Row],[Date Received]],"MMMM YYYY"))</f>
        <v>#VALUE!</v>
      </c>
      <c r="Y1006" s="4" t="e">
        <f>INT(DbLinkTable[[#This Row],[Date Received]])</f>
        <v>#VALUE!</v>
      </c>
    </row>
    <row r="1007" spans="5:25">
      <c r="E1007"/>
      <c r="G1007"/>
      <c r="H1007"/>
      <c r="I1007"/>
      <c r="K1007"/>
      <c r="O1007"/>
      <c r="R1007"/>
      <c r="S1007" s="79" t="e">
        <f>DbLinkTable[[#This Row],[Credit]]+DbLinkTable[[#This Row],[Charge]]</f>
        <v>#VALUE!</v>
      </c>
      <c r="T1007" s="79" t="e">
        <f>IF(DbLinkTable[[#This Row],[Price/lb]]*DbLinkTable[[#This Row],[Weight]]&gt;0,DbLinkTable[[#This Row],[Price/lb]]*DbLinkTable[[#This Row],[Weight]],0)</f>
        <v>#VALUE!</v>
      </c>
      <c r="U1007" s="79" t="e">
        <f>IF(DbLinkTable[[#This Row],[Price/lb]]*DbLinkTable[[#This Row],[Weight]]&lt;0,DbLinkTable[[#This Row],[Price/lb]]*DbLinkTable[[#This Row],[Weight]],0)</f>
        <v>#VALUE!</v>
      </c>
      <c r="V1007" s="4" t="str">
        <f>IF(COUNTIF($W$2:W1007,W1007)=1,1,"")</f>
        <v/>
      </c>
      <c r="W1007" s="4" t="e">
        <f>CONCATENATE(DbLinkTable[[#This Row],[Customer]],UPPER(DbLinkTable[[#This Row],[Trailer Number]]),DbLinkTable[[#This Row],[Day Received]])</f>
        <v>#VALUE!</v>
      </c>
      <c r="X1007" s="4" t="e">
        <f>DATEVALUE(TEXT(DbLinkTable[[#This Row],[Date Received]],"MMMM YYYY"))</f>
        <v>#VALUE!</v>
      </c>
      <c r="Y1007" s="4" t="e">
        <f>INT(DbLinkTable[[#This Row],[Date Received]])</f>
        <v>#VALUE!</v>
      </c>
    </row>
    <row r="1008" spans="5:25">
      <c r="E1008"/>
      <c r="G1008"/>
      <c r="H1008"/>
      <c r="I1008"/>
      <c r="K1008"/>
      <c r="O1008"/>
      <c r="R1008"/>
      <c r="S1008" s="79" t="e">
        <f>DbLinkTable[[#This Row],[Credit]]+DbLinkTable[[#This Row],[Charge]]</f>
        <v>#VALUE!</v>
      </c>
      <c r="T1008" s="79" t="e">
        <f>IF(DbLinkTable[[#This Row],[Price/lb]]*DbLinkTable[[#This Row],[Weight]]&gt;0,DbLinkTable[[#This Row],[Price/lb]]*DbLinkTable[[#This Row],[Weight]],0)</f>
        <v>#VALUE!</v>
      </c>
      <c r="U1008" s="79" t="e">
        <f>IF(DbLinkTable[[#This Row],[Price/lb]]*DbLinkTable[[#This Row],[Weight]]&lt;0,DbLinkTable[[#This Row],[Price/lb]]*DbLinkTable[[#This Row],[Weight]],0)</f>
        <v>#VALUE!</v>
      </c>
      <c r="V1008" s="4" t="str">
        <f>IF(COUNTIF($W$2:W1008,W1008)=1,1,"")</f>
        <v/>
      </c>
      <c r="W1008" s="4" t="e">
        <f>CONCATENATE(DbLinkTable[[#This Row],[Customer]],UPPER(DbLinkTable[[#This Row],[Trailer Number]]),DbLinkTable[[#This Row],[Day Received]])</f>
        <v>#VALUE!</v>
      </c>
      <c r="X1008" s="4" t="e">
        <f>DATEVALUE(TEXT(DbLinkTable[[#This Row],[Date Received]],"MMMM YYYY"))</f>
        <v>#VALUE!</v>
      </c>
      <c r="Y1008" s="4" t="e">
        <f>INT(DbLinkTable[[#This Row],[Date Received]])</f>
        <v>#VALUE!</v>
      </c>
    </row>
    <row r="1009" spans="5:25">
      <c r="E1009"/>
      <c r="G1009"/>
      <c r="H1009"/>
      <c r="I1009"/>
      <c r="K1009"/>
      <c r="O1009"/>
      <c r="R1009"/>
      <c r="S1009" s="79" t="e">
        <f>DbLinkTable[[#This Row],[Credit]]+DbLinkTable[[#This Row],[Charge]]</f>
        <v>#VALUE!</v>
      </c>
      <c r="T1009" s="79" t="e">
        <f>IF(DbLinkTable[[#This Row],[Price/lb]]*DbLinkTable[[#This Row],[Weight]]&gt;0,DbLinkTable[[#This Row],[Price/lb]]*DbLinkTable[[#This Row],[Weight]],0)</f>
        <v>#VALUE!</v>
      </c>
      <c r="U1009" s="79" t="e">
        <f>IF(DbLinkTable[[#This Row],[Price/lb]]*DbLinkTable[[#This Row],[Weight]]&lt;0,DbLinkTable[[#This Row],[Price/lb]]*DbLinkTable[[#This Row],[Weight]],0)</f>
        <v>#VALUE!</v>
      </c>
      <c r="V1009" s="4" t="str">
        <f>IF(COUNTIF($W$2:W1009,W1009)=1,1,"")</f>
        <v/>
      </c>
      <c r="W1009" s="4" t="e">
        <f>CONCATENATE(DbLinkTable[[#This Row],[Customer]],UPPER(DbLinkTable[[#This Row],[Trailer Number]]),DbLinkTable[[#This Row],[Day Received]])</f>
        <v>#VALUE!</v>
      </c>
      <c r="X1009" s="4" t="e">
        <f>DATEVALUE(TEXT(DbLinkTable[[#This Row],[Date Received]],"MMMM YYYY"))</f>
        <v>#VALUE!</v>
      </c>
      <c r="Y1009" s="4" t="e">
        <f>INT(DbLinkTable[[#This Row],[Date Received]])</f>
        <v>#VALUE!</v>
      </c>
    </row>
    <row r="1010" spans="5:25">
      <c r="E1010"/>
      <c r="G1010"/>
      <c r="H1010"/>
      <c r="I1010"/>
      <c r="K1010"/>
      <c r="O1010"/>
      <c r="R1010"/>
      <c r="S1010" s="79" t="e">
        <f>DbLinkTable[[#This Row],[Credit]]+DbLinkTable[[#This Row],[Charge]]</f>
        <v>#VALUE!</v>
      </c>
      <c r="T1010" s="79" t="e">
        <f>IF(DbLinkTable[[#This Row],[Price/lb]]*DbLinkTable[[#This Row],[Weight]]&gt;0,DbLinkTable[[#This Row],[Price/lb]]*DbLinkTable[[#This Row],[Weight]],0)</f>
        <v>#VALUE!</v>
      </c>
      <c r="U1010" s="79" t="e">
        <f>IF(DbLinkTable[[#This Row],[Price/lb]]*DbLinkTable[[#This Row],[Weight]]&lt;0,DbLinkTable[[#This Row],[Price/lb]]*DbLinkTable[[#This Row],[Weight]],0)</f>
        <v>#VALUE!</v>
      </c>
      <c r="V1010" s="4" t="str">
        <f>IF(COUNTIF($W$2:W1010,W1010)=1,1,"")</f>
        <v/>
      </c>
      <c r="W1010" s="4" t="e">
        <f>CONCATENATE(DbLinkTable[[#This Row],[Customer]],UPPER(DbLinkTable[[#This Row],[Trailer Number]]),DbLinkTable[[#This Row],[Day Received]])</f>
        <v>#VALUE!</v>
      </c>
      <c r="X1010" s="4" t="e">
        <f>DATEVALUE(TEXT(DbLinkTable[[#This Row],[Date Received]],"MMMM YYYY"))</f>
        <v>#VALUE!</v>
      </c>
      <c r="Y1010" s="4" t="e">
        <f>INT(DbLinkTable[[#This Row],[Date Received]])</f>
        <v>#VALUE!</v>
      </c>
    </row>
    <row r="1011" spans="5:25">
      <c r="E1011"/>
      <c r="G1011"/>
      <c r="H1011"/>
      <c r="I1011"/>
      <c r="K1011"/>
      <c r="O1011"/>
      <c r="R1011"/>
      <c r="S1011" s="79" t="e">
        <f>DbLinkTable[[#This Row],[Credit]]+DbLinkTable[[#This Row],[Charge]]</f>
        <v>#VALUE!</v>
      </c>
      <c r="T1011" s="79" t="e">
        <f>IF(DbLinkTable[[#This Row],[Price/lb]]*DbLinkTable[[#This Row],[Weight]]&gt;0,DbLinkTable[[#This Row],[Price/lb]]*DbLinkTable[[#This Row],[Weight]],0)</f>
        <v>#VALUE!</v>
      </c>
      <c r="U1011" s="79" t="e">
        <f>IF(DbLinkTable[[#This Row],[Price/lb]]*DbLinkTable[[#This Row],[Weight]]&lt;0,DbLinkTable[[#This Row],[Price/lb]]*DbLinkTable[[#This Row],[Weight]],0)</f>
        <v>#VALUE!</v>
      </c>
      <c r="V1011" s="4" t="str">
        <f>IF(COUNTIF($W$2:W1011,W1011)=1,1,"")</f>
        <v/>
      </c>
      <c r="W1011" s="4" t="e">
        <f>CONCATENATE(DbLinkTable[[#This Row],[Customer]],UPPER(DbLinkTable[[#This Row],[Trailer Number]]),DbLinkTable[[#This Row],[Day Received]])</f>
        <v>#VALUE!</v>
      </c>
      <c r="X1011" s="4" t="e">
        <f>DATEVALUE(TEXT(DbLinkTable[[#This Row],[Date Received]],"MMMM YYYY"))</f>
        <v>#VALUE!</v>
      </c>
      <c r="Y1011" s="4" t="e">
        <f>INT(DbLinkTable[[#This Row],[Date Received]])</f>
        <v>#VALUE!</v>
      </c>
    </row>
    <row r="1012" spans="5:25">
      <c r="E1012"/>
      <c r="G1012"/>
      <c r="H1012"/>
      <c r="I1012"/>
      <c r="K1012"/>
      <c r="O1012"/>
      <c r="R1012"/>
      <c r="S1012" s="79" t="e">
        <f>DbLinkTable[[#This Row],[Credit]]+DbLinkTable[[#This Row],[Charge]]</f>
        <v>#VALUE!</v>
      </c>
      <c r="T1012" s="79" t="e">
        <f>IF(DbLinkTable[[#This Row],[Price/lb]]*DbLinkTable[[#This Row],[Weight]]&gt;0,DbLinkTable[[#This Row],[Price/lb]]*DbLinkTable[[#This Row],[Weight]],0)</f>
        <v>#VALUE!</v>
      </c>
      <c r="U1012" s="79" t="e">
        <f>IF(DbLinkTable[[#This Row],[Price/lb]]*DbLinkTable[[#This Row],[Weight]]&lt;0,DbLinkTable[[#This Row],[Price/lb]]*DbLinkTable[[#This Row],[Weight]],0)</f>
        <v>#VALUE!</v>
      </c>
      <c r="V1012" s="4" t="str">
        <f>IF(COUNTIF($W$2:W1012,W1012)=1,1,"")</f>
        <v/>
      </c>
      <c r="W1012" s="4" t="e">
        <f>CONCATENATE(DbLinkTable[[#This Row],[Customer]],UPPER(DbLinkTable[[#This Row],[Trailer Number]]),DbLinkTable[[#This Row],[Day Received]])</f>
        <v>#VALUE!</v>
      </c>
      <c r="X1012" s="4" t="e">
        <f>DATEVALUE(TEXT(DbLinkTable[[#This Row],[Date Received]],"MMMM YYYY"))</f>
        <v>#VALUE!</v>
      </c>
      <c r="Y1012" s="4" t="e">
        <f>INT(DbLinkTable[[#This Row],[Date Received]])</f>
        <v>#VALUE!</v>
      </c>
    </row>
    <row r="1013" spans="5:25">
      <c r="E1013"/>
      <c r="G1013"/>
      <c r="H1013"/>
      <c r="I1013"/>
      <c r="K1013"/>
      <c r="O1013"/>
      <c r="R1013"/>
      <c r="S1013" s="79" t="e">
        <f>DbLinkTable[[#This Row],[Credit]]+DbLinkTable[[#This Row],[Charge]]</f>
        <v>#VALUE!</v>
      </c>
      <c r="T1013" s="79" t="e">
        <f>IF(DbLinkTable[[#This Row],[Price/lb]]*DbLinkTable[[#This Row],[Weight]]&gt;0,DbLinkTable[[#This Row],[Price/lb]]*DbLinkTable[[#This Row],[Weight]],0)</f>
        <v>#VALUE!</v>
      </c>
      <c r="U1013" s="79" t="e">
        <f>IF(DbLinkTable[[#This Row],[Price/lb]]*DbLinkTable[[#This Row],[Weight]]&lt;0,DbLinkTable[[#This Row],[Price/lb]]*DbLinkTable[[#This Row],[Weight]],0)</f>
        <v>#VALUE!</v>
      </c>
      <c r="V1013" s="4" t="str">
        <f>IF(COUNTIF($W$2:W1013,W1013)=1,1,"")</f>
        <v/>
      </c>
      <c r="W1013" s="4" t="e">
        <f>CONCATENATE(DbLinkTable[[#This Row],[Customer]],UPPER(DbLinkTable[[#This Row],[Trailer Number]]),DbLinkTable[[#This Row],[Day Received]])</f>
        <v>#VALUE!</v>
      </c>
      <c r="X1013" s="4" t="e">
        <f>DATEVALUE(TEXT(DbLinkTable[[#This Row],[Date Received]],"MMMM YYYY"))</f>
        <v>#VALUE!</v>
      </c>
      <c r="Y1013" s="4" t="e">
        <f>INT(DbLinkTable[[#This Row],[Date Received]])</f>
        <v>#VALUE!</v>
      </c>
    </row>
    <row r="1014" spans="5:25">
      <c r="E1014"/>
      <c r="G1014"/>
      <c r="H1014"/>
      <c r="I1014"/>
      <c r="K1014"/>
      <c r="O1014"/>
      <c r="R1014"/>
      <c r="S1014" s="79" t="e">
        <f>DbLinkTable[[#This Row],[Credit]]+DbLinkTable[[#This Row],[Charge]]</f>
        <v>#VALUE!</v>
      </c>
      <c r="T1014" s="79" t="e">
        <f>IF(DbLinkTable[[#This Row],[Price/lb]]*DbLinkTable[[#This Row],[Weight]]&gt;0,DbLinkTable[[#This Row],[Price/lb]]*DbLinkTable[[#This Row],[Weight]],0)</f>
        <v>#VALUE!</v>
      </c>
      <c r="U1014" s="79" t="e">
        <f>IF(DbLinkTable[[#This Row],[Price/lb]]*DbLinkTable[[#This Row],[Weight]]&lt;0,DbLinkTable[[#This Row],[Price/lb]]*DbLinkTable[[#This Row],[Weight]],0)</f>
        <v>#VALUE!</v>
      </c>
      <c r="V1014" s="4" t="str">
        <f>IF(COUNTIF($W$2:W1014,W1014)=1,1,"")</f>
        <v/>
      </c>
      <c r="W1014" s="4" t="e">
        <f>CONCATENATE(DbLinkTable[[#This Row],[Customer]],UPPER(DbLinkTable[[#This Row],[Trailer Number]]),DbLinkTable[[#This Row],[Day Received]])</f>
        <v>#VALUE!</v>
      </c>
      <c r="X1014" s="4" t="e">
        <f>DATEVALUE(TEXT(DbLinkTable[[#This Row],[Date Received]],"MMMM YYYY"))</f>
        <v>#VALUE!</v>
      </c>
      <c r="Y1014" s="4" t="e">
        <f>INT(DbLinkTable[[#This Row],[Date Received]])</f>
        <v>#VALUE!</v>
      </c>
    </row>
    <row r="1015" spans="5:25">
      <c r="E1015"/>
      <c r="G1015"/>
      <c r="H1015"/>
      <c r="I1015"/>
      <c r="K1015"/>
      <c r="O1015"/>
      <c r="R1015"/>
      <c r="S1015" s="79" t="e">
        <f>DbLinkTable[[#This Row],[Credit]]+DbLinkTable[[#This Row],[Charge]]</f>
        <v>#VALUE!</v>
      </c>
      <c r="T1015" s="79" t="e">
        <f>IF(DbLinkTable[[#This Row],[Price/lb]]*DbLinkTable[[#This Row],[Weight]]&gt;0,DbLinkTable[[#This Row],[Price/lb]]*DbLinkTable[[#This Row],[Weight]],0)</f>
        <v>#VALUE!</v>
      </c>
      <c r="U1015" s="79" t="e">
        <f>IF(DbLinkTable[[#This Row],[Price/lb]]*DbLinkTable[[#This Row],[Weight]]&lt;0,DbLinkTable[[#This Row],[Price/lb]]*DbLinkTable[[#This Row],[Weight]],0)</f>
        <v>#VALUE!</v>
      </c>
      <c r="V1015" s="4" t="str">
        <f>IF(COUNTIF($W$2:W1015,W1015)=1,1,"")</f>
        <v/>
      </c>
      <c r="W1015" s="4" t="e">
        <f>CONCATENATE(DbLinkTable[[#This Row],[Customer]],UPPER(DbLinkTable[[#This Row],[Trailer Number]]),DbLinkTable[[#This Row],[Day Received]])</f>
        <v>#VALUE!</v>
      </c>
      <c r="X1015" s="4" t="e">
        <f>DATEVALUE(TEXT(DbLinkTable[[#This Row],[Date Received]],"MMMM YYYY"))</f>
        <v>#VALUE!</v>
      </c>
      <c r="Y1015" s="4" t="e">
        <f>INT(DbLinkTable[[#This Row],[Date Received]])</f>
        <v>#VALUE!</v>
      </c>
    </row>
    <row r="1016" spans="5:25">
      <c r="E1016"/>
      <c r="G1016"/>
      <c r="H1016"/>
      <c r="I1016"/>
      <c r="K1016"/>
      <c r="O1016"/>
      <c r="R1016"/>
      <c r="S1016" s="79" t="e">
        <f>DbLinkTable[[#This Row],[Credit]]+DbLinkTable[[#This Row],[Charge]]</f>
        <v>#VALUE!</v>
      </c>
      <c r="T1016" s="79" t="e">
        <f>IF(DbLinkTable[[#This Row],[Price/lb]]*DbLinkTable[[#This Row],[Weight]]&gt;0,DbLinkTable[[#This Row],[Price/lb]]*DbLinkTable[[#This Row],[Weight]],0)</f>
        <v>#VALUE!</v>
      </c>
      <c r="U1016" s="79" t="e">
        <f>IF(DbLinkTable[[#This Row],[Price/lb]]*DbLinkTable[[#This Row],[Weight]]&lt;0,DbLinkTable[[#This Row],[Price/lb]]*DbLinkTable[[#This Row],[Weight]],0)</f>
        <v>#VALUE!</v>
      </c>
      <c r="V1016" s="4" t="str">
        <f>IF(COUNTIF($W$2:W1016,W1016)=1,1,"")</f>
        <v/>
      </c>
      <c r="W1016" s="4" t="e">
        <f>CONCATENATE(DbLinkTable[[#This Row],[Customer]],UPPER(DbLinkTable[[#This Row],[Trailer Number]]),DbLinkTable[[#This Row],[Day Received]])</f>
        <v>#VALUE!</v>
      </c>
      <c r="X1016" s="4" t="e">
        <f>DATEVALUE(TEXT(DbLinkTable[[#This Row],[Date Received]],"MMMM YYYY"))</f>
        <v>#VALUE!</v>
      </c>
      <c r="Y1016" s="4" t="e">
        <f>INT(DbLinkTable[[#This Row],[Date Received]])</f>
        <v>#VALUE!</v>
      </c>
    </row>
    <row r="1017" spans="5:25">
      <c r="E1017"/>
      <c r="G1017"/>
      <c r="H1017"/>
      <c r="I1017"/>
      <c r="K1017"/>
      <c r="O1017"/>
      <c r="R1017"/>
      <c r="S1017" s="79" t="e">
        <f>DbLinkTable[[#This Row],[Credit]]+DbLinkTable[[#This Row],[Charge]]</f>
        <v>#VALUE!</v>
      </c>
      <c r="T1017" s="79" t="e">
        <f>IF(DbLinkTable[[#This Row],[Price/lb]]*DbLinkTable[[#This Row],[Weight]]&gt;0,DbLinkTable[[#This Row],[Price/lb]]*DbLinkTable[[#This Row],[Weight]],0)</f>
        <v>#VALUE!</v>
      </c>
      <c r="U1017" s="79" t="e">
        <f>IF(DbLinkTable[[#This Row],[Price/lb]]*DbLinkTable[[#This Row],[Weight]]&lt;0,DbLinkTable[[#This Row],[Price/lb]]*DbLinkTable[[#This Row],[Weight]],0)</f>
        <v>#VALUE!</v>
      </c>
      <c r="V1017" s="4" t="str">
        <f>IF(COUNTIF($W$2:W1017,W1017)=1,1,"")</f>
        <v/>
      </c>
      <c r="W1017" s="4" t="e">
        <f>CONCATENATE(DbLinkTable[[#This Row],[Customer]],UPPER(DbLinkTable[[#This Row],[Trailer Number]]),DbLinkTable[[#This Row],[Day Received]])</f>
        <v>#VALUE!</v>
      </c>
      <c r="X1017" s="4" t="e">
        <f>DATEVALUE(TEXT(DbLinkTable[[#This Row],[Date Received]],"MMMM YYYY"))</f>
        <v>#VALUE!</v>
      </c>
      <c r="Y1017" s="4" t="e">
        <f>INT(DbLinkTable[[#This Row],[Date Received]])</f>
        <v>#VALUE!</v>
      </c>
    </row>
    <row r="1018" spans="5:25">
      <c r="E1018"/>
      <c r="G1018"/>
      <c r="H1018"/>
      <c r="I1018"/>
      <c r="K1018"/>
      <c r="O1018"/>
      <c r="R1018"/>
      <c r="S1018" s="79" t="e">
        <f>DbLinkTable[[#This Row],[Credit]]+DbLinkTable[[#This Row],[Charge]]</f>
        <v>#VALUE!</v>
      </c>
      <c r="T1018" s="79" t="e">
        <f>IF(DbLinkTable[[#This Row],[Price/lb]]*DbLinkTable[[#This Row],[Weight]]&gt;0,DbLinkTable[[#This Row],[Price/lb]]*DbLinkTable[[#This Row],[Weight]],0)</f>
        <v>#VALUE!</v>
      </c>
      <c r="U1018" s="79" t="e">
        <f>IF(DbLinkTable[[#This Row],[Price/lb]]*DbLinkTable[[#This Row],[Weight]]&lt;0,DbLinkTable[[#This Row],[Price/lb]]*DbLinkTable[[#This Row],[Weight]],0)</f>
        <v>#VALUE!</v>
      </c>
      <c r="V1018" s="4" t="str">
        <f>IF(COUNTIF($W$2:W1018,W1018)=1,1,"")</f>
        <v/>
      </c>
      <c r="W1018" s="4" t="e">
        <f>CONCATENATE(DbLinkTable[[#This Row],[Customer]],UPPER(DbLinkTable[[#This Row],[Trailer Number]]),DbLinkTable[[#This Row],[Day Received]])</f>
        <v>#VALUE!</v>
      </c>
      <c r="X1018" s="4" t="e">
        <f>DATEVALUE(TEXT(DbLinkTable[[#This Row],[Date Received]],"MMMM YYYY"))</f>
        <v>#VALUE!</v>
      </c>
      <c r="Y1018" s="4" t="e">
        <f>INT(DbLinkTable[[#This Row],[Date Received]])</f>
        <v>#VALUE!</v>
      </c>
    </row>
    <row r="1019" spans="5:25">
      <c r="E1019"/>
      <c r="G1019"/>
      <c r="H1019"/>
      <c r="I1019"/>
      <c r="K1019"/>
      <c r="O1019"/>
      <c r="R1019"/>
      <c r="S1019" s="79" t="e">
        <f>DbLinkTable[[#This Row],[Credit]]+DbLinkTable[[#This Row],[Charge]]</f>
        <v>#VALUE!</v>
      </c>
      <c r="T1019" s="79" t="e">
        <f>IF(DbLinkTable[[#This Row],[Price/lb]]*DbLinkTable[[#This Row],[Weight]]&gt;0,DbLinkTable[[#This Row],[Price/lb]]*DbLinkTable[[#This Row],[Weight]],0)</f>
        <v>#VALUE!</v>
      </c>
      <c r="U1019" s="79" t="e">
        <f>IF(DbLinkTable[[#This Row],[Price/lb]]*DbLinkTable[[#This Row],[Weight]]&lt;0,DbLinkTable[[#This Row],[Price/lb]]*DbLinkTable[[#This Row],[Weight]],0)</f>
        <v>#VALUE!</v>
      </c>
      <c r="V1019" s="4" t="str">
        <f>IF(COUNTIF($W$2:W1019,W1019)=1,1,"")</f>
        <v/>
      </c>
      <c r="W1019" s="4" t="e">
        <f>CONCATENATE(DbLinkTable[[#This Row],[Customer]],UPPER(DbLinkTable[[#This Row],[Trailer Number]]),DbLinkTable[[#This Row],[Day Received]])</f>
        <v>#VALUE!</v>
      </c>
      <c r="X1019" s="4" t="e">
        <f>DATEVALUE(TEXT(DbLinkTable[[#This Row],[Date Received]],"MMMM YYYY"))</f>
        <v>#VALUE!</v>
      </c>
      <c r="Y1019" s="4" t="e">
        <f>INT(DbLinkTable[[#This Row],[Date Received]])</f>
        <v>#VALUE!</v>
      </c>
    </row>
    <row r="1020" spans="5:25">
      <c r="E1020"/>
      <c r="G1020"/>
      <c r="H1020"/>
      <c r="I1020"/>
      <c r="K1020"/>
      <c r="O1020"/>
      <c r="R1020"/>
      <c r="S1020" s="79" t="e">
        <f>DbLinkTable[[#This Row],[Credit]]+DbLinkTable[[#This Row],[Charge]]</f>
        <v>#VALUE!</v>
      </c>
      <c r="T1020" s="79" t="e">
        <f>IF(DbLinkTable[[#This Row],[Price/lb]]*DbLinkTable[[#This Row],[Weight]]&gt;0,DbLinkTable[[#This Row],[Price/lb]]*DbLinkTable[[#This Row],[Weight]],0)</f>
        <v>#VALUE!</v>
      </c>
      <c r="U1020" s="79" t="e">
        <f>IF(DbLinkTable[[#This Row],[Price/lb]]*DbLinkTable[[#This Row],[Weight]]&lt;0,DbLinkTable[[#This Row],[Price/lb]]*DbLinkTable[[#This Row],[Weight]],0)</f>
        <v>#VALUE!</v>
      </c>
      <c r="V1020" s="4" t="str">
        <f>IF(COUNTIF($W$2:W1020,W1020)=1,1,"")</f>
        <v/>
      </c>
      <c r="W1020" s="4" t="e">
        <f>CONCATENATE(DbLinkTable[[#This Row],[Customer]],UPPER(DbLinkTable[[#This Row],[Trailer Number]]),DbLinkTable[[#This Row],[Day Received]])</f>
        <v>#VALUE!</v>
      </c>
      <c r="X1020" s="4" t="e">
        <f>DATEVALUE(TEXT(DbLinkTable[[#This Row],[Date Received]],"MMMM YYYY"))</f>
        <v>#VALUE!</v>
      </c>
      <c r="Y1020" s="4" t="e">
        <f>INT(DbLinkTable[[#This Row],[Date Received]])</f>
        <v>#VALUE!</v>
      </c>
    </row>
    <row r="1021" spans="5:25">
      <c r="E1021"/>
      <c r="G1021"/>
      <c r="H1021"/>
      <c r="I1021"/>
      <c r="K1021"/>
      <c r="O1021"/>
      <c r="R1021"/>
      <c r="S1021" s="79" t="e">
        <f>DbLinkTable[[#This Row],[Credit]]+DbLinkTable[[#This Row],[Charge]]</f>
        <v>#VALUE!</v>
      </c>
      <c r="T1021" s="79" t="e">
        <f>IF(DbLinkTable[[#This Row],[Price/lb]]*DbLinkTable[[#This Row],[Weight]]&gt;0,DbLinkTable[[#This Row],[Price/lb]]*DbLinkTable[[#This Row],[Weight]],0)</f>
        <v>#VALUE!</v>
      </c>
      <c r="U1021" s="79" t="e">
        <f>IF(DbLinkTable[[#This Row],[Price/lb]]*DbLinkTable[[#This Row],[Weight]]&lt;0,DbLinkTable[[#This Row],[Price/lb]]*DbLinkTable[[#This Row],[Weight]],0)</f>
        <v>#VALUE!</v>
      </c>
      <c r="V1021" s="4" t="str">
        <f>IF(COUNTIF($W$2:W1021,W1021)=1,1,"")</f>
        <v/>
      </c>
      <c r="W1021" s="4" t="e">
        <f>CONCATENATE(DbLinkTable[[#This Row],[Customer]],UPPER(DbLinkTable[[#This Row],[Trailer Number]]),DbLinkTable[[#This Row],[Day Received]])</f>
        <v>#VALUE!</v>
      </c>
      <c r="X1021" s="4" t="e">
        <f>DATEVALUE(TEXT(DbLinkTable[[#This Row],[Date Received]],"MMMM YYYY"))</f>
        <v>#VALUE!</v>
      </c>
      <c r="Y1021" s="4" t="e">
        <f>INT(DbLinkTable[[#This Row],[Date Received]])</f>
        <v>#VALUE!</v>
      </c>
    </row>
    <row r="1022" spans="5:25">
      <c r="E1022"/>
      <c r="G1022"/>
      <c r="H1022"/>
      <c r="I1022"/>
      <c r="K1022"/>
      <c r="O1022"/>
      <c r="R1022"/>
      <c r="S1022" s="79" t="e">
        <f>DbLinkTable[[#This Row],[Credit]]+DbLinkTable[[#This Row],[Charge]]</f>
        <v>#VALUE!</v>
      </c>
      <c r="T1022" s="79" t="e">
        <f>IF(DbLinkTable[[#This Row],[Price/lb]]*DbLinkTable[[#This Row],[Weight]]&gt;0,DbLinkTable[[#This Row],[Price/lb]]*DbLinkTable[[#This Row],[Weight]],0)</f>
        <v>#VALUE!</v>
      </c>
      <c r="U1022" s="79" t="e">
        <f>IF(DbLinkTable[[#This Row],[Price/lb]]*DbLinkTable[[#This Row],[Weight]]&lt;0,DbLinkTable[[#This Row],[Price/lb]]*DbLinkTable[[#This Row],[Weight]],0)</f>
        <v>#VALUE!</v>
      </c>
      <c r="V1022" s="4" t="str">
        <f>IF(COUNTIF($W$2:W1022,W1022)=1,1,"")</f>
        <v/>
      </c>
      <c r="W1022" s="4" t="e">
        <f>CONCATENATE(DbLinkTable[[#This Row],[Customer]],UPPER(DbLinkTable[[#This Row],[Trailer Number]]),DbLinkTable[[#This Row],[Day Received]])</f>
        <v>#VALUE!</v>
      </c>
      <c r="X1022" s="4" t="e">
        <f>DATEVALUE(TEXT(DbLinkTable[[#This Row],[Date Received]],"MMMM YYYY"))</f>
        <v>#VALUE!</v>
      </c>
      <c r="Y1022" s="4" t="e">
        <f>INT(DbLinkTable[[#This Row],[Date Received]])</f>
        <v>#VALUE!</v>
      </c>
    </row>
    <row r="1023" spans="5:25">
      <c r="E1023"/>
      <c r="G1023"/>
      <c r="H1023"/>
      <c r="I1023"/>
      <c r="K1023"/>
      <c r="O1023"/>
      <c r="R1023"/>
      <c r="S1023" s="79" t="e">
        <f>DbLinkTable[[#This Row],[Credit]]+DbLinkTable[[#This Row],[Charge]]</f>
        <v>#VALUE!</v>
      </c>
      <c r="T1023" s="79" t="e">
        <f>IF(DbLinkTable[[#This Row],[Price/lb]]*DbLinkTable[[#This Row],[Weight]]&gt;0,DbLinkTable[[#This Row],[Price/lb]]*DbLinkTable[[#This Row],[Weight]],0)</f>
        <v>#VALUE!</v>
      </c>
      <c r="U1023" s="79" t="e">
        <f>IF(DbLinkTable[[#This Row],[Price/lb]]*DbLinkTable[[#This Row],[Weight]]&lt;0,DbLinkTable[[#This Row],[Price/lb]]*DbLinkTable[[#This Row],[Weight]],0)</f>
        <v>#VALUE!</v>
      </c>
      <c r="V1023" s="4" t="str">
        <f>IF(COUNTIF($W$2:W1023,W1023)=1,1,"")</f>
        <v/>
      </c>
      <c r="W1023" s="4" t="e">
        <f>CONCATENATE(DbLinkTable[[#This Row],[Customer]],UPPER(DbLinkTable[[#This Row],[Trailer Number]]),DbLinkTable[[#This Row],[Day Received]])</f>
        <v>#VALUE!</v>
      </c>
      <c r="X1023" s="4" t="e">
        <f>DATEVALUE(TEXT(DbLinkTable[[#This Row],[Date Received]],"MMMM YYYY"))</f>
        <v>#VALUE!</v>
      </c>
      <c r="Y1023" s="4" t="e">
        <f>INT(DbLinkTable[[#This Row],[Date Received]])</f>
        <v>#VALUE!</v>
      </c>
    </row>
    <row r="1024" spans="5:25">
      <c r="E1024"/>
      <c r="G1024"/>
      <c r="H1024"/>
      <c r="I1024"/>
      <c r="K1024"/>
      <c r="O1024"/>
      <c r="R1024"/>
      <c r="S1024" s="79" t="e">
        <f>DbLinkTable[[#This Row],[Credit]]+DbLinkTable[[#This Row],[Charge]]</f>
        <v>#VALUE!</v>
      </c>
      <c r="T1024" s="79" t="e">
        <f>IF(DbLinkTable[[#This Row],[Price/lb]]*DbLinkTable[[#This Row],[Weight]]&gt;0,DbLinkTable[[#This Row],[Price/lb]]*DbLinkTable[[#This Row],[Weight]],0)</f>
        <v>#VALUE!</v>
      </c>
      <c r="U1024" s="79" t="e">
        <f>IF(DbLinkTable[[#This Row],[Price/lb]]*DbLinkTable[[#This Row],[Weight]]&lt;0,DbLinkTable[[#This Row],[Price/lb]]*DbLinkTable[[#This Row],[Weight]],0)</f>
        <v>#VALUE!</v>
      </c>
      <c r="V1024" s="4" t="str">
        <f>IF(COUNTIF($W$2:W1024,W1024)=1,1,"")</f>
        <v/>
      </c>
      <c r="W1024" s="4" t="e">
        <f>CONCATENATE(DbLinkTable[[#This Row],[Customer]],UPPER(DbLinkTable[[#This Row],[Trailer Number]]),DbLinkTable[[#This Row],[Day Received]])</f>
        <v>#VALUE!</v>
      </c>
      <c r="X1024" s="4" t="e">
        <f>DATEVALUE(TEXT(DbLinkTable[[#This Row],[Date Received]],"MMMM YYYY"))</f>
        <v>#VALUE!</v>
      </c>
      <c r="Y1024" s="4" t="e">
        <f>INT(DbLinkTable[[#This Row],[Date Received]])</f>
        <v>#VALUE!</v>
      </c>
    </row>
    <row r="1025" spans="5:25">
      <c r="E1025"/>
      <c r="G1025"/>
      <c r="H1025"/>
      <c r="I1025"/>
      <c r="K1025"/>
      <c r="O1025"/>
      <c r="R1025"/>
      <c r="S1025" s="99" t="e">
        <f>DbLinkTable[[#This Row],[Credit]]+DbLinkTable[[#This Row],[Charge]]</f>
        <v>#VALUE!</v>
      </c>
      <c r="T1025" s="99" t="e">
        <f>IF(DbLinkTable[[#This Row],[Price/lb]]*DbLinkTable[[#This Row],[Weight]]&gt;0,DbLinkTable[[#This Row],[Price/lb]]*DbLinkTable[[#This Row],[Weight]],0)</f>
        <v>#VALUE!</v>
      </c>
      <c r="U1025" s="99" t="e">
        <f>IF(DbLinkTable[[#This Row],[Price/lb]]*DbLinkTable[[#This Row],[Weight]]&lt;0,DbLinkTable[[#This Row],[Price/lb]]*DbLinkTable[[#This Row],[Weight]],0)</f>
        <v>#VALUE!</v>
      </c>
      <c r="V1025" s="88" t="str">
        <f>IF(COUNTIF($W$2:W1025,W1025)=1,1,"")</f>
        <v/>
      </c>
      <c r="W1025" s="88" t="e">
        <f>CONCATENATE(DbLinkTable[[#This Row],[Customer]],UPPER(DbLinkTable[[#This Row],[Trailer Number]]),DbLinkTable[[#This Row],[Day Received]])</f>
        <v>#VALUE!</v>
      </c>
      <c r="X1025" s="88" t="e">
        <f>DATEVALUE(TEXT(DbLinkTable[[#This Row],[Date Received]],"MMMM YYYY"))</f>
        <v>#VALUE!</v>
      </c>
      <c r="Y1025" s="88" t="e">
        <f>INT(DbLinkTable[[#This Row],[Date Received]])</f>
        <v>#VALUE!</v>
      </c>
    </row>
    <row r="1026" spans="5:25">
      <c r="E1026"/>
      <c r="G1026"/>
      <c r="H1026"/>
      <c r="I1026"/>
      <c r="K1026"/>
      <c r="O1026"/>
      <c r="R1026"/>
      <c r="S1026" s="79" t="e">
        <f>DbLinkTable[[#This Row],[Credit]]+DbLinkTable[[#This Row],[Charge]]</f>
        <v>#VALUE!</v>
      </c>
      <c r="T1026" s="79" t="e">
        <f>IF(DbLinkTable[[#This Row],[Price/lb]]*DbLinkTable[[#This Row],[Weight]]&gt;0,DbLinkTable[[#This Row],[Price/lb]]*DbLinkTable[[#This Row],[Weight]],0)</f>
        <v>#VALUE!</v>
      </c>
      <c r="U1026" s="79" t="e">
        <f>IF(DbLinkTable[[#This Row],[Price/lb]]*DbLinkTable[[#This Row],[Weight]]&lt;0,DbLinkTable[[#This Row],[Price/lb]]*DbLinkTable[[#This Row],[Weight]],0)</f>
        <v>#VALUE!</v>
      </c>
      <c r="V1026" s="4" t="str">
        <f>IF(COUNTIF($W$2:W1026,W1026)=1,1,"")</f>
        <v/>
      </c>
      <c r="W1026" s="4" t="e">
        <f>CONCATENATE(DbLinkTable[[#This Row],[Customer]],UPPER(DbLinkTable[[#This Row],[Trailer Number]]),DbLinkTable[[#This Row],[Day Received]])</f>
        <v>#VALUE!</v>
      </c>
      <c r="X1026" s="4" t="e">
        <f>DATEVALUE(TEXT(DbLinkTable[[#This Row],[Date Received]],"MMMM YYYY"))</f>
        <v>#VALUE!</v>
      </c>
      <c r="Y1026" s="4" t="e">
        <f>INT(DbLinkTable[[#This Row],[Date Received]])</f>
        <v>#VALUE!</v>
      </c>
    </row>
    <row r="1027" spans="5:25">
      <c r="E1027"/>
      <c r="G1027"/>
      <c r="H1027"/>
      <c r="I1027"/>
      <c r="K1027"/>
      <c r="O1027"/>
      <c r="R1027"/>
      <c r="S1027" s="79" t="e">
        <f>DbLinkTable[[#This Row],[Credit]]+DbLinkTable[[#This Row],[Charge]]</f>
        <v>#VALUE!</v>
      </c>
      <c r="T1027" s="79" t="e">
        <f>IF(DbLinkTable[[#This Row],[Price/lb]]*DbLinkTable[[#This Row],[Weight]]&gt;0,DbLinkTable[[#This Row],[Price/lb]]*DbLinkTable[[#This Row],[Weight]],0)</f>
        <v>#VALUE!</v>
      </c>
      <c r="U1027" s="79" t="e">
        <f>IF(DbLinkTable[[#This Row],[Price/lb]]*DbLinkTable[[#This Row],[Weight]]&lt;0,DbLinkTable[[#This Row],[Price/lb]]*DbLinkTable[[#This Row],[Weight]],0)</f>
        <v>#VALUE!</v>
      </c>
      <c r="V1027" s="4" t="str">
        <f>IF(COUNTIF($W$2:W1027,W1027)=1,1,"")</f>
        <v/>
      </c>
      <c r="W1027" s="4" t="e">
        <f>CONCATENATE(DbLinkTable[[#This Row],[Customer]],UPPER(DbLinkTable[[#This Row],[Trailer Number]]),DbLinkTable[[#This Row],[Day Received]])</f>
        <v>#VALUE!</v>
      </c>
      <c r="X1027" s="4" t="e">
        <f>DATEVALUE(TEXT(DbLinkTable[[#This Row],[Date Received]],"MMMM YYYY"))</f>
        <v>#VALUE!</v>
      </c>
      <c r="Y1027" s="4" t="e">
        <f>INT(DbLinkTable[[#This Row],[Date Received]])</f>
        <v>#VALUE!</v>
      </c>
    </row>
    <row r="1028" spans="5:25">
      <c r="E1028"/>
      <c r="G1028"/>
      <c r="H1028"/>
      <c r="I1028"/>
      <c r="K1028"/>
      <c r="O1028"/>
      <c r="R1028"/>
      <c r="S1028" s="79" t="e">
        <f>DbLinkTable[[#This Row],[Credit]]+DbLinkTable[[#This Row],[Charge]]</f>
        <v>#VALUE!</v>
      </c>
      <c r="T1028" s="79" t="e">
        <f>IF(DbLinkTable[[#This Row],[Price/lb]]*DbLinkTable[[#This Row],[Weight]]&gt;0,DbLinkTable[[#This Row],[Price/lb]]*DbLinkTable[[#This Row],[Weight]],0)</f>
        <v>#VALUE!</v>
      </c>
      <c r="U1028" s="79" t="e">
        <f>IF(DbLinkTable[[#This Row],[Price/lb]]*DbLinkTable[[#This Row],[Weight]]&lt;0,DbLinkTable[[#This Row],[Price/lb]]*DbLinkTable[[#This Row],[Weight]],0)</f>
        <v>#VALUE!</v>
      </c>
      <c r="V1028" s="4" t="str">
        <f>IF(COUNTIF($W$2:W1028,W1028)=1,1,"")</f>
        <v/>
      </c>
      <c r="W1028" s="4" t="e">
        <f>CONCATENATE(DbLinkTable[[#This Row],[Customer]],UPPER(DbLinkTable[[#This Row],[Trailer Number]]),DbLinkTable[[#This Row],[Day Received]])</f>
        <v>#VALUE!</v>
      </c>
      <c r="X1028" s="4" t="e">
        <f>DATEVALUE(TEXT(DbLinkTable[[#This Row],[Date Received]],"MMMM YYYY"))</f>
        <v>#VALUE!</v>
      </c>
      <c r="Y1028" s="4" t="e">
        <f>INT(DbLinkTable[[#This Row],[Date Received]])</f>
        <v>#VALUE!</v>
      </c>
    </row>
    <row r="1029" spans="5:25">
      <c r="E1029"/>
      <c r="G1029"/>
      <c r="H1029"/>
      <c r="I1029"/>
      <c r="K1029"/>
      <c r="O1029"/>
      <c r="R1029"/>
      <c r="S1029" s="79" t="e">
        <f>DbLinkTable[[#This Row],[Credit]]+DbLinkTable[[#This Row],[Charge]]</f>
        <v>#VALUE!</v>
      </c>
      <c r="T1029" s="79" t="e">
        <f>IF(DbLinkTable[[#This Row],[Price/lb]]*DbLinkTable[[#This Row],[Weight]]&gt;0,DbLinkTable[[#This Row],[Price/lb]]*DbLinkTable[[#This Row],[Weight]],0)</f>
        <v>#VALUE!</v>
      </c>
      <c r="U1029" s="79" t="e">
        <f>IF(DbLinkTable[[#This Row],[Price/lb]]*DbLinkTable[[#This Row],[Weight]]&lt;0,DbLinkTable[[#This Row],[Price/lb]]*DbLinkTable[[#This Row],[Weight]],0)</f>
        <v>#VALUE!</v>
      </c>
      <c r="V1029" s="4" t="str">
        <f>IF(COUNTIF($W$2:W1029,W1029)=1,1,"")</f>
        <v/>
      </c>
      <c r="W1029" s="4" t="e">
        <f>CONCATENATE(DbLinkTable[[#This Row],[Customer]],UPPER(DbLinkTable[[#This Row],[Trailer Number]]),DbLinkTable[[#This Row],[Day Received]])</f>
        <v>#VALUE!</v>
      </c>
      <c r="X1029" s="4" t="e">
        <f>DATEVALUE(TEXT(DbLinkTable[[#This Row],[Date Received]],"MMMM YYYY"))</f>
        <v>#VALUE!</v>
      </c>
      <c r="Y1029" s="4" t="e">
        <f>INT(DbLinkTable[[#This Row],[Date Received]])</f>
        <v>#VALUE!</v>
      </c>
    </row>
    <row r="1030" spans="5:25">
      <c r="E1030"/>
      <c r="G1030"/>
      <c r="H1030"/>
      <c r="I1030"/>
      <c r="K1030"/>
      <c r="O1030"/>
      <c r="R1030"/>
      <c r="S1030" s="79" t="e">
        <f>DbLinkTable[[#This Row],[Credit]]+DbLinkTable[[#This Row],[Charge]]</f>
        <v>#VALUE!</v>
      </c>
      <c r="T1030" s="79" t="e">
        <f>IF(DbLinkTable[[#This Row],[Price/lb]]*DbLinkTable[[#This Row],[Weight]]&gt;0,DbLinkTable[[#This Row],[Price/lb]]*DbLinkTable[[#This Row],[Weight]],0)</f>
        <v>#VALUE!</v>
      </c>
      <c r="U1030" s="79" t="e">
        <f>IF(DbLinkTable[[#This Row],[Price/lb]]*DbLinkTable[[#This Row],[Weight]]&lt;0,DbLinkTable[[#This Row],[Price/lb]]*DbLinkTable[[#This Row],[Weight]],0)</f>
        <v>#VALUE!</v>
      </c>
      <c r="V1030" s="4" t="str">
        <f>IF(COUNTIF($W$2:W1030,W1030)=1,1,"")</f>
        <v/>
      </c>
      <c r="W1030" s="4" t="e">
        <f>CONCATENATE(DbLinkTable[[#This Row],[Customer]],UPPER(DbLinkTable[[#This Row],[Trailer Number]]),DbLinkTable[[#This Row],[Day Received]])</f>
        <v>#VALUE!</v>
      </c>
      <c r="X1030" s="4" t="e">
        <f>DATEVALUE(TEXT(DbLinkTable[[#This Row],[Date Received]],"MMMM YYYY"))</f>
        <v>#VALUE!</v>
      </c>
      <c r="Y1030" s="4" t="e">
        <f>INT(DbLinkTable[[#This Row],[Date Received]])</f>
        <v>#VALUE!</v>
      </c>
    </row>
    <row r="1031" spans="5:25">
      <c r="E1031"/>
      <c r="G1031"/>
      <c r="H1031"/>
      <c r="I1031"/>
      <c r="K1031"/>
      <c r="O1031"/>
      <c r="R1031"/>
      <c r="S1031" s="79" t="e">
        <f>DbLinkTable[[#This Row],[Credit]]+DbLinkTable[[#This Row],[Charge]]</f>
        <v>#VALUE!</v>
      </c>
      <c r="T1031" s="79" t="e">
        <f>IF(DbLinkTable[[#This Row],[Price/lb]]*DbLinkTable[[#This Row],[Weight]]&gt;0,DbLinkTable[[#This Row],[Price/lb]]*DbLinkTable[[#This Row],[Weight]],0)</f>
        <v>#VALUE!</v>
      </c>
      <c r="U1031" s="79" t="e">
        <f>IF(DbLinkTable[[#This Row],[Price/lb]]*DbLinkTable[[#This Row],[Weight]]&lt;0,DbLinkTable[[#This Row],[Price/lb]]*DbLinkTable[[#This Row],[Weight]],0)</f>
        <v>#VALUE!</v>
      </c>
      <c r="V1031" s="4" t="str">
        <f>IF(COUNTIF($W$2:W1031,W1031)=1,1,"")</f>
        <v/>
      </c>
      <c r="W1031" s="4" t="e">
        <f>CONCATENATE(DbLinkTable[[#This Row],[Customer]],UPPER(DbLinkTable[[#This Row],[Trailer Number]]),DbLinkTable[[#This Row],[Day Received]])</f>
        <v>#VALUE!</v>
      </c>
      <c r="X1031" s="4" t="e">
        <f>DATEVALUE(TEXT(DbLinkTable[[#This Row],[Date Received]],"MMMM YYYY"))</f>
        <v>#VALUE!</v>
      </c>
      <c r="Y1031" s="4" t="e">
        <f>INT(DbLinkTable[[#This Row],[Date Received]])</f>
        <v>#VALUE!</v>
      </c>
    </row>
    <row r="1032" spans="5:25">
      <c r="E1032"/>
      <c r="G1032"/>
      <c r="H1032"/>
      <c r="I1032"/>
      <c r="K1032"/>
      <c r="O1032"/>
      <c r="R1032"/>
      <c r="S1032" s="79" t="e">
        <f>DbLinkTable[[#This Row],[Credit]]+DbLinkTable[[#This Row],[Charge]]</f>
        <v>#VALUE!</v>
      </c>
      <c r="T1032" s="79" t="e">
        <f>IF(DbLinkTable[[#This Row],[Price/lb]]*DbLinkTable[[#This Row],[Weight]]&gt;0,DbLinkTable[[#This Row],[Price/lb]]*DbLinkTable[[#This Row],[Weight]],0)</f>
        <v>#VALUE!</v>
      </c>
      <c r="U1032" s="79" t="e">
        <f>IF(DbLinkTable[[#This Row],[Price/lb]]*DbLinkTable[[#This Row],[Weight]]&lt;0,DbLinkTable[[#This Row],[Price/lb]]*DbLinkTable[[#This Row],[Weight]],0)</f>
        <v>#VALUE!</v>
      </c>
      <c r="V1032" s="4" t="str">
        <f>IF(COUNTIF($W$2:W1032,W1032)=1,1,"")</f>
        <v/>
      </c>
      <c r="W1032" s="4" t="e">
        <f>CONCATENATE(DbLinkTable[[#This Row],[Customer]],UPPER(DbLinkTable[[#This Row],[Trailer Number]]),DbLinkTable[[#This Row],[Day Received]])</f>
        <v>#VALUE!</v>
      </c>
      <c r="X1032" s="4" t="e">
        <f>DATEVALUE(TEXT(DbLinkTable[[#This Row],[Date Received]],"MMMM YYYY"))</f>
        <v>#VALUE!</v>
      </c>
      <c r="Y1032" s="4" t="e">
        <f>INT(DbLinkTable[[#This Row],[Date Received]])</f>
        <v>#VALUE!</v>
      </c>
    </row>
    <row r="1033" spans="5:25">
      <c r="E1033"/>
      <c r="G1033"/>
      <c r="H1033"/>
      <c r="I1033"/>
      <c r="K1033"/>
      <c r="O1033"/>
      <c r="R1033"/>
      <c r="S1033" s="79" t="e">
        <f>DbLinkTable[[#This Row],[Credit]]+DbLinkTable[[#This Row],[Charge]]</f>
        <v>#VALUE!</v>
      </c>
      <c r="T1033" s="79" t="e">
        <f>IF(DbLinkTable[[#This Row],[Price/lb]]*DbLinkTable[[#This Row],[Weight]]&gt;0,DbLinkTable[[#This Row],[Price/lb]]*DbLinkTable[[#This Row],[Weight]],0)</f>
        <v>#VALUE!</v>
      </c>
      <c r="U1033" s="79" t="e">
        <f>IF(DbLinkTable[[#This Row],[Price/lb]]*DbLinkTable[[#This Row],[Weight]]&lt;0,DbLinkTable[[#This Row],[Price/lb]]*DbLinkTable[[#This Row],[Weight]],0)</f>
        <v>#VALUE!</v>
      </c>
      <c r="V1033" s="4" t="str">
        <f>IF(COUNTIF($W$2:W1033,W1033)=1,1,"")</f>
        <v/>
      </c>
      <c r="W1033" s="4" t="e">
        <f>CONCATENATE(DbLinkTable[[#This Row],[Customer]],UPPER(DbLinkTable[[#This Row],[Trailer Number]]),DbLinkTable[[#This Row],[Day Received]])</f>
        <v>#VALUE!</v>
      </c>
      <c r="X1033" s="4" t="e">
        <f>DATEVALUE(TEXT(DbLinkTable[[#This Row],[Date Received]],"MMMM YYYY"))</f>
        <v>#VALUE!</v>
      </c>
      <c r="Y1033" s="4" t="e">
        <f>INT(DbLinkTable[[#This Row],[Date Received]])</f>
        <v>#VALUE!</v>
      </c>
    </row>
    <row r="1034" spans="5:25">
      <c r="E1034"/>
      <c r="G1034"/>
      <c r="H1034"/>
      <c r="I1034"/>
      <c r="K1034"/>
      <c r="O1034"/>
      <c r="R1034"/>
      <c r="S1034" s="79" t="e">
        <f>DbLinkTable[[#This Row],[Credit]]+DbLinkTable[[#This Row],[Charge]]</f>
        <v>#VALUE!</v>
      </c>
      <c r="T1034" s="79" t="e">
        <f>IF(DbLinkTable[[#This Row],[Price/lb]]*DbLinkTable[[#This Row],[Weight]]&gt;0,DbLinkTable[[#This Row],[Price/lb]]*DbLinkTable[[#This Row],[Weight]],0)</f>
        <v>#VALUE!</v>
      </c>
      <c r="U1034" s="79" t="e">
        <f>IF(DbLinkTable[[#This Row],[Price/lb]]*DbLinkTable[[#This Row],[Weight]]&lt;0,DbLinkTable[[#This Row],[Price/lb]]*DbLinkTable[[#This Row],[Weight]],0)</f>
        <v>#VALUE!</v>
      </c>
      <c r="V1034" s="4" t="str">
        <f>IF(COUNTIF($W$2:W1034,W1034)=1,1,"")</f>
        <v/>
      </c>
      <c r="W1034" s="4" t="e">
        <f>CONCATENATE(DbLinkTable[[#This Row],[Customer]],UPPER(DbLinkTable[[#This Row],[Trailer Number]]),DbLinkTable[[#This Row],[Day Received]])</f>
        <v>#VALUE!</v>
      </c>
      <c r="X1034" s="4" t="e">
        <f>DATEVALUE(TEXT(DbLinkTable[[#This Row],[Date Received]],"MMMM YYYY"))</f>
        <v>#VALUE!</v>
      </c>
      <c r="Y1034" s="4" t="e">
        <f>INT(DbLinkTable[[#This Row],[Date Received]])</f>
        <v>#VALUE!</v>
      </c>
    </row>
    <row r="1035" spans="5:25">
      <c r="E1035"/>
      <c r="G1035"/>
      <c r="H1035"/>
      <c r="I1035"/>
      <c r="K1035"/>
      <c r="O1035"/>
      <c r="R1035"/>
      <c r="S1035" s="79" t="e">
        <f>DbLinkTable[[#This Row],[Credit]]+DbLinkTable[[#This Row],[Charge]]</f>
        <v>#VALUE!</v>
      </c>
      <c r="T1035" s="79" t="e">
        <f>IF(DbLinkTable[[#This Row],[Price/lb]]*DbLinkTable[[#This Row],[Weight]]&gt;0,DbLinkTable[[#This Row],[Price/lb]]*DbLinkTable[[#This Row],[Weight]],0)</f>
        <v>#VALUE!</v>
      </c>
      <c r="U1035" s="79" t="e">
        <f>IF(DbLinkTable[[#This Row],[Price/lb]]*DbLinkTable[[#This Row],[Weight]]&lt;0,DbLinkTable[[#This Row],[Price/lb]]*DbLinkTable[[#This Row],[Weight]],0)</f>
        <v>#VALUE!</v>
      </c>
      <c r="V1035" s="4" t="str">
        <f>IF(COUNTIF($W$2:W1035,W1035)=1,1,"")</f>
        <v/>
      </c>
      <c r="W1035" s="4" t="e">
        <f>CONCATENATE(DbLinkTable[[#This Row],[Customer]],UPPER(DbLinkTable[[#This Row],[Trailer Number]]),DbLinkTable[[#This Row],[Day Received]])</f>
        <v>#VALUE!</v>
      </c>
      <c r="X1035" s="4" t="e">
        <f>DATEVALUE(TEXT(DbLinkTable[[#This Row],[Date Received]],"MMMM YYYY"))</f>
        <v>#VALUE!</v>
      </c>
      <c r="Y1035" s="4" t="e">
        <f>INT(DbLinkTable[[#This Row],[Date Received]])</f>
        <v>#VALUE!</v>
      </c>
    </row>
    <row r="1036" spans="5:25">
      <c r="E1036"/>
      <c r="G1036"/>
      <c r="H1036"/>
      <c r="I1036"/>
      <c r="K1036"/>
      <c r="O1036"/>
      <c r="R1036"/>
      <c r="S1036" s="79" t="e">
        <f>DbLinkTable[[#This Row],[Credit]]+DbLinkTable[[#This Row],[Charge]]</f>
        <v>#VALUE!</v>
      </c>
      <c r="T1036" s="79" t="e">
        <f>IF(DbLinkTable[[#This Row],[Price/lb]]*DbLinkTable[[#This Row],[Weight]]&gt;0,DbLinkTable[[#This Row],[Price/lb]]*DbLinkTable[[#This Row],[Weight]],0)</f>
        <v>#VALUE!</v>
      </c>
      <c r="U1036" s="79" t="e">
        <f>IF(DbLinkTable[[#This Row],[Price/lb]]*DbLinkTable[[#This Row],[Weight]]&lt;0,DbLinkTable[[#This Row],[Price/lb]]*DbLinkTable[[#This Row],[Weight]],0)</f>
        <v>#VALUE!</v>
      </c>
      <c r="V1036" s="4" t="str">
        <f>IF(COUNTIF($W$2:W1036,W1036)=1,1,"")</f>
        <v/>
      </c>
      <c r="W1036" s="4" t="e">
        <f>CONCATENATE(DbLinkTable[[#This Row],[Customer]],UPPER(DbLinkTable[[#This Row],[Trailer Number]]),DbLinkTable[[#This Row],[Day Received]])</f>
        <v>#VALUE!</v>
      </c>
      <c r="X1036" s="4" t="e">
        <f>DATEVALUE(TEXT(DbLinkTable[[#This Row],[Date Received]],"MMMM YYYY"))</f>
        <v>#VALUE!</v>
      </c>
      <c r="Y1036" s="4" t="e">
        <f>INT(DbLinkTable[[#This Row],[Date Received]])</f>
        <v>#VALUE!</v>
      </c>
    </row>
    <row r="1037" spans="5:25">
      <c r="E1037"/>
      <c r="G1037"/>
      <c r="H1037"/>
      <c r="I1037"/>
      <c r="K1037"/>
      <c r="O1037"/>
      <c r="R1037"/>
      <c r="S1037" s="79" t="e">
        <f>DbLinkTable[[#This Row],[Credit]]+DbLinkTable[[#This Row],[Charge]]</f>
        <v>#VALUE!</v>
      </c>
      <c r="T1037" s="79" t="e">
        <f>IF(DbLinkTable[[#This Row],[Price/lb]]*DbLinkTable[[#This Row],[Weight]]&gt;0,DbLinkTable[[#This Row],[Price/lb]]*DbLinkTable[[#This Row],[Weight]],0)</f>
        <v>#VALUE!</v>
      </c>
      <c r="U1037" s="79" t="e">
        <f>IF(DbLinkTable[[#This Row],[Price/lb]]*DbLinkTable[[#This Row],[Weight]]&lt;0,DbLinkTable[[#This Row],[Price/lb]]*DbLinkTable[[#This Row],[Weight]],0)</f>
        <v>#VALUE!</v>
      </c>
      <c r="V1037" s="4" t="str">
        <f>IF(COUNTIF($W$2:W1037,W1037)=1,1,"")</f>
        <v/>
      </c>
      <c r="W1037" s="4" t="e">
        <f>CONCATENATE(DbLinkTable[[#This Row],[Customer]],UPPER(DbLinkTable[[#This Row],[Trailer Number]]),DbLinkTable[[#This Row],[Day Received]])</f>
        <v>#VALUE!</v>
      </c>
      <c r="X1037" s="4" t="e">
        <f>DATEVALUE(TEXT(DbLinkTable[[#This Row],[Date Received]],"MMMM YYYY"))</f>
        <v>#VALUE!</v>
      </c>
      <c r="Y1037" s="4" t="e">
        <f>INT(DbLinkTable[[#This Row],[Date Received]])</f>
        <v>#VALUE!</v>
      </c>
    </row>
    <row r="1038" spans="5:25">
      <c r="E1038"/>
      <c r="G1038"/>
      <c r="H1038"/>
      <c r="I1038"/>
      <c r="K1038"/>
      <c r="O1038"/>
      <c r="R1038"/>
      <c r="S1038" s="79" t="e">
        <f>DbLinkTable[[#This Row],[Credit]]+DbLinkTable[[#This Row],[Charge]]</f>
        <v>#VALUE!</v>
      </c>
      <c r="T1038" s="79" t="e">
        <f>IF(DbLinkTable[[#This Row],[Price/lb]]*DbLinkTable[[#This Row],[Weight]]&gt;0,DbLinkTable[[#This Row],[Price/lb]]*DbLinkTable[[#This Row],[Weight]],0)</f>
        <v>#VALUE!</v>
      </c>
      <c r="U1038" s="79" t="e">
        <f>IF(DbLinkTable[[#This Row],[Price/lb]]*DbLinkTable[[#This Row],[Weight]]&lt;0,DbLinkTable[[#This Row],[Price/lb]]*DbLinkTable[[#This Row],[Weight]],0)</f>
        <v>#VALUE!</v>
      </c>
      <c r="V1038" s="4" t="str">
        <f>IF(COUNTIF($W$2:W1038,W1038)=1,1,"")</f>
        <v/>
      </c>
      <c r="W1038" s="4" t="e">
        <f>CONCATENATE(DbLinkTable[[#This Row],[Customer]],UPPER(DbLinkTable[[#This Row],[Trailer Number]]),DbLinkTable[[#This Row],[Day Received]])</f>
        <v>#VALUE!</v>
      </c>
      <c r="X1038" s="4" t="e">
        <f>DATEVALUE(TEXT(DbLinkTable[[#This Row],[Date Received]],"MMMM YYYY"))</f>
        <v>#VALUE!</v>
      </c>
      <c r="Y1038" s="4" t="e">
        <f>INT(DbLinkTable[[#This Row],[Date Received]])</f>
        <v>#VALUE!</v>
      </c>
    </row>
    <row r="1039" spans="5:25">
      <c r="E1039"/>
      <c r="G1039"/>
      <c r="H1039"/>
      <c r="I1039"/>
      <c r="K1039"/>
      <c r="O1039"/>
      <c r="R1039"/>
      <c r="S1039" s="79" t="e">
        <f>DbLinkTable[[#This Row],[Credit]]+DbLinkTable[[#This Row],[Charge]]</f>
        <v>#VALUE!</v>
      </c>
      <c r="T1039" s="79" t="e">
        <f>IF(DbLinkTable[[#This Row],[Price/lb]]*DbLinkTable[[#This Row],[Weight]]&gt;0,DbLinkTable[[#This Row],[Price/lb]]*DbLinkTable[[#This Row],[Weight]],0)</f>
        <v>#VALUE!</v>
      </c>
      <c r="U1039" s="79" t="e">
        <f>IF(DbLinkTable[[#This Row],[Price/lb]]*DbLinkTable[[#This Row],[Weight]]&lt;0,DbLinkTable[[#This Row],[Price/lb]]*DbLinkTable[[#This Row],[Weight]],0)</f>
        <v>#VALUE!</v>
      </c>
      <c r="V1039" s="4" t="str">
        <f>IF(COUNTIF($W$2:W1039,W1039)=1,1,"")</f>
        <v/>
      </c>
      <c r="W1039" s="4" t="e">
        <f>CONCATENATE(DbLinkTable[[#This Row],[Customer]],UPPER(DbLinkTable[[#This Row],[Trailer Number]]),DbLinkTable[[#This Row],[Day Received]])</f>
        <v>#VALUE!</v>
      </c>
      <c r="X1039" s="4" t="e">
        <f>DATEVALUE(TEXT(DbLinkTable[[#This Row],[Date Received]],"MMMM YYYY"))</f>
        <v>#VALUE!</v>
      </c>
      <c r="Y1039" s="4" t="e">
        <f>INT(DbLinkTable[[#This Row],[Date Received]])</f>
        <v>#VALUE!</v>
      </c>
    </row>
    <row r="1040" spans="5:25">
      <c r="E1040"/>
      <c r="G1040"/>
      <c r="H1040"/>
      <c r="I1040"/>
      <c r="K1040"/>
      <c r="O1040"/>
      <c r="R1040"/>
      <c r="S1040" s="79" t="e">
        <f>DbLinkTable[[#This Row],[Credit]]+DbLinkTable[[#This Row],[Charge]]</f>
        <v>#VALUE!</v>
      </c>
      <c r="T1040" s="79" t="e">
        <f>IF(DbLinkTable[[#This Row],[Price/lb]]*DbLinkTable[[#This Row],[Weight]]&gt;0,DbLinkTable[[#This Row],[Price/lb]]*DbLinkTable[[#This Row],[Weight]],0)</f>
        <v>#VALUE!</v>
      </c>
      <c r="U1040" s="79" t="e">
        <f>IF(DbLinkTable[[#This Row],[Price/lb]]*DbLinkTable[[#This Row],[Weight]]&lt;0,DbLinkTable[[#This Row],[Price/lb]]*DbLinkTable[[#This Row],[Weight]],0)</f>
        <v>#VALUE!</v>
      </c>
      <c r="V1040" s="4" t="str">
        <f>IF(COUNTIF($W$2:W1040,W1040)=1,1,"")</f>
        <v/>
      </c>
      <c r="W1040" s="4" t="e">
        <f>CONCATENATE(DbLinkTable[[#This Row],[Customer]],UPPER(DbLinkTable[[#This Row],[Trailer Number]]),DbLinkTable[[#This Row],[Day Received]])</f>
        <v>#VALUE!</v>
      </c>
      <c r="X1040" s="4" t="e">
        <f>DATEVALUE(TEXT(DbLinkTable[[#This Row],[Date Received]],"MMMM YYYY"))</f>
        <v>#VALUE!</v>
      </c>
      <c r="Y1040" s="4" t="e">
        <f>INT(DbLinkTable[[#This Row],[Date Received]])</f>
        <v>#VALUE!</v>
      </c>
    </row>
    <row r="1041" spans="5:25">
      <c r="E1041"/>
      <c r="G1041"/>
      <c r="H1041"/>
      <c r="I1041"/>
      <c r="K1041"/>
      <c r="O1041"/>
      <c r="R1041"/>
      <c r="S1041" s="79" t="e">
        <f>DbLinkTable[[#This Row],[Credit]]+DbLinkTable[[#This Row],[Charge]]</f>
        <v>#VALUE!</v>
      </c>
      <c r="T1041" s="79" t="e">
        <f>IF(DbLinkTable[[#This Row],[Price/lb]]*DbLinkTable[[#This Row],[Weight]]&gt;0,DbLinkTable[[#This Row],[Price/lb]]*DbLinkTable[[#This Row],[Weight]],0)</f>
        <v>#VALUE!</v>
      </c>
      <c r="U1041" s="79" t="e">
        <f>IF(DbLinkTable[[#This Row],[Price/lb]]*DbLinkTable[[#This Row],[Weight]]&lt;0,DbLinkTable[[#This Row],[Price/lb]]*DbLinkTable[[#This Row],[Weight]],0)</f>
        <v>#VALUE!</v>
      </c>
      <c r="V1041" s="4" t="str">
        <f>IF(COUNTIF($W$2:W1041,W1041)=1,1,"")</f>
        <v/>
      </c>
      <c r="W1041" s="4" t="e">
        <f>CONCATENATE(DbLinkTable[[#This Row],[Customer]],UPPER(DbLinkTable[[#This Row],[Trailer Number]]),DbLinkTable[[#This Row],[Day Received]])</f>
        <v>#VALUE!</v>
      </c>
      <c r="X1041" s="4" t="e">
        <f>DATEVALUE(TEXT(DbLinkTable[[#This Row],[Date Received]],"MMMM YYYY"))</f>
        <v>#VALUE!</v>
      </c>
      <c r="Y1041" s="4" t="e">
        <f>INT(DbLinkTable[[#This Row],[Date Received]])</f>
        <v>#VALUE!</v>
      </c>
    </row>
    <row r="1042" spans="5:25">
      <c r="E1042"/>
      <c r="G1042"/>
      <c r="H1042"/>
      <c r="I1042"/>
      <c r="K1042"/>
      <c r="O1042"/>
      <c r="R1042"/>
      <c r="S1042" s="79" t="e">
        <f>DbLinkTable[[#This Row],[Credit]]+DbLinkTable[[#This Row],[Charge]]</f>
        <v>#VALUE!</v>
      </c>
      <c r="T1042" s="79" t="e">
        <f>IF(DbLinkTable[[#This Row],[Price/lb]]*DbLinkTable[[#This Row],[Weight]]&gt;0,DbLinkTable[[#This Row],[Price/lb]]*DbLinkTable[[#This Row],[Weight]],0)</f>
        <v>#VALUE!</v>
      </c>
      <c r="U1042" s="79" t="e">
        <f>IF(DbLinkTable[[#This Row],[Price/lb]]*DbLinkTable[[#This Row],[Weight]]&lt;0,DbLinkTable[[#This Row],[Price/lb]]*DbLinkTable[[#This Row],[Weight]],0)</f>
        <v>#VALUE!</v>
      </c>
      <c r="V1042" s="4" t="str">
        <f>IF(COUNTIF($W$2:W1042,W1042)=1,1,"")</f>
        <v/>
      </c>
      <c r="W1042" s="4" t="e">
        <f>CONCATENATE(DbLinkTable[[#This Row],[Customer]],UPPER(DbLinkTable[[#This Row],[Trailer Number]]),DbLinkTable[[#This Row],[Day Received]])</f>
        <v>#VALUE!</v>
      </c>
      <c r="X1042" s="4" t="e">
        <f>DATEVALUE(TEXT(DbLinkTable[[#This Row],[Date Received]],"MMMM YYYY"))</f>
        <v>#VALUE!</v>
      </c>
      <c r="Y1042" s="4" t="e">
        <f>INT(DbLinkTable[[#This Row],[Date Received]])</f>
        <v>#VALUE!</v>
      </c>
    </row>
    <row r="1043" spans="5:25">
      <c r="E1043"/>
      <c r="G1043"/>
      <c r="H1043"/>
      <c r="I1043"/>
      <c r="K1043"/>
      <c r="O1043"/>
      <c r="R1043"/>
      <c r="S1043" s="79" t="e">
        <f>DbLinkTable[[#This Row],[Credit]]+DbLinkTable[[#This Row],[Charge]]</f>
        <v>#VALUE!</v>
      </c>
      <c r="T1043" s="79" t="e">
        <f>IF(DbLinkTable[[#This Row],[Price/lb]]*DbLinkTable[[#This Row],[Weight]]&gt;0,DbLinkTable[[#This Row],[Price/lb]]*DbLinkTable[[#This Row],[Weight]],0)</f>
        <v>#VALUE!</v>
      </c>
      <c r="U1043" s="79" t="e">
        <f>IF(DbLinkTable[[#This Row],[Price/lb]]*DbLinkTable[[#This Row],[Weight]]&lt;0,DbLinkTable[[#This Row],[Price/lb]]*DbLinkTable[[#This Row],[Weight]],0)</f>
        <v>#VALUE!</v>
      </c>
      <c r="V1043" s="4" t="str">
        <f>IF(COUNTIF($W$2:W1043,W1043)=1,1,"")</f>
        <v/>
      </c>
      <c r="W1043" s="4" t="e">
        <f>CONCATENATE(DbLinkTable[[#This Row],[Customer]],UPPER(DbLinkTable[[#This Row],[Trailer Number]]),DbLinkTable[[#This Row],[Day Received]])</f>
        <v>#VALUE!</v>
      </c>
      <c r="X1043" s="4" t="e">
        <f>DATEVALUE(TEXT(DbLinkTable[[#This Row],[Date Received]],"MMMM YYYY"))</f>
        <v>#VALUE!</v>
      </c>
      <c r="Y1043" s="4" t="e">
        <f>INT(DbLinkTable[[#This Row],[Date Received]])</f>
        <v>#VALUE!</v>
      </c>
    </row>
    <row r="1044" spans="5:25">
      <c r="E1044"/>
      <c r="G1044"/>
      <c r="H1044"/>
      <c r="I1044"/>
      <c r="K1044"/>
      <c r="O1044"/>
      <c r="R1044"/>
      <c r="S1044" s="79" t="e">
        <f>DbLinkTable[[#This Row],[Credit]]+DbLinkTable[[#This Row],[Charge]]</f>
        <v>#VALUE!</v>
      </c>
      <c r="T1044" s="79" t="e">
        <f>IF(DbLinkTable[[#This Row],[Price/lb]]*DbLinkTable[[#This Row],[Weight]]&gt;0,DbLinkTable[[#This Row],[Price/lb]]*DbLinkTable[[#This Row],[Weight]],0)</f>
        <v>#VALUE!</v>
      </c>
      <c r="U1044" s="79" t="e">
        <f>IF(DbLinkTable[[#This Row],[Price/lb]]*DbLinkTable[[#This Row],[Weight]]&lt;0,DbLinkTable[[#This Row],[Price/lb]]*DbLinkTable[[#This Row],[Weight]],0)</f>
        <v>#VALUE!</v>
      </c>
      <c r="V1044" s="4" t="str">
        <f>IF(COUNTIF($W$2:W1044,W1044)=1,1,"")</f>
        <v/>
      </c>
      <c r="W1044" s="4" t="e">
        <f>CONCATENATE(DbLinkTable[[#This Row],[Customer]],UPPER(DbLinkTable[[#This Row],[Trailer Number]]),DbLinkTable[[#This Row],[Day Received]])</f>
        <v>#VALUE!</v>
      </c>
      <c r="X1044" s="4" t="e">
        <f>DATEVALUE(TEXT(DbLinkTable[[#This Row],[Date Received]],"MMMM YYYY"))</f>
        <v>#VALUE!</v>
      </c>
      <c r="Y1044" s="4" t="e">
        <f>INT(DbLinkTable[[#This Row],[Date Received]])</f>
        <v>#VALUE!</v>
      </c>
    </row>
    <row r="1045" spans="5:25">
      <c r="E1045"/>
      <c r="G1045"/>
      <c r="H1045"/>
      <c r="I1045"/>
      <c r="K1045"/>
      <c r="O1045"/>
      <c r="R1045"/>
      <c r="S1045" s="79" t="e">
        <f>DbLinkTable[[#This Row],[Credit]]+DbLinkTable[[#This Row],[Charge]]</f>
        <v>#VALUE!</v>
      </c>
      <c r="T1045" s="79" t="e">
        <f>IF(DbLinkTable[[#This Row],[Price/lb]]*DbLinkTable[[#This Row],[Weight]]&gt;0,DbLinkTable[[#This Row],[Price/lb]]*DbLinkTable[[#This Row],[Weight]],0)</f>
        <v>#VALUE!</v>
      </c>
      <c r="U1045" s="79" t="e">
        <f>IF(DbLinkTable[[#This Row],[Price/lb]]*DbLinkTable[[#This Row],[Weight]]&lt;0,DbLinkTable[[#This Row],[Price/lb]]*DbLinkTable[[#This Row],[Weight]],0)</f>
        <v>#VALUE!</v>
      </c>
      <c r="V1045" s="4" t="str">
        <f>IF(COUNTIF($W$2:W1045,W1045)=1,1,"")</f>
        <v/>
      </c>
      <c r="W1045" s="4" t="e">
        <f>CONCATENATE(DbLinkTable[[#This Row],[Customer]],UPPER(DbLinkTable[[#This Row],[Trailer Number]]),DbLinkTable[[#This Row],[Day Received]])</f>
        <v>#VALUE!</v>
      </c>
      <c r="X1045" s="4" t="e">
        <f>DATEVALUE(TEXT(DbLinkTable[[#This Row],[Date Received]],"MMMM YYYY"))</f>
        <v>#VALUE!</v>
      </c>
      <c r="Y1045" s="4" t="e">
        <f>INT(DbLinkTable[[#This Row],[Date Received]])</f>
        <v>#VALUE!</v>
      </c>
    </row>
    <row r="1046" spans="5:25">
      <c r="E1046"/>
      <c r="G1046"/>
      <c r="H1046"/>
      <c r="I1046"/>
      <c r="K1046"/>
      <c r="O1046"/>
      <c r="R1046"/>
      <c r="S1046" s="79" t="e">
        <f>DbLinkTable[[#This Row],[Credit]]+DbLinkTable[[#This Row],[Charge]]</f>
        <v>#VALUE!</v>
      </c>
      <c r="T1046" s="79" t="e">
        <f>IF(DbLinkTable[[#This Row],[Price/lb]]*DbLinkTable[[#This Row],[Weight]]&gt;0,DbLinkTable[[#This Row],[Price/lb]]*DbLinkTable[[#This Row],[Weight]],0)</f>
        <v>#VALUE!</v>
      </c>
      <c r="U1046" s="79" t="e">
        <f>IF(DbLinkTable[[#This Row],[Price/lb]]*DbLinkTable[[#This Row],[Weight]]&lt;0,DbLinkTable[[#This Row],[Price/lb]]*DbLinkTable[[#This Row],[Weight]],0)</f>
        <v>#VALUE!</v>
      </c>
      <c r="V1046" s="4" t="str">
        <f>IF(COUNTIF($W$2:W1046,W1046)=1,1,"")</f>
        <v/>
      </c>
      <c r="W1046" s="4" t="e">
        <f>CONCATENATE(DbLinkTable[[#This Row],[Customer]],UPPER(DbLinkTable[[#This Row],[Trailer Number]]),DbLinkTable[[#This Row],[Day Received]])</f>
        <v>#VALUE!</v>
      </c>
      <c r="X1046" s="4" t="e">
        <f>DATEVALUE(TEXT(DbLinkTable[[#This Row],[Date Received]],"MMMM YYYY"))</f>
        <v>#VALUE!</v>
      </c>
      <c r="Y1046" s="4" t="e">
        <f>INT(DbLinkTable[[#This Row],[Date Received]])</f>
        <v>#VALUE!</v>
      </c>
    </row>
    <row r="1047" spans="5:25">
      <c r="E1047"/>
      <c r="G1047"/>
      <c r="H1047"/>
      <c r="I1047"/>
      <c r="K1047"/>
      <c r="O1047"/>
      <c r="R1047"/>
      <c r="S1047" s="79" t="e">
        <f>DbLinkTable[[#This Row],[Credit]]+DbLinkTable[[#This Row],[Charge]]</f>
        <v>#VALUE!</v>
      </c>
      <c r="T1047" s="79" t="e">
        <f>IF(DbLinkTable[[#This Row],[Price/lb]]*DbLinkTable[[#This Row],[Weight]]&gt;0,DbLinkTable[[#This Row],[Price/lb]]*DbLinkTable[[#This Row],[Weight]],0)</f>
        <v>#VALUE!</v>
      </c>
      <c r="U1047" s="79" t="e">
        <f>IF(DbLinkTable[[#This Row],[Price/lb]]*DbLinkTable[[#This Row],[Weight]]&lt;0,DbLinkTable[[#This Row],[Price/lb]]*DbLinkTable[[#This Row],[Weight]],0)</f>
        <v>#VALUE!</v>
      </c>
      <c r="V1047" s="4" t="str">
        <f>IF(COUNTIF($W$2:W1047,W1047)=1,1,"")</f>
        <v/>
      </c>
      <c r="W1047" s="4" t="e">
        <f>CONCATENATE(DbLinkTable[[#This Row],[Customer]],UPPER(DbLinkTable[[#This Row],[Trailer Number]]),DbLinkTable[[#This Row],[Day Received]])</f>
        <v>#VALUE!</v>
      </c>
      <c r="X1047" s="4" t="e">
        <f>DATEVALUE(TEXT(DbLinkTable[[#This Row],[Date Received]],"MMMM YYYY"))</f>
        <v>#VALUE!</v>
      </c>
      <c r="Y1047" s="4" t="e">
        <f>INT(DbLinkTable[[#This Row],[Date Received]])</f>
        <v>#VALUE!</v>
      </c>
    </row>
    <row r="1048" spans="5:25">
      <c r="E1048"/>
      <c r="G1048"/>
      <c r="H1048"/>
      <c r="I1048"/>
      <c r="K1048"/>
      <c r="O1048"/>
      <c r="R1048"/>
      <c r="S1048" s="79" t="e">
        <f>DbLinkTable[[#This Row],[Credit]]+DbLinkTable[[#This Row],[Charge]]</f>
        <v>#VALUE!</v>
      </c>
      <c r="T1048" s="79" t="e">
        <f>IF(DbLinkTable[[#This Row],[Price/lb]]*DbLinkTable[[#This Row],[Weight]]&gt;0,DbLinkTable[[#This Row],[Price/lb]]*DbLinkTable[[#This Row],[Weight]],0)</f>
        <v>#VALUE!</v>
      </c>
      <c r="U1048" s="79" t="e">
        <f>IF(DbLinkTable[[#This Row],[Price/lb]]*DbLinkTable[[#This Row],[Weight]]&lt;0,DbLinkTable[[#This Row],[Price/lb]]*DbLinkTable[[#This Row],[Weight]],0)</f>
        <v>#VALUE!</v>
      </c>
      <c r="V1048" s="4" t="str">
        <f>IF(COUNTIF($W$2:W1048,W1048)=1,1,"")</f>
        <v/>
      </c>
      <c r="W1048" s="4" t="e">
        <f>CONCATENATE(DbLinkTable[[#This Row],[Customer]],UPPER(DbLinkTable[[#This Row],[Trailer Number]]),DbLinkTable[[#This Row],[Day Received]])</f>
        <v>#VALUE!</v>
      </c>
      <c r="X1048" s="4" t="e">
        <f>DATEVALUE(TEXT(DbLinkTable[[#This Row],[Date Received]],"MMMM YYYY"))</f>
        <v>#VALUE!</v>
      </c>
      <c r="Y1048" s="4" t="e">
        <f>INT(DbLinkTable[[#This Row],[Date Received]])</f>
        <v>#VALUE!</v>
      </c>
    </row>
    <row r="1049" spans="5:25">
      <c r="E1049"/>
      <c r="G1049"/>
      <c r="H1049"/>
      <c r="I1049"/>
      <c r="K1049"/>
      <c r="O1049"/>
      <c r="R1049"/>
      <c r="S1049" s="79" t="e">
        <f>DbLinkTable[[#This Row],[Credit]]+DbLinkTable[[#This Row],[Charge]]</f>
        <v>#VALUE!</v>
      </c>
      <c r="T1049" s="79" t="e">
        <f>IF(DbLinkTable[[#This Row],[Price/lb]]*DbLinkTable[[#This Row],[Weight]]&gt;0,DbLinkTable[[#This Row],[Price/lb]]*DbLinkTable[[#This Row],[Weight]],0)</f>
        <v>#VALUE!</v>
      </c>
      <c r="U1049" s="79" t="e">
        <f>IF(DbLinkTable[[#This Row],[Price/lb]]*DbLinkTable[[#This Row],[Weight]]&lt;0,DbLinkTable[[#This Row],[Price/lb]]*DbLinkTable[[#This Row],[Weight]],0)</f>
        <v>#VALUE!</v>
      </c>
      <c r="V1049" s="4" t="str">
        <f>IF(COUNTIF($W$2:W1049,W1049)=1,1,"")</f>
        <v/>
      </c>
      <c r="W1049" s="4" t="e">
        <f>CONCATENATE(DbLinkTable[[#This Row],[Customer]],UPPER(DbLinkTable[[#This Row],[Trailer Number]]),DbLinkTable[[#This Row],[Day Received]])</f>
        <v>#VALUE!</v>
      </c>
      <c r="X1049" s="4" t="e">
        <f>DATEVALUE(TEXT(DbLinkTable[[#This Row],[Date Received]],"MMMM YYYY"))</f>
        <v>#VALUE!</v>
      </c>
      <c r="Y1049" s="4" t="e">
        <f>INT(DbLinkTable[[#This Row],[Date Received]])</f>
        <v>#VALUE!</v>
      </c>
    </row>
    <row r="1050" spans="5:25">
      <c r="E1050"/>
      <c r="G1050"/>
      <c r="H1050"/>
      <c r="I1050"/>
      <c r="K1050"/>
      <c r="O1050"/>
      <c r="R1050"/>
      <c r="S1050" s="79" t="e">
        <f>DbLinkTable[[#This Row],[Credit]]+DbLinkTable[[#This Row],[Charge]]</f>
        <v>#VALUE!</v>
      </c>
      <c r="T1050" s="79" t="e">
        <f>IF(DbLinkTable[[#This Row],[Price/lb]]*DbLinkTable[[#This Row],[Weight]]&gt;0,DbLinkTable[[#This Row],[Price/lb]]*DbLinkTable[[#This Row],[Weight]],0)</f>
        <v>#VALUE!</v>
      </c>
      <c r="U1050" s="79" t="e">
        <f>IF(DbLinkTable[[#This Row],[Price/lb]]*DbLinkTable[[#This Row],[Weight]]&lt;0,DbLinkTable[[#This Row],[Price/lb]]*DbLinkTable[[#This Row],[Weight]],0)</f>
        <v>#VALUE!</v>
      </c>
      <c r="V1050" s="4" t="str">
        <f>IF(COUNTIF($W$2:W1050,W1050)=1,1,"")</f>
        <v/>
      </c>
      <c r="W1050" s="4" t="e">
        <f>CONCATENATE(DbLinkTable[[#This Row],[Customer]],UPPER(DbLinkTable[[#This Row],[Trailer Number]]),DbLinkTable[[#This Row],[Day Received]])</f>
        <v>#VALUE!</v>
      </c>
      <c r="X1050" s="4" t="e">
        <f>DATEVALUE(TEXT(DbLinkTable[[#This Row],[Date Received]],"MMMM YYYY"))</f>
        <v>#VALUE!</v>
      </c>
      <c r="Y1050" s="4" t="e">
        <f>INT(DbLinkTable[[#This Row],[Date Received]])</f>
        <v>#VALUE!</v>
      </c>
    </row>
    <row r="1051" spans="5:25">
      <c r="E1051"/>
      <c r="G1051"/>
      <c r="H1051"/>
      <c r="I1051"/>
      <c r="K1051"/>
      <c r="O1051"/>
      <c r="R1051"/>
      <c r="S1051" s="79" t="e">
        <f>DbLinkTable[[#This Row],[Credit]]+DbLinkTable[[#This Row],[Charge]]</f>
        <v>#VALUE!</v>
      </c>
      <c r="T1051" s="79" t="e">
        <f>IF(DbLinkTable[[#This Row],[Price/lb]]*DbLinkTable[[#This Row],[Weight]]&gt;0,DbLinkTable[[#This Row],[Price/lb]]*DbLinkTable[[#This Row],[Weight]],0)</f>
        <v>#VALUE!</v>
      </c>
      <c r="U1051" s="79" t="e">
        <f>IF(DbLinkTable[[#This Row],[Price/lb]]*DbLinkTable[[#This Row],[Weight]]&lt;0,DbLinkTable[[#This Row],[Price/lb]]*DbLinkTable[[#This Row],[Weight]],0)</f>
        <v>#VALUE!</v>
      </c>
      <c r="V1051" s="4" t="str">
        <f>IF(COUNTIF($W$2:W1051,W1051)=1,1,"")</f>
        <v/>
      </c>
      <c r="W1051" s="4" t="e">
        <f>CONCATENATE(DbLinkTable[[#This Row],[Customer]],UPPER(DbLinkTable[[#This Row],[Trailer Number]]),DbLinkTable[[#This Row],[Day Received]])</f>
        <v>#VALUE!</v>
      </c>
      <c r="X1051" s="4" t="e">
        <f>DATEVALUE(TEXT(DbLinkTable[[#This Row],[Date Received]],"MMMM YYYY"))</f>
        <v>#VALUE!</v>
      </c>
      <c r="Y1051" s="4" t="e">
        <f>INT(DbLinkTable[[#This Row],[Date Received]])</f>
        <v>#VALUE!</v>
      </c>
    </row>
    <row r="1052" spans="5:25">
      <c r="E1052"/>
      <c r="G1052"/>
      <c r="H1052"/>
      <c r="I1052"/>
      <c r="K1052"/>
      <c r="O1052"/>
      <c r="R1052"/>
      <c r="S1052" s="79" t="e">
        <f>DbLinkTable[[#This Row],[Credit]]+DbLinkTable[[#This Row],[Charge]]</f>
        <v>#VALUE!</v>
      </c>
      <c r="T1052" s="79" t="e">
        <f>IF(DbLinkTable[[#This Row],[Price/lb]]*DbLinkTable[[#This Row],[Weight]]&gt;0,DbLinkTable[[#This Row],[Price/lb]]*DbLinkTable[[#This Row],[Weight]],0)</f>
        <v>#VALUE!</v>
      </c>
      <c r="U1052" s="79" t="e">
        <f>IF(DbLinkTable[[#This Row],[Price/lb]]*DbLinkTable[[#This Row],[Weight]]&lt;0,DbLinkTable[[#This Row],[Price/lb]]*DbLinkTable[[#This Row],[Weight]],0)</f>
        <v>#VALUE!</v>
      </c>
      <c r="V1052" s="4" t="str">
        <f>IF(COUNTIF($W$2:W1052,W1052)=1,1,"")</f>
        <v/>
      </c>
      <c r="W1052" s="4" t="e">
        <f>CONCATENATE(DbLinkTable[[#This Row],[Customer]],UPPER(DbLinkTable[[#This Row],[Trailer Number]]),DbLinkTable[[#This Row],[Day Received]])</f>
        <v>#VALUE!</v>
      </c>
      <c r="X1052" s="4" t="e">
        <f>DATEVALUE(TEXT(DbLinkTable[[#This Row],[Date Received]],"MMMM YYYY"))</f>
        <v>#VALUE!</v>
      </c>
      <c r="Y1052" s="4" t="e">
        <f>INT(DbLinkTable[[#This Row],[Date Received]])</f>
        <v>#VALUE!</v>
      </c>
    </row>
    <row r="1053" spans="5:25">
      <c r="E1053"/>
      <c r="G1053"/>
      <c r="H1053"/>
      <c r="I1053"/>
      <c r="K1053"/>
      <c r="O1053"/>
      <c r="R1053"/>
      <c r="S1053" s="79" t="e">
        <f>DbLinkTable[[#This Row],[Credit]]+DbLinkTable[[#This Row],[Charge]]</f>
        <v>#VALUE!</v>
      </c>
      <c r="T1053" s="79" t="e">
        <f>IF(DbLinkTable[[#This Row],[Price/lb]]*DbLinkTable[[#This Row],[Weight]]&gt;0,DbLinkTable[[#This Row],[Price/lb]]*DbLinkTable[[#This Row],[Weight]],0)</f>
        <v>#VALUE!</v>
      </c>
      <c r="U1053" s="79" t="e">
        <f>IF(DbLinkTable[[#This Row],[Price/lb]]*DbLinkTable[[#This Row],[Weight]]&lt;0,DbLinkTable[[#This Row],[Price/lb]]*DbLinkTable[[#This Row],[Weight]],0)</f>
        <v>#VALUE!</v>
      </c>
      <c r="V1053" s="4" t="str">
        <f>IF(COUNTIF($W$2:W1053,W1053)=1,1,"")</f>
        <v/>
      </c>
      <c r="W1053" s="4" t="e">
        <f>CONCATENATE(DbLinkTable[[#This Row],[Customer]],UPPER(DbLinkTable[[#This Row],[Trailer Number]]),DbLinkTable[[#This Row],[Day Received]])</f>
        <v>#VALUE!</v>
      </c>
      <c r="X1053" s="4" t="e">
        <f>DATEVALUE(TEXT(DbLinkTable[[#This Row],[Date Received]],"MMMM YYYY"))</f>
        <v>#VALUE!</v>
      </c>
      <c r="Y1053" s="4" t="e">
        <f>INT(DbLinkTable[[#This Row],[Date Received]])</f>
        <v>#VALUE!</v>
      </c>
    </row>
    <row r="1054" spans="5:25">
      <c r="E1054"/>
      <c r="G1054"/>
      <c r="H1054"/>
      <c r="I1054"/>
      <c r="K1054"/>
      <c r="O1054"/>
      <c r="R1054"/>
      <c r="S1054" s="79" t="e">
        <f>DbLinkTable[[#This Row],[Credit]]+DbLinkTable[[#This Row],[Charge]]</f>
        <v>#VALUE!</v>
      </c>
      <c r="T1054" s="79" t="e">
        <f>IF(DbLinkTable[[#This Row],[Price/lb]]*DbLinkTable[[#This Row],[Weight]]&gt;0,DbLinkTable[[#This Row],[Price/lb]]*DbLinkTable[[#This Row],[Weight]],0)</f>
        <v>#VALUE!</v>
      </c>
      <c r="U1054" s="79" t="e">
        <f>IF(DbLinkTable[[#This Row],[Price/lb]]*DbLinkTable[[#This Row],[Weight]]&lt;0,DbLinkTable[[#This Row],[Price/lb]]*DbLinkTable[[#This Row],[Weight]],0)</f>
        <v>#VALUE!</v>
      </c>
      <c r="V1054" s="4" t="str">
        <f>IF(COUNTIF($W$2:W1054,W1054)=1,1,"")</f>
        <v/>
      </c>
      <c r="W1054" s="4" t="e">
        <f>CONCATENATE(DbLinkTable[[#This Row],[Customer]],UPPER(DbLinkTable[[#This Row],[Trailer Number]]),DbLinkTable[[#This Row],[Day Received]])</f>
        <v>#VALUE!</v>
      </c>
      <c r="X1054" s="4" t="e">
        <f>DATEVALUE(TEXT(DbLinkTable[[#This Row],[Date Received]],"MMMM YYYY"))</f>
        <v>#VALUE!</v>
      </c>
      <c r="Y1054" s="4" t="e">
        <f>INT(DbLinkTable[[#This Row],[Date Received]])</f>
        <v>#VALUE!</v>
      </c>
    </row>
    <row r="1055" spans="5:25">
      <c r="E1055"/>
      <c r="G1055"/>
      <c r="H1055"/>
      <c r="I1055"/>
      <c r="K1055"/>
      <c r="O1055"/>
      <c r="R1055"/>
      <c r="S1055" s="79" t="e">
        <f>DbLinkTable[[#This Row],[Credit]]+DbLinkTable[[#This Row],[Charge]]</f>
        <v>#VALUE!</v>
      </c>
      <c r="T1055" s="79" t="e">
        <f>IF(DbLinkTable[[#This Row],[Price/lb]]*DbLinkTable[[#This Row],[Weight]]&gt;0,DbLinkTable[[#This Row],[Price/lb]]*DbLinkTable[[#This Row],[Weight]],0)</f>
        <v>#VALUE!</v>
      </c>
      <c r="U1055" s="79" t="e">
        <f>IF(DbLinkTable[[#This Row],[Price/lb]]*DbLinkTable[[#This Row],[Weight]]&lt;0,DbLinkTable[[#This Row],[Price/lb]]*DbLinkTable[[#This Row],[Weight]],0)</f>
        <v>#VALUE!</v>
      </c>
      <c r="V1055" s="4" t="str">
        <f>IF(COUNTIF($W$2:W1055,W1055)=1,1,"")</f>
        <v/>
      </c>
      <c r="W1055" s="4" t="e">
        <f>CONCATENATE(DbLinkTable[[#This Row],[Customer]],UPPER(DbLinkTable[[#This Row],[Trailer Number]]),DbLinkTable[[#This Row],[Day Received]])</f>
        <v>#VALUE!</v>
      </c>
      <c r="X1055" s="4" t="e">
        <f>DATEVALUE(TEXT(DbLinkTable[[#This Row],[Date Received]],"MMMM YYYY"))</f>
        <v>#VALUE!</v>
      </c>
      <c r="Y1055" s="4" t="e">
        <f>INT(DbLinkTable[[#This Row],[Date Received]])</f>
        <v>#VALUE!</v>
      </c>
    </row>
    <row r="1056" spans="5:25">
      <c r="E1056"/>
      <c r="G1056"/>
      <c r="H1056"/>
      <c r="I1056"/>
      <c r="K1056"/>
      <c r="O1056"/>
      <c r="R1056"/>
      <c r="S1056" s="79" t="e">
        <f>DbLinkTable[[#This Row],[Credit]]+DbLinkTable[[#This Row],[Charge]]</f>
        <v>#VALUE!</v>
      </c>
      <c r="T1056" s="79" t="e">
        <f>IF(DbLinkTable[[#This Row],[Price/lb]]*DbLinkTable[[#This Row],[Weight]]&gt;0,DbLinkTable[[#This Row],[Price/lb]]*DbLinkTable[[#This Row],[Weight]],0)</f>
        <v>#VALUE!</v>
      </c>
      <c r="U1056" s="79" t="e">
        <f>IF(DbLinkTable[[#This Row],[Price/lb]]*DbLinkTable[[#This Row],[Weight]]&lt;0,DbLinkTable[[#This Row],[Price/lb]]*DbLinkTable[[#This Row],[Weight]],0)</f>
        <v>#VALUE!</v>
      </c>
      <c r="V1056" s="4" t="str">
        <f>IF(COUNTIF($W$2:W1056,W1056)=1,1,"")</f>
        <v/>
      </c>
      <c r="W1056" s="4" t="e">
        <f>CONCATENATE(DbLinkTable[[#This Row],[Customer]],UPPER(DbLinkTable[[#This Row],[Trailer Number]]),DbLinkTable[[#This Row],[Day Received]])</f>
        <v>#VALUE!</v>
      </c>
      <c r="X1056" s="4" t="e">
        <f>DATEVALUE(TEXT(DbLinkTable[[#This Row],[Date Received]],"MMMM YYYY"))</f>
        <v>#VALUE!</v>
      </c>
      <c r="Y1056" s="4" t="e">
        <f>INT(DbLinkTable[[#This Row],[Date Received]])</f>
        <v>#VALUE!</v>
      </c>
    </row>
    <row r="1057" spans="5:25">
      <c r="E1057"/>
      <c r="G1057"/>
      <c r="H1057"/>
      <c r="I1057"/>
      <c r="K1057"/>
      <c r="O1057"/>
      <c r="R1057"/>
      <c r="S1057" s="79" t="e">
        <f>DbLinkTable[[#This Row],[Credit]]+DbLinkTable[[#This Row],[Charge]]</f>
        <v>#VALUE!</v>
      </c>
      <c r="T1057" s="79" t="e">
        <f>IF(DbLinkTable[[#This Row],[Price/lb]]*DbLinkTable[[#This Row],[Weight]]&gt;0,DbLinkTable[[#This Row],[Price/lb]]*DbLinkTable[[#This Row],[Weight]],0)</f>
        <v>#VALUE!</v>
      </c>
      <c r="U1057" s="79" t="e">
        <f>IF(DbLinkTable[[#This Row],[Price/lb]]*DbLinkTable[[#This Row],[Weight]]&lt;0,DbLinkTable[[#This Row],[Price/lb]]*DbLinkTable[[#This Row],[Weight]],0)</f>
        <v>#VALUE!</v>
      </c>
      <c r="V1057" s="4" t="str">
        <f>IF(COUNTIF($W$2:W1057,W1057)=1,1,"")</f>
        <v/>
      </c>
      <c r="W1057" s="4" t="e">
        <f>CONCATENATE(DbLinkTable[[#This Row],[Customer]],UPPER(DbLinkTable[[#This Row],[Trailer Number]]),DbLinkTable[[#This Row],[Day Received]])</f>
        <v>#VALUE!</v>
      </c>
      <c r="X1057" s="4" t="e">
        <f>DATEVALUE(TEXT(DbLinkTable[[#This Row],[Date Received]],"MMMM YYYY"))</f>
        <v>#VALUE!</v>
      </c>
      <c r="Y1057" s="4" t="e">
        <f>INT(DbLinkTable[[#This Row],[Date Received]])</f>
        <v>#VALUE!</v>
      </c>
    </row>
    <row r="1058" spans="5:25">
      <c r="E1058"/>
      <c r="G1058"/>
      <c r="H1058"/>
      <c r="I1058"/>
      <c r="K1058"/>
      <c r="O1058"/>
      <c r="R1058"/>
      <c r="S1058" s="79" t="e">
        <f>DbLinkTable[[#This Row],[Credit]]+DbLinkTable[[#This Row],[Charge]]</f>
        <v>#VALUE!</v>
      </c>
      <c r="T1058" s="79" t="e">
        <f>IF(DbLinkTable[[#This Row],[Price/lb]]*DbLinkTable[[#This Row],[Weight]]&gt;0,DbLinkTable[[#This Row],[Price/lb]]*DbLinkTable[[#This Row],[Weight]],0)</f>
        <v>#VALUE!</v>
      </c>
      <c r="U1058" s="79" t="e">
        <f>IF(DbLinkTable[[#This Row],[Price/lb]]*DbLinkTable[[#This Row],[Weight]]&lt;0,DbLinkTable[[#This Row],[Price/lb]]*DbLinkTable[[#This Row],[Weight]],0)</f>
        <v>#VALUE!</v>
      </c>
      <c r="V1058" s="4" t="str">
        <f>IF(COUNTIF($W$2:W1058,W1058)=1,1,"")</f>
        <v/>
      </c>
      <c r="W1058" s="4" t="e">
        <f>CONCATENATE(DbLinkTable[[#This Row],[Customer]],UPPER(DbLinkTable[[#This Row],[Trailer Number]]),DbLinkTable[[#This Row],[Day Received]])</f>
        <v>#VALUE!</v>
      </c>
      <c r="X1058" s="4" t="e">
        <f>DATEVALUE(TEXT(DbLinkTable[[#This Row],[Date Received]],"MMMM YYYY"))</f>
        <v>#VALUE!</v>
      </c>
      <c r="Y1058" s="4" t="e">
        <f>INT(DbLinkTable[[#This Row],[Date Received]])</f>
        <v>#VALUE!</v>
      </c>
    </row>
    <row r="1059" spans="5:25">
      <c r="E1059"/>
      <c r="G1059"/>
      <c r="H1059"/>
      <c r="I1059"/>
      <c r="K1059"/>
      <c r="O1059"/>
      <c r="R1059"/>
      <c r="S1059" s="79" t="e">
        <f>DbLinkTable[[#This Row],[Credit]]+DbLinkTable[[#This Row],[Charge]]</f>
        <v>#VALUE!</v>
      </c>
      <c r="T1059" s="79" t="e">
        <f>IF(DbLinkTable[[#This Row],[Price/lb]]*DbLinkTable[[#This Row],[Weight]]&gt;0,DbLinkTable[[#This Row],[Price/lb]]*DbLinkTable[[#This Row],[Weight]],0)</f>
        <v>#VALUE!</v>
      </c>
      <c r="U1059" s="79" t="e">
        <f>IF(DbLinkTable[[#This Row],[Price/lb]]*DbLinkTable[[#This Row],[Weight]]&lt;0,DbLinkTable[[#This Row],[Price/lb]]*DbLinkTable[[#This Row],[Weight]],0)</f>
        <v>#VALUE!</v>
      </c>
      <c r="V1059" s="4" t="str">
        <f>IF(COUNTIF($W$2:W1059,W1059)=1,1,"")</f>
        <v/>
      </c>
      <c r="W1059" s="4" t="e">
        <f>CONCATENATE(DbLinkTable[[#This Row],[Customer]],UPPER(DbLinkTable[[#This Row],[Trailer Number]]),DbLinkTable[[#This Row],[Day Received]])</f>
        <v>#VALUE!</v>
      </c>
      <c r="X1059" s="4" t="e">
        <f>DATEVALUE(TEXT(DbLinkTable[[#This Row],[Date Received]],"MMMM YYYY"))</f>
        <v>#VALUE!</v>
      </c>
      <c r="Y1059" s="4" t="e">
        <f>INT(DbLinkTable[[#This Row],[Date Received]])</f>
        <v>#VALUE!</v>
      </c>
    </row>
    <row r="1060" spans="5:25">
      <c r="E1060"/>
      <c r="G1060"/>
      <c r="H1060"/>
      <c r="I1060"/>
      <c r="K1060"/>
      <c r="O1060"/>
      <c r="R1060"/>
      <c r="S1060" s="79" t="e">
        <f>DbLinkTable[[#This Row],[Credit]]+DbLinkTable[[#This Row],[Charge]]</f>
        <v>#VALUE!</v>
      </c>
      <c r="T1060" s="79" t="e">
        <f>IF(DbLinkTable[[#This Row],[Price/lb]]*DbLinkTable[[#This Row],[Weight]]&gt;0,DbLinkTable[[#This Row],[Price/lb]]*DbLinkTable[[#This Row],[Weight]],0)</f>
        <v>#VALUE!</v>
      </c>
      <c r="U1060" s="79" t="e">
        <f>IF(DbLinkTable[[#This Row],[Price/lb]]*DbLinkTable[[#This Row],[Weight]]&lt;0,DbLinkTable[[#This Row],[Price/lb]]*DbLinkTable[[#This Row],[Weight]],0)</f>
        <v>#VALUE!</v>
      </c>
      <c r="V1060" s="4" t="str">
        <f>IF(COUNTIF($W$2:W1060,W1060)=1,1,"")</f>
        <v/>
      </c>
      <c r="W1060" s="4" t="e">
        <f>CONCATENATE(DbLinkTable[[#This Row],[Customer]],UPPER(DbLinkTable[[#This Row],[Trailer Number]]),DbLinkTable[[#This Row],[Day Received]])</f>
        <v>#VALUE!</v>
      </c>
      <c r="X1060" s="4" t="e">
        <f>DATEVALUE(TEXT(DbLinkTable[[#This Row],[Date Received]],"MMMM YYYY"))</f>
        <v>#VALUE!</v>
      </c>
      <c r="Y1060" s="4" t="e">
        <f>INT(DbLinkTable[[#This Row],[Date Received]])</f>
        <v>#VALUE!</v>
      </c>
    </row>
    <row r="1061" spans="5:25">
      <c r="E1061"/>
      <c r="G1061"/>
      <c r="H1061"/>
      <c r="I1061"/>
      <c r="K1061"/>
      <c r="O1061"/>
      <c r="R1061"/>
      <c r="S1061" s="79" t="e">
        <f>DbLinkTable[[#This Row],[Credit]]+DbLinkTable[[#This Row],[Charge]]</f>
        <v>#VALUE!</v>
      </c>
      <c r="T1061" s="79" t="e">
        <f>IF(DbLinkTable[[#This Row],[Price/lb]]*DbLinkTable[[#This Row],[Weight]]&gt;0,DbLinkTable[[#This Row],[Price/lb]]*DbLinkTable[[#This Row],[Weight]],0)</f>
        <v>#VALUE!</v>
      </c>
      <c r="U1061" s="79" t="e">
        <f>IF(DbLinkTable[[#This Row],[Price/lb]]*DbLinkTable[[#This Row],[Weight]]&lt;0,DbLinkTable[[#This Row],[Price/lb]]*DbLinkTable[[#This Row],[Weight]],0)</f>
        <v>#VALUE!</v>
      </c>
      <c r="V1061" s="4" t="str">
        <f>IF(COUNTIF($W$2:W1061,W1061)=1,1,"")</f>
        <v/>
      </c>
      <c r="W1061" s="4" t="e">
        <f>CONCATENATE(DbLinkTable[[#This Row],[Customer]],UPPER(DbLinkTable[[#This Row],[Trailer Number]]),DbLinkTable[[#This Row],[Day Received]])</f>
        <v>#VALUE!</v>
      </c>
      <c r="X1061" s="4" t="e">
        <f>DATEVALUE(TEXT(DbLinkTable[[#This Row],[Date Received]],"MMMM YYYY"))</f>
        <v>#VALUE!</v>
      </c>
      <c r="Y1061" s="4" t="e">
        <f>INT(DbLinkTable[[#This Row],[Date Received]])</f>
        <v>#VALUE!</v>
      </c>
    </row>
    <row r="1062" spans="5:25">
      <c r="E1062"/>
      <c r="G1062"/>
      <c r="H1062"/>
      <c r="I1062"/>
      <c r="K1062"/>
      <c r="O1062"/>
      <c r="R1062"/>
      <c r="S1062" s="79" t="e">
        <f>DbLinkTable[[#This Row],[Credit]]+DbLinkTable[[#This Row],[Charge]]</f>
        <v>#VALUE!</v>
      </c>
      <c r="T1062" s="79" t="e">
        <f>IF(DbLinkTable[[#This Row],[Price/lb]]*DbLinkTable[[#This Row],[Weight]]&gt;0,DbLinkTable[[#This Row],[Price/lb]]*DbLinkTable[[#This Row],[Weight]],0)</f>
        <v>#VALUE!</v>
      </c>
      <c r="U1062" s="79" t="e">
        <f>IF(DbLinkTable[[#This Row],[Price/lb]]*DbLinkTable[[#This Row],[Weight]]&lt;0,DbLinkTable[[#This Row],[Price/lb]]*DbLinkTable[[#This Row],[Weight]],0)</f>
        <v>#VALUE!</v>
      </c>
      <c r="V1062" s="4" t="str">
        <f>IF(COUNTIF($W$2:W1062,W1062)=1,1,"")</f>
        <v/>
      </c>
      <c r="W1062" s="4" t="e">
        <f>CONCATENATE(DbLinkTable[[#This Row],[Customer]],UPPER(DbLinkTable[[#This Row],[Trailer Number]]),DbLinkTable[[#This Row],[Day Received]])</f>
        <v>#VALUE!</v>
      </c>
      <c r="X1062" s="4" t="e">
        <f>DATEVALUE(TEXT(DbLinkTable[[#This Row],[Date Received]],"MMMM YYYY"))</f>
        <v>#VALUE!</v>
      </c>
      <c r="Y1062" s="4" t="e">
        <f>INT(DbLinkTable[[#This Row],[Date Received]])</f>
        <v>#VALUE!</v>
      </c>
    </row>
    <row r="1063" spans="5:25">
      <c r="E1063"/>
      <c r="G1063"/>
      <c r="H1063"/>
      <c r="I1063"/>
      <c r="K1063"/>
      <c r="O1063"/>
      <c r="R1063"/>
      <c r="S1063" s="79" t="e">
        <f>DbLinkTable[[#This Row],[Credit]]+DbLinkTable[[#This Row],[Charge]]</f>
        <v>#VALUE!</v>
      </c>
      <c r="T1063" s="79" t="e">
        <f>IF(DbLinkTable[[#This Row],[Price/lb]]*DbLinkTable[[#This Row],[Weight]]&gt;0,DbLinkTable[[#This Row],[Price/lb]]*DbLinkTable[[#This Row],[Weight]],0)</f>
        <v>#VALUE!</v>
      </c>
      <c r="U1063" s="79" t="e">
        <f>IF(DbLinkTable[[#This Row],[Price/lb]]*DbLinkTable[[#This Row],[Weight]]&lt;0,DbLinkTable[[#This Row],[Price/lb]]*DbLinkTable[[#This Row],[Weight]],0)</f>
        <v>#VALUE!</v>
      </c>
      <c r="V1063" s="4" t="str">
        <f>IF(COUNTIF($W$2:W1063,W1063)=1,1,"")</f>
        <v/>
      </c>
      <c r="W1063" s="4" t="e">
        <f>CONCATENATE(DbLinkTable[[#This Row],[Customer]],UPPER(DbLinkTable[[#This Row],[Trailer Number]]),DbLinkTable[[#This Row],[Day Received]])</f>
        <v>#VALUE!</v>
      </c>
      <c r="X1063" s="4" t="e">
        <f>DATEVALUE(TEXT(DbLinkTable[[#This Row],[Date Received]],"MMMM YYYY"))</f>
        <v>#VALUE!</v>
      </c>
      <c r="Y1063" s="4" t="e">
        <f>INT(DbLinkTable[[#This Row],[Date Received]])</f>
        <v>#VALUE!</v>
      </c>
    </row>
    <row r="1064" spans="5:25">
      <c r="E1064"/>
      <c r="G1064"/>
      <c r="H1064"/>
      <c r="I1064"/>
      <c r="K1064"/>
      <c r="O1064"/>
      <c r="R1064"/>
      <c r="S1064" s="79" t="e">
        <f>DbLinkTable[[#This Row],[Credit]]+DbLinkTable[[#This Row],[Charge]]</f>
        <v>#VALUE!</v>
      </c>
      <c r="T1064" s="79" t="e">
        <f>IF(DbLinkTable[[#This Row],[Price/lb]]*DbLinkTable[[#This Row],[Weight]]&gt;0,DbLinkTable[[#This Row],[Price/lb]]*DbLinkTable[[#This Row],[Weight]],0)</f>
        <v>#VALUE!</v>
      </c>
      <c r="U1064" s="79" t="e">
        <f>IF(DbLinkTable[[#This Row],[Price/lb]]*DbLinkTable[[#This Row],[Weight]]&lt;0,DbLinkTable[[#This Row],[Price/lb]]*DbLinkTable[[#This Row],[Weight]],0)</f>
        <v>#VALUE!</v>
      </c>
      <c r="V1064" s="4" t="str">
        <f>IF(COUNTIF($W$2:W1064,W1064)=1,1,"")</f>
        <v/>
      </c>
      <c r="W1064" s="4" t="e">
        <f>CONCATENATE(DbLinkTable[[#This Row],[Customer]],UPPER(DbLinkTable[[#This Row],[Trailer Number]]),DbLinkTable[[#This Row],[Day Received]])</f>
        <v>#VALUE!</v>
      </c>
      <c r="X1064" s="4" t="e">
        <f>DATEVALUE(TEXT(DbLinkTable[[#This Row],[Date Received]],"MMMM YYYY"))</f>
        <v>#VALUE!</v>
      </c>
      <c r="Y1064" s="4" t="e">
        <f>INT(DbLinkTable[[#This Row],[Date Received]])</f>
        <v>#VALUE!</v>
      </c>
    </row>
    <row r="1065" spans="5:25">
      <c r="E1065"/>
      <c r="G1065"/>
      <c r="H1065"/>
      <c r="I1065"/>
      <c r="K1065"/>
      <c r="O1065"/>
      <c r="R1065"/>
      <c r="S1065" s="79" t="e">
        <f>DbLinkTable[[#This Row],[Credit]]+DbLinkTable[[#This Row],[Charge]]</f>
        <v>#VALUE!</v>
      </c>
      <c r="T1065" s="79" t="e">
        <f>IF(DbLinkTable[[#This Row],[Price/lb]]*DbLinkTable[[#This Row],[Weight]]&gt;0,DbLinkTable[[#This Row],[Price/lb]]*DbLinkTable[[#This Row],[Weight]],0)</f>
        <v>#VALUE!</v>
      </c>
      <c r="U1065" s="79" t="e">
        <f>IF(DbLinkTable[[#This Row],[Price/lb]]*DbLinkTable[[#This Row],[Weight]]&lt;0,DbLinkTable[[#This Row],[Price/lb]]*DbLinkTable[[#This Row],[Weight]],0)</f>
        <v>#VALUE!</v>
      </c>
      <c r="V1065" s="4" t="str">
        <f>IF(COUNTIF($W$2:W1065,W1065)=1,1,"")</f>
        <v/>
      </c>
      <c r="W1065" s="4" t="e">
        <f>CONCATENATE(DbLinkTable[[#This Row],[Customer]],UPPER(DbLinkTable[[#This Row],[Trailer Number]]),DbLinkTable[[#This Row],[Day Received]])</f>
        <v>#VALUE!</v>
      </c>
      <c r="X1065" s="4" t="e">
        <f>DATEVALUE(TEXT(DbLinkTable[[#This Row],[Date Received]],"MMMM YYYY"))</f>
        <v>#VALUE!</v>
      </c>
      <c r="Y1065" s="4" t="e">
        <f>INT(DbLinkTable[[#This Row],[Date Received]])</f>
        <v>#VALUE!</v>
      </c>
    </row>
    <row r="1066" spans="5:25">
      <c r="E1066"/>
      <c r="G1066"/>
      <c r="H1066"/>
      <c r="I1066"/>
      <c r="K1066"/>
      <c r="O1066"/>
      <c r="R1066"/>
      <c r="S1066" s="79" t="e">
        <f>DbLinkTable[[#This Row],[Credit]]+DbLinkTable[[#This Row],[Charge]]</f>
        <v>#VALUE!</v>
      </c>
      <c r="T1066" s="79" t="e">
        <f>IF(DbLinkTable[[#This Row],[Price/lb]]*DbLinkTable[[#This Row],[Weight]]&gt;0,DbLinkTable[[#This Row],[Price/lb]]*DbLinkTable[[#This Row],[Weight]],0)</f>
        <v>#VALUE!</v>
      </c>
      <c r="U1066" s="79" t="e">
        <f>IF(DbLinkTable[[#This Row],[Price/lb]]*DbLinkTable[[#This Row],[Weight]]&lt;0,DbLinkTable[[#This Row],[Price/lb]]*DbLinkTable[[#This Row],[Weight]],0)</f>
        <v>#VALUE!</v>
      </c>
      <c r="V1066" s="4" t="str">
        <f>IF(COUNTIF($W$2:W1066,W1066)=1,1,"")</f>
        <v/>
      </c>
      <c r="W1066" s="4" t="e">
        <f>CONCATENATE(DbLinkTable[[#This Row],[Customer]],UPPER(DbLinkTable[[#This Row],[Trailer Number]]),DbLinkTable[[#This Row],[Day Received]])</f>
        <v>#VALUE!</v>
      </c>
      <c r="X1066" s="4" t="e">
        <f>DATEVALUE(TEXT(DbLinkTable[[#This Row],[Date Received]],"MMMM YYYY"))</f>
        <v>#VALUE!</v>
      </c>
      <c r="Y1066" s="4" t="e">
        <f>INT(DbLinkTable[[#This Row],[Date Received]])</f>
        <v>#VALUE!</v>
      </c>
    </row>
    <row r="1067" spans="5:25">
      <c r="E1067"/>
      <c r="G1067"/>
      <c r="H1067"/>
      <c r="I1067"/>
      <c r="K1067"/>
      <c r="O1067"/>
      <c r="R1067"/>
      <c r="S1067" s="79" t="e">
        <f>DbLinkTable[[#This Row],[Credit]]+DbLinkTable[[#This Row],[Charge]]</f>
        <v>#VALUE!</v>
      </c>
      <c r="T1067" s="79" t="e">
        <f>IF(DbLinkTable[[#This Row],[Price/lb]]*DbLinkTable[[#This Row],[Weight]]&gt;0,DbLinkTable[[#This Row],[Price/lb]]*DbLinkTable[[#This Row],[Weight]],0)</f>
        <v>#VALUE!</v>
      </c>
      <c r="U1067" s="79" t="e">
        <f>IF(DbLinkTable[[#This Row],[Price/lb]]*DbLinkTable[[#This Row],[Weight]]&lt;0,DbLinkTable[[#This Row],[Price/lb]]*DbLinkTable[[#This Row],[Weight]],0)</f>
        <v>#VALUE!</v>
      </c>
      <c r="V1067" s="4" t="str">
        <f>IF(COUNTIF($W$2:W1067,W1067)=1,1,"")</f>
        <v/>
      </c>
      <c r="W1067" s="4" t="e">
        <f>CONCATENATE(DbLinkTable[[#This Row],[Customer]],UPPER(DbLinkTable[[#This Row],[Trailer Number]]),DbLinkTable[[#This Row],[Day Received]])</f>
        <v>#VALUE!</v>
      </c>
      <c r="X1067" s="4" t="e">
        <f>DATEVALUE(TEXT(DbLinkTable[[#This Row],[Date Received]],"MMMM YYYY"))</f>
        <v>#VALUE!</v>
      </c>
      <c r="Y1067" s="4" t="e">
        <f>INT(DbLinkTable[[#This Row],[Date Received]])</f>
        <v>#VALUE!</v>
      </c>
    </row>
    <row r="1068" spans="5:25">
      <c r="E1068"/>
      <c r="G1068"/>
      <c r="H1068"/>
      <c r="I1068"/>
      <c r="K1068"/>
      <c r="O1068"/>
      <c r="R1068"/>
      <c r="S1068" s="79" t="e">
        <f>DbLinkTable[[#This Row],[Credit]]+DbLinkTable[[#This Row],[Charge]]</f>
        <v>#VALUE!</v>
      </c>
      <c r="T1068" s="79" t="e">
        <f>IF(DbLinkTable[[#This Row],[Price/lb]]*DbLinkTable[[#This Row],[Weight]]&gt;0,DbLinkTable[[#This Row],[Price/lb]]*DbLinkTable[[#This Row],[Weight]],0)</f>
        <v>#VALUE!</v>
      </c>
      <c r="U1068" s="79" t="e">
        <f>IF(DbLinkTable[[#This Row],[Price/lb]]*DbLinkTable[[#This Row],[Weight]]&lt;0,DbLinkTable[[#This Row],[Price/lb]]*DbLinkTable[[#This Row],[Weight]],0)</f>
        <v>#VALUE!</v>
      </c>
      <c r="V1068" s="4" t="str">
        <f>IF(COUNTIF($W$2:W1068,W1068)=1,1,"")</f>
        <v/>
      </c>
      <c r="W1068" s="4" t="e">
        <f>CONCATENATE(DbLinkTable[[#This Row],[Customer]],UPPER(DbLinkTable[[#This Row],[Trailer Number]]),DbLinkTable[[#This Row],[Day Received]])</f>
        <v>#VALUE!</v>
      </c>
      <c r="X1068" s="4" t="e">
        <f>DATEVALUE(TEXT(DbLinkTable[[#This Row],[Date Received]],"MMMM YYYY"))</f>
        <v>#VALUE!</v>
      </c>
      <c r="Y1068" s="4" t="e">
        <f>INT(DbLinkTable[[#This Row],[Date Received]])</f>
        <v>#VALUE!</v>
      </c>
    </row>
    <row r="1069" spans="5:25">
      <c r="E1069"/>
      <c r="G1069"/>
      <c r="H1069"/>
      <c r="I1069"/>
      <c r="K1069"/>
      <c r="O1069"/>
      <c r="R1069"/>
      <c r="S1069" s="79" t="e">
        <f>DbLinkTable[[#This Row],[Credit]]+DbLinkTable[[#This Row],[Charge]]</f>
        <v>#VALUE!</v>
      </c>
      <c r="T1069" s="79" t="e">
        <f>IF(DbLinkTable[[#This Row],[Price/lb]]*DbLinkTable[[#This Row],[Weight]]&gt;0,DbLinkTable[[#This Row],[Price/lb]]*DbLinkTable[[#This Row],[Weight]],0)</f>
        <v>#VALUE!</v>
      </c>
      <c r="U1069" s="79" t="e">
        <f>IF(DbLinkTable[[#This Row],[Price/lb]]*DbLinkTable[[#This Row],[Weight]]&lt;0,DbLinkTable[[#This Row],[Price/lb]]*DbLinkTable[[#This Row],[Weight]],0)</f>
        <v>#VALUE!</v>
      </c>
      <c r="V1069" s="4" t="str">
        <f>IF(COUNTIF($W$2:W1069,W1069)=1,1,"")</f>
        <v/>
      </c>
      <c r="W1069" s="4" t="e">
        <f>CONCATENATE(DbLinkTable[[#This Row],[Customer]],UPPER(DbLinkTable[[#This Row],[Trailer Number]]),DbLinkTable[[#This Row],[Day Received]])</f>
        <v>#VALUE!</v>
      </c>
      <c r="X1069" s="4" t="e">
        <f>DATEVALUE(TEXT(DbLinkTable[[#This Row],[Date Received]],"MMMM YYYY"))</f>
        <v>#VALUE!</v>
      </c>
      <c r="Y1069" s="4" t="e">
        <f>INT(DbLinkTable[[#This Row],[Date Received]])</f>
        <v>#VALUE!</v>
      </c>
    </row>
    <row r="1070" spans="5:25">
      <c r="E1070"/>
      <c r="G1070"/>
      <c r="H1070"/>
      <c r="I1070"/>
      <c r="K1070"/>
      <c r="O1070"/>
      <c r="R1070"/>
      <c r="S1070" s="79" t="e">
        <f>DbLinkTable[[#This Row],[Credit]]+DbLinkTable[[#This Row],[Charge]]</f>
        <v>#VALUE!</v>
      </c>
      <c r="T1070" s="79" t="e">
        <f>IF(DbLinkTable[[#This Row],[Price/lb]]*DbLinkTable[[#This Row],[Weight]]&gt;0,DbLinkTable[[#This Row],[Price/lb]]*DbLinkTable[[#This Row],[Weight]],0)</f>
        <v>#VALUE!</v>
      </c>
      <c r="U1070" s="79" t="e">
        <f>IF(DbLinkTable[[#This Row],[Price/lb]]*DbLinkTable[[#This Row],[Weight]]&lt;0,DbLinkTable[[#This Row],[Price/lb]]*DbLinkTable[[#This Row],[Weight]],0)</f>
        <v>#VALUE!</v>
      </c>
      <c r="V1070" s="4" t="str">
        <f>IF(COUNTIF($W$2:W1070,W1070)=1,1,"")</f>
        <v/>
      </c>
      <c r="W1070" s="4" t="e">
        <f>CONCATENATE(DbLinkTable[[#This Row],[Customer]],UPPER(DbLinkTable[[#This Row],[Trailer Number]]),DbLinkTable[[#This Row],[Day Received]])</f>
        <v>#VALUE!</v>
      </c>
      <c r="X1070" s="4" t="e">
        <f>DATEVALUE(TEXT(DbLinkTable[[#This Row],[Date Received]],"MMMM YYYY"))</f>
        <v>#VALUE!</v>
      </c>
      <c r="Y1070" s="4" t="e">
        <f>INT(DbLinkTable[[#This Row],[Date Received]])</f>
        <v>#VALUE!</v>
      </c>
    </row>
    <row r="1071" spans="5:25">
      <c r="E1071"/>
      <c r="G1071"/>
      <c r="H1071"/>
      <c r="I1071"/>
      <c r="K1071"/>
      <c r="O1071"/>
      <c r="R1071"/>
      <c r="S1071" s="79" t="e">
        <f>DbLinkTable[[#This Row],[Credit]]+DbLinkTable[[#This Row],[Charge]]</f>
        <v>#VALUE!</v>
      </c>
      <c r="T1071" s="79" t="e">
        <f>IF(DbLinkTable[[#This Row],[Price/lb]]*DbLinkTable[[#This Row],[Weight]]&gt;0,DbLinkTable[[#This Row],[Price/lb]]*DbLinkTable[[#This Row],[Weight]],0)</f>
        <v>#VALUE!</v>
      </c>
      <c r="U1071" s="79" t="e">
        <f>IF(DbLinkTable[[#This Row],[Price/lb]]*DbLinkTable[[#This Row],[Weight]]&lt;0,DbLinkTable[[#This Row],[Price/lb]]*DbLinkTable[[#This Row],[Weight]],0)</f>
        <v>#VALUE!</v>
      </c>
      <c r="V1071" s="4" t="str">
        <f>IF(COUNTIF($W$2:W1071,W1071)=1,1,"")</f>
        <v/>
      </c>
      <c r="W1071" s="4" t="e">
        <f>CONCATENATE(DbLinkTable[[#This Row],[Customer]],UPPER(DbLinkTable[[#This Row],[Trailer Number]]),DbLinkTable[[#This Row],[Day Received]])</f>
        <v>#VALUE!</v>
      </c>
      <c r="X1071" s="4" t="e">
        <f>DATEVALUE(TEXT(DbLinkTable[[#This Row],[Date Received]],"MMMM YYYY"))</f>
        <v>#VALUE!</v>
      </c>
      <c r="Y1071" s="4" t="e">
        <f>INT(DbLinkTable[[#This Row],[Date Received]])</f>
        <v>#VALUE!</v>
      </c>
    </row>
    <row r="1072" spans="5:25">
      <c r="E1072"/>
      <c r="G1072"/>
      <c r="H1072"/>
      <c r="I1072"/>
      <c r="K1072"/>
      <c r="O1072"/>
      <c r="R1072"/>
      <c r="S1072" s="79" t="e">
        <f>DbLinkTable[[#This Row],[Credit]]+DbLinkTable[[#This Row],[Charge]]</f>
        <v>#VALUE!</v>
      </c>
      <c r="T1072" s="79" t="e">
        <f>IF(DbLinkTable[[#This Row],[Price/lb]]*DbLinkTable[[#This Row],[Weight]]&gt;0,DbLinkTable[[#This Row],[Price/lb]]*DbLinkTable[[#This Row],[Weight]],0)</f>
        <v>#VALUE!</v>
      </c>
      <c r="U1072" s="79" t="e">
        <f>IF(DbLinkTable[[#This Row],[Price/lb]]*DbLinkTable[[#This Row],[Weight]]&lt;0,DbLinkTable[[#This Row],[Price/lb]]*DbLinkTable[[#This Row],[Weight]],0)</f>
        <v>#VALUE!</v>
      </c>
      <c r="V1072" s="4" t="str">
        <f>IF(COUNTIF($W$2:W1072,W1072)=1,1,"")</f>
        <v/>
      </c>
      <c r="W1072" s="4" t="e">
        <f>CONCATENATE(DbLinkTable[[#This Row],[Customer]],UPPER(DbLinkTable[[#This Row],[Trailer Number]]),DbLinkTable[[#This Row],[Day Received]])</f>
        <v>#VALUE!</v>
      </c>
      <c r="X1072" s="4" t="e">
        <f>DATEVALUE(TEXT(DbLinkTable[[#This Row],[Date Received]],"MMMM YYYY"))</f>
        <v>#VALUE!</v>
      </c>
      <c r="Y1072" s="4" t="e">
        <f>INT(DbLinkTable[[#This Row],[Date Received]])</f>
        <v>#VALUE!</v>
      </c>
    </row>
    <row r="1073" spans="5:25">
      <c r="E1073"/>
      <c r="G1073"/>
      <c r="H1073"/>
      <c r="I1073"/>
      <c r="K1073"/>
      <c r="O1073"/>
      <c r="R1073"/>
      <c r="S1073" s="79" t="e">
        <f>DbLinkTable[[#This Row],[Credit]]+DbLinkTable[[#This Row],[Charge]]</f>
        <v>#VALUE!</v>
      </c>
      <c r="T1073" s="79" t="e">
        <f>IF(DbLinkTable[[#This Row],[Price/lb]]*DbLinkTable[[#This Row],[Weight]]&gt;0,DbLinkTable[[#This Row],[Price/lb]]*DbLinkTable[[#This Row],[Weight]],0)</f>
        <v>#VALUE!</v>
      </c>
      <c r="U1073" s="79" t="e">
        <f>IF(DbLinkTable[[#This Row],[Price/lb]]*DbLinkTable[[#This Row],[Weight]]&lt;0,DbLinkTable[[#This Row],[Price/lb]]*DbLinkTable[[#This Row],[Weight]],0)</f>
        <v>#VALUE!</v>
      </c>
      <c r="V1073" s="4" t="str">
        <f>IF(COUNTIF($W$2:W1073,W1073)=1,1,"")</f>
        <v/>
      </c>
      <c r="W1073" s="4" t="e">
        <f>CONCATENATE(DbLinkTable[[#This Row],[Customer]],UPPER(DbLinkTable[[#This Row],[Trailer Number]]),DbLinkTable[[#This Row],[Day Received]])</f>
        <v>#VALUE!</v>
      </c>
      <c r="X1073" s="4" t="e">
        <f>DATEVALUE(TEXT(DbLinkTable[[#This Row],[Date Received]],"MMMM YYYY"))</f>
        <v>#VALUE!</v>
      </c>
      <c r="Y1073" s="4" t="e">
        <f>INT(DbLinkTable[[#This Row],[Date Received]])</f>
        <v>#VALUE!</v>
      </c>
    </row>
    <row r="1074" spans="5:25">
      <c r="E1074"/>
      <c r="G1074"/>
      <c r="H1074"/>
      <c r="I1074"/>
      <c r="K1074"/>
      <c r="O1074"/>
      <c r="R1074"/>
      <c r="S1074" s="79" t="e">
        <f>DbLinkTable[[#This Row],[Credit]]+DbLinkTable[[#This Row],[Charge]]</f>
        <v>#VALUE!</v>
      </c>
      <c r="T1074" s="79" t="e">
        <f>IF(DbLinkTable[[#This Row],[Price/lb]]*DbLinkTable[[#This Row],[Weight]]&gt;0,DbLinkTable[[#This Row],[Price/lb]]*DbLinkTable[[#This Row],[Weight]],0)</f>
        <v>#VALUE!</v>
      </c>
      <c r="U1074" s="79" t="e">
        <f>IF(DbLinkTable[[#This Row],[Price/lb]]*DbLinkTable[[#This Row],[Weight]]&lt;0,DbLinkTable[[#This Row],[Price/lb]]*DbLinkTable[[#This Row],[Weight]],0)</f>
        <v>#VALUE!</v>
      </c>
      <c r="V1074" s="4" t="str">
        <f>IF(COUNTIF($W$2:W1074,W1074)=1,1,"")</f>
        <v/>
      </c>
      <c r="W1074" s="4" t="e">
        <f>CONCATENATE(DbLinkTable[[#This Row],[Customer]],UPPER(DbLinkTable[[#This Row],[Trailer Number]]),DbLinkTable[[#This Row],[Day Received]])</f>
        <v>#VALUE!</v>
      </c>
      <c r="X1074" s="4" t="e">
        <f>DATEVALUE(TEXT(DbLinkTable[[#This Row],[Date Received]],"MMMM YYYY"))</f>
        <v>#VALUE!</v>
      </c>
      <c r="Y1074" s="4" t="e">
        <f>INT(DbLinkTable[[#This Row],[Date Received]])</f>
        <v>#VALUE!</v>
      </c>
    </row>
    <row r="1075" spans="5:25">
      <c r="E1075"/>
      <c r="G1075"/>
      <c r="H1075"/>
      <c r="I1075"/>
      <c r="K1075"/>
      <c r="O1075"/>
      <c r="R1075"/>
      <c r="S1075" s="79" t="e">
        <f>DbLinkTable[[#This Row],[Credit]]+DbLinkTable[[#This Row],[Charge]]</f>
        <v>#VALUE!</v>
      </c>
      <c r="T1075" s="79" t="e">
        <f>IF(DbLinkTable[[#This Row],[Price/lb]]*DbLinkTable[[#This Row],[Weight]]&gt;0,DbLinkTable[[#This Row],[Price/lb]]*DbLinkTable[[#This Row],[Weight]],0)</f>
        <v>#VALUE!</v>
      </c>
      <c r="U1075" s="79" t="e">
        <f>IF(DbLinkTable[[#This Row],[Price/lb]]*DbLinkTable[[#This Row],[Weight]]&lt;0,DbLinkTable[[#This Row],[Price/lb]]*DbLinkTable[[#This Row],[Weight]],0)</f>
        <v>#VALUE!</v>
      </c>
      <c r="V1075" s="4" t="str">
        <f>IF(COUNTIF($W$2:W1075,W1075)=1,1,"")</f>
        <v/>
      </c>
      <c r="W1075" s="4" t="e">
        <f>CONCATENATE(DbLinkTable[[#This Row],[Customer]],UPPER(DbLinkTable[[#This Row],[Trailer Number]]),DbLinkTable[[#This Row],[Day Received]])</f>
        <v>#VALUE!</v>
      </c>
      <c r="X1075" s="4" t="e">
        <f>DATEVALUE(TEXT(DbLinkTable[[#This Row],[Date Received]],"MMMM YYYY"))</f>
        <v>#VALUE!</v>
      </c>
      <c r="Y1075" s="4" t="e">
        <f>INT(DbLinkTable[[#This Row],[Date Received]])</f>
        <v>#VALUE!</v>
      </c>
    </row>
    <row r="1076" spans="5:25">
      <c r="E1076"/>
      <c r="G1076"/>
      <c r="H1076"/>
      <c r="I1076"/>
      <c r="K1076"/>
      <c r="O1076"/>
      <c r="R1076"/>
      <c r="S1076" s="79" t="e">
        <f>DbLinkTable[[#This Row],[Credit]]+DbLinkTable[[#This Row],[Charge]]</f>
        <v>#VALUE!</v>
      </c>
      <c r="T1076" s="79" t="e">
        <f>IF(DbLinkTable[[#This Row],[Price/lb]]*DbLinkTable[[#This Row],[Weight]]&gt;0,DbLinkTable[[#This Row],[Price/lb]]*DbLinkTable[[#This Row],[Weight]],0)</f>
        <v>#VALUE!</v>
      </c>
      <c r="U1076" s="79" t="e">
        <f>IF(DbLinkTable[[#This Row],[Price/lb]]*DbLinkTable[[#This Row],[Weight]]&lt;0,DbLinkTable[[#This Row],[Price/lb]]*DbLinkTable[[#This Row],[Weight]],0)</f>
        <v>#VALUE!</v>
      </c>
      <c r="V1076" s="4" t="str">
        <f>IF(COUNTIF($W$2:W1076,W1076)=1,1,"")</f>
        <v/>
      </c>
      <c r="W1076" s="4" t="e">
        <f>CONCATENATE(DbLinkTable[[#This Row],[Customer]],UPPER(DbLinkTable[[#This Row],[Trailer Number]]),DbLinkTable[[#This Row],[Day Received]])</f>
        <v>#VALUE!</v>
      </c>
      <c r="X1076" s="4" t="e">
        <f>DATEVALUE(TEXT(DbLinkTable[[#This Row],[Date Received]],"MMMM YYYY"))</f>
        <v>#VALUE!</v>
      </c>
      <c r="Y1076" s="4" t="e">
        <f>INT(DbLinkTable[[#This Row],[Date Received]])</f>
        <v>#VALUE!</v>
      </c>
    </row>
    <row r="1077" spans="5:25">
      <c r="E1077"/>
      <c r="G1077"/>
      <c r="H1077"/>
      <c r="I1077"/>
      <c r="K1077"/>
      <c r="O1077"/>
      <c r="R1077"/>
      <c r="S1077" s="79" t="e">
        <f>DbLinkTable[[#This Row],[Credit]]+DbLinkTable[[#This Row],[Charge]]</f>
        <v>#VALUE!</v>
      </c>
      <c r="T1077" s="79" t="e">
        <f>IF(DbLinkTable[[#This Row],[Price/lb]]*DbLinkTable[[#This Row],[Weight]]&gt;0,DbLinkTable[[#This Row],[Price/lb]]*DbLinkTable[[#This Row],[Weight]],0)</f>
        <v>#VALUE!</v>
      </c>
      <c r="U1077" s="79" t="e">
        <f>IF(DbLinkTable[[#This Row],[Price/lb]]*DbLinkTable[[#This Row],[Weight]]&lt;0,DbLinkTable[[#This Row],[Price/lb]]*DbLinkTable[[#This Row],[Weight]],0)</f>
        <v>#VALUE!</v>
      </c>
      <c r="V1077" s="4" t="str">
        <f>IF(COUNTIF($W$2:W1077,W1077)=1,1,"")</f>
        <v/>
      </c>
      <c r="W1077" s="4" t="e">
        <f>CONCATENATE(DbLinkTable[[#This Row],[Customer]],UPPER(DbLinkTable[[#This Row],[Trailer Number]]),DbLinkTable[[#This Row],[Day Received]])</f>
        <v>#VALUE!</v>
      </c>
      <c r="X1077" s="4" t="e">
        <f>DATEVALUE(TEXT(DbLinkTable[[#This Row],[Date Received]],"MMMM YYYY"))</f>
        <v>#VALUE!</v>
      </c>
      <c r="Y1077" s="4" t="e">
        <f>INT(DbLinkTable[[#This Row],[Date Received]])</f>
        <v>#VALUE!</v>
      </c>
    </row>
    <row r="1078" spans="5:25">
      <c r="E1078"/>
      <c r="G1078"/>
      <c r="H1078"/>
      <c r="I1078"/>
      <c r="K1078"/>
      <c r="O1078"/>
      <c r="R1078"/>
      <c r="S1078" s="79" t="e">
        <f>DbLinkTable[[#This Row],[Credit]]+DbLinkTable[[#This Row],[Charge]]</f>
        <v>#VALUE!</v>
      </c>
      <c r="T1078" s="79" t="e">
        <f>IF(DbLinkTable[[#This Row],[Price/lb]]*DbLinkTable[[#This Row],[Weight]]&gt;0,DbLinkTable[[#This Row],[Price/lb]]*DbLinkTable[[#This Row],[Weight]],0)</f>
        <v>#VALUE!</v>
      </c>
      <c r="U1078" s="79" t="e">
        <f>IF(DbLinkTable[[#This Row],[Price/lb]]*DbLinkTable[[#This Row],[Weight]]&lt;0,DbLinkTable[[#This Row],[Price/lb]]*DbLinkTable[[#This Row],[Weight]],0)</f>
        <v>#VALUE!</v>
      </c>
      <c r="V1078" s="4" t="str">
        <f>IF(COUNTIF($W$2:W1078,W1078)=1,1,"")</f>
        <v/>
      </c>
      <c r="W1078" s="4" t="e">
        <f>CONCATENATE(DbLinkTable[[#This Row],[Customer]],UPPER(DbLinkTable[[#This Row],[Trailer Number]]),DbLinkTable[[#This Row],[Day Received]])</f>
        <v>#VALUE!</v>
      </c>
      <c r="X1078" s="4" t="e">
        <f>DATEVALUE(TEXT(DbLinkTable[[#This Row],[Date Received]],"MMMM YYYY"))</f>
        <v>#VALUE!</v>
      </c>
      <c r="Y1078" s="4" t="e">
        <f>INT(DbLinkTable[[#This Row],[Date Received]])</f>
        <v>#VALUE!</v>
      </c>
    </row>
    <row r="1079" spans="5:25">
      <c r="E1079"/>
      <c r="G1079"/>
      <c r="H1079"/>
      <c r="I1079"/>
      <c r="K1079"/>
      <c r="O1079"/>
      <c r="R1079"/>
      <c r="S1079" s="79" t="e">
        <f>DbLinkTable[[#This Row],[Credit]]+DbLinkTable[[#This Row],[Charge]]</f>
        <v>#VALUE!</v>
      </c>
      <c r="T1079" s="79" t="e">
        <f>IF(DbLinkTable[[#This Row],[Price/lb]]*DbLinkTable[[#This Row],[Weight]]&gt;0,DbLinkTable[[#This Row],[Price/lb]]*DbLinkTable[[#This Row],[Weight]],0)</f>
        <v>#VALUE!</v>
      </c>
      <c r="U1079" s="79" t="e">
        <f>IF(DbLinkTable[[#This Row],[Price/lb]]*DbLinkTable[[#This Row],[Weight]]&lt;0,DbLinkTable[[#This Row],[Price/lb]]*DbLinkTable[[#This Row],[Weight]],0)</f>
        <v>#VALUE!</v>
      </c>
      <c r="V1079" s="4" t="str">
        <f>IF(COUNTIF($W$2:W1079,W1079)=1,1,"")</f>
        <v/>
      </c>
      <c r="W1079" s="4" t="e">
        <f>CONCATENATE(DbLinkTable[[#This Row],[Customer]],UPPER(DbLinkTable[[#This Row],[Trailer Number]]),DbLinkTable[[#This Row],[Day Received]])</f>
        <v>#VALUE!</v>
      </c>
      <c r="X1079" s="4" t="e">
        <f>DATEVALUE(TEXT(DbLinkTable[[#This Row],[Date Received]],"MMMM YYYY"))</f>
        <v>#VALUE!</v>
      </c>
      <c r="Y1079" s="4" t="e">
        <f>INT(DbLinkTable[[#This Row],[Date Received]])</f>
        <v>#VALUE!</v>
      </c>
    </row>
    <row r="1080" spans="5:25">
      <c r="E1080"/>
      <c r="G1080"/>
      <c r="H1080"/>
      <c r="I1080"/>
      <c r="K1080"/>
      <c r="O1080"/>
      <c r="R1080"/>
      <c r="S1080" s="79" t="e">
        <f>DbLinkTable[[#This Row],[Credit]]+DbLinkTable[[#This Row],[Charge]]</f>
        <v>#VALUE!</v>
      </c>
      <c r="T1080" s="79" t="e">
        <f>IF(DbLinkTable[[#This Row],[Price/lb]]*DbLinkTable[[#This Row],[Weight]]&gt;0,DbLinkTable[[#This Row],[Price/lb]]*DbLinkTable[[#This Row],[Weight]],0)</f>
        <v>#VALUE!</v>
      </c>
      <c r="U1080" s="79" t="e">
        <f>IF(DbLinkTable[[#This Row],[Price/lb]]*DbLinkTable[[#This Row],[Weight]]&lt;0,DbLinkTable[[#This Row],[Price/lb]]*DbLinkTable[[#This Row],[Weight]],0)</f>
        <v>#VALUE!</v>
      </c>
      <c r="V1080" s="4" t="str">
        <f>IF(COUNTIF($W$2:W1080,W1080)=1,1,"")</f>
        <v/>
      </c>
      <c r="W1080" s="4" t="e">
        <f>CONCATENATE(DbLinkTable[[#This Row],[Customer]],UPPER(DbLinkTable[[#This Row],[Trailer Number]]),DbLinkTable[[#This Row],[Day Received]])</f>
        <v>#VALUE!</v>
      </c>
      <c r="X1080" s="4" t="e">
        <f>DATEVALUE(TEXT(DbLinkTable[[#This Row],[Date Received]],"MMMM YYYY"))</f>
        <v>#VALUE!</v>
      </c>
      <c r="Y1080" s="4" t="e">
        <f>INT(DbLinkTable[[#This Row],[Date Received]])</f>
        <v>#VALUE!</v>
      </c>
    </row>
    <row r="1081" spans="5:25">
      <c r="E1081"/>
      <c r="G1081"/>
      <c r="H1081"/>
      <c r="I1081"/>
      <c r="K1081"/>
      <c r="O1081"/>
      <c r="R1081"/>
      <c r="S1081" s="79" t="e">
        <f>DbLinkTable[[#This Row],[Credit]]+DbLinkTable[[#This Row],[Charge]]</f>
        <v>#VALUE!</v>
      </c>
      <c r="T1081" s="79" t="e">
        <f>IF(DbLinkTable[[#This Row],[Price/lb]]*DbLinkTable[[#This Row],[Weight]]&gt;0,DbLinkTable[[#This Row],[Price/lb]]*DbLinkTable[[#This Row],[Weight]],0)</f>
        <v>#VALUE!</v>
      </c>
      <c r="U1081" s="79" t="e">
        <f>IF(DbLinkTable[[#This Row],[Price/lb]]*DbLinkTable[[#This Row],[Weight]]&lt;0,DbLinkTable[[#This Row],[Price/lb]]*DbLinkTable[[#This Row],[Weight]],0)</f>
        <v>#VALUE!</v>
      </c>
      <c r="V1081" s="4" t="str">
        <f>IF(COUNTIF($W$2:W1081,W1081)=1,1,"")</f>
        <v/>
      </c>
      <c r="W1081" s="4" t="e">
        <f>CONCATENATE(DbLinkTable[[#This Row],[Customer]],UPPER(DbLinkTable[[#This Row],[Trailer Number]]),DbLinkTable[[#This Row],[Day Received]])</f>
        <v>#VALUE!</v>
      </c>
      <c r="X1081" s="4" t="e">
        <f>DATEVALUE(TEXT(DbLinkTable[[#This Row],[Date Received]],"MMMM YYYY"))</f>
        <v>#VALUE!</v>
      </c>
      <c r="Y1081" s="4" t="e">
        <f>INT(DbLinkTable[[#This Row],[Date Received]])</f>
        <v>#VALUE!</v>
      </c>
    </row>
    <row r="1082" spans="5:25">
      <c r="E1082"/>
      <c r="G1082"/>
      <c r="H1082"/>
      <c r="I1082"/>
      <c r="K1082"/>
      <c r="O1082"/>
      <c r="R1082"/>
      <c r="S1082" s="79" t="e">
        <f>DbLinkTable[[#This Row],[Credit]]+DbLinkTable[[#This Row],[Charge]]</f>
        <v>#VALUE!</v>
      </c>
      <c r="T1082" s="79" t="e">
        <f>IF(DbLinkTable[[#This Row],[Price/lb]]*DbLinkTable[[#This Row],[Weight]]&gt;0,DbLinkTable[[#This Row],[Price/lb]]*DbLinkTable[[#This Row],[Weight]],0)</f>
        <v>#VALUE!</v>
      </c>
      <c r="U1082" s="79" t="e">
        <f>IF(DbLinkTable[[#This Row],[Price/lb]]*DbLinkTable[[#This Row],[Weight]]&lt;0,DbLinkTable[[#This Row],[Price/lb]]*DbLinkTable[[#This Row],[Weight]],0)</f>
        <v>#VALUE!</v>
      </c>
      <c r="V1082" s="4" t="str">
        <f>IF(COUNTIF($W$2:W1082,W1082)=1,1,"")</f>
        <v/>
      </c>
      <c r="W1082" s="4" t="e">
        <f>CONCATENATE(DbLinkTable[[#This Row],[Customer]],UPPER(DbLinkTable[[#This Row],[Trailer Number]]),DbLinkTable[[#This Row],[Day Received]])</f>
        <v>#VALUE!</v>
      </c>
      <c r="X1082" s="4" t="e">
        <f>DATEVALUE(TEXT(DbLinkTable[[#This Row],[Date Received]],"MMMM YYYY"))</f>
        <v>#VALUE!</v>
      </c>
      <c r="Y1082" s="4" t="e">
        <f>INT(DbLinkTable[[#This Row],[Date Received]])</f>
        <v>#VALUE!</v>
      </c>
    </row>
    <row r="1083" spans="5:25">
      <c r="E1083"/>
      <c r="G1083"/>
      <c r="H1083"/>
      <c r="I1083"/>
      <c r="K1083"/>
      <c r="O1083"/>
      <c r="R1083"/>
      <c r="S1083" s="79" t="e">
        <f>DbLinkTable[[#This Row],[Credit]]+DbLinkTable[[#This Row],[Charge]]</f>
        <v>#VALUE!</v>
      </c>
      <c r="T1083" s="79" t="e">
        <f>IF(DbLinkTable[[#This Row],[Price/lb]]*DbLinkTable[[#This Row],[Weight]]&gt;0,DbLinkTable[[#This Row],[Price/lb]]*DbLinkTable[[#This Row],[Weight]],0)</f>
        <v>#VALUE!</v>
      </c>
      <c r="U1083" s="79" t="e">
        <f>IF(DbLinkTable[[#This Row],[Price/lb]]*DbLinkTable[[#This Row],[Weight]]&lt;0,DbLinkTable[[#This Row],[Price/lb]]*DbLinkTable[[#This Row],[Weight]],0)</f>
        <v>#VALUE!</v>
      </c>
      <c r="V1083" s="4" t="str">
        <f>IF(COUNTIF($W$2:W1083,W1083)=1,1,"")</f>
        <v/>
      </c>
      <c r="W1083" s="4" t="e">
        <f>CONCATENATE(DbLinkTable[[#This Row],[Customer]],UPPER(DbLinkTable[[#This Row],[Trailer Number]]),DbLinkTable[[#This Row],[Day Received]])</f>
        <v>#VALUE!</v>
      </c>
      <c r="X1083" s="4" t="e">
        <f>DATEVALUE(TEXT(DbLinkTable[[#This Row],[Date Received]],"MMMM YYYY"))</f>
        <v>#VALUE!</v>
      </c>
      <c r="Y1083" s="4" t="e">
        <f>INT(DbLinkTable[[#This Row],[Date Received]])</f>
        <v>#VALUE!</v>
      </c>
    </row>
    <row r="1084" spans="5:25">
      <c r="E1084"/>
      <c r="G1084"/>
      <c r="H1084"/>
      <c r="I1084"/>
      <c r="K1084"/>
      <c r="O1084"/>
      <c r="R1084"/>
      <c r="S1084" s="79" t="e">
        <f>DbLinkTable[[#This Row],[Credit]]+DbLinkTable[[#This Row],[Charge]]</f>
        <v>#VALUE!</v>
      </c>
      <c r="T1084" s="79" t="e">
        <f>IF(DbLinkTable[[#This Row],[Price/lb]]*DbLinkTable[[#This Row],[Weight]]&gt;0,DbLinkTable[[#This Row],[Price/lb]]*DbLinkTable[[#This Row],[Weight]],0)</f>
        <v>#VALUE!</v>
      </c>
      <c r="U1084" s="79" t="e">
        <f>IF(DbLinkTable[[#This Row],[Price/lb]]*DbLinkTable[[#This Row],[Weight]]&lt;0,DbLinkTable[[#This Row],[Price/lb]]*DbLinkTable[[#This Row],[Weight]],0)</f>
        <v>#VALUE!</v>
      </c>
      <c r="V1084" s="4" t="str">
        <f>IF(COUNTIF($W$2:W1084,W1084)=1,1,"")</f>
        <v/>
      </c>
      <c r="W1084" s="4" t="e">
        <f>CONCATENATE(DbLinkTable[[#This Row],[Customer]],UPPER(DbLinkTable[[#This Row],[Trailer Number]]),DbLinkTable[[#This Row],[Day Received]])</f>
        <v>#VALUE!</v>
      </c>
      <c r="X1084" s="4" t="e">
        <f>DATEVALUE(TEXT(DbLinkTable[[#This Row],[Date Received]],"MMMM YYYY"))</f>
        <v>#VALUE!</v>
      </c>
      <c r="Y1084" s="4" t="e">
        <f>INT(DbLinkTable[[#This Row],[Date Received]])</f>
        <v>#VALUE!</v>
      </c>
    </row>
    <row r="1085" spans="5:25">
      <c r="E1085"/>
      <c r="G1085"/>
      <c r="H1085"/>
      <c r="I1085"/>
      <c r="K1085"/>
      <c r="O1085"/>
      <c r="R1085"/>
      <c r="S1085" s="79" t="e">
        <f>DbLinkTable[[#This Row],[Credit]]+DbLinkTable[[#This Row],[Charge]]</f>
        <v>#VALUE!</v>
      </c>
      <c r="T1085" s="79" t="e">
        <f>IF(DbLinkTable[[#This Row],[Price/lb]]*DbLinkTable[[#This Row],[Weight]]&gt;0,DbLinkTable[[#This Row],[Price/lb]]*DbLinkTable[[#This Row],[Weight]],0)</f>
        <v>#VALUE!</v>
      </c>
      <c r="U1085" s="79" t="e">
        <f>IF(DbLinkTable[[#This Row],[Price/lb]]*DbLinkTable[[#This Row],[Weight]]&lt;0,DbLinkTable[[#This Row],[Price/lb]]*DbLinkTable[[#This Row],[Weight]],0)</f>
        <v>#VALUE!</v>
      </c>
      <c r="V1085" s="4" t="str">
        <f>IF(COUNTIF($W$2:W1085,W1085)=1,1,"")</f>
        <v/>
      </c>
      <c r="W1085" s="4" t="e">
        <f>CONCATENATE(DbLinkTable[[#This Row],[Customer]],UPPER(DbLinkTable[[#This Row],[Trailer Number]]),DbLinkTable[[#This Row],[Day Received]])</f>
        <v>#VALUE!</v>
      </c>
      <c r="X1085" s="4" t="e">
        <f>DATEVALUE(TEXT(DbLinkTable[[#This Row],[Date Received]],"MMMM YYYY"))</f>
        <v>#VALUE!</v>
      </c>
      <c r="Y1085" s="4" t="e">
        <f>INT(DbLinkTable[[#This Row],[Date Received]])</f>
        <v>#VALUE!</v>
      </c>
    </row>
    <row r="1086" spans="5:25">
      <c r="E1086"/>
      <c r="G1086"/>
      <c r="H1086"/>
      <c r="I1086"/>
      <c r="K1086"/>
      <c r="O1086"/>
      <c r="R1086"/>
      <c r="S1086" s="79" t="e">
        <f>DbLinkTable[[#This Row],[Credit]]+DbLinkTable[[#This Row],[Charge]]</f>
        <v>#VALUE!</v>
      </c>
      <c r="T1086" s="79" t="e">
        <f>IF(DbLinkTable[[#This Row],[Price/lb]]*DbLinkTable[[#This Row],[Weight]]&gt;0,DbLinkTable[[#This Row],[Price/lb]]*DbLinkTable[[#This Row],[Weight]],0)</f>
        <v>#VALUE!</v>
      </c>
      <c r="U1086" s="79" t="e">
        <f>IF(DbLinkTable[[#This Row],[Price/lb]]*DbLinkTable[[#This Row],[Weight]]&lt;0,DbLinkTable[[#This Row],[Price/lb]]*DbLinkTable[[#This Row],[Weight]],0)</f>
        <v>#VALUE!</v>
      </c>
      <c r="V1086" s="4" t="str">
        <f>IF(COUNTIF($W$2:W1086,W1086)=1,1,"")</f>
        <v/>
      </c>
      <c r="W1086" s="4" t="e">
        <f>CONCATENATE(DbLinkTable[[#This Row],[Customer]],UPPER(DbLinkTable[[#This Row],[Trailer Number]]),DbLinkTable[[#This Row],[Day Received]])</f>
        <v>#VALUE!</v>
      </c>
      <c r="X1086" s="4" t="e">
        <f>DATEVALUE(TEXT(DbLinkTable[[#This Row],[Date Received]],"MMMM YYYY"))</f>
        <v>#VALUE!</v>
      </c>
      <c r="Y1086" s="4" t="e">
        <f>INT(DbLinkTable[[#This Row],[Date Received]])</f>
        <v>#VALUE!</v>
      </c>
    </row>
    <row r="1087" spans="5:25">
      <c r="E1087"/>
      <c r="G1087"/>
      <c r="H1087"/>
      <c r="I1087"/>
      <c r="K1087"/>
      <c r="O1087"/>
      <c r="R1087"/>
      <c r="S1087" s="79" t="e">
        <f>DbLinkTable[[#This Row],[Credit]]+DbLinkTable[[#This Row],[Charge]]</f>
        <v>#VALUE!</v>
      </c>
      <c r="T1087" s="79" t="e">
        <f>IF(DbLinkTable[[#This Row],[Price/lb]]*DbLinkTable[[#This Row],[Weight]]&gt;0,DbLinkTable[[#This Row],[Price/lb]]*DbLinkTable[[#This Row],[Weight]],0)</f>
        <v>#VALUE!</v>
      </c>
      <c r="U1087" s="79" t="e">
        <f>IF(DbLinkTable[[#This Row],[Price/lb]]*DbLinkTable[[#This Row],[Weight]]&lt;0,DbLinkTable[[#This Row],[Price/lb]]*DbLinkTable[[#This Row],[Weight]],0)</f>
        <v>#VALUE!</v>
      </c>
      <c r="V1087" s="4" t="str">
        <f>IF(COUNTIF($W$2:W1087,W1087)=1,1,"")</f>
        <v/>
      </c>
      <c r="W1087" s="4" t="e">
        <f>CONCATENATE(DbLinkTable[[#This Row],[Customer]],UPPER(DbLinkTable[[#This Row],[Trailer Number]]),DbLinkTable[[#This Row],[Day Received]])</f>
        <v>#VALUE!</v>
      </c>
      <c r="X1087" s="4" t="e">
        <f>DATEVALUE(TEXT(DbLinkTable[[#This Row],[Date Received]],"MMMM YYYY"))</f>
        <v>#VALUE!</v>
      </c>
      <c r="Y1087" s="4" t="e">
        <f>INT(DbLinkTable[[#This Row],[Date Received]])</f>
        <v>#VALUE!</v>
      </c>
    </row>
    <row r="1088" spans="5:25">
      <c r="E1088"/>
      <c r="G1088"/>
      <c r="H1088"/>
      <c r="I1088"/>
      <c r="K1088"/>
      <c r="O1088"/>
      <c r="R1088"/>
      <c r="S1088" s="79" t="e">
        <f>DbLinkTable[[#This Row],[Credit]]+DbLinkTable[[#This Row],[Charge]]</f>
        <v>#VALUE!</v>
      </c>
      <c r="T1088" s="79" t="e">
        <f>IF(DbLinkTable[[#This Row],[Price/lb]]*DbLinkTable[[#This Row],[Weight]]&gt;0,DbLinkTable[[#This Row],[Price/lb]]*DbLinkTable[[#This Row],[Weight]],0)</f>
        <v>#VALUE!</v>
      </c>
      <c r="U1088" s="79" t="e">
        <f>IF(DbLinkTable[[#This Row],[Price/lb]]*DbLinkTable[[#This Row],[Weight]]&lt;0,DbLinkTable[[#This Row],[Price/lb]]*DbLinkTable[[#This Row],[Weight]],0)</f>
        <v>#VALUE!</v>
      </c>
      <c r="V1088" s="4" t="str">
        <f>IF(COUNTIF($W$2:W1088,W1088)=1,1,"")</f>
        <v/>
      </c>
      <c r="W1088" s="4" t="e">
        <f>CONCATENATE(DbLinkTable[[#This Row],[Customer]],UPPER(DbLinkTable[[#This Row],[Trailer Number]]),DbLinkTable[[#This Row],[Day Received]])</f>
        <v>#VALUE!</v>
      </c>
      <c r="X1088" s="4" t="e">
        <f>DATEVALUE(TEXT(DbLinkTable[[#This Row],[Date Received]],"MMMM YYYY"))</f>
        <v>#VALUE!</v>
      </c>
      <c r="Y1088" s="4" t="e">
        <f>INT(DbLinkTable[[#This Row],[Date Received]])</f>
        <v>#VALUE!</v>
      </c>
    </row>
    <row r="1089" spans="5:25">
      <c r="E1089"/>
      <c r="G1089"/>
      <c r="H1089"/>
      <c r="I1089"/>
      <c r="K1089"/>
      <c r="O1089"/>
      <c r="R1089"/>
      <c r="S1089" s="79" t="e">
        <f>DbLinkTable[[#This Row],[Credit]]+DbLinkTable[[#This Row],[Charge]]</f>
        <v>#VALUE!</v>
      </c>
      <c r="T1089" s="79" t="e">
        <f>IF(DbLinkTable[[#This Row],[Price/lb]]*DbLinkTable[[#This Row],[Weight]]&gt;0,DbLinkTable[[#This Row],[Price/lb]]*DbLinkTable[[#This Row],[Weight]],0)</f>
        <v>#VALUE!</v>
      </c>
      <c r="U1089" s="79" t="e">
        <f>IF(DbLinkTable[[#This Row],[Price/lb]]*DbLinkTable[[#This Row],[Weight]]&lt;0,DbLinkTable[[#This Row],[Price/lb]]*DbLinkTable[[#This Row],[Weight]],0)</f>
        <v>#VALUE!</v>
      </c>
      <c r="V1089" s="4" t="str">
        <f>IF(COUNTIF($W$2:W1089,W1089)=1,1,"")</f>
        <v/>
      </c>
      <c r="W1089" s="4" t="e">
        <f>CONCATENATE(DbLinkTable[[#This Row],[Customer]],UPPER(DbLinkTable[[#This Row],[Trailer Number]]),DbLinkTable[[#This Row],[Day Received]])</f>
        <v>#VALUE!</v>
      </c>
      <c r="X1089" s="4" t="e">
        <f>DATEVALUE(TEXT(DbLinkTable[[#This Row],[Date Received]],"MMMM YYYY"))</f>
        <v>#VALUE!</v>
      </c>
      <c r="Y1089" s="4" t="e">
        <f>INT(DbLinkTable[[#This Row],[Date Received]])</f>
        <v>#VALUE!</v>
      </c>
    </row>
    <row r="1090" spans="5:25">
      <c r="E1090"/>
      <c r="G1090"/>
      <c r="H1090"/>
      <c r="I1090"/>
      <c r="K1090"/>
      <c r="O1090"/>
      <c r="R1090"/>
      <c r="S1090" s="79" t="e">
        <f>DbLinkTable[[#This Row],[Credit]]+DbLinkTable[[#This Row],[Charge]]</f>
        <v>#VALUE!</v>
      </c>
      <c r="T1090" s="79" t="e">
        <f>IF(DbLinkTable[[#This Row],[Price/lb]]*DbLinkTable[[#This Row],[Weight]]&gt;0,DbLinkTable[[#This Row],[Price/lb]]*DbLinkTable[[#This Row],[Weight]],0)</f>
        <v>#VALUE!</v>
      </c>
      <c r="U1090" s="79" t="e">
        <f>IF(DbLinkTable[[#This Row],[Price/lb]]*DbLinkTable[[#This Row],[Weight]]&lt;0,DbLinkTable[[#This Row],[Price/lb]]*DbLinkTable[[#This Row],[Weight]],0)</f>
        <v>#VALUE!</v>
      </c>
      <c r="V1090" s="4" t="str">
        <f>IF(COUNTIF($W$2:W1090,W1090)=1,1,"")</f>
        <v/>
      </c>
      <c r="W1090" s="4" t="e">
        <f>CONCATENATE(DbLinkTable[[#This Row],[Customer]],UPPER(DbLinkTable[[#This Row],[Trailer Number]]),DbLinkTable[[#This Row],[Day Received]])</f>
        <v>#VALUE!</v>
      </c>
      <c r="X1090" s="4" t="e">
        <f>DATEVALUE(TEXT(DbLinkTable[[#This Row],[Date Received]],"MMMM YYYY"))</f>
        <v>#VALUE!</v>
      </c>
      <c r="Y1090" s="4" t="e">
        <f>INT(DbLinkTable[[#This Row],[Date Received]])</f>
        <v>#VALUE!</v>
      </c>
    </row>
    <row r="1091" spans="5:25">
      <c r="E1091"/>
      <c r="G1091"/>
      <c r="H1091"/>
      <c r="I1091"/>
      <c r="K1091"/>
      <c r="O1091"/>
      <c r="R1091"/>
      <c r="S1091" s="79" t="e">
        <f>DbLinkTable[[#This Row],[Credit]]+DbLinkTable[[#This Row],[Charge]]</f>
        <v>#VALUE!</v>
      </c>
      <c r="T1091" s="79" t="e">
        <f>IF(DbLinkTable[[#This Row],[Price/lb]]*DbLinkTable[[#This Row],[Weight]]&gt;0,DbLinkTable[[#This Row],[Price/lb]]*DbLinkTable[[#This Row],[Weight]],0)</f>
        <v>#VALUE!</v>
      </c>
      <c r="U1091" s="79" t="e">
        <f>IF(DbLinkTable[[#This Row],[Price/lb]]*DbLinkTable[[#This Row],[Weight]]&lt;0,DbLinkTable[[#This Row],[Price/lb]]*DbLinkTable[[#This Row],[Weight]],0)</f>
        <v>#VALUE!</v>
      </c>
      <c r="V1091" s="4" t="str">
        <f>IF(COUNTIF($W$2:W1091,W1091)=1,1,"")</f>
        <v/>
      </c>
      <c r="W1091" s="4" t="e">
        <f>CONCATENATE(DbLinkTable[[#This Row],[Customer]],UPPER(DbLinkTable[[#This Row],[Trailer Number]]),DbLinkTable[[#This Row],[Day Received]])</f>
        <v>#VALUE!</v>
      </c>
      <c r="X1091" s="4" t="e">
        <f>DATEVALUE(TEXT(DbLinkTable[[#This Row],[Date Received]],"MMMM YYYY"))</f>
        <v>#VALUE!</v>
      </c>
      <c r="Y1091" s="4" t="e">
        <f>INT(DbLinkTable[[#This Row],[Date Received]])</f>
        <v>#VALUE!</v>
      </c>
    </row>
    <row r="1092" spans="5:25">
      <c r="E1092"/>
      <c r="G1092"/>
      <c r="H1092"/>
      <c r="I1092"/>
      <c r="K1092"/>
      <c r="O1092"/>
      <c r="R1092"/>
      <c r="S1092" s="79" t="e">
        <f>DbLinkTable[[#This Row],[Credit]]+DbLinkTable[[#This Row],[Charge]]</f>
        <v>#VALUE!</v>
      </c>
      <c r="T1092" s="79" t="e">
        <f>IF(DbLinkTable[[#This Row],[Price/lb]]*DbLinkTable[[#This Row],[Weight]]&gt;0,DbLinkTable[[#This Row],[Price/lb]]*DbLinkTable[[#This Row],[Weight]],0)</f>
        <v>#VALUE!</v>
      </c>
      <c r="U1092" s="79" t="e">
        <f>IF(DbLinkTable[[#This Row],[Price/lb]]*DbLinkTable[[#This Row],[Weight]]&lt;0,DbLinkTable[[#This Row],[Price/lb]]*DbLinkTable[[#This Row],[Weight]],0)</f>
        <v>#VALUE!</v>
      </c>
      <c r="V1092" s="4" t="str">
        <f>IF(COUNTIF($W$2:W1092,W1092)=1,1,"")</f>
        <v/>
      </c>
      <c r="W1092" s="4" t="e">
        <f>CONCATENATE(DbLinkTable[[#This Row],[Customer]],UPPER(DbLinkTable[[#This Row],[Trailer Number]]),DbLinkTable[[#This Row],[Day Received]])</f>
        <v>#VALUE!</v>
      </c>
      <c r="X1092" s="4" t="e">
        <f>DATEVALUE(TEXT(DbLinkTable[[#This Row],[Date Received]],"MMMM YYYY"))</f>
        <v>#VALUE!</v>
      </c>
      <c r="Y1092" s="4" t="e">
        <f>INT(DbLinkTable[[#This Row],[Date Received]])</f>
        <v>#VALUE!</v>
      </c>
    </row>
    <row r="1093" spans="5:25">
      <c r="E1093"/>
      <c r="G1093"/>
      <c r="H1093"/>
      <c r="I1093"/>
      <c r="K1093"/>
      <c r="O1093"/>
      <c r="R1093"/>
      <c r="S1093" s="79" t="e">
        <f>DbLinkTable[[#This Row],[Credit]]+DbLinkTable[[#This Row],[Charge]]</f>
        <v>#VALUE!</v>
      </c>
      <c r="T1093" s="79" t="e">
        <f>IF(DbLinkTable[[#This Row],[Price/lb]]*DbLinkTable[[#This Row],[Weight]]&gt;0,DbLinkTable[[#This Row],[Price/lb]]*DbLinkTable[[#This Row],[Weight]],0)</f>
        <v>#VALUE!</v>
      </c>
      <c r="U1093" s="79" t="e">
        <f>IF(DbLinkTable[[#This Row],[Price/lb]]*DbLinkTable[[#This Row],[Weight]]&lt;0,DbLinkTable[[#This Row],[Price/lb]]*DbLinkTable[[#This Row],[Weight]],0)</f>
        <v>#VALUE!</v>
      </c>
      <c r="V1093" s="4" t="str">
        <f>IF(COUNTIF($W$2:W1093,W1093)=1,1,"")</f>
        <v/>
      </c>
      <c r="W1093" s="4" t="e">
        <f>CONCATENATE(DbLinkTable[[#This Row],[Customer]],UPPER(DbLinkTable[[#This Row],[Trailer Number]]),DbLinkTable[[#This Row],[Day Received]])</f>
        <v>#VALUE!</v>
      </c>
      <c r="X1093" s="4" t="e">
        <f>DATEVALUE(TEXT(DbLinkTable[[#This Row],[Date Received]],"MMMM YYYY"))</f>
        <v>#VALUE!</v>
      </c>
      <c r="Y1093" s="4" t="e">
        <f>INT(DbLinkTable[[#This Row],[Date Received]])</f>
        <v>#VALUE!</v>
      </c>
    </row>
    <row r="1094" spans="5:25">
      <c r="E1094"/>
      <c r="G1094"/>
      <c r="H1094"/>
      <c r="I1094"/>
      <c r="K1094"/>
      <c r="O1094"/>
      <c r="R1094"/>
      <c r="S1094" s="79" t="e">
        <f>DbLinkTable[[#This Row],[Credit]]+DbLinkTable[[#This Row],[Charge]]</f>
        <v>#VALUE!</v>
      </c>
      <c r="T1094" s="79" t="e">
        <f>IF(DbLinkTable[[#This Row],[Price/lb]]*DbLinkTable[[#This Row],[Weight]]&gt;0,DbLinkTable[[#This Row],[Price/lb]]*DbLinkTable[[#This Row],[Weight]],0)</f>
        <v>#VALUE!</v>
      </c>
      <c r="U1094" s="79" t="e">
        <f>IF(DbLinkTable[[#This Row],[Price/lb]]*DbLinkTable[[#This Row],[Weight]]&lt;0,DbLinkTable[[#This Row],[Price/lb]]*DbLinkTable[[#This Row],[Weight]],0)</f>
        <v>#VALUE!</v>
      </c>
      <c r="V1094" s="4" t="str">
        <f>IF(COUNTIF($W$2:W1094,W1094)=1,1,"")</f>
        <v/>
      </c>
      <c r="W1094" s="4" t="e">
        <f>CONCATENATE(DbLinkTable[[#This Row],[Customer]],UPPER(DbLinkTable[[#This Row],[Trailer Number]]),DbLinkTable[[#This Row],[Day Received]])</f>
        <v>#VALUE!</v>
      </c>
      <c r="X1094" s="4" t="e">
        <f>DATEVALUE(TEXT(DbLinkTable[[#This Row],[Date Received]],"MMMM YYYY"))</f>
        <v>#VALUE!</v>
      </c>
      <c r="Y1094" s="4" t="e">
        <f>INT(DbLinkTable[[#This Row],[Date Received]])</f>
        <v>#VALUE!</v>
      </c>
    </row>
    <row r="1095" spans="5:25">
      <c r="E1095"/>
      <c r="G1095"/>
      <c r="H1095"/>
      <c r="I1095"/>
      <c r="K1095"/>
      <c r="O1095"/>
      <c r="R1095"/>
      <c r="S1095" s="79" t="e">
        <f>DbLinkTable[[#This Row],[Credit]]+DbLinkTable[[#This Row],[Charge]]</f>
        <v>#VALUE!</v>
      </c>
      <c r="T1095" s="79" t="e">
        <f>IF(DbLinkTable[[#This Row],[Price/lb]]*DbLinkTable[[#This Row],[Weight]]&gt;0,DbLinkTable[[#This Row],[Price/lb]]*DbLinkTable[[#This Row],[Weight]],0)</f>
        <v>#VALUE!</v>
      </c>
      <c r="U1095" s="79" t="e">
        <f>IF(DbLinkTable[[#This Row],[Price/lb]]*DbLinkTable[[#This Row],[Weight]]&lt;0,DbLinkTable[[#This Row],[Price/lb]]*DbLinkTable[[#This Row],[Weight]],0)</f>
        <v>#VALUE!</v>
      </c>
      <c r="V1095" s="4" t="str">
        <f>IF(COUNTIF($W$2:W1095,W1095)=1,1,"")</f>
        <v/>
      </c>
      <c r="W1095" s="4" t="e">
        <f>CONCATENATE(DbLinkTable[[#This Row],[Customer]],UPPER(DbLinkTable[[#This Row],[Trailer Number]]),DbLinkTable[[#This Row],[Day Received]])</f>
        <v>#VALUE!</v>
      </c>
      <c r="X1095" s="4" t="e">
        <f>DATEVALUE(TEXT(DbLinkTable[[#This Row],[Date Received]],"MMMM YYYY"))</f>
        <v>#VALUE!</v>
      </c>
      <c r="Y1095" s="4" t="e">
        <f>INT(DbLinkTable[[#This Row],[Date Received]])</f>
        <v>#VALUE!</v>
      </c>
    </row>
    <row r="1096" spans="5:25">
      <c r="E1096"/>
      <c r="G1096"/>
      <c r="H1096"/>
      <c r="I1096"/>
      <c r="K1096"/>
      <c r="O1096"/>
      <c r="R1096"/>
      <c r="S1096" s="79" t="e">
        <f>DbLinkTable[[#This Row],[Credit]]+DbLinkTable[[#This Row],[Charge]]</f>
        <v>#VALUE!</v>
      </c>
      <c r="T1096" s="79" t="e">
        <f>IF(DbLinkTable[[#This Row],[Price/lb]]*DbLinkTable[[#This Row],[Weight]]&gt;0,DbLinkTable[[#This Row],[Price/lb]]*DbLinkTable[[#This Row],[Weight]],0)</f>
        <v>#VALUE!</v>
      </c>
      <c r="U1096" s="79" t="e">
        <f>IF(DbLinkTable[[#This Row],[Price/lb]]*DbLinkTable[[#This Row],[Weight]]&lt;0,DbLinkTable[[#This Row],[Price/lb]]*DbLinkTable[[#This Row],[Weight]],0)</f>
        <v>#VALUE!</v>
      </c>
      <c r="V1096" s="4" t="str">
        <f>IF(COUNTIF($W$2:W1096,W1096)=1,1,"")</f>
        <v/>
      </c>
      <c r="W1096" s="4" t="e">
        <f>CONCATENATE(DbLinkTable[[#This Row],[Customer]],UPPER(DbLinkTable[[#This Row],[Trailer Number]]),DbLinkTable[[#This Row],[Day Received]])</f>
        <v>#VALUE!</v>
      </c>
      <c r="X1096" s="4" t="e">
        <f>DATEVALUE(TEXT(DbLinkTable[[#This Row],[Date Received]],"MMMM YYYY"))</f>
        <v>#VALUE!</v>
      </c>
      <c r="Y1096" s="4" t="e">
        <f>INT(DbLinkTable[[#This Row],[Date Received]])</f>
        <v>#VALUE!</v>
      </c>
    </row>
    <row r="1097" spans="5:25">
      <c r="E1097"/>
      <c r="G1097"/>
      <c r="H1097"/>
      <c r="I1097"/>
      <c r="K1097"/>
      <c r="O1097"/>
      <c r="R1097"/>
      <c r="S1097" s="79" t="e">
        <f>DbLinkTable[[#This Row],[Credit]]+DbLinkTable[[#This Row],[Charge]]</f>
        <v>#VALUE!</v>
      </c>
      <c r="T1097" s="79" t="e">
        <f>IF(DbLinkTable[[#This Row],[Price/lb]]*DbLinkTable[[#This Row],[Weight]]&gt;0,DbLinkTable[[#This Row],[Price/lb]]*DbLinkTable[[#This Row],[Weight]],0)</f>
        <v>#VALUE!</v>
      </c>
      <c r="U1097" s="79" t="e">
        <f>IF(DbLinkTable[[#This Row],[Price/lb]]*DbLinkTable[[#This Row],[Weight]]&lt;0,DbLinkTable[[#This Row],[Price/lb]]*DbLinkTable[[#This Row],[Weight]],0)</f>
        <v>#VALUE!</v>
      </c>
      <c r="V1097" s="4" t="str">
        <f>IF(COUNTIF($W$2:W1097,W1097)=1,1,"")</f>
        <v/>
      </c>
      <c r="W1097" s="4" t="e">
        <f>CONCATENATE(DbLinkTable[[#This Row],[Customer]],UPPER(DbLinkTable[[#This Row],[Trailer Number]]),DbLinkTable[[#This Row],[Day Received]])</f>
        <v>#VALUE!</v>
      </c>
      <c r="X1097" s="4" t="e">
        <f>DATEVALUE(TEXT(DbLinkTable[[#This Row],[Date Received]],"MMMM YYYY"))</f>
        <v>#VALUE!</v>
      </c>
      <c r="Y1097" s="4" t="e">
        <f>INT(DbLinkTable[[#This Row],[Date Received]])</f>
        <v>#VALUE!</v>
      </c>
    </row>
    <row r="1098" spans="5:25">
      <c r="E1098"/>
      <c r="G1098"/>
      <c r="H1098"/>
      <c r="I1098"/>
      <c r="K1098"/>
      <c r="O1098"/>
      <c r="R1098"/>
      <c r="S1098" s="79" t="e">
        <f>DbLinkTable[[#This Row],[Credit]]+DbLinkTable[[#This Row],[Charge]]</f>
        <v>#VALUE!</v>
      </c>
      <c r="T1098" s="79" t="e">
        <f>IF(DbLinkTable[[#This Row],[Price/lb]]*DbLinkTable[[#This Row],[Weight]]&gt;0,DbLinkTable[[#This Row],[Price/lb]]*DbLinkTable[[#This Row],[Weight]],0)</f>
        <v>#VALUE!</v>
      </c>
      <c r="U1098" s="79" t="e">
        <f>IF(DbLinkTable[[#This Row],[Price/lb]]*DbLinkTable[[#This Row],[Weight]]&lt;0,DbLinkTable[[#This Row],[Price/lb]]*DbLinkTable[[#This Row],[Weight]],0)</f>
        <v>#VALUE!</v>
      </c>
      <c r="V1098" s="4" t="str">
        <f>IF(COUNTIF($W$2:W1098,W1098)=1,1,"")</f>
        <v/>
      </c>
      <c r="W1098" s="4" t="e">
        <f>CONCATENATE(DbLinkTable[[#This Row],[Customer]],UPPER(DbLinkTable[[#This Row],[Trailer Number]]),DbLinkTable[[#This Row],[Day Received]])</f>
        <v>#VALUE!</v>
      </c>
      <c r="X1098" s="4" t="e">
        <f>DATEVALUE(TEXT(DbLinkTable[[#This Row],[Date Received]],"MMMM YYYY"))</f>
        <v>#VALUE!</v>
      </c>
      <c r="Y1098" s="4" t="e">
        <f>INT(DbLinkTable[[#This Row],[Date Received]])</f>
        <v>#VALUE!</v>
      </c>
    </row>
    <row r="1099" spans="5:25">
      <c r="E1099"/>
      <c r="G1099"/>
      <c r="H1099"/>
      <c r="I1099"/>
      <c r="K1099"/>
      <c r="O1099"/>
      <c r="R1099"/>
      <c r="S1099" s="79" t="e">
        <f>DbLinkTable[[#This Row],[Credit]]+DbLinkTable[[#This Row],[Charge]]</f>
        <v>#VALUE!</v>
      </c>
      <c r="T1099" s="79" t="e">
        <f>IF(DbLinkTable[[#This Row],[Price/lb]]*DbLinkTable[[#This Row],[Weight]]&gt;0,DbLinkTable[[#This Row],[Price/lb]]*DbLinkTable[[#This Row],[Weight]],0)</f>
        <v>#VALUE!</v>
      </c>
      <c r="U1099" s="79" t="e">
        <f>IF(DbLinkTable[[#This Row],[Price/lb]]*DbLinkTable[[#This Row],[Weight]]&lt;0,DbLinkTable[[#This Row],[Price/lb]]*DbLinkTable[[#This Row],[Weight]],0)</f>
        <v>#VALUE!</v>
      </c>
      <c r="V1099" s="4" t="str">
        <f>IF(COUNTIF($W$2:W1099,W1099)=1,1,"")</f>
        <v/>
      </c>
      <c r="W1099" s="4" t="e">
        <f>CONCATENATE(DbLinkTable[[#This Row],[Customer]],UPPER(DbLinkTable[[#This Row],[Trailer Number]]),DbLinkTable[[#This Row],[Day Received]])</f>
        <v>#VALUE!</v>
      </c>
      <c r="X1099" s="4" t="e">
        <f>DATEVALUE(TEXT(DbLinkTable[[#This Row],[Date Received]],"MMMM YYYY"))</f>
        <v>#VALUE!</v>
      </c>
      <c r="Y1099" s="4" t="e">
        <f>INT(DbLinkTable[[#This Row],[Date Received]])</f>
        <v>#VALUE!</v>
      </c>
    </row>
    <row r="1100" spans="5:25">
      <c r="E1100"/>
      <c r="G1100"/>
      <c r="H1100"/>
      <c r="I1100"/>
      <c r="K1100"/>
      <c r="O1100"/>
      <c r="R1100"/>
      <c r="S1100" s="79" t="e">
        <f>DbLinkTable[[#This Row],[Credit]]+DbLinkTable[[#This Row],[Charge]]</f>
        <v>#VALUE!</v>
      </c>
      <c r="T1100" s="79" t="e">
        <f>IF(DbLinkTable[[#This Row],[Price/lb]]*DbLinkTable[[#This Row],[Weight]]&gt;0,DbLinkTable[[#This Row],[Price/lb]]*DbLinkTable[[#This Row],[Weight]],0)</f>
        <v>#VALUE!</v>
      </c>
      <c r="U1100" s="79" t="e">
        <f>IF(DbLinkTable[[#This Row],[Price/lb]]*DbLinkTable[[#This Row],[Weight]]&lt;0,DbLinkTable[[#This Row],[Price/lb]]*DbLinkTable[[#This Row],[Weight]],0)</f>
        <v>#VALUE!</v>
      </c>
      <c r="V1100" s="4" t="str">
        <f>IF(COUNTIF($W$2:W1100,W1100)=1,1,"")</f>
        <v/>
      </c>
      <c r="W1100" s="4" t="e">
        <f>CONCATENATE(DbLinkTable[[#This Row],[Customer]],UPPER(DbLinkTable[[#This Row],[Trailer Number]]),DbLinkTable[[#This Row],[Day Received]])</f>
        <v>#VALUE!</v>
      </c>
      <c r="X1100" s="4" t="e">
        <f>DATEVALUE(TEXT(DbLinkTable[[#This Row],[Date Received]],"MMMM YYYY"))</f>
        <v>#VALUE!</v>
      </c>
      <c r="Y1100" s="4" t="e">
        <f>INT(DbLinkTable[[#This Row],[Date Received]])</f>
        <v>#VALUE!</v>
      </c>
    </row>
    <row r="1101" spans="5:25">
      <c r="E1101"/>
      <c r="G1101"/>
      <c r="H1101"/>
      <c r="I1101"/>
      <c r="K1101"/>
      <c r="O1101"/>
      <c r="R1101"/>
      <c r="S1101" s="79" t="e">
        <f>DbLinkTable[[#This Row],[Credit]]+DbLinkTable[[#This Row],[Charge]]</f>
        <v>#VALUE!</v>
      </c>
      <c r="T1101" s="79" t="e">
        <f>IF(DbLinkTable[[#This Row],[Price/lb]]*DbLinkTable[[#This Row],[Weight]]&gt;0,DbLinkTable[[#This Row],[Price/lb]]*DbLinkTable[[#This Row],[Weight]],0)</f>
        <v>#VALUE!</v>
      </c>
      <c r="U1101" s="79" t="e">
        <f>IF(DbLinkTable[[#This Row],[Price/lb]]*DbLinkTable[[#This Row],[Weight]]&lt;0,DbLinkTable[[#This Row],[Price/lb]]*DbLinkTable[[#This Row],[Weight]],0)</f>
        <v>#VALUE!</v>
      </c>
      <c r="V1101" s="4" t="str">
        <f>IF(COUNTIF($W$2:W1101,W1101)=1,1,"")</f>
        <v/>
      </c>
      <c r="W1101" s="4" t="e">
        <f>CONCATENATE(DbLinkTable[[#This Row],[Customer]],UPPER(DbLinkTable[[#This Row],[Trailer Number]]),DbLinkTable[[#This Row],[Day Received]])</f>
        <v>#VALUE!</v>
      </c>
      <c r="X1101" s="4" t="e">
        <f>DATEVALUE(TEXT(DbLinkTable[[#This Row],[Date Received]],"MMMM YYYY"))</f>
        <v>#VALUE!</v>
      </c>
      <c r="Y1101" s="4" t="e">
        <f>INT(DbLinkTable[[#This Row],[Date Received]])</f>
        <v>#VALUE!</v>
      </c>
    </row>
    <row r="1102" spans="5:25">
      <c r="E1102"/>
      <c r="G1102"/>
      <c r="H1102"/>
      <c r="I1102"/>
      <c r="K1102"/>
      <c r="O1102"/>
      <c r="R1102"/>
      <c r="S1102" s="79" t="e">
        <f>DbLinkTable[[#This Row],[Credit]]+DbLinkTable[[#This Row],[Charge]]</f>
        <v>#VALUE!</v>
      </c>
      <c r="T1102" s="79" t="e">
        <f>IF(DbLinkTable[[#This Row],[Price/lb]]*DbLinkTable[[#This Row],[Weight]]&gt;0,DbLinkTable[[#This Row],[Price/lb]]*DbLinkTable[[#This Row],[Weight]],0)</f>
        <v>#VALUE!</v>
      </c>
      <c r="U1102" s="79" t="e">
        <f>IF(DbLinkTable[[#This Row],[Price/lb]]*DbLinkTable[[#This Row],[Weight]]&lt;0,DbLinkTable[[#This Row],[Price/lb]]*DbLinkTable[[#This Row],[Weight]],0)</f>
        <v>#VALUE!</v>
      </c>
      <c r="V1102" s="4" t="str">
        <f>IF(COUNTIF($W$2:W1102,W1102)=1,1,"")</f>
        <v/>
      </c>
      <c r="W1102" s="4" t="e">
        <f>CONCATENATE(DbLinkTable[[#This Row],[Customer]],UPPER(DbLinkTable[[#This Row],[Trailer Number]]),DbLinkTable[[#This Row],[Day Received]])</f>
        <v>#VALUE!</v>
      </c>
      <c r="X1102" s="4" t="e">
        <f>DATEVALUE(TEXT(DbLinkTable[[#This Row],[Date Received]],"MMMM YYYY"))</f>
        <v>#VALUE!</v>
      </c>
      <c r="Y1102" s="4" t="e">
        <f>INT(DbLinkTable[[#This Row],[Date Received]])</f>
        <v>#VALUE!</v>
      </c>
    </row>
    <row r="1103" spans="5:25">
      <c r="E1103"/>
      <c r="G1103"/>
      <c r="H1103"/>
      <c r="I1103"/>
      <c r="K1103"/>
      <c r="O1103"/>
      <c r="R1103"/>
      <c r="S1103" s="79" t="e">
        <f>DbLinkTable[[#This Row],[Credit]]+DbLinkTable[[#This Row],[Charge]]</f>
        <v>#VALUE!</v>
      </c>
      <c r="T1103" s="79" t="e">
        <f>IF(DbLinkTable[[#This Row],[Price/lb]]*DbLinkTable[[#This Row],[Weight]]&gt;0,DbLinkTable[[#This Row],[Price/lb]]*DbLinkTable[[#This Row],[Weight]],0)</f>
        <v>#VALUE!</v>
      </c>
      <c r="U1103" s="79" t="e">
        <f>IF(DbLinkTable[[#This Row],[Price/lb]]*DbLinkTable[[#This Row],[Weight]]&lt;0,DbLinkTable[[#This Row],[Price/lb]]*DbLinkTable[[#This Row],[Weight]],0)</f>
        <v>#VALUE!</v>
      </c>
      <c r="V1103" s="4" t="str">
        <f>IF(COUNTIF($W$2:W1103,W1103)=1,1,"")</f>
        <v/>
      </c>
      <c r="W1103" s="4" t="e">
        <f>CONCATENATE(DbLinkTable[[#This Row],[Customer]],UPPER(DbLinkTable[[#This Row],[Trailer Number]]),DbLinkTable[[#This Row],[Day Received]])</f>
        <v>#VALUE!</v>
      </c>
      <c r="X1103" s="4" t="e">
        <f>DATEVALUE(TEXT(DbLinkTable[[#This Row],[Date Received]],"MMMM YYYY"))</f>
        <v>#VALUE!</v>
      </c>
      <c r="Y1103" s="4" t="e">
        <f>INT(DbLinkTable[[#This Row],[Date Received]])</f>
        <v>#VALUE!</v>
      </c>
    </row>
    <row r="1104" spans="5:25">
      <c r="E1104"/>
      <c r="G1104"/>
      <c r="H1104"/>
      <c r="I1104"/>
      <c r="K1104"/>
      <c r="O1104"/>
      <c r="R1104"/>
      <c r="S1104" s="79" t="e">
        <f>DbLinkTable[[#This Row],[Credit]]+DbLinkTable[[#This Row],[Charge]]</f>
        <v>#VALUE!</v>
      </c>
      <c r="T1104" s="79" t="e">
        <f>IF(DbLinkTable[[#This Row],[Price/lb]]*DbLinkTable[[#This Row],[Weight]]&gt;0,DbLinkTable[[#This Row],[Price/lb]]*DbLinkTable[[#This Row],[Weight]],0)</f>
        <v>#VALUE!</v>
      </c>
      <c r="U1104" s="79" t="e">
        <f>IF(DbLinkTable[[#This Row],[Price/lb]]*DbLinkTable[[#This Row],[Weight]]&lt;0,DbLinkTable[[#This Row],[Price/lb]]*DbLinkTable[[#This Row],[Weight]],0)</f>
        <v>#VALUE!</v>
      </c>
      <c r="V1104" s="4" t="str">
        <f>IF(COUNTIF($W$2:W1104,W1104)=1,1,"")</f>
        <v/>
      </c>
      <c r="W1104" s="4" t="e">
        <f>CONCATENATE(DbLinkTable[[#This Row],[Customer]],UPPER(DbLinkTable[[#This Row],[Trailer Number]]),DbLinkTable[[#This Row],[Day Received]])</f>
        <v>#VALUE!</v>
      </c>
      <c r="X1104" s="4" t="e">
        <f>DATEVALUE(TEXT(DbLinkTable[[#This Row],[Date Received]],"MMMM YYYY"))</f>
        <v>#VALUE!</v>
      </c>
      <c r="Y1104" s="4" t="e">
        <f>INT(DbLinkTable[[#This Row],[Date Received]])</f>
        <v>#VALUE!</v>
      </c>
    </row>
    <row r="1105" spans="5:25">
      <c r="E1105"/>
      <c r="G1105"/>
      <c r="H1105"/>
      <c r="I1105"/>
      <c r="K1105"/>
      <c r="O1105"/>
      <c r="R1105"/>
      <c r="S1105" s="79" t="e">
        <f>DbLinkTable[[#This Row],[Credit]]+DbLinkTable[[#This Row],[Charge]]</f>
        <v>#VALUE!</v>
      </c>
      <c r="T1105" s="79" t="e">
        <f>IF(DbLinkTable[[#This Row],[Price/lb]]*DbLinkTable[[#This Row],[Weight]]&gt;0,DbLinkTable[[#This Row],[Price/lb]]*DbLinkTable[[#This Row],[Weight]],0)</f>
        <v>#VALUE!</v>
      </c>
      <c r="U1105" s="79" t="e">
        <f>IF(DbLinkTable[[#This Row],[Price/lb]]*DbLinkTable[[#This Row],[Weight]]&lt;0,DbLinkTable[[#This Row],[Price/lb]]*DbLinkTable[[#This Row],[Weight]],0)</f>
        <v>#VALUE!</v>
      </c>
      <c r="V1105" s="4" t="str">
        <f>IF(COUNTIF($W$2:W1105,W1105)=1,1,"")</f>
        <v/>
      </c>
      <c r="W1105" s="4" t="e">
        <f>CONCATENATE(DbLinkTable[[#This Row],[Customer]],UPPER(DbLinkTable[[#This Row],[Trailer Number]]),DbLinkTable[[#This Row],[Day Received]])</f>
        <v>#VALUE!</v>
      </c>
      <c r="X1105" s="4" t="e">
        <f>DATEVALUE(TEXT(DbLinkTable[[#This Row],[Date Received]],"MMMM YYYY"))</f>
        <v>#VALUE!</v>
      </c>
      <c r="Y1105" s="4" t="e">
        <f>INT(DbLinkTable[[#This Row],[Date Received]])</f>
        <v>#VALUE!</v>
      </c>
    </row>
    <row r="1106" spans="5:25">
      <c r="E1106"/>
      <c r="G1106"/>
      <c r="H1106"/>
      <c r="I1106"/>
      <c r="K1106"/>
      <c r="O1106"/>
      <c r="R1106"/>
      <c r="S1106" s="79" t="e">
        <f>DbLinkTable[[#This Row],[Credit]]+DbLinkTable[[#This Row],[Charge]]</f>
        <v>#VALUE!</v>
      </c>
      <c r="T1106" s="79" t="e">
        <f>IF(DbLinkTable[[#This Row],[Price/lb]]*DbLinkTable[[#This Row],[Weight]]&gt;0,DbLinkTable[[#This Row],[Price/lb]]*DbLinkTable[[#This Row],[Weight]],0)</f>
        <v>#VALUE!</v>
      </c>
      <c r="U1106" s="79" t="e">
        <f>IF(DbLinkTable[[#This Row],[Price/lb]]*DbLinkTable[[#This Row],[Weight]]&lt;0,DbLinkTable[[#This Row],[Price/lb]]*DbLinkTable[[#This Row],[Weight]],0)</f>
        <v>#VALUE!</v>
      </c>
      <c r="V1106" s="4" t="str">
        <f>IF(COUNTIF($W$2:W1106,W1106)=1,1,"")</f>
        <v/>
      </c>
      <c r="W1106" s="4" t="e">
        <f>CONCATENATE(DbLinkTable[[#This Row],[Customer]],UPPER(DbLinkTable[[#This Row],[Trailer Number]]),DbLinkTable[[#This Row],[Day Received]])</f>
        <v>#VALUE!</v>
      </c>
      <c r="X1106" s="4" t="e">
        <f>DATEVALUE(TEXT(DbLinkTable[[#This Row],[Date Received]],"MMMM YYYY"))</f>
        <v>#VALUE!</v>
      </c>
      <c r="Y1106" s="4" t="e">
        <f>INT(DbLinkTable[[#This Row],[Date Received]])</f>
        <v>#VALUE!</v>
      </c>
    </row>
    <row r="1107" spans="5:25">
      <c r="E1107"/>
      <c r="G1107"/>
      <c r="H1107"/>
      <c r="I1107"/>
      <c r="K1107"/>
      <c r="O1107"/>
      <c r="R1107"/>
      <c r="S1107" s="79" t="e">
        <f>DbLinkTable[[#This Row],[Credit]]+DbLinkTable[[#This Row],[Charge]]</f>
        <v>#VALUE!</v>
      </c>
      <c r="T1107" s="79" t="e">
        <f>IF(DbLinkTable[[#This Row],[Price/lb]]*DbLinkTable[[#This Row],[Weight]]&gt;0,DbLinkTable[[#This Row],[Price/lb]]*DbLinkTable[[#This Row],[Weight]],0)</f>
        <v>#VALUE!</v>
      </c>
      <c r="U1107" s="79" t="e">
        <f>IF(DbLinkTable[[#This Row],[Price/lb]]*DbLinkTable[[#This Row],[Weight]]&lt;0,DbLinkTable[[#This Row],[Price/lb]]*DbLinkTable[[#This Row],[Weight]],0)</f>
        <v>#VALUE!</v>
      </c>
      <c r="V1107" s="4" t="str">
        <f>IF(COUNTIF($W$2:W1107,W1107)=1,1,"")</f>
        <v/>
      </c>
      <c r="W1107" s="4" t="e">
        <f>CONCATENATE(DbLinkTable[[#This Row],[Customer]],UPPER(DbLinkTable[[#This Row],[Trailer Number]]),DbLinkTable[[#This Row],[Day Received]])</f>
        <v>#VALUE!</v>
      </c>
      <c r="X1107" s="4" t="e">
        <f>DATEVALUE(TEXT(DbLinkTable[[#This Row],[Date Received]],"MMMM YYYY"))</f>
        <v>#VALUE!</v>
      </c>
      <c r="Y1107" s="4" t="e">
        <f>INT(DbLinkTable[[#This Row],[Date Received]])</f>
        <v>#VALUE!</v>
      </c>
    </row>
    <row r="1108" spans="5:25">
      <c r="E1108"/>
      <c r="G1108"/>
      <c r="H1108"/>
      <c r="I1108"/>
      <c r="K1108"/>
      <c r="O1108"/>
      <c r="R1108"/>
      <c r="S1108" s="79" t="e">
        <f>DbLinkTable[[#This Row],[Credit]]+DbLinkTable[[#This Row],[Charge]]</f>
        <v>#VALUE!</v>
      </c>
      <c r="T1108" s="79" t="e">
        <f>IF(DbLinkTable[[#This Row],[Price/lb]]*DbLinkTable[[#This Row],[Weight]]&gt;0,DbLinkTable[[#This Row],[Price/lb]]*DbLinkTable[[#This Row],[Weight]],0)</f>
        <v>#VALUE!</v>
      </c>
      <c r="U1108" s="79" t="e">
        <f>IF(DbLinkTable[[#This Row],[Price/lb]]*DbLinkTable[[#This Row],[Weight]]&lt;0,DbLinkTable[[#This Row],[Price/lb]]*DbLinkTable[[#This Row],[Weight]],0)</f>
        <v>#VALUE!</v>
      </c>
      <c r="V1108" s="4" t="str">
        <f>IF(COUNTIF($W$2:W1108,W1108)=1,1,"")</f>
        <v/>
      </c>
      <c r="W1108" s="4" t="e">
        <f>CONCATENATE(DbLinkTable[[#This Row],[Customer]],UPPER(DbLinkTable[[#This Row],[Trailer Number]]),DbLinkTable[[#This Row],[Day Received]])</f>
        <v>#VALUE!</v>
      </c>
      <c r="X1108" s="4" t="e">
        <f>DATEVALUE(TEXT(DbLinkTable[[#This Row],[Date Received]],"MMMM YYYY"))</f>
        <v>#VALUE!</v>
      </c>
      <c r="Y1108" s="4" t="e">
        <f>INT(DbLinkTable[[#This Row],[Date Received]])</f>
        <v>#VALUE!</v>
      </c>
    </row>
    <row r="1109" spans="5:25">
      <c r="E1109"/>
      <c r="G1109"/>
      <c r="H1109"/>
      <c r="I1109"/>
      <c r="K1109"/>
      <c r="O1109"/>
      <c r="R1109"/>
      <c r="S1109" s="79" t="e">
        <f>DbLinkTable[[#This Row],[Credit]]+DbLinkTable[[#This Row],[Charge]]</f>
        <v>#VALUE!</v>
      </c>
      <c r="T1109" s="79" t="e">
        <f>IF(DbLinkTable[[#This Row],[Price/lb]]*DbLinkTable[[#This Row],[Weight]]&gt;0,DbLinkTable[[#This Row],[Price/lb]]*DbLinkTable[[#This Row],[Weight]],0)</f>
        <v>#VALUE!</v>
      </c>
      <c r="U1109" s="79" t="e">
        <f>IF(DbLinkTable[[#This Row],[Price/lb]]*DbLinkTable[[#This Row],[Weight]]&lt;0,DbLinkTable[[#This Row],[Price/lb]]*DbLinkTable[[#This Row],[Weight]],0)</f>
        <v>#VALUE!</v>
      </c>
      <c r="V1109" s="4" t="str">
        <f>IF(COUNTIF($W$2:W1109,W1109)=1,1,"")</f>
        <v/>
      </c>
      <c r="W1109" s="4" t="e">
        <f>CONCATENATE(DbLinkTable[[#This Row],[Customer]],UPPER(DbLinkTable[[#This Row],[Trailer Number]]),DbLinkTable[[#This Row],[Day Received]])</f>
        <v>#VALUE!</v>
      </c>
      <c r="X1109" s="4" t="e">
        <f>DATEVALUE(TEXT(DbLinkTable[[#This Row],[Date Received]],"MMMM YYYY"))</f>
        <v>#VALUE!</v>
      </c>
      <c r="Y1109" s="4" t="e">
        <f>INT(DbLinkTable[[#This Row],[Date Received]])</f>
        <v>#VALUE!</v>
      </c>
    </row>
    <row r="1110" spans="5:25">
      <c r="E1110"/>
      <c r="G1110"/>
      <c r="H1110"/>
      <c r="I1110"/>
      <c r="K1110"/>
      <c r="O1110"/>
      <c r="R1110"/>
      <c r="S1110" s="79" t="e">
        <f>DbLinkTable[[#This Row],[Credit]]+DbLinkTable[[#This Row],[Charge]]</f>
        <v>#VALUE!</v>
      </c>
      <c r="T1110" s="79" t="e">
        <f>IF(DbLinkTable[[#This Row],[Price/lb]]*DbLinkTable[[#This Row],[Weight]]&gt;0,DbLinkTable[[#This Row],[Price/lb]]*DbLinkTable[[#This Row],[Weight]],0)</f>
        <v>#VALUE!</v>
      </c>
      <c r="U1110" s="79" t="e">
        <f>IF(DbLinkTable[[#This Row],[Price/lb]]*DbLinkTable[[#This Row],[Weight]]&lt;0,DbLinkTable[[#This Row],[Price/lb]]*DbLinkTable[[#This Row],[Weight]],0)</f>
        <v>#VALUE!</v>
      </c>
      <c r="V1110" s="4" t="str">
        <f>IF(COUNTIF($W$2:W1110,W1110)=1,1,"")</f>
        <v/>
      </c>
      <c r="W1110" s="4" t="e">
        <f>CONCATENATE(DbLinkTable[[#This Row],[Customer]],UPPER(DbLinkTable[[#This Row],[Trailer Number]]),DbLinkTable[[#This Row],[Day Received]])</f>
        <v>#VALUE!</v>
      </c>
      <c r="X1110" s="4" t="e">
        <f>DATEVALUE(TEXT(DbLinkTable[[#This Row],[Date Received]],"MMMM YYYY"))</f>
        <v>#VALUE!</v>
      </c>
      <c r="Y1110" s="4" t="e">
        <f>INT(DbLinkTable[[#This Row],[Date Received]])</f>
        <v>#VALUE!</v>
      </c>
    </row>
    <row r="1111" spans="5:25">
      <c r="E1111"/>
      <c r="G1111"/>
      <c r="H1111"/>
      <c r="I1111"/>
      <c r="K1111"/>
      <c r="O1111"/>
      <c r="R1111"/>
      <c r="S1111" s="79" t="e">
        <f>DbLinkTable[[#This Row],[Credit]]+DbLinkTable[[#This Row],[Charge]]</f>
        <v>#VALUE!</v>
      </c>
      <c r="T1111" s="79" t="e">
        <f>IF(DbLinkTable[[#This Row],[Price/lb]]*DbLinkTable[[#This Row],[Weight]]&gt;0,DbLinkTable[[#This Row],[Price/lb]]*DbLinkTable[[#This Row],[Weight]],0)</f>
        <v>#VALUE!</v>
      </c>
      <c r="U1111" s="79" t="e">
        <f>IF(DbLinkTable[[#This Row],[Price/lb]]*DbLinkTable[[#This Row],[Weight]]&lt;0,DbLinkTable[[#This Row],[Price/lb]]*DbLinkTable[[#This Row],[Weight]],0)</f>
        <v>#VALUE!</v>
      </c>
      <c r="V1111" s="4" t="str">
        <f>IF(COUNTIF($W$2:W1111,W1111)=1,1,"")</f>
        <v/>
      </c>
      <c r="W1111" s="4" t="e">
        <f>CONCATENATE(DbLinkTable[[#This Row],[Customer]],UPPER(DbLinkTable[[#This Row],[Trailer Number]]),DbLinkTable[[#This Row],[Day Received]])</f>
        <v>#VALUE!</v>
      </c>
      <c r="X1111" s="4" t="e">
        <f>DATEVALUE(TEXT(DbLinkTable[[#This Row],[Date Received]],"MMMM YYYY"))</f>
        <v>#VALUE!</v>
      </c>
      <c r="Y1111" s="4" t="e">
        <f>INT(DbLinkTable[[#This Row],[Date Received]])</f>
        <v>#VALUE!</v>
      </c>
    </row>
    <row r="1112" spans="5:25">
      <c r="E1112"/>
      <c r="G1112"/>
      <c r="H1112"/>
      <c r="I1112"/>
      <c r="K1112"/>
      <c r="O1112"/>
      <c r="R1112"/>
      <c r="S1112" s="79" t="e">
        <f>DbLinkTable[[#This Row],[Credit]]+DbLinkTable[[#This Row],[Charge]]</f>
        <v>#VALUE!</v>
      </c>
      <c r="T1112" s="79" t="e">
        <f>IF(DbLinkTable[[#This Row],[Price/lb]]*DbLinkTable[[#This Row],[Weight]]&gt;0,DbLinkTable[[#This Row],[Price/lb]]*DbLinkTable[[#This Row],[Weight]],0)</f>
        <v>#VALUE!</v>
      </c>
      <c r="U1112" s="79" t="e">
        <f>IF(DbLinkTable[[#This Row],[Price/lb]]*DbLinkTable[[#This Row],[Weight]]&lt;0,DbLinkTable[[#This Row],[Price/lb]]*DbLinkTable[[#This Row],[Weight]],0)</f>
        <v>#VALUE!</v>
      </c>
      <c r="V1112" s="4" t="str">
        <f>IF(COUNTIF($W$2:W1112,W1112)=1,1,"")</f>
        <v/>
      </c>
      <c r="W1112" s="4" t="e">
        <f>CONCATENATE(DbLinkTable[[#This Row],[Customer]],UPPER(DbLinkTable[[#This Row],[Trailer Number]]),DbLinkTable[[#This Row],[Day Received]])</f>
        <v>#VALUE!</v>
      </c>
      <c r="X1112" s="4" t="e">
        <f>DATEVALUE(TEXT(DbLinkTable[[#This Row],[Date Received]],"MMMM YYYY"))</f>
        <v>#VALUE!</v>
      </c>
      <c r="Y1112" s="4" t="e">
        <f>INT(DbLinkTable[[#This Row],[Date Received]])</f>
        <v>#VALUE!</v>
      </c>
    </row>
    <row r="1113" spans="5:25">
      <c r="E1113"/>
      <c r="G1113"/>
      <c r="H1113"/>
      <c r="I1113"/>
      <c r="K1113"/>
      <c r="O1113"/>
      <c r="R1113"/>
      <c r="S1113" s="79" t="e">
        <f>DbLinkTable[[#This Row],[Credit]]+DbLinkTable[[#This Row],[Charge]]</f>
        <v>#VALUE!</v>
      </c>
      <c r="T1113" s="79" t="e">
        <f>IF(DbLinkTable[[#This Row],[Price/lb]]*DbLinkTable[[#This Row],[Weight]]&gt;0,DbLinkTable[[#This Row],[Price/lb]]*DbLinkTable[[#This Row],[Weight]],0)</f>
        <v>#VALUE!</v>
      </c>
      <c r="U1113" s="79" t="e">
        <f>IF(DbLinkTable[[#This Row],[Price/lb]]*DbLinkTable[[#This Row],[Weight]]&lt;0,DbLinkTable[[#This Row],[Price/lb]]*DbLinkTable[[#This Row],[Weight]],0)</f>
        <v>#VALUE!</v>
      </c>
      <c r="V1113" s="4" t="str">
        <f>IF(COUNTIF($W$2:W1113,W1113)=1,1,"")</f>
        <v/>
      </c>
      <c r="W1113" s="4" t="e">
        <f>CONCATENATE(DbLinkTable[[#This Row],[Customer]],UPPER(DbLinkTable[[#This Row],[Trailer Number]]),DbLinkTable[[#This Row],[Day Received]])</f>
        <v>#VALUE!</v>
      </c>
      <c r="X1113" s="4" t="e">
        <f>DATEVALUE(TEXT(DbLinkTable[[#This Row],[Date Received]],"MMMM YYYY"))</f>
        <v>#VALUE!</v>
      </c>
      <c r="Y1113" s="4" t="e">
        <f>INT(DbLinkTable[[#This Row],[Date Received]])</f>
        <v>#VALUE!</v>
      </c>
    </row>
    <row r="1114" spans="5:25">
      <c r="E1114"/>
      <c r="G1114"/>
      <c r="H1114"/>
      <c r="I1114"/>
      <c r="K1114"/>
      <c r="O1114"/>
      <c r="R1114"/>
      <c r="S1114" s="79" t="e">
        <f>DbLinkTable[[#This Row],[Credit]]+DbLinkTable[[#This Row],[Charge]]</f>
        <v>#VALUE!</v>
      </c>
      <c r="T1114" s="79" t="e">
        <f>IF(DbLinkTable[[#This Row],[Price/lb]]*DbLinkTable[[#This Row],[Weight]]&gt;0,DbLinkTable[[#This Row],[Price/lb]]*DbLinkTable[[#This Row],[Weight]],0)</f>
        <v>#VALUE!</v>
      </c>
      <c r="U1114" s="79" t="e">
        <f>IF(DbLinkTable[[#This Row],[Price/lb]]*DbLinkTable[[#This Row],[Weight]]&lt;0,DbLinkTable[[#This Row],[Price/lb]]*DbLinkTable[[#This Row],[Weight]],0)</f>
        <v>#VALUE!</v>
      </c>
      <c r="V1114" s="4" t="str">
        <f>IF(COUNTIF($W$2:W1114,W1114)=1,1,"")</f>
        <v/>
      </c>
      <c r="W1114" s="4" t="e">
        <f>CONCATENATE(DbLinkTable[[#This Row],[Customer]],UPPER(DbLinkTable[[#This Row],[Trailer Number]]),DbLinkTable[[#This Row],[Day Received]])</f>
        <v>#VALUE!</v>
      </c>
      <c r="X1114" s="4" t="e">
        <f>DATEVALUE(TEXT(DbLinkTable[[#This Row],[Date Received]],"MMMM YYYY"))</f>
        <v>#VALUE!</v>
      </c>
      <c r="Y1114" s="4" t="e">
        <f>INT(DbLinkTable[[#This Row],[Date Received]])</f>
        <v>#VALUE!</v>
      </c>
    </row>
    <row r="1115" spans="5:25">
      <c r="E1115"/>
      <c r="G1115"/>
      <c r="H1115"/>
      <c r="I1115"/>
      <c r="K1115"/>
      <c r="O1115"/>
      <c r="R1115"/>
      <c r="S1115" s="79" t="e">
        <f>DbLinkTable[[#This Row],[Credit]]+DbLinkTable[[#This Row],[Charge]]</f>
        <v>#VALUE!</v>
      </c>
      <c r="T1115" s="79" t="e">
        <f>IF(DbLinkTable[[#This Row],[Price/lb]]*DbLinkTable[[#This Row],[Weight]]&gt;0,DbLinkTable[[#This Row],[Price/lb]]*DbLinkTable[[#This Row],[Weight]],0)</f>
        <v>#VALUE!</v>
      </c>
      <c r="U1115" s="79" t="e">
        <f>IF(DbLinkTable[[#This Row],[Price/lb]]*DbLinkTable[[#This Row],[Weight]]&lt;0,DbLinkTable[[#This Row],[Price/lb]]*DbLinkTable[[#This Row],[Weight]],0)</f>
        <v>#VALUE!</v>
      </c>
      <c r="V1115" s="4" t="str">
        <f>IF(COUNTIF($W$2:W1115,W1115)=1,1,"")</f>
        <v/>
      </c>
      <c r="W1115" s="4" t="e">
        <f>CONCATENATE(DbLinkTable[[#This Row],[Customer]],UPPER(DbLinkTable[[#This Row],[Trailer Number]]),DbLinkTable[[#This Row],[Day Received]])</f>
        <v>#VALUE!</v>
      </c>
      <c r="X1115" s="4" t="e">
        <f>DATEVALUE(TEXT(DbLinkTable[[#This Row],[Date Received]],"MMMM YYYY"))</f>
        <v>#VALUE!</v>
      </c>
      <c r="Y1115" s="4" t="e">
        <f>INT(DbLinkTable[[#This Row],[Date Received]])</f>
        <v>#VALUE!</v>
      </c>
    </row>
    <row r="1116" spans="5:25">
      <c r="E1116"/>
      <c r="G1116"/>
      <c r="H1116"/>
      <c r="I1116"/>
      <c r="K1116"/>
      <c r="O1116"/>
      <c r="R1116"/>
      <c r="S1116" s="79" t="e">
        <f>DbLinkTable[[#This Row],[Credit]]+DbLinkTable[[#This Row],[Charge]]</f>
        <v>#VALUE!</v>
      </c>
      <c r="T1116" s="79" t="e">
        <f>IF(DbLinkTable[[#This Row],[Price/lb]]*DbLinkTable[[#This Row],[Weight]]&gt;0,DbLinkTable[[#This Row],[Price/lb]]*DbLinkTable[[#This Row],[Weight]],0)</f>
        <v>#VALUE!</v>
      </c>
      <c r="U1116" s="79" t="e">
        <f>IF(DbLinkTable[[#This Row],[Price/lb]]*DbLinkTable[[#This Row],[Weight]]&lt;0,DbLinkTable[[#This Row],[Price/lb]]*DbLinkTable[[#This Row],[Weight]],0)</f>
        <v>#VALUE!</v>
      </c>
      <c r="V1116" s="4" t="str">
        <f>IF(COUNTIF($W$2:W1116,W1116)=1,1,"")</f>
        <v/>
      </c>
      <c r="W1116" s="4" t="e">
        <f>CONCATENATE(DbLinkTable[[#This Row],[Customer]],UPPER(DbLinkTable[[#This Row],[Trailer Number]]),DbLinkTable[[#This Row],[Day Received]])</f>
        <v>#VALUE!</v>
      </c>
      <c r="X1116" s="4" t="e">
        <f>DATEVALUE(TEXT(DbLinkTable[[#This Row],[Date Received]],"MMMM YYYY"))</f>
        <v>#VALUE!</v>
      </c>
      <c r="Y1116" s="4" t="e">
        <f>INT(DbLinkTable[[#This Row],[Date Received]])</f>
        <v>#VALUE!</v>
      </c>
    </row>
    <row r="1117" spans="5:25">
      <c r="E1117"/>
      <c r="G1117"/>
      <c r="H1117"/>
      <c r="I1117"/>
      <c r="K1117"/>
      <c r="O1117"/>
      <c r="R1117"/>
      <c r="S1117" s="79" t="e">
        <f>DbLinkTable[[#This Row],[Credit]]+DbLinkTable[[#This Row],[Charge]]</f>
        <v>#VALUE!</v>
      </c>
      <c r="T1117" s="79" t="e">
        <f>IF(DbLinkTable[[#This Row],[Price/lb]]*DbLinkTable[[#This Row],[Weight]]&gt;0,DbLinkTable[[#This Row],[Price/lb]]*DbLinkTable[[#This Row],[Weight]],0)</f>
        <v>#VALUE!</v>
      </c>
      <c r="U1117" s="79" t="e">
        <f>IF(DbLinkTable[[#This Row],[Price/lb]]*DbLinkTable[[#This Row],[Weight]]&lt;0,DbLinkTable[[#This Row],[Price/lb]]*DbLinkTable[[#This Row],[Weight]],0)</f>
        <v>#VALUE!</v>
      </c>
      <c r="V1117" s="4" t="str">
        <f>IF(COUNTIF($W$2:W1117,W1117)=1,1,"")</f>
        <v/>
      </c>
      <c r="W1117" s="4" t="e">
        <f>CONCATENATE(DbLinkTable[[#This Row],[Customer]],UPPER(DbLinkTable[[#This Row],[Trailer Number]]),DbLinkTable[[#This Row],[Day Received]])</f>
        <v>#VALUE!</v>
      </c>
      <c r="X1117" s="4" t="e">
        <f>DATEVALUE(TEXT(DbLinkTable[[#This Row],[Date Received]],"MMMM YYYY"))</f>
        <v>#VALUE!</v>
      </c>
      <c r="Y1117" s="4" t="e">
        <f>INT(DbLinkTable[[#This Row],[Date Received]])</f>
        <v>#VALUE!</v>
      </c>
    </row>
    <row r="1118" spans="5:25">
      <c r="E1118"/>
      <c r="G1118"/>
      <c r="H1118"/>
      <c r="I1118"/>
      <c r="K1118"/>
      <c r="O1118"/>
      <c r="R1118"/>
      <c r="S1118" s="79" t="e">
        <f>DbLinkTable[[#This Row],[Credit]]+DbLinkTable[[#This Row],[Charge]]</f>
        <v>#VALUE!</v>
      </c>
      <c r="T1118" s="79" t="e">
        <f>IF(DbLinkTable[[#This Row],[Price/lb]]*DbLinkTable[[#This Row],[Weight]]&gt;0,DbLinkTable[[#This Row],[Price/lb]]*DbLinkTable[[#This Row],[Weight]],0)</f>
        <v>#VALUE!</v>
      </c>
      <c r="U1118" s="79" t="e">
        <f>IF(DbLinkTable[[#This Row],[Price/lb]]*DbLinkTable[[#This Row],[Weight]]&lt;0,DbLinkTable[[#This Row],[Price/lb]]*DbLinkTable[[#This Row],[Weight]],0)</f>
        <v>#VALUE!</v>
      </c>
      <c r="V1118" s="4" t="str">
        <f>IF(COUNTIF($W$2:W1118,W1118)=1,1,"")</f>
        <v/>
      </c>
      <c r="W1118" s="4" t="e">
        <f>CONCATENATE(DbLinkTable[[#This Row],[Customer]],UPPER(DbLinkTable[[#This Row],[Trailer Number]]),DbLinkTable[[#This Row],[Day Received]])</f>
        <v>#VALUE!</v>
      </c>
      <c r="X1118" s="4" t="e">
        <f>DATEVALUE(TEXT(DbLinkTable[[#This Row],[Date Received]],"MMMM YYYY"))</f>
        <v>#VALUE!</v>
      </c>
      <c r="Y1118" s="4" t="e">
        <f>INT(DbLinkTable[[#This Row],[Date Received]])</f>
        <v>#VALUE!</v>
      </c>
    </row>
    <row r="1119" spans="5:25">
      <c r="E1119"/>
      <c r="G1119"/>
      <c r="H1119"/>
      <c r="I1119"/>
      <c r="K1119"/>
      <c r="O1119"/>
      <c r="R1119"/>
      <c r="S1119" s="79" t="e">
        <f>DbLinkTable[[#This Row],[Credit]]+DbLinkTable[[#This Row],[Charge]]</f>
        <v>#VALUE!</v>
      </c>
      <c r="T1119" s="79" t="e">
        <f>IF(DbLinkTable[[#This Row],[Price/lb]]*DbLinkTable[[#This Row],[Weight]]&gt;0,DbLinkTable[[#This Row],[Price/lb]]*DbLinkTable[[#This Row],[Weight]],0)</f>
        <v>#VALUE!</v>
      </c>
      <c r="U1119" s="79" t="e">
        <f>IF(DbLinkTable[[#This Row],[Price/lb]]*DbLinkTable[[#This Row],[Weight]]&lt;0,DbLinkTable[[#This Row],[Price/lb]]*DbLinkTable[[#This Row],[Weight]],0)</f>
        <v>#VALUE!</v>
      </c>
      <c r="V1119" s="4" t="str">
        <f>IF(COUNTIF($W$2:W1119,W1119)=1,1,"")</f>
        <v/>
      </c>
      <c r="W1119" s="4" t="e">
        <f>CONCATENATE(DbLinkTable[[#This Row],[Customer]],UPPER(DbLinkTable[[#This Row],[Trailer Number]]),DbLinkTable[[#This Row],[Day Received]])</f>
        <v>#VALUE!</v>
      </c>
      <c r="X1119" s="4" t="e">
        <f>DATEVALUE(TEXT(DbLinkTable[[#This Row],[Date Received]],"MMMM YYYY"))</f>
        <v>#VALUE!</v>
      </c>
      <c r="Y1119" s="4" t="e">
        <f>INT(DbLinkTable[[#This Row],[Date Received]])</f>
        <v>#VALUE!</v>
      </c>
    </row>
    <row r="1120" spans="5:25">
      <c r="E1120"/>
      <c r="G1120"/>
      <c r="H1120"/>
      <c r="I1120"/>
      <c r="K1120"/>
      <c r="O1120"/>
      <c r="R1120"/>
      <c r="S1120" s="79" t="e">
        <f>DbLinkTable[[#This Row],[Credit]]+DbLinkTable[[#This Row],[Charge]]</f>
        <v>#VALUE!</v>
      </c>
      <c r="T1120" s="79" t="e">
        <f>IF(DbLinkTable[[#This Row],[Price/lb]]*DbLinkTable[[#This Row],[Weight]]&gt;0,DbLinkTable[[#This Row],[Price/lb]]*DbLinkTable[[#This Row],[Weight]],0)</f>
        <v>#VALUE!</v>
      </c>
      <c r="U1120" s="79" t="e">
        <f>IF(DbLinkTable[[#This Row],[Price/lb]]*DbLinkTable[[#This Row],[Weight]]&lt;0,DbLinkTable[[#This Row],[Price/lb]]*DbLinkTable[[#This Row],[Weight]],0)</f>
        <v>#VALUE!</v>
      </c>
      <c r="V1120" s="4" t="str">
        <f>IF(COUNTIF($W$2:W1120,W1120)=1,1,"")</f>
        <v/>
      </c>
      <c r="W1120" s="4" t="e">
        <f>CONCATENATE(DbLinkTable[[#This Row],[Customer]],UPPER(DbLinkTable[[#This Row],[Trailer Number]]),DbLinkTable[[#This Row],[Day Received]])</f>
        <v>#VALUE!</v>
      </c>
      <c r="X1120" s="4" t="e">
        <f>DATEVALUE(TEXT(DbLinkTable[[#This Row],[Date Received]],"MMMM YYYY"))</f>
        <v>#VALUE!</v>
      </c>
      <c r="Y1120" s="4" t="e">
        <f>INT(DbLinkTable[[#This Row],[Date Received]])</f>
        <v>#VALUE!</v>
      </c>
    </row>
    <row r="1121" spans="5:25">
      <c r="E1121"/>
      <c r="G1121"/>
      <c r="H1121"/>
      <c r="I1121"/>
      <c r="K1121"/>
      <c r="O1121"/>
      <c r="R1121"/>
      <c r="S1121" s="79" t="e">
        <f>DbLinkTable[[#This Row],[Credit]]+DbLinkTable[[#This Row],[Charge]]</f>
        <v>#VALUE!</v>
      </c>
      <c r="T1121" s="79" t="e">
        <f>IF(DbLinkTable[[#This Row],[Price/lb]]*DbLinkTable[[#This Row],[Weight]]&gt;0,DbLinkTable[[#This Row],[Price/lb]]*DbLinkTable[[#This Row],[Weight]],0)</f>
        <v>#VALUE!</v>
      </c>
      <c r="U1121" s="79" t="e">
        <f>IF(DbLinkTable[[#This Row],[Price/lb]]*DbLinkTable[[#This Row],[Weight]]&lt;0,DbLinkTable[[#This Row],[Price/lb]]*DbLinkTable[[#This Row],[Weight]],0)</f>
        <v>#VALUE!</v>
      </c>
      <c r="V1121" s="4" t="str">
        <f>IF(COUNTIF($W$2:W1121,W1121)=1,1,"")</f>
        <v/>
      </c>
      <c r="W1121" s="4" t="e">
        <f>CONCATENATE(DbLinkTable[[#This Row],[Customer]],UPPER(DbLinkTable[[#This Row],[Trailer Number]]),DbLinkTable[[#This Row],[Day Received]])</f>
        <v>#VALUE!</v>
      </c>
      <c r="X1121" s="4" t="e">
        <f>DATEVALUE(TEXT(DbLinkTable[[#This Row],[Date Received]],"MMMM YYYY"))</f>
        <v>#VALUE!</v>
      </c>
      <c r="Y1121" s="4" t="e">
        <f>INT(DbLinkTable[[#This Row],[Date Received]])</f>
        <v>#VALUE!</v>
      </c>
    </row>
    <row r="1122" spans="5:25">
      <c r="E1122"/>
      <c r="G1122"/>
      <c r="H1122"/>
      <c r="I1122"/>
      <c r="K1122"/>
      <c r="O1122"/>
      <c r="R1122"/>
      <c r="S1122" s="79" t="e">
        <f>DbLinkTable[[#This Row],[Credit]]+DbLinkTable[[#This Row],[Charge]]</f>
        <v>#VALUE!</v>
      </c>
      <c r="T1122" s="79" t="e">
        <f>IF(DbLinkTable[[#This Row],[Price/lb]]*DbLinkTable[[#This Row],[Weight]]&gt;0,DbLinkTable[[#This Row],[Price/lb]]*DbLinkTable[[#This Row],[Weight]],0)</f>
        <v>#VALUE!</v>
      </c>
      <c r="U1122" s="79" t="e">
        <f>IF(DbLinkTable[[#This Row],[Price/lb]]*DbLinkTable[[#This Row],[Weight]]&lt;0,DbLinkTable[[#This Row],[Price/lb]]*DbLinkTable[[#This Row],[Weight]],0)</f>
        <v>#VALUE!</v>
      </c>
      <c r="V1122" s="4" t="str">
        <f>IF(COUNTIF($W$2:W1122,W1122)=1,1,"")</f>
        <v/>
      </c>
      <c r="W1122" s="4" t="e">
        <f>CONCATENATE(DbLinkTable[[#This Row],[Customer]],UPPER(DbLinkTable[[#This Row],[Trailer Number]]),DbLinkTable[[#This Row],[Day Received]])</f>
        <v>#VALUE!</v>
      </c>
      <c r="X1122" s="4" t="e">
        <f>DATEVALUE(TEXT(DbLinkTable[[#This Row],[Date Received]],"MMMM YYYY"))</f>
        <v>#VALUE!</v>
      </c>
      <c r="Y1122" s="4" t="e">
        <f>INT(DbLinkTable[[#This Row],[Date Received]])</f>
        <v>#VALUE!</v>
      </c>
    </row>
    <row r="1123" spans="5:25">
      <c r="E1123"/>
      <c r="G1123"/>
      <c r="H1123"/>
      <c r="I1123"/>
      <c r="K1123"/>
      <c r="O1123"/>
      <c r="R1123"/>
      <c r="S1123" s="79" t="e">
        <f>DbLinkTable[[#This Row],[Credit]]+DbLinkTable[[#This Row],[Charge]]</f>
        <v>#VALUE!</v>
      </c>
      <c r="T1123" s="79" t="e">
        <f>IF(DbLinkTable[[#This Row],[Price/lb]]*DbLinkTable[[#This Row],[Weight]]&gt;0,DbLinkTable[[#This Row],[Price/lb]]*DbLinkTable[[#This Row],[Weight]],0)</f>
        <v>#VALUE!</v>
      </c>
      <c r="U1123" s="79" t="e">
        <f>IF(DbLinkTable[[#This Row],[Price/lb]]*DbLinkTable[[#This Row],[Weight]]&lt;0,DbLinkTable[[#This Row],[Price/lb]]*DbLinkTable[[#This Row],[Weight]],0)</f>
        <v>#VALUE!</v>
      </c>
      <c r="V1123" s="4" t="str">
        <f>IF(COUNTIF($W$2:W1123,W1123)=1,1,"")</f>
        <v/>
      </c>
      <c r="W1123" s="4" t="e">
        <f>CONCATENATE(DbLinkTable[[#This Row],[Customer]],UPPER(DbLinkTable[[#This Row],[Trailer Number]]),DbLinkTable[[#This Row],[Day Received]])</f>
        <v>#VALUE!</v>
      </c>
      <c r="X1123" s="4" t="e">
        <f>DATEVALUE(TEXT(DbLinkTable[[#This Row],[Date Received]],"MMMM YYYY"))</f>
        <v>#VALUE!</v>
      </c>
      <c r="Y1123" s="4" t="e">
        <f>INT(DbLinkTable[[#This Row],[Date Received]])</f>
        <v>#VALUE!</v>
      </c>
    </row>
    <row r="1124" spans="5:25">
      <c r="E1124"/>
      <c r="G1124"/>
      <c r="H1124"/>
      <c r="I1124"/>
      <c r="K1124"/>
      <c r="O1124"/>
      <c r="R1124"/>
      <c r="S1124" s="79" t="e">
        <f>DbLinkTable[[#This Row],[Credit]]+DbLinkTable[[#This Row],[Charge]]</f>
        <v>#VALUE!</v>
      </c>
      <c r="T1124" s="79" t="e">
        <f>IF(DbLinkTable[[#This Row],[Price/lb]]*DbLinkTable[[#This Row],[Weight]]&gt;0,DbLinkTable[[#This Row],[Price/lb]]*DbLinkTable[[#This Row],[Weight]],0)</f>
        <v>#VALUE!</v>
      </c>
      <c r="U1124" s="79" t="e">
        <f>IF(DbLinkTable[[#This Row],[Price/lb]]*DbLinkTable[[#This Row],[Weight]]&lt;0,DbLinkTable[[#This Row],[Price/lb]]*DbLinkTable[[#This Row],[Weight]],0)</f>
        <v>#VALUE!</v>
      </c>
      <c r="V1124" s="4" t="str">
        <f>IF(COUNTIF($W$2:W1124,W1124)=1,1,"")</f>
        <v/>
      </c>
      <c r="W1124" s="4" t="e">
        <f>CONCATENATE(DbLinkTable[[#This Row],[Customer]],UPPER(DbLinkTable[[#This Row],[Trailer Number]]),DbLinkTable[[#This Row],[Day Received]])</f>
        <v>#VALUE!</v>
      </c>
      <c r="X1124" s="4" t="e">
        <f>DATEVALUE(TEXT(DbLinkTable[[#This Row],[Date Received]],"MMMM YYYY"))</f>
        <v>#VALUE!</v>
      </c>
      <c r="Y1124" s="4" t="e">
        <f>INT(DbLinkTable[[#This Row],[Date Received]])</f>
        <v>#VALUE!</v>
      </c>
    </row>
    <row r="1125" spans="5:25">
      <c r="E1125"/>
      <c r="G1125"/>
      <c r="H1125"/>
      <c r="I1125"/>
      <c r="K1125"/>
      <c r="O1125"/>
      <c r="R1125"/>
      <c r="S1125" s="79" t="e">
        <f>DbLinkTable[[#This Row],[Credit]]+DbLinkTable[[#This Row],[Charge]]</f>
        <v>#VALUE!</v>
      </c>
      <c r="T1125" s="79" t="e">
        <f>IF(DbLinkTable[[#This Row],[Price/lb]]*DbLinkTable[[#This Row],[Weight]]&gt;0,DbLinkTable[[#This Row],[Price/lb]]*DbLinkTable[[#This Row],[Weight]],0)</f>
        <v>#VALUE!</v>
      </c>
      <c r="U1125" s="79" t="e">
        <f>IF(DbLinkTable[[#This Row],[Price/lb]]*DbLinkTable[[#This Row],[Weight]]&lt;0,DbLinkTable[[#This Row],[Price/lb]]*DbLinkTable[[#This Row],[Weight]],0)</f>
        <v>#VALUE!</v>
      </c>
      <c r="V1125" s="4" t="str">
        <f>IF(COUNTIF($W$2:W1125,W1125)=1,1,"")</f>
        <v/>
      </c>
      <c r="W1125" s="4" t="e">
        <f>CONCATENATE(DbLinkTable[[#This Row],[Customer]],UPPER(DbLinkTable[[#This Row],[Trailer Number]]),DbLinkTable[[#This Row],[Day Received]])</f>
        <v>#VALUE!</v>
      </c>
      <c r="X1125" s="4" t="e">
        <f>DATEVALUE(TEXT(DbLinkTable[[#This Row],[Date Received]],"MMMM YYYY"))</f>
        <v>#VALUE!</v>
      </c>
      <c r="Y1125" s="4" t="e">
        <f>INT(DbLinkTable[[#This Row],[Date Received]])</f>
        <v>#VALUE!</v>
      </c>
    </row>
    <row r="1126" spans="5:25">
      <c r="E1126"/>
      <c r="G1126"/>
      <c r="H1126"/>
      <c r="I1126"/>
      <c r="K1126"/>
      <c r="O1126"/>
      <c r="R1126"/>
      <c r="S1126" s="79" t="e">
        <f>DbLinkTable[[#This Row],[Credit]]+DbLinkTable[[#This Row],[Charge]]</f>
        <v>#VALUE!</v>
      </c>
      <c r="T1126" s="79" t="e">
        <f>IF(DbLinkTable[[#This Row],[Price/lb]]*DbLinkTable[[#This Row],[Weight]]&gt;0,DbLinkTable[[#This Row],[Price/lb]]*DbLinkTable[[#This Row],[Weight]],0)</f>
        <v>#VALUE!</v>
      </c>
      <c r="U1126" s="79" t="e">
        <f>IF(DbLinkTable[[#This Row],[Price/lb]]*DbLinkTable[[#This Row],[Weight]]&lt;0,DbLinkTable[[#This Row],[Price/lb]]*DbLinkTable[[#This Row],[Weight]],0)</f>
        <v>#VALUE!</v>
      </c>
      <c r="V1126" s="4" t="str">
        <f>IF(COUNTIF($W$2:W1126,W1126)=1,1,"")</f>
        <v/>
      </c>
      <c r="W1126" s="4" t="e">
        <f>CONCATENATE(DbLinkTable[[#This Row],[Customer]],UPPER(DbLinkTable[[#This Row],[Trailer Number]]),DbLinkTable[[#This Row],[Day Received]])</f>
        <v>#VALUE!</v>
      </c>
      <c r="X1126" s="4" t="e">
        <f>DATEVALUE(TEXT(DbLinkTable[[#This Row],[Date Received]],"MMMM YYYY"))</f>
        <v>#VALUE!</v>
      </c>
      <c r="Y1126" s="4" t="e">
        <f>INT(DbLinkTable[[#This Row],[Date Received]])</f>
        <v>#VALUE!</v>
      </c>
    </row>
    <row r="1127" spans="5:25">
      <c r="E1127"/>
      <c r="G1127"/>
      <c r="H1127"/>
      <c r="I1127"/>
      <c r="K1127"/>
      <c r="O1127"/>
      <c r="R1127"/>
      <c r="S1127" s="79" t="e">
        <f>DbLinkTable[[#This Row],[Credit]]+DbLinkTable[[#This Row],[Charge]]</f>
        <v>#VALUE!</v>
      </c>
      <c r="T1127" s="79" t="e">
        <f>IF(DbLinkTable[[#This Row],[Price/lb]]*DbLinkTable[[#This Row],[Weight]]&gt;0,DbLinkTable[[#This Row],[Price/lb]]*DbLinkTable[[#This Row],[Weight]],0)</f>
        <v>#VALUE!</v>
      </c>
      <c r="U1127" s="79" t="e">
        <f>IF(DbLinkTable[[#This Row],[Price/lb]]*DbLinkTable[[#This Row],[Weight]]&lt;0,DbLinkTable[[#This Row],[Price/lb]]*DbLinkTable[[#This Row],[Weight]],0)</f>
        <v>#VALUE!</v>
      </c>
      <c r="V1127" s="4" t="str">
        <f>IF(COUNTIF($W$2:W1127,W1127)=1,1,"")</f>
        <v/>
      </c>
      <c r="W1127" s="4" t="e">
        <f>CONCATENATE(DbLinkTable[[#This Row],[Customer]],UPPER(DbLinkTable[[#This Row],[Trailer Number]]),DbLinkTable[[#This Row],[Day Received]])</f>
        <v>#VALUE!</v>
      </c>
      <c r="X1127" s="4" t="e">
        <f>DATEVALUE(TEXT(DbLinkTable[[#This Row],[Date Received]],"MMMM YYYY"))</f>
        <v>#VALUE!</v>
      </c>
      <c r="Y1127" s="4" t="e">
        <f>INT(DbLinkTable[[#This Row],[Date Received]])</f>
        <v>#VALUE!</v>
      </c>
    </row>
    <row r="1128" spans="5:25">
      <c r="E1128"/>
      <c r="G1128"/>
      <c r="H1128"/>
      <c r="I1128"/>
      <c r="K1128"/>
      <c r="O1128"/>
      <c r="R1128"/>
      <c r="S1128" s="79" t="e">
        <f>DbLinkTable[[#This Row],[Credit]]+DbLinkTable[[#This Row],[Charge]]</f>
        <v>#VALUE!</v>
      </c>
      <c r="T1128" s="79" t="e">
        <f>IF(DbLinkTable[[#This Row],[Price/lb]]*DbLinkTable[[#This Row],[Weight]]&gt;0,DbLinkTable[[#This Row],[Price/lb]]*DbLinkTable[[#This Row],[Weight]],0)</f>
        <v>#VALUE!</v>
      </c>
      <c r="U1128" s="79" t="e">
        <f>IF(DbLinkTable[[#This Row],[Price/lb]]*DbLinkTable[[#This Row],[Weight]]&lt;0,DbLinkTable[[#This Row],[Price/lb]]*DbLinkTable[[#This Row],[Weight]],0)</f>
        <v>#VALUE!</v>
      </c>
      <c r="V1128" s="4" t="str">
        <f>IF(COUNTIF($W$2:W1128,W1128)=1,1,"")</f>
        <v/>
      </c>
      <c r="W1128" s="4" t="e">
        <f>CONCATENATE(DbLinkTable[[#This Row],[Customer]],UPPER(DbLinkTable[[#This Row],[Trailer Number]]),DbLinkTable[[#This Row],[Day Received]])</f>
        <v>#VALUE!</v>
      </c>
      <c r="X1128" s="4" t="e">
        <f>DATEVALUE(TEXT(DbLinkTable[[#This Row],[Date Received]],"MMMM YYYY"))</f>
        <v>#VALUE!</v>
      </c>
      <c r="Y1128" s="4" t="e">
        <f>INT(DbLinkTable[[#This Row],[Date Received]])</f>
        <v>#VALUE!</v>
      </c>
    </row>
    <row r="1129" spans="5:25">
      <c r="E1129"/>
      <c r="G1129"/>
      <c r="H1129"/>
      <c r="I1129"/>
      <c r="K1129"/>
      <c r="O1129"/>
      <c r="R1129"/>
      <c r="S1129" s="79" t="e">
        <f>DbLinkTable[[#This Row],[Credit]]+DbLinkTable[[#This Row],[Charge]]</f>
        <v>#VALUE!</v>
      </c>
      <c r="T1129" s="79" t="e">
        <f>IF(DbLinkTable[[#This Row],[Price/lb]]*DbLinkTable[[#This Row],[Weight]]&gt;0,DbLinkTable[[#This Row],[Price/lb]]*DbLinkTable[[#This Row],[Weight]],0)</f>
        <v>#VALUE!</v>
      </c>
      <c r="U1129" s="79" t="e">
        <f>IF(DbLinkTable[[#This Row],[Price/lb]]*DbLinkTable[[#This Row],[Weight]]&lt;0,DbLinkTable[[#This Row],[Price/lb]]*DbLinkTable[[#This Row],[Weight]],0)</f>
        <v>#VALUE!</v>
      </c>
      <c r="V1129" s="4" t="str">
        <f>IF(COUNTIF($W$2:W1129,W1129)=1,1,"")</f>
        <v/>
      </c>
      <c r="W1129" s="4" t="e">
        <f>CONCATENATE(DbLinkTable[[#This Row],[Customer]],UPPER(DbLinkTable[[#This Row],[Trailer Number]]),DbLinkTable[[#This Row],[Day Received]])</f>
        <v>#VALUE!</v>
      </c>
      <c r="X1129" s="4" t="e">
        <f>DATEVALUE(TEXT(DbLinkTable[[#This Row],[Date Received]],"MMMM YYYY"))</f>
        <v>#VALUE!</v>
      </c>
      <c r="Y1129" s="4" t="e">
        <f>INT(DbLinkTable[[#This Row],[Date Received]])</f>
        <v>#VALUE!</v>
      </c>
    </row>
    <row r="1130" spans="5:25">
      <c r="E1130"/>
      <c r="G1130"/>
      <c r="H1130"/>
      <c r="I1130"/>
      <c r="K1130"/>
      <c r="O1130"/>
      <c r="R1130"/>
      <c r="S1130" s="79" t="e">
        <f>DbLinkTable[[#This Row],[Credit]]+DbLinkTable[[#This Row],[Charge]]</f>
        <v>#VALUE!</v>
      </c>
      <c r="T1130" s="79" t="e">
        <f>IF(DbLinkTable[[#This Row],[Price/lb]]*DbLinkTable[[#This Row],[Weight]]&gt;0,DbLinkTable[[#This Row],[Price/lb]]*DbLinkTable[[#This Row],[Weight]],0)</f>
        <v>#VALUE!</v>
      </c>
      <c r="U1130" s="79" t="e">
        <f>IF(DbLinkTable[[#This Row],[Price/lb]]*DbLinkTable[[#This Row],[Weight]]&lt;0,DbLinkTable[[#This Row],[Price/lb]]*DbLinkTable[[#This Row],[Weight]],0)</f>
        <v>#VALUE!</v>
      </c>
      <c r="V1130" s="4" t="str">
        <f>IF(COUNTIF($W$2:W1130,W1130)=1,1,"")</f>
        <v/>
      </c>
      <c r="W1130" s="4" t="e">
        <f>CONCATENATE(DbLinkTable[[#This Row],[Customer]],UPPER(DbLinkTable[[#This Row],[Trailer Number]]),DbLinkTable[[#This Row],[Day Received]])</f>
        <v>#VALUE!</v>
      </c>
      <c r="X1130" s="4" t="e">
        <f>DATEVALUE(TEXT(DbLinkTable[[#This Row],[Date Received]],"MMMM YYYY"))</f>
        <v>#VALUE!</v>
      </c>
      <c r="Y1130" s="4" t="e">
        <f>INT(DbLinkTable[[#This Row],[Date Received]])</f>
        <v>#VALUE!</v>
      </c>
    </row>
    <row r="1131" spans="5:25">
      <c r="E1131"/>
      <c r="G1131"/>
      <c r="H1131"/>
      <c r="I1131"/>
      <c r="K1131"/>
      <c r="O1131"/>
      <c r="R1131"/>
      <c r="S1131" s="79" t="e">
        <f>DbLinkTable[[#This Row],[Credit]]+DbLinkTable[[#This Row],[Charge]]</f>
        <v>#VALUE!</v>
      </c>
      <c r="T1131" s="79" t="e">
        <f>IF(DbLinkTable[[#This Row],[Price/lb]]*DbLinkTable[[#This Row],[Weight]]&gt;0,DbLinkTable[[#This Row],[Price/lb]]*DbLinkTable[[#This Row],[Weight]],0)</f>
        <v>#VALUE!</v>
      </c>
      <c r="U1131" s="79" t="e">
        <f>IF(DbLinkTable[[#This Row],[Price/lb]]*DbLinkTable[[#This Row],[Weight]]&lt;0,DbLinkTable[[#This Row],[Price/lb]]*DbLinkTable[[#This Row],[Weight]],0)</f>
        <v>#VALUE!</v>
      </c>
      <c r="V1131" s="4" t="str">
        <f>IF(COUNTIF($W$2:W1131,W1131)=1,1,"")</f>
        <v/>
      </c>
      <c r="W1131" s="4" t="e">
        <f>CONCATENATE(DbLinkTable[[#This Row],[Customer]],UPPER(DbLinkTable[[#This Row],[Trailer Number]]),DbLinkTable[[#This Row],[Day Received]])</f>
        <v>#VALUE!</v>
      </c>
      <c r="X1131" s="4" t="e">
        <f>DATEVALUE(TEXT(DbLinkTable[[#This Row],[Date Received]],"MMMM YYYY"))</f>
        <v>#VALUE!</v>
      </c>
      <c r="Y1131" s="4" t="e">
        <f>INT(DbLinkTable[[#This Row],[Date Received]])</f>
        <v>#VALUE!</v>
      </c>
    </row>
    <row r="1132" spans="5:25">
      <c r="E1132"/>
      <c r="G1132"/>
      <c r="H1132"/>
      <c r="I1132"/>
      <c r="K1132"/>
      <c r="O1132"/>
      <c r="R1132"/>
      <c r="S1132" s="79" t="e">
        <f>DbLinkTable[[#This Row],[Credit]]+DbLinkTable[[#This Row],[Charge]]</f>
        <v>#VALUE!</v>
      </c>
      <c r="T1132" s="79" t="e">
        <f>IF(DbLinkTable[[#This Row],[Price/lb]]*DbLinkTable[[#This Row],[Weight]]&gt;0,DbLinkTable[[#This Row],[Price/lb]]*DbLinkTable[[#This Row],[Weight]],0)</f>
        <v>#VALUE!</v>
      </c>
      <c r="U1132" s="79" t="e">
        <f>IF(DbLinkTable[[#This Row],[Price/lb]]*DbLinkTable[[#This Row],[Weight]]&lt;0,DbLinkTable[[#This Row],[Price/lb]]*DbLinkTable[[#This Row],[Weight]],0)</f>
        <v>#VALUE!</v>
      </c>
      <c r="V1132" s="4" t="str">
        <f>IF(COUNTIF($W$2:W1132,W1132)=1,1,"")</f>
        <v/>
      </c>
      <c r="W1132" s="4" t="e">
        <f>CONCATENATE(DbLinkTable[[#This Row],[Customer]],UPPER(DbLinkTable[[#This Row],[Trailer Number]]),DbLinkTable[[#This Row],[Day Received]])</f>
        <v>#VALUE!</v>
      </c>
      <c r="X1132" s="4" t="e">
        <f>DATEVALUE(TEXT(DbLinkTable[[#This Row],[Date Received]],"MMMM YYYY"))</f>
        <v>#VALUE!</v>
      </c>
      <c r="Y1132" s="4" t="e">
        <f>INT(DbLinkTable[[#This Row],[Date Received]])</f>
        <v>#VALUE!</v>
      </c>
    </row>
    <row r="1133" spans="5:25">
      <c r="E1133"/>
      <c r="G1133"/>
      <c r="H1133"/>
      <c r="I1133"/>
      <c r="K1133"/>
      <c r="O1133"/>
      <c r="R1133"/>
      <c r="S1133" s="79" t="e">
        <f>DbLinkTable[[#This Row],[Credit]]+DbLinkTable[[#This Row],[Charge]]</f>
        <v>#VALUE!</v>
      </c>
      <c r="T1133" s="79" t="e">
        <f>IF(DbLinkTable[[#This Row],[Price/lb]]*DbLinkTable[[#This Row],[Weight]]&gt;0,DbLinkTable[[#This Row],[Price/lb]]*DbLinkTable[[#This Row],[Weight]],0)</f>
        <v>#VALUE!</v>
      </c>
      <c r="U1133" s="79" t="e">
        <f>IF(DbLinkTable[[#This Row],[Price/lb]]*DbLinkTable[[#This Row],[Weight]]&lt;0,DbLinkTable[[#This Row],[Price/lb]]*DbLinkTable[[#This Row],[Weight]],0)</f>
        <v>#VALUE!</v>
      </c>
      <c r="V1133" s="4" t="str">
        <f>IF(COUNTIF($W$2:W1133,W1133)=1,1,"")</f>
        <v/>
      </c>
      <c r="W1133" s="4" t="e">
        <f>CONCATENATE(DbLinkTable[[#This Row],[Customer]],UPPER(DbLinkTable[[#This Row],[Trailer Number]]),DbLinkTable[[#This Row],[Day Received]])</f>
        <v>#VALUE!</v>
      </c>
      <c r="X1133" s="4" t="e">
        <f>DATEVALUE(TEXT(DbLinkTable[[#This Row],[Date Received]],"MMMM YYYY"))</f>
        <v>#VALUE!</v>
      </c>
      <c r="Y1133" s="4" t="e">
        <f>INT(DbLinkTable[[#This Row],[Date Received]])</f>
        <v>#VALUE!</v>
      </c>
    </row>
    <row r="1134" spans="5:25">
      <c r="E1134"/>
      <c r="G1134"/>
      <c r="H1134"/>
      <c r="I1134"/>
      <c r="K1134"/>
      <c r="O1134"/>
      <c r="R1134"/>
      <c r="S1134" s="79" t="e">
        <f>DbLinkTable[[#This Row],[Credit]]+DbLinkTable[[#This Row],[Charge]]</f>
        <v>#VALUE!</v>
      </c>
      <c r="T1134" s="79" t="e">
        <f>IF(DbLinkTable[[#This Row],[Price/lb]]*DbLinkTable[[#This Row],[Weight]]&gt;0,DbLinkTable[[#This Row],[Price/lb]]*DbLinkTable[[#This Row],[Weight]],0)</f>
        <v>#VALUE!</v>
      </c>
      <c r="U1134" s="79" t="e">
        <f>IF(DbLinkTable[[#This Row],[Price/lb]]*DbLinkTable[[#This Row],[Weight]]&lt;0,DbLinkTable[[#This Row],[Price/lb]]*DbLinkTable[[#This Row],[Weight]],0)</f>
        <v>#VALUE!</v>
      </c>
      <c r="V1134" s="4" t="str">
        <f>IF(COUNTIF($W$2:W1134,W1134)=1,1,"")</f>
        <v/>
      </c>
      <c r="W1134" s="4" t="e">
        <f>CONCATENATE(DbLinkTable[[#This Row],[Customer]],UPPER(DbLinkTable[[#This Row],[Trailer Number]]),DbLinkTable[[#This Row],[Day Received]])</f>
        <v>#VALUE!</v>
      </c>
      <c r="X1134" s="4" t="e">
        <f>DATEVALUE(TEXT(DbLinkTable[[#This Row],[Date Received]],"MMMM YYYY"))</f>
        <v>#VALUE!</v>
      </c>
      <c r="Y1134" s="4" t="e">
        <f>INT(DbLinkTable[[#This Row],[Date Received]])</f>
        <v>#VALUE!</v>
      </c>
    </row>
    <row r="1135" spans="5:25">
      <c r="E1135"/>
      <c r="G1135"/>
      <c r="H1135"/>
      <c r="I1135"/>
      <c r="K1135"/>
      <c r="O1135"/>
      <c r="R1135"/>
      <c r="S1135" s="79" t="e">
        <f>DbLinkTable[[#This Row],[Credit]]+DbLinkTable[[#This Row],[Charge]]</f>
        <v>#VALUE!</v>
      </c>
      <c r="T1135" s="79" t="e">
        <f>IF(DbLinkTable[[#This Row],[Price/lb]]*DbLinkTable[[#This Row],[Weight]]&gt;0,DbLinkTable[[#This Row],[Price/lb]]*DbLinkTable[[#This Row],[Weight]],0)</f>
        <v>#VALUE!</v>
      </c>
      <c r="U1135" s="79" t="e">
        <f>IF(DbLinkTable[[#This Row],[Price/lb]]*DbLinkTable[[#This Row],[Weight]]&lt;0,DbLinkTable[[#This Row],[Price/lb]]*DbLinkTable[[#This Row],[Weight]],0)</f>
        <v>#VALUE!</v>
      </c>
      <c r="V1135" s="4" t="str">
        <f>IF(COUNTIF($W$2:W1135,W1135)=1,1,"")</f>
        <v/>
      </c>
      <c r="W1135" s="4" t="e">
        <f>CONCATENATE(DbLinkTable[[#This Row],[Customer]],UPPER(DbLinkTable[[#This Row],[Trailer Number]]),DbLinkTable[[#This Row],[Day Received]])</f>
        <v>#VALUE!</v>
      </c>
      <c r="X1135" s="4" t="e">
        <f>DATEVALUE(TEXT(DbLinkTable[[#This Row],[Date Received]],"MMMM YYYY"))</f>
        <v>#VALUE!</v>
      </c>
      <c r="Y1135" s="4" t="e">
        <f>INT(DbLinkTable[[#This Row],[Date Received]])</f>
        <v>#VALUE!</v>
      </c>
    </row>
    <row r="1136" spans="5:25">
      <c r="E1136"/>
      <c r="G1136"/>
      <c r="H1136"/>
      <c r="I1136"/>
      <c r="K1136"/>
      <c r="O1136"/>
      <c r="R1136"/>
      <c r="S1136" s="79" t="e">
        <f>DbLinkTable[[#This Row],[Credit]]+DbLinkTable[[#This Row],[Charge]]</f>
        <v>#VALUE!</v>
      </c>
      <c r="T1136" s="79" t="e">
        <f>IF(DbLinkTable[[#This Row],[Price/lb]]*DbLinkTable[[#This Row],[Weight]]&gt;0,DbLinkTable[[#This Row],[Price/lb]]*DbLinkTable[[#This Row],[Weight]],0)</f>
        <v>#VALUE!</v>
      </c>
      <c r="U1136" s="79" t="e">
        <f>IF(DbLinkTable[[#This Row],[Price/lb]]*DbLinkTable[[#This Row],[Weight]]&lt;0,DbLinkTable[[#This Row],[Price/lb]]*DbLinkTable[[#This Row],[Weight]],0)</f>
        <v>#VALUE!</v>
      </c>
      <c r="V1136" s="4" t="str">
        <f>IF(COUNTIF($W$2:W1136,W1136)=1,1,"")</f>
        <v/>
      </c>
      <c r="W1136" s="4" t="e">
        <f>CONCATENATE(DbLinkTable[[#This Row],[Customer]],UPPER(DbLinkTable[[#This Row],[Trailer Number]]),DbLinkTable[[#This Row],[Day Received]])</f>
        <v>#VALUE!</v>
      </c>
      <c r="X1136" s="4" t="e">
        <f>DATEVALUE(TEXT(DbLinkTable[[#This Row],[Date Received]],"MMMM YYYY"))</f>
        <v>#VALUE!</v>
      </c>
      <c r="Y1136" s="4" t="e">
        <f>INT(DbLinkTable[[#This Row],[Date Received]])</f>
        <v>#VALUE!</v>
      </c>
    </row>
    <row r="1137" spans="5:25">
      <c r="E1137"/>
      <c r="G1137"/>
      <c r="H1137"/>
      <c r="I1137"/>
      <c r="K1137"/>
      <c r="O1137"/>
      <c r="R1137"/>
      <c r="S1137" s="79" t="e">
        <f>DbLinkTable[[#This Row],[Credit]]+DbLinkTable[[#This Row],[Charge]]</f>
        <v>#VALUE!</v>
      </c>
      <c r="T1137" s="79" t="e">
        <f>IF(DbLinkTable[[#This Row],[Price/lb]]*DbLinkTable[[#This Row],[Weight]]&gt;0,DbLinkTable[[#This Row],[Price/lb]]*DbLinkTable[[#This Row],[Weight]],0)</f>
        <v>#VALUE!</v>
      </c>
      <c r="U1137" s="79" t="e">
        <f>IF(DbLinkTable[[#This Row],[Price/lb]]*DbLinkTable[[#This Row],[Weight]]&lt;0,DbLinkTable[[#This Row],[Price/lb]]*DbLinkTable[[#This Row],[Weight]],0)</f>
        <v>#VALUE!</v>
      </c>
      <c r="V1137" s="4" t="str">
        <f>IF(COUNTIF($W$2:W1137,W1137)=1,1,"")</f>
        <v/>
      </c>
      <c r="W1137" s="4" t="e">
        <f>CONCATENATE(DbLinkTable[[#This Row],[Customer]],UPPER(DbLinkTable[[#This Row],[Trailer Number]]),DbLinkTable[[#This Row],[Day Received]])</f>
        <v>#VALUE!</v>
      </c>
      <c r="X1137" s="4" t="e">
        <f>DATEVALUE(TEXT(DbLinkTable[[#This Row],[Date Received]],"MMMM YYYY"))</f>
        <v>#VALUE!</v>
      </c>
      <c r="Y1137" s="4" t="e">
        <f>INT(DbLinkTable[[#This Row],[Date Received]])</f>
        <v>#VALUE!</v>
      </c>
    </row>
    <row r="1138" spans="5:25">
      <c r="E1138"/>
      <c r="G1138"/>
      <c r="H1138"/>
      <c r="I1138"/>
      <c r="K1138"/>
      <c r="O1138"/>
      <c r="R1138"/>
      <c r="S1138" s="79" t="e">
        <f>DbLinkTable[[#This Row],[Credit]]+DbLinkTable[[#This Row],[Charge]]</f>
        <v>#VALUE!</v>
      </c>
      <c r="T1138" s="79" t="e">
        <f>IF(DbLinkTable[[#This Row],[Price/lb]]*DbLinkTable[[#This Row],[Weight]]&gt;0,DbLinkTable[[#This Row],[Price/lb]]*DbLinkTable[[#This Row],[Weight]],0)</f>
        <v>#VALUE!</v>
      </c>
      <c r="U1138" s="79" t="e">
        <f>IF(DbLinkTable[[#This Row],[Price/lb]]*DbLinkTable[[#This Row],[Weight]]&lt;0,DbLinkTable[[#This Row],[Price/lb]]*DbLinkTable[[#This Row],[Weight]],0)</f>
        <v>#VALUE!</v>
      </c>
      <c r="V1138" s="4" t="str">
        <f>IF(COUNTIF($W$2:W1138,W1138)=1,1,"")</f>
        <v/>
      </c>
      <c r="W1138" s="4" t="e">
        <f>CONCATENATE(DbLinkTable[[#This Row],[Customer]],UPPER(DbLinkTable[[#This Row],[Trailer Number]]),DbLinkTable[[#This Row],[Day Received]])</f>
        <v>#VALUE!</v>
      </c>
      <c r="X1138" s="4" t="e">
        <f>DATEVALUE(TEXT(DbLinkTable[[#This Row],[Date Received]],"MMMM YYYY"))</f>
        <v>#VALUE!</v>
      </c>
      <c r="Y1138" s="4" t="e">
        <f>INT(DbLinkTable[[#This Row],[Date Received]])</f>
        <v>#VALUE!</v>
      </c>
    </row>
    <row r="1139" spans="5:25">
      <c r="E1139"/>
      <c r="G1139"/>
      <c r="H1139"/>
      <c r="I1139"/>
      <c r="K1139"/>
      <c r="O1139"/>
      <c r="R1139"/>
      <c r="S1139" s="79" t="e">
        <f>DbLinkTable[[#This Row],[Credit]]+DbLinkTable[[#This Row],[Charge]]</f>
        <v>#VALUE!</v>
      </c>
      <c r="T1139" s="79" t="e">
        <f>IF(DbLinkTable[[#This Row],[Price/lb]]*DbLinkTable[[#This Row],[Weight]]&gt;0,DbLinkTable[[#This Row],[Price/lb]]*DbLinkTable[[#This Row],[Weight]],0)</f>
        <v>#VALUE!</v>
      </c>
      <c r="U1139" s="79" t="e">
        <f>IF(DbLinkTable[[#This Row],[Price/lb]]*DbLinkTable[[#This Row],[Weight]]&lt;0,DbLinkTable[[#This Row],[Price/lb]]*DbLinkTable[[#This Row],[Weight]],0)</f>
        <v>#VALUE!</v>
      </c>
      <c r="V1139" s="4" t="str">
        <f>IF(COUNTIF($W$2:W1139,W1139)=1,1,"")</f>
        <v/>
      </c>
      <c r="W1139" s="4" t="e">
        <f>CONCATENATE(DbLinkTable[[#This Row],[Customer]],UPPER(DbLinkTable[[#This Row],[Trailer Number]]),DbLinkTable[[#This Row],[Day Received]])</f>
        <v>#VALUE!</v>
      </c>
      <c r="X1139" s="4" t="e">
        <f>DATEVALUE(TEXT(DbLinkTable[[#This Row],[Date Received]],"MMMM YYYY"))</f>
        <v>#VALUE!</v>
      </c>
      <c r="Y1139" s="4" t="e">
        <f>INT(DbLinkTable[[#This Row],[Date Received]])</f>
        <v>#VALUE!</v>
      </c>
    </row>
    <row r="1140" spans="5:25">
      <c r="E1140"/>
      <c r="G1140"/>
      <c r="H1140"/>
      <c r="I1140"/>
      <c r="K1140"/>
      <c r="O1140"/>
      <c r="R1140"/>
      <c r="S1140" s="79" t="e">
        <f>DbLinkTable[[#This Row],[Credit]]+DbLinkTable[[#This Row],[Charge]]</f>
        <v>#VALUE!</v>
      </c>
      <c r="T1140" s="79" t="e">
        <f>IF(DbLinkTable[[#This Row],[Price/lb]]*DbLinkTable[[#This Row],[Weight]]&gt;0,DbLinkTable[[#This Row],[Price/lb]]*DbLinkTable[[#This Row],[Weight]],0)</f>
        <v>#VALUE!</v>
      </c>
      <c r="U1140" s="79" t="e">
        <f>IF(DbLinkTable[[#This Row],[Price/lb]]*DbLinkTable[[#This Row],[Weight]]&lt;0,DbLinkTable[[#This Row],[Price/lb]]*DbLinkTable[[#This Row],[Weight]],0)</f>
        <v>#VALUE!</v>
      </c>
      <c r="V1140" s="4" t="str">
        <f>IF(COUNTIF($W$2:W1140,W1140)=1,1,"")</f>
        <v/>
      </c>
      <c r="W1140" s="4" t="e">
        <f>CONCATENATE(DbLinkTable[[#This Row],[Customer]],UPPER(DbLinkTable[[#This Row],[Trailer Number]]),DbLinkTable[[#This Row],[Day Received]])</f>
        <v>#VALUE!</v>
      </c>
      <c r="X1140" s="4" t="e">
        <f>DATEVALUE(TEXT(DbLinkTable[[#This Row],[Date Received]],"MMMM YYYY"))</f>
        <v>#VALUE!</v>
      </c>
      <c r="Y1140" s="4" t="e">
        <f>INT(DbLinkTable[[#This Row],[Date Received]])</f>
        <v>#VALUE!</v>
      </c>
    </row>
    <row r="1141" spans="5:25">
      <c r="E1141"/>
      <c r="G1141"/>
      <c r="H1141"/>
      <c r="I1141"/>
      <c r="K1141"/>
      <c r="O1141"/>
      <c r="R1141"/>
      <c r="S1141" s="79" t="e">
        <f>DbLinkTable[[#This Row],[Credit]]+DbLinkTable[[#This Row],[Charge]]</f>
        <v>#VALUE!</v>
      </c>
      <c r="T1141" s="79" t="e">
        <f>IF(DbLinkTable[[#This Row],[Price/lb]]*DbLinkTable[[#This Row],[Weight]]&gt;0,DbLinkTable[[#This Row],[Price/lb]]*DbLinkTable[[#This Row],[Weight]],0)</f>
        <v>#VALUE!</v>
      </c>
      <c r="U1141" s="79" t="e">
        <f>IF(DbLinkTable[[#This Row],[Price/lb]]*DbLinkTable[[#This Row],[Weight]]&lt;0,DbLinkTable[[#This Row],[Price/lb]]*DbLinkTable[[#This Row],[Weight]],0)</f>
        <v>#VALUE!</v>
      </c>
      <c r="V1141" s="4" t="str">
        <f>IF(COUNTIF($W$2:W1141,W1141)=1,1,"")</f>
        <v/>
      </c>
      <c r="W1141" s="4" t="e">
        <f>CONCATENATE(DbLinkTable[[#This Row],[Customer]],UPPER(DbLinkTable[[#This Row],[Trailer Number]]),DbLinkTable[[#This Row],[Day Received]])</f>
        <v>#VALUE!</v>
      </c>
      <c r="X1141" s="4" t="e">
        <f>DATEVALUE(TEXT(DbLinkTable[[#This Row],[Date Received]],"MMMM YYYY"))</f>
        <v>#VALUE!</v>
      </c>
      <c r="Y1141" s="4" t="e">
        <f>INT(DbLinkTable[[#This Row],[Date Received]])</f>
        <v>#VALUE!</v>
      </c>
    </row>
    <row r="1142" spans="5:25">
      <c r="E1142"/>
      <c r="G1142"/>
      <c r="H1142"/>
      <c r="I1142"/>
      <c r="K1142"/>
      <c r="O1142"/>
      <c r="R1142"/>
      <c r="S1142" s="79" t="e">
        <f>DbLinkTable[[#This Row],[Credit]]+DbLinkTable[[#This Row],[Charge]]</f>
        <v>#VALUE!</v>
      </c>
      <c r="T1142" s="79" t="e">
        <f>IF(DbLinkTable[[#This Row],[Price/lb]]*DbLinkTable[[#This Row],[Weight]]&gt;0,DbLinkTable[[#This Row],[Price/lb]]*DbLinkTable[[#This Row],[Weight]],0)</f>
        <v>#VALUE!</v>
      </c>
      <c r="U1142" s="79" t="e">
        <f>IF(DbLinkTable[[#This Row],[Price/lb]]*DbLinkTable[[#This Row],[Weight]]&lt;0,DbLinkTable[[#This Row],[Price/lb]]*DbLinkTable[[#This Row],[Weight]],0)</f>
        <v>#VALUE!</v>
      </c>
      <c r="V1142" s="4" t="str">
        <f>IF(COUNTIF($W$2:W1142,W1142)=1,1,"")</f>
        <v/>
      </c>
      <c r="W1142" s="4" t="e">
        <f>CONCATENATE(DbLinkTable[[#This Row],[Customer]],UPPER(DbLinkTable[[#This Row],[Trailer Number]]),DbLinkTable[[#This Row],[Day Received]])</f>
        <v>#VALUE!</v>
      </c>
      <c r="X1142" s="4" t="e">
        <f>DATEVALUE(TEXT(DbLinkTable[[#This Row],[Date Received]],"MMMM YYYY"))</f>
        <v>#VALUE!</v>
      </c>
      <c r="Y1142" s="4" t="e">
        <f>INT(DbLinkTable[[#This Row],[Date Received]])</f>
        <v>#VALUE!</v>
      </c>
    </row>
    <row r="1143" spans="5:25">
      <c r="E1143"/>
      <c r="G1143"/>
      <c r="H1143"/>
      <c r="I1143"/>
      <c r="K1143"/>
      <c r="O1143"/>
      <c r="R1143"/>
      <c r="S1143" s="79" t="e">
        <f>DbLinkTable[[#This Row],[Credit]]+DbLinkTable[[#This Row],[Charge]]</f>
        <v>#VALUE!</v>
      </c>
      <c r="T1143" s="79" t="e">
        <f>IF(DbLinkTable[[#This Row],[Price/lb]]*DbLinkTable[[#This Row],[Weight]]&gt;0,DbLinkTable[[#This Row],[Price/lb]]*DbLinkTable[[#This Row],[Weight]],0)</f>
        <v>#VALUE!</v>
      </c>
      <c r="U1143" s="79" t="e">
        <f>IF(DbLinkTable[[#This Row],[Price/lb]]*DbLinkTable[[#This Row],[Weight]]&lt;0,DbLinkTable[[#This Row],[Price/lb]]*DbLinkTable[[#This Row],[Weight]],0)</f>
        <v>#VALUE!</v>
      </c>
      <c r="V1143" s="4" t="str">
        <f>IF(COUNTIF($W$2:W1143,W1143)=1,1,"")</f>
        <v/>
      </c>
      <c r="W1143" s="4" t="e">
        <f>CONCATENATE(DbLinkTable[[#This Row],[Customer]],UPPER(DbLinkTable[[#This Row],[Trailer Number]]),DbLinkTable[[#This Row],[Day Received]])</f>
        <v>#VALUE!</v>
      </c>
      <c r="X1143" s="4" t="e">
        <f>DATEVALUE(TEXT(DbLinkTable[[#This Row],[Date Received]],"MMMM YYYY"))</f>
        <v>#VALUE!</v>
      </c>
      <c r="Y1143" s="4" t="e">
        <f>INT(DbLinkTable[[#This Row],[Date Received]])</f>
        <v>#VALUE!</v>
      </c>
    </row>
    <row r="1144" spans="5:25">
      <c r="E1144"/>
      <c r="G1144"/>
      <c r="H1144"/>
      <c r="I1144"/>
      <c r="K1144"/>
      <c r="O1144"/>
      <c r="R1144"/>
      <c r="S1144" s="79" t="e">
        <f>DbLinkTable[[#This Row],[Credit]]+DbLinkTable[[#This Row],[Charge]]</f>
        <v>#VALUE!</v>
      </c>
      <c r="T1144" s="79" t="e">
        <f>IF(DbLinkTable[[#This Row],[Price/lb]]*DbLinkTable[[#This Row],[Weight]]&gt;0,DbLinkTable[[#This Row],[Price/lb]]*DbLinkTable[[#This Row],[Weight]],0)</f>
        <v>#VALUE!</v>
      </c>
      <c r="U1144" s="79" t="e">
        <f>IF(DbLinkTable[[#This Row],[Price/lb]]*DbLinkTable[[#This Row],[Weight]]&lt;0,DbLinkTable[[#This Row],[Price/lb]]*DbLinkTable[[#This Row],[Weight]],0)</f>
        <v>#VALUE!</v>
      </c>
      <c r="V1144" s="4" t="str">
        <f>IF(COUNTIF($W$2:W1144,W1144)=1,1,"")</f>
        <v/>
      </c>
      <c r="W1144" s="4" t="e">
        <f>CONCATENATE(DbLinkTable[[#This Row],[Customer]],UPPER(DbLinkTable[[#This Row],[Trailer Number]]),DbLinkTable[[#This Row],[Day Received]])</f>
        <v>#VALUE!</v>
      </c>
      <c r="X1144" s="4" t="e">
        <f>DATEVALUE(TEXT(DbLinkTable[[#This Row],[Date Received]],"MMMM YYYY"))</f>
        <v>#VALUE!</v>
      </c>
      <c r="Y1144" s="4" t="e">
        <f>INT(DbLinkTable[[#This Row],[Date Received]])</f>
        <v>#VALUE!</v>
      </c>
    </row>
    <row r="1145" spans="5:25">
      <c r="E1145"/>
      <c r="G1145"/>
      <c r="H1145"/>
      <c r="I1145"/>
      <c r="K1145"/>
      <c r="O1145"/>
      <c r="R1145"/>
      <c r="S1145" s="79" t="e">
        <f>DbLinkTable[[#This Row],[Credit]]+DbLinkTable[[#This Row],[Charge]]</f>
        <v>#VALUE!</v>
      </c>
      <c r="T1145" s="79" t="e">
        <f>IF(DbLinkTable[[#This Row],[Price/lb]]*DbLinkTable[[#This Row],[Weight]]&gt;0,DbLinkTable[[#This Row],[Price/lb]]*DbLinkTable[[#This Row],[Weight]],0)</f>
        <v>#VALUE!</v>
      </c>
      <c r="U1145" s="79" t="e">
        <f>IF(DbLinkTable[[#This Row],[Price/lb]]*DbLinkTable[[#This Row],[Weight]]&lt;0,DbLinkTable[[#This Row],[Price/lb]]*DbLinkTable[[#This Row],[Weight]],0)</f>
        <v>#VALUE!</v>
      </c>
      <c r="V1145" s="4" t="str">
        <f>IF(COUNTIF($W$2:W1145,W1145)=1,1,"")</f>
        <v/>
      </c>
      <c r="W1145" s="4" t="e">
        <f>CONCATENATE(DbLinkTable[[#This Row],[Customer]],UPPER(DbLinkTable[[#This Row],[Trailer Number]]),DbLinkTable[[#This Row],[Day Received]])</f>
        <v>#VALUE!</v>
      </c>
      <c r="X1145" s="4" t="e">
        <f>DATEVALUE(TEXT(DbLinkTable[[#This Row],[Date Received]],"MMMM YYYY"))</f>
        <v>#VALUE!</v>
      </c>
      <c r="Y1145" s="4" t="e">
        <f>INT(DbLinkTable[[#This Row],[Date Received]])</f>
        <v>#VALUE!</v>
      </c>
    </row>
    <row r="1146" spans="5:25">
      <c r="E1146"/>
      <c r="G1146"/>
      <c r="H1146"/>
      <c r="I1146"/>
      <c r="K1146"/>
      <c r="O1146"/>
      <c r="R1146"/>
      <c r="S1146" s="79" t="e">
        <f>DbLinkTable[[#This Row],[Credit]]+DbLinkTable[[#This Row],[Charge]]</f>
        <v>#VALUE!</v>
      </c>
      <c r="T1146" s="79" t="e">
        <f>IF(DbLinkTable[[#This Row],[Price/lb]]*DbLinkTable[[#This Row],[Weight]]&gt;0,DbLinkTable[[#This Row],[Price/lb]]*DbLinkTable[[#This Row],[Weight]],0)</f>
        <v>#VALUE!</v>
      </c>
      <c r="U1146" s="79" t="e">
        <f>IF(DbLinkTable[[#This Row],[Price/lb]]*DbLinkTable[[#This Row],[Weight]]&lt;0,DbLinkTable[[#This Row],[Price/lb]]*DbLinkTable[[#This Row],[Weight]],0)</f>
        <v>#VALUE!</v>
      </c>
      <c r="V1146" s="4" t="str">
        <f>IF(COUNTIF($W$2:W1146,W1146)=1,1,"")</f>
        <v/>
      </c>
      <c r="W1146" s="4" t="e">
        <f>CONCATENATE(DbLinkTable[[#This Row],[Customer]],UPPER(DbLinkTable[[#This Row],[Trailer Number]]),DbLinkTable[[#This Row],[Day Received]])</f>
        <v>#VALUE!</v>
      </c>
      <c r="X1146" s="4" t="e">
        <f>DATEVALUE(TEXT(DbLinkTable[[#This Row],[Date Received]],"MMMM YYYY"))</f>
        <v>#VALUE!</v>
      </c>
      <c r="Y1146" s="4" t="e">
        <f>INT(DbLinkTable[[#This Row],[Date Received]])</f>
        <v>#VALUE!</v>
      </c>
    </row>
    <row r="1147" spans="5:25">
      <c r="E1147"/>
      <c r="G1147"/>
      <c r="H1147"/>
      <c r="I1147"/>
      <c r="K1147"/>
      <c r="O1147"/>
      <c r="R1147"/>
      <c r="S1147" s="79" t="e">
        <f>DbLinkTable[[#This Row],[Credit]]+DbLinkTable[[#This Row],[Charge]]</f>
        <v>#VALUE!</v>
      </c>
      <c r="T1147" s="79" t="e">
        <f>IF(DbLinkTable[[#This Row],[Price/lb]]*DbLinkTable[[#This Row],[Weight]]&gt;0,DbLinkTable[[#This Row],[Price/lb]]*DbLinkTable[[#This Row],[Weight]],0)</f>
        <v>#VALUE!</v>
      </c>
      <c r="U1147" s="79" t="e">
        <f>IF(DbLinkTable[[#This Row],[Price/lb]]*DbLinkTable[[#This Row],[Weight]]&lt;0,DbLinkTable[[#This Row],[Price/lb]]*DbLinkTable[[#This Row],[Weight]],0)</f>
        <v>#VALUE!</v>
      </c>
      <c r="V1147" s="4" t="str">
        <f>IF(COUNTIF($W$2:W1147,W1147)=1,1,"")</f>
        <v/>
      </c>
      <c r="W1147" s="4" t="e">
        <f>CONCATENATE(DbLinkTable[[#This Row],[Customer]],UPPER(DbLinkTable[[#This Row],[Trailer Number]]),DbLinkTable[[#This Row],[Day Received]])</f>
        <v>#VALUE!</v>
      </c>
      <c r="X1147" s="4" t="e">
        <f>DATEVALUE(TEXT(DbLinkTable[[#This Row],[Date Received]],"MMMM YYYY"))</f>
        <v>#VALUE!</v>
      </c>
      <c r="Y1147" s="4" t="e">
        <f>INT(DbLinkTable[[#This Row],[Date Received]])</f>
        <v>#VALUE!</v>
      </c>
    </row>
    <row r="1148" spans="5:25">
      <c r="E1148"/>
      <c r="G1148"/>
      <c r="H1148"/>
      <c r="I1148"/>
      <c r="K1148"/>
      <c r="O1148"/>
      <c r="R1148"/>
      <c r="S1148" s="79" t="e">
        <f>DbLinkTable[[#This Row],[Credit]]+DbLinkTable[[#This Row],[Charge]]</f>
        <v>#VALUE!</v>
      </c>
      <c r="T1148" s="79" t="e">
        <f>IF(DbLinkTable[[#This Row],[Price/lb]]*DbLinkTable[[#This Row],[Weight]]&gt;0,DbLinkTable[[#This Row],[Price/lb]]*DbLinkTable[[#This Row],[Weight]],0)</f>
        <v>#VALUE!</v>
      </c>
      <c r="U1148" s="79" t="e">
        <f>IF(DbLinkTable[[#This Row],[Price/lb]]*DbLinkTable[[#This Row],[Weight]]&lt;0,DbLinkTable[[#This Row],[Price/lb]]*DbLinkTable[[#This Row],[Weight]],0)</f>
        <v>#VALUE!</v>
      </c>
      <c r="V1148" s="4" t="str">
        <f>IF(COUNTIF($W$2:W1148,W1148)=1,1,"")</f>
        <v/>
      </c>
      <c r="W1148" s="4" t="e">
        <f>CONCATENATE(DbLinkTable[[#This Row],[Customer]],UPPER(DbLinkTable[[#This Row],[Trailer Number]]),DbLinkTable[[#This Row],[Day Received]])</f>
        <v>#VALUE!</v>
      </c>
      <c r="X1148" s="4" t="e">
        <f>DATEVALUE(TEXT(DbLinkTable[[#This Row],[Date Received]],"MMMM YYYY"))</f>
        <v>#VALUE!</v>
      </c>
      <c r="Y1148" s="4" t="e">
        <f>INT(DbLinkTable[[#This Row],[Date Received]])</f>
        <v>#VALUE!</v>
      </c>
    </row>
    <row r="1149" spans="5:25">
      <c r="E1149"/>
      <c r="G1149"/>
      <c r="H1149"/>
      <c r="I1149"/>
      <c r="K1149"/>
      <c r="O1149"/>
      <c r="R1149"/>
      <c r="S1149" s="79" t="e">
        <f>DbLinkTable[[#This Row],[Credit]]+DbLinkTable[[#This Row],[Charge]]</f>
        <v>#VALUE!</v>
      </c>
      <c r="T1149" s="79" t="e">
        <f>IF(DbLinkTable[[#This Row],[Price/lb]]*DbLinkTable[[#This Row],[Weight]]&gt;0,DbLinkTable[[#This Row],[Price/lb]]*DbLinkTable[[#This Row],[Weight]],0)</f>
        <v>#VALUE!</v>
      </c>
      <c r="U1149" s="79" t="e">
        <f>IF(DbLinkTable[[#This Row],[Price/lb]]*DbLinkTable[[#This Row],[Weight]]&lt;0,DbLinkTable[[#This Row],[Price/lb]]*DbLinkTable[[#This Row],[Weight]],0)</f>
        <v>#VALUE!</v>
      </c>
      <c r="V1149" s="4" t="str">
        <f>IF(COUNTIF($W$2:W1149,W1149)=1,1,"")</f>
        <v/>
      </c>
      <c r="W1149" s="4" t="e">
        <f>CONCATENATE(DbLinkTable[[#This Row],[Customer]],UPPER(DbLinkTable[[#This Row],[Trailer Number]]),DbLinkTable[[#This Row],[Day Received]])</f>
        <v>#VALUE!</v>
      </c>
      <c r="X1149" s="4" t="e">
        <f>DATEVALUE(TEXT(DbLinkTable[[#This Row],[Date Received]],"MMMM YYYY"))</f>
        <v>#VALUE!</v>
      </c>
      <c r="Y1149" s="4" t="e">
        <f>INT(DbLinkTable[[#This Row],[Date Received]])</f>
        <v>#VALUE!</v>
      </c>
    </row>
    <row r="1150" spans="5:25">
      <c r="E1150"/>
      <c r="G1150"/>
      <c r="H1150"/>
      <c r="I1150"/>
      <c r="K1150"/>
      <c r="O1150"/>
      <c r="R1150"/>
      <c r="S1150" s="79" t="e">
        <f>DbLinkTable[[#This Row],[Credit]]+DbLinkTable[[#This Row],[Charge]]</f>
        <v>#VALUE!</v>
      </c>
      <c r="T1150" s="79" t="e">
        <f>IF(DbLinkTable[[#This Row],[Price/lb]]*DbLinkTable[[#This Row],[Weight]]&gt;0,DbLinkTable[[#This Row],[Price/lb]]*DbLinkTable[[#This Row],[Weight]],0)</f>
        <v>#VALUE!</v>
      </c>
      <c r="U1150" s="79" t="e">
        <f>IF(DbLinkTable[[#This Row],[Price/lb]]*DbLinkTable[[#This Row],[Weight]]&lt;0,DbLinkTable[[#This Row],[Price/lb]]*DbLinkTable[[#This Row],[Weight]],0)</f>
        <v>#VALUE!</v>
      </c>
      <c r="V1150" s="4" t="str">
        <f>IF(COUNTIF($W$2:W1150,W1150)=1,1,"")</f>
        <v/>
      </c>
      <c r="W1150" s="4" t="e">
        <f>CONCATENATE(DbLinkTable[[#This Row],[Customer]],UPPER(DbLinkTable[[#This Row],[Trailer Number]]),DbLinkTable[[#This Row],[Day Received]])</f>
        <v>#VALUE!</v>
      </c>
      <c r="X1150" s="4" t="e">
        <f>DATEVALUE(TEXT(DbLinkTable[[#This Row],[Date Received]],"MMMM YYYY"))</f>
        <v>#VALUE!</v>
      </c>
      <c r="Y1150" s="4" t="e">
        <f>INT(DbLinkTable[[#This Row],[Date Received]])</f>
        <v>#VALUE!</v>
      </c>
    </row>
    <row r="1151" spans="5:25">
      <c r="E1151"/>
      <c r="G1151"/>
      <c r="H1151"/>
      <c r="I1151"/>
      <c r="K1151"/>
      <c r="O1151"/>
      <c r="R1151"/>
      <c r="S1151" s="79" t="e">
        <f>DbLinkTable[[#This Row],[Credit]]+DbLinkTable[[#This Row],[Charge]]</f>
        <v>#VALUE!</v>
      </c>
      <c r="T1151" s="79" t="e">
        <f>IF(DbLinkTable[[#This Row],[Price/lb]]*DbLinkTable[[#This Row],[Weight]]&gt;0,DbLinkTable[[#This Row],[Price/lb]]*DbLinkTable[[#This Row],[Weight]],0)</f>
        <v>#VALUE!</v>
      </c>
      <c r="U1151" s="79" t="e">
        <f>IF(DbLinkTable[[#This Row],[Price/lb]]*DbLinkTable[[#This Row],[Weight]]&lt;0,DbLinkTable[[#This Row],[Price/lb]]*DbLinkTable[[#This Row],[Weight]],0)</f>
        <v>#VALUE!</v>
      </c>
      <c r="V1151" s="4" t="str">
        <f>IF(COUNTIF($W$2:W1151,W1151)=1,1,"")</f>
        <v/>
      </c>
      <c r="W1151" s="4" t="e">
        <f>CONCATENATE(DbLinkTable[[#This Row],[Customer]],UPPER(DbLinkTable[[#This Row],[Trailer Number]]),DbLinkTable[[#This Row],[Day Received]])</f>
        <v>#VALUE!</v>
      </c>
      <c r="X1151" s="4" t="e">
        <f>DATEVALUE(TEXT(DbLinkTable[[#This Row],[Date Received]],"MMMM YYYY"))</f>
        <v>#VALUE!</v>
      </c>
      <c r="Y1151" s="4" t="e">
        <f>INT(DbLinkTable[[#This Row],[Date Received]])</f>
        <v>#VALUE!</v>
      </c>
    </row>
    <row r="1152" spans="5:25">
      <c r="E1152"/>
      <c r="G1152"/>
      <c r="H1152"/>
      <c r="I1152"/>
      <c r="K1152"/>
      <c r="O1152"/>
      <c r="R1152"/>
      <c r="S1152" s="79" t="e">
        <f>DbLinkTable[[#This Row],[Credit]]+DbLinkTable[[#This Row],[Charge]]</f>
        <v>#VALUE!</v>
      </c>
      <c r="T1152" s="79" t="e">
        <f>IF(DbLinkTable[[#This Row],[Price/lb]]*DbLinkTable[[#This Row],[Weight]]&gt;0,DbLinkTable[[#This Row],[Price/lb]]*DbLinkTable[[#This Row],[Weight]],0)</f>
        <v>#VALUE!</v>
      </c>
      <c r="U1152" s="79" t="e">
        <f>IF(DbLinkTable[[#This Row],[Price/lb]]*DbLinkTable[[#This Row],[Weight]]&lt;0,DbLinkTable[[#This Row],[Price/lb]]*DbLinkTable[[#This Row],[Weight]],0)</f>
        <v>#VALUE!</v>
      </c>
      <c r="V1152" s="4" t="str">
        <f>IF(COUNTIF($W$2:W1152,W1152)=1,1,"")</f>
        <v/>
      </c>
      <c r="W1152" s="4" t="e">
        <f>CONCATENATE(DbLinkTable[[#This Row],[Customer]],UPPER(DbLinkTable[[#This Row],[Trailer Number]]),DbLinkTable[[#This Row],[Day Received]])</f>
        <v>#VALUE!</v>
      </c>
      <c r="X1152" s="4" t="e">
        <f>DATEVALUE(TEXT(DbLinkTable[[#This Row],[Date Received]],"MMMM YYYY"))</f>
        <v>#VALUE!</v>
      </c>
      <c r="Y1152" s="4" t="e">
        <f>INT(DbLinkTable[[#This Row],[Date Received]])</f>
        <v>#VALUE!</v>
      </c>
    </row>
    <row r="1153" spans="5:25">
      <c r="E1153"/>
      <c r="G1153"/>
      <c r="H1153"/>
      <c r="I1153"/>
      <c r="K1153"/>
      <c r="O1153"/>
      <c r="R1153"/>
      <c r="S1153" s="79" t="e">
        <f>DbLinkTable[[#This Row],[Credit]]+DbLinkTable[[#This Row],[Charge]]</f>
        <v>#VALUE!</v>
      </c>
      <c r="T1153" s="79" t="e">
        <f>IF(DbLinkTable[[#This Row],[Price/lb]]*DbLinkTable[[#This Row],[Weight]]&gt;0,DbLinkTable[[#This Row],[Price/lb]]*DbLinkTable[[#This Row],[Weight]],0)</f>
        <v>#VALUE!</v>
      </c>
      <c r="U1153" s="79" t="e">
        <f>IF(DbLinkTable[[#This Row],[Price/lb]]*DbLinkTable[[#This Row],[Weight]]&lt;0,DbLinkTable[[#This Row],[Price/lb]]*DbLinkTable[[#This Row],[Weight]],0)</f>
        <v>#VALUE!</v>
      </c>
      <c r="V1153" s="4" t="str">
        <f>IF(COUNTIF($W$2:W1153,W1153)=1,1,"")</f>
        <v/>
      </c>
      <c r="W1153" s="4" t="e">
        <f>CONCATENATE(DbLinkTable[[#This Row],[Customer]],UPPER(DbLinkTable[[#This Row],[Trailer Number]]),DbLinkTable[[#This Row],[Day Received]])</f>
        <v>#VALUE!</v>
      </c>
      <c r="X1153" s="4" t="e">
        <f>DATEVALUE(TEXT(DbLinkTable[[#This Row],[Date Received]],"MMMM YYYY"))</f>
        <v>#VALUE!</v>
      </c>
      <c r="Y1153" s="4" t="e">
        <f>INT(DbLinkTable[[#This Row],[Date Received]])</f>
        <v>#VALUE!</v>
      </c>
    </row>
    <row r="1154" spans="5:25">
      <c r="E1154"/>
      <c r="G1154"/>
      <c r="H1154"/>
      <c r="I1154"/>
      <c r="K1154"/>
      <c r="O1154"/>
      <c r="R1154"/>
      <c r="S1154" s="79" t="e">
        <f>DbLinkTable[[#This Row],[Credit]]+DbLinkTable[[#This Row],[Charge]]</f>
        <v>#VALUE!</v>
      </c>
      <c r="T1154" s="79" t="e">
        <f>IF(DbLinkTable[[#This Row],[Price/lb]]*DbLinkTable[[#This Row],[Weight]]&gt;0,DbLinkTable[[#This Row],[Price/lb]]*DbLinkTable[[#This Row],[Weight]],0)</f>
        <v>#VALUE!</v>
      </c>
      <c r="U1154" s="79" t="e">
        <f>IF(DbLinkTable[[#This Row],[Price/lb]]*DbLinkTable[[#This Row],[Weight]]&lt;0,DbLinkTable[[#This Row],[Price/lb]]*DbLinkTable[[#This Row],[Weight]],0)</f>
        <v>#VALUE!</v>
      </c>
      <c r="V1154" s="4" t="str">
        <f>IF(COUNTIF($W$2:W1154,W1154)=1,1,"")</f>
        <v/>
      </c>
      <c r="W1154" s="4" t="e">
        <f>CONCATENATE(DbLinkTable[[#This Row],[Customer]],UPPER(DbLinkTable[[#This Row],[Trailer Number]]),DbLinkTable[[#This Row],[Day Received]])</f>
        <v>#VALUE!</v>
      </c>
      <c r="X1154" s="4" t="e">
        <f>DATEVALUE(TEXT(DbLinkTable[[#This Row],[Date Received]],"MMMM YYYY"))</f>
        <v>#VALUE!</v>
      </c>
      <c r="Y1154" s="4" t="e">
        <f>INT(DbLinkTable[[#This Row],[Date Received]])</f>
        <v>#VALUE!</v>
      </c>
    </row>
    <row r="1155" spans="5:25">
      <c r="E1155"/>
      <c r="G1155"/>
      <c r="H1155"/>
      <c r="I1155"/>
      <c r="K1155"/>
      <c r="O1155"/>
      <c r="R1155"/>
      <c r="S1155" s="79" t="e">
        <f>DbLinkTable[[#This Row],[Credit]]+DbLinkTable[[#This Row],[Charge]]</f>
        <v>#VALUE!</v>
      </c>
      <c r="T1155" s="79" t="e">
        <f>IF(DbLinkTable[[#This Row],[Price/lb]]*DbLinkTable[[#This Row],[Weight]]&gt;0,DbLinkTable[[#This Row],[Price/lb]]*DbLinkTable[[#This Row],[Weight]],0)</f>
        <v>#VALUE!</v>
      </c>
      <c r="U1155" s="79" t="e">
        <f>IF(DbLinkTable[[#This Row],[Price/lb]]*DbLinkTable[[#This Row],[Weight]]&lt;0,DbLinkTable[[#This Row],[Price/lb]]*DbLinkTable[[#This Row],[Weight]],0)</f>
        <v>#VALUE!</v>
      </c>
      <c r="V1155" s="4" t="str">
        <f>IF(COUNTIF($W$2:W1155,W1155)=1,1,"")</f>
        <v/>
      </c>
      <c r="W1155" s="4" t="e">
        <f>CONCATENATE(DbLinkTable[[#This Row],[Customer]],UPPER(DbLinkTable[[#This Row],[Trailer Number]]),DbLinkTable[[#This Row],[Day Received]])</f>
        <v>#VALUE!</v>
      </c>
      <c r="X1155" s="4" t="e">
        <f>DATEVALUE(TEXT(DbLinkTable[[#This Row],[Date Received]],"MMMM YYYY"))</f>
        <v>#VALUE!</v>
      </c>
      <c r="Y1155" s="4" t="e">
        <f>INT(DbLinkTable[[#This Row],[Date Received]])</f>
        <v>#VALUE!</v>
      </c>
    </row>
    <row r="1156" spans="5:25">
      <c r="E1156"/>
      <c r="G1156"/>
      <c r="H1156"/>
      <c r="I1156"/>
      <c r="K1156"/>
      <c r="O1156"/>
      <c r="R1156"/>
      <c r="S1156" s="79" t="e">
        <f>DbLinkTable[[#This Row],[Credit]]+DbLinkTable[[#This Row],[Charge]]</f>
        <v>#VALUE!</v>
      </c>
      <c r="T1156" s="79" t="e">
        <f>IF(DbLinkTable[[#This Row],[Price/lb]]*DbLinkTable[[#This Row],[Weight]]&gt;0,DbLinkTable[[#This Row],[Price/lb]]*DbLinkTable[[#This Row],[Weight]],0)</f>
        <v>#VALUE!</v>
      </c>
      <c r="U1156" s="79" t="e">
        <f>IF(DbLinkTable[[#This Row],[Price/lb]]*DbLinkTable[[#This Row],[Weight]]&lt;0,DbLinkTable[[#This Row],[Price/lb]]*DbLinkTable[[#This Row],[Weight]],0)</f>
        <v>#VALUE!</v>
      </c>
      <c r="V1156" s="4" t="str">
        <f>IF(COUNTIF($W$2:W1156,W1156)=1,1,"")</f>
        <v/>
      </c>
      <c r="W1156" s="4" t="e">
        <f>CONCATENATE(DbLinkTable[[#This Row],[Customer]],UPPER(DbLinkTable[[#This Row],[Trailer Number]]),DbLinkTable[[#This Row],[Day Received]])</f>
        <v>#VALUE!</v>
      </c>
      <c r="X1156" s="4" t="e">
        <f>DATEVALUE(TEXT(DbLinkTable[[#This Row],[Date Received]],"MMMM YYYY"))</f>
        <v>#VALUE!</v>
      </c>
      <c r="Y1156" s="4" t="e">
        <f>INT(DbLinkTable[[#This Row],[Date Received]])</f>
        <v>#VALUE!</v>
      </c>
    </row>
    <row r="1157" spans="5:25">
      <c r="E1157"/>
      <c r="G1157"/>
      <c r="H1157"/>
      <c r="I1157"/>
      <c r="K1157"/>
      <c r="O1157"/>
      <c r="R1157"/>
      <c r="S1157" s="79" t="e">
        <f>DbLinkTable[[#This Row],[Credit]]+DbLinkTable[[#This Row],[Charge]]</f>
        <v>#VALUE!</v>
      </c>
      <c r="T1157" s="79" t="e">
        <f>IF(DbLinkTable[[#This Row],[Price/lb]]*DbLinkTable[[#This Row],[Weight]]&gt;0,DbLinkTable[[#This Row],[Price/lb]]*DbLinkTable[[#This Row],[Weight]],0)</f>
        <v>#VALUE!</v>
      </c>
      <c r="U1157" s="79" t="e">
        <f>IF(DbLinkTable[[#This Row],[Price/lb]]*DbLinkTable[[#This Row],[Weight]]&lt;0,DbLinkTable[[#This Row],[Price/lb]]*DbLinkTable[[#This Row],[Weight]],0)</f>
        <v>#VALUE!</v>
      </c>
      <c r="V1157" s="4" t="str">
        <f>IF(COUNTIF($W$2:W1157,W1157)=1,1,"")</f>
        <v/>
      </c>
      <c r="W1157" s="4" t="e">
        <f>CONCATENATE(DbLinkTable[[#This Row],[Customer]],UPPER(DbLinkTable[[#This Row],[Trailer Number]]),DbLinkTable[[#This Row],[Day Received]])</f>
        <v>#VALUE!</v>
      </c>
      <c r="X1157" s="4" t="e">
        <f>DATEVALUE(TEXT(DbLinkTable[[#This Row],[Date Received]],"MMMM YYYY"))</f>
        <v>#VALUE!</v>
      </c>
      <c r="Y1157" s="4" t="e">
        <f>INT(DbLinkTable[[#This Row],[Date Received]])</f>
        <v>#VALUE!</v>
      </c>
    </row>
    <row r="1158" spans="5:25">
      <c r="E1158"/>
      <c r="G1158"/>
      <c r="H1158"/>
      <c r="I1158"/>
      <c r="K1158"/>
      <c r="O1158"/>
      <c r="R1158"/>
      <c r="S1158" s="79" t="e">
        <f>DbLinkTable[[#This Row],[Credit]]+DbLinkTable[[#This Row],[Charge]]</f>
        <v>#VALUE!</v>
      </c>
      <c r="T1158" s="79" t="e">
        <f>IF(DbLinkTable[[#This Row],[Price/lb]]*DbLinkTable[[#This Row],[Weight]]&gt;0,DbLinkTable[[#This Row],[Price/lb]]*DbLinkTable[[#This Row],[Weight]],0)</f>
        <v>#VALUE!</v>
      </c>
      <c r="U1158" s="79" t="e">
        <f>IF(DbLinkTable[[#This Row],[Price/lb]]*DbLinkTable[[#This Row],[Weight]]&lt;0,DbLinkTable[[#This Row],[Price/lb]]*DbLinkTable[[#This Row],[Weight]],0)</f>
        <v>#VALUE!</v>
      </c>
      <c r="V1158" s="4" t="str">
        <f>IF(COUNTIF($W$2:W1158,W1158)=1,1,"")</f>
        <v/>
      </c>
      <c r="W1158" s="4" t="e">
        <f>CONCATENATE(DbLinkTable[[#This Row],[Customer]],UPPER(DbLinkTable[[#This Row],[Trailer Number]]),DbLinkTable[[#This Row],[Day Received]])</f>
        <v>#VALUE!</v>
      </c>
      <c r="X1158" s="4" t="e">
        <f>DATEVALUE(TEXT(DbLinkTable[[#This Row],[Date Received]],"MMMM YYYY"))</f>
        <v>#VALUE!</v>
      </c>
      <c r="Y1158" s="4" t="e">
        <f>INT(DbLinkTable[[#This Row],[Date Received]])</f>
        <v>#VALUE!</v>
      </c>
    </row>
    <row r="1159" spans="5:25">
      <c r="E1159"/>
      <c r="G1159"/>
      <c r="H1159"/>
      <c r="I1159"/>
      <c r="K1159"/>
      <c r="O1159"/>
      <c r="R1159"/>
      <c r="S1159" s="79" t="e">
        <f>DbLinkTable[[#This Row],[Credit]]+DbLinkTable[[#This Row],[Charge]]</f>
        <v>#VALUE!</v>
      </c>
      <c r="T1159" s="79" t="e">
        <f>IF(DbLinkTable[[#This Row],[Price/lb]]*DbLinkTable[[#This Row],[Weight]]&gt;0,DbLinkTable[[#This Row],[Price/lb]]*DbLinkTable[[#This Row],[Weight]],0)</f>
        <v>#VALUE!</v>
      </c>
      <c r="U1159" s="79" t="e">
        <f>IF(DbLinkTable[[#This Row],[Price/lb]]*DbLinkTable[[#This Row],[Weight]]&lt;0,DbLinkTable[[#This Row],[Price/lb]]*DbLinkTable[[#This Row],[Weight]],0)</f>
        <v>#VALUE!</v>
      </c>
      <c r="V1159" s="4" t="str">
        <f>IF(COUNTIF($W$2:W1159,W1159)=1,1,"")</f>
        <v/>
      </c>
      <c r="W1159" s="4" t="e">
        <f>CONCATENATE(DbLinkTable[[#This Row],[Customer]],UPPER(DbLinkTable[[#This Row],[Trailer Number]]),DbLinkTable[[#This Row],[Day Received]])</f>
        <v>#VALUE!</v>
      </c>
      <c r="X1159" s="4" t="e">
        <f>DATEVALUE(TEXT(DbLinkTable[[#This Row],[Date Received]],"MMMM YYYY"))</f>
        <v>#VALUE!</v>
      </c>
      <c r="Y1159" s="4" t="e">
        <f>INT(DbLinkTable[[#This Row],[Date Received]])</f>
        <v>#VALUE!</v>
      </c>
    </row>
    <row r="1160" spans="5:25">
      <c r="E1160"/>
      <c r="G1160"/>
      <c r="H1160"/>
      <c r="I1160"/>
      <c r="K1160"/>
      <c r="O1160"/>
      <c r="R1160"/>
      <c r="S1160" s="79" t="e">
        <f>DbLinkTable[[#This Row],[Credit]]+DbLinkTable[[#This Row],[Charge]]</f>
        <v>#VALUE!</v>
      </c>
      <c r="T1160" s="79" t="e">
        <f>IF(DbLinkTable[[#This Row],[Price/lb]]*DbLinkTable[[#This Row],[Weight]]&gt;0,DbLinkTable[[#This Row],[Price/lb]]*DbLinkTable[[#This Row],[Weight]],0)</f>
        <v>#VALUE!</v>
      </c>
      <c r="U1160" s="79" t="e">
        <f>IF(DbLinkTable[[#This Row],[Price/lb]]*DbLinkTable[[#This Row],[Weight]]&lt;0,DbLinkTable[[#This Row],[Price/lb]]*DbLinkTable[[#This Row],[Weight]],0)</f>
        <v>#VALUE!</v>
      </c>
      <c r="V1160" s="4" t="str">
        <f>IF(COUNTIF($W$2:W1160,W1160)=1,1,"")</f>
        <v/>
      </c>
      <c r="W1160" s="4" t="e">
        <f>CONCATENATE(DbLinkTable[[#This Row],[Customer]],UPPER(DbLinkTable[[#This Row],[Trailer Number]]),DbLinkTable[[#This Row],[Day Received]])</f>
        <v>#VALUE!</v>
      </c>
      <c r="X1160" s="4" t="e">
        <f>DATEVALUE(TEXT(DbLinkTable[[#This Row],[Date Received]],"MMMM YYYY"))</f>
        <v>#VALUE!</v>
      </c>
      <c r="Y1160" s="4" t="e">
        <f>INT(DbLinkTable[[#This Row],[Date Received]])</f>
        <v>#VALUE!</v>
      </c>
    </row>
    <row r="1161" spans="5:25">
      <c r="E1161"/>
      <c r="G1161"/>
      <c r="H1161"/>
      <c r="I1161"/>
      <c r="K1161"/>
      <c r="O1161"/>
      <c r="R1161"/>
      <c r="S1161" s="79" t="e">
        <f>DbLinkTable[[#This Row],[Credit]]+DbLinkTable[[#This Row],[Charge]]</f>
        <v>#VALUE!</v>
      </c>
      <c r="T1161" s="79" t="e">
        <f>IF(DbLinkTable[[#This Row],[Price/lb]]*DbLinkTable[[#This Row],[Weight]]&gt;0,DbLinkTable[[#This Row],[Price/lb]]*DbLinkTable[[#This Row],[Weight]],0)</f>
        <v>#VALUE!</v>
      </c>
      <c r="U1161" s="79" t="e">
        <f>IF(DbLinkTable[[#This Row],[Price/lb]]*DbLinkTable[[#This Row],[Weight]]&lt;0,DbLinkTable[[#This Row],[Price/lb]]*DbLinkTable[[#This Row],[Weight]],0)</f>
        <v>#VALUE!</v>
      </c>
      <c r="V1161" s="4" t="str">
        <f>IF(COUNTIF($W$2:W1161,W1161)=1,1,"")</f>
        <v/>
      </c>
      <c r="W1161" s="4" t="e">
        <f>CONCATENATE(DbLinkTable[[#This Row],[Customer]],UPPER(DbLinkTable[[#This Row],[Trailer Number]]),DbLinkTable[[#This Row],[Day Received]])</f>
        <v>#VALUE!</v>
      </c>
      <c r="X1161" s="4" t="e">
        <f>DATEVALUE(TEXT(DbLinkTable[[#This Row],[Date Received]],"MMMM YYYY"))</f>
        <v>#VALUE!</v>
      </c>
      <c r="Y1161" s="4" t="e">
        <f>INT(DbLinkTable[[#This Row],[Date Received]])</f>
        <v>#VALUE!</v>
      </c>
    </row>
    <row r="1162" spans="5:25">
      <c r="E1162"/>
      <c r="G1162"/>
      <c r="H1162"/>
      <c r="I1162"/>
      <c r="K1162"/>
      <c r="O1162"/>
      <c r="R1162"/>
      <c r="S1162" s="79" t="e">
        <f>DbLinkTable[[#This Row],[Credit]]+DbLinkTable[[#This Row],[Charge]]</f>
        <v>#VALUE!</v>
      </c>
      <c r="T1162" s="79" t="e">
        <f>IF(DbLinkTable[[#This Row],[Price/lb]]*DbLinkTable[[#This Row],[Weight]]&gt;0,DbLinkTable[[#This Row],[Price/lb]]*DbLinkTable[[#This Row],[Weight]],0)</f>
        <v>#VALUE!</v>
      </c>
      <c r="U1162" s="79" t="e">
        <f>IF(DbLinkTable[[#This Row],[Price/lb]]*DbLinkTable[[#This Row],[Weight]]&lt;0,DbLinkTable[[#This Row],[Price/lb]]*DbLinkTable[[#This Row],[Weight]],0)</f>
        <v>#VALUE!</v>
      </c>
      <c r="V1162" s="4" t="str">
        <f>IF(COUNTIF($W$2:W1162,W1162)=1,1,"")</f>
        <v/>
      </c>
      <c r="W1162" s="4" t="e">
        <f>CONCATENATE(DbLinkTable[[#This Row],[Customer]],UPPER(DbLinkTable[[#This Row],[Trailer Number]]),DbLinkTable[[#This Row],[Day Received]])</f>
        <v>#VALUE!</v>
      </c>
      <c r="X1162" s="4" t="e">
        <f>DATEVALUE(TEXT(DbLinkTable[[#This Row],[Date Received]],"MMMM YYYY"))</f>
        <v>#VALUE!</v>
      </c>
      <c r="Y1162" s="4" t="e">
        <f>INT(DbLinkTable[[#This Row],[Date Received]])</f>
        <v>#VALUE!</v>
      </c>
    </row>
    <row r="1163" spans="5:25">
      <c r="E1163"/>
      <c r="G1163"/>
      <c r="H1163"/>
      <c r="I1163"/>
      <c r="K1163"/>
      <c r="O1163"/>
      <c r="R1163"/>
      <c r="S1163" s="79" t="e">
        <f>DbLinkTable[[#This Row],[Credit]]+DbLinkTable[[#This Row],[Charge]]</f>
        <v>#VALUE!</v>
      </c>
      <c r="T1163" s="79" t="e">
        <f>IF(DbLinkTable[[#This Row],[Price/lb]]*DbLinkTable[[#This Row],[Weight]]&gt;0,DbLinkTable[[#This Row],[Price/lb]]*DbLinkTable[[#This Row],[Weight]],0)</f>
        <v>#VALUE!</v>
      </c>
      <c r="U1163" s="79" t="e">
        <f>IF(DbLinkTable[[#This Row],[Price/lb]]*DbLinkTable[[#This Row],[Weight]]&lt;0,DbLinkTable[[#This Row],[Price/lb]]*DbLinkTable[[#This Row],[Weight]],0)</f>
        <v>#VALUE!</v>
      </c>
      <c r="V1163" s="4" t="str">
        <f>IF(COUNTIF($W$2:W1163,W1163)=1,1,"")</f>
        <v/>
      </c>
      <c r="W1163" s="4" t="e">
        <f>CONCATENATE(DbLinkTable[[#This Row],[Customer]],UPPER(DbLinkTable[[#This Row],[Trailer Number]]),DbLinkTable[[#This Row],[Day Received]])</f>
        <v>#VALUE!</v>
      </c>
      <c r="X1163" s="4" t="e">
        <f>DATEVALUE(TEXT(DbLinkTable[[#This Row],[Date Received]],"MMMM YYYY"))</f>
        <v>#VALUE!</v>
      </c>
      <c r="Y1163" s="4" t="e">
        <f>INT(DbLinkTable[[#This Row],[Date Received]])</f>
        <v>#VALUE!</v>
      </c>
    </row>
    <row r="1164" spans="5:25">
      <c r="E1164"/>
      <c r="G1164"/>
      <c r="H1164"/>
      <c r="I1164"/>
      <c r="K1164"/>
      <c r="O1164"/>
      <c r="R1164"/>
      <c r="S1164" s="79" t="e">
        <f>DbLinkTable[[#This Row],[Credit]]+DbLinkTable[[#This Row],[Charge]]</f>
        <v>#VALUE!</v>
      </c>
      <c r="T1164" s="79" t="e">
        <f>IF(DbLinkTable[[#This Row],[Price/lb]]*DbLinkTable[[#This Row],[Weight]]&gt;0,DbLinkTable[[#This Row],[Price/lb]]*DbLinkTable[[#This Row],[Weight]],0)</f>
        <v>#VALUE!</v>
      </c>
      <c r="U1164" s="79" t="e">
        <f>IF(DbLinkTable[[#This Row],[Price/lb]]*DbLinkTable[[#This Row],[Weight]]&lt;0,DbLinkTable[[#This Row],[Price/lb]]*DbLinkTable[[#This Row],[Weight]],0)</f>
        <v>#VALUE!</v>
      </c>
      <c r="V1164" s="4" t="str">
        <f>IF(COUNTIF($W$2:W1164,W1164)=1,1,"")</f>
        <v/>
      </c>
      <c r="W1164" s="4" t="e">
        <f>CONCATENATE(DbLinkTable[[#This Row],[Customer]],UPPER(DbLinkTable[[#This Row],[Trailer Number]]),DbLinkTable[[#This Row],[Day Received]])</f>
        <v>#VALUE!</v>
      </c>
      <c r="X1164" s="4" t="e">
        <f>DATEVALUE(TEXT(DbLinkTable[[#This Row],[Date Received]],"MMMM YYYY"))</f>
        <v>#VALUE!</v>
      </c>
      <c r="Y1164" s="4" t="e">
        <f>INT(DbLinkTable[[#This Row],[Date Received]])</f>
        <v>#VALUE!</v>
      </c>
    </row>
    <row r="1165" spans="5:25">
      <c r="E1165"/>
      <c r="G1165"/>
      <c r="H1165"/>
      <c r="I1165"/>
      <c r="K1165"/>
      <c r="O1165"/>
      <c r="R1165"/>
      <c r="S1165" s="79" t="e">
        <f>DbLinkTable[[#This Row],[Credit]]+DbLinkTable[[#This Row],[Charge]]</f>
        <v>#VALUE!</v>
      </c>
      <c r="T1165" s="79" t="e">
        <f>IF(DbLinkTable[[#This Row],[Price/lb]]*DbLinkTable[[#This Row],[Weight]]&gt;0,DbLinkTable[[#This Row],[Price/lb]]*DbLinkTable[[#This Row],[Weight]],0)</f>
        <v>#VALUE!</v>
      </c>
      <c r="U1165" s="79" t="e">
        <f>IF(DbLinkTable[[#This Row],[Price/lb]]*DbLinkTable[[#This Row],[Weight]]&lt;0,DbLinkTable[[#This Row],[Price/lb]]*DbLinkTable[[#This Row],[Weight]],0)</f>
        <v>#VALUE!</v>
      </c>
      <c r="V1165" s="4" t="str">
        <f>IF(COUNTIF($W$2:W1165,W1165)=1,1,"")</f>
        <v/>
      </c>
      <c r="W1165" s="4" t="e">
        <f>CONCATENATE(DbLinkTable[[#This Row],[Customer]],UPPER(DbLinkTable[[#This Row],[Trailer Number]]),DbLinkTable[[#This Row],[Day Received]])</f>
        <v>#VALUE!</v>
      </c>
      <c r="X1165" s="4" t="e">
        <f>DATEVALUE(TEXT(DbLinkTable[[#This Row],[Date Received]],"MMMM YYYY"))</f>
        <v>#VALUE!</v>
      </c>
      <c r="Y1165" s="4" t="e">
        <f>INT(DbLinkTable[[#This Row],[Date Received]])</f>
        <v>#VALUE!</v>
      </c>
    </row>
    <row r="1166" spans="5:25">
      <c r="E1166"/>
      <c r="G1166"/>
      <c r="H1166"/>
      <c r="I1166"/>
      <c r="K1166"/>
      <c r="O1166"/>
      <c r="R1166"/>
      <c r="S1166" s="79" t="e">
        <f>DbLinkTable[[#This Row],[Credit]]+DbLinkTable[[#This Row],[Charge]]</f>
        <v>#VALUE!</v>
      </c>
      <c r="T1166" s="79" t="e">
        <f>IF(DbLinkTable[[#This Row],[Price/lb]]*DbLinkTable[[#This Row],[Weight]]&gt;0,DbLinkTable[[#This Row],[Price/lb]]*DbLinkTable[[#This Row],[Weight]],0)</f>
        <v>#VALUE!</v>
      </c>
      <c r="U1166" s="79" t="e">
        <f>IF(DbLinkTable[[#This Row],[Price/lb]]*DbLinkTable[[#This Row],[Weight]]&lt;0,DbLinkTable[[#This Row],[Price/lb]]*DbLinkTable[[#This Row],[Weight]],0)</f>
        <v>#VALUE!</v>
      </c>
      <c r="V1166" s="4" t="str">
        <f>IF(COUNTIF($W$2:W1166,W1166)=1,1,"")</f>
        <v/>
      </c>
      <c r="W1166" s="4" t="e">
        <f>CONCATENATE(DbLinkTable[[#This Row],[Customer]],UPPER(DbLinkTable[[#This Row],[Trailer Number]]),DbLinkTable[[#This Row],[Day Received]])</f>
        <v>#VALUE!</v>
      </c>
      <c r="X1166" s="4" t="e">
        <f>DATEVALUE(TEXT(DbLinkTable[[#This Row],[Date Received]],"MMMM YYYY"))</f>
        <v>#VALUE!</v>
      </c>
      <c r="Y1166" s="4" t="e">
        <f>INT(DbLinkTable[[#This Row],[Date Received]])</f>
        <v>#VALUE!</v>
      </c>
    </row>
    <row r="1167" spans="5:25">
      <c r="E1167"/>
      <c r="G1167"/>
      <c r="H1167"/>
      <c r="I1167"/>
      <c r="K1167"/>
      <c r="O1167"/>
      <c r="R1167"/>
      <c r="S1167" s="79" t="e">
        <f>DbLinkTable[[#This Row],[Credit]]+DbLinkTable[[#This Row],[Charge]]</f>
        <v>#VALUE!</v>
      </c>
      <c r="T1167" s="79" t="e">
        <f>IF(DbLinkTable[[#This Row],[Price/lb]]*DbLinkTable[[#This Row],[Weight]]&gt;0,DbLinkTable[[#This Row],[Price/lb]]*DbLinkTable[[#This Row],[Weight]],0)</f>
        <v>#VALUE!</v>
      </c>
      <c r="U1167" s="79" t="e">
        <f>IF(DbLinkTable[[#This Row],[Price/lb]]*DbLinkTable[[#This Row],[Weight]]&lt;0,DbLinkTable[[#This Row],[Price/lb]]*DbLinkTable[[#This Row],[Weight]],0)</f>
        <v>#VALUE!</v>
      </c>
      <c r="V1167" s="4" t="str">
        <f>IF(COUNTIF($W$2:W1167,W1167)=1,1,"")</f>
        <v/>
      </c>
      <c r="W1167" s="4" t="e">
        <f>CONCATENATE(DbLinkTable[[#This Row],[Customer]],UPPER(DbLinkTable[[#This Row],[Trailer Number]]),DbLinkTable[[#This Row],[Day Received]])</f>
        <v>#VALUE!</v>
      </c>
      <c r="X1167" s="4" t="e">
        <f>DATEVALUE(TEXT(DbLinkTable[[#This Row],[Date Received]],"MMMM YYYY"))</f>
        <v>#VALUE!</v>
      </c>
      <c r="Y1167" s="4" t="e">
        <f>INT(DbLinkTable[[#This Row],[Date Received]])</f>
        <v>#VALUE!</v>
      </c>
    </row>
    <row r="1168" spans="5:25">
      <c r="E1168"/>
      <c r="G1168"/>
      <c r="H1168"/>
      <c r="I1168"/>
      <c r="K1168"/>
      <c r="O1168"/>
      <c r="R1168"/>
      <c r="S1168" s="79" t="e">
        <f>DbLinkTable[[#This Row],[Credit]]+DbLinkTable[[#This Row],[Charge]]</f>
        <v>#VALUE!</v>
      </c>
      <c r="T1168" s="79" t="e">
        <f>IF(DbLinkTable[[#This Row],[Price/lb]]*DbLinkTable[[#This Row],[Weight]]&gt;0,DbLinkTable[[#This Row],[Price/lb]]*DbLinkTable[[#This Row],[Weight]],0)</f>
        <v>#VALUE!</v>
      </c>
      <c r="U1168" s="79" t="e">
        <f>IF(DbLinkTable[[#This Row],[Price/lb]]*DbLinkTable[[#This Row],[Weight]]&lt;0,DbLinkTable[[#This Row],[Price/lb]]*DbLinkTable[[#This Row],[Weight]],0)</f>
        <v>#VALUE!</v>
      </c>
      <c r="V1168" s="4" t="str">
        <f>IF(COUNTIF($W$2:W1168,W1168)=1,1,"")</f>
        <v/>
      </c>
      <c r="W1168" s="4" t="e">
        <f>CONCATENATE(DbLinkTable[[#This Row],[Customer]],UPPER(DbLinkTable[[#This Row],[Trailer Number]]),DbLinkTable[[#This Row],[Day Received]])</f>
        <v>#VALUE!</v>
      </c>
      <c r="X1168" s="4" t="e">
        <f>DATEVALUE(TEXT(DbLinkTable[[#This Row],[Date Received]],"MMMM YYYY"))</f>
        <v>#VALUE!</v>
      </c>
      <c r="Y1168" s="4" t="e">
        <f>INT(DbLinkTable[[#This Row],[Date Received]])</f>
        <v>#VALUE!</v>
      </c>
    </row>
    <row r="1169" spans="5:25">
      <c r="E1169"/>
      <c r="G1169"/>
      <c r="H1169"/>
      <c r="I1169"/>
      <c r="K1169"/>
      <c r="O1169"/>
      <c r="R1169"/>
      <c r="S1169" s="79" t="e">
        <f>DbLinkTable[[#This Row],[Credit]]+DbLinkTable[[#This Row],[Charge]]</f>
        <v>#VALUE!</v>
      </c>
      <c r="T1169" s="79" t="e">
        <f>IF(DbLinkTable[[#This Row],[Price/lb]]*DbLinkTable[[#This Row],[Weight]]&gt;0,DbLinkTable[[#This Row],[Price/lb]]*DbLinkTable[[#This Row],[Weight]],0)</f>
        <v>#VALUE!</v>
      </c>
      <c r="U1169" s="79" t="e">
        <f>IF(DbLinkTable[[#This Row],[Price/lb]]*DbLinkTable[[#This Row],[Weight]]&lt;0,DbLinkTable[[#This Row],[Price/lb]]*DbLinkTable[[#This Row],[Weight]],0)</f>
        <v>#VALUE!</v>
      </c>
      <c r="V1169" s="4" t="str">
        <f>IF(COUNTIF($W$2:W1169,W1169)=1,1,"")</f>
        <v/>
      </c>
      <c r="W1169" s="4" t="e">
        <f>CONCATENATE(DbLinkTable[[#This Row],[Customer]],UPPER(DbLinkTable[[#This Row],[Trailer Number]]),DbLinkTable[[#This Row],[Day Received]])</f>
        <v>#VALUE!</v>
      </c>
      <c r="X1169" s="4" t="e">
        <f>DATEVALUE(TEXT(DbLinkTable[[#This Row],[Date Received]],"MMMM YYYY"))</f>
        <v>#VALUE!</v>
      </c>
      <c r="Y1169" s="4" t="e">
        <f>INT(DbLinkTable[[#This Row],[Date Received]])</f>
        <v>#VALUE!</v>
      </c>
    </row>
    <row r="1170" spans="5:25">
      <c r="E1170"/>
      <c r="G1170"/>
      <c r="H1170"/>
      <c r="I1170"/>
      <c r="K1170"/>
      <c r="O1170"/>
      <c r="R1170"/>
      <c r="S1170" s="79" t="e">
        <f>DbLinkTable[[#This Row],[Credit]]+DbLinkTable[[#This Row],[Charge]]</f>
        <v>#VALUE!</v>
      </c>
      <c r="T1170" s="79" t="e">
        <f>IF(DbLinkTable[[#This Row],[Price/lb]]*DbLinkTable[[#This Row],[Weight]]&gt;0,DbLinkTable[[#This Row],[Price/lb]]*DbLinkTable[[#This Row],[Weight]],0)</f>
        <v>#VALUE!</v>
      </c>
      <c r="U1170" s="79" t="e">
        <f>IF(DbLinkTable[[#This Row],[Price/lb]]*DbLinkTable[[#This Row],[Weight]]&lt;0,DbLinkTable[[#This Row],[Price/lb]]*DbLinkTable[[#This Row],[Weight]],0)</f>
        <v>#VALUE!</v>
      </c>
      <c r="V1170" s="4" t="str">
        <f>IF(COUNTIF($W$2:W1170,W1170)=1,1,"")</f>
        <v/>
      </c>
      <c r="W1170" s="4" t="e">
        <f>CONCATENATE(DbLinkTable[[#This Row],[Customer]],UPPER(DbLinkTable[[#This Row],[Trailer Number]]),DbLinkTable[[#This Row],[Day Received]])</f>
        <v>#VALUE!</v>
      </c>
      <c r="X1170" s="4" t="e">
        <f>DATEVALUE(TEXT(DbLinkTable[[#This Row],[Date Received]],"MMMM YYYY"))</f>
        <v>#VALUE!</v>
      </c>
      <c r="Y1170" s="4" t="e">
        <f>INT(DbLinkTable[[#This Row],[Date Received]])</f>
        <v>#VALUE!</v>
      </c>
    </row>
    <row r="1171" spans="5:25">
      <c r="E1171"/>
      <c r="G1171"/>
      <c r="H1171"/>
      <c r="I1171"/>
      <c r="K1171"/>
      <c r="O1171"/>
      <c r="R1171"/>
      <c r="S1171" s="79" t="e">
        <f>DbLinkTable[[#This Row],[Credit]]+DbLinkTable[[#This Row],[Charge]]</f>
        <v>#VALUE!</v>
      </c>
      <c r="T1171" s="79" t="e">
        <f>IF(DbLinkTable[[#This Row],[Price/lb]]*DbLinkTable[[#This Row],[Weight]]&gt;0,DbLinkTable[[#This Row],[Price/lb]]*DbLinkTable[[#This Row],[Weight]],0)</f>
        <v>#VALUE!</v>
      </c>
      <c r="U1171" s="79" t="e">
        <f>IF(DbLinkTable[[#This Row],[Price/lb]]*DbLinkTable[[#This Row],[Weight]]&lt;0,DbLinkTable[[#This Row],[Price/lb]]*DbLinkTable[[#This Row],[Weight]],0)</f>
        <v>#VALUE!</v>
      </c>
      <c r="V1171" s="4" t="str">
        <f>IF(COUNTIF($W$2:W1171,W1171)=1,1,"")</f>
        <v/>
      </c>
      <c r="W1171" s="4" t="e">
        <f>CONCATENATE(DbLinkTable[[#This Row],[Customer]],UPPER(DbLinkTable[[#This Row],[Trailer Number]]),DbLinkTable[[#This Row],[Day Received]])</f>
        <v>#VALUE!</v>
      </c>
      <c r="X1171" s="4" t="e">
        <f>DATEVALUE(TEXT(DbLinkTable[[#This Row],[Date Received]],"MMMM YYYY"))</f>
        <v>#VALUE!</v>
      </c>
      <c r="Y1171" s="4" t="e">
        <f>INT(DbLinkTable[[#This Row],[Date Received]])</f>
        <v>#VALUE!</v>
      </c>
    </row>
    <row r="1172" spans="5:25">
      <c r="E1172"/>
      <c r="G1172"/>
      <c r="H1172"/>
      <c r="I1172"/>
      <c r="K1172"/>
      <c r="O1172"/>
      <c r="R1172"/>
      <c r="S1172" s="79" t="e">
        <f>DbLinkTable[[#This Row],[Credit]]+DbLinkTable[[#This Row],[Charge]]</f>
        <v>#VALUE!</v>
      </c>
      <c r="T1172" s="79" t="e">
        <f>IF(DbLinkTable[[#This Row],[Price/lb]]*DbLinkTable[[#This Row],[Weight]]&gt;0,DbLinkTable[[#This Row],[Price/lb]]*DbLinkTable[[#This Row],[Weight]],0)</f>
        <v>#VALUE!</v>
      </c>
      <c r="U1172" s="79" t="e">
        <f>IF(DbLinkTable[[#This Row],[Price/lb]]*DbLinkTable[[#This Row],[Weight]]&lt;0,DbLinkTable[[#This Row],[Price/lb]]*DbLinkTable[[#This Row],[Weight]],0)</f>
        <v>#VALUE!</v>
      </c>
      <c r="V1172" s="4" t="str">
        <f>IF(COUNTIF($W$2:W1172,W1172)=1,1,"")</f>
        <v/>
      </c>
      <c r="W1172" s="4" t="e">
        <f>CONCATENATE(DbLinkTable[[#This Row],[Customer]],UPPER(DbLinkTable[[#This Row],[Trailer Number]]),DbLinkTable[[#This Row],[Day Received]])</f>
        <v>#VALUE!</v>
      </c>
      <c r="X1172" s="4" t="e">
        <f>DATEVALUE(TEXT(DbLinkTable[[#This Row],[Date Received]],"MMMM YYYY"))</f>
        <v>#VALUE!</v>
      </c>
      <c r="Y1172" s="4" t="e">
        <f>INT(DbLinkTable[[#This Row],[Date Received]])</f>
        <v>#VALUE!</v>
      </c>
    </row>
    <row r="1173" spans="5:25">
      <c r="E1173"/>
      <c r="G1173"/>
      <c r="H1173"/>
      <c r="I1173"/>
      <c r="K1173"/>
      <c r="O1173"/>
      <c r="R1173"/>
      <c r="S1173" s="79" t="e">
        <f>DbLinkTable[[#This Row],[Credit]]+DbLinkTable[[#This Row],[Charge]]</f>
        <v>#VALUE!</v>
      </c>
      <c r="T1173" s="79" t="e">
        <f>IF(DbLinkTable[[#This Row],[Price/lb]]*DbLinkTable[[#This Row],[Weight]]&gt;0,DbLinkTable[[#This Row],[Price/lb]]*DbLinkTable[[#This Row],[Weight]],0)</f>
        <v>#VALUE!</v>
      </c>
      <c r="U1173" s="79" t="e">
        <f>IF(DbLinkTable[[#This Row],[Price/lb]]*DbLinkTable[[#This Row],[Weight]]&lt;0,DbLinkTable[[#This Row],[Price/lb]]*DbLinkTable[[#This Row],[Weight]],0)</f>
        <v>#VALUE!</v>
      </c>
      <c r="V1173" s="4" t="str">
        <f>IF(COUNTIF($W$2:W1173,W1173)=1,1,"")</f>
        <v/>
      </c>
      <c r="W1173" s="4" t="e">
        <f>CONCATENATE(DbLinkTable[[#This Row],[Customer]],UPPER(DbLinkTable[[#This Row],[Trailer Number]]),DbLinkTable[[#This Row],[Day Received]])</f>
        <v>#VALUE!</v>
      </c>
      <c r="X1173" s="4" t="e">
        <f>DATEVALUE(TEXT(DbLinkTable[[#This Row],[Date Received]],"MMMM YYYY"))</f>
        <v>#VALUE!</v>
      </c>
      <c r="Y1173" s="4" t="e">
        <f>INT(DbLinkTable[[#This Row],[Date Received]])</f>
        <v>#VALUE!</v>
      </c>
    </row>
    <row r="1174" spans="5:25">
      <c r="E1174"/>
      <c r="G1174"/>
      <c r="H1174"/>
      <c r="I1174"/>
      <c r="K1174"/>
      <c r="O1174"/>
      <c r="R1174"/>
      <c r="S1174" s="79" t="e">
        <f>DbLinkTable[[#This Row],[Credit]]+DbLinkTable[[#This Row],[Charge]]</f>
        <v>#VALUE!</v>
      </c>
      <c r="T1174" s="79" t="e">
        <f>IF(DbLinkTable[[#This Row],[Price/lb]]*DbLinkTable[[#This Row],[Weight]]&gt;0,DbLinkTable[[#This Row],[Price/lb]]*DbLinkTable[[#This Row],[Weight]],0)</f>
        <v>#VALUE!</v>
      </c>
      <c r="U1174" s="79" t="e">
        <f>IF(DbLinkTable[[#This Row],[Price/lb]]*DbLinkTable[[#This Row],[Weight]]&lt;0,DbLinkTable[[#This Row],[Price/lb]]*DbLinkTable[[#This Row],[Weight]],0)</f>
        <v>#VALUE!</v>
      </c>
      <c r="V1174" s="4" t="str">
        <f>IF(COUNTIF($W$2:W1174,W1174)=1,1,"")</f>
        <v/>
      </c>
      <c r="W1174" s="4" t="e">
        <f>CONCATENATE(DbLinkTable[[#This Row],[Customer]],UPPER(DbLinkTable[[#This Row],[Trailer Number]]),DbLinkTable[[#This Row],[Day Received]])</f>
        <v>#VALUE!</v>
      </c>
      <c r="X1174" s="4" t="e">
        <f>DATEVALUE(TEXT(DbLinkTable[[#This Row],[Date Received]],"MMMM YYYY"))</f>
        <v>#VALUE!</v>
      </c>
      <c r="Y1174" s="4" t="e">
        <f>INT(DbLinkTable[[#This Row],[Date Received]])</f>
        <v>#VALUE!</v>
      </c>
    </row>
    <row r="1175" spans="5:25">
      <c r="E1175"/>
      <c r="G1175"/>
      <c r="H1175"/>
      <c r="I1175"/>
      <c r="K1175"/>
      <c r="O1175"/>
      <c r="R1175"/>
      <c r="S1175" s="79" t="e">
        <f>DbLinkTable[[#This Row],[Credit]]+DbLinkTable[[#This Row],[Charge]]</f>
        <v>#VALUE!</v>
      </c>
      <c r="T1175" s="79" t="e">
        <f>IF(DbLinkTable[[#This Row],[Price/lb]]*DbLinkTable[[#This Row],[Weight]]&gt;0,DbLinkTable[[#This Row],[Price/lb]]*DbLinkTable[[#This Row],[Weight]],0)</f>
        <v>#VALUE!</v>
      </c>
      <c r="U1175" s="79" t="e">
        <f>IF(DbLinkTable[[#This Row],[Price/lb]]*DbLinkTable[[#This Row],[Weight]]&lt;0,DbLinkTable[[#This Row],[Price/lb]]*DbLinkTable[[#This Row],[Weight]],0)</f>
        <v>#VALUE!</v>
      </c>
      <c r="V1175" s="4" t="str">
        <f>IF(COUNTIF($W$2:W1175,W1175)=1,1,"")</f>
        <v/>
      </c>
      <c r="W1175" s="4" t="e">
        <f>CONCATENATE(DbLinkTable[[#This Row],[Customer]],UPPER(DbLinkTable[[#This Row],[Trailer Number]]),DbLinkTable[[#This Row],[Day Received]])</f>
        <v>#VALUE!</v>
      </c>
      <c r="X1175" s="4" t="e">
        <f>DATEVALUE(TEXT(DbLinkTable[[#This Row],[Date Received]],"MMMM YYYY"))</f>
        <v>#VALUE!</v>
      </c>
      <c r="Y1175" s="4" t="e">
        <f>INT(DbLinkTable[[#This Row],[Date Received]])</f>
        <v>#VALUE!</v>
      </c>
    </row>
    <row r="1176" spans="5:25">
      <c r="E1176"/>
      <c r="G1176"/>
      <c r="H1176"/>
      <c r="I1176"/>
      <c r="K1176"/>
      <c r="O1176"/>
      <c r="R1176"/>
      <c r="S1176" s="79" t="e">
        <f>DbLinkTable[[#This Row],[Credit]]+DbLinkTable[[#This Row],[Charge]]</f>
        <v>#VALUE!</v>
      </c>
      <c r="T1176" s="79" t="e">
        <f>IF(DbLinkTable[[#This Row],[Price/lb]]*DbLinkTable[[#This Row],[Weight]]&gt;0,DbLinkTable[[#This Row],[Price/lb]]*DbLinkTable[[#This Row],[Weight]],0)</f>
        <v>#VALUE!</v>
      </c>
      <c r="U1176" s="79" t="e">
        <f>IF(DbLinkTable[[#This Row],[Price/lb]]*DbLinkTable[[#This Row],[Weight]]&lt;0,DbLinkTable[[#This Row],[Price/lb]]*DbLinkTable[[#This Row],[Weight]],0)</f>
        <v>#VALUE!</v>
      </c>
      <c r="V1176" s="4" t="str">
        <f>IF(COUNTIF($W$2:W1176,W1176)=1,1,"")</f>
        <v/>
      </c>
      <c r="W1176" s="4" t="e">
        <f>CONCATENATE(DbLinkTable[[#This Row],[Customer]],UPPER(DbLinkTable[[#This Row],[Trailer Number]]),DbLinkTable[[#This Row],[Day Received]])</f>
        <v>#VALUE!</v>
      </c>
      <c r="X1176" s="4" t="e">
        <f>DATEVALUE(TEXT(DbLinkTable[[#This Row],[Date Received]],"MMMM YYYY"))</f>
        <v>#VALUE!</v>
      </c>
      <c r="Y1176" s="4" t="e">
        <f>INT(DbLinkTable[[#This Row],[Date Received]])</f>
        <v>#VALUE!</v>
      </c>
    </row>
    <row r="1177" spans="5:25">
      <c r="E1177"/>
      <c r="G1177"/>
      <c r="H1177"/>
      <c r="I1177"/>
      <c r="K1177"/>
      <c r="O1177"/>
      <c r="R1177"/>
      <c r="S1177" s="79" t="e">
        <f>DbLinkTable[[#This Row],[Credit]]+DbLinkTable[[#This Row],[Charge]]</f>
        <v>#VALUE!</v>
      </c>
      <c r="T1177" s="79" t="e">
        <f>IF(DbLinkTable[[#This Row],[Price/lb]]*DbLinkTable[[#This Row],[Weight]]&gt;0,DbLinkTable[[#This Row],[Price/lb]]*DbLinkTable[[#This Row],[Weight]],0)</f>
        <v>#VALUE!</v>
      </c>
      <c r="U1177" s="79" t="e">
        <f>IF(DbLinkTable[[#This Row],[Price/lb]]*DbLinkTable[[#This Row],[Weight]]&lt;0,DbLinkTable[[#This Row],[Price/lb]]*DbLinkTable[[#This Row],[Weight]],0)</f>
        <v>#VALUE!</v>
      </c>
      <c r="V1177" s="4" t="str">
        <f>IF(COUNTIF($W$2:W1177,W1177)=1,1,"")</f>
        <v/>
      </c>
      <c r="W1177" s="4" t="e">
        <f>CONCATENATE(DbLinkTable[[#This Row],[Customer]],UPPER(DbLinkTable[[#This Row],[Trailer Number]]),DbLinkTable[[#This Row],[Day Received]])</f>
        <v>#VALUE!</v>
      </c>
      <c r="X1177" s="4" t="e">
        <f>DATEVALUE(TEXT(DbLinkTable[[#This Row],[Date Received]],"MMMM YYYY"))</f>
        <v>#VALUE!</v>
      </c>
      <c r="Y1177" s="4" t="e">
        <f>INT(DbLinkTable[[#This Row],[Date Received]])</f>
        <v>#VALUE!</v>
      </c>
    </row>
    <row r="1178" spans="5:25">
      <c r="E1178"/>
      <c r="G1178"/>
      <c r="H1178"/>
      <c r="I1178"/>
      <c r="K1178"/>
      <c r="O1178"/>
      <c r="R1178"/>
      <c r="S1178" s="79" t="e">
        <f>DbLinkTable[[#This Row],[Credit]]+DbLinkTable[[#This Row],[Charge]]</f>
        <v>#VALUE!</v>
      </c>
      <c r="T1178" s="79" t="e">
        <f>IF(DbLinkTable[[#This Row],[Price/lb]]*DbLinkTable[[#This Row],[Weight]]&gt;0,DbLinkTable[[#This Row],[Price/lb]]*DbLinkTable[[#This Row],[Weight]],0)</f>
        <v>#VALUE!</v>
      </c>
      <c r="U1178" s="79" t="e">
        <f>IF(DbLinkTable[[#This Row],[Price/lb]]*DbLinkTable[[#This Row],[Weight]]&lt;0,DbLinkTable[[#This Row],[Price/lb]]*DbLinkTable[[#This Row],[Weight]],0)</f>
        <v>#VALUE!</v>
      </c>
      <c r="V1178" s="4" t="str">
        <f>IF(COUNTIF($W$2:W1178,W1178)=1,1,"")</f>
        <v/>
      </c>
      <c r="W1178" s="4" t="e">
        <f>CONCATENATE(DbLinkTable[[#This Row],[Customer]],UPPER(DbLinkTable[[#This Row],[Trailer Number]]),DbLinkTable[[#This Row],[Day Received]])</f>
        <v>#VALUE!</v>
      </c>
      <c r="X1178" s="4" t="e">
        <f>DATEVALUE(TEXT(DbLinkTable[[#This Row],[Date Received]],"MMMM YYYY"))</f>
        <v>#VALUE!</v>
      </c>
      <c r="Y1178" s="4" t="e">
        <f>INT(DbLinkTable[[#This Row],[Date Received]])</f>
        <v>#VALUE!</v>
      </c>
    </row>
    <row r="1179" spans="5:25">
      <c r="E1179"/>
      <c r="G1179"/>
      <c r="H1179"/>
      <c r="I1179"/>
      <c r="K1179"/>
      <c r="O1179"/>
      <c r="R1179"/>
      <c r="S1179" s="79" t="e">
        <f>DbLinkTable[[#This Row],[Credit]]+DbLinkTable[[#This Row],[Charge]]</f>
        <v>#VALUE!</v>
      </c>
      <c r="T1179" s="79" t="e">
        <f>IF(DbLinkTable[[#This Row],[Price/lb]]*DbLinkTable[[#This Row],[Weight]]&gt;0,DbLinkTable[[#This Row],[Price/lb]]*DbLinkTable[[#This Row],[Weight]],0)</f>
        <v>#VALUE!</v>
      </c>
      <c r="U1179" s="79" t="e">
        <f>IF(DbLinkTable[[#This Row],[Price/lb]]*DbLinkTable[[#This Row],[Weight]]&lt;0,DbLinkTable[[#This Row],[Price/lb]]*DbLinkTable[[#This Row],[Weight]],0)</f>
        <v>#VALUE!</v>
      </c>
      <c r="V1179" s="4" t="str">
        <f>IF(COUNTIF($W$2:W1179,W1179)=1,1,"")</f>
        <v/>
      </c>
      <c r="W1179" s="4" t="e">
        <f>CONCATENATE(DbLinkTable[[#This Row],[Customer]],UPPER(DbLinkTable[[#This Row],[Trailer Number]]),DbLinkTable[[#This Row],[Day Received]])</f>
        <v>#VALUE!</v>
      </c>
      <c r="X1179" s="4" t="e">
        <f>DATEVALUE(TEXT(DbLinkTable[[#This Row],[Date Received]],"MMMM YYYY"))</f>
        <v>#VALUE!</v>
      </c>
      <c r="Y1179" s="4" t="e">
        <f>INT(DbLinkTable[[#This Row],[Date Received]])</f>
        <v>#VALUE!</v>
      </c>
    </row>
    <row r="1180" spans="5:25">
      <c r="E1180"/>
      <c r="G1180"/>
      <c r="H1180"/>
      <c r="I1180"/>
      <c r="K1180"/>
      <c r="O1180"/>
      <c r="R1180"/>
      <c r="S1180" s="79" t="e">
        <f>DbLinkTable[[#This Row],[Credit]]+DbLinkTable[[#This Row],[Charge]]</f>
        <v>#VALUE!</v>
      </c>
      <c r="T1180" s="79" t="e">
        <f>IF(DbLinkTable[[#This Row],[Price/lb]]*DbLinkTable[[#This Row],[Weight]]&gt;0,DbLinkTable[[#This Row],[Price/lb]]*DbLinkTable[[#This Row],[Weight]],0)</f>
        <v>#VALUE!</v>
      </c>
      <c r="U1180" s="79" t="e">
        <f>IF(DbLinkTable[[#This Row],[Price/lb]]*DbLinkTable[[#This Row],[Weight]]&lt;0,DbLinkTable[[#This Row],[Price/lb]]*DbLinkTable[[#This Row],[Weight]],0)</f>
        <v>#VALUE!</v>
      </c>
      <c r="V1180" s="4" t="str">
        <f>IF(COUNTIF($W$2:W1180,W1180)=1,1,"")</f>
        <v/>
      </c>
      <c r="W1180" s="4" t="e">
        <f>CONCATENATE(DbLinkTable[[#This Row],[Customer]],UPPER(DbLinkTable[[#This Row],[Trailer Number]]),DbLinkTable[[#This Row],[Day Received]])</f>
        <v>#VALUE!</v>
      </c>
      <c r="X1180" s="4" t="e">
        <f>DATEVALUE(TEXT(DbLinkTable[[#This Row],[Date Received]],"MMMM YYYY"))</f>
        <v>#VALUE!</v>
      </c>
      <c r="Y1180" s="4" t="e">
        <f>INT(DbLinkTable[[#This Row],[Date Received]])</f>
        <v>#VALUE!</v>
      </c>
    </row>
    <row r="1181" spans="5:25">
      <c r="E1181"/>
      <c r="G1181"/>
      <c r="H1181"/>
      <c r="I1181"/>
      <c r="K1181"/>
      <c r="O1181"/>
      <c r="R1181"/>
      <c r="S1181" s="79" t="e">
        <f>DbLinkTable[[#This Row],[Credit]]+DbLinkTable[[#This Row],[Charge]]</f>
        <v>#VALUE!</v>
      </c>
      <c r="T1181" s="79" t="e">
        <f>IF(DbLinkTable[[#This Row],[Price/lb]]*DbLinkTable[[#This Row],[Weight]]&gt;0,DbLinkTable[[#This Row],[Price/lb]]*DbLinkTable[[#This Row],[Weight]],0)</f>
        <v>#VALUE!</v>
      </c>
      <c r="U1181" s="79" t="e">
        <f>IF(DbLinkTable[[#This Row],[Price/lb]]*DbLinkTable[[#This Row],[Weight]]&lt;0,DbLinkTable[[#This Row],[Price/lb]]*DbLinkTable[[#This Row],[Weight]],0)</f>
        <v>#VALUE!</v>
      </c>
      <c r="V1181" s="4" t="str">
        <f>IF(COUNTIF($W$2:W1181,W1181)=1,1,"")</f>
        <v/>
      </c>
      <c r="W1181" s="4" t="e">
        <f>CONCATENATE(DbLinkTable[[#This Row],[Customer]],UPPER(DbLinkTable[[#This Row],[Trailer Number]]),DbLinkTable[[#This Row],[Day Received]])</f>
        <v>#VALUE!</v>
      </c>
      <c r="X1181" s="4" t="e">
        <f>DATEVALUE(TEXT(DbLinkTable[[#This Row],[Date Received]],"MMMM YYYY"))</f>
        <v>#VALUE!</v>
      </c>
      <c r="Y1181" s="4" t="e">
        <f>INT(DbLinkTable[[#This Row],[Date Received]])</f>
        <v>#VALUE!</v>
      </c>
    </row>
    <row r="1182" spans="5:25">
      <c r="E1182"/>
      <c r="G1182"/>
      <c r="H1182"/>
      <c r="I1182"/>
      <c r="K1182"/>
      <c r="O1182"/>
      <c r="R1182"/>
      <c r="S1182" s="79" t="e">
        <f>DbLinkTable[[#This Row],[Credit]]+DbLinkTable[[#This Row],[Charge]]</f>
        <v>#VALUE!</v>
      </c>
      <c r="T1182" s="79" t="e">
        <f>IF(DbLinkTable[[#This Row],[Price/lb]]*DbLinkTable[[#This Row],[Weight]]&gt;0,DbLinkTable[[#This Row],[Price/lb]]*DbLinkTable[[#This Row],[Weight]],0)</f>
        <v>#VALUE!</v>
      </c>
      <c r="U1182" s="79" t="e">
        <f>IF(DbLinkTable[[#This Row],[Price/lb]]*DbLinkTable[[#This Row],[Weight]]&lt;0,DbLinkTable[[#This Row],[Price/lb]]*DbLinkTable[[#This Row],[Weight]],0)</f>
        <v>#VALUE!</v>
      </c>
      <c r="V1182" s="4" t="str">
        <f>IF(COUNTIF($W$2:W1182,W1182)=1,1,"")</f>
        <v/>
      </c>
      <c r="W1182" s="4" t="e">
        <f>CONCATENATE(DbLinkTable[[#This Row],[Customer]],UPPER(DbLinkTable[[#This Row],[Trailer Number]]),DbLinkTable[[#This Row],[Day Received]])</f>
        <v>#VALUE!</v>
      </c>
      <c r="X1182" s="4" t="e">
        <f>DATEVALUE(TEXT(DbLinkTable[[#This Row],[Date Received]],"MMMM YYYY"))</f>
        <v>#VALUE!</v>
      </c>
      <c r="Y1182" s="4" t="e">
        <f>INT(DbLinkTable[[#This Row],[Date Received]])</f>
        <v>#VALUE!</v>
      </c>
    </row>
    <row r="1183" spans="5:25">
      <c r="E1183"/>
      <c r="G1183"/>
      <c r="H1183"/>
      <c r="I1183"/>
      <c r="K1183"/>
      <c r="O1183"/>
      <c r="R1183"/>
      <c r="S1183" s="79" t="e">
        <f>DbLinkTable[[#This Row],[Credit]]+DbLinkTable[[#This Row],[Charge]]</f>
        <v>#VALUE!</v>
      </c>
      <c r="T1183" s="79" t="e">
        <f>IF(DbLinkTable[[#This Row],[Price/lb]]*DbLinkTable[[#This Row],[Weight]]&gt;0,DbLinkTable[[#This Row],[Price/lb]]*DbLinkTable[[#This Row],[Weight]],0)</f>
        <v>#VALUE!</v>
      </c>
      <c r="U1183" s="79" t="e">
        <f>IF(DbLinkTable[[#This Row],[Price/lb]]*DbLinkTable[[#This Row],[Weight]]&lt;0,DbLinkTable[[#This Row],[Price/lb]]*DbLinkTable[[#This Row],[Weight]],0)</f>
        <v>#VALUE!</v>
      </c>
      <c r="V1183" s="4" t="str">
        <f>IF(COUNTIF($W$2:W1183,W1183)=1,1,"")</f>
        <v/>
      </c>
      <c r="W1183" s="4" t="e">
        <f>CONCATENATE(DbLinkTable[[#This Row],[Customer]],UPPER(DbLinkTable[[#This Row],[Trailer Number]]),DbLinkTable[[#This Row],[Day Received]])</f>
        <v>#VALUE!</v>
      </c>
      <c r="X1183" s="4" t="e">
        <f>DATEVALUE(TEXT(DbLinkTable[[#This Row],[Date Received]],"MMMM YYYY"))</f>
        <v>#VALUE!</v>
      </c>
      <c r="Y1183" s="4" t="e">
        <f>INT(DbLinkTable[[#This Row],[Date Received]])</f>
        <v>#VALUE!</v>
      </c>
    </row>
    <row r="1184" spans="5:25">
      <c r="E1184"/>
      <c r="G1184"/>
      <c r="H1184"/>
      <c r="I1184"/>
      <c r="K1184"/>
      <c r="O1184"/>
      <c r="R1184"/>
      <c r="S1184" s="79" t="e">
        <f>DbLinkTable[[#This Row],[Credit]]+DbLinkTable[[#This Row],[Charge]]</f>
        <v>#VALUE!</v>
      </c>
      <c r="T1184" s="79" t="e">
        <f>IF(DbLinkTable[[#This Row],[Price/lb]]*DbLinkTable[[#This Row],[Weight]]&gt;0,DbLinkTable[[#This Row],[Price/lb]]*DbLinkTable[[#This Row],[Weight]],0)</f>
        <v>#VALUE!</v>
      </c>
      <c r="U1184" s="79" t="e">
        <f>IF(DbLinkTable[[#This Row],[Price/lb]]*DbLinkTable[[#This Row],[Weight]]&lt;0,DbLinkTable[[#This Row],[Price/lb]]*DbLinkTable[[#This Row],[Weight]],0)</f>
        <v>#VALUE!</v>
      </c>
      <c r="V1184" s="4" t="str">
        <f>IF(COUNTIF($W$2:W1184,W1184)=1,1,"")</f>
        <v/>
      </c>
      <c r="W1184" s="4" t="e">
        <f>CONCATENATE(DbLinkTable[[#This Row],[Customer]],UPPER(DbLinkTable[[#This Row],[Trailer Number]]),DbLinkTable[[#This Row],[Day Received]])</f>
        <v>#VALUE!</v>
      </c>
      <c r="X1184" s="4" t="e">
        <f>DATEVALUE(TEXT(DbLinkTable[[#This Row],[Date Received]],"MMMM YYYY"))</f>
        <v>#VALUE!</v>
      </c>
      <c r="Y1184" s="4" t="e">
        <f>INT(DbLinkTable[[#This Row],[Date Received]])</f>
        <v>#VALUE!</v>
      </c>
    </row>
    <row r="1185" spans="5:25">
      <c r="E1185"/>
      <c r="G1185"/>
      <c r="H1185"/>
      <c r="I1185"/>
      <c r="K1185"/>
      <c r="O1185"/>
      <c r="R1185"/>
      <c r="S1185" s="79" t="e">
        <f>DbLinkTable[[#This Row],[Credit]]+DbLinkTable[[#This Row],[Charge]]</f>
        <v>#VALUE!</v>
      </c>
      <c r="T1185" s="79" t="e">
        <f>IF(DbLinkTable[[#This Row],[Price/lb]]*DbLinkTable[[#This Row],[Weight]]&gt;0,DbLinkTable[[#This Row],[Price/lb]]*DbLinkTable[[#This Row],[Weight]],0)</f>
        <v>#VALUE!</v>
      </c>
      <c r="U1185" s="79" t="e">
        <f>IF(DbLinkTable[[#This Row],[Price/lb]]*DbLinkTable[[#This Row],[Weight]]&lt;0,DbLinkTable[[#This Row],[Price/lb]]*DbLinkTable[[#This Row],[Weight]],0)</f>
        <v>#VALUE!</v>
      </c>
      <c r="V1185" s="4" t="str">
        <f>IF(COUNTIF($W$2:W1185,W1185)=1,1,"")</f>
        <v/>
      </c>
      <c r="W1185" s="4" t="e">
        <f>CONCATENATE(DbLinkTable[[#This Row],[Customer]],UPPER(DbLinkTable[[#This Row],[Trailer Number]]),DbLinkTable[[#This Row],[Day Received]])</f>
        <v>#VALUE!</v>
      </c>
      <c r="X1185" s="4" t="e">
        <f>DATEVALUE(TEXT(DbLinkTable[[#This Row],[Date Received]],"MMMM YYYY"))</f>
        <v>#VALUE!</v>
      </c>
      <c r="Y1185" s="4" t="e">
        <f>INT(DbLinkTable[[#This Row],[Date Received]])</f>
        <v>#VALUE!</v>
      </c>
    </row>
    <row r="1186" spans="5:25">
      <c r="E1186"/>
      <c r="G1186"/>
      <c r="H1186"/>
      <c r="I1186"/>
      <c r="K1186"/>
      <c r="O1186"/>
      <c r="R1186"/>
      <c r="S1186" s="79" t="e">
        <f>DbLinkTable[[#This Row],[Credit]]+DbLinkTable[[#This Row],[Charge]]</f>
        <v>#VALUE!</v>
      </c>
      <c r="T1186" s="79" t="e">
        <f>IF(DbLinkTable[[#This Row],[Price/lb]]*DbLinkTable[[#This Row],[Weight]]&gt;0,DbLinkTable[[#This Row],[Price/lb]]*DbLinkTable[[#This Row],[Weight]],0)</f>
        <v>#VALUE!</v>
      </c>
      <c r="U1186" s="79" t="e">
        <f>IF(DbLinkTable[[#This Row],[Price/lb]]*DbLinkTable[[#This Row],[Weight]]&lt;0,DbLinkTable[[#This Row],[Price/lb]]*DbLinkTable[[#This Row],[Weight]],0)</f>
        <v>#VALUE!</v>
      </c>
      <c r="V1186" s="4" t="str">
        <f>IF(COUNTIF($W$2:W1186,W1186)=1,1,"")</f>
        <v/>
      </c>
      <c r="W1186" s="4" t="e">
        <f>CONCATENATE(DbLinkTable[[#This Row],[Customer]],UPPER(DbLinkTable[[#This Row],[Trailer Number]]),DbLinkTable[[#This Row],[Day Received]])</f>
        <v>#VALUE!</v>
      </c>
      <c r="X1186" s="4" t="e">
        <f>DATEVALUE(TEXT(DbLinkTable[[#This Row],[Date Received]],"MMMM YYYY"))</f>
        <v>#VALUE!</v>
      </c>
      <c r="Y1186" s="4" t="e">
        <f>INT(DbLinkTable[[#This Row],[Date Received]])</f>
        <v>#VALUE!</v>
      </c>
    </row>
    <row r="1187" spans="5:25">
      <c r="E1187"/>
      <c r="G1187"/>
      <c r="H1187"/>
      <c r="I1187"/>
      <c r="K1187"/>
      <c r="O1187"/>
      <c r="R1187"/>
      <c r="S1187" s="79" t="e">
        <f>DbLinkTable[[#This Row],[Credit]]+DbLinkTable[[#This Row],[Charge]]</f>
        <v>#VALUE!</v>
      </c>
      <c r="T1187" s="79" t="e">
        <f>IF(DbLinkTable[[#This Row],[Price/lb]]*DbLinkTable[[#This Row],[Weight]]&gt;0,DbLinkTable[[#This Row],[Price/lb]]*DbLinkTable[[#This Row],[Weight]],0)</f>
        <v>#VALUE!</v>
      </c>
      <c r="U1187" s="79" t="e">
        <f>IF(DbLinkTable[[#This Row],[Price/lb]]*DbLinkTable[[#This Row],[Weight]]&lt;0,DbLinkTable[[#This Row],[Price/lb]]*DbLinkTable[[#This Row],[Weight]],0)</f>
        <v>#VALUE!</v>
      </c>
      <c r="V1187" s="4" t="str">
        <f>IF(COUNTIF($W$2:W1187,W1187)=1,1,"")</f>
        <v/>
      </c>
      <c r="W1187" s="4" t="e">
        <f>CONCATENATE(DbLinkTable[[#This Row],[Customer]],UPPER(DbLinkTable[[#This Row],[Trailer Number]]),DbLinkTable[[#This Row],[Day Received]])</f>
        <v>#VALUE!</v>
      </c>
      <c r="X1187" s="4" t="e">
        <f>DATEVALUE(TEXT(DbLinkTable[[#This Row],[Date Received]],"MMMM YYYY"))</f>
        <v>#VALUE!</v>
      </c>
      <c r="Y1187" s="4" t="e">
        <f>INT(DbLinkTable[[#This Row],[Date Received]])</f>
        <v>#VALUE!</v>
      </c>
    </row>
    <row r="1188" spans="5:25">
      <c r="E1188"/>
      <c r="G1188"/>
      <c r="H1188"/>
      <c r="I1188"/>
      <c r="K1188"/>
      <c r="O1188"/>
      <c r="R1188"/>
      <c r="S1188" s="79" t="e">
        <f>DbLinkTable[[#This Row],[Credit]]+DbLinkTable[[#This Row],[Charge]]</f>
        <v>#VALUE!</v>
      </c>
      <c r="T1188" s="79" t="e">
        <f>IF(DbLinkTable[[#This Row],[Price/lb]]*DbLinkTable[[#This Row],[Weight]]&gt;0,DbLinkTable[[#This Row],[Price/lb]]*DbLinkTable[[#This Row],[Weight]],0)</f>
        <v>#VALUE!</v>
      </c>
      <c r="U1188" s="79" t="e">
        <f>IF(DbLinkTable[[#This Row],[Price/lb]]*DbLinkTable[[#This Row],[Weight]]&lt;0,DbLinkTable[[#This Row],[Price/lb]]*DbLinkTable[[#This Row],[Weight]],0)</f>
        <v>#VALUE!</v>
      </c>
      <c r="V1188" s="4" t="str">
        <f>IF(COUNTIF($W$2:W1188,W1188)=1,1,"")</f>
        <v/>
      </c>
      <c r="W1188" s="4" t="e">
        <f>CONCATENATE(DbLinkTable[[#This Row],[Customer]],UPPER(DbLinkTable[[#This Row],[Trailer Number]]),DbLinkTable[[#This Row],[Day Received]])</f>
        <v>#VALUE!</v>
      </c>
      <c r="X1188" s="4" t="e">
        <f>DATEVALUE(TEXT(DbLinkTable[[#This Row],[Date Received]],"MMMM YYYY"))</f>
        <v>#VALUE!</v>
      </c>
      <c r="Y1188" s="4" t="e">
        <f>INT(DbLinkTable[[#This Row],[Date Received]])</f>
        <v>#VALUE!</v>
      </c>
    </row>
    <row r="1189" spans="5:25">
      <c r="E1189"/>
      <c r="G1189"/>
      <c r="H1189"/>
      <c r="I1189"/>
      <c r="K1189"/>
      <c r="O1189"/>
      <c r="R1189"/>
      <c r="S1189" s="79" t="e">
        <f>DbLinkTable[[#This Row],[Credit]]+DbLinkTable[[#This Row],[Charge]]</f>
        <v>#VALUE!</v>
      </c>
      <c r="T1189" s="79" t="e">
        <f>IF(DbLinkTable[[#This Row],[Price/lb]]*DbLinkTable[[#This Row],[Weight]]&gt;0,DbLinkTable[[#This Row],[Price/lb]]*DbLinkTable[[#This Row],[Weight]],0)</f>
        <v>#VALUE!</v>
      </c>
      <c r="U1189" s="79" t="e">
        <f>IF(DbLinkTable[[#This Row],[Price/lb]]*DbLinkTable[[#This Row],[Weight]]&lt;0,DbLinkTable[[#This Row],[Price/lb]]*DbLinkTable[[#This Row],[Weight]],0)</f>
        <v>#VALUE!</v>
      </c>
      <c r="V1189" s="4" t="str">
        <f>IF(COUNTIF($W$2:W1189,W1189)=1,1,"")</f>
        <v/>
      </c>
      <c r="W1189" s="4" t="e">
        <f>CONCATENATE(DbLinkTable[[#This Row],[Customer]],UPPER(DbLinkTable[[#This Row],[Trailer Number]]),DbLinkTable[[#This Row],[Day Received]])</f>
        <v>#VALUE!</v>
      </c>
      <c r="X1189" s="4" t="e">
        <f>DATEVALUE(TEXT(DbLinkTable[[#This Row],[Date Received]],"MMMM YYYY"))</f>
        <v>#VALUE!</v>
      </c>
      <c r="Y1189" s="4" t="e">
        <f>INT(DbLinkTable[[#This Row],[Date Received]])</f>
        <v>#VALUE!</v>
      </c>
    </row>
    <row r="1190" spans="5:25">
      <c r="E1190"/>
      <c r="G1190"/>
      <c r="H1190"/>
      <c r="I1190"/>
      <c r="K1190"/>
      <c r="O1190"/>
      <c r="R1190"/>
      <c r="S1190" s="79" t="e">
        <f>DbLinkTable[[#This Row],[Credit]]+DbLinkTable[[#This Row],[Charge]]</f>
        <v>#VALUE!</v>
      </c>
      <c r="T1190" s="79" t="e">
        <f>IF(DbLinkTable[[#This Row],[Price/lb]]*DbLinkTable[[#This Row],[Weight]]&gt;0,DbLinkTable[[#This Row],[Price/lb]]*DbLinkTable[[#This Row],[Weight]],0)</f>
        <v>#VALUE!</v>
      </c>
      <c r="U1190" s="79" t="e">
        <f>IF(DbLinkTable[[#This Row],[Price/lb]]*DbLinkTable[[#This Row],[Weight]]&lt;0,DbLinkTable[[#This Row],[Price/lb]]*DbLinkTable[[#This Row],[Weight]],0)</f>
        <v>#VALUE!</v>
      </c>
      <c r="V1190" s="4" t="str">
        <f>IF(COUNTIF($W$2:W1190,W1190)=1,1,"")</f>
        <v/>
      </c>
      <c r="W1190" s="4" t="e">
        <f>CONCATENATE(DbLinkTable[[#This Row],[Customer]],UPPER(DbLinkTable[[#This Row],[Trailer Number]]),DbLinkTable[[#This Row],[Day Received]])</f>
        <v>#VALUE!</v>
      </c>
      <c r="X1190" s="4" t="e">
        <f>DATEVALUE(TEXT(DbLinkTable[[#This Row],[Date Received]],"MMMM YYYY"))</f>
        <v>#VALUE!</v>
      </c>
      <c r="Y1190" s="4" t="e">
        <f>INT(DbLinkTable[[#This Row],[Date Received]])</f>
        <v>#VALUE!</v>
      </c>
    </row>
    <row r="1191" spans="5:25">
      <c r="E1191"/>
      <c r="G1191"/>
      <c r="H1191"/>
      <c r="I1191"/>
      <c r="K1191"/>
      <c r="O1191"/>
      <c r="R1191"/>
      <c r="S1191" s="79" t="e">
        <f>DbLinkTable[[#This Row],[Credit]]+DbLinkTable[[#This Row],[Charge]]</f>
        <v>#VALUE!</v>
      </c>
      <c r="T1191" s="79" t="e">
        <f>IF(DbLinkTable[[#This Row],[Price/lb]]*DbLinkTable[[#This Row],[Weight]]&gt;0,DbLinkTable[[#This Row],[Price/lb]]*DbLinkTable[[#This Row],[Weight]],0)</f>
        <v>#VALUE!</v>
      </c>
      <c r="U1191" s="79" t="e">
        <f>IF(DbLinkTable[[#This Row],[Price/lb]]*DbLinkTable[[#This Row],[Weight]]&lt;0,DbLinkTable[[#This Row],[Price/lb]]*DbLinkTable[[#This Row],[Weight]],0)</f>
        <v>#VALUE!</v>
      </c>
      <c r="V1191" s="4" t="str">
        <f>IF(COUNTIF($W$2:W1191,W1191)=1,1,"")</f>
        <v/>
      </c>
      <c r="W1191" s="4" t="e">
        <f>CONCATENATE(DbLinkTable[[#This Row],[Customer]],UPPER(DbLinkTable[[#This Row],[Trailer Number]]),DbLinkTable[[#This Row],[Day Received]])</f>
        <v>#VALUE!</v>
      </c>
      <c r="X1191" s="4" t="e">
        <f>DATEVALUE(TEXT(DbLinkTable[[#This Row],[Date Received]],"MMMM YYYY"))</f>
        <v>#VALUE!</v>
      </c>
      <c r="Y1191" s="4" t="e">
        <f>INT(DbLinkTable[[#This Row],[Date Received]])</f>
        <v>#VALUE!</v>
      </c>
    </row>
    <row r="1192" spans="5:25">
      <c r="E1192"/>
      <c r="G1192"/>
      <c r="H1192"/>
      <c r="I1192"/>
      <c r="K1192"/>
      <c r="O1192"/>
      <c r="R1192"/>
      <c r="S1192" s="79" t="e">
        <f>DbLinkTable[[#This Row],[Credit]]+DbLinkTable[[#This Row],[Charge]]</f>
        <v>#VALUE!</v>
      </c>
      <c r="T1192" s="79" t="e">
        <f>IF(DbLinkTable[[#This Row],[Price/lb]]*DbLinkTable[[#This Row],[Weight]]&gt;0,DbLinkTable[[#This Row],[Price/lb]]*DbLinkTable[[#This Row],[Weight]],0)</f>
        <v>#VALUE!</v>
      </c>
      <c r="U1192" s="79" t="e">
        <f>IF(DbLinkTable[[#This Row],[Price/lb]]*DbLinkTable[[#This Row],[Weight]]&lt;0,DbLinkTable[[#This Row],[Price/lb]]*DbLinkTable[[#This Row],[Weight]],0)</f>
        <v>#VALUE!</v>
      </c>
      <c r="V1192" s="4" t="str">
        <f>IF(COUNTIF($W$2:W1192,W1192)=1,1,"")</f>
        <v/>
      </c>
      <c r="W1192" s="4" t="e">
        <f>CONCATENATE(DbLinkTable[[#This Row],[Customer]],UPPER(DbLinkTable[[#This Row],[Trailer Number]]),DbLinkTable[[#This Row],[Day Received]])</f>
        <v>#VALUE!</v>
      </c>
      <c r="X1192" s="4" t="e">
        <f>DATEVALUE(TEXT(DbLinkTable[[#This Row],[Date Received]],"MMMM YYYY"))</f>
        <v>#VALUE!</v>
      </c>
      <c r="Y1192" s="4" t="e">
        <f>INT(DbLinkTable[[#This Row],[Date Received]])</f>
        <v>#VALUE!</v>
      </c>
    </row>
    <row r="1193" spans="5:25">
      <c r="E1193"/>
      <c r="G1193"/>
      <c r="H1193"/>
      <c r="I1193"/>
      <c r="K1193"/>
      <c r="O1193"/>
      <c r="R1193"/>
      <c r="S1193" s="79" t="e">
        <f>DbLinkTable[[#This Row],[Credit]]+DbLinkTable[[#This Row],[Charge]]</f>
        <v>#VALUE!</v>
      </c>
      <c r="T1193" s="79" t="e">
        <f>IF(DbLinkTable[[#This Row],[Price/lb]]*DbLinkTable[[#This Row],[Weight]]&gt;0,DbLinkTable[[#This Row],[Price/lb]]*DbLinkTable[[#This Row],[Weight]],0)</f>
        <v>#VALUE!</v>
      </c>
      <c r="U1193" s="79" t="e">
        <f>IF(DbLinkTable[[#This Row],[Price/lb]]*DbLinkTable[[#This Row],[Weight]]&lt;0,DbLinkTable[[#This Row],[Price/lb]]*DbLinkTable[[#This Row],[Weight]],0)</f>
        <v>#VALUE!</v>
      </c>
      <c r="V1193" s="4" t="str">
        <f>IF(COUNTIF($W$2:W1193,W1193)=1,1,"")</f>
        <v/>
      </c>
      <c r="W1193" s="4" t="e">
        <f>CONCATENATE(DbLinkTable[[#This Row],[Customer]],UPPER(DbLinkTable[[#This Row],[Trailer Number]]),DbLinkTable[[#This Row],[Day Received]])</f>
        <v>#VALUE!</v>
      </c>
      <c r="X1193" s="4" t="e">
        <f>DATEVALUE(TEXT(DbLinkTable[[#This Row],[Date Received]],"MMMM YYYY"))</f>
        <v>#VALUE!</v>
      </c>
      <c r="Y1193" s="4" t="e">
        <f>INT(DbLinkTable[[#This Row],[Date Received]])</f>
        <v>#VALUE!</v>
      </c>
    </row>
    <row r="1194" spans="5:25">
      <c r="E1194"/>
      <c r="G1194"/>
      <c r="H1194"/>
      <c r="I1194"/>
      <c r="K1194"/>
      <c r="O1194"/>
      <c r="R1194"/>
      <c r="S1194" s="79" t="e">
        <f>DbLinkTable[[#This Row],[Credit]]+DbLinkTable[[#This Row],[Charge]]</f>
        <v>#VALUE!</v>
      </c>
      <c r="T1194" s="79" t="e">
        <f>IF(DbLinkTable[[#This Row],[Price/lb]]*DbLinkTable[[#This Row],[Weight]]&gt;0,DbLinkTable[[#This Row],[Price/lb]]*DbLinkTable[[#This Row],[Weight]],0)</f>
        <v>#VALUE!</v>
      </c>
      <c r="U1194" s="79" t="e">
        <f>IF(DbLinkTable[[#This Row],[Price/lb]]*DbLinkTable[[#This Row],[Weight]]&lt;0,DbLinkTable[[#This Row],[Price/lb]]*DbLinkTable[[#This Row],[Weight]],0)</f>
        <v>#VALUE!</v>
      </c>
      <c r="V1194" s="4" t="str">
        <f>IF(COUNTIF($W$2:W1194,W1194)=1,1,"")</f>
        <v/>
      </c>
      <c r="W1194" s="4" t="e">
        <f>CONCATENATE(DbLinkTable[[#This Row],[Customer]],UPPER(DbLinkTable[[#This Row],[Trailer Number]]),DbLinkTable[[#This Row],[Day Received]])</f>
        <v>#VALUE!</v>
      </c>
      <c r="X1194" s="4" t="e">
        <f>DATEVALUE(TEXT(DbLinkTable[[#This Row],[Date Received]],"MMMM YYYY"))</f>
        <v>#VALUE!</v>
      </c>
      <c r="Y1194" s="4" t="e">
        <f>INT(DbLinkTable[[#This Row],[Date Received]])</f>
        <v>#VALUE!</v>
      </c>
    </row>
    <row r="1195" spans="5:25">
      <c r="E1195"/>
      <c r="G1195"/>
      <c r="H1195"/>
      <c r="I1195"/>
      <c r="K1195"/>
      <c r="O1195"/>
      <c r="R1195"/>
      <c r="S1195" s="79" t="e">
        <f>DbLinkTable[[#This Row],[Credit]]+DbLinkTable[[#This Row],[Charge]]</f>
        <v>#VALUE!</v>
      </c>
      <c r="T1195" s="79" t="e">
        <f>IF(DbLinkTable[[#This Row],[Price/lb]]*DbLinkTable[[#This Row],[Weight]]&gt;0,DbLinkTable[[#This Row],[Price/lb]]*DbLinkTable[[#This Row],[Weight]],0)</f>
        <v>#VALUE!</v>
      </c>
      <c r="U1195" s="79" t="e">
        <f>IF(DbLinkTable[[#This Row],[Price/lb]]*DbLinkTable[[#This Row],[Weight]]&lt;0,DbLinkTable[[#This Row],[Price/lb]]*DbLinkTable[[#This Row],[Weight]],0)</f>
        <v>#VALUE!</v>
      </c>
      <c r="V1195" s="4" t="str">
        <f>IF(COUNTIF($W$2:W1195,W1195)=1,1,"")</f>
        <v/>
      </c>
      <c r="W1195" s="4" t="e">
        <f>CONCATENATE(DbLinkTable[[#This Row],[Customer]],UPPER(DbLinkTable[[#This Row],[Trailer Number]]),DbLinkTable[[#This Row],[Day Received]])</f>
        <v>#VALUE!</v>
      </c>
      <c r="X1195" s="4" t="e">
        <f>DATEVALUE(TEXT(DbLinkTable[[#This Row],[Date Received]],"MMMM YYYY"))</f>
        <v>#VALUE!</v>
      </c>
      <c r="Y1195" s="4" t="e">
        <f>INT(DbLinkTable[[#This Row],[Date Received]])</f>
        <v>#VALUE!</v>
      </c>
    </row>
    <row r="1196" spans="5:25">
      <c r="E1196"/>
      <c r="G1196"/>
      <c r="H1196"/>
      <c r="I1196"/>
      <c r="K1196"/>
      <c r="O1196"/>
      <c r="R1196"/>
      <c r="S1196" s="79" t="e">
        <f>DbLinkTable[[#This Row],[Credit]]+DbLinkTable[[#This Row],[Charge]]</f>
        <v>#VALUE!</v>
      </c>
      <c r="T1196" s="79" t="e">
        <f>IF(DbLinkTable[[#This Row],[Price/lb]]*DbLinkTable[[#This Row],[Weight]]&gt;0,DbLinkTable[[#This Row],[Price/lb]]*DbLinkTable[[#This Row],[Weight]],0)</f>
        <v>#VALUE!</v>
      </c>
      <c r="U1196" s="79" t="e">
        <f>IF(DbLinkTable[[#This Row],[Price/lb]]*DbLinkTable[[#This Row],[Weight]]&lt;0,DbLinkTable[[#This Row],[Price/lb]]*DbLinkTable[[#This Row],[Weight]],0)</f>
        <v>#VALUE!</v>
      </c>
      <c r="V1196" s="4" t="str">
        <f>IF(COUNTIF($W$2:W1196,W1196)=1,1,"")</f>
        <v/>
      </c>
      <c r="W1196" s="4" t="e">
        <f>CONCATENATE(DbLinkTable[[#This Row],[Customer]],UPPER(DbLinkTable[[#This Row],[Trailer Number]]),DbLinkTable[[#This Row],[Day Received]])</f>
        <v>#VALUE!</v>
      </c>
      <c r="X1196" s="4" t="e">
        <f>DATEVALUE(TEXT(DbLinkTable[[#This Row],[Date Received]],"MMMM YYYY"))</f>
        <v>#VALUE!</v>
      </c>
      <c r="Y1196" s="4" t="e">
        <f>INT(DbLinkTable[[#This Row],[Date Received]])</f>
        <v>#VALUE!</v>
      </c>
    </row>
    <row r="1197" spans="5:25">
      <c r="E1197"/>
      <c r="G1197"/>
      <c r="H1197"/>
      <c r="I1197"/>
      <c r="K1197"/>
      <c r="O1197"/>
      <c r="R1197"/>
      <c r="S1197" s="79" t="e">
        <f>DbLinkTable[[#This Row],[Credit]]+DbLinkTable[[#This Row],[Charge]]</f>
        <v>#VALUE!</v>
      </c>
      <c r="T1197" s="79" t="e">
        <f>IF(DbLinkTable[[#This Row],[Price/lb]]*DbLinkTable[[#This Row],[Weight]]&gt;0,DbLinkTable[[#This Row],[Price/lb]]*DbLinkTable[[#This Row],[Weight]],0)</f>
        <v>#VALUE!</v>
      </c>
      <c r="U1197" s="79" t="e">
        <f>IF(DbLinkTable[[#This Row],[Price/lb]]*DbLinkTable[[#This Row],[Weight]]&lt;0,DbLinkTable[[#This Row],[Price/lb]]*DbLinkTable[[#This Row],[Weight]],0)</f>
        <v>#VALUE!</v>
      </c>
      <c r="V1197" s="4" t="str">
        <f>IF(COUNTIF($W$2:W1197,W1197)=1,1,"")</f>
        <v/>
      </c>
      <c r="W1197" s="4" t="e">
        <f>CONCATENATE(DbLinkTable[[#This Row],[Customer]],UPPER(DbLinkTable[[#This Row],[Trailer Number]]),DbLinkTable[[#This Row],[Day Received]])</f>
        <v>#VALUE!</v>
      </c>
      <c r="X1197" s="4" t="e">
        <f>DATEVALUE(TEXT(DbLinkTable[[#This Row],[Date Received]],"MMMM YYYY"))</f>
        <v>#VALUE!</v>
      </c>
      <c r="Y1197" s="4" t="e">
        <f>INT(DbLinkTable[[#This Row],[Date Received]])</f>
        <v>#VALUE!</v>
      </c>
    </row>
    <row r="1198" spans="5:25">
      <c r="E1198"/>
      <c r="G1198"/>
      <c r="H1198"/>
      <c r="I1198"/>
      <c r="K1198"/>
      <c r="O1198"/>
      <c r="R1198"/>
      <c r="S1198" s="79" t="e">
        <f>DbLinkTable[[#This Row],[Credit]]+DbLinkTable[[#This Row],[Charge]]</f>
        <v>#VALUE!</v>
      </c>
      <c r="T1198" s="79" t="e">
        <f>IF(DbLinkTable[[#This Row],[Price/lb]]*DbLinkTable[[#This Row],[Weight]]&gt;0,DbLinkTable[[#This Row],[Price/lb]]*DbLinkTable[[#This Row],[Weight]],0)</f>
        <v>#VALUE!</v>
      </c>
      <c r="U1198" s="79" t="e">
        <f>IF(DbLinkTable[[#This Row],[Price/lb]]*DbLinkTable[[#This Row],[Weight]]&lt;0,DbLinkTable[[#This Row],[Price/lb]]*DbLinkTable[[#This Row],[Weight]],0)</f>
        <v>#VALUE!</v>
      </c>
      <c r="V1198" s="4" t="str">
        <f>IF(COUNTIF($W$2:W1198,W1198)=1,1,"")</f>
        <v/>
      </c>
      <c r="W1198" s="4" t="e">
        <f>CONCATENATE(DbLinkTable[[#This Row],[Customer]],UPPER(DbLinkTable[[#This Row],[Trailer Number]]),DbLinkTable[[#This Row],[Day Received]])</f>
        <v>#VALUE!</v>
      </c>
      <c r="X1198" s="4" t="e">
        <f>DATEVALUE(TEXT(DbLinkTable[[#This Row],[Date Received]],"MMMM YYYY"))</f>
        <v>#VALUE!</v>
      </c>
      <c r="Y1198" s="4" t="e">
        <f>INT(DbLinkTable[[#This Row],[Date Received]])</f>
        <v>#VALUE!</v>
      </c>
    </row>
    <row r="1199" spans="5:25">
      <c r="E1199"/>
      <c r="G1199"/>
      <c r="H1199"/>
      <c r="I1199"/>
      <c r="K1199"/>
      <c r="O1199"/>
      <c r="R1199"/>
      <c r="S1199" s="79" t="e">
        <f>DbLinkTable[[#This Row],[Credit]]+DbLinkTable[[#This Row],[Charge]]</f>
        <v>#VALUE!</v>
      </c>
      <c r="T1199" s="79" t="e">
        <f>IF(DbLinkTable[[#This Row],[Price/lb]]*DbLinkTable[[#This Row],[Weight]]&gt;0,DbLinkTable[[#This Row],[Price/lb]]*DbLinkTable[[#This Row],[Weight]],0)</f>
        <v>#VALUE!</v>
      </c>
      <c r="U1199" s="79" t="e">
        <f>IF(DbLinkTable[[#This Row],[Price/lb]]*DbLinkTable[[#This Row],[Weight]]&lt;0,DbLinkTable[[#This Row],[Price/lb]]*DbLinkTable[[#This Row],[Weight]],0)</f>
        <v>#VALUE!</v>
      </c>
      <c r="V1199" s="4" t="str">
        <f>IF(COUNTIF($W$2:W1199,W1199)=1,1,"")</f>
        <v/>
      </c>
      <c r="W1199" s="4" t="e">
        <f>CONCATENATE(DbLinkTable[[#This Row],[Customer]],UPPER(DbLinkTable[[#This Row],[Trailer Number]]),DbLinkTable[[#This Row],[Day Received]])</f>
        <v>#VALUE!</v>
      </c>
      <c r="X1199" s="4" t="e">
        <f>DATEVALUE(TEXT(DbLinkTable[[#This Row],[Date Received]],"MMMM YYYY"))</f>
        <v>#VALUE!</v>
      </c>
      <c r="Y1199" s="4" t="e">
        <f>INT(DbLinkTable[[#This Row],[Date Received]])</f>
        <v>#VALUE!</v>
      </c>
    </row>
    <row r="1200" spans="5:25">
      <c r="E1200"/>
      <c r="G1200"/>
      <c r="H1200"/>
      <c r="I1200"/>
      <c r="K1200"/>
      <c r="O1200"/>
      <c r="R1200"/>
      <c r="S1200" s="79" t="e">
        <f>DbLinkTable[[#This Row],[Credit]]+DbLinkTable[[#This Row],[Charge]]</f>
        <v>#VALUE!</v>
      </c>
      <c r="T1200" s="79" t="e">
        <f>IF(DbLinkTable[[#This Row],[Price/lb]]*DbLinkTable[[#This Row],[Weight]]&gt;0,DbLinkTable[[#This Row],[Price/lb]]*DbLinkTable[[#This Row],[Weight]],0)</f>
        <v>#VALUE!</v>
      </c>
      <c r="U1200" s="79" t="e">
        <f>IF(DbLinkTable[[#This Row],[Price/lb]]*DbLinkTable[[#This Row],[Weight]]&lt;0,DbLinkTable[[#This Row],[Price/lb]]*DbLinkTable[[#This Row],[Weight]],0)</f>
        <v>#VALUE!</v>
      </c>
      <c r="V1200" s="4" t="str">
        <f>IF(COUNTIF($W$2:W1200,W1200)=1,1,"")</f>
        <v/>
      </c>
      <c r="W1200" s="4" t="e">
        <f>CONCATENATE(DbLinkTable[[#This Row],[Customer]],UPPER(DbLinkTable[[#This Row],[Trailer Number]]),DbLinkTable[[#This Row],[Day Received]])</f>
        <v>#VALUE!</v>
      </c>
      <c r="X1200" s="4" t="e">
        <f>DATEVALUE(TEXT(DbLinkTable[[#This Row],[Date Received]],"MMMM YYYY"))</f>
        <v>#VALUE!</v>
      </c>
      <c r="Y1200" s="4" t="e">
        <f>INT(DbLinkTable[[#This Row],[Date Received]])</f>
        <v>#VALUE!</v>
      </c>
    </row>
    <row r="1201" spans="5:25">
      <c r="E1201"/>
      <c r="G1201"/>
      <c r="H1201"/>
      <c r="I1201"/>
      <c r="K1201"/>
      <c r="O1201"/>
      <c r="R1201"/>
      <c r="S1201" s="79" t="e">
        <f>DbLinkTable[[#This Row],[Credit]]+DbLinkTable[[#This Row],[Charge]]</f>
        <v>#VALUE!</v>
      </c>
      <c r="T1201" s="79" t="e">
        <f>IF(DbLinkTable[[#This Row],[Price/lb]]*DbLinkTable[[#This Row],[Weight]]&gt;0,DbLinkTable[[#This Row],[Price/lb]]*DbLinkTable[[#This Row],[Weight]],0)</f>
        <v>#VALUE!</v>
      </c>
      <c r="U1201" s="79" t="e">
        <f>IF(DbLinkTable[[#This Row],[Price/lb]]*DbLinkTable[[#This Row],[Weight]]&lt;0,DbLinkTable[[#This Row],[Price/lb]]*DbLinkTable[[#This Row],[Weight]],0)</f>
        <v>#VALUE!</v>
      </c>
      <c r="V1201" s="4" t="str">
        <f>IF(COUNTIF($W$2:W1201,W1201)=1,1,"")</f>
        <v/>
      </c>
      <c r="W1201" s="4" t="e">
        <f>CONCATENATE(DbLinkTable[[#This Row],[Customer]],UPPER(DbLinkTable[[#This Row],[Trailer Number]]),DbLinkTable[[#This Row],[Day Received]])</f>
        <v>#VALUE!</v>
      </c>
      <c r="X1201" s="4" t="e">
        <f>DATEVALUE(TEXT(DbLinkTable[[#This Row],[Date Received]],"MMMM YYYY"))</f>
        <v>#VALUE!</v>
      </c>
      <c r="Y1201" s="4" t="e">
        <f>INT(DbLinkTable[[#This Row],[Date Received]])</f>
        <v>#VALUE!</v>
      </c>
    </row>
    <row r="1202" spans="5:25">
      <c r="E1202"/>
      <c r="G1202"/>
      <c r="H1202"/>
      <c r="I1202"/>
      <c r="K1202"/>
      <c r="O1202"/>
      <c r="R1202"/>
      <c r="S1202" s="79" t="e">
        <f>DbLinkTable[[#This Row],[Credit]]+DbLinkTable[[#This Row],[Charge]]</f>
        <v>#VALUE!</v>
      </c>
      <c r="T1202" s="79" t="e">
        <f>IF(DbLinkTable[[#This Row],[Price/lb]]*DbLinkTable[[#This Row],[Weight]]&gt;0,DbLinkTable[[#This Row],[Price/lb]]*DbLinkTable[[#This Row],[Weight]],0)</f>
        <v>#VALUE!</v>
      </c>
      <c r="U1202" s="79" t="e">
        <f>IF(DbLinkTable[[#This Row],[Price/lb]]*DbLinkTable[[#This Row],[Weight]]&lt;0,DbLinkTable[[#This Row],[Price/lb]]*DbLinkTable[[#This Row],[Weight]],0)</f>
        <v>#VALUE!</v>
      </c>
      <c r="V1202" s="4" t="str">
        <f>IF(COUNTIF($W$2:W1202,W1202)=1,1,"")</f>
        <v/>
      </c>
      <c r="W1202" s="4" t="e">
        <f>CONCATENATE(DbLinkTable[[#This Row],[Customer]],UPPER(DbLinkTable[[#This Row],[Trailer Number]]),DbLinkTable[[#This Row],[Day Received]])</f>
        <v>#VALUE!</v>
      </c>
      <c r="X1202" s="4" t="e">
        <f>DATEVALUE(TEXT(DbLinkTable[[#This Row],[Date Received]],"MMMM YYYY"))</f>
        <v>#VALUE!</v>
      </c>
      <c r="Y1202" s="4" t="e">
        <f>INT(DbLinkTable[[#This Row],[Date Received]])</f>
        <v>#VALUE!</v>
      </c>
    </row>
    <row r="1203" spans="5:25">
      <c r="E1203"/>
      <c r="G1203"/>
      <c r="H1203"/>
      <c r="I1203"/>
      <c r="K1203"/>
      <c r="O1203"/>
      <c r="R1203"/>
      <c r="S1203" s="79" t="e">
        <f>DbLinkTable[[#This Row],[Credit]]+DbLinkTable[[#This Row],[Charge]]</f>
        <v>#VALUE!</v>
      </c>
      <c r="T1203" s="79" t="e">
        <f>IF(DbLinkTable[[#This Row],[Price/lb]]*DbLinkTable[[#This Row],[Weight]]&gt;0,DbLinkTable[[#This Row],[Price/lb]]*DbLinkTable[[#This Row],[Weight]],0)</f>
        <v>#VALUE!</v>
      </c>
      <c r="U1203" s="79" t="e">
        <f>IF(DbLinkTable[[#This Row],[Price/lb]]*DbLinkTable[[#This Row],[Weight]]&lt;0,DbLinkTable[[#This Row],[Price/lb]]*DbLinkTable[[#This Row],[Weight]],0)</f>
        <v>#VALUE!</v>
      </c>
      <c r="V1203" s="4" t="str">
        <f>IF(COUNTIF($W$2:W1203,W1203)=1,1,"")</f>
        <v/>
      </c>
      <c r="W1203" s="4" t="e">
        <f>CONCATENATE(DbLinkTable[[#This Row],[Customer]],UPPER(DbLinkTable[[#This Row],[Trailer Number]]),DbLinkTable[[#This Row],[Day Received]])</f>
        <v>#VALUE!</v>
      </c>
      <c r="X1203" s="4" t="e">
        <f>DATEVALUE(TEXT(DbLinkTable[[#This Row],[Date Received]],"MMMM YYYY"))</f>
        <v>#VALUE!</v>
      </c>
      <c r="Y1203" s="4" t="e">
        <f>INT(DbLinkTable[[#This Row],[Date Received]])</f>
        <v>#VALUE!</v>
      </c>
    </row>
    <row r="1204" spans="5:25">
      <c r="E1204"/>
      <c r="G1204"/>
      <c r="H1204"/>
      <c r="I1204"/>
      <c r="K1204"/>
      <c r="O1204"/>
      <c r="R1204"/>
      <c r="S1204" s="79" t="e">
        <f>DbLinkTable[[#This Row],[Credit]]+DbLinkTable[[#This Row],[Charge]]</f>
        <v>#VALUE!</v>
      </c>
      <c r="T1204" s="79" t="e">
        <f>IF(DbLinkTable[[#This Row],[Price/lb]]*DbLinkTable[[#This Row],[Weight]]&gt;0,DbLinkTable[[#This Row],[Price/lb]]*DbLinkTable[[#This Row],[Weight]],0)</f>
        <v>#VALUE!</v>
      </c>
      <c r="U1204" s="79" t="e">
        <f>IF(DbLinkTable[[#This Row],[Price/lb]]*DbLinkTable[[#This Row],[Weight]]&lt;0,DbLinkTable[[#This Row],[Price/lb]]*DbLinkTable[[#This Row],[Weight]],0)</f>
        <v>#VALUE!</v>
      </c>
      <c r="V1204" s="4" t="str">
        <f>IF(COUNTIF($W$2:W1204,W1204)=1,1,"")</f>
        <v/>
      </c>
      <c r="W1204" s="4" t="e">
        <f>CONCATENATE(DbLinkTable[[#This Row],[Customer]],UPPER(DbLinkTable[[#This Row],[Trailer Number]]),DbLinkTable[[#This Row],[Day Received]])</f>
        <v>#VALUE!</v>
      </c>
      <c r="X1204" s="4" t="e">
        <f>DATEVALUE(TEXT(DbLinkTable[[#This Row],[Date Received]],"MMMM YYYY"))</f>
        <v>#VALUE!</v>
      </c>
      <c r="Y1204" s="4" t="e">
        <f>INT(DbLinkTable[[#This Row],[Date Received]])</f>
        <v>#VALUE!</v>
      </c>
    </row>
    <row r="1205" spans="5:25">
      <c r="E1205"/>
      <c r="G1205"/>
      <c r="H1205"/>
      <c r="I1205"/>
      <c r="K1205"/>
      <c r="O1205"/>
      <c r="R1205"/>
      <c r="S1205" s="79" t="e">
        <f>DbLinkTable[[#This Row],[Credit]]+DbLinkTable[[#This Row],[Charge]]</f>
        <v>#VALUE!</v>
      </c>
      <c r="T1205" s="79" t="e">
        <f>IF(DbLinkTable[[#This Row],[Price/lb]]*DbLinkTable[[#This Row],[Weight]]&gt;0,DbLinkTable[[#This Row],[Price/lb]]*DbLinkTable[[#This Row],[Weight]],0)</f>
        <v>#VALUE!</v>
      </c>
      <c r="U1205" s="79" t="e">
        <f>IF(DbLinkTable[[#This Row],[Price/lb]]*DbLinkTable[[#This Row],[Weight]]&lt;0,DbLinkTable[[#This Row],[Price/lb]]*DbLinkTable[[#This Row],[Weight]],0)</f>
        <v>#VALUE!</v>
      </c>
      <c r="V1205" s="4" t="str">
        <f>IF(COUNTIF($W$2:W1205,W1205)=1,1,"")</f>
        <v/>
      </c>
      <c r="W1205" s="4" t="e">
        <f>CONCATENATE(DbLinkTable[[#This Row],[Customer]],UPPER(DbLinkTable[[#This Row],[Trailer Number]]),DbLinkTable[[#This Row],[Day Received]])</f>
        <v>#VALUE!</v>
      </c>
      <c r="X1205" s="4" t="e">
        <f>DATEVALUE(TEXT(DbLinkTable[[#This Row],[Date Received]],"MMMM YYYY"))</f>
        <v>#VALUE!</v>
      </c>
      <c r="Y1205" s="4" t="e">
        <f>INT(DbLinkTable[[#This Row],[Date Received]])</f>
        <v>#VALUE!</v>
      </c>
    </row>
    <row r="1206" spans="5:25">
      <c r="E1206"/>
      <c r="G1206"/>
      <c r="H1206"/>
      <c r="I1206"/>
      <c r="K1206"/>
      <c r="O1206"/>
      <c r="R1206"/>
      <c r="S1206" s="79" t="e">
        <f>DbLinkTable[[#This Row],[Credit]]+DbLinkTable[[#This Row],[Charge]]</f>
        <v>#VALUE!</v>
      </c>
      <c r="T1206" s="79" t="e">
        <f>IF(DbLinkTable[[#This Row],[Price/lb]]*DbLinkTable[[#This Row],[Weight]]&gt;0,DbLinkTable[[#This Row],[Price/lb]]*DbLinkTable[[#This Row],[Weight]],0)</f>
        <v>#VALUE!</v>
      </c>
      <c r="U1206" s="79" t="e">
        <f>IF(DbLinkTable[[#This Row],[Price/lb]]*DbLinkTable[[#This Row],[Weight]]&lt;0,DbLinkTable[[#This Row],[Price/lb]]*DbLinkTable[[#This Row],[Weight]],0)</f>
        <v>#VALUE!</v>
      </c>
      <c r="V1206" s="4" t="str">
        <f>IF(COUNTIF($W$2:W1206,W1206)=1,1,"")</f>
        <v/>
      </c>
      <c r="W1206" s="4" t="e">
        <f>CONCATENATE(DbLinkTable[[#This Row],[Customer]],UPPER(DbLinkTable[[#This Row],[Trailer Number]]),DbLinkTable[[#This Row],[Day Received]])</f>
        <v>#VALUE!</v>
      </c>
      <c r="X1206" s="4" t="e">
        <f>DATEVALUE(TEXT(DbLinkTable[[#This Row],[Date Received]],"MMMM YYYY"))</f>
        <v>#VALUE!</v>
      </c>
      <c r="Y1206" s="4" t="e">
        <f>INT(DbLinkTable[[#This Row],[Date Received]])</f>
        <v>#VALUE!</v>
      </c>
    </row>
    <row r="1207" spans="5:25">
      <c r="E1207"/>
      <c r="G1207"/>
      <c r="H1207"/>
      <c r="I1207"/>
      <c r="K1207"/>
      <c r="O1207"/>
      <c r="R1207"/>
      <c r="S1207" s="79" t="e">
        <f>DbLinkTable[[#This Row],[Credit]]+DbLinkTable[[#This Row],[Charge]]</f>
        <v>#VALUE!</v>
      </c>
      <c r="T1207" s="79" t="e">
        <f>IF(DbLinkTable[[#This Row],[Price/lb]]*DbLinkTable[[#This Row],[Weight]]&gt;0,DbLinkTable[[#This Row],[Price/lb]]*DbLinkTable[[#This Row],[Weight]],0)</f>
        <v>#VALUE!</v>
      </c>
      <c r="U1207" s="79" t="e">
        <f>IF(DbLinkTable[[#This Row],[Price/lb]]*DbLinkTable[[#This Row],[Weight]]&lt;0,DbLinkTable[[#This Row],[Price/lb]]*DbLinkTable[[#This Row],[Weight]],0)</f>
        <v>#VALUE!</v>
      </c>
      <c r="V1207" s="4" t="str">
        <f>IF(COUNTIF($W$2:W1207,W1207)=1,1,"")</f>
        <v/>
      </c>
      <c r="W1207" s="4" t="e">
        <f>CONCATENATE(DbLinkTable[[#This Row],[Customer]],UPPER(DbLinkTable[[#This Row],[Trailer Number]]),DbLinkTable[[#This Row],[Day Received]])</f>
        <v>#VALUE!</v>
      </c>
      <c r="X1207" s="4" t="e">
        <f>DATEVALUE(TEXT(DbLinkTable[[#This Row],[Date Received]],"MMMM YYYY"))</f>
        <v>#VALUE!</v>
      </c>
      <c r="Y1207" s="4" t="e">
        <f>INT(DbLinkTable[[#This Row],[Date Received]])</f>
        <v>#VALUE!</v>
      </c>
    </row>
    <row r="1208" spans="5:25">
      <c r="E1208"/>
      <c r="G1208"/>
      <c r="H1208"/>
      <c r="I1208"/>
      <c r="K1208"/>
      <c r="O1208"/>
      <c r="R1208"/>
      <c r="S1208" s="79" t="e">
        <f>DbLinkTable[[#This Row],[Credit]]+DbLinkTable[[#This Row],[Charge]]</f>
        <v>#VALUE!</v>
      </c>
      <c r="T1208" s="79" t="e">
        <f>IF(DbLinkTable[[#This Row],[Price/lb]]*DbLinkTable[[#This Row],[Weight]]&gt;0,DbLinkTable[[#This Row],[Price/lb]]*DbLinkTable[[#This Row],[Weight]],0)</f>
        <v>#VALUE!</v>
      </c>
      <c r="U1208" s="79" t="e">
        <f>IF(DbLinkTable[[#This Row],[Price/lb]]*DbLinkTable[[#This Row],[Weight]]&lt;0,DbLinkTable[[#This Row],[Price/lb]]*DbLinkTable[[#This Row],[Weight]],0)</f>
        <v>#VALUE!</v>
      </c>
      <c r="V1208" s="4" t="str">
        <f>IF(COUNTIF($W$2:W1208,W1208)=1,1,"")</f>
        <v/>
      </c>
      <c r="W1208" s="4" t="e">
        <f>CONCATENATE(DbLinkTable[[#This Row],[Customer]],UPPER(DbLinkTable[[#This Row],[Trailer Number]]),DbLinkTable[[#This Row],[Day Received]])</f>
        <v>#VALUE!</v>
      </c>
      <c r="X1208" s="4" t="e">
        <f>DATEVALUE(TEXT(DbLinkTable[[#This Row],[Date Received]],"MMMM YYYY"))</f>
        <v>#VALUE!</v>
      </c>
      <c r="Y1208" s="4" t="e">
        <f>INT(DbLinkTable[[#This Row],[Date Received]])</f>
        <v>#VALUE!</v>
      </c>
    </row>
    <row r="1209" spans="5:25">
      <c r="E1209"/>
      <c r="G1209"/>
      <c r="H1209"/>
      <c r="I1209"/>
      <c r="K1209"/>
      <c r="O1209"/>
      <c r="R1209"/>
      <c r="S1209" s="79" t="e">
        <f>DbLinkTable[[#This Row],[Credit]]+DbLinkTable[[#This Row],[Charge]]</f>
        <v>#VALUE!</v>
      </c>
      <c r="T1209" s="79" t="e">
        <f>IF(DbLinkTable[[#This Row],[Price/lb]]*DbLinkTable[[#This Row],[Weight]]&gt;0,DbLinkTable[[#This Row],[Price/lb]]*DbLinkTable[[#This Row],[Weight]],0)</f>
        <v>#VALUE!</v>
      </c>
      <c r="U1209" s="79" t="e">
        <f>IF(DbLinkTable[[#This Row],[Price/lb]]*DbLinkTable[[#This Row],[Weight]]&lt;0,DbLinkTable[[#This Row],[Price/lb]]*DbLinkTable[[#This Row],[Weight]],0)</f>
        <v>#VALUE!</v>
      </c>
      <c r="V1209" s="4" t="str">
        <f>IF(COUNTIF($W$2:W1209,W1209)=1,1,"")</f>
        <v/>
      </c>
      <c r="W1209" s="4" t="e">
        <f>CONCATENATE(DbLinkTable[[#This Row],[Customer]],UPPER(DbLinkTable[[#This Row],[Trailer Number]]),DbLinkTable[[#This Row],[Day Received]])</f>
        <v>#VALUE!</v>
      </c>
      <c r="X1209" s="4" t="e">
        <f>DATEVALUE(TEXT(DbLinkTable[[#This Row],[Date Received]],"MMMM YYYY"))</f>
        <v>#VALUE!</v>
      </c>
      <c r="Y1209" s="4" t="e">
        <f>INT(DbLinkTable[[#This Row],[Date Received]])</f>
        <v>#VALUE!</v>
      </c>
    </row>
    <row r="1210" spans="5:25">
      <c r="E1210"/>
      <c r="G1210"/>
      <c r="H1210"/>
      <c r="I1210"/>
      <c r="K1210"/>
      <c r="O1210"/>
      <c r="R1210"/>
      <c r="S1210" s="79" t="e">
        <f>DbLinkTable[[#This Row],[Credit]]+DbLinkTable[[#This Row],[Charge]]</f>
        <v>#VALUE!</v>
      </c>
      <c r="T1210" s="79" t="e">
        <f>IF(DbLinkTable[[#This Row],[Price/lb]]*DbLinkTable[[#This Row],[Weight]]&gt;0,DbLinkTable[[#This Row],[Price/lb]]*DbLinkTable[[#This Row],[Weight]],0)</f>
        <v>#VALUE!</v>
      </c>
      <c r="U1210" s="79" t="e">
        <f>IF(DbLinkTable[[#This Row],[Price/lb]]*DbLinkTable[[#This Row],[Weight]]&lt;0,DbLinkTable[[#This Row],[Price/lb]]*DbLinkTable[[#This Row],[Weight]],0)</f>
        <v>#VALUE!</v>
      </c>
      <c r="V1210" s="4" t="str">
        <f>IF(COUNTIF($W$2:W1210,W1210)=1,1,"")</f>
        <v/>
      </c>
      <c r="W1210" s="4" t="e">
        <f>CONCATENATE(DbLinkTable[[#This Row],[Customer]],UPPER(DbLinkTable[[#This Row],[Trailer Number]]),DbLinkTable[[#This Row],[Day Received]])</f>
        <v>#VALUE!</v>
      </c>
      <c r="X1210" s="4" t="e">
        <f>DATEVALUE(TEXT(DbLinkTable[[#This Row],[Date Received]],"MMMM YYYY"))</f>
        <v>#VALUE!</v>
      </c>
      <c r="Y1210" s="4" t="e">
        <f>INT(DbLinkTable[[#This Row],[Date Received]])</f>
        <v>#VALUE!</v>
      </c>
    </row>
    <row r="1211" spans="5:25">
      <c r="E1211"/>
      <c r="G1211"/>
      <c r="H1211"/>
      <c r="I1211"/>
      <c r="K1211"/>
      <c r="O1211"/>
      <c r="R1211"/>
      <c r="S1211" s="79" t="e">
        <f>DbLinkTable[[#This Row],[Credit]]+DbLinkTable[[#This Row],[Charge]]</f>
        <v>#VALUE!</v>
      </c>
      <c r="T1211" s="79" t="e">
        <f>IF(DbLinkTable[[#This Row],[Price/lb]]*DbLinkTable[[#This Row],[Weight]]&gt;0,DbLinkTable[[#This Row],[Price/lb]]*DbLinkTable[[#This Row],[Weight]],0)</f>
        <v>#VALUE!</v>
      </c>
      <c r="U1211" s="79" t="e">
        <f>IF(DbLinkTable[[#This Row],[Price/lb]]*DbLinkTable[[#This Row],[Weight]]&lt;0,DbLinkTable[[#This Row],[Price/lb]]*DbLinkTable[[#This Row],[Weight]],0)</f>
        <v>#VALUE!</v>
      </c>
      <c r="V1211" s="4" t="str">
        <f>IF(COUNTIF($W$2:W1211,W1211)=1,1,"")</f>
        <v/>
      </c>
      <c r="W1211" s="4" t="e">
        <f>CONCATENATE(DbLinkTable[[#This Row],[Customer]],UPPER(DbLinkTable[[#This Row],[Trailer Number]]),DbLinkTable[[#This Row],[Day Received]])</f>
        <v>#VALUE!</v>
      </c>
      <c r="X1211" s="4" t="e">
        <f>DATEVALUE(TEXT(DbLinkTable[[#This Row],[Date Received]],"MMMM YYYY"))</f>
        <v>#VALUE!</v>
      </c>
      <c r="Y1211" s="4" t="e">
        <f>INT(DbLinkTable[[#This Row],[Date Received]])</f>
        <v>#VALUE!</v>
      </c>
    </row>
    <row r="1212" spans="5:25">
      <c r="E1212"/>
      <c r="G1212"/>
      <c r="H1212"/>
      <c r="I1212"/>
      <c r="K1212"/>
      <c r="O1212"/>
      <c r="R1212"/>
      <c r="S1212" s="79" t="e">
        <f>DbLinkTable[[#This Row],[Credit]]+DbLinkTable[[#This Row],[Charge]]</f>
        <v>#VALUE!</v>
      </c>
      <c r="T1212" s="79" t="e">
        <f>IF(DbLinkTable[[#This Row],[Price/lb]]*DbLinkTable[[#This Row],[Weight]]&gt;0,DbLinkTable[[#This Row],[Price/lb]]*DbLinkTable[[#This Row],[Weight]],0)</f>
        <v>#VALUE!</v>
      </c>
      <c r="U1212" s="79" t="e">
        <f>IF(DbLinkTable[[#This Row],[Price/lb]]*DbLinkTable[[#This Row],[Weight]]&lt;0,DbLinkTable[[#This Row],[Price/lb]]*DbLinkTable[[#This Row],[Weight]],0)</f>
        <v>#VALUE!</v>
      </c>
      <c r="V1212" s="4" t="str">
        <f>IF(COUNTIF($W$2:W1212,W1212)=1,1,"")</f>
        <v/>
      </c>
      <c r="W1212" s="4" t="e">
        <f>CONCATENATE(DbLinkTable[[#This Row],[Customer]],UPPER(DbLinkTable[[#This Row],[Trailer Number]]),DbLinkTable[[#This Row],[Day Received]])</f>
        <v>#VALUE!</v>
      </c>
      <c r="X1212" s="4" t="e">
        <f>DATEVALUE(TEXT(DbLinkTable[[#This Row],[Date Received]],"MMMM YYYY"))</f>
        <v>#VALUE!</v>
      </c>
      <c r="Y1212" s="4" t="e">
        <f>INT(DbLinkTable[[#This Row],[Date Received]])</f>
        <v>#VALUE!</v>
      </c>
    </row>
    <row r="1213" spans="5:25">
      <c r="E1213"/>
      <c r="G1213"/>
      <c r="H1213"/>
      <c r="I1213"/>
      <c r="K1213"/>
      <c r="O1213"/>
      <c r="R1213"/>
      <c r="S1213" s="79" t="e">
        <f>DbLinkTable[[#This Row],[Credit]]+DbLinkTable[[#This Row],[Charge]]</f>
        <v>#VALUE!</v>
      </c>
      <c r="T1213" s="79" t="e">
        <f>IF(DbLinkTable[[#This Row],[Price/lb]]*DbLinkTable[[#This Row],[Weight]]&gt;0,DbLinkTable[[#This Row],[Price/lb]]*DbLinkTable[[#This Row],[Weight]],0)</f>
        <v>#VALUE!</v>
      </c>
      <c r="U1213" s="79" t="e">
        <f>IF(DbLinkTable[[#This Row],[Price/lb]]*DbLinkTable[[#This Row],[Weight]]&lt;0,DbLinkTable[[#This Row],[Price/lb]]*DbLinkTable[[#This Row],[Weight]],0)</f>
        <v>#VALUE!</v>
      </c>
      <c r="V1213" s="4" t="str">
        <f>IF(COUNTIF($W$2:W1213,W1213)=1,1,"")</f>
        <v/>
      </c>
      <c r="W1213" s="4" t="e">
        <f>CONCATENATE(DbLinkTable[[#This Row],[Customer]],UPPER(DbLinkTable[[#This Row],[Trailer Number]]),DbLinkTable[[#This Row],[Day Received]])</f>
        <v>#VALUE!</v>
      </c>
      <c r="X1213" s="4" t="e">
        <f>DATEVALUE(TEXT(DbLinkTable[[#This Row],[Date Received]],"MMMM YYYY"))</f>
        <v>#VALUE!</v>
      </c>
      <c r="Y1213" s="4" t="e">
        <f>INT(DbLinkTable[[#This Row],[Date Received]])</f>
        <v>#VALUE!</v>
      </c>
    </row>
    <row r="1214" spans="5:25">
      <c r="E1214"/>
      <c r="G1214"/>
      <c r="H1214"/>
      <c r="I1214"/>
      <c r="K1214"/>
      <c r="O1214"/>
      <c r="R1214"/>
      <c r="S1214" s="79" t="e">
        <f>DbLinkTable[[#This Row],[Credit]]+DbLinkTable[[#This Row],[Charge]]</f>
        <v>#VALUE!</v>
      </c>
      <c r="T1214" s="79" t="e">
        <f>IF(DbLinkTable[[#This Row],[Price/lb]]*DbLinkTable[[#This Row],[Weight]]&gt;0,DbLinkTable[[#This Row],[Price/lb]]*DbLinkTable[[#This Row],[Weight]],0)</f>
        <v>#VALUE!</v>
      </c>
      <c r="U1214" s="79" t="e">
        <f>IF(DbLinkTable[[#This Row],[Price/lb]]*DbLinkTable[[#This Row],[Weight]]&lt;0,DbLinkTable[[#This Row],[Price/lb]]*DbLinkTable[[#This Row],[Weight]],0)</f>
        <v>#VALUE!</v>
      </c>
      <c r="V1214" s="4" t="str">
        <f>IF(COUNTIF($W$2:W1214,W1214)=1,1,"")</f>
        <v/>
      </c>
      <c r="W1214" s="4" t="e">
        <f>CONCATENATE(DbLinkTable[[#This Row],[Customer]],UPPER(DbLinkTable[[#This Row],[Trailer Number]]),DbLinkTable[[#This Row],[Day Received]])</f>
        <v>#VALUE!</v>
      </c>
      <c r="X1214" s="4" t="e">
        <f>DATEVALUE(TEXT(DbLinkTable[[#This Row],[Date Received]],"MMMM YYYY"))</f>
        <v>#VALUE!</v>
      </c>
      <c r="Y1214" s="4" t="e">
        <f>INT(DbLinkTable[[#This Row],[Date Received]])</f>
        <v>#VALUE!</v>
      </c>
    </row>
    <row r="1215" spans="5:25">
      <c r="E1215"/>
      <c r="G1215"/>
      <c r="H1215"/>
      <c r="I1215"/>
      <c r="K1215"/>
      <c r="O1215"/>
      <c r="R1215"/>
      <c r="S1215" s="79" t="e">
        <f>DbLinkTable[[#This Row],[Credit]]+DbLinkTable[[#This Row],[Charge]]</f>
        <v>#VALUE!</v>
      </c>
      <c r="T1215" s="79" t="e">
        <f>IF(DbLinkTable[[#This Row],[Price/lb]]*DbLinkTable[[#This Row],[Weight]]&gt;0,DbLinkTable[[#This Row],[Price/lb]]*DbLinkTable[[#This Row],[Weight]],0)</f>
        <v>#VALUE!</v>
      </c>
      <c r="U1215" s="79" t="e">
        <f>IF(DbLinkTable[[#This Row],[Price/lb]]*DbLinkTable[[#This Row],[Weight]]&lt;0,DbLinkTable[[#This Row],[Price/lb]]*DbLinkTable[[#This Row],[Weight]],0)</f>
        <v>#VALUE!</v>
      </c>
      <c r="V1215" s="4" t="str">
        <f>IF(COUNTIF($W$2:W1215,W1215)=1,1,"")</f>
        <v/>
      </c>
      <c r="W1215" s="4" t="e">
        <f>CONCATENATE(DbLinkTable[[#This Row],[Customer]],UPPER(DbLinkTable[[#This Row],[Trailer Number]]),DbLinkTable[[#This Row],[Day Received]])</f>
        <v>#VALUE!</v>
      </c>
      <c r="X1215" s="4" t="e">
        <f>DATEVALUE(TEXT(DbLinkTable[[#This Row],[Date Received]],"MMMM YYYY"))</f>
        <v>#VALUE!</v>
      </c>
      <c r="Y1215" s="4" t="e">
        <f>INT(DbLinkTable[[#This Row],[Date Received]])</f>
        <v>#VALUE!</v>
      </c>
    </row>
    <row r="1216" spans="5:25">
      <c r="E1216"/>
      <c r="G1216"/>
      <c r="H1216"/>
      <c r="I1216"/>
      <c r="K1216"/>
      <c r="O1216"/>
      <c r="R1216"/>
      <c r="S1216" s="79" t="e">
        <f>DbLinkTable[[#This Row],[Credit]]+DbLinkTable[[#This Row],[Charge]]</f>
        <v>#VALUE!</v>
      </c>
      <c r="T1216" s="79" t="e">
        <f>IF(DbLinkTable[[#This Row],[Price/lb]]*DbLinkTable[[#This Row],[Weight]]&gt;0,DbLinkTable[[#This Row],[Price/lb]]*DbLinkTable[[#This Row],[Weight]],0)</f>
        <v>#VALUE!</v>
      </c>
      <c r="U1216" s="79" t="e">
        <f>IF(DbLinkTable[[#This Row],[Price/lb]]*DbLinkTable[[#This Row],[Weight]]&lt;0,DbLinkTable[[#This Row],[Price/lb]]*DbLinkTable[[#This Row],[Weight]],0)</f>
        <v>#VALUE!</v>
      </c>
      <c r="V1216" s="4" t="str">
        <f>IF(COUNTIF($W$2:W1216,W1216)=1,1,"")</f>
        <v/>
      </c>
      <c r="W1216" s="4" t="e">
        <f>CONCATENATE(DbLinkTable[[#This Row],[Customer]],UPPER(DbLinkTable[[#This Row],[Trailer Number]]),DbLinkTable[[#This Row],[Day Received]])</f>
        <v>#VALUE!</v>
      </c>
      <c r="X1216" s="4" t="e">
        <f>DATEVALUE(TEXT(DbLinkTable[[#This Row],[Date Received]],"MMMM YYYY"))</f>
        <v>#VALUE!</v>
      </c>
      <c r="Y1216" s="4" t="e">
        <f>INT(DbLinkTable[[#This Row],[Date Received]])</f>
        <v>#VALUE!</v>
      </c>
    </row>
    <row r="1217" spans="5:25">
      <c r="E1217"/>
      <c r="G1217"/>
      <c r="H1217"/>
      <c r="I1217"/>
      <c r="K1217"/>
      <c r="O1217"/>
      <c r="R1217"/>
      <c r="S1217" s="79" t="e">
        <f>DbLinkTable[[#This Row],[Credit]]+DbLinkTable[[#This Row],[Charge]]</f>
        <v>#VALUE!</v>
      </c>
      <c r="T1217" s="79" t="e">
        <f>IF(DbLinkTable[[#This Row],[Price/lb]]*DbLinkTable[[#This Row],[Weight]]&gt;0,DbLinkTable[[#This Row],[Price/lb]]*DbLinkTable[[#This Row],[Weight]],0)</f>
        <v>#VALUE!</v>
      </c>
      <c r="U1217" s="79" t="e">
        <f>IF(DbLinkTable[[#This Row],[Price/lb]]*DbLinkTable[[#This Row],[Weight]]&lt;0,DbLinkTable[[#This Row],[Price/lb]]*DbLinkTable[[#This Row],[Weight]],0)</f>
        <v>#VALUE!</v>
      </c>
      <c r="V1217" s="4" t="str">
        <f>IF(COUNTIF($W$2:W1217,W1217)=1,1,"")</f>
        <v/>
      </c>
      <c r="W1217" s="4" t="e">
        <f>CONCATENATE(DbLinkTable[[#This Row],[Customer]],UPPER(DbLinkTable[[#This Row],[Trailer Number]]),DbLinkTable[[#This Row],[Day Received]])</f>
        <v>#VALUE!</v>
      </c>
      <c r="X1217" s="4" t="e">
        <f>DATEVALUE(TEXT(DbLinkTable[[#This Row],[Date Received]],"MMMM YYYY"))</f>
        <v>#VALUE!</v>
      </c>
      <c r="Y1217" s="4" t="e">
        <f>INT(DbLinkTable[[#This Row],[Date Received]])</f>
        <v>#VALUE!</v>
      </c>
    </row>
    <row r="1218" spans="5:25">
      <c r="E1218"/>
      <c r="G1218"/>
      <c r="H1218"/>
      <c r="I1218"/>
      <c r="K1218"/>
      <c r="O1218"/>
      <c r="R1218"/>
      <c r="S1218" s="79" t="e">
        <f>DbLinkTable[[#This Row],[Credit]]+DbLinkTable[[#This Row],[Charge]]</f>
        <v>#VALUE!</v>
      </c>
      <c r="T1218" s="79" t="e">
        <f>IF(DbLinkTable[[#This Row],[Price/lb]]*DbLinkTable[[#This Row],[Weight]]&gt;0,DbLinkTable[[#This Row],[Price/lb]]*DbLinkTable[[#This Row],[Weight]],0)</f>
        <v>#VALUE!</v>
      </c>
      <c r="U1218" s="79" t="e">
        <f>IF(DbLinkTable[[#This Row],[Price/lb]]*DbLinkTable[[#This Row],[Weight]]&lt;0,DbLinkTable[[#This Row],[Price/lb]]*DbLinkTable[[#This Row],[Weight]],0)</f>
        <v>#VALUE!</v>
      </c>
      <c r="V1218" s="4" t="str">
        <f>IF(COUNTIF($W$2:W1218,W1218)=1,1,"")</f>
        <v/>
      </c>
      <c r="W1218" s="4" t="e">
        <f>CONCATENATE(DbLinkTable[[#This Row],[Customer]],UPPER(DbLinkTable[[#This Row],[Trailer Number]]),DbLinkTable[[#This Row],[Day Received]])</f>
        <v>#VALUE!</v>
      </c>
      <c r="X1218" s="4" t="e">
        <f>DATEVALUE(TEXT(DbLinkTable[[#This Row],[Date Received]],"MMMM YYYY"))</f>
        <v>#VALUE!</v>
      </c>
      <c r="Y1218" s="4" t="e">
        <f>INT(DbLinkTable[[#This Row],[Date Received]])</f>
        <v>#VALUE!</v>
      </c>
    </row>
    <row r="1219" spans="5:25">
      <c r="E1219"/>
      <c r="G1219"/>
      <c r="H1219"/>
      <c r="I1219"/>
      <c r="K1219"/>
      <c r="O1219"/>
      <c r="R1219"/>
      <c r="S1219" s="79" t="e">
        <f>DbLinkTable[[#This Row],[Credit]]+DbLinkTable[[#This Row],[Charge]]</f>
        <v>#VALUE!</v>
      </c>
      <c r="T1219" s="79" t="e">
        <f>IF(DbLinkTable[[#This Row],[Price/lb]]*DbLinkTable[[#This Row],[Weight]]&gt;0,DbLinkTable[[#This Row],[Price/lb]]*DbLinkTable[[#This Row],[Weight]],0)</f>
        <v>#VALUE!</v>
      </c>
      <c r="U1219" s="79" t="e">
        <f>IF(DbLinkTable[[#This Row],[Price/lb]]*DbLinkTable[[#This Row],[Weight]]&lt;0,DbLinkTable[[#This Row],[Price/lb]]*DbLinkTable[[#This Row],[Weight]],0)</f>
        <v>#VALUE!</v>
      </c>
      <c r="V1219" s="4" t="str">
        <f>IF(COUNTIF($W$2:W1219,W1219)=1,1,"")</f>
        <v/>
      </c>
      <c r="W1219" s="4" t="e">
        <f>CONCATENATE(DbLinkTable[[#This Row],[Customer]],UPPER(DbLinkTable[[#This Row],[Trailer Number]]),DbLinkTable[[#This Row],[Day Received]])</f>
        <v>#VALUE!</v>
      </c>
      <c r="X1219" s="4" t="e">
        <f>DATEVALUE(TEXT(DbLinkTable[[#This Row],[Date Received]],"MMMM YYYY"))</f>
        <v>#VALUE!</v>
      </c>
      <c r="Y1219" s="4" t="e">
        <f>INT(DbLinkTable[[#This Row],[Date Received]])</f>
        <v>#VALUE!</v>
      </c>
    </row>
    <row r="1220" spans="5:25">
      <c r="E1220"/>
      <c r="G1220"/>
      <c r="H1220"/>
      <c r="I1220"/>
      <c r="K1220"/>
      <c r="O1220"/>
      <c r="R1220"/>
      <c r="S1220" s="79" t="e">
        <f>DbLinkTable[[#This Row],[Credit]]+DbLinkTable[[#This Row],[Charge]]</f>
        <v>#VALUE!</v>
      </c>
      <c r="T1220" s="79" t="e">
        <f>IF(DbLinkTable[[#This Row],[Price/lb]]*DbLinkTable[[#This Row],[Weight]]&gt;0,DbLinkTable[[#This Row],[Price/lb]]*DbLinkTable[[#This Row],[Weight]],0)</f>
        <v>#VALUE!</v>
      </c>
      <c r="U1220" s="79" t="e">
        <f>IF(DbLinkTable[[#This Row],[Price/lb]]*DbLinkTable[[#This Row],[Weight]]&lt;0,DbLinkTable[[#This Row],[Price/lb]]*DbLinkTable[[#This Row],[Weight]],0)</f>
        <v>#VALUE!</v>
      </c>
      <c r="V1220" s="4" t="str">
        <f>IF(COUNTIF($W$2:W1220,W1220)=1,1,"")</f>
        <v/>
      </c>
      <c r="W1220" s="4" t="e">
        <f>CONCATENATE(DbLinkTable[[#This Row],[Customer]],UPPER(DbLinkTable[[#This Row],[Trailer Number]]),DbLinkTable[[#This Row],[Day Received]])</f>
        <v>#VALUE!</v>
      </c>
      <c r="X1220" s="4" t="e">
        <f>DATEVALUE(TEXT(DbLinkTable[[#This Row],[Date Received]],"MMMM YYYY"))</f>
        <v>#VALUE!</v>
      </c>
      <c r="Y1220" s="4" t="e">
        <f>INT(DbLinkTable[[#This Row],[Date Received]])</f>
        <v>#VALUE!</v>
      </c>
    </row>
    <row r="1221" spans="5:25">
      <c r="E1221"/>
      <c r="G1221"/>
      <c r="H1221"/>
      <c r="I1221"/>
      <c r="K1221"/>
      <c r="O1221"/>
      <c r="R1221"/>
      <c r="S1221" s="79" t="e">
        <f>DbLinkTable[[#This Row],[Credit]]+DbLinkTable[[#This Row],[Charge]]</f>
        <v>#VALUE!</v>
      </c>
      <c r="T1221" s="79" t="e">
        <f>IF(DbLinkTable[[#This Row],[Price/lb]]*DbLinkTable[[#This Row],[Weight]]&gt;0,DbLinkTable[[#This Row],[Price/lb]]*DbLinkTable[[#This Row],[Weight]],0)</f>
        <v>#VALUE!</v>
      </c>
      <c r="U1221" s="79" t="e">
        <f>IF(DbLinkTable[[#This Row],[Price/lb]]*DbLinkTable[[#This Row],[Weight]]&lt;0,DbLinkTable[[#This Row],[Price/lb]]*DbLinkTable[[#This Row],[Weight]],0)</f>
        <v>#VALUE!</v>
      </c>
      <c r="V1221" s="4" t="str">
        <f>IF(COUNTIF($W$2:W1221,W1221)=1,1,"")</f>
        <v/>
      </c>
      <c r="W1221" s="4" t="e">
        <f>CONCATENATE(DbLinkTable[[#This Row],[Customer]],UPPER(DbLinkTable[[#This Row],[Trailer Number]]),DbLinkTable[[#This Row],[Day Received]])</f>
        <v>#VALUE!</v>
      </c>
      <c r="X1221" s="4" t="e">
        <f>DATEVALUE(TEXT(DbLinkTable[[#This Row],[Date Received]],"MMMM YYYY"))</f>
        <v>#VALUE!</v>
      </c>
      <c r="Y1221" s="4" t="e">
        <f>INT(DbLinkTable[[#This Row],[Date Received]])</f>
        <v>#VALUE!</v>
      </c>
    </row>
    <row r="1222" spans="5:25">
      <c r="E1222"/>
      <c r="G1222"/>
      <c r="H1222"/>
      <c r="I1222"/>
      <c r="K1222"/>
      <c r="O1222"/>
      <c r="R1222"/>
      <c r="S1222" s="79" t="e">
        <f>DbLinkTable[[#This Row],[Credit]]+DbLinkTable[[#This Row],[Charge]]</f>
        <v>#VALUE!</v>
      </c>
      <c r="T1222" s="79" t="e">
        <f>IF(DbLinkTable[[#This Row],[Price/lb]]*DbLinkTable[[#This Row],[Weight]]&gt;0,DbLinkTable[[#This Row],[Price/lb]]*DbLinkTable[[#This Row],[Weight]],0)</f>
        <v>#VALUE!</v>
      </c>
      <c r="U1222" s="79" t="e">
        <f>IF(DbLinkTable[[#This Row],[Price/lb]]*DbLinkTable[[#This Row],[Weight]]&lt;0,DbLinkTable[[#This Row],[Price/lb]]*DbLinkTable[[#This Row],[Weight]],0)</f>
        <v>#VALUE!</v>
      </c>
      <c r="V1222" s="4" t="str">
        <f>IF(COUNTIF($W$2:W1222,W1222)=1,1,"")</f>
        <v/>
      </c>
      <c r="W1222" s="4" t="e">
        <f>CONCATENATE(DbLinkTable[[#This Row],[Customer]],UPPER(DbLinkTable[[#This Row],[Trailer Number]]),DbLinkTable[[#This Row],[Day Received]])</f>
        <v>#VALUE!</v>
      </c>
      <c r="X1222" s="4" t="e">
        <f>DATEVALUE(TEXT(DbLinkTable[[#This Row],[Date Received]],"MMMM YYYY"))</f>
        <v>#VALUE!</v>
      </c>
      <c r="Y1222" s="4" t="e">
        <f>INT(DbLinkTable[[#This Row],[Date Received]])</f>
        <v>#VALUE!</v>
      </c>
    </row>
    <row r="1223" spans="5:25">
      <c r="E1223"/>
      <c r="G1223"/>
      <c r="H1223"/>
      <c r="I1223"/>
      <c r="K1223"/>
      <c r="O1223"/>
      <c r="R1223"/>
      <c r="S1223" s="79" t="e">
        <f>DbLinkTable[[#This Row],[Credit]]+DbLinkTable[[#This Row],[Charge]]</f>
        <v>#VALUE!</v>
      </c>
      <c r="T1223" s="79" t="e">
        <f>IF(DbLinkTable[[#This Row],[Price/lb]]*DbLinkTable[[#This Row],[Weight]]&gt;0,DbLinkTable[[#This Row],[Price/lb]]*DbLinkTable[[#This Row],[Weight]],0)</f>
        <v>#VALUE!</v>
      </c>
      <c r="U1223" s="79" t="e">
        <f>IF(DbLinkTable[[#This Row],[Price/lb]]*DbLinkTable[[#This Row],[Weight]]&lt;0,DbLinkTable[[#This Row],[Price/lb]]*DbLinkTable[[#This Row],[Weight]],0)</f>
        <v>#VALUE!</v>
      </c>
      <c r="V1223" s="4" t="str">
        <f>IF(COUNTIF($W$2:W1223,W1223)=1,1,"")</f>
        <v/>
      </c>
      <c r="W1223" s="4" t="e">
        <f>CONCATENATE(DbLinkTable[[#This Row],[Customer]],UPPER(DbLinkTable[[#This Row],[Trailer Number]]),DbLinkTable[[#This Row],[Day Received]])</f>
        <v>#VALUE!</v>
      </c>
      <c r="X1223" s="4" t="e">
        <f>DATEVALUE(TEXT(DbLinkTable[[#This Row],[Date Received]],"MMMM YYYY"))</f>
        <v>#VALUE!</v>
      </c>
      <c r="Y1223" s="4" t="e">
        <f>INT(DbLinkTable[[#This Row],[Date Received]])</f>
        <v>#VALUE!</v>
      </c>
    </row>
    <row r="1224" spans="5:25">
      <c r="E1224"/>
      <c r="G1224"/>
      <c r="H1224"/>
      <c r="I1224"/>
      <c r="K1224"/>
      <c r="O1224"/>
      <c r="R1224"/>
      <c r="S1224" s="79" t="e">
        <f>DbLinkTable[[#This Row],[Credit]]+DbLinkTable[[#This Row],[Charge]]</f>
        <v>#VALUE!</v>
      </c>
      <c r="T1224" s="79" t="e">
        <f>IF(DbLinkTable[[#This Row],[Price/lb]]*DbLinkTable[[#This Row],[Weight]]&gt;0,DbLinkTable[[#This Row],[Price/lb]]*DbLinkTable[[#This Row],[Weight]],0)</f>
        <v>#VALUE!</v>
      </c>
      <c r="U1224" s="79" t="e">
        <f>IF(DbLinkTable[[#This Row],[Price/lb]]*DbLinkTable[[#This Row],[Weight]]&lt;0,DbLinkTable[[#This Row],[Price/lb]]*DbLinkTable[[#This Row],[Weight]],0)</f>
        <v>#VALUE!</v>
      </c>
      <c r="V1224" s="4" t="str">
        <f>IF(COUNTIF($W$2:W1224,W1224)=1,1,"")</f>
        <v/>
      </c>
      <c r="W1224" s="4" t="e">
        <f>CONCATENATE(DbLinkTable[[#This Row],[Customer]],UPPER(DbLinkTable[[#This Row],[Trailer Number]]),DbLinkTable[[#This Row],[Day Received]])</f>
        <v>#VALUE!</v>
      </c>
      <c r="X1224" s="4" t="e">
        <f>DATEVALUE(TEXT(DbLinkTable[[#This Row],[Date Received]],"MMMM YYYY"))</f>
        <v>#VALUE!</v>
      </c>
      <c r="Y1224" s="4" t="e">
        <f>INT(DbLinkTable[[#This Row],[Date Received]])</f>
        <v>#VALUE!</v>
      </c>
    </row>
    <row r="1225" spans="5:25">
      <c r="E1225"/>
      <c r="G1225"/>
      <c r="H1225"/>
      <c r="I1225"/>
      <c r="K1225"/>
      <c r="O1225"/>
      <c r="R1225"/>
      <c r="S1225" s="79" t="e">
        <f>DbLinkTable[[#This Row],[Credit]]+DbLinkTable[[#This Row],[Charge]]</f>
        <v>#VALUE!</v>
      </c>
      <c r="T1225" s="79" t="e">
        <f>IF(DbLinkTable[[#This Row],[Price/lb]]*DbLinkTable[[#This Row],[Weight]]&gt;0,DbLinkTable[[#This Row],[Price/lb]]*DbLinkTable[[#This Row],[Weight]],0)</f>
        <v>#VALUE!</v>
      </c>
      <c r="U1225" s="79" t="e">
        <f>IF(DbLinkTable[[#This Row],[Price/lb]]*DbLinkTable[[#This Row],[Weight]]&lt;0,DbLinkTable[[#This Row],[Price/lb]]*DbLinkTable[[#This Row],[Weight]],0)</f>
        <v>#VALUE!</v>
      </c>
      <c r="V1225" s="4" t="str">
        <f>IF(COUNTIF($W$2:W1225,W1225)=1,1,"")</f>
        <v/>
      </c>
      <c r="W1225" s="4" t="e">
        <f>CONCATENATE(DbLinkTable[[#This Row],[Customer]],UPPER(DbLinkTable[[#This Row],[Trailer Number]]),DbLinkTable[[#This Row],[Day Received]])</f>
        <v>#VALUE!</v>
      </c>
      <c r="X1225" s="4" t="e">
        <f>DATEVALUE(TEXT(DbLinkTable[[#This Row],[Date Received]],"MMMM YYYY"))</f>
        <v>#VALUE!</v>
      </c>
      <c r="Y1225" s="4" t="e">
        <f>INT(DbLinkTable[[#This Row],[Date Received]])</f>
        <v>#VALUE!</v>
      </c>
    </row>
    <row r="1226" spans="5:25">
      <c r="E1226"/>
      <c r="G1226"/>
      <c r="H1226"/>
      <c r="I1226"/>
      <c r="K1226"/>
      <c r="O1226"/>
      <c r="R1226"/>
      <c r="S1226" s="79" t="e">
        <f>DbLinkTable[[#This Row],[Credit]]+DbLinkTable[[#This Row],[Charge]]</f>
        <v>#VALUE!</v>
      </c>
      <c r="T1226" s="79" t="e">
        <f>IF(DbLinkTable[[#This Row],[Price/lb]]*DbLinkTable[[#This Row],[Weight]]&gt;0,DbLinkTable[[#This Row],[Price/lb]]*DbLinkTable[[#This Row],[Weight]],0)</f>
        <v>#VALUE!</v>
      </c>
      <c r="U1226" s="79" t="e">
        <f>IF(DbLinkTable[[#This Row],[Price/lb]]*DbLinkTable[[#This Row],[Weight]]&lt;0,DbLinkTable[[#This Row],[Price/lb]]*DbLinkTable[[#This Row],[Weight]],0)</f>
        <v>#VALUE!</v>
      </c>
      <c r="V1226" s="4" t="str">
        <f>IF(COUNTIF($W$2:W1226,W1226)=1,1,"")</f>
        <v/>
      </c>
      <c r="W1226" s="4" t="e">
        <f>CONCATENATE(DbLinkTable[[#This Row],[Customer]],UPPER(DbLinkTable[[#This Row],[Trailer Number]]),DbLinkTable[[#This Row],[Day Received]])</f>
        <v>#VALUE!</v>
      </c>
      <c r="X1226" s="4" t="e">
        <f>DATEVALUE(TEXT(DbLinkTable[[#This Row],[Date Received]],"MMMM YYYY"))</f>
        <v>#VALUE!</v>
      </c>
      <c r="Y1226" s="4" t="e">
        <f>INT(DbLinkTable[[#This Row],[Date Received]])</f>
        <v>#VALUE!</v>
      </c>
    </row>
    <row r="1227" spans="5:25">
      <c r="E1227"/>
      <c r="G1227"/>
      <c r="H1227"/>
      <c r="I1227"/>
      <c r="K1227"/>
      <c r="O1227"/>
      <c r="R1227"/>
      <c r="S1227" s="79" t="e">
        <f>DbLinkTable[[#This Row],[Credit]]+DbLinkTable[[#This Row],[Charge]]</f>
        <v>#VALUE!</v>
      </c>
      <c r="T1227" s="79" t="e">
        <f>IF(DbLinkTable[[#This Row],[Price/lb]]*DbLinkTable[[#This Row],[Weight]]&gt;0,DbLinkTable[[#This Row],[Price/lb]]*DbLinkTable[[#This Row],[Weight]],0)</f>
        <v>#VALUE!</v>
      </c>
      <c r="U1227" s="79" t="e">
        <f>IF(DbLinkTable[[#This Row],[Price/lb]]*DbLinkTable[[#This Row],[Weight]]&lt;0,DbLinkTable[[#This Row],[Price/lb]]*DbLinkTable[[#This Row],[Weight]],0)</f>
        <v>#VALUE!</v>
      </c>
      <c r="V1227" s="4" t="str">
        <f>IF(COUNTIF($W$2:W1227,W1227)=1,1,"")</f>
        <v/>
      </c>
      <c r="W1227" s="4" t="e">
        <f>CONCATENATE(DbLinkTable[[#This Row],[Customer]],UPPER(DbLinkTable[[#This Row],[Trailer Number]]),DbLinkTable[[#This Row],[Day Received]])</f>
        <v>#VALUE!</v>
      </c>
      <c r="X1227" s="4" t="e">
        <f>DATEVALUE(TEXT(DbLinkTable[[#This Row],[Date Received]],"MMMM YYYY"))</f>
        <v>#VALUE!</v>
      </c>
      <c r="Y1227" s="4" t="e">
        <f>INT(DbLinkTable[[#This Row],[Date Received]])</f>
        <v>#VALUE!</v>
      </c>
    </row>
    <row r="1228" spans="5:25">
      <c r="E1228"/>
      <c r="G1228"/>
      <c r="H1228"/>
      <c r="I1228"/>
      <c r="K1228"/>
      <c r="O1228"/>
      <c r="R1228"/>
      <c r="S1228" s="79" t="e">
        <f>DbLinkTable[[#This Row],[Credit]]+DbLinkTable[[#This Row],[Charge]]</f>
        <v>#VALUE!</v>
      </c>
      <c r="T1228" s="79" t="e">
        <f>IF(DbLinkTable[[#This Row],[Price/lb]]*DbLinkTable[[#This Row],[Weight]]&gt;0,DbLinkTable[[#This Row],[Price/lb]]*DbLinkTable[[#This Row],[Weight]],0)</f>
        <v>#VALUE!</v>
      </c>
      <c r="U1228" s="79" t="e">
        <f>IF(DbLinkTable[[#This Row],[Price/lb]]*DbLinkTable[[#This Row],[Weight]]&lt;0,DbLinkTable[[#This Row],[Price/lb]]*DbLinkTable[[#This Row],[Weight]],0)</f>
        <v>#VALUE!</v>
      </c>
      <c r="V1228" s="4" t="str">
        <f>IF(COUNTIF($W$2:W1228,W1228)=1,1,"")</f>
        <v/>
      </c>
      <c r="W1228" s="4" t="e">
        <f>CONCATENATE(DbLinkTable[[#This Row],[Customer]],UPPER(DbLinkTable[[#This Row],[Trailer Number]]),DbLinkTable[[#This Row],[Day Received]])</f>
        <v>#VALUE!</v>
      </c>
      <c r="X1228" s="4" t="e">
        <f>DATEVALUE(TEXT(DbLinkTable[[#This Row],[Date Received]],"MMMM YYYY"))</f>
        <v>#VALUE!</v>
      </c>
      <c r="Y1228" s="4" t="e">
        <f>INT(DbLinkTable[[#This Row],[Date Received]])</f>
        <v>#VALUE!</v>
      </c>
    </row>
    <row r="1229" spans="5:25">
      <c r="E1229"/>
      <c r="G1229"/>
      <c r="H1229"/>
      <c r="I1229"/>
      <c r="K1229"/>
      <c r="O1229"/>
      <c r="R1229"/>
      <c r="S1229" s="79" t="e">
        <f>DbLinkTable[[#This Row],[Credit]]+DbLinkTable[[#This Row],[Charge]]</f>
        <v>#VALUE!</v>
      </c>
      <c r="T1229" s="79" t="e">
        <f>IF(DbLinkTable[[#This Row],[Price/lb]]*DbLinkTable[[#This Row],[Weight]]&gt;0,DbLinkTable[[#This Row],[Price/lb]]*DbLinkTable[[#This Row],[Weight]],0)</f>
        <v>#VALUE!</v>
      </c>
      <c r="U1229" s="79" t="e">
        <f>IF(DbLinkTable[[#This Row],[Price/lb]]*DbLinkTable[[#This Row],[Weight]]&lt;0,DbLinkTable[[#This Row],[Price/lb]]*DbLinkTable[[#This Row],[Weight]],0)</f>
        <v>#VALUE!</v>
      </c>
      <c r="V1229" s="4" t="str">
        <f>IF(COUNTIF($W$2:W1229,W1229)=1,1,"")</f>
        <v/>
      </c>
      <c r="W1229" s="4" t="e">
        <f>CONCATENATE(DbLinkTable[[#This Row],[Customer]],UPPER(DbLinkTable[[#This Row],[Trailer Number]]),DbLinkTable[[#This Row],[Day Received]])</f>
        <v>#VALUE!</v>
      </c>
      <c r="X1229" s="4" t="e">
        <f>DATEVALUE(TEXT(DbLinkTable[[#This Row],[Date Received]],"MMMM YYYY"))</f>
        <v>#VALUE!</v>
      </c>
      <c r="Y1229" s="4" t="e">
        <f>INT(DbLinkTable[[#This Row],[Date Received]])</f>
        <v>#VALUE!</v>
      </c>
    </row>
    <row r="1230" spans="5:25">
      <c r="E1230"/>
      <c r="G1230"/>
      <c r="H1230"/>
      <c r="I1230"/>
      <c r="K1230"/>
      <c r="O1230"/>
      <c r="R1230"/>
      <c r="S1230" s="79" t="e">
        <f>DbLinkTable[[#This Row],[Credit]]+DbLinkTable[[#This Row],[Charge]]</f>
        <v>#VALUE!</v>
      </c>
      <c r="T1230" s="79" t="e">
        <f>IF(DbLinkTable[[#This Row],[Price/lb]]*DbLinkTable[[#This Row],[Weight]]&gt;0,DbLinkTable[[#This Row],[Price/lb]]*DbLinkTable[[#This Row],[Weight]],0)</f>
        <v>#VALUE!</v>
      </c>
      <c r="U1230" s="79" t="e">
        <f>IF(DbLinkTable[[#This Row],[Price/lb]]*DbLinkTable[[#This Row],[Weight]]&lt;0,DbLinkTable[[#This Row],[Price/lb]]*DbLinkTable[[#This Row],[Weight]],0)</f>
        <v>#VALUE!</v>
      </c>
      <c r="V1230" s="4" t="str">
        <f>IF(COUNTIF($W$2:W1230,W1230)=1,1,"")</f>
        <v/>
      </c>
      <c r="W1230" s="4" t="e">
        <f>CONCATENATE(DbLinkTable[[#This Row],[Customer]],UPPER(DbLinkTable[[#This Row],[Trailer Number]]),DbLinkTable[[#This Row],[Day Received]])</f>
        <v>#VALUE!</v>
      </c>
      <c r="X1230" s="4" t="e">
        <f>DATEVALUE(TEXT(DbLinkTable[[#This Row],[Date Received]],"MMMM YYYY"))</f>
        <v>#VALUE!</v>
      </c>
      <c r="Y1230" s="4" t="e">
        <f>INT(DbLinkTable[[#This Row],[Date Received]])</f>
        <v>#VALUE!</v>
      </c>
    </row>
    <row r="1231" spans="5:25">
      <c r="E1231"/>
      <c r="G1231"/>
      <c r="H1231"/>
      <c r="I1231"/>
      <c r="K1231"/>
      <c r="O1231"/>
      <c r="R1231"/>
      <c r="S1231" s="79" t="e">
        <f>DbLinkTable[[#This Row],[Credit]]+DbLinkTable[[#This Row],[Charge]]</f>
        <v>#VALUE!</v>
      </c>
      <c r="T1231" s="79" t="e">
        <f>IF(DbLinkTable[[#This Row],[Price/lb]]*DbLinkTable[[#This Row],[Weight]]&gt;0,DbLinkTable[[#This Row],[Price/lb]]*DbLinkTable[[#This Row],[Weight]],0)</f>
        <v>#VALUE!</v>
      </c>
      <c r="U1231" s="79" t="e">
        <f>IF(DbLinkTable[[#This Row],[Price/lb]]*DbLinkTable[[#This Row],[Weight]]&lt;0,DbLinkTable[[#This Row],[Price/lb]]*DbLinkTable[[#This Row],[Weight]],0)</f>
        <v>#VALUE!</v>
      </c>
      <c r="V1231" s="4" t="str">
        <f>IF(COUNTIF($W$2:W1231,W1231)=1,1,"")</f>
        <v/>
      </c>
      <c r="W1231" s="4" t="e">
        <f>CONCATENATE(DbLinkTable[[#This Row],[Customer]],UPPER(DbLinkTable[[#This Row],[Trailer Number]]),DbLinkTable[[#This Row],[Day Received]])</f>
        <v>#VALUE!</v>
      </c>
      <c r="X1231" s="4" t="e">
        <f>DATEVALUE(TEXT(DbLinkTable[[#This Row],[Date Received]],"MMMM YYYY"))</f>
        <v>#VALUE!</v>
      </c>
      <c r="Y1231" s="4" t="e">
        <f>INT(DbLinkTable[[#This Row],[Date Received]])</f>
        <v>#VALUE!</v>
      </c>
    </row>
    <row r="1232" spans="5:25">
      <c r="E1232"/>
      <c r="G1232"/>
      <c r="H1232"/>
      <c r="I1232"/>
      <c r="K1232"/>
      <c r="O1232"/>
      <c r="R1232"/>
      <c r="S1232" s="79" t="e">
        <f>DbLinkTable[[#This Row],[Credit]]+DbLinkTable[[#This Row],[Charge]]</f>
        <v>#VALUE!</v>
      </c>
      <c r="T1232" s="79" t="e">
        <f>IF(DbLinkTable[[#This Row],[Price/lb]]*DbLinkTable[[#This Row],[Weight]]&gt;0,DbLinkTable[[#This Row],[Price/lb]]*DbLinkTable[[#This Row],[Weight]],0)</f>
        <v>#VALUE!</v>
      </c>
      <c r="U1232" s="79" t="e">
        <f>IF(DbLinkTable[[#This Row],[Price/lb]]*DbLinkTable[[#This Row],[Weight]]&lt;0,DbLinkTable[[#This Row],[Price/lb]]*DbLinkTable[[#This Row],[Weight]],0)</f>
        <v>#VALUE!</v>
      </c>
      <c r="V1232" s="4" t="str">
        <f>IF(COUNTIF($W$2:W1232,W1232)=1,1,"")</f>
        <v/>
      </c>
      <c r="W1232" s="4" t="e">
        <f>CONCATENATE(DbLinkTable[[#This Row],[Customer]],UPPER(DbLinkTable[[#This Row],[Trailer Number]]),DbLinkTable[[#This Row],[Day Received]])</f>
        <v>#VALUE!</v>
      </c>
      <c r="X1232" s="4" t="e">
        <f>DATEVALUE(TEXT(DbLinkTable[[#This Row],[Date Received]],"MMMM YYYY"))</f>
        <v>#VALUE!</v>
      </c>
      <c r="Y1232" s="4" t="e">
        <f>INT(DbLinkTable[[#This Row],[Date Received]])</f>
        <v>#VALUE!</v>
      </c>
    </row>
    <row r="1233" spans="5:25">
      <c r="E1233"/>
      <c r="G1233"/>
      <c r="H1233"/>
      <c r="I1233"/>
      <c r="K1233"/>
      <c r="O1233"/>
      <c r="R1233"/>
      <c r="S1233" s="79" t="e">
        <f>DbLinkTable[[#This Row],[Credit]]+DbLinkTable[[#This Row],[Charge]]</f>
        <v>#VALUE!</v>
      </c>
      <c r="T1233" s="79" t="e">
        <f>IF(DbLinkTable[[#This Row],[Price/lb]]*DbLinkTable[[#This Row],[Weight]]&gt;0,DbLinkTable[[#This Row],[Price/lb]]*DbLinkTable[[#This Row],[Weight]],0)</f>
        <v>#VALUE!</v>
      </c>
      <c r="U1233" s="79" t="e">
        <f>IF(DbLinkTable[[#This Row],[Price/lb]]*DbLinkTable[[#This Row],[Weight]]&lt;0,DbLinkTable[[#This Row],[Price/lb]]*DbLinkTable[[#This Row],[Weight]],0)</f>
        <v>#VALUE!</v>
      </c>
      <c r="V1233" s="4" t="str">
        <f>IF(COUNTIF($W$2:W1233,W1233)=1,1,"")</f>
        <v/>
      </c>
      <c r="W1233" s="4" t="e">
        <f>CONCATENATE(DbLinkTable[[#This Row],[Customer]],UPPER(DbLinkTable[[#This Row],[Trailer Number]]),DbLinkTable[[#This Row],[Day Received]])</f>
        <v>#VALUE!</v>
      </c>
      <c r="X1233" s="4" t="e">
        <f>DATEVALUE(TEXT(DbLinkTable[[#This Row],[Date Received]],"MMMM YYYY"))</f>
        <v>#VALUE!</v>
      </c>
      <c r="Y1233" s="4" t="e">
        <f>INT(DbLinkTable[[#This Row],[Date Received]])</f>
        <v>#VALUE!</v>
      </c>
    </row>
    <row r="1234" spans="5:25">
      <c r="E1234"/>
      <c r="G1234"/>
      <c r="H1234"/>
      <c r="I1234"/>
      <c r="K1234"/>
      <c r="O1234"/>
      <c r="R1234"/>
      <c r="S1234" s="79" t="e">
        <f>DbLinkTable[[#This Row],[Credit]]+DbLinkTable[[#This Row],[Charge]]</f>
        <v>#VALUE!</v>
      </c>
      <c r="T1234" s="79" t="e">
        <f>IF(DbLinkTable[[#This Row],[Price/lb]]*DbLinkTable[[#This Row],[Weight]]&gt;0,DbLinkTable[[#This Row],[Price/lb]]*DbLinkTable[[#This Row],[Weight]],0)</f>
        <v>#VALUE!</v>
      </c>
      <c r="U1234" s="79" t="e">
        <f>IF(DbLinkTable[[#This Row],[Price/lb]]*DbLinkTable[[#This Row],[Weight]]&lt;0,DbLinkTable[[#This Row],[Price/lb]]*DbLinkTable[[#This Row],[Weight]],0)</f>
        <v>#VALUE!</v>
      </c>
      <c r="V1234" s="4" t="str">
        <f>IF(COUNTIF($W$2:W1234,W1234)=1,1,"")</f>
        <v/>
      </c>
      <c r="W1234" s="4" t="e">
        <f>CONCATENATE(DbLinkTable[[#This Row],[Customer]],UPPER(DbLinkTable[[#This Row],[Trailer Number]]),DbLinkTable[[#This Row],[Day Received]])</f>
        <v>#VALUE!</v>
      </c>
      <c r="X1234" s="4" t="e">
        <f>DATEVALUE(TEXT(DbLinkTable[[#This Row],[Date Received]],"MMMM YYYY"))</f>
        <v>#VALUE!</v>
      </c>
      <c r="Y1234" s="4" t="e">
        <f>INT(DbLinkTable[[#This Row],[Date Received]])</f>
        <v>#VALUE!</v>
      </c>
    </row>
    <row r="1235" spans="5:25">
      <c r="E1235"/>
      <c r="G1235"/>
      <c r="H1235"/>
      <c r="I1235"/>
      <c r="K1235"/>
      <c r="O1235"/>
      <c r="R1235"/>
      <c r="S1235" s="79" t="e">
        <f>DbLinkTable[[#This Row],[Credit]]+DbLinkTable[[#This Row],[Charge]]</f>
        <v>#VALUE!</v>
      </c>
      <c r="T1235" s="79" t="e">
        <f>IF(DbLinkTable[[#This Row],[Price/lb]]*DbLinkTable[[#This Row],[Weight]]&gt;0,DbLinkTable[[#This Row],[Price/lb]]*DbLinkTable[[#This Row],[Weight]],0)</f>
        <v>#VALUE!</v>
      </c>
      <c r="U1235" s="79" t="e">
        <f>IF(DbLinkTable[[#This Row],[Price/lb]]*DbLinkTable[[#This Row],[Weight]]&lt;0,DbLinkTable[[#This Row],[Price/lb]]*DbLinkTable[[#This Row],[Weight]],0)</f>
        <v>#VALUE!</v>
      </c>
      <c r="V1235" s="4" t="str">
        <f>IF(COUNTIF($W$2:W1235,W1235)=1,1,"")</f>
        <v/>
      </c>
      <c r="W1235" s="4" t="e">
        <f>CONCATENATE(DbLinkTable[[#This Row],[Customer]],UPPER(DbLinkTable[[#This Row],[Trailer Number]]),DbLinkTable[[#This Row],[Day Received]])</f>
        <v>#VALUE!</v>
      </c>
      <c r="X1235" s="4" t="e">
        <f>DATEVALUE(TEXT(DbLinkTable[[#This Row],[Date Received]],"MMMM YYYY"))</f>
        <v>#VALUE!</v>
      </c>
      <c r="Y1235" s="4" t="e">
        <f>INT(DbLinkTable[[#This Row],[Date Received]])</f>
        <v>#VALUE!</v>
      </c>
    </row>
    <row r="1236" spans="5:25">
      <c r="E1236"/>
      <c r="G1236"/>
      <c r="H1236"/>
      <c r="I1236"/>
      <c r="K1236"/>
      <c r="O1236"/>
      <c r="R1236"/>
      <c r="S1236" s="79" t="e">
        <f>DbLinkTable[[#This Row],[Credit]]+DbLinkTable[[#This Row],[Charge]]</f>
        <v>#VALUE!</v>
      </c>
      <c r="T1236" s="79" t="e">
        <f>IF(DbLinkTable[[#This Row],[Price/lb]]*DbLinkTable[[#This Row],[Weight]]&gt;0,DbLinkTable[[#This Row],[Price/lb]]*DbLinkTable[[#This Row],[Weight]],0)</f>
        <v>#VALUE!</v>
      </c>
      <c r="U1236" s="79" t="e">
        <f>IF(DbLinkTable[[#This Row],[Price/lb]]*DbLinkTable[[#This Row],[Weight]]&lt;0,DbLinkTable[[#This Row],[Price/lb]]*DbLinkTable[[#This Row],[Weight]],0)</f>
        <v>#VALUE!</v>
      </c>
      <c r="V1236" s="4" t="str">
        <f>IF(COUNTIF($W$2:W1236,W1236)=1,1,"")</f>
        <v/>
      </c>
      <c r="W1236" s="4" t="e">
        <f>CONCATENATE(DbLinkTable[[#This Row],[Customer]],UPPER(DbLinkTable[[#This Row],[Trailer Number]]),DbLinkTable[[#This Row],[Day Received]])</f>
        <v>#VALUE!</v>
      </c>
      <c r="X1236" s="4" t="e">
        <f>DATEVALUE(TEXT(DbLinkTable[[#This Row],[Date Received]],"MMMM YYYY"))</f>
        <v>#VALUE!</v>
      </c>
      <c r="Y1236" s="4" t="e">
        <f>INT(DbLinkTable[[#This Row],[Date Received]])</f>
        <v>#VALUE!</v>
      </c>
    </row>
    <row r="1237" spans="5:25">
      <c r="E1237"/>
      <c r="G1237"/>
      <c r="H1237"/>
      <c r="I1237"/>
      <c r="K1237"/>
      <c r="O1237"/>
      <c r="R1237"/>
      <c r="S1237" s="79" t="e">
        <f>DbLinkTable[[#This Row],[Credit]]+DbLinkTable[[#This Row],[Charge]]</f>
        <v>#VALUE!</v>
      </c>
      <c r="T1237" s="79" t="e">
        <f>IF(DbLinkTable[[#This Row],[Price/lb]]*DbLinkTable[[#This Row],[Weight]]&gt;0,DbLinkTable[[#This Row],[Price/lb]]*DbLinkTable[[#This Row],[Weight]],0)</f>
        <v>#VALUE!</v>
      </c>
      <c r="U1237" s="79" t="e">
        <f>IF(DbLinkTable[[#This Row],[Price/lb]]*DbLinkTable[[#This Row],[Weight]]&lt;0,DbLinkTable[[#This Row],[Price/lb]]*DbLinkTable[[#This Row],[Weight]],0)</f>
        <v>#VALUE!</v>
      </c>
      <c r="V1237" s="4" t="str">
        <f>IF(COUNTIF($W$2:W1237,W1237)=1,1,"")</f>
        <v/>
      </c>
      <c r="W1237" s="4" t="e">
        <f>CONCATENATE(DbLinkTable[[#This Row],[Customer]],UPPER(DbLinkTable[[#This Row],[Trailer Number]]),DbLinkTable[[#This Row],[Day Received]])</f>
        <v>#VALUE!</v>
      </c>
      <c r="X1237" s="4" t="e">
        <f>DATEVALUE(TEXT(DbLinkTable[[#This Row],[Date Received]],"MMMM YYYY"))</f>
        <v>#VALUE!</v>
      </c>
      <c r="Y1237" s="4" t="e">
        <f>INT(DbLinkTable[[#This Row],[Date Received]])</f>
        <v>#VALUE!</v>
      </c>
    </row>
    <row r="1238" spans="5:25">
      <c r="E1238"/>
      <c r="G1238"/>
      <c r="H1238"/>
      <c r="I1238"/>
      <c r="K1238"/>
      <c r="O1238"/>
      <c r="R1238"/>
      <c r="S1238" s="79" t="e">
        <f>DbLinkTable[[#This Row],[Credit]]+DbLinkTable[[#This Row],[Charge]]</f>
        <v>#VALUE!</v>
      </c>
      <c r="T1238" s="79" t="e">
        <f>IF(DbLinkTable[[#This Row],[Price/lb]]*DbLinkTable[[#This Row],[Weight]]&gt;0,DbLinkTable[[#This Row],[Price/lb]]*DbLinkTable[[#This Row],[Weight]],0)</f>
        <v>#VALUE!</v>
      </c>
      <c r="U1238" s="79" t="e">
        <f>IF(DbLinkTable[[#This Row],[Price/lb]]*DbLinkTable[[#This Row],[Weight]]&lt;0,DbLinkTable[[#This Row],[Price/lb]]*DbLinkTable[[#This Row],[Weight]],0)</f>
        <v>#VALUE!</v>
      </c>
      <c r="V1238" s="4" t="str">
        <f>IF(COUNTIF($W$2:W1238,W1238)=1,1,"")</f>
        <v/>
      </c>
      <c r="W1238" s="4" t="e">
        <f>CONCATENATE(DbLinkTable[[#This Row],[Customer]],UPPER(DbLinkTable[[#This Row],[Trailer Number]]),DbLinkTable[[#This Row],[Day Received]])</f>
        <v>#VALUE!</v>
      </c>
      <c r="X1238" s="4" t="e">
        <f>DATEVALUE(TEXT(DbLinkTable[[#This Row],[Date Received]],"MMMM YYYY"))</f>
        <v>#VALUE!</v>
      </c>
      <c r="Y1238" s="4" t="e">
        <f>INT(DbLinkTable[[#This Row],[Date Received]])</f>
        <v>#VALUE!</v>
      </c>
    </row>
    <row r="1239" spans="5:25">
      <c r="E1239"/>
      <c r="G1239"/>
      <c r="H1239"/>
      <c r="I1239"/>
      <c r="K1239"/>
      <c r="O1239"/>
      <c r="R1239"/>
      <c r="S1239" s="79" t="e">
        <f>DbLinkTable[[#This Row],[Credit]]+DbLinkTable[[#This Row],[Charge]]</f>
        <v>#VALUE!</v>
      </c>
      <c r="T1239" s="79" t="e">
        <f>IF(DbLinkTable[[#This Row],[Price/lb]]*DbLinkTable[[#This Row],[Weight]]&gt;0,DbLinkTable[[#This Row],[Price/lb]]*DbLinkTable[[#This Row],[Weight]],0)</f>
        <v>#VALUE!</v>
      </c>
      <c r="U1239" s="79" t="e">
        <f>IF(DbLinkTable[[#This Row],[Price/lb]]*DbLinkTable[[#This Row],[Weight]]&lt;0,DbLinkTable[[#This Row],[Price/lb]]*DbLinkTable[[#This Row],[Weight]],0)</f>
        <v>#VALUE!</v>
      </c>
      <c r="V1239" s="4" t="str">
        <f>IF(COUNTIF($W$2:W1239,W1239)=1,1,"")</f>
        <v/>
      </c>
      <c r="W1239" s="4" t="e">
        <f>CONCATENATE(DbLinkTable[[#This Row],[Customer]],UPPER(DbLinkTable[[#This Row],[Trailer Number]]),DbLinkTable[[#This Row],[Day Received]])</f>
        <v>#VALUE!</v>
      </c>
      <c r="X1239" s="4" t="e">
        <f>DATEVALUE(TEXT(DbLinkTable[[#This Row],[Date Received]],"MMMM YYYY"))</f>
        <v>#VALUE!</v>
      </c>
      <c r="Y1239" s="4" t="e">
        <f>INT(DbLinkTable[[#This Row],[Date Received]])</f>
        <v>#VALUE!</v>
      </c>
    </row>
    <row r="1240" spans="5:25">
      <c r="E1240"/>
      <c r="G1240"/>
      <c r="H1240"/>
      <c r="I1240"/>
      <c r="K1240"/>
      <c r="O1240"/>
      <c r="R1240"/>
      <c r="S1240" s="79" t="e">
        <f>DbLinkTable[[#This Row],[Credit]]+DbLinkTable[[#This Row],[Charge]]</f>
        <v>#VALUE!</v>
      </c>
      <c r="T1240" s="79" t="e">
        <f>IF(DbLinkTable[[#This Row],[Price/lb]]*DbLinkTable[[#This Row],[Weight]]&gt;0,DbLinkTable[[#This Row],[Price/lb]]*DbLinkTable[[#This Row],[Weight]],0)</f>
        <v>#VALUE!</v>
      </c>
      <c r="U1240" s="79" t="e">
        <f>IF(DbLinkTable[[#This Row],[Price/lb]]*DbLinkTable[[#This Row],[Weight]]&lt;0,DbLinkTable[[#This Row],[Price/lb]]*DbLinkTable[[#This Row],[Weight]],0)</f>
        <v>#VALUE!</v>
      </c>
      <c r="V1240" s="4" t="str">
        <f>IF(COUNTIF($W$2:W1240,W1240)=1,1,"")</f>
        <v/>
      </c>
      <c r="W1240" s="4" t="e">
        <f>CONCATENATE(DbLinkTable[[#This Row],[Customer]],UPPER(DbLinkTable[[#This Row],[Trailer Number]]),DbLinkTable[[#This Row],[Day Received]])</f>
        <v>#VALUE!</v>
      </c>
      <c r="X1240" s="4" t="e">
        <f>DATEVALUE(TEXT(DbLinkTable[[#This Row],[Date Received]],"MMMM YYYY"))</f>
        <v>#VALUE!</v>
      </c>
      <c r="Y1240" s="4" t="e">
        <f>INT(DbLinkTable[[#This Row],[Date Received]])</f>
        <v>#VALUE!</v>
      </c>
    </row>
    <row r="1241" spans="5:25">
      <c r="E1241"/>
      <c r="G1241"/>
      <c r="H1241"/>
      <c r="I1241"/>
      <c r="K1241"/>
      <c r="O1241"/>
      <c r="R1241"/>
      <c r="S1241" s="79" t="e">
        <f>DbLinkTable[[#This Row],[Credit]]+DbLinkTable[[#This Row],[Charge]]</f>
        <v>#VALUE!</v>
      </c>
      <c r="T1241" s="79" t="e">
        <f>IF(DbLinkTable[[#This Row],[Price/lb]]*DbLinkTable[[#This Row],[Weight]]&gt;0,DbLinkTable[[#This Row],[Price/lb]]*DbLinkTable[[#This Row],[Weight]],0)</f>
        <v>#VALUE!</v>
      </c>
      <c r="U1241" s="79" t="e">
        <f>IF(DbLinkTable[[#This Row],[Price/lb]]*DbLinkTable[[#This Row],[Weight]]&lt;0,DbLinkTable[[#This Row],[Price/lb]]*DbLinkTable[[#This Row],[Weight]],0)</f>
        <v>#VALUE!</v>
      </c>
      <c r="V1241" s="4" t="str">
        <f>IF(COUNTIF($W$2:W1241,W1241)=1,1,"")</f>
        <v/>
      </c>
      <c r="W1241" s="4" t="e">
        <f>CONCATENATE(DbLinkTable[[#This Row],[Customer]],UPPER(DbLinkTable[[#This Row],[Trailer Number]]),DbLinkTable[[#This Row],[Day Received]])</f>
        <v>#VALUE!</v>
      </c>
      <c r="X1241" s="4" t="e">
        <f>DATEVALUE(TEXT(DbLinkTable[[#This Row],[Date Received]],"MMMM YYYY"))</f>
        <v>#VALUE!</v>
      </c>
      <c r="Y1241" s="4" t="e">
        <f>INT(DbLinkTable[[#This Row],[Date Received]])</f>
        <v>#VALUE!</v>
      </c>
    </row>
    <row r="1242" spans="5:25">
      <c r="E1242"/>
      <c r="G1242"/>
      <c r="H1242"/>
      <c r="I1242"/>
      <c r="K1242"/>
      <c r="O1242"/>
      <c r="R1242"/>
      <c r="S1242" s="79" t="e">
        <f>DbLinkTable[[#This Row],[Credit]]+DbLinkTable[[#This Row],[Charge]]</f>
        <v>#VALUE!</v>
      </c>
      <c r="T1242" s="79" t="e">
        <f>IF(DbLinkTable[[#This Row],[Price/lb]]*DbLinkTable[[#This Row],[Weight]]&gt;0,DbLinkTable[[#This Row],[Price/lb]]*DbLinkTable[[#This Row],[Weight]],0)</f>
        <v>#VALUE!</v>
      </c>
      <c r="U1242" s="79" t="e">
        <f>IF(DbLinkTable[[#This Row],[Price/lb]]*DbLinkTable[[#This Row],[Weight]]&lt;0,DbLinkTable[[#This Row],[Price/lb]]*DbLinkTable[[#This Row],[Weight]],0)</f>
        <v>#VALUE!</v>
      </c>
      <c r="V1242" s="4" t="str">
        <f>IF(COUNTIF($W$2:W1242,W1242)=1,1,"")</f>
        <v/>
      </c>
      <c r="W1242" s="4" t="e">
        <f>CONCATENATE(DbLinkTable[[#This Row],[Customer]],UPPER(DbLinkTable[[#This Row],[Trailer Number]]),DbLinkTable[[#This Row],[Day Received]])</f>
        <v>#VALUE!</v>
      </c>
      <c r="X1242" s="4" t="e">
        <f>DATEVALUE(TEXT(DbLinkTable[[#This Row],[Date Received]],"MMMM YYYY"))</f>
        <v>#VALUE!</v>
      </c>
      <c r="Y1242" s="4" t="e">
        <f>INT(DbLinkTable[[#This Row],[Date Received]])</f>
        <v>#VALUE!</v>
      </c>
    </row>
    <row r="1243" spans="5:25">
      <c r="E1243"/>
      <c r="G1243"/>
      <c r="H1243"/>
      <c r="I1243"/>
      <c r="K1243"/>
      <c r="O1243"/>
      <c r="R1243"/>
      <c r="S1243" s="79" t="e">
        <f>DbLinkTable[[#This Row],[Credit]]+DbLinkTable[[#This Row],[Charge]]</f>
        <v>#VALUE!</v>
      </c>
      <c r="T1243" s="79" t="e">
        <f>IF(DbLinkTable[[#This Row],[Price/lb]]*DbLinkTable[[#This Row],[Weight]]&gt;0,DbLinkTable[[#This Row],[Price/lb]]*DbLinkTable[[#This Row],[Weight]],0)</f>
        <v>#VALUE!</v>
      </c>
      <c r="U1243" s="79" t="e">
        <f>IF(DbLinkTable[[#This Row],[Price/lb]]*DbLinkTable[[#This Row],[Weight]]&lt;0,DbLinkTable[[#This Row],[Price/lb]]*DbLinkTable[[#This Row],[Weight]],0)</f>
        <v>#VALUE!</v>
      </c>
      <c r="V1243" s="4" t="str">
        <f>IF(COUNTIF($W$2:W1243,W1243)=1,1,"")</f>
        <v/>
      </c>
      <c r="W1243" s="4" t="e">
        <f>CONCATENATE(DbLinkTable[[#This Row],[Customer]],UPPER(DbLinkTable[[#This Row],[Trailer Number]]),DbLinkTable[[#This Row],[Day Received]])</f>
        <v>#VALUE!</v>
      </c>
      <c r="X1243" s="4" t="e">
        <f>DATEVALUE(TEXT(DbLinkTable[[#This Row],[Date Received]],"MMMM YYYY"))</f>
        <v>#VALUE!</v>
      </c>
      <c r="Y1243" s="4" t="e">
        <f>INT(DbLinkTable[[#This Row],[Date Received]])</f>
        <v>#VALUE!</v>
      </c>
    </row>
    <row r="1244" spans="5:25">
      <c r="E1244"/>
      <c r="G1244"/>
      <c r="H1244"/>
      <c r="I1244"/>
      <c r="K1244"/>
      <c r="O1244"/>
      <c r="R1244"/>
      <c r="S1244" s="79" t="e">
        <f>DbLinkTable[[#This Row],[Credit]]+DbLinkTable[[#This Row],[Charge]]</f>
        <v>#VALUE!</v>
      </c>
      <c r="T1244" s="79" t="e">
        <f>IF(DbLinkTable[[#This Row],[Price/lb]]*DbLinkTable[[#This Row],[Weight]]&gt;0,DbLinkTable[[#This Row],[Price/lb]]*DbLinkTable[[#This Row],[Weight]],0)</f>
        <v>#VALUE!</v>
      </c>
      <c r="U1244" s="79" t="e">
        <f>IF(DbLinkTable[[#This Row],[Price/lb]]*DbLinkTable[[#This Row],[Weight]]&lt;0,DbLinkTable[[#This Row],[Price/lb]]*DbLinkTable[[#This Row],[Weight]],0)</f>
        <v>#VALUE!</v>
      </c>
      <c r="V1244" s="4" t="str">
        <f>IF(COUNTIF($W$2:W1244,W1244)=1,1,"")</f>
        <v/>
      </c>
      <c r="W1244" s="4" t="e">
        <f>CONCATENATE(DbLinkTable[[#This Row],[Customer]],UPPER(DbLinkTable[[#This Row],[Trailer Number]]),DbLinkTable[[#This Row],[Day Received]])</f>
        <v>#VALUE!</v>
      </c>
      <c r="X1244" s="4" t="e">
        <f>DATEVALUE(TEXT(DbLinkTable[[#This Row],[Date Received]],"MMMM YYYY"))</f>
        <v>#VALUE!</v>
      </c>
      <c r="Y1244" s="4" t="e">
        <f>INT(DbLinkTable[[#This Row],[Date Received]])</f>
        <v>#VALUE!</v>
      </c>
    </row>
    <row r="1245" spans="5:25">
      <c r="E1245"/>
      <c r="G1245"/>
      <c r="H1245"/>
      <c r="I1245"/>
      <c r="K1245"/>
      <c r="O1245"/>
      <c r="R1245"/>
      <c r="S1245" s="79" t="e">
        <f>DbLinkTable[[#This Row],[Credit]]+DbLinkTable[[#This Row],[Charge]]</f>
        <v>#VALUE!</v>
      </c>
      <c r="T1245" s="79" t="e">
        <f>IF(DbLinkTable[[#This Row],[Price/lb]]*DbLinkTable[[#This Row],[Weight]]&gt;0,DbLinkTable[[#This Row],[Price/lb]]*DbLinkTable[[#This Row],[Weight]],0)</f>
        <v>#VALUE!</v>
      </c>
      <c r="U1245" s="79" t="e">
        <f>IF(DbLinkTable[[#This Row],[Price/lb]]*DbLinkTable[[#This Row],[Weight]]&lt;0,DbLinkTable[[#This Row],[Price/lb]]*DbLinkTable[[#This Row],[Weight]],0)</f>
        <v>#VALUE!</v>
      </c>
      <c r="V1245" s="4" t="str">
        <f>IF(COUNTIF($W$2:W1245,W1245)=1,1,"")</f>
        <v/>
      </c>
      <c r="W1245" s="4" t="e">
        <f>CONCATENATE(DbLinkTable[[#This Row],[Customer]],UPPER(DbLinkTable[[#This Row],[Trailer Number]]),DbLinkTable[[#This Row],[Day Received]])</f>
        <v>#VALUE!</v>
      </c>
      <c r="X1245" s="4" t="e">
        <f>DATEVALUE(TEXT(DbLinkTable[[#This Row],[Date Received]],"MMMM YYYY"))</f>
        <v>#VALUE!</v>
      </c>
      <c r="Y1245" s="4" t="e">
        <f>INT(DbLinkTable[[#This Row],[Date Received]])</f>
        <v>#VALUE!</v>
      </c>
    </row>
    <row r="1246" spans="5:25">
      <c r="E1246"/>
      <c r="G1246"/>
      <c r="H1246"/>
      <c r="I1246"/>
      <c r="K1246"/>
      <c r="O1246"/>
      <c r="R1246"/>
      <c r="S1246" s="79" t="e">
        <f>DbLinkTable[[#This Row],[Credit]]+DbLinkTable[[#This Row],[Charge]]</f>
        <v>#VALUE!</v>
      </c>
      <c r="T1246" s="79" t="e">
        <f>IF(DbLinkTable[[#This Row],[Price/lb]]*DbLinkTable[[#This Row],[Weight]]&gt;0,DbLinkTable[[#This Row],[Price/lb]]*DbLinkTable[[#This Row],[Weight]],0)</f>
        <v>#VALUE!</v>
      </c>
      <c r="U1246" s="79" t="e">
        <f>IF(DbLinkTable[[#This Row],[Price/lb]]*DbLinkTable[[#This Row],[Weight]]&lt;0,DbLinkTable[[#This Row],[Price/lb]]*DbLinkTable[[#This Row],[Weight]],0)</f>
        <v>#VALUE!</v>
      </c>
      <c r="V1246" s="4" t="str">
        <f>IF(COUNTIF($W$2:W1246,W1246)=1,1,"")</f>
        <v/>
      </c>
      <c r="W1246" s="4" t="e">
        <f>CONCATENATE(DbLinkTable[[#This Row],[Customer]],UPPER(DbLinkTable[[#This Row],[Trailer Number]]),DbLinkTable[[#This Row],[Day Received]])</f>
        <v>#VALUE!</v>
      </c>
      <c r="X1246" s="4" t="e">
        <f>DATEVALUE(TEXT(DbLinkTable[[#This Row],[Date Received]],"MMMM YYYY"))</f>
        <v>#VALUE!</v>
      </c>
      <c r="Y1246" s="4" t="e">
        <f>INT(DbLinkTable[[#This Row],[Date Received]])</f>
        <v>#VALUE!</v>
      </c>
    </row>
    <row r="1247" spans="5:25">
      <c r="E1247"/>
      <c r="G1247"/>
      <c r="H1247"/>
      <c r="I1247"/>
      <c r="K1247"/>
      <c r="O1247"/>
      <c r="R1247"/>
      <c r="S1247" s="79" t="e">
        <f>DbLinkTable[[#This Row],[Credit]]+DbLinkTable[[#This Row],[Charge]]</f>
        <v>#VALUE!</v>
      </c>
      <c r="T1247" s="79" t="e">
        <f>IF(DbLinkTable[[#This Row],[Price/lb]]*DbLinkTable[[#This Row],[Weight]]&gt;0,DbLinkTable[[#This Row],[Price/lb]]*DbLinkTable[[#This Row],[Weight]],0)</f>
        <v>#VALUE!</v>
      </c>
      <c r="U1247" s="79" t="e">
        <f>IF(DbLinkTable[[#This Row],[Price/lb]]*DbLinkTable[[#This Row],[Weight]]&lt;0,DbLinkTable[[#This Row],[Price/lb]]*DbLinkTable[[#This Row],[Weight]],0)</f>
        <v>#VALUE!</v>
      </c>
      <c r="V1247" s="4" t="str">
        <f>IF(COUNTIF($W$2:W1247,W1247)=1,1,"")</f>
        <v/>
      </c>
      <c r="W1247" s="4" t="e">
        <f>CONCATENATE(DbLinkTable[[#This Row],[Customer]],UPPER(DbLinkTable[[#This Row],[Trailer Number]]),DbLinkTable[[#This Row],[Day Received]])</f>
        <v>#VALUE!</v>
      </c>
      <c r="X1247" s="4" t="e">
        <f>DATEVALUE(TEXT(DbLinkTable[[#This Row],[Date Received]],"MMMM YYYY"))</f>
        <v>#VALUE!</v>
      </c>
      <c r="Y1247" s="4" t="e">
        <f>INT(DbLinkTable[[#This Row],[Date Received]])</f>
        <v>#VALUE!</v>
      </c>
    </row>
    <row r="1248" spans="5:25">
      <c r="E1248"/>
      <c r="G1248"/>
      <c r="H1248"/>
      <c r="I1248"/>
      <c r="K1248"/>
      <c r="O1248"/>
      <c r="R1248"/>
      <c r="S1248" s="79" t="e">
        <f>DbLinkTable[[#This Row],[Credit]]+DbLinkTable[[#This Row],[Charge]]</f>
        <v>#VALUE!</v>
      </c>
      <c r="T1248" s="79" t="e">
        <f>IF(DbLinkTable[[#This Row],[Price/lb]]*DbLinkTable[[#This Row],[Weight]]&gt;0,DbLinkTable[[#This Row],[Price/lb]]*DbLinkTable[[#This Row],[Weight]],0)</f>
        <v>#VALUE!</v>
      </c>
      <c r="U1248" s="79" t="e">
        <f>IF(DbLinkTable[[#This Row],[Price/lb]]*DbLinkTable[[#This Row],[Weight]]&lt;0,DbLinkTable[[#This Row],[Price/lb]]*DbLinkTable[[#This Row],[Weight]],0)</f>
        <v>#VALUE!</v>
      </c>
      <c r="V1248" s="4" t="str">
        <f>IF(COUNTIF($W$2:W1248,W1248)=1,1,"")</f>
        <v/>
      </c>
      <c r="W1248" s="4" t="e">
        <f>CONCATENATE(DbLinkTable[[#This Row],[Customer]],UPPER(DbLinkTable[[#This Row],[Trailer Number]]),DbLinkTable[[#This Row],[Day Received]])</f>
        <v>#VALUE!</v>
      </c>
      <c r="X1248" s="4" t="e">
        <f>DATEVALUE(TEXT(DbLinkTable[[#This Row],[Date Received]],"MMMM YYYY"))</f>
        <v>#VALUE!</v>
      </c>
      <c r="Y1248" s="4" t="e">
        <f>INT(DbLinkTable[[#This Row],[Date Received]])</f>
        <v>#VALUE!</v>
      </c>
    </row>
    <row r="1249" spans="5:25">
      <c r="E1249"/>
      <c r="G1249"/>
      <c r="H1249"/>
      <c r="I1249"/>
      <c r="K1249"/>
      <c r="O1249"/>
      <c r="R1249"/>
      <c r="S1249" s="79" t="e">
        <f>DbLinkTable[[#This Row],[Credit]]+DbLinkTable[[#This Row],[Charge]]</f>
        <v>#VALUE!</v>
      </c>
      <c r="T1249" s="79" t="e">
        <f>IF(DbLinkTable[[#This Row],[Price/lb]]*DbLinkTable[[#This Row],[Weight]]&gt;0,DbLinkTable[[#This Row],[Price/lb]]*DbLinkTable[[#This Row],[Weight]],0)</f>
        <v>#VALUE!</v>
      </c>
      <c r="U1249" s="79" t="e">
        <f>IF(DbLinkTable[[#This Row],[Price/lb]]*DbLinkTable[[#This Row],[Weight]]&lt;0,DbLinkTable[[#This Row],[Price/lb]]*DbLinkTable[[#This Row],[Weight]],0)</f>
        <v>#VALUE!</v>
      </c>
      <c r="V1249" s="4" t="str">
        <f>IF(COUNTIF($W$2:W1249,W1249)=1,1,"")</f>
        <v/>
      </c>
      <c r="W1249" s="4" t="e">
        <f>CONCATENATE(DbLinkTable[[#This Row],[Customer]],UPPER(DbLinkTable[[#This Row],[Trailer Number]]),DbLinkTable[[#This Row],[Day Received]])</f>
        <v>#VALUE!</v>
      </c>
      <c r="X1249" s="4" t="e">
        <f>DATEVALUE(TEXT(DbLinkTable[[#This Row],[Date Received]],"MMMM YYYY"))</f>
        <v>#VALUE!</v>
      </c>
      <c r="Y1249" s="4" t="e">
        <f>INT(DbLinkTable[[#This Row],[Date Received]])</f>
        <v>#VALUE!</v>
      </c>
    </row>
    <row r="1250" spans="5:25">
      <c r="E1250"/>
      <c r="G1250"/>
      <c r="H1250"/>
      <c r="I1250"/>
      <c r="K1250"/>
      <c r="O1250"/>
      <c r="R1250"/>
      <c r="S1250" s="79" t="e">
        <f>DbLinkTable[[#This Row],[Credit]]+DbLinkTable[[#This Row],[Charge]]</f>
        <v>#VALUE!</v>
      </c>
      <c r="T1250" s="79" t="e">
        <f>IF(DbLinkTable[[#This Row],[Price/lb]]*DbLinkTable[[#This Row],[Weight]]&gt;0,DbLinkTable[[#This Row],[Price/lb]]*DbLinkTable[[#This Row],[Weight]],0)</f>
        <v>#VALUE!</v>
      </c>
      <c r="U1250" s="79" t="e">
        <f>IF(DbLinkTable[[#This Row],[Price/lb]]*DbLinkTable[[#This Row],[Weight]]&lt;0,DbLinkTable[[#This Row],[Price/lb]]*DbLinkTable[[#This Row],[Weight]],0)</f>
        <v>#VALUE!</v>
      </c>
      <c r="V1250" s="4" t="str">
        <f>IF(COUNTIF($W$2:W1250,W1250)=1,1,"")</f>
        <v/>
      </c>
      <c r="W1250" s="4" t="e">
        <f>CONCATENATE(DbLinkTable[[#This Row],[Customer]],UPPER(DbLinkTable[[#This Row],[Trailer Number]]),DbLinkTable[[#This Row],[Day Received]])</f>
        <v>#VALUE!</v>
      </c>
      <c r="X1250" s="4" t="e">
        <f>DATEVALUE(TEXT(DbLinkTable[[#This Row],[Date Received]],"MMMM YYYY"))</f>
        <v>#VALUE!</v>
      </c>
      <c r="Y1250" s="4" t="e">
        <f>INT(DbLinkTable[[#This Row],[Date Received]])</f>
        <v>#VALUE!</v>
      </c>
    </row>
    <row r="1251" spans="5:25">
      <c r="E1251"/>
      <c r="G1251"/>
      <c r="H1251"/>
      <c r="I1251"/>
      <c r="K1251"/>
      <c r="O1251"/>
      <c r="R1251"/>
      <c r="S1251" s="79" t="e">
        <f>DbLinkTable[[#This Row],[Credit]]+DbLinkTable[[#This Row],[Charge]]</f>
        <v>#VALUE!</v>
      </c>
      <c r="T1251" s="79" t="e">
        <f>IF(DbLinkTable[[#This Row],[Price/lb]]*DbLinkTable[[#This Row],[Weight]]&gt;0,DbLinkTable[[#This Row],[Price/lb]]*DbLinkTable[[#This Row],[Weight]],0)</f>
        <v>#VALUE!</v>
      </c>
      <c r="U1251" s="79" t="e">
        <f>IF(DbLinkTable[[#This Row],[Price/lb]]*DbLinkTable[[#This Row],[Weight]]&lt;0,DbLinkTable[[#This Row],[Price/lb]]*DbLinkTable[[#This Row],[Weight]],0)</f>
        <v>#VALUE!</v>
      </c>
      <c r="V1251" s="4" t="str">
        <f>IF(COUNTIF($W$2:W1251,W1251)=1,1,"")</f>
        <v/>
      </c>
      <c r="W1251" s="4" t="e">
        <f>CONCATENATE(DbLinkTable[[#This Row],[Customer]],UPPER(DbLinkTable[[#This Row],[Trailer Number]]),DbLinkTable[[#This Row],[Day Received]])</f>
        <v>#VALUE!</v>
      </c>
      <c r="X1251" s="4" t="e">
        <f>DATEVALUE(TEXT(DbLinkTable[[#This Row],[Date Received]],"MMMM YYYY"))</f>
        <v>#VALUE!</v>
      </c>
      <c r="Y1251" s="4" t="e">
        <f>INT(DbLinkTable[[#This Row],[Date Received]])</f>
        <v>#VALUE!</v>
      </c>
    </row>
    <row r="1252" spans="5:25">
      <c r="E1252"/>
      <c r="G1252"/>
      <c r="H1252"/>
      <c r="I1252"/>
      <c r="K1252"/>
      <c r="O1252"/>
      <c r="R1252"/>
      <c r="S1252" s="79" t="e">
        <f>DbLinkTable[[#This Row],[Credit]]+DbLinkTable[[#This Row],[Charge]]</f>
        <v>#VALUE!</v>
      </c>
      <c r="T1252" s="79" t="e">
        <f>IF(DbLinkTable[[#This Row],[Price/lb]]*DbLinkTable[[#This Row],[Weight]]&gt;0,DbLinkTable[[#This Row],[Price/lb]]*DbLinkTable[[#This Row],[Weight]],0)</f>
        <v>#VALUE!</v>
      </c>
      <c r="U1252" s="79" t="e">
        <f>IF(DbLinkTable[[#This Row],[Price/lb]]*DbLinkTable[[#This Row],[Weight]]&lt;0,DbLinkTable[[#This Row],[Price/lb]]*DbLinkTable[[#This Row],[Weight]],0)</f>
        <v>#VALUE!</v>
      </c>
      <c r="V1252" s="4" t="str">
        <f>IF(COUNTIF($W$2:W1252,W1252)=1,1,"")</f>
        <v/>
      </c>
      <c r="W1252" s="4" t="e">
        <f>CONCATENATE(DbLinkTable[[#This Row],[Customer]],UPPER(DbLinkTable[[#This Row],[Trailer Number]]),DbLinkTable[[#This Row],[Day Received]])</f>
        <v>#VALUE!</v>
      </c>
      <c r="X1252" s="4" t="e">
        <f>DATEVALUE(TEXT(DbLinkTable[[#This Row],[Date Received]],"MMMM YYYY"))</f>
        <v>#VALUE!</v>
      </c>
      <c r="Y1252" s="4" t="e">
        <f>INT(DbLinkTable[[#This Row],[Date Received]])</f>
        <v>#VALUE!</v>
      </c>
    </row>
    <row r="1253" spans="5:25">
      <c r="E1253"/>
      <c r="G1253"/>
      <c r="H1253"/>
      <c r="I1253"/>
      <c r="K1253"/>
      <c r="O1253"/>
      <c r="R1253"/>
      <c r="S1253" s="79" t="e">
        <f>DbLinkTable[[#This Row],[Credit]]+DbLinkTable[[#This Row],[Charge]]</f>
        <v>#VALUE!</v>
      </c>
      <c r="T1253" s="79" t="e">
        <f>IF(DbLinkTable[[#This Row],[Price/lb]]*DbLinkTable[[#This Row],[Weight]]&gt;0,DbLinkTable[[#This Row],[Price/lb]]*DbLinkTable[[#This Row],[Weight]],0)</f>
        <v>#VALUE!</v>
      </c>
      <c r="U1253" s="79" t="e">
        <f>IF(DbLinkTable[[#This Row],[Price/lb]]*DbLinkTable[[#This Row],[Weight]]&lt;0,DbLinkTable[[#This Row],[Price/lb]]*DbLinkTable[[#This Row],[Weight]],0)</f>
        <v>#VALUE!</v>
      </c>
      <c r="V1253" s="4" t="str">
        <f>IF(COUNTIF($W$2:W1253,W1253)=1,1,"")</f>
        <v/>
      </c>
      <c r="W1253" s="4" t="e">
        <f>CONCATENATE(DbLinkTable[[#This Row],[Customer]],UPPER(DbLinkTable[[#This Row],[Trailer Number]]),DbLinkTable[[#This Row],[Day Received]])</f>
        <v>#VALUE!</v>
      </c>
      <c r="X1253" s="4" t="e">
        <f>DATEVALUE(TEXT(DbLinkTable[[#This Row],[Date Received]],"MMMM YYYY"))</f>
        <v>#VALUE!</v>
      </c>
      <c r="Y1253" s="4" t="e">
        <f>INT(DbLinkTable[[#This Row],[Date Received]])</f>
        <v>#VALUE!</v>
      </c>
    </row>
    <row r="1254" spans="5:25">
      <c r="E1254"/>
      <c r="G1254"/>
      <c r="H1254"/>
      <c r="I1254"/>
      <c r="K1254"/>
      <c r="O1254"/>
      <c r="R1254"/>
      <c r="S1254" s="79" t="e">
        <f>DbLinkTable[[#This Row],[Credit]]+DbLinkTable[[#This Row],[Charge]]</f>
        <v>#VALUE!</v>
      </c>
      <c r="T1254" s="79" t="e">
        <f>IF(DbLinkTable[[#This Row],[Price/lb]]*DbLinkTable[[#This Row],[Weight]]&gt;0,DbLinkTable[[#This Row],[Price/lb]]*DbLinkTable[[#This Row],[Weight]],0)</f>
        <v>#VALUE!</v>
      </c>
      <c r="U1254" s="79" t="e">
        <f>IF(DbLinkTable[[#This Row],[Price/lb]]*DbLinkTable[[#This Row],[Weight]]&lt;0,DbLinkTable[[#This Row],[Price/lb]]*DbLinkTable[[#This Row],[Weight]],0)</f>
        <v>#VALUE!</v>
      </c>
      <c r="V1254" s="4" t="str">
        <f>IF(COUNTIF($W$2:W1254,W1254)=1,1,"")</f>
        <v/>
      </c>
      <c r="W1254" s="4" t="e">
        <f>CONCATENATE(DbLinkTable[[#This Row],[Customer]],UPPER(DbLinkTable[[#This Row],[Trailer Number]]),DbLinkTable[[#This Row],[Day Received]])</f>
        <v>#VALUE!</v>
      </c>
      <c r="X1254" s="4" t="e">
        <f>DATEVALUE(TEXT(DbLinkTable[[#This Row],[Date Received]],"MMMM YYYY"))</f>
        <v>#VALUE!</v>
      </c>
      <c r="Y1254" s="4" t="e">
        <f>INT(DbLinkTable[[#This Row],[Date Received]])</f>
        <v>#VALUE!</v>
      </c>
    </row>
    <row r="1255" spans="5:25">
      <c r="E1255"/>
      <c r="G1255"/>
      <c r="H1255"/>
      <c r="I1255"/>
      <c r="K1255"/>
      <c r="O1255"/>
      <c r="R1255"/>
      <c r="S1255" s="79" t="e">
        <f>DbLinkTable[[#This Row],[Credit]]+DbLinkTable[[#This Row],[Charge]]</f>
        <v>#VALUE!</v>
      </c>
      <c r="T1255" s="79" t="e">
        <f>IF(DbLinkTable[[#This Row],[Price/lb]]*DbLinkTable[[#This Row],[Weight]]&gt;0,DbLinkTable[[#This Row],[Price/lb]]*DbLinkTable[[#This Row],[Weight]],0)</f>
        <v>#VALUE!</v>
      </c>
      <c r="U1255" s="79" t="e">
        <f>IF(DbLinkTable[[#This Row],[Price/lb]]*DbLinkTable[[#This Row],[Weight]]&lt;0,DbLinkTable[[#This Row],[Price/lb]]*DbLinkTable[[#This Row],[Weight]],0)</f>
        <v>#VALUE!</v>
      </c>
      <c r="V1255" s="4" t="str">
        <f>IF(COUNTIF($W$2:W1255,W1255)=1,1,"")</f>
        <v/>
      </c>
      <c r="W1255" s="4" t="e">
        <f>CONCATENATE(DbLinkTable[[#This Row],[Customer]],UPPER(DbLinkTable[[#This Row],[Trailer Number]]),DbLinkTable[[#This Row],[Day Received]])</f>
        <v>#VALUE!</v>
      </c>
      <c r="X1255" s="4" t="e">
        <f>DATEVALUE(TEXT(DbLinkTable[[#This Row],[Date Received]],"MMMM YYYY"))</f>
        <v>#VALUE!</v>
      </c>
      <c r="Y1255" s="4" t="e">
        <f>INT(DbLinkTable[[#This Row],[Date Received]])</f>
        <v>#VALUE!</v>
      </c>
    </row>
    <row r="1256" spans="5:25">
      <c r="E1256"/>
      <c r="G1256"/>
      <c r="H1256"/>
      <c r="I1256"/>
      <c r="K1256"/>
      <c r="O1256"/>
      <c r="R1256"/>
      <c r="S1256" s="79" t="e">
        <f>DbLinkTable[[#This Row],[Credit]]+DbLinkTable[[#This Row],[Charge]]</f>
        <v>#VALUE!</v>
      </c>
      <c r="T1256" s="79" t="e">
        <f>IF(DbLinkTable[[#This Row],[Price/lb]]*DbLinkTable[[#This Row],[Weight]]&gt;0,DbLinkTable[[#This Row],[Price/lb]]*DbLinkTable[[#This Row],[Weight]],0)</f>
        <v>#VALUE!</v>
      </c>
      <c r="U1256" s="79" t="e">
        <f>IF(DbLinkTable[[#This Row],[Price/lb]]*DbLinkTable[[#This Row],[Weight]]&lt;0,DbLinkTable[[#This Row],[Price/lb]]*DbLinkTable[[#This Row],[Weight]],0)</f>
        <v>#VALUE!</v>
      </c>
      <c r="V1256" s="4" t="str">
        <f>IF(COUNTIF($W$2:W1256,W1256)=1,1,"")</f>
        <v/>
      </c>
      <c r="W1256" s="4" t="e">
        <f>CONCATENATE(DbLinkTable[[#This Row],[Customer]],UPPER(DbLinkTable[[#This Row],[Trailer Number]]),DbLinkTable[[#This Row],[Day Received]])</f>
        <v>#VALUE!</v>
      </c>
      <c r="X1256" s="4" t="e">
        <f>DATEVALUE(TEXT(DbLinkTable[[#This Row],[Date Received]],"MMMM YYYY"))</f>
        <v>#VALUE!</v>
      </c>
      <c r="Y1256" s="4" t="e">
        <f>INT(DbLinkTable[[#This Row],[Date Received]])</f>
        <v>#VALUE!</v>
      </c>
    </row>
    <row r="1257" spans="5:25">
      <c r="E1257"/>
      <c r="G1257"/>
      <c r="H1257"/>
      <c r="I1257"/>
      <c r="K1257"/>
      <c r="O1257"/>
      <c r="R1257"/>
      <c r="S1257" s="79" t="e">
        <f>DbLinkTable[[#This Row],[Credit]]+DbLinkTable[[#This Row],[Charge]]</f>
        <v>#VALUE!</v>
      </c>
      <c r="T1257" s="79" t="e">
        <f>IF(DbLinkTable[[#This Row],[Price/lb]]*DbLinkTable[[#This Row],[Weight]]&gt;0,DbLinkTable[[#This Row],[Price/lb]]*DbLinkTable[[#This Row],[Weight]],0)</f>
        <v>#VALUE!</v>
      </c>
      <c r="U1257" s="79" t="e">
        <f>IF(DbLinkTable[[#This Row],[Price/lb]]*DbLinkTable[[#This Row],[Weight]]&lt;0,DbLinkTable[[#This Row],[Price/lb]]*DbLinkTable[[#This Row],[Weight]],0)</f>
        <v>#VALUE!</v>
      </c>
      <c r="V1257" s="4" t="str">
        <f>IF(COUNTIF($W$2:W1257,W1257)=1,1,"")</f>
        <v/>
      </c>
      <c r="W1257" s="4" t="e">
        <f>CONCATENATE(DbLinkTable[[#This Row],[Customer]],UPPER(DbLinkTable[[#This Row],[Trailer Number]]),DbLinkTable[[#This Row],[Day Received]])</f>
        <v>#VALUE!</v>
      </c>
      <c r="X1257" s="4" t="e">
        <f>DATEVALUE(TEXT(DbLinkTable[[#This Row],[Date Received]],"MMMM YYYY"))</f>
        <v>#VALUE!</v>
      </c>
      <c r="Y1257" s="4" t="e">
        <f>INT(DbLinkTable[[#This Row],[Date Received]])</f>
        <v>#VALUE!</v>
      </c>
    </row>
    <row r="1258" spans="5:25">
      <c r="E1258"/>
      <c r="G1258"/>
      <c r="H1258"/>
      <c r="I1258"/>
      <c r="K1258"/>
      <c r="O1258"/>
      <c r="R1258"/>
      <c r="S1258" s="79" t="e">
        <f>DbLinkTable[[#This Row],[Credit]]+DbLinkTable[[#This Row],[Charge]]</f>
        <v>#VALUE!</v>
      </c>
      <c r="T1258" s="79" t="e">
        <f>IF(DbLinkTable[[#This Row],[Price/lb]]*DbLinkTable[[#This Row],[Weight]]&gt;0,DbLinkTable[[#This Row],[Price/lb]]*DbLinkTable[[#This Row],[Weight]],0)</f>
        <v>#VALUE!</v>
      </c>
      <c r="U1258" s="79" t="e">
        <f>IF(DbLinkTable[[#This Row],[Price/lb]]*DbLinkTable[[#This Row],[Weight]]&lt;0,DbLinkTable[[#This Row],[Price/lb]]*DbLinkTable[[#This Row],[Weight]],0)</f>
        <v>#VALUE!</v>
      </c>
      <c r="V1258" s="4" t="str">
        <f>IF(COUNTIF($W$2:W1258,W1258)=1,1,"")</f>
        <v/>
      </c>
      <c r="W1258" s="4" t="e">
        <f>CONCATENATE(DbLinkTable[[#This Row],[Customer]],UPPER(DbLinkTable[[#This Row],[Trailer Number]]),DbLinkTable[[#This Row],[Day Received]])</f>
        <v>#VALUE!</v>
      </c>
      <c r="X1258" s="4" t="e">
        <f>DATEVALUE(TEXT(DbLinkTable[[#This Row],[Date Received]],"MMMM YYYY"))</f>
        <v>#VALUE!</v>
      </c>
      <c r="Y1258" s="4" t="e">
        <f>INT(DbLinkTable[[#This Row],[Date Received]])</f>
        <v>#VALUE!</v>
      </c>
    </row>
    <row r="1259" spans="5:25">
      <c r="E1259"/>
      <c r="G1259"/>
      <c r="H1259"/>
      <c r="I1259"/>
      <c r="K1259"/>
      <c r="O1259"/>
      <c r="R1259"/>
      <c r="S1259" s="79" t="e">
        <f>DbLinkTable[[#This Row],[Credit]]+DbLinkTable[[#This Row],[Charge]]</f>
        <v>#VALUE!</v>
      </c>
      <c r="T1259" s="79" t="e">
        <f>IF(DbLinkTable[[#This Row],[Price/lb]]*DbLinkTable[[#This Row],[Weight]]&gt;0,DbLinkTable[[#This Row],[Price/lb]]*DbLinkTable[[#This Row],[Weight]],0)</f>
        <v>#VALUE!</v>
      </c>
      <c r="U1259" s="79" t="e">
        <f>IF(DbLinkTable[[#This Row],[Price/lb]]*DbLinkTable[[#This Row],[Weight]]&lt;0,DbLinkTable[[#This Row],[Price/lb]]*DbLinkTable[[#This Row],[Weight]],0)</f>
        <v>#VALUE!</v>
      </c>
      <c r="V1259" s="4" t="str">
        <f>IF(COUNTIF($W$2:W1259,W1259)=1,1,"")</f>
        <v/>
      </c>
      <c r="W1259" s="4" t="e">
        <f>CONCATENATE(DbLinkTable[[#This Row],[Customer]],UPPER(DbLinkTable[[#This Row],[Trailer Number]]),DbLinkTable[[#This Row],[Day Received]])</f>
        <v>#VALUE!</v>
      </c>
      <c r="X1259" s="4" t="e">
        <f>DATEVALUE(TEXT(DbLinkTable[[#This Row],[Date Received]],"MMMM YYYY"))</f>
        <v>#VALUE!</v>
      </c>
      <c r="Y1259" s="4" t="e">
        <f>INT(DbLinkTable[[#This Row],[Date Received]])</f>
        <v>#VALUE!</v>
      </c>
    </row>
    <row r="1260" spans="5:25">
      <c r="E1260"/>
      <c r="G1260"/>
      <c r="H1260"/>
      <c r="I1260"/>
      <c r="K1260"/>
      <c r="O1260"/>
      <c r="R1260"/>
      <c r="S1260" s="79" t="e">
        <f>DbLinkTable[[#This Row],[Credit]]+DbLinkTable[[#This Row],[Charge]]</f>
        <v>#VALUE!</v>
      </c>
      <c r="T1260" s="79" t="e">
        <f>IF(DbLinkTable[[#This Row],[Price/lb]]*DbLinkTable[[#This Row],[Weight]]&gt;0,DbLinkTable[[#This Row],[Price/lb]]*DbLinkTable[[#This Row],[Weight]],0)</f>
        <v>#VALUE!</v>
      </c>
      <c r="U1260" s="79" t="e">
        <f>IF(DbLinkTable[[#This Row],[Price/lb]]*DbLinkTable[[#This Row],[Weight]]&lt;0,DbLinkTable[[#This Row],[Price/lb]]*DbLinkTable[[#This Row],[Weight]],0)</f>
        <v>#VALUE!</v>
      </c>
      <c r="V1260" s="4" t="str">
        <f>IF(COUNTIF($W$2:W1260,W1260)=1,1,"")</f>
        <v/>
      </c>
      <c r="W1260" s="4" t="e">
        <f>CONCATENATE(DbLinkTable[[#This Row],[Customer]],UPPER(DbLinkTable[[#This Row],[Trailer Number]]),DbLinkTable[[#This Row],[Day Received]])</f>
        <v>#VALUE!</v>
      </c>
      <c r="X1260" s="4" t="e">
        <f>DATEVALUE(TEXT(DbLinkTable[[#This Row],[Date Received]],"MMMM YYYY"))</f>
        <v>#VALUE!</v>
      </c>
      <c r="Y1260" s="4" t="e">
        <f>INT(DbLinkTable[[#This Row],[Date Received]])</f>
        <v>#VALUE!</v>
      </c>
    </row>
    <row r="1261" spans="5:25">
      <c r="E1261"/>
      <c r="G1261"/>
      <c r="H1261"/>
      <c r="I1261"/>
      <c r="K1261"/>
      <c r="O1261"/>
      <c r="R1261"/>
      <c r="S1261" s="79" t="e">
        <f>DbLinkTable[[#This Row],[Credit]]+DbLinkTable[[#This Row],[Charge]]</f>
        <v>#VALUE!</v>
      </c>
      <c r="T1261" s="79" t="e">
        <f>IF(DbLinkTable[[#This Row],[Price/lb]]*DbLinkTable[[#This Row],[Weight]]&gt;0,DbLinkTable[[#This Row],[Price/lb]]*DbLinkTable[[#This Row],[Weight]],0)</f>
        <v>#VALUE!</v>
      </c>
      <c r="U1261" s="79" t="e">
        <f>IF(DbLinkTable[[#This Row],[Price/lb]]*DbLinkTable[[#This Row],[Weight]]&lt;0,DbLinkTable[[#This Row],[Price/lb]]*DbLinkTable[[#This Row],[Weight]],0)</f>
        <v>#VALUE!</v>
      </c>
      <c r="V1261" s="4" t="str">
        <f>IF(COUNTIF($W$2:W1261,W1261)=1,1,"")</f>
        <v/>
      </c>
      <c r="W1261" s="4" t="e">
        <f>CONCATENATE(DbLinkTable[[#This Row],[Customer]],UPPER(DbLinkTable[[#This Row],[Trailer Number]]),DbLinkTable[[#This Row],[Day Received]])</f>
        <v>#VALUE!</v>
      </c>
      <c r="X1261" s="4" t="e">
        <f>DATEVALUE(TEXT(DbLinkTable[[#This Row],[Date Received]],"MMMM YYYY"))</f>
        <v>#VALUE!</v>
      </c>
      <c r="Y1261" s="4" t="e">
        <f>INT(DbLinkTable[[#This Row],[Date Received]])</f>
        <v>#VALUE!</v>
      </c>
    </row>
    <row r="1262" spans="5:25">
      <c r="E1262"/>
      <c r="G1262"/>
      <c r="H1262"/>
      <c r="I1262"/>
      <c r="K1262"/>
      <c r="O1262"/>
      <c r="R1262"/>
      <c r="S1262" s="79" t="e">
        <f>DbLinkTable[[#This Row],[Credit]]+DbLinkTable[[#This Row],[Charge]]</f>
        <v>#VALUE!</v>
      </c>
      <c r="T1262" s="79" t="e">
        <f>IF(DbLinkTable[[#This Row],[Price/lb]]*DbLinkTable[[#This Row],[Weight]]&gt;0,DbLinkTable[[#This Row],[Price/lb]]*DbLinkTable[[#This Row],[Weight]],0)</f>
        <v>#VALUE!</v>
      </c>
      <c r="U1262" s="79" t="e">
        <f>IF(DbLinkTable[[#This Row],[Price/lb]]*DbLinkTable[[#This Row],[Weight]]&lt;0,DbLinkTable[[#This Row],[Price/lb]]*DbLinkTable[[#This Row],[Weight]],0)</f>
        <v>#VALUE!</v>
      </c>
      <c r="V1262" s="4" t="str">
        <f>IF(COUNTIF($W$2:W1262,W1262)=1,1,"")</f>
        <v/>
      </c>
      <c r="W1262" s="4" t="e">
        <f>CONCATENATE(DbLinkTable[[#This Row],[Customer]],UPPER(DbLinkTable[[#This Row],[Trailer Number]]),DbLinkTable[[#This Row],[Day Received]])</f>
        <v>#VALUE!</v>
      </c>
      <c r="X1262" s="4" t="e">
        <f>DATEVALUE(TEXT(DbLinkTable[[#This Row],[Date Received]],"MMMM YYYY"))</f>
        <v>#VALUE!</v>
      </c>
      <c r="Y1262" s="4" t="e">
        <f>INT(DbLinkTable[[#This Row],[Date Received]])</f>
        <v>#VALUE!</v>
      </c>
    </row>
    <row r="1263" spans="5:25">
      <c r="E1263"/>
      <c r="G1263"/>
      <c r="H1263"/>
      <c r="I1263"/>
      <c r="K1263"/>
      <c r="O1263"/>
      <c r="R1263"/>
      <c r="S1263" s="79" t="e">
        <f>DbLinkTable[[#This Row],[Credit]]+DbLinkTable[[#This Row],[Charge]]</f>
        <v>#VALUE!</v>
      </c>
      <c r="T1263" s="79" t="e">
        <f>IF(DbLinkTable[[#This Row],[Price/lb]]*DbLinkTable[[#This Row],[Weight]]&gt;0,DbLinkTable[[#This Row],[Price/lb]]*DbLinkTable[[#This Row],[Weight]],0)</f>
        <v>#VALUE!</v>
      </c>
      <c r="U1263" s="79" t="e">
        <f>IF(DbLinkTable[[#This Row],[Price/lb]]*DbLinkTable[[#This Row],[Weight]]&lt;0,DbLinkTable[[#This Row],[Price/lb]]*DbLinkTable[[#This Row],[Weight]],0)</f>
        <v>#VALUE!</v>
      </c>
      <c r="V1263" s="4" t="str">
        <f>IF(COUNTIF($W$2:W1263,W1263)=1,1,"")</f>
        <v/>
      </c>
      <c r="W1263" s="4" t="e">
        <f>CONCATENATE(DbLinkTable[[#This Row],[Customer]],UPPER(DbLinkTable[[#This Row],[Trailer Number]]),DbLinkTable[[#This Row],[Day Received]])</f>
        <v>#VALUE!</v>
      </c>
      <c r="X1263" s="4" t="e">
        <f>DATEVALUE(TEXT(DbLinkTable[[#This Row],[Date Received]],"MMMM YYYY"))</f>
        <v>#VALUE!</v>
      </c>
      <c r="Y1263" s="4" t="e">
        <f>INT(DbLinkTable[[#This Row],[Date Received]])</f>
        <v>#VALUE!</v>
      </c>
    </row>
    <row r="1264" spans="5:25">
      <c r="E1264"/>
      <c r="G1264"/>
      <c r="H1264"/>
      <c r="I1264"/>
      <c r="K1264"/>
      <c r="O1264"/>
      <c r="R1264"/>
      <c r="S1264" s="79" t="e">
        <f>DbLinkTable[[#This Row],[Credit]]+DbLinkTable[[#This Row],[Charge]]</f>
        <v>#VALUE!</v>
      </c>
      <c r="T1264" s="79" t="e">
        <f>IF(DbLinkTable[[#This Row],[Price/lb]]*DbLinkTable[[#This Row],[Weight]]&gt;0,DbLinkTable[[#This Row],[Price/lb]]*DbLinkTable[[#This Row],[Weight]],0)</f>
        <v>#VALUE!</v>
      </c>
      <c r="U1264" s="79" t="e">
        <f>IF(DbLinkTable[[#This Row],[Price/lb]]*DbLinkTable[[#This Row],[Weight]]&lt;0,DbLinkTable[[#This Row],[Price/lb]]*DbLinkTable[[#This Row],[Weight]],0)</f>
        <v>#VALUE!</v>
      </c>
      <c r="V1264" s="4" t="str">
        <f>IF(COUNTIF($W$2:W1264,W1264)=1,1,"")</f>
        <v/>
      </c>
      <c r="W1264" s="4" t="e">
        <f>CONCATENATE(DbLinkTable[[#This Row],[Customer]],UPPER(DbLinkTable[[#This Row],[Trailer Number]]),DbLinkTable[[#This Row],[Day Received]])</f>
        <v>#VALUE!</v>
      </c>
      <c r="X1264" s="4" t="e">
        <f>DATEVALUE(TEXT(DbLinkTable[[#This Row],[Date Received]],"MMMM YYYY"))</f>
        <v>#VALUE!</v>
      </c>
      <c r="Y1264" s="4" t="e">
        <f>INT(DbLinkTable[[#This Row],[Date Received]])</f>
        <v>#VALUE!</v>
      </c>
    </row>
    <row r="1265" spans="5:25">
      <c r="E1265"/>
      <c r="G1265"/>
      <c r="H1265"/>
      <c r="I1265"/>
      <c r="K1265"/>
      <c r="O1265"/>
      <c r="R1265"/>
      <c r="S1265" s="79" t="e">
        <f>DbLinkTable[[#This Row],[Credit]]+DbLinkTable[[#This Row],[Charge]]</f>
        <v>#VALUE!</v>
      </c>
      <c r="T1265" s="79" t="e">
        <f>IF(DbLinkTable[[#This Row],[Price/lb]]*DbLinkTable[[#This Row],[Weight]]&gt;0,DbLinkTable[[#This Row],[Price/lb]]*DbLinkTable[[#This Row],[Weight]],0)</f>
        <v>#VALUE!</v>
      </c>
      <c r="U1265" s="79" t="e">
        <f>IF(DbLinkTable[[#This Row],[Price/lb]]*DbLinkTable[[#This Row],[Weight]]&lt;0,DbLinkTable[[#This Row],[Price/lb]]*DbLinkTable[[#This Row],[Weight]],0)</f>
        <v>#VALUE!</v>
      </c>
      <c r="V1265" s="4" t="str">
        <f>IF(COUNTIF($W$2:W1265,W1265)=1,1,"")</f>
        <v/>
      </c>
      <c r="W1265" s="4" t="e">
        <f>CONCATENATE(DbLinkTable[[#This Row],[Customer]],UPPER(DbLinkTable[[#This Row],[Trailer Number]]),DbLinkTable[[#This Row],[Day Received]])</f>
        <v>#VALUE!</v>
      </c>
      <c r="X1265" s="4" t="e">
        <f>DATEVALUE(TEXT(DbLinkTable[[#This Row],[Date Received]],"MMMM YYYY"))</f>
        <v>#VALUE!</v>
      </c>
      <c r="Y1265" s="4" t="e">
        <f>INT(DbLinkTable[[#This Row],[Date Received]])</f>
        <v>#VALUE!</v>
      </c>
    </row>
    <row r="1266" spans="5:25">
      <c r="E1266"/>
      <c r="G1266"/>
      <c r="H1266"/>
      <c r="I1266"/>
      <c r="K1266"/>
      <c r="O1266"/>
      <c r="R1266"/>
      <c r="S1266" s="79" t="e">
        <f>DbLinkTable[[#This Row],[Credit]]+DbLinkTable[[#This Row],[Charge]]</f>
        <v>#VALUE!</v>
      </c>
      <c r="T1266" s="79" t="e">
        <f>IF(DbLinkTable[[#This Row],[Price/lb]]*DbLinkTable[[#This Row],[Weight]]&gt;0,DbLinkTable[[#This Row],[Price/lb]]*DbLinkTable[[#This Row],[Weight]],0)</f>
        <v>#VALUE!</v>
      </c>
      <c r="U1266" s="79" t="e">
        <f>IF(DbLinkTable[[#This Row],[Price/lb]]*DbLinkTable[[#This Row],[Weight]]&lt;0,DbLinkTable[[#This Row],[Price/lb]]*DbLinkTable[[#This Row],[Weight]],0)</f>
        <v>#VALUE!</v>
      </c>
      <c r="V1266" s="4" t="str">
        <f>IF(COUNTIF($W$2:W1266,W1266)=1,1,"")</f>
        <v/>
      </c>
      <c r="W1266" s="4" t="e">
        <f>CONCATENATE(DbLinkTable[[#This Row],[Customer]],UPPER(DbLinkTable[[#This Row],[Trailer Number]]),DbLinkTable[[#This Row],[Day Received]])</f>
        <v>#VALUE!</v>
      </c>
      <c r="X1266" s="4" t="e">
        <f>DATEVALUE(TEXT(DbLinkTable[[#This Row],[Date Received]],"MMMM YYYY"))</f>
        <v>#VALUE!</v>
      </c>
      <c r="Y1266" s="4" t="e">
        <f>INT(DbLinkTable[[#This Row],[Date Received]])</f>
        <v>#VALUE!</v>
      </c>
    </row>
    <row r="1267" spans="5:25">
      <c r="E1267"/>
      <c r="G1267"/>
      <c r="H1267"/>
      <c r="I1267"/>
      <c r="K1267"/>
      <c r="O1267"/>
      <c r="R1267"/>
      <c r="S1267" s="79" t="e">
        <f>DbLinkTable[[#This Row],[Credit]]+DbLinkTable[[#This Row],[Charge]]</f>
        <v>#VALUE!</v>
      </c>
      <c r="T1267" s="79" t="e">
        <f>IF(DbLinkTable[[#This Row],[Price/lb]]*DbLinkTable[[#This Row],[Weight]]&gt;0,DbLinkTable[[#This Row],[Price/lb]]*DbLinkTable[[#This Row],[Weight]],0)</f>
        <v>#VALUE!</v>
      </c>
      <c r="U1267" s="79" t="e">
        <f>IF(DbLinkTable[[#This Row],[Price/lb]]*DbLinkTable[[#This Row],[Weight]]&lt;0,DbLinkTable[[#This Row],[Price/lb]]*DbLinkTable[[#This Row],[Weight]],0)</f>
        <v>#VALUE!</v>
      </c>
      <c r="V1267" s="4" t="str">
        <f>IF(COUNTIF($W$2:W1267,W1267)=1,1,"")</f>
        <v/>
      </c>
      <c r="W1267" s="4" t="e">
        <f>CONCATENATE(DbLinkTable[[#This Row],[Customer]],UPPER(DbLinkTable[[#This Row],[Trailer Number]]),DbLinkTable[[#This Row],[Day Received]])</f>
        <v>#VALUE!</v>
      </c>
      <c r="X1267" s="4" t="e">
        <f>DATEVALUE(TEXT(DbLinkTable[[#This Row],[Date Received]],"MMMM YYYY"))</f>
        <v>#VALUE!</v>
      </c>
      <c r="Y1267" s="4" t="e">
        <f>INT(DbLinkTable[[#This Row],[Date Received]])</f>
        <v>#VALUE!</v>
      </c>
    </row>
    <row r="1268" spans="5:25">
      <c r="E1268"/>
      <c r="G1268"/>
      <c r="H1268"/>
      <c r="I1268"/>
      <c r="K1268"/>
      <c r="O1268"/>
      <c r="R1268"/>
      <c r="S1268" s="79" t="e">
        <f>DbLinkTable[[#This Row],[Credit]]+DbLinkTable[[#This Row],[Charge]]</f>
        <v>#VALUE!</v>
      </c>
      <c r="T1268" s="79" t="e">
        <f>IF(DbLinkTable[[#This Row],[Price/lb]]*DbLinkTable[[#This Row],[Weight]]&gt;0,DbLinkTable[[#This Row],[Price/lb]]*DbLinkTable[[#This Row],[Weight]],0)</f>
        <v>#VALUE!</v>
      </c>
      <c r="U1268" s="79" t="e">
        <f>IF(DbLinkTable[[#This Row],[Price/lb]]*DbLinkTable[[#This Row],[Weight]]&lt;0,DbLinkTable[[#This Row],[Price/lb]]*DbLinkTable[[#This Row],[Weight]],0)</f>
        <v>#VALUE!</v>
      </c>
      <c r="V1268" s="4" t="str">
        <f>IF(COUNTIF($W$2:W1268,W1268)=1,1,"")</f>
        <v/>
      </c>
      <c r="W1268" s="4" t="e">
        <f>CONCATENATE(DbLinkTable[[#This Row],[Customer]],UPPER(DbLinkTable[[#This Row],[Trailer Number]]),DbLinkTable[[#This Row],[Day Received]])</f>
        <v>#VALUE!</v>
      </c>
      <c r="X1268" s="4" t="e">
        <f>DATEVALUE(TEXT(DbLinkTable[[#This Row],[Date Received]],"MMMM YYYY"))</f>
        <v>#VALUE!</v>
      </c>
      <c r="Y1268" s="4" t="e">
        <f>INT(DbLinkTable[[#This Row],[Date Received]])</f>
        <v>#VALUE!</v>
      </c>
    </row>
    <row r="1269" spans="5:25">
      <c r="E1269"/>
      <c r="G1269"/>
      <c r="H1269"/>
      <c r="I1269"/>
      <c r="K1269"/>
      <c r="O1269"/>
      <c r="R1269"/>
      <c r="S1269" s="79" t="e">
        <f>DbLinkTable[[#This Row],[Credit]]+DbLinkTable[[#This Row],[Charge]]</f>
        <v>#VALUE!</v>
      </c>
      <c r="T1269" s="79" t="e">
        <f>IF(DbLinkTable[[#This Row],[Price/lb]]*DbLinkTable[[#This Row],[Weight]]&gt;0,DbLinkTable[[#This Row],[Price/lb]]*DbLinkTable[[#This Row],[Weight]],0)</f>
        <v>#VALUE!</v>
      </c>
      <c r="U1269" s="79" t="e">
        <f>IF(DbLinkTable[[#This Row],[Price/lb]]*DbLinkTable[[#This Row],[Weight]]&lt;0,DbLinkTable[[#This Row],[Price/lb]]*DbLinkTable[[#This Row],[Weight]],0)</f>
        <v>#VALUE!</v>
      </c>
      <c r="V1269" s="4" t="str">
        <f>IF(COUNTIF($W$2:W1269,W1269)=1,1,"")</f>
        <v/>
      </c>
      <c r="W1269" s="4" t="e">
        <f>CONCATENATE(DbLinkTable[[#This Row],[Customer]],UPPER(DbLinkTable[[#This Row],[Trailer Number]]),DbLinkTable[[#This Row],[Day Received]])</f>
        <v>#VALUE!</v>
      </c>
      <c r="X1269" s="4" t="e">
        <f>DATEVALUE(TEXT(DbLinkTable[[#This Row],[Date Received]],"MMMM YYYY"))</f>
        <v>#VALUE!</v>
      </c>
      <c r="Y1269" s="4" t="e">
        <f>INT(DbLinkTable[[#This Row],[Date Received]])</f>
        <v>#VALUE!</v>
      </c>
    </row>
    <row r="1270" spans="5:25">
      <c r="E1270"/>
      <c r="G1270"/>
      <c r="H1270"/>
      <c r="I1270"/>
      <c r="K1270"/>
      <c r="O1270"/>
      <c r="R1270"/>
      <c r="S1270" s="79" t="e">
        <f>DbLinkTable[[#This Row],[Credit]]+DbLinkTable[[#This Row],[Charge]]</f>
        <v>#VALUE!</v>
      </c>
      <c r="T1270" s="79" t="e">
        <f>IF(DbLinkTable[[#This Row],[Price/lb]]*DbLinkTable[[#This Row],[Weight]]&gt;0,DbLinkTable[[#This Row],[Price/lb]]*DbLinkTable[[#This Row],[Weight]],0)</f>
        <v>#VALUE!</v>
      </c>
      <c r="U1270" s="79" t="e">
        <f>IF(DbLinkTable[[#This Row],[Price/lb]]*DbLinkTable[[#This Row],[Weight]]&lt;0,DbLinkTable[[#This Row],[Price/lb]]*DbLinkTable[[#This Row],[Weight]],0)</f>
        <v>#VALUE!</v>
      </c>
      <c r="V1270" s="4" t="str">
        <f>IF(COUNTIF($W$2:W1270,W1270)=1,1,"")</f>
        <v/>
      </c>
      <c r="W1270" s="4" t="e">
        <f>CONCATENATE(DbLinkTable[[#This Row],[Customer]],UPPER(DbLinkTable[[#This Row],[Trailer Number]]),DbLinkTable[[#This Row],[Day Received]])</f>
        <v>#VALUE!</v>
      </c>
      <c r="X1270" s="4" t="e">
        <f>DATEVALUE(TEXT(DbLinkTable[[#This Row],[Date Received]],"MMMM YYYY"))</f>
        <v>#VALUE!</v>
      </c>
      <c r="Y1270" s="4" t="e">
        <f>INT(DbLinkTable[[#This Row],[Date Received]])</f>
        <v>#VALUE!</v>
      </c>
    </row>
    <row r="1271" spans="5:25">
      <c r="E1271"/>
      <c r="G1271"/>
      <c r="H1271"/>
      <c r="I1271"/>
      <c r="K1271"/>
      <c r="O1271"/>
      <c r="R1271"/>
      <c r="S1271" s="79" t="e">
        <f>DbLinkTable[[#This Row],[Credit]]+DbLinkTable[[#This Row],[Charge]]</f>
        <v>#VALUE!</v>
      </c>
      <c r="T1271" s="79" t="e">
        <f>IF(DbLinkTable[[#This Row],[Price/lb]]*DbLinkTable[[#This Row],[Weight]]&gt;0,DbLinkTable[[#This Row],[Price/lb]]*DbLinkTable[[#This Row],[Weight]],0)</f>
        <v>#VALUE!</v>
      </c>
      <c r="U1271" s="79" t="e">
        <f>IF(DbLinkTable[[#This Row],[Price/lb]]*DbLinkTable[[#This Row],[Weight]]&lt;0,DbLinkTable[[#This Row],[Price/lb]]*DbLinkTable[[#This Row],[Weight]],0)</f>
        <v>#VALUE!</v>
      </c>
      <c r="V1271" s="4" t="str">
        <f>IF(COUNTIF($W$2:W1271,W1271)=1,1,"")</f>
        <v/>
      </c>
      <c r="W1271" s="4" t="e">
        <f>CONCATENATE(DbLinkTable[[#This Row],[Customer]],UPPER(DbLinkTable[[#This Row],[Trailer Number]]),DbLinkTable[[#This Row],[Day Received]])</f>
        <v>#VALUE!</v>
      </c>
      <c r="X1271" s="4" t="e">
        <f>DATEVALUE(TEXT(DbLinkTable[[#This Row],[Date Received]],"MMMM YYYY"))</f>
        <v>#VALUE!</v>
      </c>
      <c r="Y1271" s="4" t="e">
        <f>INT(DbLinkTable[[#This Row],[Date Received]])</f>
        <v>#VALUE!</v>
      </c>
    </row>
    <row r="1272" spans="5:25">
      <c r="E1272"/>
      <c r="G1272"/>
      <c r="H1272"/>
      <c r="I1272"/>
      <c r="K1272"/>
      <c r="O1272"/>
      <c r="R1272"/>
      <c r="S1272" s="79" t="e">
        <f>DbLinkTable[[#This Row],[Credit]]+DbLinkTable[[#This Row],[Charge]]</f>
        <v>#VALUE!</v>
      </c>
      <c r="T1272" s="79" t="e">
        <f>IF(DbLinkTable[[#This Row],[Price/lb]]*DbLinkTable[[#This Row],[Weight]]&gt;0,DbLinkTable[[#This Row],[Price/lb]]*DbLinkTable[[#This Row],[Weight]],0)</f>
        <v>#VALUE!</v>
      </c>
      <c r="U1272" s="79" t="e">
        <f>IF(DbLinkTable[[#This Row],[Price/lb]]*DbLinkTable[[#This Row],[Weight]]&lt;0,DbLinkTable[[#This Row],[Price/lb]]*DbLinkTable[[#This Row],[Weight]],0)</f>
        <v>#VALUE!</v>
      </c>
      <c r="V1272" s="4" t="str">
        <f>IF(COUNTIF($W$2:W1272,W1272)=1,1,"")</f>
        <v/>
      </c>
      <c r="W1272" s="4" t="e">
        <f>CONCATENATE(DbLinkTable[[#This Row],[Customer]],UPPER(DbLinkTable[[#This Row],[Trailer Number]]),DbLinkTable[[#This Row],[Day Received]])</f>
        <v>#VALUE!</v>
      </c>
      <c r="X1272" s="4" t="e">
        <f>DATEVALUE(TEXT(DbLinkTable[[#This Row],[Date Received]],"MMMM YYYY"))</f>
        <v>#VALUE!</v>
      </c>
      <c r="Y1272" s="4" t="e">
        <f>INT(DbLinkTable[[#This Row],[Date Received]])</f>
        <v>#VALUE!</v>
      </c>
    </row>
    <row r="1273" spans="5:25">
      <c r="E1273"/>
      <c r="G1273"/>
      <c r="H1273"/>
      <c r="I1273"/>
      <c r="K1273"/>
      <c r="O1273"/>
      <c r="R1273"/>
      <c r="S1273" s="79" t="e">
        <f>DbLinkTable[[#This Row],[Credit]]+DbLinkTable[[#This Row],[Charge]]</f>
        <v>#VALUE!</v>
      </c>
      <c r="T1273" s="79" t="e">
        <f>IF(DbLinkTable[[#This Row],[Price/lb]]*DbLinkTable[[#This Row],[Weight]]&gt;0,DbLinkTable[[#This Row],[Price/lb]]*DbLinkTable[[#This Row],[Weight]],0)</f>
        <v>#VALUE!</v>
      </c>
      <c r="U1273" s="79" t="e">
        <f>IF(DbLinkTable[[#This Row],[Price/lb]]*DbLinkTable[[#This Row],[Weight]]&lt;0,DbLinkTable[[#This Row],[Price/lb]]*DbLinkTable[[#This Row],[Weight]],0)</f>
        <v>#VALUE!</v>
      </c>
      <c r="V1273" s="4" t="str">
        <f>IF(COUNTIF($W$2:W1273,W1273)=1,1,"")</f>
        <v/>
      </c>
      <c r="W1273" s="4" t="e">
        <f>CONCATENATE(DbLinkTable[[#This Row],[Customer]],UPPER(DbLinkTable[[#This Row],[Trailer Number]]),DbLinkTable[[#This Row],[Day Received]])</f>
        <v>#VALUE!</v>
      </c>
      <c r="X1273" s="4" t="e">
        <f>DATEVALUE(TEXT(DbLinkTable[[#This Row],[Date Received]],"MMMM YYYY"))</f>
        <v>#VALUE!</v>
      </c>
      <c r="Y1273" s="4" t="e">
        <f>INT(DbLinkTable[[#This Row],[Date Received]])</f>
        <v>#VALUE!</v>
      </c>
    </row>
    <row r="1274" spans="5:25">
      <c r="E1274"/>
      <c r="G1274"/>
      <c r="H1274"/>
      <c r="I1274"/>
      <c r="K1274"/>
      <c r="O1274"/>
      <c r="R1274"/>
      <c r="S1274" s="79" t="e">
        <f>DbLinkTable[[#This Row],[Credit]]+DbLinkTable[[#This Row],[Charge]]</f>
        <v>#VALUE!</v>
      </c>
      <c r="T1274" s="79" t="e">
        <f>IF(DbLinkTable[[#This Row],[Price/lb]]*DbLinkTable[[#This Row],[Weight]]&gt;0,DbLinkTable[[#This Row],[Price/lb]]*DbLinkTable[[#This Row],[Weight]],0)</f>
        <v>#VALUE!</v>
      </c>
      <c r="U1274" s="79" t="e">
        <f>IF(DbLinkTable[[#This Row],[Price/lb]]*DbLinkTable[[#This Row],[Weight]]&lt;0,DbLinkTable[[#This Row],[Price/lb]]*DbLinkTable[[#This Row],[Weight]],0)</f>
        <v>#VALUE!</v>
      </c>
      <c r="V1274" s="4" t="str">
        <f>IF(COUNTIF($W$2:W1274,W1274)=1,1,"")</f>
        <v/>
      </c>
      <c r="W1274" s="4" t="e">
        <f>CONCATENATE(DbLinkTable[[#This Row],[Customer]],UPPER(DbLinkTable[[#This Row],[Trailer Number]]),DbLinkTable[[#This Row],[Day Received]])</f>
        <v>#VALUE!</v>
      </c>
      <c r="X1274" s="4" t="e">
        <f>DATEVALUE(TEXT(DbLinkTable[[#This Row],[Date Received]],"MMMM YYYY"))</f>
        <v>#VALUE!</v>
      </c>
      <c r="Y1274" s="4" t="e">
        <f>INT(DbLinkTable[[#This Row],[Date Received]])</f>
        <v>#VALUE!</v>
      </c>
    </row>
    <row r="1275" spans="5:25">
      <c r="E1275"/>
      <c r="G1275"/>
      <c r="H1275"/>
      <c r="I1275"/>
      <c r="K1275"/>
      <c r="O1275"/>
      <c r="R1275"/>
      <c r="S1275" s="79" t="e">
        <f>DbLinkTable[[#This Row],[Credit]]+DbLinkTable[[#This Row],[Charge]]</f>
        <v>#VALUE!</v>
      </c>
      <c r="T1275" s="79" t="e">
        <f>IF(DbLinkTable[[#This Row],[Price/lb]]*DbLinkTable[[#This Row],[Weight]]&gt;0,DbLinkTable[[#This Row],[Price/lb]]*DbLinkTable[[#This Row],[Weight]],0)</f>
        <v>#VALUE!</v>
      </c>
      <c r="U1275" s="79" t="e">
        <f>IF(DbLinkTable[[#This Row],[Price/lb]]*DbLinkTable[[#This Row],[Weight]]&lt;0,DbLinkTable[[#This Row],[Price/lb]]*DbLinkTable[[#This Row],[Weight]],0)</f>
        <v>#VALUE!</v>
      </c>
      <c r="V1275" s="4" t="str">
        <f>IF(COUNTIF($W$2:W1275,W1275)=1,1,"")</f>
        <v/>
      </c>
      <c r="W1275" s="4" t="e">
        <f>CONCATENATE(DbLinkTable[[#This Row],[Customer]],UPPER(DbLinkTable[[#This Row],[Trailer Number]]),DbLinkTable[[#This Row],[Day Received]])</f>
        <v>#VALUE!</v>
      </c>
      <c r="X1275" s="4" t="e">
        <f>DATEVALUE(TEXT(DbLinkTable[[#This Row],[Date Received]],"MMMM YYYY"))</f>
        <v>#VALUE!</v>
      </c>
      <c r="Y1275" s="4" t="e">
        <f>INT(DbLinkTable[[#This Row],[Date Received]])</f>
        <v>#VALUE!</v>
      </c>
    </row>
    <row r="1276" spans="5:25">
      <c r="E1276"/>
      <c r="G1276"/>
      <c r="H1276"/>
      <c r="I1276"/>
      <c r="K1276"/>
      <c r="O1276"/>
      <c r="R1276"/>
      <c r="S1276" s="79" t="e">
        <f>DbLinkTable[[#This Row],[Credit]]+DbLinkTable[[#This Row],[Charge]]</f>
        <v>#VALUE!</v>
      </c>
      <c r="T1276" s="79" t="e">
        <f>IF(DbLinkTable[[#This Row],[Price/lb]]*DbLinkTable[[#This Row],[Weight]]&gt;0,DbLinkTable[[#This Row],[Price/lb]]*DbLinkTable[[#This Row],[Weight]],0)</f>
        <v>#VALUE!</v>
      </c>
      <c r="U1276" s="79" t="e">
        <f>IF(DbLinkTable[[#This Row],[Price/lb]]*DbLinkTable[[#This Row],[Weight]]&lt;0,DbLinkTable[[#This Row],[Price/lb]]*DbLinkTable[[#This Row],[Weight]],0)</f>
        <v>#VALUE!</v>
      </c>
      <c r="V1276" s="4" t="str">
        <f>IF(COUNTIF($W$2:W1276,W1276)=1,1,"")</f>
        <v/>
      </c>
      <c r="W1276" s="4" t="e">
        <f>CONCATENATE(DbLinkTable[[#This Row],[Customer]],UPPER(DbLinkTable[[#This Row],[Trailer Number]]),DbLinkTable[[#This Row],[Day Received]])</f>
        <v>#VALUE!</v>
      </c>
      <c r="X1276" s="4" t="e">
        <f>DATEVALUE(TEXT(DbLinkTable[[#This Row],[Date Received]],"MMMM YYYY"))</f>
        <v>#VALUE!</v>
      </c>
      <c r="Y1276" s="4" t="e">
        <f>INT(DbLinkTable[[#This Row],[Date Received]])</f>
        <v>#VALUE!</v>
      </c>
    </row>
    <row r="1277" spans="5:25">
      <c r="E1277"/>
      <c r="G1277"/>
      <c r="H1277"/>
      <c r="I1277"/>
      <c r="K1277"/>
      <c r="O1277"/>
      <c r="R1277"/>
      <c r="S1277" s="79" t="e">
        <f>DbLinkTable[[#This Row],[Credit]]+DbLinkTable[[#This Row],[Charge]]</f>
        <v>#VALUE!</v>
      </c>
      <c r="T1277" s="79" t="e">
        <f>IF(DbLinkTable[[#This Row],[Price/lb]]*DbLinkTable[[#This Row],[Weight]]&gt;0,DbLinkTable[[#This Row],[Price/lb]]*DbLinkTable[[#This Row],[Weight]],0)</f>
        <v>#VALUE!</v>
      </c>
      <c r="U1277" s="79" t="e">
        <f>IF(DbLinkTable[[#This Row],[Price/lb]]*DbLinkTable[[#This Row],[Weight]]&lt;0,DbLinkTable[[#This Row],[Price/lb]]*DbLinkTable[[#This Row],[Weight]],0)</f>
        <v>#VALUE!</v>
      </c>
      <c r="V1277" s="4" t="str">
        <f>IF(COUNTIF($W$2:W1277,W1277)=1,1,"")</f>
        <v/>
      </c>
      <c r="W1277" s="4" t="e">
        <f>CONCATENATE(DbLinkTable[[#This Row],[Customer]],UPPER(DbLinkTable[[#This Row],[Trailer Number]]),DbLinkTable[[#This Row],[Day Received]])</f>
        <v>#VALUE!</v>
      </c>
      <c r="X1277" s="4" t="e">
        <f>DATEVALUE(TEXT(DbLinkTable[[#This Row],[Date Received]],"MMMM YYYY"))</f>
        <v>#VALUE!</v>
      </c>
      <c r="Y1277" s="4" t="e">
        <f>INT(DbLinkTable[[#This Row],[Date Received]])</f>
        <v>#VALUE!</v>
      </c>
    </row>
    <row r="1278" spans="5:25">
      <c r="E1278"/>
      <c r="G1278"/>
      <c r="H1278"/>
      <c r="I1278"/>
      <c r="K1278"/>
      <c r="O1278"/>
      <c r="R1278"/>
      <c r="S1278" s="79" t="e">
        <f>DbLinkTable[[#This Row],[Credit]]+DbLinkTable[[#This Row],[Charge]]</f>
        <v>#VALUE!</v>
      </c>
      <c r="T1278" s="79" t="e">
        <f>IF(DbLinkTable[[#This Row],[Price/lb]]*DbLinkTable[[#This Row],[Weight]]&gt;0,DbLinkTable[[#This Row],[Price/lb]]*DbLinkTable[[#This Row],[Weight]],0)</f>
        <v>#VALUE!</v>
      </c>
      <c r="U1278" s="79" t="e">
        <f>IF(DbLinkTable[[#This Row],[Price/lb]]*DbLinkTable[[#This Row],[Weight]]&lt;0,DbLinkTable[[#This Row],[Price/lb]]*DbLinkTable[[#This Row],[Weight]],0)</f>
        <v>#VALUE!</v>
      </c>
      <c r="V1278" s="4" t="str">
        <f>IF(COUNTIF($W$2:W1278,W1278)=1,1,"")</f>
        <v/>
      </c>
      <c r="W1278" s="4" t="e">
        <f>CONCATENATE(DbLinkTable[[#This Row],[Customer]],UPPER(DbLinkTable[[#This Row],[Trailer Number]]),DbLinkTable[[#This Row],[Day Received]])</f>
        <v>#VALUE!</v>
      </c>
      <c r="X1278" s="4" t="e">
        <f>DATEVALUE(TEXT(DbLinkTable[[#This Row],[Date Received]],"MMMM YYYY"))</f>
        <v>#VALUE!</v>
      </c>
      <c r="Y1278" s="4" t="e">
        <f>INT(DbLinkTable[[#This Row],[Date Received]])</f>
        <v>#VALUE!</v>
      </c>
    </row>
    <row r="1279" spans="5:25">
      <c r="E1279"/>
      <c r="G1279"/>
      <c r="H1279"/>
      <c r="I1279"/>
      <c r="K1279"/>
      <c r="O1279"/>
      <c r="R1279"/>
      <c r="S1279" s="79" t="e">
        <f>DbLinkTable[[#This Row],[Credit]]+DbLinkTable[[#This Row],[Charge]]</f>
        <v>#VALUE!</v>
      </c>
      <c r="T1279" s="79" t="e">
        <f>IF(DbLinkTable[[#This Row],[Price/lb]]*DbLinkTable[[#This Row],[Weight]]&gt;0,DbLinkTable[[#This Row],[Price/lb]]*DbLinkTable[[#This Row],[Weight]],0)</f>
        <v>#VALUE!</v>
      </c>
      <c r="U1279" s="79" t="e">
        <f>IF(DbLinkTable[[#This Row],[Price/lb]]*DbLinkTable[[#This Row],[Weight]]&lt;0,DbLinkTable[[#This Row],[Price/lb]]*DbLinkTable[[#This Row],[Weight]],0)</f>
        <v>#VALUE!</v>
      </c>
      <c r="V1279" s="4" t="str">
        <f>IF(COUNTIF($W$2:W1279,W1279)=1,1,"")</f>
        <v/>
      </c>
      <c r="W1279" s="4" t="e">
        <f>CONCATENATE(DbLinkTable[[#This Row],[Customer]],UPPER(DbLinkTable[[#This Row],[Trailer Number]]),DbLinkTable[[#This Row],[Day Received]])</f>
        <v>#VALUE!</v>
      </c>
      <c r="X1279" s="4" t="e">
        <f>DATEVALUE(TEXT(DbLinkTable[[#This Row],[Date Received]],"MMMM YYYY"))</f>
        <v>#VALUE!</v>
      </c>
      <c r="Y1279" s="4" t="e">
        <f>INT(DbLinkTable[[#This Row],[Date Received]])</f>
        <v>#VALUE!</v>
      </c>
    </row>
    <row r="1280" spans="5:25">
      <c r="E1280"/>
      <c r="G1280"/>
      <c r="H1280"/>
      <c r="I1280"/>
      <c r="K1280"/>
      <c r="O1280"/>
      <c r="R1280"/>
      <c r="S1280" s="79" t="e">
        <f>DbLinkTable[[#This Row],[Credit]]+DbLinkTable[[#This Row],[Charge]]</f>
        <v>#VALUE!</v>
      </c>
      <c r="T1280" s="79" t="e">
        <f>IF(DbLinkTable[[#This Row],[Price/lb]]*DbLinkTable[[#This Row],[Weight]]&gt;0,DbLinkTable[[#This Row],[Price/lb]]*DbLinkTable[[#This Row],[Weight]],0)</f>
        <v>#VALUE!</v>
      </c>
      <c r="U1280" s="79" t="e">
        <f>IF(DbLinkTable[[#This Row],[Price/lb]]*DbLinkTable[[#This Row],[Weight]]&lt;0,DbLinkTable[[#This Row],[Price/lb]]*DbLinkTable[[#This Row],[Weight]],0)</f>
        <v>#VALUE!</v>
      </c>
      <c r="V1280" s="4" t="str">
        <f>IF(COUNTIF($W$2:W1280,W1280)=1,1,"")</f>
        <v/>
      </c>
      <c r="W1280" s="4" t="e">
        <f>CONCATENATE(DbLinkTable[[#This Row],[Customer]],UPPER(DbLinkTable[[#This Row],[Trailer Number]]),DbLinkTable[[#This Row],[Day Received]])</f>
        <v>#VALUE!</v>
      </c>
      <c r="X1280" s="4" t="e">
        <f>DATEVALUE(TEXT(DbLinkTable[[#This Row],[Date Received]],"MMMM YYYY"))</f>
        <v>#VALUE!</v>
      </c>
      <c r="Y1280" s="4" t="e">
        <f>INT(DbLinkTable[[#This Row],[Date Received]])</f>
        <v>#VALUE!</v>
      </c>
    </row>
    <row r="1281" spans="5:25">
      <c r="E1281"/>
      <c r="G1281"/>
      <c r="H1281"/>
      <c r="I1281"/>
      <c r="K1281"/>
      <c r="O1281"/>
      <c r="R1281"/>
      <c r="S1281" s="99" t="e">
        <f>DbLinkTable[[#This Row],[Credit]]+DbLinkTable[[#This Row],[Charge]]</f>
        <v>#VALUE!</v>
      </c>
      <c r="T1281" s="99" t="e">
        <f>IF(DbLinkTable[[#This Row],[Price/lb]]*DbLinkTable[[#This Row],[Weight]]&gt;0,DbLinkTable[[#This Row],[Price/lb]]*DbLinkTable[[#This Row],[Weight]],0)</f>
        <v>#VALUE!</v>
      </c>
      <c r="U1281" s="99" t="e">
        <f>IF(DbLinkTable[[#This Row],[Price/lb]]*DbLinkTable[[#This Row],[Weight]]&lt;0,DbLinkTable[[#This Row],[Price/lb]]*DbLinkTable[[#This Row],[Weight]],0)</f>
        <v>#VALUE!</v>
      </c>
      <c r="V1281" s="88" t="str">
        <f>IF(COUNTIF($W$2:W1281,W1281)=1,1,"")</f>
        <v/>
      </c>
      <c r="W1281" s="88" t="e">
        <f>CONCATENATE(DbLinkTable[[#This Row],[Customer]],UPPER(DbLinkTable[[#This Row],[Trailer Number]]),DbLinkTable[[#This Row],[Day Received]])</f>
        <v>#VALUE!</v>
      </c>
      <c r="X1281" s="88" t="e">
        <f>DATEVALUE(TEXT(DbLinkTable[[#This Row],[Date Received]],"MMMM YYYY"))</f>
        <v>#VALUE!</v>
      </c>
      <c r="Y1281" s="88" t="e">
        <f>INT(DbLinkTable[[#This Row],[Date Received]])</f>
        <v>#VALUE!</v>
      </c>
    </row>
    <row r="1282" spans="5:25">
      <c r="E1282"/>
      <c r="G1282"/>
      <c r="H1282"/>
      <c r="I1282"/>
      <c r="K1282"/>
      <c r="O1282"/>
      <c r="R1282"/>
      <c r="S1282" s="79" t="e">
        <f>DbLinkTable[[#This Row],[Credit]]+DbLinkTable[[#This Row],[Charge]]</f>
        <v>#VALUE!</v>
      </c>
      <c r="T1282" s="79" t="e">
        <f>IF(DbLinkTable[[#This Row],[Price/lb]]*DbLinkTable[[#This Row],[Weight]]&gt;0,DbLinkTable[[#This Row],[Price/lb]]*DbLinkTable[[#This Row],[Weight]],0)</f>
        <v>#VALUE!</v>
      </c>
      <c r="U1282" s="79" t="e">
        <f>IF(DbLinkTable[[#This Row],[Price/lb]]*DbLinkTable[[#This Row],[Weight]]&lt;0,DbLinkTable[[#This Row],[Price/lb]]*DbLinkTable[[#This Row],[Weight]],0)</f>
        <v>#VALUE!</v>
      </c>
      <c r="V1282" s="4" t="str">
        <f>IF(COUNTIF($W$2:W1282,W1282)=1,1,"")</f>
        <v/>
      </c>
      <c r="W1282" s="4" t="e">
        <f>CONCATENATE(DbLinkTable[[#This Row],[Customer]],UPPER(DbLinkTable[[#This Row],[Trailer Number]]),DbLinkTable[[#This Row],[Day Received]])</f>
        <v>#VALUE!</v>
      </c>
      <c r="X1282" s="4" t="e">
        <f>DATEVALUE(TEXT(DbLinkTable[[#This Row],[Date Received]],"MMMM YYYY"))</f>
        <v>#VALUE!</v>
      </c>
      <c r="Y1282" s="4" t="e">
        <f>INT(DbLinkTable[[#This Row],[Date Received]])</f>
        <v>#VALUE!</v>
      </c>
    </row>
    <row r="1283" spans="5:25">
      <c r="E1283"/>
      <c r="G1283"/>
      <c r="H1283"/>
      <c r="I1283"/>
      <c r="K1283"/>
      <c r="O1283"/>
      <c r="R1283"/>
      <c r="S1283" s="79" t="e">
        <f>DbLinkTable[[#This Row],[Credit]]+DbLinkTable[[#This Row],[Charge]]</f>
        <v>#VALUE!</v>
      </c>
      <c r="T1283" s="79" t="e">
        <f>IF(DbLinkTable[[#This Row],[Price/lb]]*DbLinkTable[[#This Row],[Weight]]&gt;0,DbLinkTable[[#This Row],[Price/lb]]*DbLinkTable[[#This Row],[Weight]],0)</f>
        <v>#VALUE!</v>
      </c>
      <c r="U1283" s="79" t="e">
        <f>IF(DbLinkTable[[#This Row],[Price/lb]]*DbLinkTable[[#This Row],[Weight]]&lt;0,DbLinkTable[[#This Row],[Price/lb]]*DbLinkTable[[#This Row],[Weight]],0)</f>
        <v>#VALUE!</v>
      </c>
      <c r="V1283" s="4" t="str">
        <f>IF(COUNTIF($W$2:W1283,W1283)=1,1,"")</f>
        <v/>
      </c>
      <c r="W1283" s="4" t="e">
        <f>CONCATENATE(DbLinkTable[[#This Row],[Customer]],UPPER(DbLinkTable[[#This Row],[Trailer Number]]),DbLinkTable[[#This Row],[Day Received]])</f>
        <v>#VALUE!</v>
      </c>
      <c r="X1283" s="4" t="e">
        <f>DATEVALUE(TEXT(DbLinkTable[[#This Row],[Date Received]],"MMMM YYYY"))</f>
        <v>#VALUE!</v>
      </c>
      <c r="Y1283" s="4" t="e">
        <f>INT(DbLinkTable[[#This Row],[Date Received]])</f>
        <v>#VALUE!</v>
      </c>
    </row>
    <row r="1284" spans="5:25">
      <c r="E1284"/>
      <c r="G1284"/>
      <c r="H1284"/>
      <c r="I1284"/>
      <c r="K1284"/>
      <c r="O1284"/>
      <c r="R1284"/>
      <c r="S1284" s="79" t="e">
        <f>DbLinkTable[[#This Row],[Credit]]+DbLinkTable[[#This Row],[Charge]]</f>
        <v>#VALUE!</v>
      </c>
      <c r="T1284" s="79" t="e">
        <f>IF(DbLinkTable[[#This Row],[Price/lb]]*DbLinkTable[[#This Row],[Weight]]&gt;0,DbLinkTable[[#This Row],[Price/lb]]*DbLinkTable[[#This Row],[Weight]],0)</f>
        <v>#VALUE!</v>
      </c>
      <c r="U1284" s="79" t="e">
        <f>IF(DbLinkTable[[#This Row],[Price/lb]]*DbLinkTable[[#This Row],[Weight]]&lt;0,DbLinkTable[[#This Row],[Price/lb]]*DbLinkTable[[#This Row],[Weight]],0)</f>
        <v>#VALUE!</v>
      </c>
      <c r="V1284" s="4" t="str">
        <f>IF(COUNTIF($W$2:W1284,W1284)=1,1,"")</f>
        <v/>
      </c>
      <c r="W1284" s="4" t="e">
        <f>CONCATENATE(DbLinkTable[[#This Row],[Customer]],UPPER(DbLinkTable[[#This Row],[Trailer Number]]),DbLinkTable[[#This Row],[Day Received]])</f>
        <v>#VALUE!</v>
      </c>
      <c r="X1284" s="4" t="e">
        <f>DATEVALUE(TEXT(DbLinkTable[[#This Row],[Date Received]],"MMMM YYYY"))</f>
        <v>#VALUE!</v>
      </c>
      <c r="Y1284" s="4" t="e">
        <f>INT(DbLinkTable[[#This Row],[Date Received]])</f>
        <v>#VALUE!</v>
      </c>
    </row>
    <row r="1285" spans="5:25">
      <c r="E1285"/>
      <c r="G1285"/>
      <c r="H1285"/>
      <c r="I1285"/>
      <c r="K1285"/>
      <c r="O1285"/>
      <c r="R1285"/>
      <c r="S1285" s="79" t="e">
        <f>DbLinkTable[[#This Row],[Credit]]+DbLinkTable[[#This Row],[Charge]]</f>
        <v>#VALUE!</v>
      </c>
      <c r="T1285" s="79" t="e">
        <f>IF(DbLinkTable[[#This Row],[Price/lb]]*DbLinkTable[[#This Row],[Weight]]&gt;0,DbLinkTable[[#This Row],[Price/lb]]*DbLinkTable[[#This Row],[Weight]],0)</f>
        <v>#VALUE!</v>
      </c>
      <c r="U1285" s="79" t="e">
        <f>IF(DbLinkTable[[#This Row],[Price/lb]]*DbLinkTable[[#This Row],[Weight]]&lt;0,DbLinkTable[[#This Row],[Price/lb]]*DbLinkTable[[#This Row],[Weight]],0)</f>
        <v>#VALUE!</v>
      </c>
      <c r="V1285" s="4" t="str">
        <f>IF(COUNTIF($W$2:W1285,W1285)=1,1,"")</f>
        <v/>
      </c>
      <c r="W1285" s="4" t="e">
        <f>CONCATENATE(DbLinkTable[[#This Row],[Customer]],UPPER(DbLinkTable[[#This Row],[Trailer Number]]),DbLinkTable[[#This Row],[Day Received]])</f>
        <v>#VALUE!</v>
      </c>
      <c r="X1285" s="4" t="e">
        <f>DATEVALUE(TEXT(DbLinkTable[[#This Row],[Date Received]],"MMMM YYYY"))</f>
        <v>#VALUE!</v>
      </c>
      <c r="Y1285" s="4" t="e">
        <f>INT(DbLinkTable[[#This Row],[Date Received]])</f>
        <v>#VALUE!</v>
      </c>
    </row>
    <row r="1286" spans="5:25">
      <c r="E1286"/>
      <c r="G1286"/>
      <c r="H1286"/>
      <c r="I1286"/>
      <c r="K1286"/>
      <c r="O1286"/>
      <c r="R1286"/>
      <c r="S1286" s="79" t="e">
        <f>DbLinkTable[[#This Row],[Credit]]+DbLinkTable[[#This Row],[Charge]]</f>
        <v>#VALUE!</v>
      </c>
      <c r="T1286" s="79" t="e">
        <f>IF(DbLinkTable[[#This Row],[Price/lb]]*DbLinkTable[[#This Row],[Weight]]&gt;0,DbLinkTable[[#This Row],[Price/lb]]*DbLinkTable[[#This Row],[Weight]],0)</f>
        <v>#VALUE!</v>
      </c>
      <c r="U1286" s="79" t="e">
        <f>IF(DbLinkTable[[#This Row],[Price/lb]]*DbLinkTable[[#This Row],[Weight]]&lt;0,DbLinkTable[[#This Row],[Price/lb]]*DbLinkTable[[#This Row],[Weight]],0)</f>
        <v>#VALUE!</v>
      </c>
      <c r="V1286" s="4" t="str">
        <f>IF(COUNTIF($W$2:W1286,W1286)=1,1,"")</f>
        <v/>
      </c>
      <c r="W1286" s="4" t="e">
        <f>CONCATENATE(DbLinkTable[[#This Row],[Customer]],UPPER(DbLinkTable[[#This Row],[Trailer Number]]),DbLinkTable[[#This Row],[Day Received]])</f>
        <v>#VALUE!</v>
      </c>
      <c r="X1286" s="4" t="e">
        <f>DATEVALUE(TEXT(DbLinkTable[[#This Row],[Date Received]],"MMMM YYYY"))</f>
        <v>#VALUE!</v>
      </c>
      <c r="Y1286" s="4" t="e">
        <f>INT(DbLinkTable[[#This Row],[Date Received]])</f>
        <v>#VALUE!</v>
      </c>
    </row>
    <row r="1287" spans="5:25">
      <c r="E1287"/>
      <c r="G1287"/>
      <c r="H1287"/>
      <c r="I1287"/>
      <c r="K1287"/>
      <c r="O1287"/>
      <c r="R1287"/>
      <c r="S1287" s="79" t="e">
        <f>DbLinkTable[[#This Row],[Credit]]+DbLinkTable[[#This Row],[Charge]]</f>
        <v>#VALUE!</v>
      </c>
      <c r="T1287" s="79" t="e">
        <f>IF(DbLinkTable[[#This Row],[Price/lb]]*DbLinkTable[[#This Row],[Weight]]&gt;0,DbLinkTable[[#This Row],[Price/lb]]*DbLinkTable[[#This Row],[Weight]],0)</f>
        <v>#VALUE!</v>
      </c>
      <c r="U1287" s="79" t="e">
        <f>IF(DbLinkTable[[#This Row],[Price/lb]]*DbLinkTable[[#This Row],[Weight]]&lt;0,DbLinkTable[[#This Row],[Price/lb]]*DbLinkTable[[#This Row],[Weight]],0)</f>
        <v>#VALUE!</v>
      </c>
      <c r="V1287" s="4" t="str">
        <f>IF(COUNTIF($W$2:W1287,W1287)=1,1,"")</f>
        <v/>
      </c>
      <c r="W1287" s="4" t="e">
        <f>CONCATENATE(DbLinkTable[[#This Row],[Customer]],UPPER(DbLinkTable[[#This Row],[Trailer Number]]),DbLinkTable[[#This Row],[Day Received]])</f>
        <v>#VALUE!</v>
      </c>
      <c r="X1287" s="4" t="e">
        <f>DATEVALUE(TEXT(DbLinkTable[[#This Row],[Date Received]],"MMMM YYYY"))</f>
        <v>#VALUE!</v>
      </c>
      <c r="Y1287" s="4" t="e">
        <f>INT(DbLinkTable[[#This Row],[Date Received]])</f>
        <v>#VALUE!</v>
      </c>
    </row>
    <row r="1288" spans="5:25">
      <c r="E1288"/>
      <c r="G1288"/>
      <c r="H1288"/>
      <c r="I1288"/>
      <c r="K1288"/>
      <c r="O1288"/>
      <c r="R1288"/>
      <c r="S1288" s="79" t="e">
        <f>DbLinkTable[[#This Row],[Credit]]+DbLinkTable[[#This Row],[Charge]]</f>
        <v>#VALUE!</v>
      </c>
      <c r="T1288" s="79" t="e">
        <f>IF(DbLinkTable[[#This Row],[Price/lb]]*DbLinkTable[[#This Row],[Weight]]&gt;0,DbLinkTable[[#This Row],[Price/lb]]*DbLinkTable[[#This Row],[Weight]],0)</f>
        <v>#VALUE!</v>
      </c>
      <c r="U1288" s="79" t="e">
        <f>IF(DbLinkTable[[#This Row],[Price/lb]]*DbLinkTable[[#This Row],[Weight]]&lt;0,DbLinkTable[[#This Row],[Price/lb]]*DbLinkTable[[#This Row],[Weight]],0)</f>
        <v>#VALUE!</v>
      </c>
      <c r="V1288" s="4" t="str">
        <f>IF(COUNTIF($W$2:W1288,W1288)=1,1,"")</f>
        <v/>
      </c>
      <c r="W1288" s="4" t="e">
        <f>CONCATENATE(DbLinkTable[[#This Row],[Customer]],UPPER(DbLinkTable[[#This Row],[Trailer Number]]),DbLinkTable[[#This Row],[Day Received]])</f>
        <v>#VALUE!</v>
      </c>
      <c r="X1288" s="4" t="e">
        <f>DATEVALUE(TEXT(DbLinkTable[[#This Row],[Date Received]],"MMMM YYYY"))</f>
        <v>#VALUE!</v>
      </c>
      <c r="Y1288" s="4" t="e">
        <f>INT(DbLinkTable[[#This Row],[Date Received]])</f>
        <v>#VALUE!</v>
      </c>
    </row>
    <row r="1289" spans="5:25">
      <c r="E1289"/>
      <c r="G1289"/>
      <c r="H1289"/>
      <c r="I1289"/>
      <c r="K1289"/>
      <c r="O1289"/>
      <c r="R1289"/>
      <c r="S1289" s="79" t="e">
        <f>DbLinkTable[[#This Row],[Credit]]+DbLinkTable[[#This Row],[Charge]]</f>
        <v>#VALUE!</v>
      </c>
      <c r="T1289" s="79" t="e">
        <f>IF(DbLinkTable[[#This Row],[Price/lb]]*DbLinkTable[[#This Row],[Weight]]&gt;0,DbLinkTable[[#This Row],[Price/lb]]*DbLinkTable[[#This Row],[Weight]],0)</f>
        <v>#VALUE!</v>
      </c>
      <c r="U1289" s="79" t="e">
        <f>IF(DbLinkTable[[#This Row],[Price/lb]]*DbLinkTable[[#This Row],[Weight]]&lt;0,DbLinkTable[[#This Row],[Price/lb]]*DbLinkTable[[#This Row],[Weight]],0)</f>
        <v>#VALUE!</v>
      </c>
      <c r="V1289" s="4" t="str">
        <f>IF(COUNTIF($W$2:W1289,W1289)=1,1,"")</f>
        <v/>
      </c>
      <c r="W1289" s="4" t="e">
        <f>CONCATENATE(DbLinkTable[[#This Row],[Customer]],UPPER(DbLinkTable[[#This Row],[Trailer Number]]),DbLinkTable[[#This Row],[Day Received]])</f>
        <v>#VALUE!</v>
      </c>
      <c r="X1289" s="4" t="e">
        <f>DATEVALUE(TEXT(DbLinkTable[[#This Row],[Date Received]],"MMMM YYYY"))</f>
        <v>#VALUE!</v>
      </c>
      <c r="Y1289" s="4" t="e">
        <f>INT(DbLinkTable[[#This Row],[Date Received]])</f>
        <v>#VALUE!</v>
      </c>
    </row>
    <row r="1290" spans="5:25">
      <c r="E1290"/>
      <c r="G1290"/>
      <c r="H1290"/>
      <c r="I1290"/>
      <c r="K1290"/>
      <c r="O1290"/>
      <c r="R1290"/>
      <c r="S1290" s="79" t="e">
        <f>DbLinkTable[[#This Row],[Credit]]+DbLinkTable[[#This Row],[Charge]]</f>
        <v>#VALUE!</v>
      </c>
      <c r="T1290" s="79" t="e">
        <f>IF(DbLinkTable[[#This Row],[Price/lb]]*DbLinkTable[[#This Row],[Weight]]&gt;0,DbLinkTable[[#This Row],[Price/lb]]*DbLinkTable[[#This Row],[Weight]],0)</f>
        <v>#VALUE!</v>
      </c>
      <c r="U1290" s="79" t="e">
        <f>IF(DbLinkTable[[#This Row],[Price/lb]]*DbLinkTable[[#This Row],[Weight]]&lt;0,DbLinkTable[[#This Row],[Price/lb]]*DbLinkTable[[#This Row],[Weight]],0)</f>
        <v>#VALUE!</v>
      </c>
      <c r="V1290" s="4" t="str">
        <f>IF(COUNTIF($W$2:W1290,W1290)=1,1,"")</f>
        <v/>
      </c>
      <c r="W1290" s="4" t="e">
        <f>CONCATENATE(DbLinkTable[[#This Row],[Customer]],UPPER(DbLinkTable[[#This Row],[Trailer Number]]),DbLinkTable[[#This Row],[Day Received]])</f>
        <v>#VALUE!</v>
      </c>
      <c r="X1290" s="4" t="e">
        <f>DATEVALUE(TEXT(DbLinkTable[[#This Row],[Date Received]],"MMMM YYYY"))</f>
        <v>#VALUE!</v>
      </c>
      <c r="Y1290" s="4" t="e">
        <f>INT(DbLinkTable[[#This Row],[Date Received]])</f>
        <v>#VALUE!</v>
      </c>
    </row>
    <row r="1291" spans="5:25">
      <c r="E1291"/>
      <c r="G1291"/>
      <c r="H1291"/>
      <c r="I1291"/>
      <c r="K1291"/>
      <c r="O1291"/>
      <c r="R1291"/>
      <c r="S1291" s="79" t="e">
        <f>DbLinkTable[[#This Row],[Credit]]+DbLinkTable[[#This Row],[Charge]]</f>
        <v>#VALUE!</v>
      </c>
      <c r="T1291" s="79" t="e">
        <f>IF(DbLinkTable[[#This Row],[Price/lb]]*DbLinkTable[[#This Row],[Weight]]&gt;0,DbLinkTable[[#This Row],[Price/lb]]*DbLinkTable[[#This Row],[Weight]],0)</f>
        <v>#VALUE!</v>
      </c>
      <c r="U1291" s="79" t="e">
        <f>IF(DbLinkTable[[#This Row],[Price/lb]]*DbLinkTable[[#This Row],[Weight]]&lt;0,DbLinkTable[[#This Row],[Price/lb]]*DbLinkTable[[#This Row],[Weight]],0)</f>
        <v>#VALUE!</v>
      </c>
      <c r="V1291" s="4" t="str">
        <f>IF(COUNTIF($W$2:W1291,W1291)=1,1,"")</f>
        <v/>
      </c>
      <c r="W1291" s="4" t="e">
        <f>CONCATENATE(DbLinkTable[[#This Row],[Customer]],UPPER(DbLinkTable[[#This Row],[Trailer Number]]),DbLinkTable[[#This Row],[Day Received]])</f>
        <v>#VALUE!</v>
      </c>
      <c r="X1291" s="4" t="e">
        <f>DATEVALUE(TEXT(DbLinkTable[[#This Row],[Date Received]],"MMMM YYYY"))</f>
        <v>#VALUE!</v>
      </c>
      <c r="Y1291" s="4" t="e">
        <f>INT(DbLinkTable[[#This Row],[Date Received]])</f>
        <v>#VALUE!</v>
      </c>
    </row>
    <row r="1292" spans="5:25">
      <c r="E1292"/>
      <c r="G1292"/>
      <c r="H1292"/>
      <c r="I1292"/>
      <c r="K1292"/>
      <c r="O1292"/>
      <c r="R1292"/>
      <c r="S1292" s="79" t="e">
        <f>DbLinkTable[[#This Row],[Credit]]+DbLinkTable[[#This Row],[Charge]]</f>
        <v>#VALUE!</v>
      </c>
      <c r="T1292" s="79" t="e">
        <f>IF(DbLinkTable[[#This Row],[Price/lb]]*DbLinkTable[[#This Row],[Weight]]&gt;0,DbLinkTable[[#This Row],[Price/lb]]*DbLinkTable[[#This Row],[Weight]],0)</f>
        <v>#VALUE!</v>
      </c>
      <c r="U1292" s="79" t="e">
        <f>IF(DbLinkTable[[#This Row],[Price/lb]]*DbLinkTable[[#This Row],[Weight]]&lt;0,DbLinkTable[[#This Row],[Price/lb]]*DbLinkTable[[#This Row],[Weight]],0)</f>
        <v>#VALUE!</v>
      </c>
      <c r="V1292" s="4" t="str">
        <f>IF(COUNTIF($W$2:W1292,W1292)=1,1,"")</f>
        <v/>
      </c>
      <c r="W1292" s="4" t="e">
        <f>CONCATENATE(DbLinkTable[[#This Row],[Customer]],UPPER(DbLinkTable[[#This Row],[Trailer Number]]),DbLinkTable[[#This Row],[Day Received]])</f>
        <v>#VALUE!</v>
      </c>
      <c r="X1292" s="4" t="e">
        <f>DATEVALUE(TEXT(DbLinkTable[[#This Row],[Date Received]],"MMMM YYYY"))</f>
        <v>#VALUE!</v>
      </c>
      <c r="Y1292" s="4" t="e">
        <f>INT(DbLinkTable[[#This Row],[Date Received]])</f>
        <v>#VALUE!</v>
      </c>
    </row>
    <row r="1293" spans="5:25">
      <c r="E1293"/>
      <c r="G1293"/>
      <c r="H1293"/>
      <c r="I1293"/>
      <c r="K1293"/>
      <c r="O1293"/>
      <c r="R1293"/>
      <c r="S1293" s="79" t="e">
        <f>DbLinkTable[[#This Row],[Credit]]+DbLinkTable[[#This Row],[Charge]]</f>
        <v>#VALUE!</v>
      </c>
      <c r="T1293" s="79" t="e">
        <f>IF(DbLinkTable[[#This Row],[Price/lb]]*DbLinkTable[[#This Row],[Weight]]&gt;0,DbLinkTable[[#This Row],[Price/lb]]*DbLinkTable[[#This Row],[Weight]],0)</f>
        <v>#VALUE!</v>
      </c>
      <c r="U1293" s="79" t="e">
        <f>IF(DbLinkTable[[#This Row],[Price/lb]]*DbLinkTable[[#This Row],[Weight]]&lt;0,DbLinkTable[[#This Row],[Price/lb]]*DbLinkTable[[#This Row],[Weight]],0)</f>
        <v>#VALUE!</v>
      </c>
      <c r="V1293" s="4" t="str">
        <f>IF(COUNTIF($W$2:W1293,W1293)=1,1,"")</f>
        <v/>
      </c>
      <c r="W1293" s="4" t="e">
        <f>CONCATENATE(DbLinkTable[[#This Row],[Customer]],UPPER(DbLinkTable[[#This Row],[Trailer Number]]),DbLinkTable[[#This Row],[Day Received]])</f>
        <v>#VALUE!</v>
      </c>
      <c r="X1293" s="4" t="e">
        <f>DATEVALUE(TEXT(DbLinkTable[[#This Row],[Date Received]],"MMMM YYYY"))</f>
        <v>#VALUE!</v>
      </c>
      <c r="Y1293" s="4" t="e">
        <f>INT(DbLinkTable[[#This Row],[Date Received]])</f>
        <v>#VALUE!</v>
      </c>
    </row>
    <row r="1294" spans="5:25">
      <c r="E1294"/>
      <c r="G1294"/>
      <c r="H1294"/>
      <c r="I1294"/>
      <c r="K1294"/>
      <c r="O1294"/>
      <c r="R1294"/>
      <c r="S1294" s="79" t="e">
        <f>DbLinkTable[[#This Row],[Credit]]+DbLinkTable[[#This Row],[Charge]]</f>
        <v>#VALUE!</v>
      </c>
      <c r="T1294" s="79" t="e">
        <f>IF(DbLinkTable[[#This Row],[Price/lb]]*DbLinkTable[[#This Row],[Weight]]&gt;0,DbLinkTable[[#This Row],[Price/lb]]*DbLinkTable[[#This Row],[Weight]],0)</f>
        <v>#VALUE!</v>
      </c>
      <c r="U1294" s="79" t="e">
        <f>IF(DbLinkTable[[#This Row],[Price/lb]]*DbLinkTable[[#This Row],[Weight]]&lt;0,DbLinkTable[[#This Row],[Price/lb]]*DbLinkTable[[#This Row],[Weight]],0)</f>
        <v>#VALUE!</v>
      </c>
      <c r="V1294" s="4" t="str">
        <f>IF(COUNTIF($W$2:W1294,W1294)=1,1,"")</f>
        <v/>
      </c>
      <c r="W1294" s="4" t="e">
        <f>CONCATENATE(DbLinkTable[[#This Row],[Customer]],UPPER(DbLinkTable[[#This Row],[Trailer Number]]),DbLinkTable[[#This Row],[Day Received]])</f>
        <v>#VALUE!</v>
      </c>
      <c r="X1294" s="4" t="e">
        <f>DATEVALUE(TEXT(DbLinkTable[[#This Row],[Date Received]],"MMMM YYYY"))</f>
        <v>#VALUE!</v>
      </c>
      <c r="Y1294" s="4" t="e">
        <f>INT(DbLinkTable[[#This Row],[Date Received]])</f>
        <v>#VALUE!</v>
      </c>
    </row>
    <row r="1295" spans="5:25">
      <c r="E1295"/>
      <c r="G1295"/>
      <c r="H1295"/>
      <c r="I1295"/>
      <c r="K1295"/>
      <c r="O1295"/>
      <c r="R1295"/>
      <c r="S1295" s="79" t="e">
        <f>DbLinkTable[[#This Row],[Credit]]+DbLinkTable[[#This Row],[Charge]]</f>
        <v>#VALUE!</v>
      </c>
      <c r="T1295" s="79" t="e">
        <f>IF(DbLinkTable[[#This Row],[Price/lb]]*DbLinkTable[[#This Row],[Weight]]&gt;0,DbLinkTable[[#This Row],[Price/lb]]*DbLinkTable[[#This Row],[Weight]],0)</f>
        <v>#VALUE!</v>
      </c>
      <c r="U1295" s="79" t="e">
        <f>IF(DbLinkTable[[#This Row],[Price/lb]]*DbLinkTable[[#This Row],[Weight]]&lt;0,DbLinkTable[[#This Row],[Price/lb]]*DbLinkTable[[#This Row],[Weight]],0)</f>
        <v>#VALUE!</v>
      </c>
      <c r="V1295" s="4" t="str">
        <f>IF(COUNTIF($W$2:W1295,W1295)=1,1,"")</f>
        <v/>
      </c>
      <c r="W1295" s="4" t="e">
        <f>CONCATENATE(DbLinkTable[[#This Row],[Customer]],UPPER(DbLinkTable[[#This Row],[Trailer Number]]),DbLinkTable[[#This Row],[Day Received]])</f>
        <v>#VALUE!</v>
      </c>
      <c r="X1295" s="4" t="e">
        <f>DATEVALUE(TEXT(DbLinkTable[[#This Row],[Date Received]],"MMMM YYYY"))</f>
        <v>#VALUE!</v>
      </c>
      <c r="Y1295" s="4" t="e">
        <f>INT(DbLinkTable[[#This Row],[Date Received]])</f>
        <v>#VALUE!</v>
      </c>
    </row>
    <row r="1296" spans="5:25">
      <c r="E1296"/>
      <c r="G1296"/>
      <c r="H1296"/>
      <c r="I1296"/>
      <c r="K1296"/>
      <c r="O1296"/>
      <c r="R1296"/>
      <c r="S1296" s="79" t="e">
        <f>DbLinkTable[[#This Row],[Credit]]+DbLinkTable[[#This Row],[Charge]]</f>
        <v>#VALUE!</v>
      </c>
      <c r="T1296" s="79" t="e">
        <f>IF(DbLinkTable[[#This Row],[Price/lb]]*DbLinkTable[[#This Row],[Weight]]&gt;0,DbLinkTable[[#This Row],[Price/lb]]*DbLinkTable[[#This Row],[Weight]],0)</f>
        <v>#VALUE!</v>
      </c>
      <c r="U1296" s="79" t="e">
        <f>IF(DbLinkTable[[#This Row],[Price/lb]]*DbLinkTable[[#This Row],[Weight]]&lt;0,DbLinkTable[[#This Row],[Price/lb]]*DbLinkTable[[#This Row],[Weight]],0)</f>
        <v>#VALUE!</v>
      </c>
      <c r="V1296" s="4" t="str">
        <f>IF(COUNTIF($W$2:W1296,W1296)=1,1,"")</f>
        <v/>
      </c>
      <c r="W1296" s="4" t="e">
        <f>CONCATENATE(DbLinkTable[[#This Row],[Customer]],UPPER(DbLinkTable[[#This Row],[Trailer Number]]),DbLinkTable[[#This Row],[Day Received]])</f>
        <v>#VALUE!</v>
      </c>
      <c r="X1296" s="4" t="e">
        <f>DATEVALUE(TEXT(DbLinkTable[[#This Row],[Date Received]],"MMMM YYYY"))</f>
        <v>#VALUE!</v>
      </c>
      <c r="Y1296" s="4" t="e">
        <f>INT(DbLinkTable[[#This Row],[Date Received]])</f>
        <v>#VALUE!</v>
      </c>
    </row>
    <row r="1297" spans="5:25">
      <c r="E1297"/>
      <c r="G1297"/>
      <c r="H1297"/>
      <c r="I1297"/>
      <c r="K1297"/>
      <c r="O1297"/>
      <c r="R1297"/>
      <c r="S1297" s="79" t="e">
        <f>DbLinkTable[[#This Row],[Credit]]+DbLinkTable[[#This Row],[Charge]]</f>
        <v>#VALUE!</v>
      </c>
      <c r="T1297" s="79" t="e">
        <f>IF(DbLinkTable[[#This Row],[Price/lb]]*DbLinkTable[[#This Row],[Weight]]&gt;0,DbLinkTable[[#This Row],[Price/lb]]*DbLinkTable[[#This Row],[Weight]],0)</f>
        <v>#VALUE!</v>
      </c>
      <c r="U1297" s="79" t="e">
        <f>IF(DbLinkTable[[#This Row],[Price/lb]]*DbLinkTable[[#This Row],[Weight]]&lt;0,DbLinkTable[[#This Row],[Price/lb]]*DbLinkTable[[#This Row],[Weight]],0)</f>
        <v>#VALUE!</v>
      </c>
      <c r="V1297" s="4" t="str">
        <f>IF(COUNTIF($W$2:W1297,W1297)=1,1,"")</f>
        <v/>
      </c>
      <c r="W1297" s="4" t="e">
        <f>CONCATENATE(DbLinkTable[[#This Row],[Customer]],UPPER(DbLinkTable[[#This Row],[Trailer Number]]),DbLinkTable[[#This Row],[Day Received]])</f>
        <v>#VALUE!</v>
      </c>
      <c r="X1297" s="4" t="e">
        <f>DATEVALUE(TEXT(DbLinkTable[[#This Row],[Date Received]],"MMMM YYYY"))</f>
        <v>#VALUE!</v>
      </c>
      <c r="Y1297" s="4" t="e">
        <f>INT(DbLinkTable[[#This Row],[Date Received]])</f>
        <v>#VALUE!</v>
      </c>
    </row>
    <row r="1298" spans="5:25">
      <c r="E1298"/>
      <c r="G1298"/>
      <c r="H1298"/>
      <c r="I1298"/>
      <c r="K1298"/>
      <c r="O1298"/>
      <c r="R1298"/>
      <c r="S1298" s="79" t="e">
        <f>DbLinkTable[[#This Row],[Credit]]+DbLinkTable[[#This Row],[Charge]]</f>
        <v>#VALUE!</v>
      </c>
      <c r="T1298" s="79" t="e">
        <f>IF(DbLinkTable[[#This Row],[Price/lb]]*DbLinkTable[[#This Row],[Weight]]&gt;0,DbLinkTable[[#This Row],[Price/lb]]*DbLinkTable[[#This Row],[Weight]],0)</f>
        <v>#VALUE!</v>
      </c>
      <c r="U1298" s="79" t="e">
        <f>IF(DbLinkTable[[#This Row],[Price/lb]]*DbLinkTable[[#This Row],[Weight]]&lt;0,DbLinkTable[[#This Row],[Price/lb]]*DbLinkTable[[#This Row],[Weight]],0)</f>
        <v>#VALUE!</v>
      </c>
      <c r="V1298" s="4" t="str">
        <f>IF(COUNTIF($W$2:W1298,W1298)=1,1,"")</f>
        <v/>
      </c>
      <c r="W1298" s="4" t="e">
        <f>CONCATENATE(DbLinkTable[[#This Row],[Customer]],UPPER(DbLinkTable[[#This Row],[Trailer Number]]),DbLinkTable[[#This Row],[Day Received]])</f>
        <v>#VALUE!</v>
      </c>
      <c r="X1298" s="4" t="e">
        <f>DATEVALUE(TEXT(DbLinkTable[[#This Row],[Date Received]],"MMMM YYYY"))</f>
        <v>#VALUE!</v>
      </c>
      <c r="Y1298" s="4" t="e">
        <f>INT(DbLinkTable[[#This Row],[Date Received]])</f>
        <v>#VALUE!</v>
      </c>
    </row>
    <row r="1299" spans="5:25">
      <c r="E1299"/>
      <c r="G1299"/>
      <c r="H1299"/>
      <c r="I1299"/>
      <c r="K1299"/>
      <c r="O1299"/>
      <c r="R1299"/>
      <c r="S1299" s="79" t="e">
        <f>DbLinkTable[[#This Row],[Credit]]+DbLinkTable[[#This Row],[Charge]]</f>
        <v>#VALUE!</v>
      </c>
      <c r="T1299" s="79" t="e">
        <f>IF(DbLinkTable[[#This Row],[Price/lb]]*DbLinkTable[[#This Row],[Weight]]&gt;0,DbLinkTable[[#This Row],[Price/lb]]*DbLinkTable[[#This Row],[Weight]],0)</f>
        <v>#VALUE!</v>
      </c>
      <c r="U1299" s="79" t="e">
        <f>IF(DbLinkTable[[#This Row],[Price/lb]]*DbLinkTable[[#This Row],[Weight]]&lt;0,DbLinkTable[[#This Row],[Price/lb]]*DbLinkTable[[#This Row],[Weight]],0)</f>
        <v>#VALUE!</v>
      </c>
      <c r="V1299" s="4" t="str">
        <f>IF(COUNTIF($W$2:W1299,W1299)=1,1,"")</f>
        <v/>
      </c>
      <c r="W1299" s="4" t="e">
        <f>CONCATENATE(DbLinkTable[[#This Row],[Customer]],UPPER(DbLinkTable[[#This Row],[Trailer Number]]),DbLinkTable[[#This Row],[Day Received]])</f>
        <v>#VALUE!</v>
      </c>
      <c r="X1299" s="4" t="e">
        <f>DATEVALUE(TEXT(DbLinkTable[[#This Row],[Date Received]],"MMMM YYYY"))</f>
        <v>#VALUE!</v>
      </c>
      <c r="Y1299" s="4" t="e">
        <f>INT(DbLinkTable[[#This Row],[Date Received]])</f>
        <v>#VALUE!</v>
      </c>
    </row>
    <row r="1300" spans="5:25">
      <c r="E1300"/>
      <c r="G1300"/>
      <c r="H1300"/>
      <c r="I1300"/>
      <c r="K1300"/>
      <c r="O1300"/>
      <c r="R1300"/>
      <c r="S1300" s="79" t="e">
        <f>DbLinkTable[[#This Row],[Credit]]+DbLinkTable[[#This Row],[Charge]]</f>
        <v>#VALUE!</v>
      </c>
      <c r="T1300" s="79" t="e">
        <f>IF(DbLinkTable[[#This Row],[Price/lb]]*DbLinkTable[[#This Row],[Weight]]&gt;0,DbLinkTable[[#This Row],[Price/lb]]*DbLinkTable[[#This Row],[Weight]],0)</f>
        <v>#VALUE!</v>
      </c>
      <c r="U1300" s="79" t="e">
        <f>IF(DbLinkTable[[#This Row],[Price/lb]]*DbLinkTable[[#This Row],[Weight]]&lt;0,DbLinkTable[[#This Row],[Price/lb]]*DbLinkTable[[#This Row],[Weight]],0)</f>
        <v>#VALUE!</v>
      </c>
      <c r="V1300" s="4" t="str">
        <f>IF(COUNTIF($W$2:W1300,W1300)=1,1,"")</f>
        <v/>
      </c>
      <c r="W1300" s="4" t="e">
        <f>CONCATENATE(DbLinkTable[[#This Row],[Customer]],UPPER(DbLinkTable[[#This Row],[Trailer Number]]),DbLinkTable[[#This Row],[Day Received]])</f>
        <v>#VALUE!</v>
      </c>
      <c r="X1300" s="4" t="e">
        <f>DATEVALUE(TEXT(DbLinkTable[[#This Row],[Date Received]],"MMMM YYYY"))</f>
        <v>#VALUE!</v>
      </c>
      <c r="Y1300" s="4" t="e">
        <f>INT(DbLinkTable[[#This Row],[Date Received]])</f>
        <v>#VALUE!</v>
      </c>
    </row>
    <row r="1301" spans="5:25">
      <c r="E1301"/>
      <c r="G1301"/>
      <c r="H1301"/>
      <c r="I1301"/>
      <c r="K1301"/>
      <c r="O1301"/>
      <c r="R1301"/>
      <c r="S1301" s="79" t="e">
        <f>DbLinkTable[[#This Row],[Credit]]+DbLinkTable[[#This Row],[Charge]]</f>
        <v>#VALUE!</v>
      </c>
      <c r="T1301" s="79" t="e">
        <f>IF(DbLinkTable[[#This Row],[Price/lb]]*DbLinkTable[[#This Row],[Weight]]&gt;0,DbLinkTable[[#This Row],[Price/lb]]*DbLinkTable[[#This Row],[Weight]],0)</f>
        <v>#VALUE!</v>
      </c>
      <c r="U1301" s="79" t="e">
        <f>IF(DbLinkTable[[#This Row],[Price/lb]]*DbLinkTable[[#This Row],[Weight]]&lt;0,DbLinkTable[[#This Row],[Price/lb]]*DbLinkTable[[#This Row],[Weight]],0)</f>
        <v>#VALUE!</v>
      </c>
      <c r="V1301" s="4" t="str">
        <f>IF(COUNTIF($W$2:W1301,W1301)=1,1,"")</f>
        <v/>
      </c>
      <c r="W1301" s="4" t="e">
        <f>CONCATENATE(DbLinkTable[[#This Row],[Customer]],UPPER(DbLinkTable[[#This Row],[Trailer Number]]),DbLinkTable[[#This Row],[Day Received]])</f>
        <v>#VALUE!</v>
      </c>
      <c r="X1301" s="4" t="e">
        <f>DATEVALUE(TEXT(DbLinkTable[[#This Row],[Date Received]],"MMMM YYYY"))</f>
        <v>#VALUE!</v>
      </c>
      <c r="Y1301" s="4" t="e">
        <f>INT(DbLinkTable[[#This Row],[Date Received]])</f>
        <v>#VALUE!</v>
      </c>
    </row>
    <row r="1302" spans="5:25">
      <c r="E1302"/>
      <c r="G1302"/>
      <c r="H1302"/>
      <c r="I1302"/>
      <c r="K1302"/>
      <c r="O1302"/>
      <c r="R1302"/>
      <c r="S1302" s="79" t="e">
        <f>DbLinkTable[[#This Row],[Credit]]+DbLinkTable[[#This Row],[Charge]]</f>
        <v>#VALUE!</v>
      </c>
      <c r="T1302" s="79" t="e">
        <f>IF(DbLinkTable[[#This Row],[Price/lb]]*DbLinkTable[[#This Row],[Weight]]&gt;0,DbLinkTable[[#This Row],[Price/lb]]*DbLinkTable[[#This Row],[Weight]],0)</f>
        <v>#VALUE!</v>
      </c>
      <c r="U1302" s="79" t="e">
        <f>IF(DbLinkTable[[#This Row],[Price/lb]]*DbLinkTable[[#This Row],[Weight]]&lt;0,DbLinkTable[[#This Row],[Price/lb]]*DbLinkTable[[#This Row],[Weight]],0)</f>
        <v>#VALUE!</v>
      </c>
      <c r="V1302" s="4" t="str">
        <f>IF(COUNTIF($W$2:W1302,W1302)=1,1,"")</f>
        <v/>
      </c>
      <c r="W1302" s="4" t="e">
        <f>CONCATENATE(DbLinkTable[[#This Row],[Customer]],UPPER(DbLinkTable[[#This Row],[Trailer Number]]),DbLinkTable[[#This Row],[Day Received]])</f>
        <v>#VALUE!</v>
      </c>
      <c r="X1302" s="4" t="e">
        <f>DATEVALUE(TEXT(DbLinkTable[[#This Row],[Date Received]],"MMMM YYYY"))</f>
        <v>#VALUE!</v>
      </c>
      <c r="Y1302" s="4" t="e">
        <f>INT(DbLinkTable[[#This Row],[Date Received]])</f>
        <v>#VALUE!</v>
      </c>
    </row>
    <row r="1303" spans="5:25">
      <c r="E1303"/>
      <c r="G1303"/>
      <c r="H1303"/>
      <c r="I1303"/>
      <c r="K1303"/>
      <c r="O1303"/>
      <c r="R1303"/>
      <c r="S1303" s="79" t="e">
        <f>DbLinkTable[[#This Row],[Credit]]+DbLinkTable[[#This Row],[Charge]]</f>
        <v>#VALUE!</v>
      </c>
      <c r="T1303" s="79" t="e">
        <f>IF(DbLinkTable[[#This Row],[Price/lb]]*DbLinkTable[[#This Row],[Weight]]&gt;0,DbLinkTable[[#This Row],[Price/lb]]*DbLinkTable[[#This Row],[Weight]],0)</f>
        <v>#VALUE!</v>
      </c>
      <c r="U1303" s="79" t="e">
        <f>IF(DbLinkTable[[#This Row],[Price/lb]]*DbLinkTable[[#This Row],[Weight]]&lt;0,DbLinkTable[[#This Row],[Price/lb]]*DbLinkTable[[#This Row],[Weight]],0)</f>
        <v>#VALUE!</v>
      </c>
      <c r="V1303" s="4" t="str">
        <f>IF(COUNTIF($W$2:W1303,W1303)=1,1,"")</f>
        <v/>
      </c>
      <c r="W1303" s="4" t="e">
        <f>CONCATENATE(DbLinkTable[[#This Row],[Customer]],UPPER(DbLinkTable[[#This Row],[Trailer Number]]),DbLinkTable[[#This Row],[Day Received]])</f>
        <v>#VALUE!</v>
      </c>
      <c r="X1303" s="4" t="e">
        <f>DATEVALUE(TEXT(DbLinkTable[[#This Row],[Date Received]],"MMMM YYYY"))</f>
        <v>#VALUE!</v>
      </c>
      <c r="Y1303" s="4" t="e">
        <f>INT(DbLinkTable[[#This Row],[Date Received]])</f>
        <v>#VALUE!</v>
      </c>
    </row>
    <row r="1304" spans="5:25">
      <c r="E1304"/>
      <c r="G1304"/>
      <c r="H1304"/>
      <c r="I1304"/>
      <c r="K1304"/>
      <c r="O1304"/>
      <c r="R1304"/>
      <c r="S1304" s="79" t="e">
        <f>DbLinkTable[[#This Row],[Credit]]+DbLinkTable[[#This Row],[Charge]]</f>
        <v>#VALUE!</v>
      </c>
      <c r="T1304" s="79" t="e">
        <f>IF(DbLinkTable[[#This Row],[Price/lb]]*DbLinkTable[[#This Row],[Weight]]&gt;0,DbLinkTable[[#This Row],[Price/lb]]*DbLinkTable[[#This Row],[Weight]],0)</f>
        <v>#VALUE!</v>
      </c>
      <c r="U1304" s="79" t="e">
        <f>IF(DbLinkTable[[#This Row],[Price/lb]]*DbLinkTable[[#This Row],[Weight]]&lt;0,DbLinkTable[[#This Row],[Price/lb]]*DbLinkTable[[#This Row],[Weight]],0)</f>
        <v>#VALUE!</v>
      </c>
      <c r="V1304" s="4" t="str">
        <f>IF(COUNTIF($W$2:W1304,W1304)=1,1,"")</f>
        <v/>
      </c>
      <c r="W1304" s="4" t="e">
        <f>CONCATENATE(DbLinkTable[[#This Row],[Customer]],UPPER(DbLinkTable[[#This Row],[Trailer Number]]),DbLinkTable[[#This Row],[Day Received]])</f>
        <v>#VALUE!</v>
      </c>
      <c r="X1304" s="4" t="e">
        <f>DATEVALUE(TEXT(DbLinkTable[[#This Row],[Date Received]],"MMMM YYYY"))</f>
        <v>#VALUE!</v>
      </c>
      <c r="Y1304" s="4" t="e">
        <f>INT(DbLinkTable[[#This Row],[Date Received]])</f>
        <v>#VALUE!</v>
      </c>
    </row>
    <row r="1305" spans="5:25">
      <c r="E1305"/>
      <c r="G1305"/>
      <c r="H1305"/>
      <c r="I1305"/>
      <c r="K1305"/>
      <c r="O1305"/>
      <c r="R1305"/>
      <c r="S1305" s="79" t="e">
        <f>DbLinkTable[[#This Row],[Credit]]+DbLinkTable[[#This Row],[Charge]]</f>
        <v>#VALUE!</v>
      </c>
      <c r="T1305" s="79" t="e">
        <f>IF(DbLinkTable[[#This Row],[Price/lb]]*DbLinkTable[[#This Row],[Weight]]&gt;0,DbLinkTable[[#This Row],[Price/lb]]*DbLinkTable[[#This Row],[Weight]],0)</f>
        <v>#VALUE!</v>
      </c>
      <c r="U1305" s="79" t="e">
        <f>IF(DbLinkTable[[#This Row],[Price/lb]]*DbLinkTable[[#This Row],[Weight]]&lt;0,DbLinkTable[[#This Row],[Price/lb]]*DbLinkTable[[#This Row],[Weight]],0)</f>
        <v>#VALUE!</v>
      </c>
      <c r="V1305" s="4" t="str">
        <f>IF(COUNTIF($W$2:W1305,W1305)=1,1,"")</f>
        <v/>
      </c>
      <c r="W1305" s="4" t="e">
        <f>CONCATENATE(DbLinkTable[[#This Row],[Customer]],UPPER(DbLinkTable[[#This Row],[Trailer Number]]),DbLinkTable[[#This Row],[Day Received]])</f>
        <v>#VALUE!</v>
      </c>
      <c r="X1305" s="4" t="e">
        <f>DATEVALUE(TEXT(DbLinkTable[[#This Row],[Date Received]],"MMMM YYYY"))</f>
        <v>#VALUE!</v>
      </c>
      <c r="Y1305" s="4" t="e">
        <f>INT(DbLinkTable[[#This Row],[Date Received]])</f>
        <v>#VALUE!</v>
      </c>
    </row>
    <row r="1306" spans="5:25">
      <c r="E1306"/>
      <c r="G1306"/>
      <c r="H1306"/>
      <c r="I1306"/>
      <c r="K1306"/>
      <c r="O1306"/>
      <c r="R1306"/>
      <c r="S1306" s="79" t="e">
        <f>DbLinkTable[[#This Row],[Credit]]+DbLinkTable[[#This Row],[Charge]]</f>
        <v>#VALUE!</v>
      </c>
      <c r="T1306" s="79" t="e">
        <f>IF(DbLinkTable[[#This Row],[Price/lb]]*DbLinkTable[[#This Row],[Weight]]&gt;0,DbLinkTable[[#This Row],[Price/lb]]*DbLinkTable[[#This Row],[Weight]],0)</f>
        <v>#VALUE!</v>
      </c>
      <c r="U1306" s="79" t="e">
        <f>IF(DbLinkTable[[#This Row],[Price/lb]]*DbLinkTable[[#This Row],[Weight]]&lt;0,DbLinkTable[[#This Row],[Price/lb]]*DbLinkTable[[#This Row],[Weight]],0)</f>
        <v>#VALUE!</v>
      </c>
      <c r="V1306" s="4" t="str">
        <f>IF(COUNTIF($W$2:W1306,W1306)=1,1,"")</f>
        <v/>
      </c>
      <c r="W1306" s="4" t="e">
        <f>CONCATENATE(DbLinkTable[[#This Row],[Customer]],UPPER(DbLinkTable[[#This Row],[Trailer Number]]),DbLinkTable[[#This Row],[Day Received]])</f>
        <v>#VALUE!</v>
      </c>
      <c r="X1306" s="4" t="e">
        <f>DATEVALUE(TEXT(DbLinkTable[[#This Row],[Date Received]],"MMMM YYYY"))</f>
        <v>#VALUE!</v>
      </c>
      <c r="Y1306" s="4" t="e">
        <f>INT(DbLinkTable[[#This Row],[Date Received]])</f>
        <v>#VALUE!</v>
      </c>
    </row>
    <row r="1307" spans="5:25">
      <c r="E1307"/>
      <c r="G1307"/>
      <c r="H1307"/>
      <c r="I1307"/>
      <c r="K1307"/>
      <c r="O1307"/>
      <c r="R1307"/>
      <c r="S1307" s="79" t="e">
        <f>DbLinkTable[[#This Row],[Credit]]+DbLinkTable[[#This Row],[Charge]]</f>
        <v>#VALUE!</v>
      </c>
      <c r="T1307" s="79" t="e">
        <f>IF(DbLinkTable[[#This Row],[Price/lb]]*DbLinkTable[[#This Row],[Weight]]&gt;0,DbLinkTable[[#This Row],[Price/lb]]*DbLinkTable[[#This Row],[Weight]],0)</f>
        <v>#VALUE!</v>
      </c>
      <c r="U1307" s="79" t="e">
        <f>IF(DbLinkTable[[#This Row],[Price/lb]]*DbLinkTable[[#This Row],[Weight]]&lt;0,DbLinkTable[[#This Row],[Price/lb]]*DbLinkTable[[#This Row],[Weight]],0)</f>
        <v>#VALUE!</v>
      </c>
      <c r="V1307" s="4" t="str">
        <f>IF(COUNTIF($W$2:W1307,W1307)=1,1,"")</f>
        <v/>
      </c>
      <c r="W1307" s="4" t="e">
        <f>CONCATENATE(DbLinkTable[[#This Row],[Customer]],UPPER(DbLinkTable[[#This Row],[Trailer Number]]),DbLinkTable[[#This Row],[Day Received]])</f>
        <v>#VALUE!</v>
      </c>
      <c r="X1307" s="4" t="e">
        <f>DATEVALUE(TEXT(DbLinkTable[[#This Row],[Date Received]],"MMMM YYYY"))</f>
        <v>#VALUE!</v>
      </c>
      <c r="Y1307" s="4" t="e">
        <f>INT(DbLinkTable[[#This Row],[Date Received]])</f>
        <v>#VALUE!</v>
      </c>
    </row>
    <row r="1308" spans="5:25">
      <c r="E1308"/>
      <c r="G1308"/>
      <c r="H1308"/>
      <c r="I1308"/>
      <c r="K1308"/>
      <c r="O1308"/>
      <c r="R1308"/>
      <c r="S1308" s="79" t="e">
        <f>DbLinkTable[[#This Row],[Credit]]+DbLinkTable[[#This Row],[Charge]]</f>
        <v>#VALUE!</v>
      </c>
      <c r="T1308" s="79" t="e">
        <f>IF(DbLinkTable[[#This Row],[Price/lb]]*DbLinkTable[[#This Row],[Weight]]&gt;0,DbLinkTable[[#This Row],[Price/lb]]*DbLinkTable[[#This Row],[Weight]],0)</f>
        <v>#VALUE!</v>
      </c>
      <c r="U1308" s="79" t="e">
        <f>IF(DbLinkTable[[#This Row],[Price/lb]]*DbLinkTable[[#This Row],[Weight]]&lt;0,DbLinkTable[[#This Row],[Price/lb]]*DbLinkTable[[#This Row],[Weight]],0)</f>
        <v>#VALUE!</v>
      </c>
      <c r="V1308" s="4" t="str">
        <f>IF(COUNTIF($W$2:W1308,W1308)=1,1,"")</f>
        <v/>
      </c>
      <c r="W1308" s="4" t="e">
        <f>CONCATENATE(DbLinkTable[[#This Row],[Customer]],UPPER(DbLinkTable[[#This Row],[Trailer Number]]),DbLinkTable[[#This Row],[Day Received]])</f>
        <v>#VALUE!</v>
      </c>
      <c r="X1308" s="4" t="e">
        <f>DATEVALUE(TEXT(DbLinkTable[[#This Row],[Date Received]],"MMMM YYYY"))</f>
        <v>#VALUE!</v>
      </c>
      <c r="Y1308" s="4" t="e">
        <f>INT(DbLinkTable[[#This Row],[Date Received]])</f>
        <v>#VALUE!</v>
      </c>
    </row>
    <row r="1309" spans="5:25">
      <c r="E1309"/>
      <c r="G1309"/>
      <c r="H1309"/>
      <c r="I1309"/>
      <c r="K1309"/>
      <c r="O1309"/>
      <c r="R1309"/>
      <c r="S1309" s="79" t="e">
        <f>DbLinkTable[[#This Row],[Credit]]+DbLinkTable[[#This Row],[Charge]]</f>
        <v>#VALUE!</v>
      </c>
      <c r="T1309" s="79" t="e">
        <f>IF(DbLinkTable[[#This Row],[Price/lb]]*DbLinkTable[[#This Row],[Weight]]&gt;0,DbLinkTable[[#This Row],[Price/lb]]*DbLinkTable[[#This Row],[Weight]],0)</f>
        <v>#VALUE!</v>
      </c>
      <c r="U1309" s="79" t="e">
        <f>IF(DbLinkTable[[#This Row],[Price/lb]]*DbLinkTable[[#This Row],[Weight]]&lt;0,DbLinkTable[[#This Row],[Price/lb]]*DbLinkTable[[#This Row],[Weight]],0)</f>
        <v>#VALUE!</v>
      </c>
      <c r="V1309" s="4" t="str">
        <f>IF(COUNTIF($W$2:W1309,W1309)=1,1,"")</f>
        <v/>
      </c>
      <c r="W1309" s="4" t="e">
        <f>CONCATENATE(DbLinkTable[[#This Row],[Customer]],UPPER(DbLinkTable[[#This Row],[Trailer Number]]),DbLinkTable[[#This Row],[Day Received]])</f>
        <v>#VALUE!</v>
      </c>
      <c r="X1309" s="4" t="e">
        <f>DATEVALUE(TEXT(DbLinkTable[[#This Row],[Date Received]],"MMMM YYYY"))</f>
        <v>#VALUE!</v>
      </c>
      <c r="Y1309" s="4" t="e">
        <f>INT(DbLinkTable[[#This Row],[Date Received]])</f>
        <v>#VALUE!</v>
      </c>
    </row>
    <row r="1310" spans="5:25">
      <c r="E1310"/>
      <c r="G1310"/>
      <c r="H1310"/>
      <c r="I1310"/>
      <c r="K1310"/>
      <c r="O1310"/>
      <c r="R1310"/>
      <c r="S1310" s="79" t="e">
        <f>DbLinkTable[[#This Row],[Credit]]+DbLinkTable[[#This Row],[Charge]]</f>
        <v>#VALUE!</v>
      </c>
      <c r="T1310" s="79" t="e">
        <f>IF(DbLinkTable[[#This Row],[Price/lb]]*DbLinkTable[[#This Row],[Weight]]&gt;0,DbLinkTable[[#This Row],[Price/lb]]*DbLinkTable[[#This Row],[Weight]],0)</f>
        <v>#VALUE!</v>
      </c>
      <c r="U1310" s="79" t="e">
        <f>IF(DbLinkTable[[#This Row],[Price/lb]]*DbLinkTable[[#This Row],[Weight]]&lt;0,DbLinkTable[[#This Row],[Price/lb]]*DbLinkTable[[#This Row],[Weight]],0)</f>
        <v>#VALUE!</v>
      </c>
      <c r="V1310" s="4" t="str">
        <f>IF(COUNTIF($W$2:W1310,W1310)=1,1,"")</f>
        <v/>
      </c>
      <c r="W1310" s="4" t="e">
        <f>CONCATENATE(DbLinkTable[[#This Row],[Customer]],UPPER(DbLinkTable[[#This Row],[Trailer Number]]),DbLinkTable[[#This Row],[Day Received]])</f>
        <v>#VALUE!</v>
      </c>
      <c r="X1310" s="4" t="e">
        <f>DATEVALUE(TEXT(DbLinkTable[[#This Row],[Date Received]],"MMMM YYYY"))</f>
        <v>#VALUE!</v>
      </c>
      <c r="Y1310" s="4" t="e">
        <f>INT(DbLinkTable[[#This Row],[Date Received]])</f>
        <v>#VALUE!</v>
      </c>
    </row>
    <row r="1311" spans="5:25">
      <c r="E1311"/>
      <c r="G1311"/>
      <c r="H1311"/>
      <c r="I1311"/>
      <c r="K1311"/>
      <c r="O1311"/>
      <c r="R1311"/>
      <c r="S1311" s="79" t="e">
        <f>DbLinkTable[[#This Row],[Credit]]+DbLinkTable[[#This Row],[Charge]]</f>
        <v>#VALUE!</v>
      </c>
      <c r="T1311" s="79" t="e">
        <f>IF(DbLinkTable[[#This Row],[Price/lb]]*DbLinkTable[[#This Row],[Weight]]&gt;0,DbLinkTable[[#This Row],[Price/lb]]*DbLinkTable[[#This Row],[Weight]],0)</f>
        <v>#VALUE!</v>
      </c>
      <c r="U1311" s="79" t="e">
        <f>IF(DbLinkTable[[#This Row],[Price/lb]]*DbLinkTable[[#This Row],[Weight]]&lt;0,DbLinkTable[[#This Row],[Price/lb]]*DbLinkTable[[#This Row],[Weight]],0)</f>
        <v>#VALUE!</v>
      </c>
      <c r="V1311" s="4" t="str">
        <f>IF(COUNTIF($W$2:W1311,W1311)=1,1,"")</f>
        <v/>
      </c>
      <c r="W1311" s="4" t="e">
        <f>CONCATENATE(DbLinkTable[[#This Row],[Customer]],UPPER(DbLinkTable[[#This Row],[Trailer Number]]),DbLinkTable[[#This Row],[Day Received]])</f>
        <v>#VALUE!</v>
      </c>
      <c r="X1311" s="4" t="e">
        <f>DATEVALUE(TEXT(DbLinkTable[[#This Row],[Date Received]],"MMMM YYYY"))</f>
        <v>#VALUE!</v>
      </c>
      <c r="Y1311" s="4" t="e">
        <f>INT(DbLinkTable[[#This Row],[Date Received]])</f>
        <v>#VALUE!</v>
      </c>
    </row>
    <row r="1312" spans="5:25">
      <c r="E1312"/>
      <c r="G1312"/>
      <c r="H1312"/>
      <c r="I1312"/>
      <c r="K1312"/>
      <c r="O1312"/>
      <c r="R1312"/>
      <c r="S1312" s="79" t="e">
        <f>DbLinkTable[[#This Row],[Credit]]+DbLinkTable[[#This Row],[Charge]]</f>
        <v>#VALUE!</v>
      </c>
      <c r="T1312" s="79" t="e">
        <f>IF(DbLinkTable[[#This Row],[Price/lb]]*DbLinkTable[[#This Row],[Weight]]&gt;0,DbLinkTable[[#This Row],[Price/lb]]*DbLinkTable[[#This Row],[Weight]],0)</f>
        <v>#VALUE!</v>
      </c>
      <c r="U1312" s="79" t="e">
        <f>IF(DbLinkTable[[#This Row],[Price/lb]]*DbLinkTable[[#This Row],[Weight]]&lt;0,DbLinkTable[[#This Row],[Price/lb]]*DbLinkTable[[#This Row],[Weight]],0)</f>
        <v>#VALUE!</v>
      </c>
      <c r="V1312" s="4" t="str">
        <f>IF(COUNTIF($W$2:W1312,W1312)=1,1,"")</f>
        <v/>
      </c>
      <c r="W1312" s="4" t="e">
        <f>CONCATENATE(DbLinkTable[[#This Row],[Customer]],UPPER(DbLinkTable[[#This Row],[Trailer Number]]),DbLinkTable[[#This Row],[Day Received]])</f>
        <v>#VALUE!</v>
      </c>
      <c r="X1312" s="4" t="e">
        <f>DATEVALUE(TEXT(DbLinkTable[[#This Row],[Date Received]],"MMMM YYYY"))</f>
        <v>#VALUE!</v>
      </c>
      <c r="Y1312" s="4" t="e">
        <f>INT(DbLinkTable[[#This Row],[Date Received]])</f>
        <v>#VALUE!</v>
      </c>
    </row>
    <row r="1313" spans="5:25">
      <c r="E1313"/>
      <c r="G1313"/>
      <c r="H1313"/>
      <c r="I1313"/>
      <c r="K1313"/>
      <c r="O1313"/>
      <c r="R1313"/>
      <c r="S1313" s="79" t="e">
        <f>DbLinkTable[[#This Row],[Credit]]+DbLinkTable[[#This Row],[Charge]]</f>
        <v>#VALUE!</v>
      </c>
      <c r="T1313" s="79" t="e">
        <f>IF(DbLinkTable[[#This Row],[Price/lb]]*DbLinkTable[[#This Row],[Weight]]&gt;0,DbLinkTable[[#This Row],[Price/lb]]*DbLinkTable[[#This Row],[Weight]],0)</f>
        <v>#VALUE!</v>
      </c>
      <c r="U1313" s="79" t="e">
        <f>IF(DbLinkTable[[#This Row],[Price/lb]]*DbLinkTable[[#This Row],[Weight]]&lt;0,DbLinkTable[[#This Row],[Price/lb]]*DbLinkTable[[#This Row],[Weight]],0)</f>
        <v>#VALUE!</v>
      </c>
      <c r="V1313" s="4" t="str">
        <f>IF(COUNTIF($W$2:W1313,W1313)=1,1,"")</f>
        <v/>
      </c>
      <c r="W1313" s="4" t="e">
        <f>CONCATENATE(DbLinkTable[[#This Row],[Customer]],UPPER(DbLinkTable[[#This Row],[Trailer Number]]),DbLinkTable[[#This Row],[Day Received]])</f>
        <v>#VALUE!</v>
      </c>
      <c r="X1313" s="4" t="e">
        <f>DATEVALUE(TEXT(DbLinkTable[[#This Row],[Date Received]],"MMMM YYYY"))</f>
        <v>#VALUE!</v>
      </c>
      <c r="Y1313" s="4" t="e">
        <f>INT(DbLinkTable[[#This Row],[Date Received]])</f>
        <v>#VALUE!</v>
      </c>
    </row>
    <row r="1314" spans="5:25">
      <c r="E1314"/>
      <c r="G1314"/>
      <c r="H1314"/>
      <c r="I1314"/>
      <c r="K1314"/>
      <c r="O1314"/>
      <c r="R1314"/>
      <c r="S1314" s="79" t="e">
        <f>DbLinkTable[[#This Row],[Credit]]+DbLinkTable[[#This Row],[Charge]]</f>
        <v>#VALUE!</v>
      </c>
      <c r="T1314" s="79" t="e">
        <f>IF(DbLinkTable[[#This Row],[Price/lb]]*DbLinkTable[[#This Row],[Weight]]&gt;0,DbLinkTable[[#This Row],[Price/lb]]*DbLinkTable[[#This Row],[Weight]],0)</f>
        <v>#VALUE!</v>
      </c>
      <c r="U1314" s="79" t="e">
        <f>IF(DbLinkTable[[#This Row],[Price/lb]]*DbLinkTable[[#This Row],[Weight]]&lt;0,DbLinkTable[[#This Row],[Price/lb]]*DbLinkTable[[#This Row],[Weight]],0)</f>
        <v>#VALUE!</v>
      </c>
      <c r="V1314" s="4" t="str">
        <f>IF(COUNTIF($W$2:W1314,W1314)=1,1,"")</f>
        <v/>
      </c>
      <c r="W1314" s="4" t="e">
        <f>CONCATENATE(DbLinkTable[[#This Row],[Customer]],UPPER(DbLinkTable[[#This Row],[Trailer Number]]),DbLinkTable[[#This Row],[Day Received]])</f>
        <v>#VALUE!</v>
      </c>
      <c r="X1314" s="4" t="e">
        <f>DATEVALUE(TEXT(DbLinkTable[[#This Row],[Date Received]],"MMMM YYYY"))</f>
        <v>#VALUE!</v>
      </c>
      <c r="Y1314" s="4" t="e">
        <f>INT(DbLinkTable[[#This Row],[Date Received]])</f>
        <v>#VALUE!</v>
      </c>
    </row>
    <row r="1315" spans="5:25">
      <c r="E1315"/>
      <c r="G1315"/>
      <c r="H1315"/>
      <c r="I1315"/>
      <c r="K1315"/>
      <c r="O1315"/>
      <c r="R1315"/>
      <c r="S1315" s="79" t="e">
        <f>DbLinkTable[[#This Row],[Credit]]+DbLinkTable[[#This Row],[Charge]]</f>
        <v>#VALUE!</v>
      </c>
      <c r="T1315" s="79" t="e">
        <f>IF(DbLinkTable[[#This Row],[Price/lb]]*DbLinkTable[[#This Row],[Weight]]&gt;0,DbLinkTable[[#This Row],[Price/lb]]*DbLinkTable[[#This Row],[Weight]],0)</f>
        <v>#VALUE!</v>
      </c>
      <c r="U1315" s="79" t="e">
        <f>IF(DbLinkTable[[#This Row],[Price/lb]]*DbLinkTable[[#This Row],[Weight]]&lt;0,DbLinkTable[[#This Row],[Price/lb]]*DbLinkTable[[#This Row],[Weight]],0)</f>
        <v>#VALUE!</v>
      </c>
      <c r="V1315" s="4" t="str">
        <f>IF(COUNTIF($W$2:W1315,W1315)=1,1,"")</f>
        <v/>
      </c>
      <c r="W1315" s="4" t="e">
        <f>CONCATENATE(DbLinkTable[[#This Row],[Customer]],UPPER(DbLinkTable[[#This Row],[Trailer Number]]),DbLinkTable[[#This Row],[Day Received]])</f>
        <v>#VALUE!</v>
      </c>
      <c r="X1315" s="4" t="e">
        <f>DATEVALUE(TEXT(DbLinkTable[[#This Row],[Date Received]],"MMMM YYYY"))</f>
        <v>#VALUE!</v>
      </c>
      <c r="Y1315" s="4" t="e">
        <f>INT(DbLinkTable[[#This Row],[Date Received]])</f>
        <v>#VALUE!</v>
      </c>
    </row>
    <row r="1316" spans="5:25">
      <c r="E1316"/>
      <c r="G1316"/>
      <c r="H1316"/>
      <c r="I1316"/>
      <c r="K1316"/>
      <c r="O1316"/>
      <c r="R1316"/>
      <c r="S1316" s="79" t="e">
        <f>DbLinkTable[[#This Row],[Credit]]+DbLinkTable[[#This Row],[Charge]]</f>
        <v>#VALUE!</v>
      </c>
      <c r="T1316" s="79" t="e">
        <f>IF(DbLinkTable[[#This Row],[Price/lb]]*DbLinkTable[[#This Row],[Weight]]&gt;0,DbLinkTable[[#This Row],[Price/lb]]*DbLinkTable[[#This Row],[Weight]],0)</f>
        <v>#VALUE!</v>
      </c>
      <c r="U1316" s="79" t="e">
        <f>IF(DbLinkTable[[#This Row],[Price/lb]]*DbLinkTable[[#This Row],[Weight]]&lt;0,DbLinkTable[[#This Row],[Price/lb]]*DbLinkTable[[#This Row],[Weight]],0)</f>
        <v>#VALUE!</v>
      </c>
      <c r="V1316" s="4" t="str">
        <f>IF(COUNTIF($W$2:W1316,W1316)=1,1,"")</f>
        <v/>
      </c>
      <c r="W1316" s="4" t="e">
        <f>CONCATENATE(DbLinkTable[[#This Row],[Customer]],UPPER(DbLinkTable[[#This Row],[Trailer Number]]),DbLinkTable[[#This Row],[Day Received]])</f>
        <v>#VALUE!</v>
      </c>
      <c r="X1316" s="4" t="e">
        <f>DATEVALUE(TEXT(DbLinkTable[[#This Row],[Date Received]],"MMMM YYYY"))</f>
        <v>#VALUE!</v>
      </c>
      <c r="Y1316" s="4" t="e">
        <f>INT(DbLinkTable[[#This Row],[Date Received]])</f>
        <v>#VALUE!</v>
      </c>
    </row>
    <row r="1317" spans="5:25">
      <c r="E1317"/>
      <c r="G1317"/>
      <c r="H1317"/>
      <c r="I1317"/>
      <c r="K1317"/>
      <c r="O1317"/>
      <c r="R1317"/>
      <c r="S1317" s="79" t="e">
        <f>DbLinkTable[[#This Row],[Credit]]+DbLinkTable[[#This Row],[Charge]]</f>
        <v>#VALUE!</v>
      </c>
      <c r="T1317" s="79" t="e">
        <f>IF(DbLinkTable[[#This Row],[Price/lb]]*DbLinkTable[[#This Row],[Weight]]&gt;0,DbLinkTable[[#This Row],[Price/lb]]*DbLinkTable[[#This Row],[Weight]],0)</f>
        <v>#VALUE!</v>
      </c>
      <c r="U1317" s="79" t="e">
        <f>IF(DbLinkTable[[#This Row],[Price/lb]]*DbLinkTable[[#This Row],[Weight]]&lt;0,DbLinkTable[[#This Row],[Price/lb]]*DbLinkTable[[#This Row],[Weight]],0)</f>
        <v>#VALUE!</v>
      </c>
      <c r="V1317" s="4" t="str">
        <f>IF(COUNTIF($W$2:W1317,W1317)=1,1,"")</f>
        <v/>
      </c>
      <c r="W1317" s="4" t="e">
        <f>CONCATENATE(DbLinkTable[[#This Row],[Customer]],UPPER(DbLinkTable[[#This Row],[Trailer Number]]),DbLinkTable[[#This Row],[Day Received]])</f>
        <v>#VALUE!</v>
      </c>
      <c r="X1317" s="4" t="e">
        <f>DATEVALUE(TEXT(DbLinkTable[[#This Row],[Date Received]],"MMMM YYYY"))</f>
        <v>#VALUE!</v>
      </c>
      <c r="Y1317" s="4" t="e">
        <f>INT(DbLinkTable[[#This Row],[Date Received]])</f>
        <v>#VALUE!</v>
      </c>
    </row>
    <row r="1318" spans="5:25">
      <c r="E1318"/>
      <c r="G1318"/>
      <c r="H1318"/>
      <c r="I1318"/>
      <c r="K1318"/>
      <c r="O1318"/>
      <c r="R1318"/>
      <c r="S1318" s="79" t="e">
        <f>DbLinkTable[[#This Row],[Credit]]+DbLinkTable[[#This Row],[Charge]]</f>
        <v>#VALUE!</v>
      </c>
      <c r="T1318" s="79" t="e">
        <f>IF(DbLinkTable[[#This Row],[Price/lb]]*DbLinkTable[[#This Row],[Weight]]&gt;0,DbLinkTable[[#This Row],[Price/lb]]*DbLinkTable[[#This Row],[Weight]],0)</f>
        <v>#VALUE!</v>
      </c>
      <c r="U1318" s="79" t="e">
        <f>IF(DbLinkTable[[#This Row],[Price/lb]]*DbLinkTable[[#This Row],[Weight]]&lt;0,DbLinkTable[[#This Row],[Price/lb]]*DbLinkTable[[#This Row],[Weight]],0)</f>
        <v>#VALUE!</v>
      </c>
      <c r="V1318" s="4" t="str">
        <f>IF(COUNTIF($W$2:W1318,W1318)=1,1,"")</f>
        <v/>
      </c>
      <c r="W1318" s="4" t="e">
        <f>CONCATENATE(DbLinkTable[[#This Row],[Customer]],UPPER(DbLinkTable[[#This Row],[Trailer Number]]),DbLinkTable[[#This Row],[Day Received]])</f>
        <v>#VALUE!</v>
      </c>
      <c r="X1318" s="4" t="e">
        <f>DATEVALUE(TEXT(DbLinkTable[[#This Row],[Date Received]],"MMMM YYYY"))</f>
        <v>#VALUE!</v>
      </c>
      <c r="Y1318" s="4" t="e">
        <f>INT(DbLinkTable[[#This Row],[Date Received]])</f>
        <v>#VALUE!</v>
      </c>
    </row>
    <row r="1319" spans="5:25">
      <c r="E1319"/>
      <c r="G1319"/>
      <c r="H1319"/>
      <c r="I1319"/>
      <c r="K1319"/>
      <c r="O1319"/>
      <c r="R1319"/>
      <c r="S1319" s="79" t="e">
        <f>DbLinkTable[[#This Row],[Credit]]+DbLinkTable[[#This Row],[Charge]]</f>
        <v>#VALUE!</v>
      </c>
      <c r="T1319" s="79" t="e">
        <f>IF(DbLinkTable[[#This Row],[Price/lb]]*DbLinkTable[[#This Row],[Weight]]&gt;0,DbLinkTable[[#This Row],[Price/lb]]*DbLinkTable[[#This Row],[Weight]],0)</f>
        <v>#VALUE!</v>
      </c>
      <c r="U1319" s="79" t="e">
        <f>IF(DbLinkTable[[#This Row],[Price/lb]]*DbLinkTable[[#This Row],[Weight]]&lt;0,DbLinkTable[[#This Row],[Price/lb]]*DbLinkTable[[#This Row],[Weight]],0)</f>
        <v>#VALUE!</v>
      </c>
      <c r="V1319" s="4" t="str">
        <f>IF(COUNTIF($W$2:W1319,W1319)=1,1,"")</f>
        <v/>
      </c>
      <c r="W1319" s="4" t="e">
        <f>CONCATENATE(DbLinkTable[[#This Row],[Customer]],UPPER(DbLinkTable[[#This Row],[Trailer Number]]),DbLinkTable[[#This Row],[Day Received]])</f>
        <v>#VALUE!</v>
      </c>
      <c r="X1319" s="4" t="e">
        <f>DATEVALUE(TEXT(DbLinkTable[[#This Row],[Date Received]],"MMMM YYYY"))</f>
        <v>#VALUE!</v>
      </c>
      <c r="Y1319" s="4" t="e">
        <f>INT(DbLinkTable[[#This Row],[Date Received]])</f>
        <v>#VALUE!</v>
      </c>
    </row>
    <row r="1320" spans="5:25">
      <c r="E1320"/>
      <c r="G1320"/>
      <c r="H1320"/>
      <c r="I1320"/>
      <c r="K1320"/>
      <c r="O1320"/>
      <c r="R1320"/>
      <c r="S1320" s="79" t="e">
        <f>DbLinkTable[[#This Row],[Credit]]+DbLinkTable[[#This Row],[Charge]]</f>
        <v>#VALUE!</v>
      </c>
      <c r="T1320" s="79" t="e">
        <f>IF(DbLinkTable[[#This Row],[Price/lb]]*DbLinkTable[[#This Row],[Weight]]&gt;0,DbLinkTable[[#This Row],[Price/lb]]*DbLinkTable[[#This Row],[Weight]],0)</f>
        <v>#VALUE!</v>
      </c>
      <c r="U1320" s="79" t="e">
        <f>IF(DbLinkTable[[#This Row],[Price/lb]]*DbLinkTable[[#This Row],[Weight]]&lt;0,DbLinkTable[[#This Row],[Price/lb]]*DbLinkTable[[#This Row],[Weight]],0)</f>
        <v>#VALUE!</v>
      </c>
      <c r="V1320" s="4" t="str">
        <f>IF(COUNTIF($W$2:W1320,W1320)=1,1,"")</f>
        <v/>
      </c>
      <c r="W1320" s="4" t="e">
        <f>CONCATENATE(DbLinkTable[[#This Row],[Customer]],UPPER(DbLinkTable[[#This Row],[Trailer Number]]),DbLinkTable[[#This Row],[Day Received]])</f>
        <v>#VALUE!</v>
      </c>
      <c r="X1320" s="4" t="e">
        <f>DATEVALUE(TEXT(DbLinkTable[[#This Row],[Date Received]],"MMMM YYYY"))</f>
        <v>#VALUE!</v>
      </c>
      <c r="Y1320" s="4" t="e">
        <f>INT(DbLinkTable[[#This Row],[Date Received]])</f>
        <v>#VALUE!</v>
      </c>
    </row>
    <row r="1321" spans="5:25">
      <c r="E1321"/>
      <c r="G1321"/>
      <c r="H1321"/>
      <c r="I1321"/>
      <c r="K1321"/>
      <c r="O1321"/>
      <c r="R1321"/>
      <c r="S1321" s="79" t="e">
        <f>DbLinkTable[[#This Row],[Credit]]+DbLinkTable[[#This Row],[Charge]]</f>
        <v>#VALUE!</v>
      </c>
      <c r="T1321" s="79" t="e">
        <f>IF(DbLinkTable[[#This Row],[Price/lb]]*DbLinkTable[[#This Row],[Weight]]&gt;0,DbLinkTable[[#This Row],[Price/lb]]*DbLinkTable[[#This Row],[Weight]],0)</f>
        <v>#VALUE!</v>
      </c>
      <c r="U1321" s="79" t="e">
        <f>IF(DbLinkTable[[#This Row],[Price/lb]]*DbLinkTable[[#This Row],[Weight]]&lt;0,DbLinkTable[[#This Row],[Price/lb]]*DbLinkTable[[#This Row],[Weight]],0)</f>
        <v>#VALUE!</v>
      </c>
      <c r="V1321" s="4" t="str">
        <f>IF(COUNTIF($W$2:W1321,W1321)=1,1,"")</f>
        <v/>
      </c>
      <c r="W1321" s="4" t="e">
        <f>CONCATENATE(DbLinkTable[[#This Row],[Customer]],UPPER(DbLinkTable[[#This Row],[Trailer Number]]),DbLinkTable[[#This Row],[Day Received]])</f>
        <v>#VALUE!</v>
      </c>
      <c r="X1321" s="4" t="e">
        <f>DATEVALUE(TEXT(DbLinkTable[[#This Row],[Date Received]],"MMMM YYYY"))</f>
        <v>#VALUE!</v>
      </c>
      <c r="Y1321" s="4" t="e">
        <f>INT(DbLinkTable[[#This Row],[Date Received]])</f>
        <v>#VALUE!</v>
      </c>
    </row>
    <row r="1322" spans="5:25">
      <c r="E1322"/>
      <c r="G1322"/>
      <c r="H1322"/>
      <c r="I1322"/>
      <c r="K1322"/>
      <c r="O1322"/>
      <c r="R1322"/>
      <c r="S1322" s="79" t="e">
        <f>DbLinkTable[[#This Row],[Credit]]+DbLinkTable[[#This Row],[Charge]]</f>
        <v>#VALUE!</v>
      </c>
      <c r="T1322" s="79" t="e">
        <f>IF(DbLinkTable[[#This Row],[Price/lb]]*DbLinkTable[[#This Row],[Weight]]&gt;0,DbLinkTable[[#This Row],[Price/lb]]*DbLinkTable[[#This Row],[Weight]],0)</f>
        <v>#VALUE!</v>
      </c>
      <c r="U1322" s="79" t="e">
        <f>IF(DbLinkTable[[#This Row],[Price/lb]]*DbLinkTable[[#This Row],[Weight]]&lt;0,DbLinkTable[[#This Row],[Price/lb]]*DbLinkTable[[#This Row],[Weight]],0)</f>
        <v>#VALUE!</v>
      </c>
      <c r="V1322" s="4" t="str">
        <f>IF(COUNTIF($W$2:W1322,W1322)=1,1,"")</f>
        <v/>
      </c>
      <c r="W1322" s="4" t="e">
        <f>CONCATENATE(DbLinkTable[[#This Row],[Customer]],UPPER(DbLinkTable[[#This Row],[Trailer Number]]),DbLinkTable[[#This Row],[Day Received]])</f>
        <v>#VALUE!</v>
      </c>
      <c r="X1322" s="4" t="e">
        <f>DATEVALUE(TEXT(DbLinkTable[[#This Row],[Date Received]],"MMMM YYYY"))</f>
        <v>#VALUE!</v>
      </c>
      <c r="Y1322" s="4" t="e">
        <f>INT(DbLinkTable[[#This Row],[Date Received]])</f>
        <v>#VALUE!</v>
      </c>
    </row>
    <row r="1323" spans="5:25">
      <c r="E1323"/>
      <c r="G1323"/>
      <c r="H1323"/>
      <c r="I1323"/>
      <c r="K1323"/>
      <c r="O1323"/>
      <c r="R1323"/>
      <c r="S1323" s="79" t="e">
        <f>DbLinkTable[[#This Row],[Credit]]+DbLinkTable[[#This Row],[Charge]]</f>
        <v>#VALUE!</v>
      </c>
      <c r="T1323" s="79" t="e">
        <f>IF(DbLinkTable[[#This Row],[Price/lb]]*DbLinkTable[[#This Row],[Weight]]&gt;0,DbLinkTable[[#This Row],[Price/lb]]*DbLinkTable[[#This Row],[Weight]],0)</f>
        <v>#VALUE!</v>
      </c>
      <c r="U1323" s="79" t="e">
        <f>IF(DbLinkTable[[#This Row],[Price/lb]]*DbLinkTable[[#This Row],[Weight]]&lt;0,DbLinkTable[[#This Row],[Price/lb]]*DbLinkTable[[#This Row],[Weight]],0)</f>
        <v>#VALUE!</v>
      </c>
      <c r="V1323" s="4" t="str">
        <f>IF(COUNTIF($W$2:W1323,W1323)=1,1,"")</f>
        <v/>
      </c>
      <c r="W1323" s="4" t="e">
        <f>CONCATENATE(DbLinkTable[[#This Row],[Customer]],UPPER(DbLinkTable[[#This Row],[Trailer Number]]),DbLinkTable[[#This Row],[Day Received]])</f>
        <v>#VALUE!</v>
      </c>
      <c r="X1323" s="4" t="e">
        <f>DATEVALUE(TEXT(DbLinkTable[[#This Row],[Date Received]],"MMMM YYYY"))</f>
        <v>#VALUE!</v>
      </c>
      <c r="Y1323" s="4" t="e">
        <f>INT(DbLinkTable[[#This Row],[Date Received]])</f>
        <v>#VALUE!</v>
      </c>
    </row>
    <row r="1324" spans="5:25">
      <c r="E1324"/>
      <c r="G1324"/>
      <c r="H1324"/>
      <c r="I1324"/>
      <c r="K1324"/>
      <c r="O1324"/>
      <c r="R1324"/>
      <c r="S1324" s="79" t="e">
        <f>DbLinkTable[[#This Row],[Credit]]+DbLinkTable[[#This Row],[Charge]]</f>
        <v>#VALUE!</v>
      </c>
      <c r="T1324" s="79" t="e">
        <f>IF(DbLinkTable[[#This Row],[Price/lb]]*DbLinkTable[[#This Row],[Weight]]&gt;0,DbLinkTable[[#This Row],[Price/lb]]*DbLinkTable[[#This Row],[Weight]],0)</f>
        <v>#VALUE!</v>
      </c>
      <c r="U1324" s="79" t="e">
        <f>IF(DbLinkTable[[#This Row],[Price/lb]]*DbLinkTable[[#This Row],[Weight]]&lt;0,DbLinkTable[[#This Row],[Price/lb]]*DbLinkTable[[#This Row],[Weight]],0)</f>
        <v>#VALUE!</v>
      </c>
      <c r="V1324" s="4" t="str">
        <f>IF(COUNTIF($W$2:W1324,W1324)=1,1,"")</f>
        <v/>
      </c>
      <c r="W1324" s="4" t="e">
        <f>CONCATENATE(DbLinkTable[[#This Row],[Customer]],UPPER(DbLinkTable[[#This Row],[Trailer Number]]),DbLinkTable[[#This Row],[Day Received]])</f>
        <v>#VALUE!</v>
      </c>
      <c r="X1324" s="4" t="e">
        <f>DATEVALUE(TEXT(DbLinkTable[[#This Row],[Date Received]],"MMMM YYYY"))</f>
        <v>#VALUE!</v>
      </c>
      <c r="Y1324" s="4" t="e">
        <f>INT(DbLinkTable[[#This Row],[Date Received]])</f>
        <v>#VALUE!</v>
      </c>
    </row>
    <row r="1325" spans="5:25">
      <c r="E1325"/>
      <c r="G1325"/>
      <c r="H1325"/>
      <c r="I1325"/>
      <c r="K1325"/>
      <c r="O1325"/>
      <c r="R1325"/>
      <c r="S1325" s="79" t="e">
        <f>DbLinkTable[[#This Row],[Credit]]+DbLinkTable[[#This Row],[Charge]]</f>
        <v>#VALUE!</v>
      </c>
      <c r="T1325" s="79" t="e">
        <f>IF(DbLinkTable[[#This Row],[Price/lb]]*DbLinkTable[[#This Row],[Weight]]&gt;0,DbLinkTable[[#This Row],[Price/lb]]*DbLinkTable[[#This Row],[Weight]],0)</f>
        <v>#VALUE!</v>
      </c>
      <c r="U1325" s="79" t="e">
        <f>IF(DbLinkTable[[#This Row],[Price/lb]]*DbLinkTable[[#This Row],[Weight]]&lt;0,DbLinkTable[[#This Row],[Price/lb]]*DbLinkTable[[#This Row],[Weight]],0)</f>
        <v>#VALUE!</v>
      </c>
      <c r="V1325" s="4" t="str">
        <f>IF(COUNTIF($W$2:W1325,W1325)=1,1,"")</f>
        <v/>
      </c>
      <c r="W1325" s="4" t="e">
        <f>CONCATENATE(DbLinkTable[[#This Row],[Customer]],UPPER(DbLinkTable[[#This Row],[Trailer Number]]),DbLinkTable[[#This Row],[Day Received]])</f>
        <v>#VALUE!</v>
      </c>
      <c r="X1325" s="4" t="e">
        <f>DATEVALUE(TEXT(DbLinkTable[[#This Row],[Date Received]],"MMMM YYYY"))</f>
        <v>#VALUE!</v>
      </c>
      <c r="Y1325" s="4" t="e">
        <f>INT(DbLinkTable[[#This Row],[Date Received]])</f>
        <v>#VALUE!</v>
      </c>
    </row>
    <row r="1326" spans="5:25">
      <c r="E1326"/>
      <c r="G1326"/>
      <c r="H1326"/>
      <c r="I1326"/>
      <c r="K1326"/>
      <c r="O1326"/>
      <c r="R1326"/>
      <c r="S1326" s="79" t="e">
        <f>DbLinkTable[[#This Row],[Credit]]+DbLinkTable[[#This Row],[Charge]]</f>
        <v>#VALUE!</v>
      </c>
      <c r="T1326" s="79" t="e">
        <f>IF(DbLinkTable[[#This Row],[Price/lb]]*DbLinkTable[[#This Row],[Weight]]&gt;0,DbLinkTable[[#This Row],[Price/lb]]*DbLinkTable[[#This Row],[Weight]],0)</f>
        <v>#VALUE!</v>
      </c>
      <c r="U1326" s="79" t="e">
        <f>IF(DbLinkTable[[#This Row],[Price/lb]]*DbLinkTable[[#This Row],[Weight]]&lt;0,DbLinkTable[[#This Row],[Price/lb]]*DbLinkTable[[#This Row],[Weight]],0)</f>
        <v>#VALUE!</v>
      </c>
      <c r="V1326" s="4" t="str">
        <f>IF(COUNTIF($W$2:W1326,W1326)=1,1,"")</f>
        <v/>
      </c>
      <c r="W1326" s="4" t="e">
        <f>CONCATENATE(DbLinkTable[[#This Row],[Customer]],UPPER(DbLinkTable[[#This Row],[Trailer Number]]),DbLinkTable[[#This Row],[Day Received]])</f>
        <v>#VALUE!</v>
      </c>
      <c r="X1326" s="4" t="e">
        <f>DATEVALUE(TEXT(DbLinkTable[[#This Row],[Date Received]],"MMMM YYYY"))</f>
        <v>#VALUE!</v>
      </c>
      <c r="Y1326" s="4" t="e">
        <f>INT(DbLinkTable[[#This Row],[Date Received]])</f>
        <v>#VALUE!</v>
      </c>
    </row>
    <row r="1327" spans="5:25">
      <c r="E1327"/>
      <c r="G1327"/>
      <c r="H1327"/>
      <c r="I1327"/>
      <c r="K1327"/>
      <c r="O1327"/>
      <c r="R1327"/>
      <c r="S1327" s="79" t="e">
        <f>DbLinkTable[[#This Row],[Credit]]+DbLinkTable[[#This Row],[Charge]]</f>
        <v>#VALUE!</v>
      </c>
      <c r="T1327" s="79" t="e">
        <f>IF(DbLinkTable[[#This Row],[Price/lb]]*DbLinkTable[[#This Row],[Weight]]&gt;0,DbLinkTable[[#This Row],[Price/lb]]*DbLinkTable[[#This Row],[Weight]],0)</f>
        <v>#VALUE!</v>
      </c>
      <c r="U1327" s="79" t="e">
        <f>IF(DbLinkTable[[#This Row],[Price/lb]]*DbLinkTable[[#This Row],[Weight]]&lt;0,DbLinkTable[[#This Row],[Price/lb]]*DbLinkTable[[#This Row],[Weight]],0)</f>
        <v>#VALUE!</v>
      </c>
      <c r="V1327" s="4" t="str">
        <f>IF(COUNTIF($W$2:W1327,W1327)=1,1,"")</f>
        <v/>
      </c>
      <c r="W1327" s="4" t="e">
        <f>CONCATENATE(DbLinkTable[[#This Row],[Customer]],UPPER(DbLinkTable[[#This Row],[Trailer Number]]),DbLinkTable[[#This Row],[Day Received]])</f>
        <v>#VALUE!</v>
      </c>
      <c r="X1327" s="4" t="e">
        <f>DATEVALUE(TEXT(DbLinkTable[[#This Row],[Date Received]],"MMMM YYYY"))</f>
        <v>#VALUE!</v>
      </c>
      <c r="Y1327" s="4" t="e">
        <f>INT(DbLinkTable[[#This Row],[Date Received]])</f>
        <v>#VALUE!</v>
      </c>
    </row>
    <row r="1328" spans="5:25">
      <c r="E1328"/>
      <c r="G1328"/>
      <c r="H1328"/>
      <c r="I1328"/>
      <c r="K1328"/>
      <c r="O1328"/>
      <c r="R1328"/>
      <c r="S1328" s="79" t="e">
        <f>DbLinkTable[[#This Row],[Credit]]+DbLinkTable[[#This Row],[Charge]]</f>
        <v>#VALUE!</v>
      </c>
      <c r="T1328" s="79" t="e">
        <f>IF(DbLinkTable[[#This Row],[Price/lb]]*DbLinkTable[[#This Row],[Weight]]&gt;0,DbLinkTable[[#This Row],[Price/lb]]*DbLinkTable[[#This Row],[Weight]],0)</f>
        <v>#VALUE!</v>
      </c>
      <c r="U1328" s="79" t="e">
        <f>IF(DbLinkTable[[#This Row],[Price/lb]]*DbLinkTable[[#This Row],[Weight]]&lt;0,DbLinkTable[[#This Row],[Price/lb]]*DbLinkTable[[#This Row],[Weight]],0)</f>
        <v>#VALUE!</v>
      </c>
      <c r="V1328" s="4" t="str">
        <f>IF(COUNTIF($W$2:W1328,W1328)=1,1,"")</f>
        <v/>
      </c>
      <c r="W1328" s="4" t="e">
        <f>CONCATENATE(DbLinkTable[[#This Row],[Customer]],UPPER(DbLinkTable[[#This Row],[Trailer Number]]),DbLinkTable[[#This Row],[Day Received]])</f>
        <v>#VALUE!</v>
      </c>
      <c r="X1328" s="4" t="e">
        <f>DATEVALUE(TEXT(DbLinkTable[[#This Row],[Date Received]],"MMMM YYYY"))</f>
        <v>#VALUE!</v>
      </c>
      <c r="Y1328" s="4" t="e">
        <f>INT(DbLinkTable[[#This Row],[Date Received]])</f>
        <v>#VALUE!</v>
      </c>
    </row>
    <row r="1329" spans="5:25">
      <c r="E1329"/>
      <c r="G1329"/>
      <c r="H1329"/>
      <c r="I1329"/>
      <c r="K1329"/>
      <c r="O1329"/>
      <c r="R1329"/>
      <c r="S1329" s="79" t="e">
        <f>DbLinkTable[[#This Row],[Credit]]+DbLinkTable[[#This Row],[Charge]]</f>
        <v>#VALUE!</v>
      </c>
      <c r="T1329" s="79" t="e">
        <f>IF(DbLinkTable[[#This Row],[Price/lb]]*DbLinkTable[[#This Row],[Weight]]&gt;0,DbLinkTable[[#This Row],[Price/lb]]*DbLinkTable[[#This Row],[Weight]],0)</f>
        <v>#VALUE!</v>
      </c>
      <c r="U1329" s="79" t="e">
        <f>IF(DbLinkTable[[#This Row],[Price/lb]]*DbLinkTable[[#This Row],[Weight]]&lt;0,DbLinkTable[[#This Row],[Price/lb]]*DbLinkTable[[#This Row],[Weight]],0)</f>
        <v>#VALUE!</v>
      </c>
      <c r="V1329" s="4" t="str">
        <f>IF(COUNTIF($W$2:W1329,W1329)=1,1,"")</f>
        <v/>
      </c>
      <c r="W1329" s="4" t="e">
        <f>CONCATENATE(DbLinkTable[[#This Row],[Customer]],UPPER(DbLinkTable[[#This Row],[Trailer Number]]),DbLinkTable[[#This Row],[Day Received]])</f>
        <v>#VALUE!</v>
      </c>
      <c r="X1329" s="4" t="e">
        <f>DATEVALUE(TEXT(DbLinkTable[[#This Row],[Date Received]],"MMMM YYYY"))</f>
        <v>#VALUE!</v>
      </c>
      <c r="Y1329" s="4" t="e">
        <f>INT(DbLinkTable[[#This Row],[Date Received]])</f>
        <v>#VALUE!</v>
      </c>
    </row>
    <row r="1330" spans="5:25">
      <c r="E1330"/>
      <c r="G1330"/>
      <c r="H1330"/>
      <c r="I1330"/>
      <c r="K1330"/>
      <c r="O1330"/>
      <c r="R1330"/>
      <c r="S1330" s="79" t="e">
        <f>DbLinkTable[[#This Row],[Credit]]+DbLinkTable[[#This Row],[Charge]]</f>
        <v>#VALUE!</v>
      </c>
      <c r="T1330" s="79" t="e">
        <f>IF(DbLinkTable[[#This Row],[Price/lb]]*DbLinkTable[[#This Row],[Weight]]&gt;0,DbLinkTable[[#This Row],[Price/lb]]*DbLinkTable[[#This Row],[Weight]],0)</f>
        <v>#VALUE!</v>
      </c>
      <c r="U1330" s="79" t="e">
        <f>IF(DbLinkTable[[#This Row],[Price/lb]]*DbLinkTable[[#This Row],[Weight]]&lt;0,DbLinkTable[[#This Row],[Price/lb]]*DbLinkTable[[#This Row],[Weight]],0)</f>
        <v>#VALUE!</v>
      </c>
      <c r="V1330" s="4" t="str">
        <f>IF(COUNTIF($W$2:W1330,W1330)=1,1,"")</f>
        <v/>
      </c>
      <c r="W1330" s="4" t="e">
        <f>CONCATENATE(DbLinkTable[[#This Row],[Customer]],UPPER(DbLinkTable[[#This Row],[Trailer Number]]),DbLinkTable[[#This Row],[Day Received]])</f>
        <v>#VALUE!</v>
      </c>
      <c r="X1330" s="4" t="e">
        <f>DATEVALUE(TEXT(DbLinkTable[[#This Row],[Date Received]],"MMMM YYYY"))</f>
        <v>#VALUE!</v>
      </c>
      <c r="Y1330" s="4" t="e">
        <f>INT(DbLinkTable[[#This Row],[Date Received]])</f>
        <v>#VALUE!</v>
      </c>
    </row>
    <row r="1331" spans="5:25">
      <c r="E1331"/>
      <c r="G1331"/>
      <c r="H1331"/>
      <c r="I1331"/>
      <c r="K1331"/>
      <c r="O1331"/>
      <c r="R1331"/>
      <c r="S1331" s="79" t="e">
        <f>DbLinkTable[[#This Row],[Credit]]+DbLinkTable[[#This Row],[Charge]]</f>
        <v>#VALUE!</v>
      </c>
      <c r="T1331" s="79" t="e">
        <f>IF(DbLinkTable[[#This Row],[Price/lb]]*DbLinkTable[[#This Row],[Weight]]&gt;0,DbLinkTable[[#This Row],[Price/lb]]*DbLinkTable[[#This Row],[Weight]],0)</f>
        <v>#VALUE!</v>
      </c>
      <c r="U1331" s="79" t="e">
        <f>IF(DbLinkTable[[#This Row],[Price/lb]]*DbLinkTable[[#This Row],[Weight]]&lt;0,DbLinkTable[[#This Row],[Price/lb]]*DbLinkTable[[#This Row],[Weight]],0)</f>
        <v>#VALUE!</v>
      </c>
      <c r="V1331" s="4" t="str">
        <f>IF(COUNTIF($W$2:W1331,W1331)=1,1,"")</f>
        <v/>
      </c>
      <c r="W1331" s="4" t="e">
        <f>CONCATENATE(DbLinkTable[[#This Row],[Customer]],UPPER(DbLinkTable[[#This Row],[Trailer Number]]),DbLinkTable[[#This Row],[Day Received]])</f>
        <v>#VALUE!</v>
      </c>
      <c r="X1331" s="4" t="e">
        <f>DATEVALUE(TEXT(DbLinkTable[[#This Row],[Date Received]],"MMMM YYYY"))</f>
        <v>#VALUE!</v>
      </c>
      <c r="Y1331" s="4" t="e">
        <f>INT(DbLinkTable[[#This Row],[Date Received]])</f>
        <v>#VALUE!</v>
      </c>
    </row>
    <row r="1332" spans="5:25">
      <c r="E1332"/>
      <c r="G1332"/>
      <c r="H1332"/>
      <c r="I1332"/>
      <c r="K1332"/>
      <c r="O1332"/>
      <c r="R1332"/>
      <c r="S1332" s="79" t="e">
        <f>DbLinkTable[[#This Row],[Credit]]+DbLinkTable[[#This Row],[Charge]]</f>
        <v>#VALUE!</v>
      </c>
      <c r="T1332" s="79" t="e">
        <f>IF(DbLinkTable[[#This Row],[Price/lb]]*DbLinkTable[[#This Row],[Weight]]&gt;0,DbLinkTable[[#This Row],[Price/lb]]*DbLinkTable[[#This Row],[Weight]],0)</f>
        <v>#VALUE!</v>
      </c>
      <c r="U1332" s="79" t="e">
        <f>IF(DbLinkTable[[#This Row],[Price/lb]]*DbLinkTable[[#This Row],[Weight]]&lt;0,DbLinkTable[[#This Row],[Price/lb]]*DbLinkTable[[#This Row],[Weight]],0)</f>
        <v>#VALUE!</v>
      </c>
      <c r="V1332" s="4" t="str">
        <f>IF(COUNTIF($W$2:W1332,W1332)=1,1,"")</f>
        <v/>
      </c>
      <c r="W1332" s="4" t="e">
        <f>CONCATENATE(DbLinkTable[[#This Row],[Customer]],UPPER(DbLinkTable[[#This Row],[Trailer Number]]),DbLinkTable[[#This Row],[Day Received]])</f>
        <v>#VALUE!</v>
      </c>
      <c r="X1332" s="4" t="e">
        <f>DATEVALUE(TEXT(DbLinkTable[[#This Row],[Date Received]],"MMMM YYYY"))</f>
        <v>#VALUE!</v>
      </c>
      <c r="Y1332" s="4" t="e">
        <f>INT(DbLinkTable[[#This Row],[Date Received]])</f>
        <v>#VALUE!</v>
      </c>
    </row>
    <row r="1333" spans="5:25">
      <c r="E1333"/>
      <c r="G1333"/>
      <c r="H1333"/>
      <c r="I1333"/>
      <c r="K1333"/>
      <c r="O1333"/>
      <c r="R1333"/>
      <c r="S1333" s="79" t="e">
        <f>DbLinkTable[[#This Row],[Credit]]+DbLinkTable[[#This Row],[Charge]]</f>
        <v>#VALUE!</v>
      </c>
      <c r="T1333" s="79" t="e">
        <f>IF(DbLinkTable[[#This Row],[Price/lb]]*DbLinkTable[[#This Row],[Weight]]&gt;0,DbLinkTable[[#This Row],[Price/lb]]*DbLinkTable[[#This Row],[Weight]],0)</f>
        <v>#VALUE!</v>
      </c>
      <c r="U1333" s="79" t="e">
        <f>IF(DbLinkTable[[#This Row],[Price/lb]]*DbLinkTable[[#This Row],[Weight]]&lt;0,DbLinkTable[[#This Row],[Price/lb]]*DbLinkTable[[#This Row],[Weight]],0)</f>
        <v>#VALUE!</v>
      </c>
      <c r="V1333" s="4" t="str">
        <f>IF(COUNTIF($W$2:W1333,W1333)=1,1,"")</f>
        <v/>
      </c>
      <c r="W1333" s="4" t="e">
        <f>CONCATENATE(DbLinkTable[[#This Row],[Customer]],UPPER(DbLinkTable[[#This Row],[Trailer Number]]),DbLinkTable[[#This Row],[Day Received]])</f>
        <v>#VALUE!</v>
      </c>
      <c r="X1333" s="4" t="e">
        <f>DATEVALUE(TEXT(DbLinkTable[[#This Row],[Date Received]],"MMMM YYYY"))</f>
        <v>#VALUE!</v>
      </c>
      <c r="Y1333" s="4" t="e">
        <f>INT(DbLinkTable[[#This Row],[Date Received]])</f>
        <v>#VALUE!</v>
      </c>
    </row>
    <row r="1334" spans="5:25">
      <c r="E1334"/>
      <c r="G1334"/>
      <c r="H1334"/>
      <c r="I1334"/>
      <c r="K1334"/>
      <c r="O1334"/>
      <c r="R1334"/>
      <c r="S1334" s="79" t="e">
        <f>DbLinkTable[[#This Row],[Credit]]+DbLinkTable[[#This Row],[Charge]]</f>
        <v>#VALUE!</v>
      </c>
      <c r="T1334" s="79" t="e">
        <f>IF(DbLinkTable[[#This Row],[Price/lb]]*DbLinkTable[[#This Row],[Weight]]&gt;0,DbLinkTable[[#This Row],[Price/lb]]*DbLinkTable[[#This Row],[Weight]],0)</f>
        <v>#VALUE!</v>
      </c>
      <c r="U1334" s="79" t="e">
        <f>IF(DbLinkTable[[#This Row],[Price/lb]]*DbLinkTable[[#This Row],[Weight]]&lt;0,DbLinkTable[[#This Row],[Price/lb]]*DbLinkTable[[#This Row],[Weight]],0)</f>
        <v>#VALUE!</v>
      </c>
      <c r="V1334" s="4" t="str">
        <f>IF(COUNTIF($W$2:W1334,W1334)=1,1,"")</f>
        <v/>
      </c>
      <c r="W1334" s="4" t="e">
        <f>CONCATENATE(DbLinkTable[[#This Row],[Customer]],UPPER(DbLinkTable[[#This Row],[Trailer Number]]),DbLinkTable[[#This Row],[Day Received]])</f>
        <v>#VALUE!</v>
      </c>
      <c r="X1334" s="4" t="e">
        <f>DATEVALUE(TEXT(DbLinkTable[[#This Row],[Date Received]],"MMMM YYYY"))</f>
        <v>#VALUE!</v>
      </c>
      <c r="Y1334" s="4" t="e">
        <f>INT(DbLinkTable[[#This Row],[Date Received]])</f>
        <v>#VALUE!</v>
      </c>
    </row>
    <row r="1335" spans="5:25">
      <c r="E1335"/>
      <c r="G1335"/>
      <c r="H1335"/>
      <c r="I1335"/>
      <c r="K1335"/>
      <c r="O1335"/>
      <c r="R1335"/>
      <c r="S1335" s="79" t="e">
        <f>DbLinkTable[[#This Row],[Credit]]+DbLinkTable[[#This Row],[Charge]]</f>
        <v>#VALUE!</v>
      </c>
      <c r="T1335" s="79" t="e">
        <f>IF(DbLinkTable[[#This Row],[Price/lb]]*DbLinkTable[[#This Row],[Weight]]&gt;0,DbLinkTable[[#This Row],[Price/lb]]*DbLinkTable[[#This Row],[Weight]],0)</f>
        <v>#VALUE!</v>
      </c>
      <c r="U1335" s="79" t="e">
        <f>IF(DbLinkTable[[#This Row],[Price/lb]]*DbLinkTable[[#This Row],[Weight]]&lt;0,DbLinkTable[[#This Row],[Price/lb]]*DbLinkTable[[#This Row],[Weight]],0)</f>
        <v>#VALUE!</v>
      </c>
      <c r="V1335" s="4" t="str">
        <f>IF(COUNTIF($W$2:W1335,W1335)=1,1,"")</f>
        <v/>
      </c>
      <c r="W1335" s="4" t="e">
        <f>CONCATENATE(DbLinkTable[[#This Row],[Customer]],UPPER(DbLinkTable[[#This Row],[Trailer Number]]),DbLinkTable[[#This Row],[Day Received]])</f>
        <v>#VALUE!</v>
      </c>
      <c r="X1335" s="4" t="e">
        <f>DATEVALUE(TEXT(DbLinkTable[[#This Row],[Date Received]],"MMMM YYYY"))</f>
        <v>#VALUE!</v>
      </c>
      <c r="Y1335" s="4" t="e">
        <f>INT(DbLinkTable[[#This Row],[Date Received]])</f>
        <v>#VALUE!</v>
      </c>
    </row>
    <row r="1336" spans="5:25">
      <c r="E1336"/>
      <c r="G1336"/>
      <c r="H1336"/>
      <c r="I1336"/>
      <c r="K1336"/>
      <c r="O1336"/>
      <c r="R1336"/>
      <c r="S1336" s="79" t="e">
        <f>DbLinkTable[[#This Row],[Credit]]+DbLinkTable[[#This Row],[Charge]]</f>
        <v>#VALUE!</v>
      </c>
      <c r="T1336" s="79" t="e">
        <f>IF(DbLinkTable[[#This Row],[Price/lb]]*DbLinkTable[[#This Row],[Weight]]&gt;0,DbLinkTable[[#This Row],[Price/lb]]*DbLinkTable[[#This Row],[Weight]],0)</f>
        <v>#VALUE!</v>
      </c>
      <c r="U1336" s="79" t="e">
        <f>IF(DbLinkTable[[#This Row],[Price/lb]]*DbLinkTable[[#This Row],[Weight]]&lt;0,DbLinkTable[[#This Row],[Price/lb]]*DbLinkTable[[#This Row],[Weight]],0)</f>
        <v>#VALUE!</v>
      </c>
      <c r="V1336" s="4" t="str">
        <f>IF(COUNTIF($W$2:W1336,W1336)=1,1,"")</f>
        <v/>
      </c>
      <c r="W1336" s="4" t="e">
        <f>CONCATENATE(DbLinkTable[[#This Row],[Customer]],UPPER(DbLinkTable[[#This Row],[Trailer Number]]),DbLinkTable[[#This Row],[Day Received]])</f>
        <v>#VALUE!</v>
      </c>
      <c r="X1336" s="4" t="e">
        <f>DATEVALUE(TEXT(DbLinkTable[[#This Row],[Date Received]],"MMMM YYYY"))</f>
        <v>#VALUE!</v>
      </c>
      <c r="Y1336" s="4" t="e">
        <f>INT(DbLinkTable[[#This Row],[Date Received]])</f>
        <v>#VALUE!</v>
      </c>
    </row>
    <row r="1337" spans="5:25">
      <c r="E1337"/>
      <c r="G1337"/>
      <c r="H1337"/>
      <c r="I1337"/>
      <c r="K1337"/>
      <c r="O1337"/>
      <c r="R1337"/>
      <c r="S1337" s="79" t="e">
        <f>DbLinkTable[[#This Row],[Credit]]+DbLinkTable[[#This Row],[Charge]]</f>
        <v>#VALUE!</v>
      </c>
      <c r="T1337" s="79" t="e">
        <f>IF(DbLinkTable[[#This Row],[Price/lb]]*DbLinkTable[[#This Row],[Weight]]&gt;0,DbLinkTable[[#This Row],[Price/lb]]*DbLinkTable[[#This Row],[Weight]],0)</f>
        <v>#VALUE!</v>
      </c>
      <c r="U1337" s="79" t="e">
        <f>IF(DbLinkTable[[#This Row],[Price/lb]]*DbLinkTable[[#This Row],[Weight]]&lt;0,DbLinkTable[[#This Row],[Price/lb]]*DbLinkTable[[#This Row],[Weight]],0)</f>
        <v>#VALUE!</v>
      </c>
      <c r="V1337" s="4" t="str">
        <f>IF(COUNTIF($W$2:W1337,W1337)=1,1,"")</f>
        <v/>
      </c>
      <c r="W1337" s="4" t="e">
        <f>CONCATENATE(DbLinkTable[[#This Row],[Customer]],UPPER(DbLinkTable[[#This Row],[Trailer Number]]),DbLinkTable[[#This Row],[Day Received]])</f>
        <v>#VALUE!</v>
      </c>
      <c r="X1337" s="4" t="e">
        <f>DATEVALUE(TEXT(DbLinkTable[[#This Row],[Date Received]],"MMMM YYYY"))</f>
        <v>#VALUE!</v>
      </c>
      <c r="Y1337" s="4" t="e">
        <f>INT(DbLinkTable[[#This Row],[Date Received]])</f>
        <v>#VALUE!</v>
      </c>
    </row>
    <row r="1338" spans="5:25">
      <c r="E1338"/>
      <c r="G1338"/>
      <c r="H1338"/>
      <c r="I1338"/>
      <c r="K1338"/>
      <c r="O1338"/>
      <c r="R1338"/>
      <c r="S1338" s="79" t="e">
        <f>DbLinkTable[[#This Row],[Credit]]+DbLinkTable[[#This Row],[Charge]]</f>
        <v>#VALUE!</v>
      </c>
      <c r="T1338" s="79" t="e">
        <f>IF(DbLinkTable[[#This Row],[Price/lb]]*DbLinkTable[[#This Row],[Weight]]&gt;0,DbLinkTable[[#This Row],[Price/lb]]*DbLinkTable[[#This Row],[Weight]],0)</f>
        <v>#VALUE!</v>
      </c>
      <c r="U1338" s="79" t="e">
        <f>IF(DbLinkTable[[#This Row],[Price/lb]]*DbLinkTable[[#This Row],[Weight]]&lt;0,DbLinkTable[[#This Row],[Price/lb]]*DbLinkTable[[#This Row],[Weight]],0)</f>
        <v>#VALUE!</v>
      </c>
      <c r="V1338" s="4" t="str">
        <f>IF(COUNTIF($W$2:W1338,W1338)=1,1,"")</f>
        <v/>
      </c>
      <c r="W1338" s="4" t="e">
        <f>CONCATENATE(DbLinkTable[[#This Row],[Customer]],UPPER(DbLinkTable[[#This Row],[Trailer Number]]),DbLinkTable[[#This Row],[Day Received]])</f>
        <v>#VALUE!</v>
      </c>
      <c r="X1338" s="4" t="e">
        <f>DATEVALUE(TEXT(DbLinkTable[[#This Row],[Date Received]],"MMMM YYYY"))</f>
        <v>#VALUE!</v>
      </c>
      <c r="Y1338" s="4" t="e">
        <f>INT(DbLinkTable[[#This Row],[Date Received]])</f>
        <v>#VALUE!</v>
      </c>
    </row>
    <row r="1339" spans="5:25">
      <c r="E1339"/>
      <c r="G1339"/>
      <c r="H1339"/>
      <c r="I1339"/>
      <c r="K1339"/>
      <c r="O1339"/>
      <c r="R1339"/>
      <c r="S1339" s="79" t="e">
        <f>DbLinkTable[[#This Row],[Credit]]+DbLinkTable[[#This Row],[Charge]]</f>
        <v>#VALUE!</v>
      </c>
      <c r="T1339" s="79" t="e">
        <f>IF(DbLinkTable[[#This Row],[Price/lb]]*DbLinkTable[[#This Row],[Weight]]&gt;0,DbLinkTable[[#This Row],[Price/lb]]*DbLinkTable[[#This Row],[Weight]],0)</f>
        <v>#VALUE!</v>
      </c>
      <c r="U1339" s="79" t="e">
        <f>IF(DbLinkTable[[#This Row],[Price/lb]]*DbLinkTable[[#This Row],[Weight]]&lt;0,DbLinkTable[[#This Row],[Price/lb]]*DbLinkTable[[#This Row],[Weight]],0)</f>
        <v>#VALUE!</v>
      </c>
      <c r="V1339" s="4" t="str">
        <f>IF(COUNTIF($W$2:W1339,W1339)=1,1,"")</f>
        <v/>
      </c>
      <c r="W1339" s="4" t="e">
        <f>CONCATENATE(DbLinkTable[[#This Row],[Customer]],UPPER(DbLinkTable[[#This Row],[Trailer Number]]),DbLinkTable[[#This Row],[Day Received]])</f>
        <v>#VALUE!</v>
      </c>
      <c r="X1339" s="4" t="e">
        <f>DATEVALUE(TEXT(DbLinkTable[[#This Row],[Date Received]],"MMMM YYYY"))</f>
        <v>#VALUE!</v>
      </c>
      <c r="Y1339" s="4" t="e">
        <f>INT(DbLinkTable[[#This Row],[Date Received]])</f>
        <v>#VALUE!</v>
      </c>
    </row>
    <row r="1340" spans="5:25">
      <c r="E1340"/>
      <c r="G1340"/>
      <c r="H1340"/>
      <c r="I1340"/>
      <c r="K1340"/>
      <c r="O1340"/>
      <c r="R1340"/>
      <c r="S1340" s="79" t="e">
        <f>DbLinkTable[[#This Row],[Credit]]+DbLinkTable[[#This Row],[Charge]]</f>
        <v>#VALUE!</v>
      </c>
      <c r="T1340" s="79" t="e">
        <f>IF(DbLinkTable[[#This Row],[Price/lb]]*DbLinkTable[[#This Row],[Weight]]&gt;0,DbLinkTable[[#This Row],[Price/lb]]*DbLinkTable[[#This Row],[Weight]],0)</f>
        <v>#VALUE!</v>
      </c>
      <c r="U1340" s="79" t="e">
        <f>IF(DbLinkTable[[#This Row],[Price/lb]]*DbLinkTable[[#This Row],[Weight]]&lt;0,DbLinkTable[[#This Row],[Price/lb]]*DbLinkTable[[#This Row],[Weight]],0)</f>
        <v>#VALUE!</v>
      </c>
      <c r="V1340" s="4" t="str">
        <f>IF(COUNTIF($W$2:W1340,W1340)=1,1,"")</f>
        <v/>
      </c>
      <c r="W1340" s="4" t="e">
        <f>CONCATENATE(DbLinkTable[[#This Row],[Customer]],UPPER(DbLinkTable[[#This Row],[Trailer Number]]),DbLinkTable[[#This Row],[Day Received]])</f>
        <v>#VALUE!</v>
      </c>
      <c r="X1340" s="4" t="e">
        <f>DATEVALUE(TEXT(DbLinkTable[[#This Row],[Date Received]],"MMMM YYYY"))</f>
        <v>#VALUE!</v>
      </c>
      <c r="Y1340" s="4" t="e">
        <f>INT(DbLinkTable[[#This Row],[Date Received]])</f>
        <v>#VALUE!</v>
      </c>
    </row>
    <row r="1341" spans="5:25">
      <c r="E1341"/>
      <c r="G1341"/>
      <c r="H1341"/>
      <c r="I1341"/>
      <c r="K1341"/>
      <c r="O1341"/>
      <c r="R1341"/>
      <c r="S1341" s="79" t="e">
        <f>DbLinkTable[[#This Row],[Credit]]+DbLinkTable[[#This Row],[Charge]]</f>
        <v>#VALUE!</v>
      </c>
      <c r="T1341" s="79" t="e">
        <f>IF(DbLinkTable[[#This Row],[Price/lb]]*DbLinkTable[[#This Row],[Weight]]&gt;0,DbLinkTable[[#This Row],[Price/lb]]*DbLinkTable[[#This Row],[Weight]],0)</f>
        <v>#VALUE!</v>
      </c>
      <c r="U1341" s="79" t="e">
        <f>IF(DbLinkTable[[#This Row],[Price/lb]]*DbLinkTable[[#This Row],[Weight]]&lt;0,DbLinkTable[[#This Row],[Price/lb]]*DbLinkTable[[#This Row],[Weight]],0)</f>
        <v>#VALUE!</v>
      </c>
      <c r="V1341" s="4" t="str">
        <f>IF(COUNTIF($W$2:W1341,W1341)=1,1,"")</f>
        <v/>
      </c>
      <c r="W1341" s="4" t="e">
        <f>CONCATENATE(DbLinkTable[[#This Row],[Customer]],UPPER(DbLinkTable[[#This Row],[Trailer Number]]),DbLinkTable[[#This Row],[Day Received]])</f>
        <v>#VALUE!</v>
      </c>
      <c r="X1341" s="4" t="e">
        <f>DATEVALUE(TEXT(DbLinkTable[[#This Row],[Date Received]],"MMMM YYYY"))</f>
        <v>#VALUE!</v>
      </c>
      <c r="Y1341" s="4" t="e">
        <f>INT(DbLinkTable[[#This Row],[Date Received]])</f>
        <v>#VALUE!</v>
      </c>
    </row>
    <row r="1342" spans="5:25">
      <c r="E1342"/>
      <c r="G1342"/>
      <c r="H1342"/>
      <c r="I1342"/>
      <c r="K1342"/>
      <c r="O1342"/>
      <c r="R1342"/>
      <c r="S1342" s="79" t="e">
        <f>DbLinkTable[[#This Row],[Credit]]+DbLinkTable[[#This Row],[Charge]]</f>
        <v>#VALUE!</v>
      </c>
      <c r="T1342" s="79" t="e">
        <f>IF(DbLinkTable[[#This Row],[Price/lb]]*DbLinkTable[[#This Row],[Weight]]&gt;0,DbLinkTable[[#This Row],[Price/lb]]*DbLinkTable[[#This Row],[Weight]],0)</f>
        <v>#VALUE!</v>
      </c>
      <c r="U1342" s="79" t="e">
        <f>IF(DbLinkTable[[#This Row],[Price/lb]]*DbLinkTable[[#This Row],[Weight]]&lt;0,DbLinkTable[[#This Row],[Price/lb]]*DbLinkTable[[#This Row],[Weight]],0)</f>
        <v>#VALUE!</v>
      </c>
      <c r="V1342" s="4" t="str">
        <f>IF(COUNTIF($W$2:W1342,W1342)=1,1,"")</f>
        <v/>
      </c>
      <c r="W1342" s="4" t="e">
        <f>CONCATENATE(DbLinkTable[[#This Row],[Customer]],UPPER(DbLinkTable[[#This Row],[Trailer Number]]),DbLinkTable[[#This Row],[Day Received]])</f>
        <v>#VALUE!</v>
      </c>
      <c r="X1342" s="4" t="e">
        <f>DATEVALUE(TEXT(DbLinkTable[[#This Row],[Date Received]],"MMMM YYYY"))</f>
        <v>#VALUE!</v>
      </c>
      <c r="Y1342" s="4" t="e">
        <f>INT(DbLinkTable[[#This Row],[Date Received]])</f>
        <v>#VALUE!</v>
      </c>
    </row>
    <row r="1343" spans="5:25">
      <c r="E1343"/>
      <c r="G1343"/>
      <c r="H1343"/>
      <c r="I1343"/>
      <c r="K1343"/>
      <c r="O1343"/>
      <c r="R1343"/>
      <c r="S1343" s="79" t="e">
        <f>DbLinkTable[[#This Row],[Credit]]+DbLinkTable[[#This Row],[Charge]]</f>
        <v>#VALUE!</v>
      </c>
      <c r="T1343" s="79" t="e">
        <f>IF(DbLinkTable[[#This Row],[Price/lb]]*DbLinkTable[[#This Row],[Weight]]&gt;0,DbLinkTable[[#This Row],[Price/lb]]*DbLinkTable[[#This Row],[Weight]],0)</f>
        <v>#VALUE!</v>
      </c>
      <c r="U1343" s="79" t="e">
        <f>IF(DbLinkTable[[#This Row],[Price/lb]]*DbLinkTable[[#This Row],[Weight]]&lt;0,DbLinkTable[[#This Row],[Price/lb]]*DbLinkTable[[#This Row],[Weight]],0)</f>
        <v>#VALUE!</v>
      </c>
      <c r="V1343" s="4" t="str">
        <f>IF(COUNTIF($W$2:W1343,W1343)=1,1,"")</f>
        <v/>
      </c>
      <c r="W1343" s="4" t="e">
        <f>CONCATENATE(DbLinkTable[[#This Row],[Customer]],UPPER(DbLinkTable[[#This Row],[Trailer Number]]),DbLinkTable[[#This Row],[Day Received]])</f>
        <v>#VALUE!</v>
      </c>
      <c r="X1343" s="4" t="e">
        <f>DATEVALUE(TEXT(DbLinkTable[[#This Row],[Date Received]],"MMMM YYYY"))</f>
        <v>#VALUE!</v>
      </c>
      <c r="Y1343" s="4" t="e">
        <f>INT(DbLinkTable[[#This Row],[Date Received]])</f>
        <v>#VALUE!</v>
      </c>
    </row>
    <row r="1344" spans="5:25">
      <c r="E1344"/>
      <c r="G1344"/>
      <c r="H1344"/>
      <c r="I1344"/>
      <c r="K1344"/>
      <c r="O1344"/>
      <c r="R1344"/>
      <c r="S1344" s="79" t="e">
        <f>DbLinkTable[[#This Row],[Credit]]+DbLinkTable[[#This Row],[Charge]]</f>
        <v>#VALUE!</v>
      </c>
      <c r="T1344" s="79" t="e">
        <f>IF(DbLinkTable[[#This Row],[Price/lb]]*DbLinkTable[[#This Row],[Weight]]&gt;0,DbLinkTable[[#This Row],[Price/lb]]*DbLinkTable[[#This Row],[Weight]],0)</f>
        <v>#VALUE!</v>
      </c>
      <c r="U1344" s="79" t="e">
        <f>IF(DbLinkTable[[#This Row],[Price/lb]]*DbLinkTable[[#This Row],[Weight]]&lt;0,DbLinkTable[[#This Row],[Price/lb]]*DbLinkTable[[#This Row],[Weight]],0)</f>
        <v>#VALUE!</v>
      </c>
      <c r="V1344" s="4" t="str">
        <f>IF(COUNTIF($W$2:W1344,W1344)=1,1,"")</f>
        <v/>
      </c>
      <c r="W1344" s="4" t="e">
        <f>CONCATENATE(DbLinkTable[[#This Row],[Customer]],UPPER(DbLinkTable[[#This Row],[Trailer Number]]),DbLinkTable[[#This Row],[Day Received]])</f>
        <v>#VALUE!</v>
      </c>
      <c r="X1344" s="4" t="e">
        <f>DATEVALUE(TEXT(DbLinkTable[[#This Row],[Date Received]],"MMMM YYYY"))</f>
        <v>#VALUE!</v>
      </c>
      <c r="Y1344" s="4" t="e">
        <f>INT(DbLinkTable[[#This Row],[Date Received]])</f>
        <v>#VALUE!</v>
      </c>
    </row>
    <row r="1345" spans="5:25">
      <c r="E1345"/>
      <c r="G1345"/>
      <c r="H1345"/>
      <c r="I1345"/>
      <c r="K1345"/>
      <c r="O1345"/>
      <c r="R1345"/>
      <c r="S1345" s="79" t="e">
        <f>DbLinkTable[[#This Row],[Credit]]+DbLinkTable[[#This Row],[Charge]]</f>
        <v>#VALUE!</v>
      </c>
      <c r="T1345" s="79" t="e">
        <f>IF(DbLinkTable[[#This Row],[Price/lb]]*DbLinkTable[[#This Row],[Weight]]&gt;0,DbLinkTable[[#This Row],[Price/lb]]*DbLinkTable[[#This Row],[Weight]],0)</f>
        <v>#VALUE!</v>
      </c>
      <c r="U1345" s="79" t="e">
        <f>IF(DbLinkTable[[#This Row],[Price/lb]]*DbLinkTable[[#This Row],[Weight]]&lt;0,DbLinkTable[[#This Row],[Price/lb]]*DbLinkTable[[#This Row],[Weight]],0)</f>
        <v>#VALUE!</v>
      </c>
      <c r="V1345" s="4" t="str">
        <f>IF(COUNTIF($W$2:W1345,W1345)=1,1,"")</f>
        <v/>
      </c>
      <c r="W1345" s="4" t="e">
        <f>CONCATENATE(DbLinkTable[[#This Row],[Customer]],UPPER(DbLinkTable[[#This Row],[Trailer Number]]),DbLinkTable[[#This Row],[Day Received]])</f>
        <v>#VALUE!</v>
      </c>
      <c r="X1345" s="4" t="e">
        <f>DATEVALUE(TEXT(DbLinkTable[[#This Row],[Date Received]],"MMMM YYYY"))</f>
        <v>#VALUE!</v>
      </c>
      <c r="Y1345" s="4" t="e">
        <f>INT(DbLinkTable[[#This Row],[Date Received]])</f>
        <v>#VALUE!</v>
      </c>
    </row>
    <row r="1346" spans="5:25">
      <c r="E1346"/>
      <c r="G1346"/>
      <c r="H1346"/>
      <c r="I1346"/>
      <c r="K1346"/>
      <c r="O1346"/>
      <c r="R1346"/>
      <c r="S1346" s="79" t="e">
        <f>DbLinkTable[[#This Row],[Credit]]+DbLinkTable[[#This Row],[Charge]]</f>
        <v>#VALUE!</v>
      </c>
      <c r="T1346" s="79" t="e">
        <f>IF(DbLinkTable[[#This Row],[Price/lb]]*DbLinkTable[[#This Row],[Weight]]&gt;0,DbLinkTable[[#This Row],[Price/lb]]*DbLinkTable[[#This Row],[Weight]],0)</f>
        <v>#VALUE!</v>
      </c>
      <c r="U1346" s="79" t="e">
        <f>IF(DbLinkTable[[#This Row],[Price/lb]]*DbLinkTable[[#This Row],[Weight]]&lt;0,DbLinkTable[[#This Row],[Price/lb]]*DbLinkTable[[#This Row],[Weight]],0)</f>
        <v>#VALUE!</v>
      </c>
      <c r="V1346" s="4" t="str">
        <f>IF(COUNTIF($W$2:W1346,W1346)=1,1,"")</f>
        <v/>
      </c>
      <c r="W1346" s="4" t="e">
        <f>CONCATENATE(DbLinkTable[[#This Row],[Customer]],UPPER(DbLinkTable[[#This Row],[Trailer Number]]),DbLinkTable[[#This Row],[Day Received]])</f>
        <v>#VALUE!</v>
      </c>
      <c r="X1346" s="4" t="e">
        <f>DATEVALUE(TEXT(DbLinkTable[[#This Row],[Date Received]],"MMMM YYYY"))</f>
        <v>#VALUE!</v>
      </c>
      <c r="Y1346" s="4" t="e">
        <f>INT(DbLinkTable[[#This Row],[Date Received]])</f>
        <v>#VALUE!</v>
      </c>
    </row>
    <row r="1347" spans="5:25">
      <c r="E1347"/>
      <c r="G1347"/>
      <c r="H1347"/>
      <c r="I1347"/>
      <c r="K1347"/>
      <c r="O1347"/>
      <c r="R1347"/>
      <c r="S1347" s="79" t="e">
        <f>DbLinkTable[[#This Row],[Credit]]+DbLinkTable[[#This Row],[Charge]]</f>
        <v>#VALUE!</v>
      </c>
      <c r="T1347" s="79" t="e">
        <f>IF(DbLinkTable[[#This Row],[Price/lb]]*DbLinkTable[[#This Row],[Weight]]&gt;0,DbLinkTable[[#This Row],[Price/lb]]*DbLinkTable[[#This Row],[Weight]],0)</f>
        <v>#VALUE!</v>
      </c>
      <c r="U1347" s="79" t="e">
        <f>IF(DbLinkTable[[#This Row],[Price/lb]]*DbLinkTable[[#This Row],[Weight]]&lt;0,DbLinkTable[[#This Row],[Price/lb]]*DbLinkTable[[#This Row],[Weight]],0)</f>
        <v>#VALUE!</v>
      </c>
      <c r="V1347" s="4" t="str">
        <f>IF(COUNTIF($W$2:W1347,W1347)=1,1,"")</f>
        <v/>
      </c>
      <c r="W1347" s="4" t="e">
        <f>CONCATENATE(DbLinkTable[[#This Row],[Customer]],UPPER(DbLinkTable[[#This Row],[Trailer Number]]),DbLinkTable[[#This Row],[Day Received]])</f>
        <v>#VALUE!</v>
      </c>
      <c r="X1347" s="4" t="e">
        <f>DATEVALUE(TEXT(DbLinkTable[[#This Row],[Date Received]],"MMMM YYYY"))</f>
        <v>#VALUE!</v>
      </c>
      <c r="Y1347" s="4" t="e">
        <f>INT(DbLinkTable[[#This Row],[Date Received]])</f>
        <v>#VALUE!</v>
      </c>
    </row>
    <row r="1348" spans="5:25">
      <c r="E1348"/>
      <c r="G1348"/>
      <c r="H1348"/>
      <c r="I1348"/>
      <c r="K1348"/>
      <c r="O1348"/>
      <c r="R1348"/>
      <c r="S1348" s="79" t="e">
        <f>DbLinkTable[[#This Row],[Credit]]+DbLinkTable[[#This Row],[Charge]]</f>
        <v>#VALUE!</v>
      </c>
      <c r="T1348" s="79" t="e">
        <f>IF(DbLinkTable[[#This Row],[Price/lb]]*DbLinkTable[[#This Row],[Weight]]&gt;0,DbLinkTable[[#This Row],[Price/lb]]*DbLinkTable[[#This Row],[Weight]],0)</f>
        <v>#VALUE!</v>
      </c>
      <c r="U1348" s="79" t="e">
        <f>IF(DbLinkTable[[#This Row],[Price/lb]]*DbLinkTable[[#This Row],[Weight]]&lt;0,DbLinkTable[[#This Row],[Price/lb]]*DbLinkTable[[#This Row],[Weight]],0)</f>
        <v>#VALUE!</v>
      </c>
      <c r="V1348" s="4" t="str">
        <f>IF(COUNTIF($W$2:W1348,W1348)=1,1,"")</f>
        <v/>
      </c>
      <c r="W1348" s="4" t="e">
        <f>CONCATENATE(DbLinkTable[[#This Row],[Customer]],UPPER(DbLinkTable[[#This Row],[Trailer Number]]),DbLinkTable[[#This Row],[Day Received]])</f>
        <v>#VALUE!</v>
      </c>
      <c r="X1348" s="4" t="e">
        <f>DATEVALUE(TEXT(DbLinkTable[[#This Row],[Date Received]],"MMMM YYYY"))</f>
        <v>#VALUE!</v>
      </c>
      <c r="Y1348" s="4" t="e">
        <f>INT(DbLinkTable[[#This Row],[Date Received]])</f>
        <v>#VALUE!</v>
      </c>
    </row>
    <row r="1349" spans="5:25">
      <c r="E1349"/>
      <c r="G1349"/>
      <c r="H1349"/>
      <c r="I1349"/>
      <c r="K1349"/>
      <c r="O1349"/>
      <c r="R1349"/>
      <c r="S1349" s="79" t="e">
        <f>DbLinkTable[[#This Row],[Credit]]+DbLinkTable[[#This Row],[Charge]]</f>
        <v>#VALUE!</v>
      </c>
      <c r="T1349" s="79" t="e">
        <f>IF(DbLinkTable[[#This Row],[Price/lb]]*DbLinkTable[[#This Row],[Weight]]&gt;0,DbLinkTable[[#This Row],[Price/lb]]*DbLinkTable[[#This Row],[Weight]],0)</f>
        <v>#VALUE!</v>
      </c>
      <c r="U1349" s="79" t="e">
        <f>IF(DbLinkTable[[#This Row],[Price/lb]]*DbLinkTable[[#This Row],[Weight]]&lt;0,DbLinkTable[[#This Row],[Price/lb]]*DbLinkTable[[#This Row],[Weight]],0)</f>
        <v>#VALUE!</v>
      </c>
      <c r="V1349" s="4" t="str">
        <f>IF(COUNTIF($W$2:W1349,W1349)=1,1,"")</f>
        <v/>
      </c>
      <c r="W1349" s="4" t="e">
        <f>CONCATENATE(DbLinkTable[[#This Row],[Customer]],UPPER(DbLinkTable[[#This Row],[Trailer Number]]),DbLinkTable[[#This Row],[Day Received]])</f>
        <v>#VALUE!</v>
      </c>
      <c r="X1349" s="4" t="e">
        <f>DATEVALUE(TEXT(DbLinkTable[[#This Row],[Date Received]],"MMMM YYYY"))</f>
        <v>#VALUE!</v>
      </c>
      <c r="Y1349" s="4" t="e">
        <f>INT(DbLinkTable[[#This Row],[Date Received]])</f>
        <v>#VALUE!</v>
      </c>
    </row>
    <row r="1350" spans="5:25">
      <c r="E1350"/>
      <c r="G1350"/>
      <c r="H1350"/>
      <c r="I1350"/>
      <c r="K1350"/>
      <c r="O1350"/>
      <c r="R1350"/>
      <c r="S1350" s="79" t="e">
        <f>DbLinkTable[[#This Row],[Credit]]+DbLinkTable[[#This Row],[Charge]]</f>
        <v>#VALUE!</v>
      </c>
      <c r="T1350" s="79" t="e">
        <f>IF(DbLinkTable[[#This Row],[Price/lb]]*DbLinkTable[[#This Row],[Weight]]&gt;0,DbLinkTable[[#This Row],[Price/lb]]*DbLinkTable[[#This Row],[Weight]],0)</f>
        <v>#VALUE!</v>
      </c>
      <c r="U1350" s="79" t="e">
        <f>IF(DbLinkTable[[#This Row],[Price/lb]]*DbLinkTable[[#This Row],[Weight]]&lt;0,DbLinkTable[[#This Row],[Price/lb]]*DbLinkTable[[#This Row],[Weight]],0)</f>
        <v>#VALUE!</v>
      </c>
      <c r="V1350" s="4" t="str">
        <f>IF(COUNTIF($W$2:W1350,W1350)=1,1,"")</f>
        <v/>
      </c>
      <c r="W1350" s="4" t="e">
        <f>CONCATENATE(DbLinkTable[[#This Row],[Customer]],UPPER(DbLinkTable[[#This Row],[Trailer Number]]),DbLinkTable[[#This Row],[Day Received]])</f>
        <v>#VALUE!</v>
      </c>
      <c r="X1350" s="4" t="e">
        <f>DATEVALUE(TEXT(DbLinkTable[[#This Row],[Date Received]],"MMMM YYYY"))</f>
        <v>#VALUE!</v>
      </c>
      <c r="Y1350" s="4" t="e">
        <f>INT(DbLinkTable[[#This Row],[Date Received]])</f>
        <v>#VALUE!</v>
      </c>
    </row>
    <row r="1351" spans="5:25">
      <c r="E1351"/>
      <c r="G1351"/>
      <c r="H1351"/>
      <c r="I1351"/>
      <c r="K1351"/>
      <c r="O1351"/>
      <c r="R1351"/>
      <c r="S1351" s="79" t="e">
        <f>DbLinkTable[[#This Row],[Credit]]+DbLinkTable[[#This Row],[Charge]]</f>
        <v>#VALUE!</v>
      </c>
      <c r="T1351" s="79" t="e">
        <f>IF(DbLinkTable[[#This Row],[Price/lb]]*DbLinkTable[[#This Row],[Weight]]&gt;0,DbLinkTable[[#This Row],[Price/lb]]*DbLinkTable[[#This Row],[Weight]],0)</f>
        <v>#VALUE!</v>
      </c>
      <c r="U1351" s="79" t="e">
        <f>IF(DbLinkTable[[#This Row],[Price/lb]]*DbLinkTable[[#This Row],[Weight]]&lt;0,DbLinkTable[[#This Row],[Price/lb]]*DbLinkTable[[#This Row],[Weight]],0)</f>
        <v>#VALUE!</v>
      </c>
      <c r="V1351" s="4" t="str">
        <f>IF(COUNTIF($W$2:W1351,W1351)=1,1,"")</f>
        <v/>
      </c>
      <c r="W1351" s="4" t="e">
        <f>CONCATENATE(DbLinkTable[[#This Row],[Customer]],UPPER(DbLinkTable[[#This Row],[Trailer Number]]),DbLinkTable[[#This Row],[Day Received]])</f>
        <v>#VALUE!</v>
      </c>
      <c r="X1351" s="4" t="e">
        <f>DATEVALUE(TEXT(DbLinkTable[[#This Row],[Date Received]],"MMMM YYYY"))</f>
        <v>#VALUE!</v>
      </c>
      <c r="Y1351" s="4" t="e">
        <f>INT(DbLinkTable[[#This Row],[Date Received]])</f>
        <v>#VALUE!</v>
      </c>
    </row>
    <row r="1352" spans="5:25">
      <c r="E1352"/>
      <c r="G1352"/>
      <c r="H1352"/>
      <c r="I1352"/>
      <c r="K1352"/>
      <c r="O1352"/>
      <c r="R1352"/>
      <c r="S1352" s="79" t="e">
        <f>DbLinkTable[[#This Row],[Credit]]+DbLinkTable[[#This Row],[Charge]]</f>
        <v>#VALUE!</v>
      </c>
      <c r="T1352" s="79" t="e">
        <f>IF(DbLinkTable[[#This Row],[Price/lb]]*DbLinkTable[[#This Row],[Weight]]&gt;0,DbLinkTable[[#This Row],[Price/lb]]*DbLinkTable[[#This Row],[Weight]],0)</f>
        <v>#VALUE!</v>
      </c>
      <c r="U1352" s="79" t="e">
        <f>IF(DbLinkTable[[#This Row],[Price/lb]]*DbLinkTable[[#This Row],[Weight]]&lt;0,DbLinkTable[[#This Row],[Price/lb]]*DbLinkTable[[#This Row],[Weight]],0)</f>
        <v>#VALUE!</v>
      </c>
      <c r="V1352" s="4" t="str">
        <f>IF(COUNTIF($W$2:W1352,W1352)=1,1,"")</f>
        <v/>
      </c>
      <c r="W1352" s="4" t="e">
        <f>CONCATENATE(DbLinkTable[[#This Row],[Customer]],UPPER(DbLinkTable[[#This Row],[Trailer Number]]),DbLinkTable[[#This Row],[Day Received]])</f>
        <v>#VALUE!</v>
      </c>
      <c r="X1352" s="4" t="e">
        <f>DATEVALUE(TEXT(DbLinkTable[[#This Row],[Date Received]],"MMMM YYYY"))</f>
        <v>#VALUE!</v>
      </c>
      <c r="Y1352" s="4" t="e">
        <f>INT(DbLinkTable[[#This Row],[Date Received]])</f>
        <v>#VALUE!</v>
      </c>
    </row>
    <row r="1353" spans="5:25">
      <c r="E1353"/>
      <c r="G1353"/>
      <c r="H1353"/>
      <c r="I1353"/>
      <c r="K1353"/>
      <c r="O1353"/>
      <c r="R1353"/>
      <c r="S1353" s="79" t="e">
        <f>DbLinkTable[[#This Row],[Credit]]+DbLinkTable[[#This Row],[Charge]]</f>
        <v>#VALUE!</v>
      </c>
      <c r="T1353" s="79" t="e">
        <f>IF(DbLinkTable[[#This Row],[Price/lb]]*DbLinkTable[[#This Row],[Weight]]&gt;0,DbLinkTable[[#This Row],[Price/lb]]*DbLinkTable[[#This Row],[Weight]],0)</f>
        <v>#VALUE!</v>
      </c>
      <c r="U1353" s="79" t="e">
        <f>IF(DbLinkTable[[#This Row],[Price/lb]]*DbLinkTable[[#This Row],[Weight]]&lt;0,DbLinkTable[[#This Row],[Price/lb]]*DbLinkTable[[#This Row],[Weight]],0)</f>
        <v>#VALUE!</v>
      </c>
      <c r="V1353" s="4" t="str">
        <f>IF(COUNTIF($W$2:W1353,W1353)=1,1,"")</f>
        <v/>
      </c>
      <c r="W1353" s="4" t="e">
        <f>CONCATENATE(DbLinkTable[[#This Row],[Customer]],UPPER(DbLinkTable[[#This Row],[Trailer Number]]),DbLinkTable[[#This Row],[Day Received]])</f>
        <v>#VALUE!</v>
      </c>
      <c r="X1353" s="4" t="e">
        <f>DATEVALUE(TEXT(DbLinkTable[[#This Row],[Date Received]],"MMMM YYYY"))</f>
        <v>#VALUE!</v>
      </c>
      <c r="Y1353" s="4" t="e">
        <f>INT(DbLinkTable[[#This Row],[Date Received]])</f>
        <v>#VALUE!</v>
      </c>
    </row>
    <row r="1354" spans="5:25">
      <c r="E1354"/>
      <c r="G1354"/>
      <c r="H1354"/>
      <c r="I1354"/>
      <c r="K1354"/>
      <c r="O1354"/>
      <c r="R1354"/>
      <c r="S1354" s="79" t="e">
        <f>DbLinkTable[[#This Row],[Credit]]+DbLinkTable[[#This Row],[Charge]]</f>
        <v>#VALUE!</v>
      </c>
      <c r="T1354" s="79" t="e">
        <f>IF(DbLinkTable[[#This Row],[Price/lb]]*DbLinkTable[[#This Row],[Weight]]&gt;0,DbLinkTable[[#This Row],[Price/lb]]*DbLinkTable[[#This Row],[Weight]],0)</f>
        <v>#VALUE!</v>
      </c>
      <c r="U1354" s="79" t="e">
        <f>IF(DbLinkTable[[#This Row],[Price/lb]]*DbLinkTable[[#This Row],[Weight]]&lt;0,DbLinkTable[[#This Row],[Price/lb]]*DbLinkTable[[#This Row],[Weight]],0)</f>
        <v>#VALUE!</v>
      </c>
      <c r="V1354" s="4" t="str">
        <f>IF(COUNTIF($W$2:W1354,W1354)=1,1,"")</f>
        <v/>
      </c>
      <c r="W1354" s="4" t="e">
        <f>CONCATENATE(DbLinkTable[[#This Row],[Customer]],UPPER(DbLinkTable[[#This Row],[Trailer Number]]),DbLinkTable[[#This Row],[Day Received]])</f>
        <v>#VALUE!</v>
      </c>
      <c r="X1354" s="4" t="e">
        <f>DATEVALUE(TEXT(DbLinkTable[[#This Row],[Date Received]],"MMMM YYYY"))</f>
        <v>#VALUE!</v>
      </c>
      <c r="Y1354" s="4" t="e">
        <f>INT(DbLinkTable[[#This Row],[Date Received]])</f>
        <v>#VALUE!</v>
      </c>
    </row>
    <row r="1355" spans="5:25">
      <c r="E1355"/>
      <c r="G1355"/>
      <c r="H1355"/>
      <c r="I1355"/>
      <c r="K1355"/>
      <c r="O1355"/>
      <c r="R1355"/>
      <c r="S1355" s="79" t="e">
        <f>DbLinkTable[[#This Row],[Credit]]+DbLinkTable[[#This Row],[Charge]]</f>
        <v>#VALUE!</v>
      </c>
      <c r="T1355" s="79" t="e">
        <f>IF(DbLinkTable[[#This Row],[Price/lb]]*DbLinkTable[[#This Row],[Weight]]&gt;0,DbLinkTable[[#This Row],[Price/lb]]*DbLinkTable[[#This Row],[Weight]],0)</f>
        <v>#VALUE!</v>
      </c>
      <c r="U1355" s="79" t="e">
        <f>IF(DbLinkTable[[#This Row],[Price/lb]]*DbLinkTable[[#This Row],[Weight]]&lt;0,DbLinkTable[[#This Row],[Price/lb]]*DbLinkTable[[#This Row],[Weight]],0)</f>
        <v>#VALUE!</v>
      </c>
      <c r="V1355" s="4" t="str">
        <f>IF(COUNTIF($W$2:W1355,W1355)=1,1,"")</f>
        <v/>
      </c>
      <c r="W1355" s="4" t="e">
        <f>CONCATENATE(DbLinkTable[[#This Row],[Customer]],UPPER(DbLinkTable[[#This Row],[Trailer Number]]),DbLinkTable[[#This Row],[Day Received]])</f>
        <v>#VALUE!</v>
      </c>
      <c r="X1355" s="4" t="e">
        <f>DATEVALUE(TEXT(DbLinkTable[[#This Row],[Date Received]],"MMMM YYYY"))</f>
        <v>#VALUE!</v>
      </c>
      <c r="Y1355" s="4" t="e">
        <f>INT(DbLinkTable[[#This Row],[Date Received]])</f>
        <v>#VALUE!</v>
      </c>
    </row>
    <row r="1356" spans="5:25">
      <c r="E1356"/>
      <c r="G1356"/>
      <c r="H1356"/>
      <c r="I1356"/>
      <c r="K1356"/>
      <c r="O1356"/>
      <c r="R1356"/>
      <c r="S1356" s="99" t="e">
        <f>DbLinkTable[[#This Row],[Credit]]+DbLinkTable[[#This Row],[Charge]]</f>
        <v>#VALUE!</v>
      </c>
      <c r="T1356" s="99" t="e">
        <f>IF(DbLinkTable[[#This Row],[Price/lb]]*DbLinkTable[[#This Row],[Weight]]&gt;0,DbLinkTable[[#This Row],[Price/lb]]*DbLinkTable[[#This Row],[Weight]],0)</f>
        <v>#VALUE!</v>
      </c>
      <c r="U1356" s="99" t="e">
        <f>IF(DbLinkTable[[#This Row],[Price/lb]]*DbLinkTable[[#This Row],[Weight]]&lt;0,DbLinkTable[[#This Row],[Price/lb]]*DbLinkTable[[#This Row],[Weight]],0)</f>
        <v>#VALUE!</v>
      </c>
      <c r="V1356" s="88" t="str">
        <f>IF(COUNTIF($W$2:W754,W1356)=1,1,"")</f>
        <v/>
      </c>
      <c r="W1356" s="88" t="e">
        <f>CONCATENATE(DbLinkTable[[#This Row],[Customer]],UPPER(DbLinkTable[[#This Row],[Trailer Number]]),DbLinkTable[[#This Row],[Day Received]])</f>
        <v>#VALUE!</v>
      </c>
      <c r="X1356" s="88" t="e">
        <f>DATEVALUE(TEXT(DbLinkTable[[#This Row],[Date Received]],"MMMM YYYY"))</f>
        <v>#VALUE!</v>
      </c>
      <c r="Y1356" s="88" t="e">
        <f>INT(DbLinkTable[[#This Row],[Date Received]])</f>
        <v>#VALUE!</v>
      </c>
    </row>
    <row r="1357" spans="5:25">
      <c r="E1357"/>
      <c r="G1357"/>
      <c r="H1357"/>
      <c r="I1357"/>
      <c r="K1357"/>
      <c r="O1357"/>
      <c r="R1357"/>
      <c r="S1357" s="79" t="e">
        <f>DbLinkTable[[#This Row],[Credit]]+DbLinkTable[[#This Row],[Charge]]</f>
        <v>#VALUE!</v>
      </c>
      <c r="T1357" s="79" t="e">
        <f>IF(DbLinkTable[[#This Row],[Price/lb]]*DbLinkTable[[#This Row],[Weight]]&gt;0,DbLinkTable[[#This Row],[Price/lb]]*DbLinkTable[[#This Row],[Weight]],0)</f>
        <v>#VALUE!</v>
      </c>
      <c r="U1357" s="79" t="e">
        <f>IF(DbLinkTable[[#This Row],[Price/lb]]*DbLinkTable[[#This Row],[Weight]]&lt;0,DbLinkTable[[#This Row],[Price/lb]]*DbLinkTable[[#This Row],[Weight]],0)</f>
        <v>#VALUE!</v>
      </c>
      <c r="V1357" s="4" t="str">
        <f>IF(COUNTIF($W$2:W1357,W1357)=1,1,"")</f>
        <v/>
      </c>
      <c r="W1357" s="4" t="e">
        <f>CONCATENATE(DbLinkTable[[#This Row],[Customer]],UPPER(DbLinkTable[[#This Row],[Trailer Number]]),DbLinkTable[[#This Row],[Day Received]])</f>
        <v>#VALUE!</v>
      </c>
      <c r="X1357" s="4" t="e">
        <f>DATEVALUE(TEXT(DbLinkTable[[#This Row],[Date Received]],"MMMM YYYY"))</f>
        <v>#VALUE!</v>
      </c>
      <c r="Y1357" s="4" t="e">
        <f>INT(DbLinkTable[[#This Row],[Date Received]])</f>
        <v>#VALUE!</v>
      </c>
    </row>
    <row r="1358" spans="5:25">
      <c r="E1358"/>
      <c r="G1358"/>
      <c r="H1358"/>
      <c r="I1358"/>
      <c r="K1358"/>
      <c r="O1358"/>
      <c r="R1358"/>
      <c r="S1358" s="79" t="e">
        <f>DbLinkTable[[#This Row],[Credit]]+DbLinkTable[[#This Row],[Charge]]</f>
        <v>#VALUE!</v>
      </c>
      <c r="T1358" s="79" t="e">
        <f>IF(DbLinkTable[[#This Row],[Price/lb]]*DbLinkTable[[#This Row],[Weight]]&gt;0,DbLinkTable[[#This Row],[Price/lb]]*DbLinkTable[[#This Row],[Weight]],0)</f>
        <v>#VALUE!</v>
      </c>
      <c r="U1358" s="79" t="e">
        <f>IF(DbLinkTable[[#This Row],[Price/lb]]*DbLinkTable[[#This Row],[Weight]]&lt;0,DbLinkTable[[#This Row],[Price/lb]]*DbLinkTable[[#This Row],[Weight]],0)</f>
        <v>#VALUE!</v>
      </c>
      <c r="V1358" s="4" t="str">
        <f>IF(COUNTIF($W$2:W1358,W1358)=1,1,"")</f>
        <v/>
      </c>
      <c r="W1358" s="4" t="e">
        <f>CONCATENATE(DbLinkTable[[#This Row],[Customer]],UPPER(DbLinkTable[[#This Row],[Trailer Number]]),DbLinkTable[[#This Row],[Day Received]])</f>
        <v>#VALUE!</v>
      </c>
      <c r="X1358" s="4" t="e">
        <f>DATEVALUE(TEXT(DbLinkTable[[#This Row],[Date Received]],"MMMM YYYY"))</f>
        <v>#VALUE!</v>
      </c>
      <c r="Y1358" s="4" t="e">
        <f>INT(DbLinkTable[[#This Row],[Date Received]])</f>
        <v>#VALUE!</v>
      </c>
    </row>
    <row r="1359" spans="5:25">
      <c r="E1359"/>
      <c r="G1359"/>
      <c r="H1359"/>
      <c r="I1359"/>
      <c r="K1359"/>
      <c r="O1359"/>
      <c r="R1359"/>
      <c r="S1359" s="79" t="e">
        <f>DbLinkTable[[#This Row],[Credit]]+DbLinkTable[[#This Row],[Charge]]</f>
        <v>#VALUE!</v>
      </c>
      <c r="T1359" s="79" t="e">
        <f>IF(DbLinkTable[[#This Row],[Price/lb]]*DbLinkTable[[#This Row],[Weight]]&gt;0,DbLinkTable[[#This Row],[Price/lb]]*DbLinkTable[[#This Row],[Weight]],0)</f>
        <v>#VALUE!</v>
      </c>
      <c r="U1359" s="79" t="e">
        <f>IF(DbLinkTable[[#This Row],[Price/lb]]*DbLinkTable[[#This Row],[Weight]]&lt;0,DbLinkTable[[#This Row],[Price/lb]]*DbLinkTable[[#This Row],[Weight]],0)</f>
        <v>#VALUE!</v>
      </c>
      <c r="V1359" s="4" t="str">
        <f>IF(COUNTIF($W$2:W1359,W1359)=1,1,"")</f>
        <v/>
      </c>
      <c r="W1359" s="4" t="e">
        <f>CONCATENATE(DbLinkTable[[#This Row],[Customer]],UPPER(DbLinkTable[[#This Row],[Trailer Number]]),DbLinkTable[[#This Row],[Day Received]])</f>
        <v>#VALUE!</v>
      </c>
      <c r="X1359" s="4" t="e">
        <f>DATEVALUE(TEXT(DbLinkTable[[#This Row],[Date Received]],"MMMM YYYY"))</f>
        <v>#VALUE!</v>
      </c>
      <c r="Y1359" s="4" t="e">
        <f>INT(DbLinkTable[[#This Row],[Date Received]])</f>
        <v>#VALUE!</v>
      </c>
    </row>
    <row r="1360" spans="5:25">
      <c r="E1360"/>
      <c r="G1360"/>
      <c r="H1360"/>
      <c r="I1360"/>
      <c r="K1360"/>
      <c r="O1360"/>
      <c r="R1360"/>
      <c r="S1360" s="79" t="e">
        <f>DbLinkTable[[#This Row],[Credit]]+DbLinkTable[[#This Row],[Charge]]</f>
        <v>#VALUE!</v>
      </c>
      <c r="T1360" s="79" t="e">
        <f>IF(DbLinkTable[[#This Row],[Price/lb]]*DbLinkTable[[#This Row],[Weight]]&gt;0,DbLinkTable[[#This Row],[Price/lb]]*DbLinkTable[[#This Row],[Weight]],0)</f>
        <v>#VALUE!</v>
      </c>
      <c r="U1360" s="79" t="e">
        <f>IF(DbLinkTable[[#This Row],[Price/lb]]*DbLinkTable[[#This Row],[Weight]]&lt;0,DbLinkTable[[#This Row],[Price/lb]]*DbLinkTable[[#This Row],[Weight]],0)</f>
        <v>#VALUE!</v>
      </c>
      <c r="V1360" s="4" t="str">
        <f>IF(COUNTIF($W$2:W1360,W1360)=1,1,"")</f>
        <v/>
      </c>
      <c r="W1360" s="4" t="e">
        <f>CONCATENATE(DbLinkTable[[#This Row],[Customer]],UPPER(DbLinkTable[[#This Row],[Trailer Number]]),DbLinkTable[[#This Row],[Day Received]])</f>
        <v>#VALUE!</v>
      </c>
      <c r="X1360" s="4" t="e">
        <f>DATEVALUE(TEXT(DbLinkTable[[#This Row],[Date Received]],"MMMM YYYY"))</f>
        <v>#VALUE!</v>
      </c>
      <c r="Y1360" s="4" t="e">
        <f>INT(DbLinkTable[[#This Row],[Date Received]])</f>
        <v>#VALUE!</v>
      </c>
    </row>
    <row r="1361" spans="5:25">
      <c r="E1361"/>
      <c r="G1361"/>
      <c r="H1361"/>
      <c r="I1361"/>
      <c r="K1361"/>
      <c r="O1361"/>
      <c r="R1361"/>
      <c r="S1361" s="79" t="e">
        <f>DbLinkTable[[#This Row],[Credit]]+DbLinkTable[[#This Row],[Charge]]</f>
        <v>#VALUE!</v>
      </c>
      <c r="T1361" s="79" t="e">
        <f>IF(DbLinkTable[[#This Row],[Price/lb]]*DbLinkTable[[#This Row],[Weight]]&gt;0,DbLinkTable[[#This Row],[Price/lb]]*DbLinkTable[[#This Row],[Weight]],0)</f>
        <v>#VALUE!</v>
      </c>
      <c r="U1361" s="79" t="e">
        <f>IF(DbLinkTable[[#This Row],[Price/lb]]*DbLinkTable[[#This Row],[Weight]]&lt;0,DbLinkTable[[#This Row],[Price/lb]]*DbLinkTable[[#This Row],[Weight]],0)</f>
        <v>#VALUE!</v>
      </c>
      <c r="V1361" s="4" t="str">
        <f>IF(COUNTIF($W$2:W1361,W1361)=1,1,"")</f>
        <v/>
      </c>
      <c r="W1361" s="4" t="e">
        <f>CONCATENATE(DbLinkTable[[#This Row],[Customer]],UPPER(DbLinkTable[[#This Row],[Trailer Number]]),DbLinkTable[[#This Row],[Day Received]])</f>
        <v>#VALUE!</v>
      </c>
      <c r="X1361" s="4" t="e">
        <f>DATEVALUE(TEXT(DbLinkTable[[#This Row],[Date Received]],"MMMM YYYY"))</f>
        <v>#VALUE!</v>
      </c>
      <c r="Y1361" s="4" t="e">
        <f>INT(DbLinkTable[[#This Row],[Date Received]])</f>
        <v>#VALUE!</v>
      </c>
    </row>
    <row r="1362" spans="5:25">
      <c r="E1362"/>
      <c r="G1362"/>
      <c r="H1362"/>
      <c r="I1362"/>
      <c r="K1362"/>
      <c r="O1362"/>
      <c r="R1362"/>
      <c r="S1362" s="79" t="e">
        <f>DbLinkTable[[#This Row],[Credit]]+DbLinkTable[[#This Row],[Charge]]</f>
        <v>#VALUE!</v>
      </c>
      <c r="T1362" s="79" t="e">
        <f>IF(DbLinkTable[[#This Row],[Price/lb]]*DbLinkTable[[#This Row],[Weight]]&gt;0,DbLinkTable[[#This Row],[Price/lb]]*DbLinkTable[[#This Row],[Weight]],0)</f>
        <v>#VALUE!</v>
      </c>
      <c r="U1362" s="79" t="e">
        <f>IF(DbLinkTable[[#This Row],[Price/lb]]*DbLinkTable[[#This Row],[Weight]]&lt;0,DbLinkTable[[#This Row],[Price/lb]]*DbLinkTable[[#This Row],[Weight]],0)</f>
        <v>#VALUE!</v>
      </c>
      <c r="V1362" s="4" t="str">
        <f>IF(COUNTIF($W$2:W1362,W1362)=1,1,"")</f>
        <v/>
      </c>
      <c r="W1362" s="4" t="e">
        <f>CONCATENATE(DbLinkTable[[#This Row],[Customer]],UPPER(DbLinkTable[[#This Row],[Trailer Number]]),DbLinkTable[[#This Row],[Day Received]])</f>
        <v>#VALUE!</v>
      </c>
      <c r="X1362" s="4" t="e">
        <f>DATEVALUE(TEXT(DbLinkTable[[#This Row],[Date Received]],"MMMM YYYY"))</f>
        <v>#VALUE!</v>
      </c>
      <c r="Y1362" s="4" t="e">
        <f>INT(DbLinkTable[[#This Row],[Date Received]])</f>
        <v>#VALUE!</v>
      </c>
    </row>
    <row r="1363" spans="5:25">
      <c r="E1363"/>
      <c r="G1363"/>
      <c r="H1363"/>
      <c r="I1363"/>
      <c r="K1363"/>
      <c r="O1363"/>
      <c r="R1363"/>
      <c r="S1363" s="79" t="e">
        <f>DbLinkTable[[#This Row],[Credit]]+DbLinkTable[[#This Row],[Charge]]</f>
        <v>#VALUE!</v>
      </c>
      <c r="T1363" s="79" t="e">
        <f>IF(DbLinkTable[[#This Row],[Price/lb]]*DbLinkTable[[#This Row],[Weight]]&gt;0,DbLinkTable[[#This Row],[Price/lb]]*DbLinkTable[[#This Row],[Weight]],0)</f>
        <v>#VALUE!</v>
      </c>
      <c r="U1363" s="79" t="e">
        <f>IF(DbLinkTable[[#This Row],[Price/lb]]*DbLinkTable[[#This Row],[Weight]]&lt;0,DbLinkTable[[#This Row],[Price/lb]]*DbLinkTable[[#This Row],[Weight]],0)</f>
        <v>#VALUE!</v>
      </c>
      <c r="V1363" s="4" t="str">
        <f>IF(COUNTIF($W$2:W1363,W1363)=1,1,"")</f>
        <v/>
      </c>
      <c r="W1363" s="4" t="e">
        <f>CONCATENATE(DbLinkTable[[#This Row],[Customer]],UPPER(DbLinkTable[[#This Row],[Trailer Number]]),DbLinkTable[[#This Row],[Day Received]])</f>
        <v>#VALUE!</v>
      </c>
      <c r="X1363" s="4" t="e">
        <f>DATEVALUE(TEXT(DbLinkTable[[#This Row],[Date Received]],"MMMM YYYY"))</f>
        <v>#VALUE!</v>
      </c>
      <c r="Y1363" s="4" t="e">
        <f>INT(DbLinkTable[[#This Row],[Date Received]])</f>
        <v>#VALUE!</v>
      </c>
    </row>
    <row r="1364" spans="5:25">
      <c r="E1364"/>
      <c r="G1364"/>
      <c r="H1364"/>
      <c r="I1364"/>
      <c r="K1364"/>
      <c r="O1364"/>
      <c r="R1364"/>
      <c r="S1364" s="79" t="e">
        <f>DbLinkTable[[#This Row],[Credit]]+DbLinkTable[[#This Row],[Charge]]</f>
        <v>#VALUE!</v>
      </c>
      <c r="T1364" s="79" t="e">
        <f>IF(DbLinkTable[[#This Row],[Price/lb]]*DbLinkTable[[#This Row],[Weight]]&gt;0,DbLinkTable[[#This Row],[Price/lb]]*DbLinkTable[[#This Row],[Weight]],0)</f>
        <v>#VALUE!</v>
      </c>
      <c r="U1364" s="79" t="e">
        <f>IF(DbLinkTable[[#This Row],[Price/lb]]*DbLinkTable[[#This Row],[Weight]]&lt;0,DbLinkTable[[#This Row],[Price/lb]]*DbLinkTable[[#This Row],[Weight]],0)</f>
        <v>#VALUE!</v>
      </c>
      <c r="V1364" s="4" t="str">
        <f>IF(COUNTIF($W$2:W1364,W1364)=1,1,"")</f>
        <v/>
      </c>
      <c r="W1364" s="4" t="e">
        <f>CONCATENATE(DbLinkTable[[#This Row],[Customer]],UPPER(DbLinkTable[[#This Row],[Trailer Number]]),DbLinkTable[[#This Row],[Day Received]])</f>
        <v>#VALUE!</v>
      </c>
      <c r="X1364" s="4" t="e">
        <f>DATEVALUE(TEXT(DbLinkTable[[#This Row],[Date Received]],"MMMM YYYY"))</f>
        <v>#VALUE!</v>
      </c>
      <c r="Y1364" s="4" t="e">
        <f>INT(DbLinkTable[[#This Row],[Date Received]])</f>
        <v>#VALUE!</v>
      </c>
    </row>
    <row r="1365" spans="5:25">
      <c r="E1365"/>
      <c r="G1365"/>
      <c r="H1365"/>
      <c r="I1365"/>
      <c r="K1365"/>
      <c r="O1365"/>
      <c r="R1365"/>
      <c r="S1365" s="79" t="e">
        <f>DbLinkTable[[#This Row],[Credit]]+DbLinkTable[[#This Row],[Charge]]</f>
        <v>#VALUE!</v>
      </c>
      <c r="T1365" s="79" t="e">
        <f>IF(DbLinkTable[[#This Row],[Price/lb]]*DbLinkTable[[#This Row],[Weight]]&gt;0,DbLinkTable[[#This Row],[Price/lb]]*DbLinkTable[[#This Row],[Weight]],0)</f>
        <v>#VALUE!</v>
      </c>
      <c r="U1365" s="79" t="e">
        <f>IF(DbLinkTable[[#This Row],[Price/lb]]*DbLinkTable[[#This Row],[Weight]]&lt;0,DbLinkTable[[#This Row],[Price/lb]]*DbLinkTable[[#This Row],[Weight]],0)</f>
        <v>#VALUE!</v>
      </c>
      <c r="V1365" s="4" t="str">
        <f>IF(COUNTIF($W$2:W1365,W1365)=1,1,"")</f>
        <v/>
      </c>
      <c r="W1365" s="4" t="e">
        <f>CONCATENATE(DbLinkTable[[#This Row],[Customer]],UPPER(DbLinkTable[[#This Row],[Trailer Number]]),DbLinkTable[[#This Row],[Day Received]])</f>
        <v>#VALUE!</v>
      </c>
      <c r="X1365" s="4" t="e">
        <f>DATEVALUE(TEXT(DbLinkTable[[#This Row],[Date Received]],"MMMM YYYY"))</f>
        <v>#VALUE!</v>
      </c>
      <c r="Y1365" s="4" t="e">
        <f>INT(DbLinkTable[[#This Row],[Date Received]])</f>
        <v>#VALUE!</v>
      </c>
    </row>
    <row r="1366" spans="5:25">
      <c r="E1366"/>
      <c r="G1366"/>
      <c r="H1366"/>
      <c r="I1366"/>
      <c r="K1366"/>
      <c r="O1366"/>
      <c r="R1366"/>
      <c r="S1366" s="79" t="e">
        <f>DbLinkTable[[#This Row],[Credit]]+DbLinkTable[[#This Row],[Charge]]</f>
        <v>#VALUE!</v>
      </c>
      <c r="T1366" s="79" t="e">
        <f>IF(DbLinkTable[[#This Row],[Price/lb]]*DbLinkTable[[#This Row],[Weight]]&gt;0,DbLinkTable[[#This Row],[Price/lb]]*DbLinkTable[[#This Row],[Weight]],0)</f>
        <v>#VALUE!</v>
      </c>
      <c r="U1366" s="79" t="e">
        <f>IF(DbLinkTable[[#This Row],[Price/lb]]*DbLinkTable[[#This Row],[Weight]]&lt;0,DbLinkTable[[#This Row],[Price/lb]]*DbLinkTable[[#This Row],[Weight]],0)</f>
        <v>#VALUE!</v>
      </c>
      <c r="V1366" s="4" t="str">
        <f>IF(COUNTIF($W$2:W1366,W1366)=1,1,"")</f>
        <v/>
      </c>
      <c r="W1366" s="4" t="e">
        <f>CONCATENATE(DbLinkTable[[#This Row],[Customer]],UPPER(DbLinkTable[[#This Row],[Trailer Number]]),DbLinkTable[[#This Row],[Day Received]])</f>
        <v>#VALUE!</v>
      </c>
      <c r="X1366" s="4" t="e">
        <f>DATEVALUE(TEXT(DbLinkTable[[#This Row],[Date Received]],"MMMM YYYY"))</f>
        <v>#VALUE!</v>
      </c>
      <c r="Y1366" s="4" t="e">
        <f>INT(DbLinkTable[[#This Row],[Date Received]])</f>
        <v>#VALUE!</v>
      </c>
    </row>
    <row r="1367" spans="5:25">
      <c r="E1367"/>
      <c r="G1367"/>
      <c r="H1367"/>
      <c r="I1367"/>
      <c r="K1367"/>
      <c r="O1367"/>
      <c r="R1367"/>
      <c r="S1367" s="79" t="e">
        <f>DbLinkTable[[#This Row],[Credit]]+DbLinkTable[[#This Row],[Charge]]</f>
        <v>#VALUE!</v>
      </c>
      <c r="T1367" s="79" t="e">
        <f>IF(DbLinkTable[[#This Row],[Price/lb]]*DbLinkTable[[#This Row],[Weight]]&gt;0,DbLinkTable[[#This Row],[Price/lb]]*DbLinkTable[[#This Row],[Weight]],0)</f>
        <v>#VALUE!</v>
      </c>
      <c r="U1367" s="79" t="e">
        <f>IF(DbLinkTable[[#This Row],[Price/lb]]*DbLinkTable[[#This Row],[Weight]]&lt;0,DbLinkTable[[#This Row],[Price/lb]]*DbLinkTable[[#This Row],[Weight]],0)</f>
        <v>#VALUE!</v>
      </c>
      <c r="V1367" s="4" t="str">
        <f>IF(COUNTIF($W$2:W1367,W1367)=1,1,"")</f>
        <v/>
      </c>
      <c r="W1367" s="4" t="e">
        <f>CONCATENATE(DbLinkTable[[#This Row],[Customer]],UPPER(DbLinkTable[[#This Row],[Trailer Number]]),DbLinkTable[[#This Row],[Day Received]])</f>
        <v>#VALUE!</v>
      </c>
      <c r="X1367" s="4" t="e">
        <f>DATEVALUE(TEXT(DbLinkTable[[#This Row],[Date Received]],"MMMM YYYY"))</f>
        <v>#VALUE!</v>
      </c>
      <c r="Y1367" s="4" t="e">
        <f>INT(DbLinkTable[[#This Row],[Date Received]])</f>
        <v>#VALUE!</v>
      </c>
    </row>
    <row r="1368" spans="5:25">
      <c r="E1368"/>
      <c r="G1368"/>
      <c r="H1368"/>
      <c r="I1368"/>
      <c r="K1368"/>
      <c r="O1368"/>
      <c r="R1368"/>
      <c r="S1368" s="99" t="e">
        <f>DbLinkTable[[#This Row],[Credit]]+DbLinkTable[[#This Row],[Charge]]</f>
        <v>#VALUE!</v>
      </c>
      <c r="T1368" s="99" t="e">
        <f>IF(DbLinkTable[[#This Row],[Price/lb]]*DbLinkTable[[#This Row],[Weight]]&gt;0,DbLinkTable[[#This Row],[Price/lb]]*DbLinkTable[[#This Row],[Weight]],0)</f>
        <v>#VALUE!</v>
      </c>
      <c r="U1368" s="99" t="e">
        <f>IF(DbLinkTable[[#This Row],[Price/lb]]*DbLinkTable[[#This Row],[Weight]]&lt;0,DbLinkTable[[#This Row],[Price/lb]]*DbLinkTable[[#This Row],[Weight]],0)</f>
        <v>#VALUE!</v>
      </c>
      <c r="V1368" s="88" t="str">
        <f>IF(COUNTIF($W$2:W629,W1368)=1,1,"")</f>
        <v/>
      </c>
      <c r="W1368" s="88" t="e">
        <f>CONCATENATE(DbLinkTable[[#This Row],[Customer]],UPPER(DbLinkTable[[#This Row],[Trailer Number]]),DbLinkTable[[#This Row],[Day Received]])</f>
        <v>#VALUE!</v>
      </c>
      <c r="X1368" s="88" t="e">
        <f>DATEVALUE(TEXT(DbLinkTable[[#This Row],[Date Received]],"MMMM YYYY"))</f>
        <v>#VALUE!</v>
      </c>
      <c r="Y1368" s="88" t="e">
        <f>INT(DbLinkTable[[#This Row],[Date Received]])</f>
        <v>#VALUE!</v>
      </c>
    </row>
    <row r="1369" spans="5:25">
      <c r="E1369"/>
      <c r="G1369"/>
      <c r="H1369"/>
      <c r="I1369"/>
      <c r="K1369"/>
      <c r="O1369"/>
      <c r="R1369"/>
      <c r="S1369" s="79" t="e">
        <f>DbLinkTable[[#This Row],[Credit]]+DbLinkTable[[#This Row],[Charge]]</f>
        <v>#VALUE!</v>
      </c>
      <c r="T1369" s="79" t="e">
        <f>IF(DbLinkTable[[#This Row],[Price/lb]]*DbLinkTable[[#This Row],[Weight]]&gt;0,DbLinkTable[[#This Row],[Price/lb]]*DbLinkTable[[#This Row],[Weight]],0)</f>
        <v>#VALUE!</v>
      </c>
      <c r="U1369" s="79" t="e">
        <f>IF(DbLinkTable[[#This Row],[Price/lb]]*DbLinkTable[[#This Row],[Weight]]&lt;0,DbLinkTable[[#This Row],[Price/lb]]*DbLinkTable[[#This Row],[Weight]],0)</f>
        <v>#VALUE!</v>
      </c>
      <c r="V1369" s="4" t="str">
        <f>IF(COUNTIF($W$2:W1369,W1369)=1,1,"")</f>
        <v/>
      </c>
      <c r="W1369" s="4" t="e">
        <f>CONCATENATE(DbLinkTable[[#This Row],[Customer]],UPPER(DbLinkTable[[#This Row],[Trailer Number]]),DbLinkTable[[#This Row],[Day Received]])</f>
        <v>#VALUE!</v>
      </c>
      <c r="X1369" s="4" t="e">
        <f>DATEVALUE(TEXT(DbLinkTable[[#This Row],[Date Received]],"MMMM YYYY"))</f>
        <v>#VALUE!</v>
      </c>
      <c r="Y1369" s="4" t="e">
        <f>INT(DbLinkTable[[#This Row],[Date Received]])</f>
        <v>#VALUE!</v>
      </c>
    </row>
    <row r="1370" spans="5:25">
      <c r="E1370"/>
      <c r="G1370"/>
      <c r="H1370"/>
      <c r="I1370"/>
      <c r="K1370"/>
      <c r="O1370"/>
      <c r="R1370"/>
      <c r="S1370" s="79" t="e">
        <f>DbLinkTable[[#This Row],[Credit]]+DbLinkTable[[#This Row],[Charge]]</f>
        <v>#VALUE!</v>
      </c>
      <c r="T1370" s="79" t="e">
        <f>IF(DbLinkTable[[#This Row],[Price/lb]]*DbLinkTable[[#This Row],[Weight]]&gt;0,DbLinkTable[[#This Row],[Price/lb]]*DbLinkTable[[#This Row],[Weight]],0)</f>
        <v>#VALUE!</v>
      </c>
      <c r="U1370" s="79" t="e">
        <f>IF(DbLinkTable[[#This Row],[Price/lb]]*DbLinkTable[[#This Row],[Weight]]&lt;0,DbLinkTable[[#This Row],[Price/lb]]*DbLinkTable[[#This Row],[Weight]],0)</f>
        <v>#VALUE!</v>
      </c>
      <c r="V1370" s="4" t="str">
        <f>IF(COUNTIF($W$2:W1370,W1370)=1,1,"")</f>
        <v/>
      </c>
      <c r="W1370" s="4" t="e">
        <f>CONCATENATE(DbLinkTable[[#This Row],[Customer]],UPPER(DbLinkTable[[#This Row],[Trailer Number]]),DbLinkTable[[#This Row],[Day Received]])</f>
        <v>#VALUE!</v>
      </c>
      <c r="X1370" s="4" t="e">
        <f>DATEVALUE(TEXT(DbLinkTable[[#This Row],[Date Received]],"MMMM YYYY"))</f>
        <v>#VALUE!</v>
      </c>
      <c r="Y1370" s="4" t="e">
        <f>INT(DbLinkTable[[#This Row],[Date Received]])</f>
        <v>#VALUE!</v>
      </c>
    </row>
    <row r="1371" spans="5:25">
      <c r="E1371"/>
      <c r="G1371"/>
      <c r="H1371"/>
      <c r="I1371"/>
      <c r="K1371"/>
      <c r="O1371"/>
      <c r="R1371"/>
      <c r="S1371" s="79" t="e">
        <f>DbLinkTable[[#This Row],[Credit]]+DbLinkTable[[#This Row],[Charge]]</f>
        <v>#VALUE!</v>
      </c>
      <c r="T1371" s="79" t="e">
        <f>IF(DbLinkTable[[#This Row],[Price/lb]]*DbLinkTable[[#This Row],[Weight]]&gt;0,DbLinkTable[[#This Row],[Price/lb]]*DbLinkTable[[#This Row],[Weight]],0)</f>
        <v>#VALUE!</v>
      </c>
      <c r="U1371" s="79" t="e">
        <f>IF(DbLinkTable[[#This Row],[Price/lb]]*DbLinkTable[[#This Row],[Weight]]&lt;0,DbLinkTable[[#This Row],[Price/lb]]*DbLinkTable[[#This Row],[Weight]],0)</f>
        <v>#VALUE!</v>
      </c>
      <c r="V1371" s="4" t="str">
        <f>IF(COUNTIF($W$2:W1371,W1371)=1,1,"")</f>
        <v/>
      </c>
      <c r="W1371" s="4" t="e">
        <f>CONCATENATE(DbLinkTable[[#This Row],[Customer]],UPPER(DbLinkTable[[#This Row],[Trailer Number]]),DbLinkTable[[#This Row],[Day Received]])</f>
        <v>#VALUE!</v>
      </c>
      <c r="X1371" s="4" t="e">
        <f>DATEVALUE(TEXT(DbLinkTable[[#This Row],[Date Received]],"MMMM YYYY"))</f>
        <v>#VALUE!</v>
      </c>
      <c r="Y1371" s="4" t="e">
        <f>INT(DbLinkTable[[#This Row],[Date Received]])</f>
        <v>#VALUE!</v>
      </c>
    </row>
    <row r="1372" spans="5:25">
      <c r="E1372"/>
      <c r="G1372"/>
      <c r="H1372"/>
      <c r="I1372"/>
      <c r="K1372"/>
      <c r="O1372"/>
      <c r="R1372"/>
      <c r="S1372" s="79" t="e">
        <f>DbLinkTable[[#This Row],[Credit]]+DbLinkTable[[#This Row],[Charge]]</f>
        <v>#VALUE!</v>
      </c>
      <c r="T1372" s="79" t="e">
        <f>IF(DbLinkTable[[#This Row],[Price/lb]]*DbLinkTable[[#This Row],[Weight]]&gt;0,DbLinkTable[[#This Row],[Price/lb]]*DbLinkTable[[#This Row],[Weight]],0)</f>
        <v>#VALUE!</v>
      </c>
      <c r="U1372" s="79" t="e">
        <f>IF(DbLinkTable[[#This Row],[Price/lb]]*DbLinkTable[[#This Row],[Weight]]&lt;0,DbLinkTable[[#This Row],[Price/lb]]*DbLinkTable[[#This Row],[Weight]],0)</f>
        <v>#VALUE!</v>
      </c>
      <c r="V1372" s="4" t="str">
        <f>IF(COUNTIF($W$2:W1372,W1372)=1,1,"")</f>
        <v/>
      </c>
      <c r="W1372" s="4" t="e">
        <f>CONCATENATE(DbLinkTable[[#This Row],[Customer]],UPPER(DbLinkTable[[#This Row],[Trailer Number]]),DbLinkTable[[#This Row],[Day Received]])</f>
        <v>#VALUE!</v>
      </c>
      <c r="X1372" s="4" t="e">
        <f>DATEVALUE(TEXT(DbLinkTable[[#This Row],[Date Received]],"MMMM YYYY"))</f>
        <v>#VALUE!</v>
      </c>
      <c r="Y1372" s="4" t="e">
        <f>INT(DbLinkTable[[#This Row],[Date Received]])</f>
        <v>#VALUE!</v>
      </c>
    </row>
    <row r="1373" spans="5:25">
      <c r="E1373"/>
      <c r="G1373"/>
      <c r="H1373"/>
      <c r="I1373"/>
      <c r="K1373"/>
      <c r="O1373"/>
      <c r="R1373"/>
      <c r="S1373" s="79" t="e">
        <f>DbLinkTable[[#This Row],[Credit]]+DbLinkTable[[#This Row],[Charge]]</f>
        <v>#VALUE!</v>
      </c>
      <c r="T1373" s="79" t="e">
        <f>IF(DbLinkTable[[#This Row],[Price/lb]]*DbLinkTable[[#This Row],[Weight]]&gt;0,DbLinkTable[[#This Row],[Price/lb]]*DbLinkTable[[#This Row],[Weight]],0)</f>
        <v>#VALUE!</v>
      </c>
      <c r="U1373" s="79" t="e">
        <f>IF(DbLinkTable[[#This Row],[Price/lb]]*DbLinkTable[[#This Row],[Weight]]&lt;0,DbLinkTable[[#This Row],[Price/lb]]*DbLinkTable[[#This Row],[Weight]],0)</f>
        <v>#VALUE!</v>
      </c>
      <c r="V1373" s="4" t="str">
        <f>IF(COUNTIF($W$2:W1373,W1373)=1,1,"")</f>
        <v/>
      </c>
      <c r="W1373" s="4" t="e">
        <f>CONCATENATE(DbLinkTable[[#This Row],[Customer]],UPPER(DbLinkTable[[#This Row],[Trailer Number]]),DbLinkTable[[#This Row],[Day Received]])</f>
        <v>#VALUE!</v>
      </c>
      <c r="X1373" s="4" t="e">
        <f>DATEVALUE(TEXT(DbLinkTable[[#This Row],[Date Received]],"MMMM YYYY"))</f>
        <v>#VALUE!</v>
      </c>
      <c r="Y1373" s="4" t="e">
        <f>INT(DbLinkTable[[#This Row],[Date Received]])</f>
        <v>#VALUE!</v>
      </c>
    </row>
    <row r="1374" spans="5:25">
      <c r="E1374"/>
      <c r="G1374"/>
      <c r="H1374"/>
      <c r="I1374"/>
      <c r="K1374"/>
      <c r="O1374"/>
      <c r="R1374"/>
      <c r="S1374" s="79" t="e">
        <f>DbLinkTable[[#This Row],[Credit]]+DbLinkTable[[#This Row],[Charge]]</f>
        <v>#VALUE!</v>
      </c>
      <c r="T1374" s="79" t="e">
        <f>IF(DbLinkTable[[#This Row],[Price/lb]]*DbLinkTable[[#This Row],[Weight]]&gt;0,DbLinkTable[[#This Row],[Price/lb]]*DbLinkTable[[#This Row],[Weight]],0)</f>
        <v>#VALUE!</v>
      </c>
      <c r="U1374" s="79" t="e">
        <f>IF(DbLinkTable[[#This Row],[Price/lb]]*DbLinkTable[[#This Row],[Weight]]&lt;0,DbLinkTable[[#This Row],[Price/lb]]*DbLinkTable[[#This Row],[Weight]],0)</f>
        <v>#VALUE!</v>
      </c>
      <c r="V1374" s="4" t="str">
        <f>IF(COUNTIF($W$2:W1374,W1374)=1,1,"")</f>
        <v/>
      </c>
      <c r="W1374" s="4" t="e">
        <f>CONCATENATE(DbLinkTable[[#This Row],[Customer]],UPPER(DbLinkTable[[#This Row],[Trailer Number]]),DbLinkTable[[#This Row],[Day Received]])</f>
        <v>#VALUE!</v>
      </c>
      <c r="X1374" s="4" t="e">
        <f>DATEVALUE(TEXT(DbLinkTable[[#This Row],[Date Received]],"MMMM YYYY"))</f>
        <v>#VALUE!</v>
      </c>
      <c r="Y1374" s="4" t="e">
        <f>INT(DbLinkTable[[#This Row],[Date Received]])</f>
        <v>#VALUE!</v>
      </c>
    </row>
    <row r="1375" spans="5:25">
      <c r="E1375"/>
      <c r="G1375"/>
      <c r="H1375"/>
      <c r="I1375"/>
      <c r="K1375"/>
      <c r="O1375"/>
      <c r="R1375"/>
      <c r="S1375" s="79" t="e">
        <f>DbLinkTable[[#This Row],[Credit]]+DbLinkTable[[#This Row],[Charge]]</f>
        <v>#VALUE!</v>
      </c>
      <c r="T1375" s="79" t="e">
        <f>IF(DbLinkTable[[#This Row],[Price/lb]]*DbLinkTable[[#This Row],[Weight]]&gt;0,DbLinkTable[[#This Row],[Price/lb]]*DbLinkTable[[#This Row],[Weight]],0)</f>
        <v>#VALUE!</v>
      </c>
      <c r="U1375" s="79" t="e">
        <f>IF(DbLinkTable[[#This Row],[Price/lb]]*DbLinkTable[[#This Row],[Weight]]&lt;0,DbLinkTable[[#This Row],[Price/lb]]*DbLinkTable[[#This Row],[Weight]],0)</f>
        <v>#VALUE!</v>
      </c>
      <c r="V1375" s="4" t="str">
        <f>IF(COUNTIF($W$2:W1375,W1375)=1,1,"")</f>
        <v/>
      </c>
      <c r="W1375" s="4" t="e">
        <f>CONCATENATE(DbLinkTable[[#This Row],[Customer]],UPPER(DbLinkTable[[#This Row],[Trailer Number]]),DbLinkTable[[#This Row],[Day Received]])</f>
        <v>#VALUE!</v>
      </c>
      <c r="X1375" s="4" t="e">
        <f>DATEVALUE(TEXT(DbLinkTable[[#This Row],[Date Received]],"MMMM YYYY"))</f>
        <v>#VALUE!</v>
      </c>
      <c r="Y1375" s="4" t="e">
        <f>INT(DbLinkTable[[#This Row],[Date Received]])</f>
        <v>#VALUE!</v>
      </c>
    </row>
    <row r="1376" spans="5:25">
      <c r="E1376"/>
      <c r="G1376"/>
      <c r="H1376"/>
      <c r="I1376"/>
      <c r="K1376"/>
      <c r="O1376"/>
      <c r="R1376"/>
      <c r="S1376" s="79" t="e">
        <f>DbLinkTable[[#This Row],[Credit]]+DbLinkTable[[#This Row],[Charge]]</f>
        <v>#VALUE!</v>
      </c>
      <c r="T1376" s="79" t="e">
        <f>IF(DbLinkTable[[#This Row],[Price/lb]]*DbLinkTable[[#This Row],[Weight]]&gt;0,DbLinkTable[[#This Row],[Price/lb]]*DbLinkTable[[#This Row],[Weight]],0)</f>
        <v>#VALUE!</v>
      </c>
      <c r="U1376" s="79" t="e">
        <f>IF(DbLinkTable[[#This Row],[Price/lb]]*DbLinkTable[[#This Row],[Weight]]&lt;0,DbLinkTable[[#This Row],[Price/lb]]*DbLinkTable[[#This Row],[Weight]],0)</f>
        <v>#VALUE!</v>
      </c>
      <c r="V1376" s="4" t="str">
        <f>IF(COUNTIF($W$2:W1376,W1376)=1,1,"")</f>
        <v/>
      </c>
      <c r="W1376" s="4" t="e">
        <f>CONCATENATE(DbLinkTable[[#This Row],[Customer]],UPPER(DbLinkTable[[#This Row],[Trailer Number]]),DbLinkTable[[#This Row],[Day Received]])</f>
        <v>#VALUE!</v>
      </c>
      <c r="X1376" s="4" t="e">
        <f>DATEVALUE(TEXT(DbLinkTable[[#This Row],[Date Received]],"MMMM YYYY"))</f>
        <v>#VALUE!</v>
      </c>
      <c r="Y1376" s="4" t="e">
        <f>INT(DbLinkTable[[#This Row],[Date Received]])</f>
        <v>#VALUE!</v>
      </c>
    </row>
    <row r="1377" spans="5:25">
      <c r="E1377"/>
      <c r="G1377"/>
      <c r="H1377"/>
      <c r="I1377"/>
      <c r="K1377"/>
      <c r="O1377"/>
      <c r="R1377"/>
      <c r="S1377" s="79" t="e">
        <f>DbLinkTable[[#This Row],[Credit]]+DbLinkTable[[#This Row],[Charge]]</f>
        <v>#VALUE!</v>
      </c>
      <c r="T1377" s="79" t="e">
        <f>IF(DbLinkTable[[#This Row],[Price/lb]]*DbLinkTable[[#This Row],[Weight]]&gt;0,DbLinkTable[[#This Row],[Price/lb]]*DbLinkTable[[#This Row],[Weight]],0)</f>
        <v>#VALUE!</v>
      </c>
      <c r="U1377" s="79" t="e">
        <f>IF(DbLinkTable[[#This Row],[Price/lb]]*DbLinkTable[[#This Row],[Weight]]&lt;0,DbLinkTable[[#This Row],[Price/lb]]*DbLinkTable[[#This Row],[Weight]],0)</f>
        <v>#VALUE!</v>
      </c>
      <c r="V1377" s="4" t="str">
        <f>IF(COUNTIF($W$2:W1377,W1377)=1,1,"")</f>
        <v/>
      </c>
      <c r="W1377" s="4" t="e">
        <f>CONCATENATE(DbLinkTable[[#This Row],[Customer]],UPPER(DbLinkTable[[#This Row],[Trailer Number]]),DbLinkTable[[#This Row],[Day Received]])</f>
        <v>#VALUE!</v>
      </c>
      <c r="X1377" s="4" t="e">
        <f>DATEVALUE(TEXT(DbLinkTable[[#This Row],[Date Received]],"MMMM YYYY"))</f>
        <v>#VALUE!</v>
      </c>
      <c r="Y1377" s="4" t="e">
        <f>INT(DbLinkTable[[#This Row],[Date Received]])</f>
        <v>#VALUE!</v>
      </c>
    </row>
    <row r="1378" spans="5:25">
      <c r="E1378"/>
      <c r="G1378"/>
      <c r="H1378"/>
      <c r="I1378"/>
      <c r="K1378"/>
      <c r="O1378"/>
      <c r="R1378"/>
      <c r="S1378" s="79" t="e">
        <f>DbLinkTable[[#This Row],[Credit]]+DbLinkTable[[#This Row],[Charge]]</f>
        <v>#VALUE!</v>
      </c>
      <c r="T1378" s="79" t="e">
        <f>IF(DbLinkTable[[#This Row],[Price/lb]]*DbLinkTable[[#This Row],[Weight]]&gt;0,DbLinkTable[[#This Row],[Price/lb]]*DbLinkTable[[#This Row],[Weight]],0)</f>
        <v>#VALUE!</v>
      </c>
      <c r="U1378" s="79" t="e">
        <f>IF(DbLinkTable[[#This Row],[Price/lb]]*DbLinkTable[[#This Row],[Weight]]&lt;0,DbLinkTable[[#This Row],[Price/lb]]*DbLinkTable[[#This Row],[Weight]],0)</f>
        <v>#VALUE!</v>
      </c>
      <c r="V1378" s="4" t="str">
        <f>IF(COUNTIF($W$2:W1378,W1378)=1,1,"")</f>
        <v/>
      </c>
      <c r="W1378" s="4" t="e">
        <f>CONCATENATE(DbLinkTable[[#This Row],[Customer]],UPPER(DbLinkTable[[#This Row],[Trailer Number]]),DbLinkTable[[#This Row],[Day Received]])</f>
        <v>#VALUE!</v>
      </c>
      <c r="X1378" s="4" t="e">
        <f>DATEVALUE(TEXT(DbLinkTable[[#This Row],[Date Received]],"MMMM YYYY"))</f>
        <v>#VALUE!</v>
      </c>
      <c r="Y1378" s="4" t="e">
        <f>INT(DbLinkTable[[#This Row],[Date Received]])</f>
        <v>#VALUE!</v>
      </c>
    </row>
    <row r="1379" spans="5:25">
      <c r="E1379"/>
      <c r="G1379"/>
      <c r="H1379"/>
      <c r="I1379"/>
      <c r="K1379"/>
      <c r="O1379"/>
      <c r="R1379"/>
      <c r="S1379" s="79" t="e">
        <f>DbLinkTable[[#This Row],[Credit]]+DbLinkTable[[#This Row],[Charge]]</f>
        <v>#VALUE!</v>
      </c>
      <c r="T1379" s="79" t="e">
        <f>IF(DbLinkTable[[#This Row],[Price/lb]]*DbLinkTable[[#This Row],[Weight]]&gt;0,DbLinkTable[[#This Row],[Price/lb]]*DbLinkTable[[#This Row],[Weight]],0)</f>
        <v>#VALUE!</v>
      </c>
      <c r="U1379" s="79" t="e">
        <f>IF(DbLinkTable[[#This Row],[Price/lb]]*DbLinkTable[[#This Row],[Weight]]&lt;0,DbLinkTable[[#This Row],[Price/lb]]*DbLinkTable[[#This Row],[Weight]],0)</f>
        <v>#VALUE!</v>
      </c>
      <c r="V1379" s="4" t="str">
        <f>IF(COUNTIF($W$2:W1379,W1379)=1,1,"")</f>
        <v/>
      </c>
      <c r="W1379" s="4" t="e">
        <f>CONCATENATE(DbLinkTable[[#This Row],[Customer]],UPPER(DbLinkTable[[#This Row],[Trailer Number]]),DbLinkTable[[#This Row],[Day Received]])</f>
        <v>#VALUE!</v>
      </c>
      <c r="X1379" s="4" t="e">
        <f>DATEVALUE(TEXT(DbLinkTable[[#This Row],[Date Received]],"MMMM YYYY"))</f>
        <v>#VALUE!</v>
      </c>
      <c r="Y1379" s="4" t="e">
        <f>INT(DbLinkTable[[#This Row],[Date Received]])</f>
        <v>#VALUE!</v>
      </c>
    </row>
    <row r="1380" spans="5:25">
      <c r="E1380"/>
      <c r="G1380"/>
      <c r="H1380"/>
      <c r="I1380"/>
      <c r="K1380"/>
      <c r="O1380"/>
      <c r="R1380"/>
      <c r="S1380" s="79" t="e">
        <f>DbLinkTable[[#This Row],[Credit]]+DbLinkTable[[#This Row],[Charge]]</f>
        <v>#VALUE!</v>
      </c>
      <c r="T1380" s="79" t="e">
        <f>IF(DbLinkTable[[#This Row],[Price/lb]]*DbLinkTable[[#This Row],[Weight]]&gt;0,DbLinkTable[[#This Row],[Price/lb]]*DbLinkTable[[#This Row],[Weight]],0)</f>
        <v>#VALUE!</v>
      </c>
      <c r="U1380" s="79" t="e">
        <f>IF(DbLinkTable[[#This Row],[Price/lb]]*DbLinkTable[[#This Row],[Weight]]&lt;0,DbLinkTable[[#This Row],[Price/lb]]*DbLinkTable[[#This Row],[Weight]],0)</f>
        <v>#VALUE!</v>
      </c>
      <c r="V1380" s="4" t="str">
        <f>IF(COUNTIF($W$2:W1380,W1380)=1,1,"")</f>
        <v/>
      </c>
      <c r="W1380" s="4" t="e">
        <f>CONCATENATE(DbLinkTable[[#This Row],[Customer]],UPPER(DbLinkTable[[#This Row],[Trailer Number]]),DbLinkTable[[#This Row],[Day Received]])</f>
        <v>#VALUE!</v>
      </c>
      <c r="X1380" s="4" t="e">
        <f>DATEVALUE(TEXT(DbLinkTable[[#This Row],[Date Received]],"MMMM YYYY"))</f>
        <v>#VALUE!</v>
      </c>
      <c r="Y1380" s="4" t="e">
        <f>INT(DbLinkTable[[#This Row],[Date Received]])</f>
        <v>#VALUE!</v>
      </c>
    </row>
    <row r="1381" spans="5:25">
      <c r="E1381"/>
      <c r="G1381"/>
      <c r="H1381"/>
      <c r="I1381"/>
      <c r="K1381"/>
      <c r="O1381"/>
      <c r="R1381"/>
      <c r="S1381" s="79" t="e">
        <f>DbLinkTable[[#This Row],[Credit]]+DbLinkTable[[#This Row],[Charge]]</f>
        <v>#VALUE!</v>
      </c>
      <c r="T1381" s="79" t="e">
        <f>IF(DbLinkTable[[#This Row],[Price/lb]]*DbLinkTable[[#This Row],[Weight]]&gt;0,DbLinkTable[[#This Row],[Price/lb]]*DbLinkTable[[#This Row],[Weight]],0)</f>
        <v>#VALUE!</v>
      </c>
      <c r="U1381" s="79" t="e">
        <f>IF(DbLinkTable[[#This Row],[Price/lb]]*DbLinkTable[[#This Row],[Weight]]&lt;0,DbLinkTable[[#This Row],[Price/lb]]*DbLinkTable[[#This Row],[Weight]],0)</f>
        <v>#VALUE!</v>
      </c>
      <c r="V1381" s="4" t="str">
        <f>IF(COUNTIF($W$2:W1381,W1381)=1,1,"")</f>
        <v/>
      </c>
      <c r="W1381" s="4" t="e">
        <f>CONCATENATE(DbLinkTable[[#This Row],[Customer]],UPPER(DbLinkTable[[#This Row],[Trailer Number]]),DbLinkTable[[#This Row],[Day Received]])</f>
        <v>#VALUE!</v>
      </c>
      <c r="X1381" s="4" t="e">
        <f>DATEVALUE(TEXT(DbLinkTable[[#This Row],[Date Received]],"MMMM YYYY"))</f>
        <v>#VALUE!</v>
      </c>
      <c r="Y1381" s="4" t="e">
        <f>INT(DbLinkTable[[#This Row],[Date Received]])</f>
        <v>#VALUE!</v>
      </c>
    </row>
    <row r="1382" spans="5:25">
      <c r="E1382"/>
      <c r="G1382"/>
      <c r="H1382"/>
      <c r="I1382"/>
      <c r="K1382"/>
      <c r="O1382"/>
      <c r="R1382"/>
      <c r="S1382" s="79" t="e">
        <f>DbLinkTable[[#This Row],[Credit]]+DbLinkTable[[#This Row],[Charge]]</f>
        <v>#VALUE!</v>
      </c>
      <c r="T1382" s="79" t="e">
        <f>IF(DbLinkTable[[#This Row],[Price/lb]]*DbLinkTable[[#This Row],[Weight]]&gt;0,DbLinkTable[[#This Row],[Price/lb]]*DbLinkTable[[#This Row],[Weight]],0)</f>
        <v>#VALUE!</v>
      </c>
      <c r="U1382" s="79" t="e">
        <f>IF(DbLinkTable[[#This Row],[Price/lb]]*DbLinkTable[[#This Row],[Weight]]&lt;0,DbLinkTable[[#This Row],[Price/lb]]*DbLinkTable[[#This Row],[Weight]],0)</f>
        <v>#VALUE!</v>
      </c>
      <c r="V1382" s="4" t="str">
        <f>IF(COUNTIF($W$2:W1382,W1382)=1,1,"")</f>
        <v/>
      </c>
      <c r="W1382" s="4" t="e">
        <f>CONCATENATE(DbLinkTable[[#This Row],[Customer]],UPPER(DbLinkTable[[#This Row],[Trailer Number]]),DbLinkTable[[#This Row],[Day Received]])</f>
        <v>#VALUE!</v>
      </c>
      <c r="X1382" s="4" t="e">
        <f>DATEVALUE(TEXT(DbLinkTable[[#This Row],[Date Received]],"MMMM YYYY"))</f>
        <v>#VALUE!</v>
      </c>
      <c r="Y1382" s="4" t="e">
        <f>INT(DbLinkTable[[#This Row],[Date Received]])</f>
        <v>#VALUE!</v>
      </c>
    </row>
    <row r="1383" spans="5:25">
      <c r="E1383"/>
      <c r="G1383"/>
      <c r="H1383"/>
      <c r="I1383"/>
      <c r="K1383"/>
      <c r="O1383"/>
      <c r="R1383"/>
      <c r="S1383" s="79" t="e">
        <f>DbLinkTable[[#This Row],[Credit]]+DbLinkTable[[#This Row],[Charge]]</f>
        <v>#VALUE!</v>
      </c>
      <c r="T1383" s="79" t="e">
        <f>IF(DbLinkTable[[#This Row],[Price/lb]]*DbLinkTable[[#This Row],[Weight]]&gt;0,DbLinkTable[[#This Row],[Price/lb]]*DbLinkTable[[#This Row],[Weight]],0)</f>
        <v>#VALUE!</v>
      </c>
      <c r="U1383" s="79" t="e">
        <f>IF(DbLinkTable[[#This Row],[Price/lb]]*DbLinkTable[[#This Row],[Weight]]&lt;0,DbLinkTable[[#This Row],[Price/lb]]*DbLinkTable[[#This Row],[Weight]],0)</f>
        <v>#VALUE!</v>
      </c>
      <c r="V1383" s="4" t="str">
        <f>IF(COUNTIF($W$2:W1383,W1383)=1,1,"")</f>
        <v/>
      </c>
      <c r="W1383" s="4" t="e">
        <f>CONCATENATE(DbLinkTable[[#This Row],[Customer]],UPPER(DbLinkTable[[#This Row],[Trailer Number]]),DbLinkTable[[#This Row],[Day Received]])</f>
        <v>#VALUE!</v>
      </c>
      <c r="X1383" s="4" t="e">
        <f>DATEVALUE(TEXT(DbLinkTable[[#This Row],[Date Received]],"MMMM YYYY"))</f>
        <v>#VALUE!</v>
      </c>
      <c r="Y1383" s="4" t="e">
        <f>INT(DbLinkTable[[#This Row],[Date Received]])</f>
        <v>#VALUE!</v>
      </c>
    </row>
    <row r="1384" spans="5:25">
      <c r="E1384"/>
      <c r="G1384"/>
      <c r="H1384"/>
      <c r="I1384"/>
      <c r="K1384"/>
      <c r="O1384"/>
      <c r="R1384"/>
      <c r="S1384" s="79" t="e">
        <f>DbLinkTable[[#This Row],[Credit]]+DbLinkTable[[#This Row],[Charge]]</f>
        <v>#VALUE!</v>
      </c>
      <c r="T1384" s="79" t="e">
        <f>IF(DbLinkTable[[#This Row],[Price/lb]]*DbLinkTable[[#This Row],[Weight]]&gt;0,DbLinkTable[[#This Row],[Price/lb]]*DbLinkTable[[#This Row],[Weight]],0)</f>
        <v>#VALUE!</v>
      </c>
      <c r="U1384" s="79" t="e">
        <f>IF(DbLinkTable[[#This Row],[Price/lb]]*DbLinkTable[[#This Row],[Weight]]&lt;0,DbLinkTable[[#This Row],[Price/lb]]*DbLinkTable[[#This Row],[Weight]],0)</f>
        <v>#VALUE!</v>
      </c>
      <c r="V1384" s="4" t="str">
        <f>IF(COUNTIF($W$2:W1384,W1384)=1,1,"")</f>
        <v/>
      </c>
      <c r="W1384" s="4" t="e">
        <f>CONCATENATE(DbLinkTable[[#This Row],[Customer]],UPPER(DbLinkTable[[#This Row],[Trailer Number]]),DbLinkTable[[#This Row],[Day Received]])</f>
        <v>#VALUE!</v>
      </c>
      <c r="X1384" s="4" t="e">
        <f>DATEVALUE(TEXT(DbLinkTable[[#This Row],[Date Received]],"MMMM YYYY"))</f>
        <v>#VALUE!</v>
      </c>
      <c r="Y1384" s="4" t="e">
        <f>INT(DbLinkTable[[#This Row],[Date Received]])</f>
        <v>#VALUE!</v>
      </c>
    </row>
    <row r="1385" spans="5:25">
      <c r="E1385"/>
      <c r="G1385"/>
      <c r="H1385"/>
      <c r="I1385"/>
      <c r="K1385"/>
      <c r="O1385"/>
      <c r="R1385"/>
      <c r="S1385" s="79" t="e">
        <f>DbLinkTable[[#This Row],[Credit]]+DbLinkTable[[#This Row],[Charge]]</f>
        <v>#VALUE!</v>
      </c>
      <c r="T1385" s="79" t="e">
        <f>IF(DbLinkTable[[#This Row],[Price/lb]]*DbLinkTable[[#This Row],[Weight]]&gt;0,DbLinkTable[[#This Row],[Price/lb]]*DbLinkTable[[#This Row],[Weight]],0)</f>
        <v>#VALUE!</v>
      </c>
      <c r="U1385" s="79" t="e">
        <f>IF(DbLinkTable[[#This Row],[Price/lb]]*DbLinkTable[[#This Row],[Weight]]&lt;0,DbLinkTable[[#This Row],[Price/lb]]*DbLinkTable[[#This Row],[Weight]],0)</f>
        <v>#VALUE!</v>
      </c>
      <c r="V1385" s="4" t="str">
        <f>IF(COUNTIF($W$2:W1385,W1385)=1,1,"")</f>
        <v/>
      </c>
      <c r="W1385" s="4" t="e">
        <f>CONCATENATE(DbLinkTable[[#This Row],[Customer]],UPPER(DbLinkTable[[#This Row],[Trailer Number]]),DbLinkTable[[#This Row],[Day Received]])</f>
        <v>#VALUE!</v>
      </c>
      <c r="X1385" s="4" t="e">
        <f>DATEVALUE(TEXT(DbLinkTable[[#This Row],[Date Received]],"MMMM YYYY"))</f>
        <v>#VALUE!</v>
      </c>
      <c r="Y1385" s="4" t="e">
        <f>INT(DbLinkTable[[#This Row],[Date Received]])</f>
        <v>#VALUE!</v>
      </c>
    </row>
    <row r="1386" spans="5:25">
      <c r="E1386"/>
      <c r="G1386"/>
      <c r="H1386"/>
      <c r="I1386"/>
      <c r="K1386"/>
      <c r="O1386"/>
      <c r="R1386"/>
      <c r="S1386" s="79" t="e">
        <f>DbLinkTable[[#This Row],[Credit]]+DbLinkTable[[#This Row],[Charge]]</f>
        <v>#VALUE!</v>
      </c>
      <c r="T1386" s="79" t="e">
        <f>IF(DbLinkTable[[#This Row],[Price/lb]]*DbLinkTable[[#This Row],[Weight]]&gt;0,DbLinkTable[[#This Row],[Price/lb]]*DbLinkTable[[#This Row],[Weight]],0)</f>
        <v>#VALUE!</v>
      </c>
      <c r="U1386" s="79" t="e">
        <f>IF(DbLinkTable[[#This Row],[Price/lb]]*DbLinkTable[[#This Row],[Weight]]&lt;0,DbLinkTable[[#This Row],[Price/lb]]*DbLinkTable[[#This Row],[Weight]],0)</f>
        <v>#VALUE!</v>
      </c>
      <c r="V1386" s="4" t="str">
        <f>IF(COUNTIF($W$2:W1386,W1386)=1,1,"")</f>
        <v/>
      </c>
      <c r="W1386" s="4" t="e">
        <f>CONCATENATE(DbLinkTable[[#This Row],[Customer]],UPPER(DbLinkTable[[#This Row],[Trailer Number]]),DbLinkTable[[#This Row],[Day Received]])</f>
        <v>#VALUE!</v>
      </c>
      <c r="X1386" s="4" t="e">
        <f>DATEVALUE(TEXT(DbLinkTable[[#This Row],[Date Received]],"MMMM YYYY"))</f>
        <v>#VALUE!</v>
      </c>
      <c r="Y1386" s="4" t="e">
        <f>INT(DbLinkTable[[#This Row],[Date Received]])</f>
        <v>#VALUE!</v>
      </c>
    </row>
    <row r="1387" spans="5:25">
      <c r="E1387"/>
      <c r="G1387"/>
      <c r="H1387"/>
      <c r="I1387"/>
      <c r="K1387"/>
      <c r="O1387"/>
      <c r="R1387"/>
      <c r="S1387" s="79" t="e">
        <f>DbLinkTable[[#This Row],[Credit]]+DbLinkTable[[#This Row],[Charge]]</f>
        <v>#VALUE!</v>
      </c>
      <c r="T1387" s="79" t="e">
        <f>IF(DbLinkTable[[#This Row],[Price/lb]]*DbLinkTable[[#This Row],[Weight]]&gt;0,DbLinkTable[[#This Row],[Price/lb]]*DbLinkTable[[#This Row],[Weight]],0)</f>
        <v>#VALUE!</v>
      </c>
      <c r="U1387" s="79" t="e">
        <f>IF(DbLinkTable[[#This Row],[Price/lb]]*DbLinkTable[[#This Row],[Weight]]&lt;0,DbLinkTable[[#This Row],[Price/lb]]*DbLinkTable[[#This Row],[Weight]],0)</f>
        <v>#VALUE!</v>
      </c>
      <c r="V1387" s="4" t="str">
        <f>IF(COUNTIF($W$2:W1387,W1387)=1,1,"")</f>
        <v/>
      </c>
      <c r="W1387" s="4" t="e">
        <f>CONCATENATE(DbLinkTable[[#This Row],[Customer]],UPPER(DbLinkTable[[#This Row],[Trailer Number]]),DbLinkTable[[#This Row],[Day Received]])</f>
        <v>#VALUE!</v>
      </c>
      <c r="X1387" s="4" t="e">
        <f>DATEVALUE(TEXT(DbLinkTable[[#This Row],[Date Received]],"MMMM YYYY"))</f>
        <v>#VALUE!</v>
      </c>
      <c r="Y1387" s="4" t="e">
        <f>INT(DbLinkTable[[#This Row],[Date Received]])</f>
        <v>#VALUE!</v>
      </c>
    </row>
    <row r="1388" spans="5:25">
      <c r="E1388"/>
      <c r="G1388"/>
      <c r="H1388"/>
      <c r="I1388"/>
      <c r="K1388"/>
      <c r="O1388"/>
      <c r="R1388"/>
      <c r="S1388" s="79" t="e">
        <f>DbLinkTable[[#This Row],[Credit]]+DbLinkTable[[#This Row],[Charge]]</f>
        <v>#VALUE!</v>
      </c>
      <c r="T1388" s="79" t="e">
        <f>IF(DbLinkTable[[#This Row],[Price/lb]]*DbLinkTable[[#This Row],[Weight]]&gt;0,DbLinkTable[[#This Row],[Price/lb]]*DbLinkTable[[#This Row],[Weight]],0)</f>
        <v>#VALUE!</v>
      </c>
      <c r="U1388" s="79" t="e">
        <f>IF(DbLinkTable[[#This Row],[Price/lb]]*DbLinkTable[[#This Row],[Weight]]&lt;0,DbLinkTable[[#This Row],[Price/lb]]*DbLinkTable[[#This Row],[Weight]],0)</f>
        <v>#VALUE!</v>
      </c>
      <c r="V1388" s="4" t="str">
        <f>IF(COUNTIF($W$2:W1388,W1388)=1,1,"")</f>
        <v/>
      </c>
      <c r="W1388" s="4" t="e">
        <f>CONCATENATE(DbLinkTable[[#This Row],[Customer]],UPPER(DbLinkTable[[#This Row],[Trailer Number]]),DbLinkTable[[#This Row],[Day Received]])</f>
        <v>#VALUE!</v>
      </c>
      <c r="X1388" s="4" t="e">
        <f>DATEVALUE(TEXT(DbLinkTable[[#This Row],[Date Received]],"MMMM YYYY"))</f>
        <v>#VALUE!</v>
      </c>
      <c r="Y1388" s="4" t="e">
        <f>INT(DbLinkTable[[#This Row],[Date Received]])</f>
        <v>#VALUE!</v>
      </c>
    </row>
    <row r="1389" spans="5:25">
      <c r="E1389"/>
      <c r="G1389"/>
      <c r="H1389"/>
      <c r="I1389"/>
      <c r="K1389"/>
      <c r="O1389"/>
      <c r="R1389"/>
      <c r="S1389" s="79" t="e">
        <f>DbLinkTable[[#This Row],[Credit]]+DbLinkTable[[#This Row],[Charge]]</f>
        <v>#VALUE!</v>
      </c>
      <c r="T1389" s="79" t="e">
        <f>IF(DbLinkTable[[#This Row],[Price/lb]]*DbLinkTable[[#This Row],[Weight]]&gt;0,DbLinkTable[[#This Row],[Price/lb]]*DbLinkTable[[#This Row],[Weight]],0)</f>
        <v>#VALUE!</v>
      </c>
      <c r="U1389" s="79" t="e">
        <f>IF(DbLinkTable[[#This Row],[Price/lb]]*DbLinkTable[[#This Row],[Weight]]&lt;0,DbLinkTable[[#This Row],[Price/lb]]*DbLinkTable[[#This Row],[Weight]],0)</f>
        <v>#VALUE!</v>
      </c>
      <c r="V1389" s="4" t="str">
        <f>IF(COUNTIF($W$2:W1389,W1389)=1,1,"")</f>
        <v/>
      </c>
      <c r="W1389" s="4" t="e">
        <f>CONCATENATE(DbLinkTable[[#This Row],[Customer]],UPPER(DbLinkTable[[#This Row],[Trailer Number]]),DbLinkTable[[#This Row],[Day Received]])</f>
        <v>#VALUE!</v>
      </c>
      <c r="X1389" s="4" t="e">
        <f>DATEVALUE(TEXT(DbLinkTable[[#This Row],[Date Received]],"MMMM YYYY"))</f>
        <v>#VALUE!</v>
      </c>
      <c r="Y1389" s="4" t="e">
        <f>INT(DbLinkTable[[#This Row],[Date Received]])</f>
        <v>#VALUE!</v>
      </c>
    </row>
    <row r="1390" spans="5:25">
      <c r="E1390"/>
      <c r="G1390"/>
      <c r="H1390"/>
      <c r="I1390"/>
      <c r="K1390"/>
      <c r="O1390"/>
      <c r="R1390"/>
      <c r="S1390" s="79" t="e">
        <f>DbLinkTable[[#This Row],[Credit]]+DbLinkTable[[#This Row],[Charge]]</f>
        <v>#VALUE!</v>
      </c>
      <c r="T1390" s="79" t="e">
        <f>IF(DbLinkTable[[#This Row],[Price/lb]]*DbLinkTable[[#This Row],[Weight]]&gt;0,DbLinkTable[[#This Row],[Price/lb]]*DbLinkTable[[#This Row],[Weight]],0)</f>
        <v>#VALUE!</v>
      </c>
      <c r="U1390" s="79" t="e">
        <f>IF(DbLinkTable[[#This Row],[Price/lb]]*DbLinkTable[[#This Row],[Weight]]&lt;0,DbLinkTable[[#This Row],[Price/lb]]*DbLinkTable[[#This Row],[Weight]],0)</f>
        <v>#VALUE!</v>
      </c>
      <c r="V1390" s="4" t="str">
        <f>IF(COUNTIF($W$2:W1390,W1390)=1,1,"")</f>
        <v/>
      </c>
      <c r="W1390" s="4" t="e">
        <f>CONCATENATE(DbLinkTable[[#This Row],[Customer]],UPPER(DbLinkTable[[#This Row],[Trailer Number]]),DbLinkTable[[#This Row],[Day Received]])</f>
        <v>#VALUE!</v>
      </c>
      <c r="X1390" s="4" t="e">
        <f>DATEVALUE(TEXT(DbLinkTable[[#This Row],[Date Received]],"MMMM YYYY"))</f>
        <v>#VALUE!</v>
      </c>
      <c r="Y1390" s="4" t="e">
        <f>INT(DbLinkTable[[#This Row],[Date Received]])</f>
        <v>#VALUE!</v>
      </c>
    </row>
    <row r="1391" spans="5:25">
      <c r="E1391"/>
      <c r="G1391"/>
      <c r="H1391"/>
      <c r="I1391"/>
      <c r="K1391"/>
      <c r="O1391"/>
      <c r="R1391"/>
      <c r="S1391" s="79" t="e">
        <f>DbLinkTable[[#This Row],[Credit]]+DbLinkTable[[#This Row],[Charge]]</f>
        <v>#VALUE!</v>
      </c>
      <c r="T1391" s="79" t="e">
        <f>IF(DbLinkTable[[#This Row],[Price/lb]]*DbLinkTable[[#This Row],[Weight]]&gt;0,DbLinkTable[[#This Row],[Price/lb]]*DbLinkTable[[#This Row],[Weight]],0)</f>
        <v>#VALUE!</v>
      </c>
      <c r="U1391" s="79" t="e">
        <f>IF(DbLinkTable[[#This Row],[Price/lb]]*DbLinkTable[[#This Row],[Weight]]&lt;0,DbLinkTable[[#This Row],[Price/lb]]*DbLinkTable[[#This Row],[Weight]],0)</f>
        <v>#VALUE!</v>
      </c>
      <c r="V1391" s="4" t="str">
        <f>IF(COUNTIF($W$2:W1391,W1391)=1,1,"")</f>
        <v/>
      </c>
      <c r="W1391" s="4" t="e">
        <f>CONCATENATE(DbLinkTable[[#This Row],[Customer]],UPPER(DbLinkTable[[#This Row],[Trailer Number]]),DbLinkTable[[#This Row],[Day Received]])</f>
        <v>#VALUE!</v>
      </c>
      <c r="X1391" s="4" t="e">
        <f>DATEVALUE(TEXT(DbLinkTable[[#This Row],[Date Received]],"MMMM YYYY"))</f>
        <v>#VALUE!</v>
      </c>
      <c r="Y1391" s="4" t="e">
        <f>INT(DbLinkTable[[#This Row],[Date Received]])</f>
        <v>#VALUE!</v>
      </c>
    </row>
    <row r="1392" spans="5:25">
      <c r="E1392"/>
      <c r="G1392"/>
      <c r="H1392"/>
      <c r="I1392"/>
      <c r="K1392"/>
      <c r="O1392"/>
      <c r="R1392"/>
      <c r="S1392" s="79" t="e">
        <f>DbLinkTable[[#This Row],[Credit]]+DbLinkTable[[#This Row],[Charge]]</f>
        <v>#VALUE!</v>
      </c>
      <c r="T1392" s="79" t="e">
        <f>IF(DbLinkTable[[#This Row],[Price/lb]]*DbLinkTable[[#This Row],[Weight]]&gt;0,DbLinkTable[[#This Row],[Price/lb]]*DbLinkTable[[#This Row],[Weight]],0)</f>
        <v>#VALUE!</v>
      </c>
      <c r="U1392" s="79" t="e">
        <f>IF(DbLinkTable[[#This Row],[Price/lb]]*DbLinkTable[[#This Row],[Weight]]&lt;0,DbLinkTable[[#This Row],[Price/lb]]*DbLinkTable[[#This Row],[Weight]],0)</f>
        <v>#VALUE!</v>
      </c>
      <c r="V1392" s="4" t="str">
        <f>IF(COUNTIF($W$2:W1392,W1392)=1,1,"")</f>
        <v/>
      </c>
      <c r="W1392" s="4" t="e">
        <f>CONCATENATE(DbLinkTable[[#This Row],[Customer]],UPPER(DbLinkTable[[#This Row],[Trailer Number]]),DbLinkTable[[#This Row],[Day Received]])</f>
        <v>#VALUE!</v>
      </c>
      <c r="X1392" s="4" t="e">
        <f>DATEVALUE(TEXT(DbLinkTable[[#This Row],[Date Received]],"MMMM YYYY"))</f>
        <v>#VALUE!</v>
      </c>
      <c r="Y1392" s="4" t="e">
        <f>INT(DbLinkTable[[#This Row],[Date Received]])</f>
        <v>#VALUE!</v>
      </c>
    </row>
    <row r="1393" spans="5:25">
      <c r="E1393"/>
      <c r="G1393"/>
      <c r="H1393"/>
      <c r="I1393"/>
      <c r="K1393"/>
      <c r="O1393"/>
      <c r="R1393"/>
      <c r="S1393" s="79" t="e">
        <f>DbLinkTable[[#This Row],[Credit]]+DbLinkTable[[#This Row],[Charge]]</f>
        <v>#VALUE!</v>
      </c>
      <c r="T1393" s="79" t="e">
        <f>IF(DbLinkTable[[#This Row],[Price/lb]]*DbLinkTable[[#This Row],[Weight]]&gt;0,DbLinkTable[[#This Row],[Price/lb]]*DbLinkTable[[#This Row],[Weight]],0)</f>
        <v>#VALUE!</v>
      </c>
      <c r="U1393" s="79" t="e">
        <f>IF(DbLinkTable[[#This Row],[Price/lb]]*DbLinkTable[[#This Row],[Weight]]&lt;0,DbLinkTable[[#This Row],[Price/lb]]*DbLinkTable[[#This Row],[Weight]],0)</f>
        <v>#VALUE!</v>
      </c>
      <c r="V1393" s="4" t="str">
        <f>IF(COUNTIF($W$2:W1393,W1393)=1,1,"")</f>
        <v/>
      </c>
      <c r="W1393" s="4" t="e">
        <f>CONCATENATE(DbLinkTable[[#This Row],[Customer]],UPPER(DbLinkTable[[#This Row],[Trailer Number]]),DbLinkTable[[#This Row],[Day Received]])</f>
        <v>#VALUE!</v>
      </c>
      <c r="X1393" s="4" t="e">
        <f>DATEVALUE(TEXT(DbLinkTable[[#This Row],[Date Received]],"MMMM YYYY"))</f>
        <v>#VALUE!</v>
      </c>
      <c r="Y1393" s="4" t="e">
        <f>INT(DbLinkTable[[#This Row],[Date Received]])</f>
        <v>#VALUE!</v>
      </c>
    </row>
    <row r="1394" spans="5:25">
      <c r="E1394"/>
      <c r="G1394"/>
      <c r="H1394"/>
      <c r="I1394"/>
      <c r="K1394"/>
      <c r="O1394"/>
      <c r="R1394"/>
      <c r="S1394" s="79" t="e">
        <f>DbLinkTable[[#This Row],[Credit]]+DbLinkTable[[#This Row],[Charge]]</f>
        <v>#VALUE!</v>
      </c>
      <c r="T1394" s="79" t="e">
        <f>IF(DbLinkTable[[#This Row],[Price/lb]]*DbLinkTable[[#This Row],[Weight]]&gt;0,DbLinkTable[[#This Row],[Price/lb]]*DbLinkTable[[#This Row],[Weight]],0)</f>
        <v>#VALUE!</v>
      </c>
      <c r="U1394" s="79" t="e">
        <f>IF(DbLinkTable[[#This Row],[Price/lb]]*DbLinkTable[[#This Row],[Weight]]&lt;0,DbLinkTable[[#This Row],[Price/lb]]*DbLinkTable[[#This Row],[Weight]],0)</f>
        <v>#VALUE!</v>
      </c>
      <c r="V1394" s="4" t="str">
        <f>IF(COUNTIF($W$2:W1394,W1394)=1,1,"")</f>
        <v/>
      </c>
      <c r="W1394" s="4" t="e">
        <f>CONCATENATE(DbLinkTable[[#This Row],[Customer]],UPPER(DbLinkTable[[#This Row],[Trailer Number]]),DbLinkTable[[#This Row],[Day Received]])</f>
        <v>#VALUE!</v>
      </c>
      <c r="X1394" s="4" t="e">
        <f>DATEVALUE(TEXT(DbLinkTable[[#This Row],[Date Received]],"MMMM YYYY"))</f>
        <v>#VALUE!</v>
      </c>
      <c r="Y1394" s="4" t="e">
        <f>INT(DbLinkTable[[#This Row],[Date Received]])</f>
        <v>#VALUE!</v>
      </c>
    </row>
    <row r="1395" spans="5:25">
      <c r="E1395"/>
      <c r="G1395"/>
      <c r="H1395"/>
      <c r="I1395"/>
      <c r="K1395"/>
      <c r="O1395"/>
      <c r="R1395"/>
      <c r="S1395" s="79" t="e">
        <f>DbLinkTable[[#This Row],[Credit]]+DbLinkTable[[#This Row],[Charge]]</f>
        <v>#VALUE!</v>
      </c>
      <c r="T1395" s="79" t="e">
        <f>IF(DbLinkTable[[#This Row],[Price/lb]]*DbLinkTable[[#This Row],[Weight]]&gt;0,DbLinkTable[[#This Row],[Price/lb]]*DbLinkTable[[#This Row],[Weight]],0)</f>
        <v>#VALUE!</v>
      </c>
      <c r="U1395" s="79" t="e">
        <f>IF(DbLinkTable[[#This Row],[Price/lb]]*DbLinkTable[[#This Row],[Weight]]&lt;0,DbLinkTable[[#This Row],[Price/lb]]*DbLinkTable[[#This Row],[Weight]],0)</f>
        <v>#VALUE!</v>
      </c>
      <c r="V1395" s="4" t="str">
        <f>IF(COUNTIF($W$2:W1395,W1395)=1,1,"")</f>
        <v/>
      </c>
      <c r="W1395" s="4" t="e">
        <f>CONCATENATE(DbLinkTable[[#This Row],[Customer]],UPPER(DbLinkTable[[#This Row],[Trailer Number]]),DbLinkTable[[#This Row],[Day Received]])</f>
        <v>#VALUE!</v>
      </c>
      <c r="X1395" s="4" t="e">
        <f>DATEVALUE(TEXT(DbLinkTable[[#This Row],[Date Received]],"MMMM YYYY"))</f>
        <v>#VALUE!</v>
      </c>
      <c r="Y1395" s="4" t="e">
        <f>INT(DbLinkTable[[#This Row],[Date Received]])</f>
        <v>#VALUE!</v>
      </c>
    </row>
    <row r="1396" spans="5:25">
      <c r="E1396"/>
      <c r="G1396"/>
      <c r="H1396"/>
      <c r="I1396"/>
      <c r="K1396"/>
      <c r="O1396"/>
      <c r="R1396"/>
      <c r="S1396" s="79" t="e">
        <f>DbLinkTable[[#This Row],[Credit]]+DbLinkTable[[#This Row],[Charge]]</f>
        <v>#VALUE!</v>
      </c>
      <c r="T1396" s="79" t="e">
        <f>IF(DbLinkTable[[#This Row],[Price/lb]]*DbLinkTable[[#This Row],[Weight]]&gt;0,DbLinkTable[[#This Row],[Price/lb]]*DbLinkTable[[#This Row],[Weight]],0)</f>
        <v>#VALUE!</v>
      </c>
      <c r="U1396" s="79" t="e">
        <f>IF(DbLinkTable[[#This Row],[Price/lb]]*DbLinkTable[[#This Row],[Weight]]&lt;0,DbLinkTable[[#This Row],[Price/lb]]*DbLinkTable[[#This Row],[Weight]],0)</f>
        <v>#VALUE!</v>
      </c>
      <c r="V1396" s="4" t="str">
        <f>IF(COUNTIF($W$2:W1396,W1396)=1,1,"")</f>
        <v/>
      </c>
      <c r="W1396" s="4" t="e">
        <f>CONCATENATE(DbLinkTable[[#This Row],[Customer]],UPPER(DbLinkTable[[#This Row],[Trailer Number]]),DbLinkTable[[#This Row],[Day Received]])</f>
        <v>#VALUE!</v>
      </c>
      <c r="X1396" s="4" t="e">
        <f>DATEVALUE(TEXT(DbLinkTable[[#This Row],[Date Received]],"MMMM YYYY"))</f>
        <v>#VALUE!</v>
      </c>
      <c r="Y1396" s="4" t="e">
        <f>INT(DbLinkTable[[#This Row],[Date Received]])</f>
        <v>#VALUE!</v>
      </c>
    </row>
    <row r="1397" spans="5:25">
      <c r="E1397"/>
      <c r="G1397"/>
      <c r="H1397"/>
      <c r="I1397"/>
      <c r="K1397"/>
      <c r="O1397"/>
      <c r="R1397"/>
      <c r="S1397" s="79" t="e">
        <f>DbLinkTable[[#This Row],[Credit]]+DbLinkTable[[#This Row],[Charge]]</f>
        <v>#VALUE!</v>
      </c>
      <c r="T1397" s="79" t="e">
        <f>IF(DbLinkTable[[#This Row],[Price/lb]]*DbLinkTable[[#This Row],[Weight]]&gt;0,DbLinkTable[[#This Row],[Price/lb]]*DbLinkTable[[#This Row],[Weight]],0)</f>
        <v>#VALUE!</v>
      </c>
      <c r="U1397" s="79" t="e">
        <f>IF(DbLinkTable[[#This Row],[Price/lb]]*DbLinkTable[[#This Row],[Weight]]&lt;0,DbLinkTable[[#This Row],[Price/lb]]*DbLinkTable[[#This Row],[Weight]],0)</f>
        <v>#VALUE!</v>
      </c>
      <c r="V1397" s="4" t="str">
        <f>IF(COUNTIF($W$2:W1397,W1397)=1,1,"")</f>
        <v/>
      </c>
      <c r="W1397" s="4" t="e">
        <f>CONCATENATE(DbLinkTable[[#This Row],[Customer]],UPPER(DbLinkTable[[#This Row],[Trailer Number]]),DbLinkTable[[#This Row],[Day Received]])</f>
        <v>#VALUE!</v>
      </c>
      <c r="X1397" s="4" t="e">
        <f>DATEVALUE(TEXT(DbLinkTable[[#This Row],[Date Received]],"MMMM YYYY"))</f>
        <v>#VALUE!</v>
      </c>
      <c r="Y1397" s="4" t="e">
        <f>INT(DbLinkTable[[#This Row],[Date Received]])</f>
        <v>#VALUE!</v>
      </c>
    </row>
    <row r="1398" spans="5:25">
      <c r="E1398"/>
      <c r="G1398"/>
      <c r="H1398"/>
      <c r="I1398"/>
      <c r="K1398"/>
      <c r="O1398"/>
      <c r="R1398"/>
      <c r="S1398" s="79" t="e">
        <f>DbLinkTable[[#This Row],[Credit]]+DbLinkTable[[#This Row],[Charge]]</f>
        <v>#VALUE!</v>
      </c>
      <c r="T1398" s="79" t="e">
        <f>IF(DbLinkTable[[#This Row],[Price/lb]]*DbLinkTable[[#This Row],[Weight]]&gt;0,DbLinkTable[[#This Row],[Price/lb]]*DbLinkTable[[#This Row],[Weight]],0)</f>
        <v>#VALUE!</v>
      </c>
      <c r="U1398" s="79" t="e">
        <f>IF(DbLinkTable[[#This Row],[Price/lb]]*DbLinkTable[[#This Row],[Weight]]&lt;0,DbLinkTable[[#This Row],[Price/lb]]*DbLinkTable[[#This Row],[Weight]],0)</f>
        <v>#VALUE!</v>
      </c>
      <c r="V1398" s="4" t="str">
        <f>IF(COUNTIF($W$2:W1398,W1398)=1,1,"")</f>
        <v/>
      </c>
      <c r="W1398" s="4" t="e">
        <f>CONCATENATE(DbLinkTable[[#This Row],[Customer]],UPPER(DbLinkTable[[#This Row],[Trailer Number]]),DbLinkTable[[#This Row],[Day Received]])</f>
        <v>#VALUE!</v>
      </c>
      <c r="X1398" s="4" t="e">
        <f>DATEVALUE(TEXT(DbLinkTable[[#This Row],[Date Received]],"MMMM YYYY"))</f>
        <v>#VALUE!</v>
      </c>
      <c r="Y1398" s="4" t="e">
        <f>INT(DbLinkTable[[#This Row],[Date Received]])</f>
        <v>#VALUE!</v>
      </c>
    </row>
    <row r="1399" spans="5:25">
      <c r="E1399"/>
      <c r="G1399"/>
      <c r="H1399"/>
      <c r="I1399"/>
      <c r="K1399"/>
      <c r="O1399"/>
      <c r="R1399"/>
      <c r="S1399" s="79" t="e">
        <f>DbLinkTable[[#This Row],[Credit]]+DbLinkTable[[#This Row],[Charge]]</f>
        <v>#VALUE!</v>
      </c>
      <c r="T1399" s="79" t="e">
        <f>IF(DbLinkTable[[#This Row],[Price/lb]]*DbLinkTable[[#This Row],[Weight]]&gt;0,DbLinkTable[[#This Row],[Price/lb]]*DbLinkTable[[#This Row],[Weight]],0)</f>
        <v>#VALUE!</v>
      </c>
      <c r="U1399" s="79" t="e">
        <f>IF(DbLinkTable[[#This Row],[Price/lb]]*DbLinkTable[[#This Row],[Weight]]&lt;0,DbLinkTable[[#This Row],[Price/lb]]*DbLinkTable[[#This Row],[Weight]],0)</f>
        <v>#VALUE!</v>
      </c>
      <c r="V1399" s="4" t="str">
        <f>IF(COUNTIF($W$2:W1399,W1399)=1,1,"")</f>
        <v/>
      </c>
      <c r="W1399" s="4" t="e">
        <f>CONCATENATE(DbLinkTable[[#This Row],[Customer]],UPPER(DbLinkTable[[#This Row],[Trailer Number]]),DbLinkTable[[#This Row],[Day Received]])</f>
        <v>#VALUE!</v>
      </c>
      <c r="X1399" s="4" t="e">
        <f>DATEVALUE(TEXT(DbLinkTable[[#This Row],[Date Received]],"MMMM YYYY"))</f>
        <v>#VALUE!</v>
      </c>
      <c r="Y1399" s="4" t="e">
        <f>INT(DbLinkTable[[#This Row],[Date Received]])</f>
        <v>#VALUE!</v>
      </c>
    </row>
    <row r="1400" spans="5:25">
      <c r="E1400"/>
      <c r="G1400"/>
      <c r="H1400"/>
      <c r="I1400"/>
      <c r="K1400"/>
      <c r="O1400"/>
      <c r="R1400"/>
      <c r="S1400" s="79" t="e">
        <f>DbLinkTable[[#This Row],[Credit]]+DbLinkTable[[#This Row],[Charge]]</f>
        <v>#VALUE!</v>
      </c>
      <c r="T1400" s="79" t="e">
        <f>IF(DbLinkTable[[#This Row],[Price/lb]]*DbLinkTable[[#This Row],[Weight]]&gt;0,DbLinkTable[[#This Row],[Price/lb]]*DbLinkTable[[#This Row],[Weight]],0)</f>
        <v>#VALUE!</v>
      </c>
      <c r="U1400" s="79" t="e">
        <f>IF(DbLinkTable[[#This Row],[Price/lb]]*DbLinkTable[[#This Row],[Weight]]&lt;0,DbLinkTable[[#This Row],[Price/lb]]*DbLinkTable[[#This Row],[Weight]],0)</f>
        <v>#VALUE!</v>
      </c>
      <c r="V1400" s="4" t="str">
        <f>IF(COUNTIF($W$2:W1400,W1400)=1,1,"")</f>
        <v/>
      </c>
      <c r="W1400" s="4" t="e">
        <f>CONCATENATE(DbLinkTable[[#This Row],[Customer]],UPPER(DbLinkTable[[#This Row],[Trailer Number]]),DbLinkTable[[#This Row],[Day Received]])</f>
        <v>#VALUE!</v>
      </c>
      <c r="X1400" s="4" t="e">
        <f>DATEVALUE(TEXT(DbLinkTable[[#This Row],[Date Received]],"MMMM YYYY"))</f>
        <v>#VALUE!</v>
      </c>
      <c r="Y1400" s="4" t="e">
        <f>INT(DbLinkTable[[#This Row],[Date Received]])</f>
        <v>#VALUE!</v>
      </c>
    </row>
    <row r="1401" spans="5:25">
      <c r="E1401"/>
      <c r="G1401"/>
      <c r="H1401"/>
      <c r="I1401"/>
      <c r="K1401"/>
      <c r="O1401"/>
      <c r="R1401"/>
      <c r="S1401" s="79" t="e">
        <f>DbLinkTable[[#This Row],[Credit]]+DbLinkTable[[#This Row],[Charge]]</f>
        <v>#VALUE!</v>
      </c>
      <c r="T1401" s="79" t="e">
        <f>IF(DbLinkTable[[#This Row],[Price/lb]]*DbLinkTable[[#This Row],[Weight]]&gt;0,DbLinkTable[[#This Row],[Price/lb]]*DbLinkTable[[#This Row],[Weight]],0)</f>
        <v>#VALUE!</v>
      </c>
      <c r="U1401" s="79" t="e">
        <f>IF(DbLinkTable[[#This Row],[Price/lb]]*DbLinkTable[[#This Row],[Weight]]&lt;0,DbLinkTable[[#This Row],[Price/lb]]*DbLinkTable[[#This Row],[Weight]],0)</f>
        <v>#VALUE!</v>
      </c>
      <c r="V1401" s="4" t="str">
        <f>IF(COUNTIF($W$2:W1401,W1401)=1,1,"")</f>
        <v/>
      </c>
      <c r="W1401" s="4" t="e">
        <f>CONCATENATE(DbLinkTable[[#This Row],[Customer]],UPPER(DbLinkTable[[#This Row],[Trailer Number]]),DbLinkTable[[#This Row],[Day Received]])</f>
        <v>#VALUE!</v>
      </c>
      <c r="X1401" s="4" t="e">
        <f>DATEVALUE(TEXT(DbLinkTable[[#This Row],[Date Received]],"MMMM YYYY"))</f>
        <v>#VALUE!</v>
      </c>
      <c r="Y1401" s="4" t="e">
        <f>INT(DbLinkTable[[#This Row],[Date Received]])</f>
        <v>#VALUE!</v>
      </c>
    </row>
    <row r="1402" spans="5:25">
      <c r="E1402"/>
      <c r="G1402"/>
      <c r="H1402"/>
      <c r="I1402"/>
      <c r="K1402"/>
      <c r="O1402"/>
      <c r="R1402"/>
      <c r="S1402" s="79" t="e">
        <f>DbLinkTable[[#This Row],[Credit]]+DbLinkTable[[#This Row],[Charge]]</f>
        <v>#VALUE!</v>
      </c>
      <c r="T1402" s="79" t="e">
        <f>IF(DbLinkTable[[#This Row],[Price/lb]]*DbLinkTable[[#This Row],[Weight]]&gt;0,DbLinkTable[[#This Row],[Price/lb]]*DbLinkTable[[#This Row],[Weight]],0)</f>
        <v>#VALUE!</v>
      </c>
      <c r="U1402" s="79" t="e">
        <f>IF(DbLinkTable[[#This Row],[Price/lb]]*DbLinkTable[[#This Row],[Weight]]&lt;0,DbLinkTable[[#This Row],[Price/lb]]*DbLinkTable[[#This Row],[Weight]],0)</f>
        <v>#VALUE!</v>
      </c>
      <c r="V1402" s="4" t="str">
        <f>IF(COUNTIF($W$2:W1402,W1402)=1,1,"")</f>
        <v/>
      </c>
      <c r="W1402" s="4" t="e">
        <f>CONCATENATE(DbLinkTable[[#This Row],[Customer]],UPPER(DbLinkTable[[#This Row],[Trailer Number]]),DbLinkTable[[#This Row],[Day Received]])</f>
        <v>#VALUE!</v>
      </c>
      <c r="X1402" s="4" t="e">
        <f>DATEVALUE(TEXT(DbLinkTable[[#This Row],[Date Received]],"MMMM YYYY"))</f>
        <v>#VALUE!</v>
      </c>
      <c r="Y1402" s="4" t="e">
        <f>INT(DbLinkTable[[#This Row],[Date Received]])</f>
        <v>#VALUE!</v>
      </c>
    </row>
    <row r="1403" spans="5:25">
      <c r="E1403"/>
      <c r="G1403"/>
      <c r="H1403"/>
      <c r="I1403"/>
      <c r="K1403"/>
      <c r="O1403"/>
      <c r="R1403"/>
      <c r="S1403" s="79" t="e">
        <f>DbLinkTable[[#This Row],[Credit]]+DbLinkTable[[#This Row],[Charge]]</f>
        <v>#VALUE!</v>
      </c>
      <c r="T1403" s="79" t="e">
        <f>IF(DbLinkTable[[#This Row],[Price/lb]]*DbLinkTable[[#This Row],[Weight]]&gt;0,DbLinkTable[[#This Row],[Price/lb]]*DbLinkTable[[#This Row],[Weight]],0)</f>
        <v>#VALUE!</v>
      </c>
      <c r="U1403" s="79" t="e">
        <f>IF(DbLinkTable[[#This Row],[Price/lb]]*DbLinkTable[[#This Row],[Weight]]&lt;0,DbLinkTable[[#This Row],[Price/lb]]*DbLinkTable[[#This Row],[Weight]],0)</f>
        <v>#VALUE!</v>
      </c>
      <c r="V1403" s="4" t="str">
        <f>IF(COUNTIF($W$2:W1403,W1403)=1,1,"")</f>
        <v/>
      </c>
      <c r="W1403" s="4" t="e">
        <f>CONCATENATE(DbLinkTable[[#This Row],[Customer]],UPPER(DbLinkTable[[#This Row],[Trailer Number]]),DbLinkTable[[#This Row],[Day Received]])</f>
        <v>#VALUE!</v>
      </c>
      <c r="X1403" s="4" t="e">
        <f>DATEVALUE(TEXT(DbLinkTable[[#This Row],[Date Received]],"MMMM YYYY"))</f>
        <v>#VALUE!</v>
      </c>
      <c r="Y1403" s="4" t="e">
        <f>INT(DbLinkTable[[#This Row],[Date Received]])</f>
        <v>#VALUE!</v>
      </c>
    </row>
    <row r="1404" spans="5:25">
      <c r="E1404"/>
      <c r="G1404"/>
      <c r="H1404"/>
      <c r="I1404"/>
      <c r="K1404"/>
      <c r="O1404"/>
      <c r="R1404"/>
      <c r="S1404" s="79" t="e">
        <f>DbLinkTable[[#This Row],[Credit]]+DbLinkTable[[#This Row],[Charge]]</f>
        <v>#VALUE!</v>
      </c>
      <c r="T1404" s="79" t="e">
        <f>IF(DbLinkTable[[#This Row],[Price/lb]]*DbLinkTable[[#This Row],[Weight]]&gt;0,DbLinkTable[[#This Row],[Price/lb]]*DbLinkTable[[#This Row],[Weight]],0)</f>
        <v>#VALUE!</v>
      </c>
      <c r="U1404" s="79" t="e">
        <f>IF(DbLinkTable[[#This Row],[Price/lb]]*DbLinkTable[[#This Row],[Weight]]&lt;0,DbLinkTable[[#This Row],[Price/lb]]*DbLinkTable[[#This Row],[Weight]],0)</f>
        <v>#VALUE!</v>
      </c>
      <c r="V1404" s="4" t="str">
        <f>IF(COUNTIF($W$2:W1404,W1404)=1,1,"")</f>
        <v/>
      </c>
      <c r="W1404" s="4" t="e">
        <f>CONCATENATE(DbLinkTable[[#This Row],[Customer]],UPPER(DbLinkTable[[#This Row],[Trailer Number]]),DbLinkTable[[#This Row],[Day Received]])</f>
        <v>#VALUE!</v>
      </c>
      <c r="X1404" s="4" t="e">
        <f>DATEVALUE(TEXT(DbLinkTable[[#This Row],[Date Received]],"MMMM YYYY"))</f>
        <v>#VALUE!</v>
      </c>
      <c r="Y1404" s="4" t="e">
        <f>INT(DbLinkTable[[#This Row],[Date Received]])</f>
        <v>#VALUE!</v>
      </c>
    </row>
    <row r="1405" spans="5:25">
      <c r="E1405"/>
      <c r="G1405"/>
      <c r="H1405"/>
      <c r="I1405"/>
      <c r="K1405"/>
      <c r="O1405"/>
      <c r="R1405"/>
      <c r="S1405" s="79" t="e">
        <f>DbLinkTable[[#This Row],[Credit]]+DbLinkTable[[#This Row],[Charge]]</f>
        <v>#VALUE!</v>
      </c>
      <c r="T1405" s="79" t="e">
        <f>IF(DbLinkTable[[#This Row],[Price/lb]]*DbLinkTable[[#This Row],[Weight]]&gt;0,DbLinkTable[[#This Row],[Price/lb]]*DbLinkTable[[#This Row],[Weight]],0)</f>
        <v>#VALUE!</v>
      </c>
      <c r="U1405" s="79" t="e">
        <f>IF(DbLinkTable[[#This Row],[Price/lb]]*DbLinkTable[[#This Row],[Weight]]&lt;0,DbLinkTable[[#This Row],[Price/lb]]*DbLinkTable[[#This Row],[Weight]],0)</f>
        <v>#VALUE!</v>
      </c>
      <c r="V1405" s="4" t="str">
        <f>IF(COUNTIF($W$2:W1405,W1405)=1,1,"")</f>
        <v/>
      </c>
      <c r="W1405" s="4" t="e">
        <f>CONCATENATE(DbLinkTable[[#This Row],[Customer]],UPPER(DbLinkTable[[#This Row],[Trailer Number]]),DbLinkTable[[#This Row],[Day Received]])</f>
        <v>#VALUE!</v>
      </c>
      <c r="X1405" s="4" t="e">
        <f>DATEVALUE(TEXT(DbLinkTable[[#This Row],[Date Received]],"MMMM YYYY"))</f>
        <v>#VALUE!</v>
      </c>
      <c r="Y1405" s="4" t="e">
        <f>INT(DbLinkTable[[#This Row],[Date Received]])</f>
        <v>#VALUE!</v>
      </c>
    </row>
    <row r="1406" spans="5:25">
      <c r="E1406"/>
      <c r="G1406"/>
      <c r="H1406"/>
      <c r="I1406"/>
      <c r="K1406"/>
      <c r="O1406"/>
      <c r="R1406"/>
      <c r="S1406" s="79" t="e">
        <f>DbLinkTable[[#This Row],[Credit]]+DbLinkTable[[#This Row],[Charge]]</f>
        <v>#VALUE!</v>
      </c>
      <c r="T1406" s="79" t="e">
        <f>IF(DbLinkTable[[#This Row],[Price/lb]]*DbLinkTable[[#This Row],[Weight]]&gt;0,DbLinkTable[[#This Row],[Price/lb]]*DbLinkTable[[#This Row],[Weight]],0)</f>
        <v>#VALUE!</v>
      </c>
      <c r="U1406" s="79" t="e">
        <f>IF(DbLinkTable[[#This Row],[Price/lb]]*DbLinkTable[[#This Row],[Weight]]&lt;0,DbLinkTable[[#This Row],[Price/lb]]*DbLinkTable[[#This Row],[Weight]],0)</f>
        <v>#VALUE!</v>
      </c>
      <c r="V1406" s="4" t="str">
        <f>IF(COUNTIF($W$2:W1406,W1406)=1,1,"")</f>
        <v/>
      </c>
      <c r="W1406" s="4" t="e">
        <f>CONCATENATE(DbLinkTable[[#This Row],[Customer]],UPPER(DbLinkTable[[#This Row],[Trailer Number]]),DbLinkTable[[#This Row],[Day Received]])</f>
        <v>#VALUE!</v>
      </c>
      <c r="X1406" s="4" t="e">
        <f>DATEVALUE(TEXT(DbLinkTable[[#This Row],[Date Received]],"MMMM YYYY"))</f>
        <v>#VALUE!</v>
      </c>
      <c r="Y1406" s="4" t="e">
        <f>INT(DbLinkTable[[#This Row],[Date Received]])</f>
        <v>#VALUE!</v>
      </c>
    </row>
    <row r="1407" spans="5:25">
      <c r="E1407"/>
      <c r="G1407"/>
      <c r="H1407"/>
      <c r="I1407"/>
      <c r="K1407"/>
      <c r="O1407"/>
      <c r="R1407"/>
      <c r="S1407" s="79" t="e">
        <f>DbLinkTable[[#This Row],[Credit]]+DbLinkTable[[#This Row],[Charge]]</f>
        <v>#VALUE!</v>
      </c>
      <c r="T1407" s="79" t="e">
        <f>IF(DbLinkTable[[#This Row],[Price/lb]]*DbLinkTable[[#This Row],[Weight]]&gt;0,DbLinkTable[[#This Row],[Price/lb]]*DbLinkTable[[#This Row],[Weight]],0)</f>
        <v>#VALUE!</v>
      </c>
      <c r="U1407" s="79" t="e">
        <f>IF(DbLinkTable[[#This Row],[Price/lb]]*DbLinkTable[[#This Row],[Weight]]&lt;0,DbLinkTable[[#This Row],[Price/lb]]*DbLinkTable[[#This Row],[Weight]],0)</f>
        <v>#VALUE!</v>
      </c>
      <c r="V1407" s="4" t="str">
        <f>IF(COUNTIF($W$2:W1407,W1407)=1,1,"")</f>
        <v/>
      </c>
      <c r="W1407" s="4" t="e">
        <f>CONCATENATE(DbLinkTable[[#This Row],[Customer]],UPPER(DbLinkTable[[#This Row],[Trailer Number]]),DbLinkTable[[#This Row],[Day Received]])</f>
        <v>#VALUE!</v>
      </c>
      <c r="X1407" s="4" t="e">
        <f>DATEVALUE(TEXT(DbLinkTable[[#This Row],[Date Received]],"MMMM YYYY"))</f>
        <v>#VALUE!</v>
      </c>
      <c r="Y1407" s="4" t="e">
        <f>INT(DbLinkTable[[#This Row],[Date Received]])</f>
        <v>#VALUE!</v>
      </c>
    </row>
    <row r="1408" spans="5:25">
      <c r="E1408"/>
      <c r="G1408"/>
      <c r="H1408"/>
      <c r="I1408"/>
      <c r="K1408"/>
      <c r="O1408"/>
      <c r="R1408"/>
      <c r="S1408" s="79" t="e">
        <f>DbLinkTable[[#This Row],[Credit]]+DbLinkTable[[#This Row],[Charge]]</f>
        <v>#VALUE!</v>
      </c>
      <c r="T1408" s="79" t="e">
        <f>IF(DbLinkTable[[#This Row],[Price/lb]]*DbLinkTable[[#This Row],[Weight]]&gt;0,DbLinkTable[[#This Row],[Price/lb]]*DbLinkTable[[#This Row],[Weight]],0)</f>
        <v>#VALUE!</v>
      </c>
      <c r="U1408" s="79" t="e">
        <f>IF(DbLinkTable[[#This Row],[Price/lb]]*DbLinkTable[[#This Row],[Weight]]&lt;0,DbLinkTable[[#This Row],[Price/lb]]*DbLinkTable[[#This Row],[Weight]],0)</f>
        <v>#VALUE!</v>
      </c>
      <c r="V1408" s="4" t="str">
        <f>IF(COUNTIF($W$2:W1408,W1408)=1,1,"")</f>
        <v/>
      </c>
      <c r="W1408" s="4" t="e">
        <f>CONCATENATE(DbLinkTable[[#This Row],[Customer]],UPPER(DbLinkTable[[#This Row],[Trailer Number]]),DbLinkTable[[#This Row],[Day Received]])</f>
        <v>#VALUE!</v>
      </c>
      <c r="X1408" s="4" t="e">
        <f>DATEVALUE(TEXT(DbLinkTable[[#This Row],[Date Received]],"MMMM YYYY"))</f>
        <v>#VALUE!</v>
      </c>
      <c r="Y1408" s="4" t="e">
        <f>INT(DbLinkTable[[#This Row],[Date Received]])</f>
        <v>#VALUE!</v>
      </c>
    </row>
    <row r="1409" spans="5:25">
      <c r="E1409"/>
      <c r="G1409"/>
      <c r="H1409"/>
      <c r="I1409"/>
      <c r="K1409"/>
      <c r="O1409"/>
      <c r="R1409"/>
      <c r="S1409" s="79" t="e">
        <f>DbLinkTable[[#This Row],[Credit]]+DbLinkTable[[#This Row],[Charge]]</f>
        <v>#VALUE!</v>
      </c>
      <c r="T1409" s="79" t="e">
        <f>IF(DbLinkTable[[#This Row],[Price/lb]]*DbLinkTable[[#This Row],[Weight]]&gt;0,DbLinkTable[[#This Row],[Price/lb]]*DbLinkTable[[#This Row],[Weight]],0)</f>
        <v>#VALUE!</v>
      </c>
      <c r="U1409" s="79" t="e">
        <f>IF(DbLinkTable[[#This Row],[Price/lb]]*DbLinkTable[[#This Row],[Weight]]&lt;0,DbLinkTable[[#This Row],[Price/lb]]*DbLinkTable[[#This Row],[Weight]],0)</f>
        <v>#VALUE!</v>
      </c>
      <c r="V1409" s="4" t="str">
        <f>IF(COUNTIF($W$2:W1409,W1409)=1,1,"")</f>
        <v/>
      </c>
      <c r="W1409" s="4" t="e">
        <f>CONCATENATE(DbLinkTable[[#This Row],[Customer]],UPPER(DbLinkTable[[#This Row],[Trailer Number]]),DbLinkTable[[#This Row],[Day Received]])</f>
        <v>#VALUE!</v>
      </c>
      <c r="X1409" s="4" t="e">
        <f>DATEVALUE(TEXT(DbLinkTable[[#This Row],[Date Received]],"MMMM YYYY"))</f>
        <v>#VALUE!</v>
      </c>
      <c r="Y1409" s="4" t="e">
        <f>INT(DbLinkTable[[#This Row],[Date Received]])</f>
        <v>#VALUE!</v>
      </c>
    </row>
    <row r="1410" spans="5:25">
      <c r="E1410"/>
      <c r="G1410"/>
      <c r="H1410"/>
      <c r="I1410"/>
      <c r="K1410"/>
      <c r="O1410"/>
      <c r="R1410"/>
      <c r="S1410" s="79" t="e">
        <f>DbLinkTable[[#This Row],[Credit]]+DbLinkTable[[#This Row],[Charge]]</f>
        <v>#VALUE!</v>
      </c>
      <c r="T1410" s="79" t="e">
        <f>IF(DbLinkTable[[#This Row],[Price/lb]]*DbLinkTable[[#This Row],[Weight]]&gt;0,DbLinkTable[[#This Row],[Price/lb]]*DbLinkTable[[#This Row],[Weight]],0)</f>
        <v>#VALUE!</v>
      </c>
      <c r="U1410" s="79" t="e">
        <f>IF(DbLinkTable[[#This Row],[Price/lb]]*DbLinkTable[[#This Row],[Weight]]&lt;0,DbLinkTable[[#This Row],[Price/lb]]*DbLinkTable[[#This Row],[Weight]],0)</f>
        <v>#VALUE!</v>
      </c>
      <c r="V1410" s="4" t="str">
        <f>IF(COUNTIF($W$2:W1410,W1410)=1,1,"")</f>
        <v/>
      </c>
      <c r="W1410" s="4" t="e">
        <f>CONCATENATE(DbLinkTable[[#This Row],[Customer]],UPPER(DbLinkTable[[#This Row],[Trailer Number]]),DbLinkTable[[#This Row],[Day Received]])</f>
        <v>#VALUE!</v>
      </c>
      <c r="X1410" s="4" t="e">
        <f>DATEVALUE(TEXT(DbLinkTable[[#This Row],[Date Received]],"MMMM YYYY"))</f>
        <v>#VALUE!</v>
      </c>
      <c r="Y1410" s="4" t="e">
        <f>INT(DbLinkTable[[#This Row],[Date Received]])</f>
        <v>#VALUE!</v>
      </c>
    </row>
    <row r="1411" spans="5:25">
      <c r="E1411"/>
      <c r="G1411"/>
      <c r="H1411"/>
      <c r="I1411"/>
      <c r="K1411"/>
      <c r="O1411"/>
      <c r="R1411"/>
      <c r="S1411" s="79" t="e">
        <f>DbLinkTable[[#This Row],[Credit]]+DbLinkTable[[#This Row],[Charge]]</f>
        <v>#VALUE!</v>
      </c>
      <c r="T1411" s="79" t="e">
        <f>IF(DbLinkTable[[#This Row],[Price/lb]]*DbLinkTable[[#This Row],[Weight]]&gt;0,DbLinkTable[[#This Row],[Price/lb]]*DbLinkTable[[#This Row],[Weight]],0)</f>
        <v>#VALUE!</v>
      </c>
      <c r="U1411" s="79" t="e">
        <f>IF(DbLinkTable[[#This Row],[Price/lb]]*DbLinkTable[[#This Row],[Weight]]&lt;0,DbLinkTable[[#This Row],[Price/lb]]*DbLinkTable[[#This Row],[Weight]],0)</f>
        <v>#VALUE!</v>
      </c>
      <c r="V1411" s="4" t="str">
        <f>IF(COUNTIF($W$2:W1411,W1411)=1,1,"")</f>
        <v/>
      </c>
      <c r="W1411" s="4" t="e">
        <f>CONCATENATE(DbLinkTable[[#This Row],[Customer]],UPPER(DbLinkTable[[#This Row],[Trailer Number]]),DbLinkTable[[#This Row],[Day Received]])</f>
        <v>#VALUE!</v>
      </c>
      <c r="X1411" s="4" t="e">
        <f>DATEVALUE(TEXT(DbLinkTable[[#This Row],[Date Received]],"MMMM YYYY"))</f>
        <v>#VALUE!</v>
      </c>
      <c r="Y1411" s="4" t="e">
        <f>INT(DbLinkTable[[#This Row],[Date Received]])</f>
        <v>#VALUE!</v>
      </c>
    </row>
    <row r="1412" spans="5:25">
      <c r="E1412"/>
      <c r="G1412"/>
      <c r="H1412"/>
      <c r="I1412"/>
      <c r="K1412"/>
      <c r="O1412"/>
      <c r="R1412"/>
      <c r="S1412" s="79" t="e">
        <f>DbLinkTable[[#This Row],[Credit]]+DbLinkTable[[#This Row],[Charge]]</f>
        <v>#VALUE!</v>
      </c>
      <c r="T1412" s="79" t="e">
        <f>IF(DbLinkTable[[#This Row],[Price/lb]]*DbLinkTable[[#This Row],[Weight]]&gt;0,DbLinkTable[[#This Row],[Price/lb]]*DbLinkTable[[#This Row],[Weight]],0)</f>
        <v>#VALUE!</v>
      </c>
      <c r="U1412" s="79" t="e">
        <f>IF(DbLinkTable[[#This Row],[Price/lb]]*DbLinkTable[[#This Row],[Weight]]&lt;0,DbLinkTable[[#This Row],[Price/lb]]*DbLinkTable[[#This Row],[Weight]],0)</f>
        <v>#VALUE!</v>
      </c>
      <c r="V1412" s="4" t="str">
        <f>IF(COUNTIF($W$2:W1412,W1412)=1,1,"")</f>
        <v/>
      </c>
      <c r="W1412" s="4" t="e">
        <f>CONCATENATE(DbLinkTable[[#This Row],[Customer]],UPPER(DbLinkTable[[#This Row],[Trailer Number]]),DbLinkTable[[#This Row],[Day Received]])</f>
        <v>#VALUE!</v>
      </c>
      <c r="X1412" s="4" t="e">
        <f>DATEVALUE(TEXT(DbLinkTable[[#This Row],[Date Received]],"MMMM YYYY"))</f>
        <v>#VALUE!</v>
      </c>
      <c r="Y1412" s="4" t="e">
        <f>INT(DbLinkTable[[#This Row],[Date Received]])</f>
        <v>#VALUE!</v>
      </c>
    </row>
    <row r="1413" spans="5:25">
      <c r="E1413"/>
      <c r="G1413"/>
      <c r="H1413"/>
      <c r="I1413"/>
      <c r="K1413"/>
      <c r="O1413"/>
      <c r="R1413"/>
      <c r="S1413" s="79" t="e">
        <f>DbLinkTable[[#This Row],[Credit]]+DbLinkTable[[#This Row],[Charge]]</f>
        <v>#VALUE!</v>
      </c>
      <c r="T1413" s="79" t="e">
        <f>IF(DbLinkTable[[#This Row],[Price/lb]]*DbLinkTable[[#This Row],[Weight]]&gt;0,DbLinkTable[[#This Row],[Price/lb]]*DbLinkTable[[#This Row],[Weight]],0)</f>
        <v>#VALUE!</v>
      </c>
      <c r="U1413" s="79" t="e">
        <f>IF(DbLinkTable[[#This Row],[Price/lb]]*DbLinkTable[[#This Row],[Weight]]&lt;0,DbLinkTable[[#This Row],[Price/lb]]*DbLinkTable[[#This Row],[Weight]],0)</f>
        <v>#VALUE!</v>
      </c>
      <c r="V1413" s="4" t="str">
        <f>IF(COUNTIF($W$2:W1413,W1413)=1,1,"")</f>
        <v/>
      </c>
      <c r="W1413" s="4" t="e">
        <f>CONCATENATE(DbLinkTable[[#This Row],[Customer]],UPPER(DbLinkTable[[#This Row],[Trailer Number]]),DbLinkTable[[#This Row],[Day Received]])</f>
        <v>#VALUE!</v>
      </c>
      <c r="X1413" s="4" t="e">
        <f>DATEVALUE(TEXT(DbLinkTable[[#This Row],[Date Received]],"MMMM YYYY"))</f>
        <v>#VALUE!</v>
      </c>
      <c r="Y1413" s="4" t="e">
        <f>INT(DbLinkTable[[#This Row],[Date Received]])</f>
        <v>#VALUE!</v>
      </c>
    </row>
    <row r="1414" spans="5:25">
      <c r="E1414"/>
      <c r="G1414"/>
      <c r="H1414"/>
      <c r="I1414"/>
      <c r="K1414"/>
      <c r="O1414"/>
      <c r="R1414"/>
      <c r="S1414" s="79" t="e">
        <f>DbLinkTable[[#This Row],[Credit]]+DbLinkTable[[#This Row],[Charge]]</f>
        <v>#VALUE!</v>
      </c>
      <c r="T1414" s="79" t="e">
        <f>IF(DbLinkTable[[#This Row],[Price/lb]]*DbLinkTable[[#This Row],[Weight]]&gt;0,DbLinkTable[[#This Row],[Price/lb]]*DbLinkTable[[#This Row],[Weight]],0)</f>
        <v>#VALUE!</v>
      </c>
      <c r="U1414" s="79" t="e">
        <f>IF(DbLinkTable[[#This Row],[Price/lb]]*DbLinkTable[[#This Row],[Weight]]&lt;0,DbLinkTable[[#This Row],[Price/lb]]*DbLinkTable[[#This Row],[Weight]],0)</f>
        <v>#VALUE!</v>
      </c>
      <c r="V1414" s="4" t="str">
        <f>IF(COUNTIF($W$2:W1414,W1414)=1,1,"")</f>
        <v/>
      </c>
      <c r="W1414" s="4" t="e">
        <f>CONCATENATE(DbLinkTable[[#This Row],[Customer]],UPPER(DbLinkTable[[#This Row],[Trailer Number]]),DbLinkTable[[#This Row],[Day Received]])</f>
        <v>#VALUE!</v>
      </c>
      <c r="X1414" s="4" t="e">
        <f>DATEVALUE(TEXT(DbLinkTable[[#This Row],[Date Received]],"MMMM YYYY"))</f>
        <v>#VALUE!</v>
      </c>
      <c r="Y1414" s="4" t="e">
        <f>INT(DbLinkTable[[#This Row],[Date Received]])</f>
        <v>#VALUE!</v>
      </c>
    </row>
    <row r="1415" spans="5:25">
      <c r="E1415"/>
      <c r="G1415"/>
      <c r="H1415"/>
      <c r="I1415"/>
      <c r="K1415"/>
      <c r="O1415"/>
      <c r="R1415"/>
      <c r="S1415" s="79" t="e">
        <f>DbLinkTable[[#This Row],[Credit]]+DbLinkTable[[#This Row],[Charge]]</f>
        <v>#VALUE!</v>
      </c>
      <c r="T1415" s="79" t="e">
        <f>IF(DbLinkTable[[#This Row],[Price/lb]]*DbLinkTable[[#This Row],[Weight]]&gt;0,DbLinkTable[[#This Row],[Price/lb]]*DbLinkTable[[#This Row],[Weight]],0)</f>
        <v>#VALUE!</v>
      </c>
      <c r="U1415" s="79" t="e">
        <f>IF(DbLinkTable[[#This Row],[Price/lb]]*DbLinkTable[[#This Row],[Weight]]&lt;0,DbLinkTable[[#This Row],[Price/lb]]*DbLinkTable[[#This Row],[Weight]],0)</f>
        <v>#VALUE!</v>
      </c>
      <c r="V1415" s="4" t="str">
        <f>IF(COUNTIF($W$2:W1415,W1415)=1,1,"")</f>
        <v/>
      </c>
      <c r="W1415" s="4" t="e">
        <f>CONCATENATE(DbLinkTable[[#This Row],[Customer]],UPPER(DbLinkTable[[#This Row],[Trailer Number]]),DbLinkTable[[#This Row],[Day Received]])</f>
        <v>#VALUE!</v>
      </c>
      <c r="X1415" s="4" t="e">
        <f>DATEVALUE(TEXT(DbLinkTable[[#This Row],[Date Received]],"MMMM YYYY"))</f>
        <v>#VALUE!</v>
      </c>
      <c r="Y1415" s="4" t="e">
        <f>INT(DbLinkTable[[#This Row],[Date Received]])</f>
        <v>#VALUE!</v>
      </c>
    </row>
    <row r="1416" spans="5:25">
      <c r="E1416"/>
      <c r="G1416"/>
      <c r="H1416"/>
      <c r="I1416"/>
      <c r="K1416"/>
      <c r="O1416"/>
      <c r="R1416"/>
      <c r="S1416" s="79" t="e">
        <f>DbLinkTable[[#This Row],[Credit]]+DbLinkTable[[#This Row],[Charge]]</f>
        <v>#VALUE!</v>
      </c>
      <c r="T1416" s="79" t="e">
        <f>IF(DbLinkTable[[#This Row],[Price/lb]]*DbLinkTable[[#This Row],[Weight]]&gt;0,DbLinkTable[[#This Row],[Price/lb]]*DbLinkTable[[#This Row],[Weight]],0)</f>
        <v>#VALUE!</v>
      </c>
      <c r="U1416" s="79" t="e">
        <f>IF(DbLinkTable[[#This Row],[Price/lb]]*DbLinkTable[[#This Row],[Weight]]&lt;0,DbLinkTable[[#This Row],[Price/lb]]*DbLinkTable[[#This Row],[Weight]],0)</f>
        <v>#VALUE!</v>
      </c>
      <c r="V1416" s="4" t="str">
        <f>IF(COUNTIF($W$2:W1416,W1416)=1,1,"")</f>
        <v/>
      </c>
      <c r="W1416" s="4" t="e">
        <f>CONCATENATE(DbLinkTable[[#This Row],[Customer]],UPPER(DbLinkTable[[#This Row],[Trailer Number]]),DbLinkTable[[#This Row],[Day Received]])</f>
        <v>#VALUE!</v>
      </c>
      <c r="X1416" s="4" t="e">
        <f>DATEVALUE(TEXT(DbLinkTable[[#This Row],[Date Received]],"MMMM YYYY"))</f>
        <v>#VALUE!</v>
      </c>
      <c r="Y1416" s="4" t="e">
        <f>INT(DbLinkTable[[#This Row],[Date Received]])</f>
        <v>#VALUE!</v>
      </c>
    </row>
    <row r="1417" spans="5:25">
      <c r="E1417"/>
      <c r="G1417"/>
      <c r="H1417"/>
      <c r="I1417"/>
      <c r="K1417"/>
      <c r="O1417"/>
      <c r="R1417"/>
      <c r="S1417" s="79" t="e">
        <f>DbLinkTable[[#This Row],[Credit]]+DbLinkTable[[#This Row],[Charge]]</f>
        <v>#VALUE!</v>
      </c>
      <c r="T1417" s="79" t="e">
        <f>IF(DbLinkTable[[#This Row],[Price/lb]]*DbLinkTable[[#This Row],[Weight]]&gt;0,DbLinkTable[[#This Row],[Price/lb]]*DbLinkTable[[#This Row],[Weight]],0)</f>
        <v>#VALUE!</v>
      </c>
      <c r="U1417" s="79" t="e">
        <f>IF(DbLinkTable[[#This Row],[Price/lb]]*DbLinkTable[[#This Row],[Weight]]&lt;0,DbLinkTable[[#This Row],[Price/lb]]*DbLinkTable[[#This Row],[Weight]],0)</f>
        <v>#VALUE!</v>
      </c>
      <c r="V1417" s="4" t="str">
        <f>IF(COUNTIF($W$2:W1417,W1417)=1,1,"")</f>
        <v/>
      </c>
      <c r="W1417" s="4" t="e">
        <f>CONCATENATE(DbLinkTable[[#This Row],[Customer]],UPPER(DbLinkTable[[#This Row],[Trailer Number]]),DbLinkTable[[#This Row],[Day Received]])</f>
        <v>#VALUE!</v>
      </c>
      <c r="X1417" s="4" t="e">
        <f>DATEVALUE(TEXT(DbLinkTable[[#This Row],[Date Received]],"MMMM YYYY"))</f>
        <v>#VALUE!</v>
      </c>
      <c r="Y1417" s="4" t="e">
        <f>INT(DbLinkTable[[#This Row],[Date Received]])</f>
        <v>#VALUE!</v>
      </c>
    </row>
    <row r="1418" spans="5:25">
      <c r="E1418"/>
      <c r="G1418"/>
      <c r="H1418"/>
      <c r="I1418"/>
      <c r="K1418"/>
      <c r="O1418"/>
      <c r="R1418"/>
      <c r="S1418" s="79" t="e">
        <f>DbLinkTable[[#This Row],[Credit]]+DbLinkTable[[#This Row],[Charge]]</f>
        <v>#VALUE!</v>
      </c>
      <c r="T1418" s="79" t="e">
        <f>IF(DbLinkTable[[#This Row],[Price/lb]]*DbLinkTable[[#This Row],[Weight]]&gt;0,DbLinkTable[[#This Row],[Price/lb]]*DbLinkTable[[#This Row],[Weight]],0)</f>
        <v>#VALUE!</v>
      </c>
      <c r="U1418" s="79" t="e">
        <f>IF(DbLinkTable[[#This Row],[Price/lb]]*DbLinkTable[[#This Row],[Weight]]&lt;0,DbLinkTable[[#This Row],[Price/lb]]*DbLinkTable[[#This Row],[Weight]],0)</f>
        <v>#VALUE!</v>
      </c>
      <c r="V1418" s="4" t="str">
        <f>IF(COUNTIF($W$2:W1418,W1418)=1,1,"")</f>
        <v/>
      </c>
      <c r="W1418" s="4" t="e">
        <f>CONCATENATE(DbLinkTable[[#This Row],[Customer]],UPPER(DbLinkTable[[#This Row],[Trailer Number]]),DbLinkTable[[#This Row],[Day Received]])</f>
        <v>#VALUE!</v>
      </c>
      <c r="X1418" s="4" t="e">
        <f>DATEVALUE(TEXT(DbLinkTable[[#This Row],[Date Received]],"MMMM YYYY"))</f>
        <v>#VALUE!</v>
      </c>
      <c r="Y1418" s="4" t="e">
        <f>INT(DbLinkTable[[#This Row],[Date Received]])</f>
        <v>#VALUE!</v>
      </c>
    </row>
    <row r="1419" spans="5:25">
      <c r="E1419"/>
      <c r="G1419"/>
      <c r="H1419"/>
      <c r="I1419"/>
      <c r="K1419"/>
      <c r="O1419"/>
      <c r="R1419"/>
      <c r="S1419" s="79" t="e">
        <f>DbLinkTable[[#This Row],[Credit]]+DbLinkTable[[#This Row],[Charge]]</f>
        <v>#VALUE!</v>
      </c>
      <c r="T1419" s="79" t="e">
        <f>IF(DbLinkTable[[#This Row],[Price/lb]]*DbLinkTable[[#This Row],[Weight]]&gt;0,DbLinkTable[[#This Row],[Price/lb]]*DbLinkTable[[#This Row],[Weight]],0)</f>
        <v>#VALUE!</v>
      </c>
      <c r="U1419" s="79" t="e">
        <f>IF(DbLinkTable[[#This Row],[Price/lb]]*DbLinkTable[[#This Row],[Weight]]&lt;0,DbLinkTable[[#This Row],[Price/lb]]*DbLinkTable[[#This Row],[Weight]],0)</f>
        <v>#VALUE!</v>
      </c>
      <c r="V1419" s="4" t="str">
        <f>IF(COUNTIF($W$2:W1419,W1419)=1,1,"")</f>
        <v/>
      </c>
      <c r="W1419" s="4" t="e">
        <f>CONCATENATE(DbLinkTable[[#This Row],[Customer]],UPPER(DbLinkTable[[#This Row],[Trailer Number]]),DbLinkTable[[#This Row],[Day Received]])</f>
        <v>#VALUE!</v>
      </c>
      <c r="X1419" s="4" t="e">
        <f>DATEVALUE(TEXT(DbLinkTable[[#This Row],[Date Received]],"MMMM YYYY"))</f>
        <v>#VALUE!</v>
      </c>
      <c r="Y1419" s="4" t="e">
        <f>INT(DbLinkTable[[#This Row],[Date Received]])</f>
        <v>#VALUE!</v>
      </c>
    </row>
    <row r="1420" spans="5:25">
      <c r="E1420"/>
      <c r="G1420"/>
      <c r="H1420"/>
      <c r="I1420"/>
      <c r="K1420"/>
      <c r="O1420"/>
      <c r="R1420"/>
      <c r="S1420" s="79" t="e">
        <f>DbLinkTable[[#This Row],[Credit]]+DbLinkTable[[#This Row],[Charge]]</f>
        <v>#VALUE!</v>
      </c>
      <c r="T1420" s="79" t="e">
        <f>IF(DbLinkTable[[#This Row],[Price/lb]]*DbLinkTable[[#This Row],[Weight]]&gt;0,DbLinkTable[[#This Row],[Price/lb]]*DbLinkTable[[#This Row],[Weight]],0)</f>
        <v>#VALUE!</v>
      </c>
      <c r="U1420" s="79" t="e">
        <f>IF(DbLinkTable[[#This Row],[Price/lb]]*DbLinkTable[[#This Row],[Weight]]&lt;0,DbLinkTable[[#This Row],[Price/lb]]*DbLinkTable[[#This Row],[Weight]],0)</f>
        <v>#VALUE!</v>
      </c>
      <c r="V1420" s="4" t="str">
        <f>IF(COUNTIF($W$2:W1420,W1420)=1,1,"")</f>
        <v/>
      </c>
      <c r="W1420" s="4" t="e">
        <f>CONCATENATE(DbLinkTable[[#This Row],[Customer]],UPPER(DbLinkTable[[#This Row],[Trailer Number]]),DbLinkTable[[#This Row],[Day Received]])</f>
        <v>#VALUE!</v>
      </c>
      <c r="X1420" s="4" t="e">
        <f>DATEVALUE(TEXT(DbLinkTable[[#This Row],[Date Received]],"MMMM YYYY"))</f>
        <v>#VALUE!</v>
      </c>
      <c r="Y1420" s="4" t="e">
        <f>INT(DbLinkTable[[#This Row],[Date Received]])</f>
        <v>#VALUE!</v>
      </c>
    </row>
    <row r="1421" spans="5:25">
      <c r="E1421"/>
      <c r="G1421"/>
      <c r="H1421"/>
      <c r="I1421"/>
      <c r="K1421"/>
      <c r="O1421"/>
      <c r="R1421"/>
      <c r="S1421" s="79" t="e">
        <f>DbLinkTable[[#This Row],[Credit]]+DbLinkTable[[#This Row],[Charge]]</f>
        <v>#VALUE!</v>
      </c>
      <c r="T1421" s="79" t="e">
        <f>IF(DbLinkTable[[#This Row],[Price/lb]]*DbLinkTable[[#This Row],[Weight]]&gt;0,DbLinkTable[[#This Row],[Price/lb]]*DbLinkTable[[#This Row],[Weight]],0)</f>
        <v>#VALUE!</v>
      </c>
      <c r="U1421" s="79" t="e">
        <f>IF(DbLinkTable[[#This Row],[Price/lb]]*DbLinkTable[[#This Row],[Weight]]&lt;0,DbLinkTable[[#This Row],[Price/lb]]*DbLinkTable[[#This Row],[Weight]],0)</f>
        <v>#VALUE!</v>
      </c>
      <c r="V1421" s="4" t="str">
        <f>IF(COUNTIF($W$2:W1421,W1421)=1,1,"")</f>
        <v/>
      </c>
      <c r="W1421" s="4" t="e">
        <f>CONCATENATE(DbLinkTable[[#This Row],[Customer]],UPPER(DbLinkTable[[#This Row],[Trailer Number]]),DbLinkTable[[#This Row],[Day Received]])</f>
        <v>#VALUE!</v>
      </c>
      <c r="X1421" s="4" t="e">
        <f>DATEVALUE(TEXT(DbLinkTable[[#This Row],[Date Received]],"MMMM YYYY"))</f>
        <v>#VALUE!</v>
      </c>
      <c r="Y1421" s="4" t="e">
        <f>INT(DbLinkTable[[#This Row],[Date Received]])</f>
        <v>#VALUE!</v>
      </c>
    </row>
    <row r="1422" spans="5:25">
      <c r="E1422"/>
      <c r="G1422"/>
      <c r="H1422"/>
      <c r="I1422"/>
      <c r="K1422"/>
      <c r="O1422"/>
      <c r="R1422"/>
      <c r="S1422" s="99" t="e">
        <f>DbLinkTable[[#This Row],[Credit]]+DbLinkTable[[#This Row],[Charge]]</f>
        <v>#VALUE!</v>
      </c>
      <c r="T1422" s="99" t="e">
        <f>IF(DbLinkTable[[#This Row],[Price/lb]]*DbLinkTable[[#This Row],[Weight]]&gt;0,DbLinkTable[[#This Row],[Price/lb]]*DbLinkTable[[#This Row],[Weight]],0)</f>
        <v>#VALUE!</v>
      </c>
      <c r="U1422" s="99" t="e">
        <f>IF(DbLinkTable[[#This Row],[Price/lb]]*DbLinkTable[[#This Row],[Weight]]&lt;0,DbLinkTable[[#This Row],[Price/lb]]*DbLinkTable[[#This Row],[Weight]],0)</f>
        <v>#VALUE!</v>
      </c>
      <c r="V1422" s="88" t="str">
        <f>IF(COUNTIF($W$2:W629,W1422)=1,1,"")</f>
        <v/>
      </c>
      <c r="W1422" s="88" t="e">
        <f>CONCATENATE(DbLinkTable[[#This Row],[Customer]],UPPER(DbLinkTable[[#This Row],[Trailer Number]]),DbLinkTable[[#This Row],[Day Received]])</f>
        <v>#VALUE!</v>
      </c>
      <c r="X1422" s="88" t="e">
        <f>DATEVALUE(TEXT(DbLinkTable[[#This Row],[Date Received]],"MMMM YYYY"))</f>
        <v>#VALUE!</v>
      </c>
      <c r="Y1422" s="88" t="e">
        <f>INT(DbLinkTable[[#This Row],[Date Received]])</f>
        <v>#VALUE!</v>
      </c>
    </row>
    <row r="1423" spans="5:25">
      <c r="E1423"/>
      <c r="G1423"/>
      <c r="H1423"/>
      <c r="I1423"/>
      <c r="K1423"/>
      <c r="O1423"/>
      <c r="R1423"/>
      <c r="W1423" s="4"/>
      <c r="X1423" s="4"/>
      <c r="Y1423" s="4"/>
    </row>
    <row r="1424" spans="5:25">
      <c r="E1424"/>
      <c r="G1424"/>
      <c r="H1424"/>
      <c r="I1424"/>
      <c r="K1424"/>
      <c r="O1424"/>
      <c r="R1424"/>
      <c r="W1424" s="4"/>
      <c r="X1424" s="4"/>
      <c r="Y1424" s="4"/>
    </row>
    <row r="1425" spans="5:25">
      <c r="E1425"/>
      <c r="G1425"/>
      <c r="H1425"/>
      <c r="I1425"/>
      <c r="K1425"/>
      <c r="O1425"/>
      <c r="R1425"/>
      <c r="W1425" s="4"/>
      <c r="X1425" s="4"/>
      <c r="Y1425" s="4"/>
    </row>
    <row r="1426" spans="5:25">
      <c r="E1426"/>
      <c r="G1426"/>
      <c r="H1426"/>
      <c r="I1426"/>
      <c r="K1426"/>
      <c r="O1426"/>
      <c r="R1426"/>
      <c r="W1426" s="4"/>
      <c r="X1426" s="4"/>
      <c r="Y1426" s="4"/>
    </row>
    <row r="1427" spans="5:25">
      <c r="E1427"/>
      <c r="G1427"/>
      <c r="H1427"/>
      <c r="I1427"/>
      <c r="K1427"/>
      <c r="O1427"/>
      <c r="R1427"/>
      <c r="W1427" s="4"/>
      <c r="X1427" s="4"/>
      <c r="Y1427" s="4"/>
    </row>
    <row r="1428" spans="5:25">
      <c r="E1428"/>
      <c r="G1428"/>
      <c r="H1428"/>
      <c r="I1428"/>
      <c r="K1428"/>
      <c r="O1428"/>
      <c r="R1428"/>
      <c r="W1428" s="4"/>
      <c r="X1428" s="4"/>
      <c r="Y1428" s="4"/>
    </row>
    <row r="1429" spans="5:25">
      <c r="E1429"/>
      <c r="G1429"/>
      <c r="H1429"/>
      <c r="I1429"/>
      <c r="K1429"/>
      <c r="O1429"/>
      <c r="R1429"/>
      <c r="W1429" s="4"/>
      <c r="X1429" s="4"/>
      <c r="Y1429" s="4"/>
    </row>
    <row r="1430" spans="5:25">
      <c r="E1430"/>
      <c r="G1430"/>
      <c r="H1430"/>
      <c r="I1430"/>
      <c r="K1430"/>
      <c r="O1430"/>
      <c r="R1430"/>
      <c r="W1430" s="4"/>
      <c r="X1430" s="4"/>
      <c r="Y1430" s="4"/>
    </row>
    <row r="1431" spans="5:25">
      <c r="E1431"/>
      <c r="G1431"/>
      <c r="H1431"/>
      <c r="I1431"/>
      <c r="K1431"/>
      <c r="O1431"/>
      <c r="R1431"/>
      <c r="W1431" s="4"/>
      <c r="X1431" s="4"/>
      <c r="Y1431" s="4"/>
    </row>
    <row r="1432" spans="5:25">
      <c r="E1432"/>
      <c r="G1432"/>
      <c r="H1432"/>
      <c r="I1432"/>
      <c r="K1432"/>
      <c r="O1432"/>
      <c r="R1432"/>
      <c r="W1432" s="4"/>
      <c r="X1432" s="4"/>
      <c r="Y1432" s="4"/>
    </row>
    <row r="1433" spans="5:25">
      <c r="E1433"/>
      <c r="G1433"/>
      <c r="H1433"/>
      <c r="I1433"/>
      <c r="K1433"/>
      <c r="O1433"/>
      <c r="R1433"/>
      <c r="W1433" s="4"/>
      <c r="X1433" s="4"/>
      <c r="Y1433" s="4"/>
    </row>
    <row r="1434" spans="5:25">
      <c r="E1434"/>
      <c r="G1434"/>
      <c r="H1434"/>
      <c r="I1434"/>
      <c r="K1434"/>
      <c r="O1434"/>
      <c r="R1434"/>
      <c r="W1434" s="4"/>
      <c r="X1434" s="4"/>
      <c r="Y1434" s="4"/>
    </row>
    <row r="1435" spans="5:25">
      <c r="E1435"/>
      <c r="G1435"/>
      <c r="H1435"/>
      <c r="I1435"/>
      <c r="K1435"/>
      <c r="O1435"/>
      <c r="R1435"/>
      <c r="W1435" s="4"/>
      <c r="X1435" s="4"/>
      <c r="Y1435" s="4"/>
    </row>
    <row r="1436" spans="5:25">
      <c r="E1436"/>
      <c r="G1436"/>
      <c r="H1436"/>
      <c r="I1436"/>
      <c r="K1436"/>
      <c r="O1436"/>
      <c r="R1436"/>
      <c r="W1436" s="4"/>
      <c r="X1436" s="4"/>
      <c r="Y1436" s="4"/>
    </row>
    <row r="1437" spans="5:25">
      <c r="E1437"/>
      <c r="G1437"/>
      <c r="H1437"/>
      <c r="I1437"/>
      <c r="K1437"/>
      <c r="O1437"/>
      <c r="R1437"/>
      <c r="W1437" s="4"/>
      <c r="X1437" s="4"/>
      <c r="Y1437" s="4"/>
    </row>
    <row r="1438" spans="5:25">
      <c r="E1438"/>
      <c r="G1438"/>
      <c r="H1438"/>
      <c r="I1438"/>
      <c r="K1438"/>
      <c r="O1438"/>
      <c r="R1438"/>
      <c r="W1438" s="4"/>
      <c r="X1438" s="4"/>
      <c r="Y1438" s="4"/>
    </row>
    <row r="1439" spans="5:25">
      <c r="E1439"/>
      <c r="G1439"/>
      <c r="H1439"/>
      <c r="I1439"/>
      <c r="K1439"/>
      <c r="O1439"/>
      <c r="R1439"/>
      <c r="W1439" s="4"/>
      <c r="X1439" s="4"/>
      <c r="Y1439" s="4"/>
    </row>
    <row r="1440" spans="5:25">
      <c r="E1440"/>
      <c r="G1440"/>
      <c r="H1440"/>
      <c r="I1440"/>
      <c r="K1440"/>
      <c r="O1440"/>
      <c r="R1440"/>
      <c r="W1440" s="4"/>
      <c r="X1440" s="4"/>
      <c r="Y1440" s="4"/>
    </row>
    <row r="1441" spans="5:25">
      <c r="E1441"/>
      <c r="G1441"/>
      <c r="H1441"/>
      <c r="I1441"/>
      <c r="K1441"/>
      <c r="O1441"/>
      <c r="R1441"/>
      <c r="W1441" s="4"/>
      <c r="X1441" s="4"/>
      <c r="Y1441" s="4"/>
    </row>
    <row r="1442" spans="5:25">
      <c r="E1442"/>
      <c r="G1442"/>
      <c r="H1442"/>
      <c r="I1442"/>
      <c r="K1442"/>
      <c r="O1442"/>
      <c r="R1442"/>
      <c r="W1442" s="4"/>
      <c r="X1442" s="4"/>
      <c r="Y1442" s="4"/>
    </row>
    <row r="1443" spans="5:25">
      <c r="E1443"/>
      <c r="G1443"/>
      <c r="H1443"/>
      <c r="I1443"/>
      <c r="K1443"/>
      <c r="O1443"/>
      <c r="R1443"/>
      <c r="W1443" s="4"/>
      <c r="X1443" s="4"/>
      <c r="Y1443" s="4"/>
    </row>
    <row r="1444" spans="5:25">
      <c r="E1444"/>
      <c r="G1444"/>
      <c r="H1444"/>
      <c r="I1444"/>
      <c r="K1444"/>
      <c r="O1444"/>
      <c r="R1444"/>
      <c r="W1444" s="4"/>
      <c r="X1444" s="4"/>
      <c r="Y1444" s="4"/>
    </row>
    <row r="1445" spans="5:25">
      <c r="E1445"/>
      <c r="G1445"/>
      <c r="H1445"/>
      <c r="I1445"/>
      <c r="K1445"/>
      <c r="O1445"/>
      <c r="R1445"/>
      <c r="W1445" s="4"/>
      <c r="X1445" s="4"/>
      <c r="Y1445" s="4"/>
    </row>
    <row r="1446" spans="5:25">
      <c r="E1446"/>
      <c r="G1446"/>
      <c r="H1446"/>
      <c r="I1446"/>
      <c r="K1446"/>
      <c r="O1446"/>
      <c r="R1446"/>
      <c r="W1446" s="4"/>
      <c r="X1446" s="4"/>
      <c r="Y1446" s="4"/>
    </row>
    <row r="1447" spans="5:25">
      <c r="E1447"/>
      <c r="G1447"/>
      <c r="H1447"/>
      <c r="I1447"/>
      <c r="K1447"/>
      <c r="O1447"/>
      <c r="R1447"/>
      <c r="W1447" s="4"/>
      <c r="X1447" s="4"/>
      <c r="Y1447" s="4"/>
    </row>
    <row r="1448" spans="5:25">
      <c r="E1448"/>
      <c r="G1448"/>
      <c r="H1448"/>
      <c r="I1448"/>
      <c r="K1448"/>
      <c r="O1448"/>
      <c r="R1448"/>
      <c r="W1448" s="4"/>
      <c r="X1448" s="4"/>
      <c r="Y1448" s="4"/>
    </row>
    <row r="1449" spans="5:25">
      <c r="E1449"/>
      <c r="G1449"/>
      <c r="H1449"/>
      <c r="I1449"/>
      <c r="K1449"/>
      <c r="O1449"/>
      <c r="R1449"/>
      <c r="W1449" s="4"/>
      <c r="X1449" s="4"/>
      <c r="Y1449" s="4"/>
    </row>
    <row r="1450" spans="5:25">
      <c r="E1450"/>
      <c r="G1450"/>
      <c r="H1450"/>
      <c r="I1450"/>
      <c r="K1450"/>
      <c r="O1450"/>
      <c r="R1450"/>
      <c r="W1450" s="4"/>
      <c r="X1450" s="4"/>
      <c r="Y1450" s="4"/>
    </row>
    <row r="1451" spans="5:25">
      <c r="E1451"/>
      <c r="G1451"/>
      <c r="H1451"/>
      <c r="I1451"/>
      <c r="K1451"/>
      <c r="O1451"/>
      <c r="R1451"/>
      <c r="W1451" s="4"/>
      <c r="X1451" s="4"/>
      <c r="Y1451" s="4"/>
    </row>
    <row r="1452" spans="5:25">
      <c r="E1452"/>
      <c r="G1452"/>
      <c r="H1452"/>
      <c r="I1452"/>
      <c r="K1452"/>
      <c r="O1452"/>
      <c r="R1452"/>
      <c r="W1452" s="4"/>
      <c r="X1452" s="4"/>
      <c r="Y1452" s="4"/>
    </row>
    <row r="1453" spans="5:25">
      <c r="E1453"/>
      <c r="G1453"/>
      <c r="H1453"/>
      <c r="I1453"/>
      <c r="K1453"/>
      <c r="O1453"/>
      <c r="R1453"/>
      <c r="W1453" s="4"/>
      <c r="X1453" s="4"/>
      <c r="Y1453" s="4"/>
    </row>
    <row r="1454" spans="5:25">
      <c r="E1454"/>
      <c r="G1454"/>
      <c r="H1454"/>
      <c r="I1454"/>
      <c r="K1454"/>
      <c r="O1454"/>
      <c r="R1454"/>
      <c r="W1454" s="4"/>
      <c r="X1454" s="4"/>
      <c r="Y1454" s="4"/>
    </row>
    <row r="1455" spans="5:25">
      <c r="E1455"/>
      <c r="G1455"/>
      <c r="H1455"/>
      <c r="I1455"/>
      <c r="K1455"/>
      <c r="O1455"/>
      <c r="R1455"/>
      <c r="W1455" s="4"/>
      <c r="X1455" s="4"/>
      <c r="Y1455" s="4"/>
    </row>
    <row r="1456" spans="5:25">
      <c r="E1456"/>
      <c r="G1456"/>
      <c r="H1456"/>
      <c r="I1456"/>
      <c r="K1456"/>
      <c r="O1456"/>
      <c r="R1456"/>
      <c r="W1456" s="4"/>
      <c r="X1456" s="4"/>
      <c r="Y1456" s="4"/>
    </row>
    <row r="1457" spans="5:25">
      <c r="E1457"/>
      <c r="G1457"/>
      <c r="H1457"/>
      <c r="I1457"/>
      <c r="K1457"/>
      <c r="O1457"/>
      <c r="R1457"/>
      <c r="W1457" s="4"/>
      <c r="X1457" s="4"/>
      <c r="Y1457" s="4"/>
    </row>
    <row r="1458" spans="5:25">
      <c r="E1458"/>
      <c r="G1458"/>
      <c r="H1458"/>
      <c r="I1458"/>
      <c r="K1458"/>
      <c r="O1458"/>
      <c r="R1458"/>
      <c r="W1458" s="4"/>
      <c r="X1458" s="4"/>
      <c r="Y1458" s="4"/>
    </row>
    <row r="1459" spans="5:25">
      <c r="E1459"/>
      <c r="G1459"/>
      <c r="H1459"/>
      <c r="I1459"/>
      <c r="K1459"/>
      <c r="O1459"/>
      <c r="R1459"/>
      <c r="W1459" s="4"/>
      <c r="X1459" s="4"/>
      <c r="Y1459" s="4"/>
    </row>
    <row r="1460" spans="5:25">
      <c r="E1460"/>
      <c r="G1460"/>
      <c r="H1460"/>
      <c r="I1460"/>
      <c r="K1460"/>
      <c r="O1460"/>
      <c r="R1460"/>
      <c r="W1460" s="4"/>
      <c r="X1460" s="4"/>
      <c r="Y1460" s="4"/>
    </row>
    <row r="1461" spans="5:25">
      <c r="E1461"/>
      <c r="G1461"/>
      <c r="H1461"/>
      <c r="I1461"/>
      <c r="K1461"/>
      <c r="O1461"/>
      <c r="R1461"/>
      <c r="W1461" s="4"/>
      <c r="X1461" s="4"/>
      <c r="Y1461" s="4"/>
    </row>
    <row r="1462" spans="5:25">
      <c r="E1462"/>
      <c r="G1462"/>
      <c r="H1462"/>
      <c r="I1462"/>
      <c r="K1462"/>
      <c r="O1462"/>
      <c r="R1462"/>
      <c r="W1462" s="4"/>
      <c r="X1462" s="4"/>
      <c r="Y1462" s="4"/>
    </row>
    <row r="1463" spans="5:25">
      <c r="E1463"/>
      <c r="G1463"/>
      <c r="H1463"/>
      <c r="I1463"/>
      <c r="K1463"/>
      <c r="O1463"/>
      <c r="R1463"/>
      <c r="W1463" s="4"/>
      <c r="X1463" s="4"/>
      <c r="Y1463" s="4"/>
    </row>
    <row r="1464" spans="5:25">
      <c r="E1464"/>
      <c r="G1464"/>
      <c r="H1464"/>
      <c r="I1464"/>
      <c r="K1464"/>
      <c r="O1464"/>
      <c r="R1464"/>
      <c r="W1464" s="4"/>
      <c r="X1464" s="4"/>
      <c r="Y1464" s="4"/>
    </row>
    <row r="1465" spans="5:25">
      <c r="E1465"/>
      <c r="G1465"/>
      <c r="H1465"/>
      <c r="I1465"/>
      <c r="K1465"/>
      <c r="O1465"/>
      <c r="R1465"/>
      <c r="W1465" s="4"/>
      <c r="X1465" s="4"/>
      <c r="Y1465" s="4"/>
    </row>
    <row r="1466" spans="5:25">
      <c r="E1466"/>
      <c r="G1466"/>
      <c r="H1466"/>
      <c r="I1466"/>
      <c r="K1466"/>
      <c r="O1466"/>
      <c r="R1466"/>
      <c r="W1466" s="4"/>
      <c r="X1466" s="4"/>
      <c r="Y1466" s="4"/>
    </row>
    <row r="1467" spans="5:25">
      <c r="E1467"/>
      <c r="G1467"/>
      <c r="H1467"/>
      <c r="I1467"/>
      <c r="K1467"/>
      <c r="O1467"/>
      <c r="R1467"/>
      <c r="W1467" s="4"/>
      <c r="X1467" s="4"/>
      <c r="Y1467" s="4"/>
    </row>
    <row r="1468" spans="5:25">
      <c r="E1468"/>
      <c r="G1468"/>
      <c r="H1468"/>
      <c r="I1468"/>
      <c r="K1468"/>
      <c r="O1468"/>
      <c r="R1468"/>
      <c r="W1468" s="4"/>
      <c r="X1468" s="4"/>
      <c r="Y1468" s="4"/>
    </row>
    <row r="1469" spans="5:25">
      <c r="E1469"/>
      <c r="G1469"/>
      <c r="H1469"/>
      <c r="I1469"/>
      <c r="K1469"/>
      <c r="O1469"/>
      <c r="R1469"/>
      <c r="W1469" s="4"/>
      <c r="X1469" s="4"/>
      <c r="Y1469" s="4"/>
    </row>
    <row r="1470" spans="5:25">
      <c r="E1470"/>
      <c r="G1470"/>
      <c r="H1470"/>
      <c r="I1470"/>
      <c r="K1470"/>
      <c r="O1470"/>
      <c r="R1470"/>
      <c r="W1470" s="4"/>
      <c r="X1470" s="4"/>
      <c r="Y1470" s="4"/>
    </row>
    <row r="1471" spans="5:25">
      <c r="E1471"/>
      <c r="G1471"/>
      <c r="H1471"/>
      <c r="I1471"/>
      <c r="K1471"/>
      <c r="O1471"/>
      <c r="R1471"/>
      <c r="W1471" s="4"/>
      <c r="X1471" s="4"/>
      <c r="Y1471" s="4"/>
    </row>
    <row r="1472" spans="5:25">
      <c r="E1472"/>
      <c r="G1472"/>
      <c r="H1472"/>
      <c r="I1472"/>
      <c r="K1472"/>
      <c r="O1472"/>
      <c r="R1472"/>
      <c r="W1472" s="4"/>
      <c r="X1472" s="4"/>
      <c r="Y1472" s="4"/>
    </row>
    <row r="1473" spans="5:25">
      <c r="E1473"/>
      <c r="G1473"/>
      <c r="H1473"/>
      <c r="I1473"/>
      <c r="K1473"/>
      <c r="O1473"/>
      <c r="R1473"/>
      <c r="W1473" s="4"/>
      <c r="X1473" s="4"/>
      <c r="Y1473" s="4"/>
    </row>
    <row r="1474" spans="5:25">
      <c r="E1474"/>
      <c r="G1474"/>
      <c r="H1474"/>
      <c r="I1474"/>
      <c r="K1474"/>
      <c r="O1474"/>
      <c r="R1474"/>
      <c r="W1474" s="4"/>
      <c r="X1474" s="4"/>
      <c r="Y1474" s="4"/>
    </row>
    <row r="1475" spans="5:25">
      <c r="E1475"/>
      <c r="G1475"/>
      <c r="H1475"/>
      <c r="I1475"/>
      <c r="K1475"/>
      <c r="O1475"/>
      <c r="R1475"/>
      <c r="W1475" s="4"/>
      <c r="X1475" s="4"/>
      <c r="Y1475" s="4"/>
    </row>
    <row r="1476" spans="5:25">
      <c r="E1476"/>
      <c r="G1476"/>
      <c r="H1476"/>
      <c r="I1476"/>
      <c r="K1476"/>
      <c r="O1476"/>
      <c r="R1476"/>
      <c r="W1476" s="4"/>
      <c r="X1476" s="4"/>
      <c r="Y1476" s="4"/>
    </row>
    <row r="1477" spans="5:25">
      <c r="E1477"/>
      <c r="G1477"/>
      <c r="H1477"/>
      <c r="I1477"/>
      <c r="K1477"/>
      <c r="O1477"/>
      <c r="R1477"/>
      <c r="W1477" s="4"/>
      <c r="X1477" s="4"/>
      <c r="Y1477" s="4"/>
    </row>
    <row r="1478" spans="5:25">
      <c r="E1478"/>
      <c r="G1478"/>
      <c r="H1478"/>
      <c r="I1478"/>
      <c r="K1478"/>
      <c r="O1478"/>
      <c r="R1478"/>
      <c r="W1478" s="4"/>
      <c r="X1478" s="4"/>
      <c r="Y1478" s="4"/>
    </row>
    <row r="1479" spans="5:25">
      <c r="E1479"/>
      <c r="G1479"/>
      <c r="H1479"/>
      <c r="I1479"/>
      <c r="K1479"/>
      <c r="O1479"/>
      <c r="R1479"/>
      <c r="W1479" s="4"/>
      <c r="X1479" s="4"/>
      <c r="Y1479" s="4"/>
    </row>
    <row r="1480" spans="5:25">
      <c r="E1480"/>
      <c r="G1480"/>
      <c r="H1480"/>
      <c r="I1480"/>
      <c r="K1480"/>
      <c r="O1480"/>
      <c r="R1480"/>
      <c r="W1480" s="4"/>
      <c r="X1480" s="4"/>
      <c r="Y1480" s="4"/>
    </row>
    <row r="1481" spans="5:25">
      <c r="E1481"/>
      <c r="G1481"/>
      <c r="H1481"/>
      <c r="I1481"/>
      <c r="K1481"/>
      <c r="O1481"/>
      <c r="R1481"/>
      <c r="W1481" s="4"/>
      <c r="X1481" s="4"/>
      <c r="Y1481" s="4"/>
    </row>
    <row r="1482" spans="5:25">
      <c r="E1482"/>
      <c r="G1482"/>
      <c r="H1482"/>
      <c r="I1482"/>
      <c r="K1482"/>
      <c r="O1482"/>
      <c r="R1482"/>
      <c r="W1482" s="4"/>
      <c r="X1482" s="4"/>
      <c r="Y1482" s="4"/>
    </row>
    <row r="1483" spans="5:25">
      <c r="E1483"/>
      <c r="G1483"/>
      <c r="H1483"/>
      <c r="I1483"/>
      <c r="K1483"/>
      <c r="O1483"/>
      <c r="R1483"/>
      <c r="W1483" s="4"/>
      <c r="X1483" s="4"/>
      <c r="Y1483" s="4"/>
    </row>
    <row r="1484" spans="5:25">
      <c r="E1484"/>
      <c r="G1484"/>
      <c r="H1484"/>
      <c r="I1484"/>
      <c r="K1484"/>
      <c r="O1484"/>
      <c r="R1484"/>
      <c r="W1484" s="4"/>
      <c r="X1484" s="4"/>
      <c r="Y1484" s="4"/>
    </row>
    <row r="1485" spans="5:25">
      <c r="E1485"/>
      <c r="G1485"/>
      <c r="H1485"/>
      <c r="I1485"/>
      <c r="K1485"/>
      <c r="O1485"/>
      <c r="R1485"/>
      <c r="W1485" s="4"/>
      <c r="X1485" s="4"/>
      <c r="Y1485" s="4"/>
    </row>
    <row r="1486" spans="5:25">
      <c r="E1486"/>
      <c r="G1486"/>
      <c r="H1486"/>
      <c r="I1486"/>
      <c r="K1486"/>
      <c r="O1486"/>
      <c r="R1486"/>
      <c r="W1486" s="4"/>
      <c r="X1486" s="4"/>
      <c r="Y1486" s="4"/>
    </row>
    <row r="1487" spans="5:25">
      <c r="E1487"/>
      <c r="G1487"/>
      <c r="H1487"/>
      <c r="I1487"/>
      <c r="K1487"/>
      <c r="O1487"/>
      <c r="R1487"/>
      <c r="W1487" s="4"/>
      <c r="X1487" s="4"/>
      <c r="Y1487" s="4"/>
    </row>
    <row r="1488" spans="5:25">
      <c r="E1488"/>
      <c r="G1488"/>
      <c r="H1488"/>
      <c r="I1488"/>
      <c r="K1488"/>
      <c r="O1488"/>
      <c r="R1488"/>
      <c r="W1488" s="4"/>
      <c r="X1488" s="4"/>
      <c r="Y1488" s="4"/>
    </row>
    <row r="1489" spans="5:25">
      <c r="E1489"/>
      <c r="G1489"/>
      <c r="H1489"/>
      <c r="I1489"/>
      <c r="K1489"/>
      <c r="O1489"/>
      <c r="R1489"/>
      <c r="W1489" s="4"/>
      <c r="X1489" s="4"/>
      <c r="Y1489" s="4"/>
    </row>
    <row r="1490" spans="5:25">
      <c r="E1490"/>
      <c r="G1490"/>
      <c r="H1490"/>
      <c r="I1490"/>
      <c r="K1490"/>
      <c r="O1490"/>
      <c r="R1490"/>
      <c r="W1490" s="4"/>
      <c r="X1490" s="4"/>
      <c r="Y1490" s="4"/>
    </row>
    <row r="1491" spans="5:25">
      <c r="E1491"/>
      <c r="G1491"/>
      <c r="H1491"/>
      <c r="I1491"/>
      <c r="K1491"/>
      <c r="O1491"/>
      <c r="R1491"/>
      <c r="W1491" s="4"/>
      <c r="X1491" s="4"/>
      <c r="Y1491" s="4"/>
    </row>
    <row r="1492" spans="5:25">
      <c r="E1492"/>
      <c r="G1492"/>
      <c r="H1492"/>
      <c r="I1492"/>
      <c r="K1492"/>
      <c r="O1492"/>
      <c r="R1492"/>
      <c r="W1492" s="4"/>
      <c r="X1492" s="4"/>
      <c r="Y1492" s="4"/>
    </row>
    <row r="1493" spans="5:25">
      <c r="E1493"/>
      <c r="G1493"/>
      <c r="H1493"/>
      <c r="I1493"/>
      <c r="K1493"/>
      <c r="O1493"/>
      <c r="R1493"/>
      <c r="W1493" s="4"/>
      <c r="X1493" s="4"/>
      <c r="Y1493" s="4"/>
    </row>
    <row r="1494" spans="5:25">
      <c r="E1494"/>
      <c r="G1494"/>
      <c r="H1494"/>
      <c r="I1494"/>
      <c r="K1494"/>
      <c r="O1494"/>
      <c r="R1494"/>
      <c r="W1494" s="4"/>
      <c r="X1494" s="4"/>
      <c r="Y1494" s="4"/>
    </row>
    <row r="1495" spans="5:25">
      <c r="E1495"/>
      <c r="G1495"/>
      <c r="H1495"/>
      <c r="I1495"/>
      <c r="K1495"/>
      <c r="O1495"/>
      <c r="R1495"/>
      <c r="W1495" s="4"/>
      <c r="X1495" s="4"/>
      <c r="Y1495" s="4"/>
    </row>
    <row r="1496" spans="5:25">
      <c r="E1496"/>
      <c r="G1496"/>
      <c r="H1496"/>
      <c r="I1496"/>
      <c r="K1496"/>
      <c r="O1496"/>
      <c r="R1496"/>
      <c r="W1496" s="4"/>
      <c r="X1496" s="4"/>
      <c r="Y1496" s="4"/>
    </row>
    <row r="1497" spans="5:25">
      <c r="E1497"/>
      <c r="G1497"/>
      <c r="H1497"/>
      <c r="I1497"/>
      <c r="K1497"/>
      <c r="O1497"/>
      <c r="R1497"/>
      <c r="W1497" s="4"/>
      <c r="X1497" s="4"/>
      <c r="Y1497" s="4"/>
    </row>
    <row r="1498" spans="5:25">
      <c r="E1498"/>
      <c r="G1498"/>
      <c r="H1498"/>
      <c r="I1498"/>
      <c r="K1498"/>
      <c r="O1498"/>
      <c r="R1498"/>
      <c r="W1498" s="4"/>
      <c r="X1498" s="4"/>
      <c r="Y1498" s="4"/>
    </row>
    <row r="1499" spans="5:25">
      <c r="E1499"/>
      <c r="G1499"/>
      <c r="H1499"/>
      <c r="I1499"/>
      <c r="K1499"/>
      <c r="O1499"/>
      <c r="R1499"/>
      <c r="W1499" s="4"/>
      <c r="X1499" s="4"/>
      <c r="Y1499" s="4"/>
    </row>
    <row r="1500" spans="5:25">
      <c r="E1500"/>
      <c r="G1500"/>
      <c r="H1500"/>
      <c r="I1500"/>
      <c r="K1500"/>
      <c r="O1500"/>
      <c r="R1500"/>
      <c r="W1500" s="4"/>
      <c r="X1500" s="4"/>
      <c r="Y1500" s="4"/>
    </row>
    <row r="1501" spans="5:25">
      <c r="E1501"/>
      <c r="G1501"/>
      <c r="H1501"/>
      <c r="I1501"/>
      <c r="K1501"/>
      <c r="O1501"/>
      <c r="R1501"/>
      <c r="W1501" s="4"/>
      <c r="X1501" s="4"/>
      <c r="Y1501" s="4"/>
    </row>
    <row r="1502" spans="5:25">
      <c r="E1502"/>
      <c r="G1502"/>
      <c r="H1502"/>
      <c r="I1502"/>
      <c r="K1502"/>
      <c r="O1502"/>
      <c r="R1502"/>
      <c r="W1502" s="4"/>
      <c r="X1502" s="4"/>
      <c r="Y1502" s="4"/>
    </row>
    <row r="1503" spans="5:25">
      <c r="E1503"/>
      <c r="G1503"/>
      <c r="H1503"/>
      <c r="I1503"/>
      <c r="K1503"/>
      <c r="O1503"/>
      <c r="R1503"/>
      <c r="W1503" s="4"/>
      <c r="X1503" s="4"/>
      <c r="Y1503" s="4"/>
    </row>
    <row r="1504" spans="5:25">
      <c r="E1504"/>
      <c r="G1504"/>
      <c r="H1504"/>
      <c r="I1504"/>
      <c r="K1504"/>
      <c r="O1504"/>
      <c r="R1504"/>
      <c r="W1504" s="4"/>
      <c r="X1504" s="4"/>
      <c r="Y1504" s="4"/>
    </row>
    <row r="1505" spans="5:25">
      <c r="E1505"/>
      <c r="G1505"/>
      <c r="H1505"/>
      <c r="I1505"/>
      <c r="K1505"/>
      <c r="O1505"/>
      <c r="R1505"/>
      <c r="W1505" s="4"/>
      <c r="X1505" s="4"/>
      <c r="Y1505" s="4"/>
    </row>
    <row r="1506" spans="5:25">
      <c r="E1506"/>
      <c r="G1506"/>
      <c r="H1506"/>
      <c r="I1506"/>
      <c r="K1506"/>
      <c r="O1506"/>
      <c r="R1506"/>
      <c r="W1506" s="4"/>
      <c r="X1506" s="4"/>
      <c r="Y1506" s="4"/>
    </row>
    <row r="1507" spans="5:25">
      <c r="E1507"/>
      <c r="G1507"/>
      <c r="H1507"/>
      <c r="I1507"/>
      <c r="K1507"/>
      <c r="O1507"/>
      <c r="R1507"/>
      <c r="W1507" s="4"/>
      <c r="X1507" s="4"/>
      <c r="Y1507" s="4"/>
    </row>
    <row r="1508" spans="5:25">
      <c r="E1508"/>
      <c r="G1508"/>
      <c r="H1508"/>
      <c r="I1508"/>
      <c r="K1508"/>
      <c r="O1508"/>
      <c r="R1508"/>
      <c r="W1508" s="4"/>
      <c r="X1508" s="4"/>
      <c r="Y1508" s="4"/>
    </row>
    <row r="1509" spans="5:25">
      <c r="E1509"/>
      <c r="G1509"/>
      <c r="H1509"/>
      <c r="I1509"/>
      <c r="K1509"/>
      <c r="O1509"/>
      <c r="R1509"/>
      <c r="W1509" s="4"/>
      <c r="X1509" s="4"/>
      <c r="Y1509" s="4"/>
    </row>
    <row r="1510" spans="5:25">
      <c r="E1510"/>
      <c r="G1510"/>
      <c r="H1510"/>
      <c r="I1510"/>
      <c r="K1510"/>
      <c r="O1510"/>
      <c r="R1510"/>
      <c r="W1510" s="4"/>
      <c r="X1510" s="4"/>
      <c r="Y1510" s="4"/>
    </row>
    <row r="1511" spans="5:25">
      <c r="E1511"/>
      <c r="G1511"/>
      <c r="H1511"/>
      <c r="I1511"/>
      <c r="K1511"/>
      <c r="O1511"/>
      <c r="R1511"/>
      <c r="W1511" s="4"/>
      <c r="X1511" s="4"/>
      <c r="Y1511" s="4"/>
    </row>
    <row r="1512" spans="5:25">
      <c r="E1512"/>
      <c r="G1512"/>
      <c r="H1512"/>
      <c r="I1512"/>
      <c r="K1512"/>
      <c r="O1512"/>
      <c r="R1512"/>
      <c r="W1512" s="4"/>
      <c r="X1512" s="4"/>
      <c r="Y1512" s="4"/>
    </row>
    <row r="1513" spans="5:25">
      <c r="E1513"/>
      <c r="G1513"/>
      <c r="H1513"/>
      <c r="I1513"/>
      <c r="K1513"/>
      <c r="O1513"/>
      <c r="R1513"/>
      <c r="W1513" s="4"/>
      <c r="X1513" s="4"/>
      <c r="Y1513" s="4"/>
    </row>
    <row r="1514" spans="5:25">
      <c r="E1514"/>
      <c r="G1514"/>
      <c r="H1514"/>
      <c r="I1514"/>
      <c r="K1514"/>
      <c r="O1514"/>
      <c r="R1514"/>
      <c r="W1514" s="4"/>
      <c r="X1514" s="4"/>
      <c r="Y1514" s="4"/>
    </row>
    <row r="1515" spans="5:25">
      <c r="E1515"/>
      <c r="G1515"/>
      <c r="H1515"/>
      <c r="I1515"/>
      <c r="K1515"/>
      <c r="O1515"/>
      <c r="R1515"/>
      <c r="W1515" s="4"/>
      <c r="X1515" s="4"/>
      <c r="Y1515" s="4"/>
    </row>
    <row r="1516" spans="5:25">
      <c r="E1516"/>
      <c r="G1516"/>
      <c r="H1516"/>
      <c r="I1516"/>
      <c r="K1516"/>
      <c r="O1516"/>
      <c r="R1516"/>
      <c r="W1516" s="4"/>
      <c r="X1516" s="4"/>
      <c r="Y1516" s="4"/>
    </row>
    <row r="1517" spans="5:25">
      <c r="E1517"/>
      <c r="G1517"/>
      <c r="H1517"/>
      <c r="I1517"/>
      <c r="K1517"/>
      <c r="O1517"/>
      <c r="R1517"/>
      <c r="W1517" s="4"/>
      <c r="X1517" s="4"/>
      <c r="Y1517" s="4"/>
    </row>
    <row r="1518" spans="5:25">
      <c r="E1518"/>
      <c r="G1518"/>
      <c r="H1518"/>
      <c r="I1518"/>
      <c r="K1518"/>
      <c r="O1518"/>
      <c r="R1518"/>
      <c r="W1518" s="4"/>
      <c r="X1518" s="4"/>
      <c r="Y1518" s="4"/>
    </row>
    <row r="1519" spans="5:25">
      <c r="E1519"/>
      <c r="G1519"/>
      <c r="H1519"/>
      <c r="I1519"/>
      <c r="K1519"/>
      <c r="O1519"/>
      <c r="R1519"/>
      <c r="W1519" s="4"/>
      <c r="X1519" s="4"/>
      <c r="Y1519" s="4"/>
    </row>
    <row r="1520" spans="5:25">
      <c r="E1520"/>
      <c r="G1520"/>
      <c r="H1520"/>
      <c r="I1520"/>
      <c r="K1520"/>
      <c r="O1520"/>
      <c r="R1520"/>
      <c r="W1520" s="4"/>
      <c r="X1520" s="4"/>
      <c r="Y1520" s="4"/>
    </row>
    <row r="1521" spans="5:25">
      <c r="E1521"/>
      <c r="G1521"/>
      <c r="H1521"/>
      <c r="I1521"/>
      <c r="K1521"/>
      <c r="O1521"/>
      <c r="R1521"/>
      <c r="W1521" s="4"/>
      <c r="X1521" s="4"/>
      <c r="Y1521" s="4"/>
    </row>
    <row r="1522" spans="5:25">
      <c r="E1522"/>
      <c r="G1522"/>
      <c r="H1522"/>
      <c r="I1522"/>
      <c r="K1522"/>
      <c r="O1522"/>
      <c r="R1522"/>
      <c r="W1522" s="4"/>
      <c r="X1522" s="4"/>
      <c r="Y1522" s="4"/>
    </row>
    <row r="1523" spans="5:25">
      <c r="E1523"/>
      <c r="G1523"/>
      <c r="H1523"/>
      <c r="I1523"/>
      <c r="K1523"/>
      <c r="O1523"/>
      <c r="R1523"/>
      <c r="W1523" s="4"/>
      <c r="X1523" s="4"/>
      <c r="Y1523" s="4"/>
    </row>
    <row r="1524" spans="5:25">
      <c r="E1524"/>
      <c r="G1524"/>
      <c r="H1524"/>
      <c r="I1524"/>
      <c r="K1524"/>
      <c r="O1524"/>
      <c r="R1524"/>
      <c r="W1524" s="4"/>
      <c r="X1524" s="4"/>
      <c r="Y1524" s="4"/>
    </row>
    <row r="1525" spans="5:25">
      <c r="E1525"/>
      <c r="G1525"/>
      <c r="H1525"/>
      <c r="I1525"/>
      <c r="K1525"/>
      <c r="O1525"/>
      <c r="R1525"/>
      <c r="W1525" s="4"/>
      <c r="X1525" s="4"/>
      <c r="Y1525" s="4"/>
    </row>
    <row r="1526" spans="5:25">
      <c r="E1526"/>
      <c r="G1526"/>
      <c r="H1526"/>
      <c r="I1526"/>
      <c r="K1526"/>
      <c r="O1526"/>
      <c r="R1526"/>
      <c r="W1526" s="4"/>
      <c r="X1526" s="4"/>
      <c r="Y1526" s="4"/>
    </row>
    <row r="1527" spans="5:25">
      <c r="E1527"/>
      <c r="G1527"/>
      <c r="H1527"/>
      <c r="I1527"/>
      <c r="K1527"/>
      <c r="O1527"/>
      <c r="R1527"/>
      <c r="W1527" s="4"/>
      <c r="X1527" s="4"/>
      <c r="Y1527" s="4"/>
    </row>
    <row r="1528" spans="5:25">
      <c r="E1528"/>
      <c r="G1528"/>
      <c r="H1528"/>
      <c r="I1528"/>
      <c r="K1528"/>
      <c r="O1528"/>
      <c r="R1528"/>
      <c r="W1528" s="4"/>
      <c r="X1528" s="4"/>
      <c r="Y1528" s="4"/>
    </row>
    <row r="1529" spans="5:25">
      <c r="E1529"/>
      <c r="G1529"/>
      <c r="H1529"/>
      <c r="I1529"/>
      <c r="K1529"/>
      <c r="O1529"/>
      <c r="R1529"/>
      <c r="W1529" s="4"/>
      <c r="X1529" s="4"/>
      <c r="Y1529" s="4"/>
    </row>
    <row r="1530" spans="5:25">
      <c r="E1530"/>
      <c r="G1530"/>
      <c r="H1530"/>
      <c r="I1530"/>
      <c r="K1530"/>
      <c r="O1530"/>
      <c r="R1530"/>
      <c r="W1530" s="4"/>
      <c r="X1530" s="4"/>
      <c r="Y1530" s="4"/>
    </row>
    <row r="1531" spans="5:25">
      <c r="E1531"/>
      <c r="G1531"/>
      <c r="H1531"/>
      <c r="I1531"/>
      <c r="K1531"/>
      <c r="O1531"/>
      <c r="R1531"/>
      <c r="W1531" s="4"/>
      <c r="X1531" s="4"/>
      <c r="Y1531" s="4"/>
    </row>
    <row r="1532" spans="5:25">
      <c r="E1532"/>
      <c r="G1532"/>
      <c r="H1532"/>
      <c r="I1532"/>
      <c r="K1532"/>
      <c r="O1532"/>
      <c r="R1532"/>
      <c r="W1532" s="4"/>
      <c r="X1532" s="4"/>
      <c r="Y1532" s="4"/>
    </row>
    <row r="1533" spans="5:25">
      <c r="E1533"/>
      <c r="G1533"/>
      <c r="H1533"/>
      <c r="I1533"/>
      <c r="K1533"/>
      <c r="O1533"/>
      <c r="R1533"/>
      <c r="W1533" s="4"/>
      <c r="X1533" s="4"/>
      <c r="Y1533" s="4"/>
    </row>
    <row r="1534" spans="5:25">
      <c r="E1534"/>
      <c r="G1534"/>
      <c r="H1534"/>
      <c r="I1534"/>
      <c r="K1534"/>
      <c r="O1534"/>
      <c r="R1534"/>
      <c r="W1534" s="4"/>
      <c r="X1534" s="4"/>
      <c r="Y1534" s="4"/>
    </row>
    <row r="1535" spans="5:25">
      <c r="E1535"/>
      <c r="G1535"/>
      <c r="H1535"/>
      <c r="I1535"/>
      <c r="K1535"/>
      <c r="O1535"/>
      <c r="R1535"/>
      <c r="W1535" s="4"/>
      <c r="X1535" s="4"/>
      <c r="Y1535" s="4"/>
    </row>
    <row r="1536" spans="5:25">
      <c r="E1536"/>
      <c r="G1536"/>
      <c r="H1536"/>
      <c r="I1536"/>
      <c r="K1536"/>
      <c r="O1536"/>
      <c r="R1536"/>
      <c r="W1536" s="4"/>
      <c r="X1536" s="4"/>
      <c r="Y1536" s="4"/>
    </row>
    <row r="1537" spans="5:25">
      <c r="E1537"/>
      <c r="G1537"/>
      <c r="H1537"/>
      <c r="I1537"/>
      <c r="K1537"/>
      <c r="O1537"/>
      <c r="R1537"/>
      <c r="W1537" s="4"/>
      <c r="X1537" s="4"/>
      <c r="Y1537" s="4"/>
    </row>
    <row r="1538" spans="5:25">
      <c r="E1538"/>
      <c r="G1538"/>
      <c r="H1538"/>
      <c r="I1538"/>
      <c r="K1538"/>
      <c r="O1538"/>
      <c r="R1538"/>
      <c r="W1538" s="4"/>
      <c r="X1538" s="4"/>
      <c r="Y1538" s="4"/>
    </row>
    <row r="1539" spans="5:25">
      <c r="E1539"/>
      <c r="G1539"/>
      <c r="H1539"/>
      <c r="I1539"/>
      <c r="K1539"/>
      <c r="O1539"/>
      <c r="R1539"/>
      <c r="W1539" s="4"/>
      <c r="X1539" s="4"/>
      <c r="Y1539" s="4"/>
    </row>
    <row r="1540" spans="5:25">
      <c r="E1540"/>
      <c r="G1540"/>
      <c r="H1540"/>
      <c r="I1540"/>
      <c r="K1540"/>
      <c r="O1540"/>
      <c r="R1540"/>
      <c r="W1540" s="4"/>
      <c r="X1540" s="4"/>
      <c r="Y1540" s="4"/>
    </row>
    <row r="1541" spans="5:25">
      <c r="E1541"/>
      <c r="G1541"/>
      <c r="H1541"/>
      <c r="I1541"/>
      <c r="K1541"/>
      <c r="O1541"/>
      <c r="R1541"/>
      <c r="W1541" s="4"/>
      <c r="X1541" s="4"/>
      <c r="Y1541" s="4"/>
    </row>
    <row r="1542" spans="5:25">
      <c r="E1542"/>
      <c r="G1542"/>
      <c r="H1542"/>
      <c r="I1542"/>
      <c r="K1542"/>
      <c r="O1542"/>
      <c r="R1542"/>
      <c r="W1542" s="4"/>
      <c r="X1542" s="4"/>
      <c r="Y1542" s="4"/>
    </row>
    <row r="1543" spans="5:25">
      <c r="E1543"/>
      <c r="G1543"/>
      <c r="H1543"/>
      <c r="I1543"/>
      <c r="K1543"/>
      <c r="O1543"/>
      <c r="R1543"/>
      <c r="W1543" s="4"/>
      <c r="X1543" s="4"/>
      <c r="Y1543" s="4"/>
    </row>
    <row r="1544" spans="5:25">
      <c r="E1544"/>
      <c r="G1544"/>
      <c r="H1544"/>
      <c r="I1544"/>
      <c r="K1544"/>
      <c r="O1544"/>
      <c r="R1544"/>
      <c r="W1544" s="4"/>
      <c r="X1544" s="4"/>
      <c r="Y1544" s="4"/>
    </row>
    <row r="1545" spans="5:25">
      <c r="E1545"/>
      <c r="G1545"/>
      <c r="H1545"/>
      <c r="I1545"/>
      <c r="K1545"/>
      <c r="O1545"/>
      <c r="R1545"/>
      <c r="W1545" s="4"/>
      <c r="X1545" s="4"/>
      <c r="Y1545" s="4"/>
    </row>
    <row r="1546" spans="5:25">
      <c r="E1546"/>
      <c r="G1546"/>
      <c r="H1546"/>
      <c r="I1546"/>
      <c r="K1546"/>
      <c r="O1546"/>
      <c r="R1546"/>
      <c r="W1546" s="4"/>
      <c r="X1546" s="4"/>
      <c r="Y1546" s="4"/>
    </row>
    <row r="1547" spans="5:25">
      <c r="E1547"/>
      <c r="G1547"/>
      <c r="H1547"/>
      <c r="I1547"/>
      <c r="K1547"/>
      <c r="O1547"/>
      <c r="R1547"/>
      <c r="W1547" s="4"/>
      <c r="X1547" s="4"/>
      <c r="Y1547" s="4"/>
    </row>
    <row r="1548" spans="5:25">
      <c r="E1548"/>
      <c r="G1548"/>
      <c r="H1548"/>
      <c r="I1548"/>
      <c r="K1548"/>
      <c r="O1548"/>
      <c r="R1548"/>
      <c r="W1548" s="4"/>
      <c r="X1548" s="4"/>
      <c r="Y1548" s="4"/>
    </row>
    <row r="1549" spans="5:25">
      <c r="E1549"/>
      <c r="G1549"/>
      <c r="H1549"/>
      <c r="I1549"/>
      <c r="K1549"/>
      <c r="O1549"/>
      <c r="R1549"/>
      <c r="W1549" s="4"/>
      <c r="X1549" s="4"/>
      <c r="Y1549" s="4"/>
    </row>
    <row r="1550" spans="5:25">
      <c r="E1550"/>
      <c r="G1550"/>
      <c r="H1550"/>
      <c r="I1550"/>
      <c r="K1550"/>
      <c r="O1550"/>
      <c r="R1550"/>
      <c r="W1550" s="4"/>
      <c r="X1550" s="4"/>
      <c r="Y1550" s="4"/>
    </row>
    <row r="1551" spans="5:25">
      <c r="E1551"/>
      <c r="G1551"/>
      <c r="H1551"/>
      <c r="I1551"/>
      <c r="K1551"/>
      <c r="O1551"/>
      <c r="R1551"/>
      <c r="W1551" s="4"/>
      <c r="X1551" s="4"/>
      <c r="Y1551" s="4"/>
    </row>
    <row r="1552" spans="5:25">
      <c r="E1552"/>
      <c r="G1552"/>
      <c r="H1552"/>
      <c r="I1552"/>
      <c r="K1552"/>
      <c r="O1552"/>
      <c r="R1552"/>
      <c r="W1552" s="4"/>
      <c r="X1552" s="4"/>
      <c r="Y1552" s="4"/>
    </row>
    <row r="1553" spans="5:25">
      <c r="E1553"/>
      <c r="G1553"/>
      <c r="H1553"/>
      <c r="I1553"/>
      <c r="K1553"/>
      <c r="O1553"/>
      <c r="R1553"/>
      <c r="W1553" s="4"/>
      <c r="X1553" s="4"/>
      <c r="Y1553" s="4"/>
    </row>
    <row r="1554" spans="5:25">
      <c r="E1554"/>
      <c r="G1554"/>
      <c r="H1554"/>
      <c r="I1554"/>
      <c r="K1554"/>
      <c r="O1554"/>
      <c r="R1554"/>
      <c r="W1554" s="4"/>
      <c r="X1554" s="4"/>
      <c r="Y1554" s="4"/>
    </row>
    <row r="1555" spans="5:25">
      <c r="E1555"/>
      <c r="G1555"/>
      <c r="H1555"/>
      <c r="I1555"/>
      <c r="K1555"/>
      <c r="O1555"/>
      <c r="R1555"/>
      <c r="W1555" s="4"/>
      <c r="X1555" s="4"/>
      <c r="Y1555" s="4"/>
    </row>
    <row r="1556" spans="5:25">
      <c r="E1556"/>
      <c r="G1556"/>
      <c r="H1556"/>
      <c r="I1556"/>
      <c r="K1556"/>
      <c r="O1556"/>
      <c r="R1556"/>
      <c r="W1556" s="4"/>
      <c r="X1556" s="4"/>
      <c r="Y1556" s="4"/>
    </row>
    <row r="1557" spans="5:25">
      <c r="E1557"/>
      <c r="G1557"/>
      <c r="H1557"/>
      <c r="I1557"/>
      <c r="K1557"/>
      <c r="O1557"/>
      <c r="R1557"/>
      <c r="W1557" s="4"/>
      <c r="X1557" s="4"/>
      <c r="Y1557" s="4"/>
    </row>
    <row r="1558" spans="5:25">
      <c r="E1558"/>
      <c r="G1558"/>
      <c r="H1558"/>
      <c r="I1558"/>
      <c r="K1558"/>
      <c r="O1558"/>
      <c r="R1558"/>
      <c r="W1558" s="4"/>
      <c r="X1558" s="4"/>
      <c r="Y1558" s="4"/>
    </row>
    <row r="1559" spans="5:25">
      <c r="E1559"/>
      <c r="G1559"/>
      <c r="H1559"/>
      <c r="I1559"/>
      <c r="K1559"/>
      <c r="O1559"/>
      <c r="R1559"/>
      <c r="W1559" s="4"/>
      <c r="X1559" s="4"/>
      <c r="Y1559" s="4"/>
    </row>
    <row r="1560" spans="5:25">
      <c r="E1560"/>
      <c r="G1560"/>
      <c r="H1560"/>
      <c r="I1560"/>
      <c r="K1560"/>
      <c r="O1560"/>
      <c r="R1560"/>
      <c r="W1560" s="4"/>
      <c r="X1560" s="4"/>
      <c r="Y1560" s="4"/>
    </row>
    <row r="1561" spans="5:25">
      <c r="E1561"/>
      <c r="G1561"/>
      <c r="H1561"/>
      <c r="I1561"/>
      <c r="K1561"/>
      <c r="O1561"/>
      <c r="R1561"/>
      <c r="W1561" s="4"/>
      <c r="X1561" s="4"/>
      <c r="Y1561" s="4"/>
    </row>
    <row r="1562" spans="5:25">
      <c r="E1562"/>
      <c r="G1562"/>
      <c r="H1562"/>
      <c r="I1562"/>
      <c r="K1562"/>
      <c r="O1562"/>
      <c r="R1562"/>
      <c r="W1562" s="4"/>
      <c r="X1562" s="4"/>
      <c r="Y1562" s="4"/>
    </row>
    <row r="1563" spans="5:25">
      <c r="E1563"/>
      <c r="G1563"/>
      <c r="H1563"/>
      <c r="I1563"/>
      <c r="K1563"/>
      <c r="O1563"/>
      <c r="R1563"/>
      <c r="W1563" s="4"/>
      <c r="X1563" s="4"/>
      <c r="Y1563" s="4"/>
    </row>
    <row r="1564" spans="5:25">
      <c r="E1564"/>
      <c r="G1564"/>
      <c r="H1564"/>
      <c r="I1564"/>
      <c r="K1564"/>
      <c r="O1564"/>
      <c r="R1564"/>
      <c r="W1564" s="4"/>
      <c r="X1564" s="4"/>
      <c r="Y1564" s="4"/>
    </row>
    <row r="1565" spans="5:25">
      <c r="E1565"/>
      <c r="G1565"/>
      <c r="H1565"/>
      <c r="I1565"/>
      <c r="K1565"/>
      <c r="O1565"/>
      <c r="R1565"/>
      <c r="W1565" s="4"/>
      <c r="X1565" s="4"/>
      <c r="Y1565" s="4"/>
    </row>
    <row r="1566" spans="5:25">
      <c r="E1566"/>
      <c r="G1566"/>
      <c r="H1566"/>
      <c r="I1566"/>
      <c r="K1566"/>
      <c r="O1566"/>
      <c r="R1566"/>
      <c r="W1566" s="4"/>
      <c r="X1566" s="4"/>
      <c r="Y1566" s="4"/>
    </row>
    <row r="1567" spans="5:25">
      <c r="E1567"/>
      <c r="G1567"/>
      <c r="H1567"/>
      <c r="I1567"/>
      <c r="K1567"/>
      <c r="O1567"/>
      <c r="R1567"/>
      <c r="W1567" s="4"/>
      <c r="X1567" s="4"/>
      <c r="Y1567" s="4"/>
    </row>
    <row r="1568" spans="5:25">
      <c r="E1568"/>
      <c r="G1568"/>
      <c r="H1568"/>
      <c r="I1568"/>
      <c r="K1568"/>
      <c r="O1568"/>
      <c r="R1568"/>
      <c r="W1568" s="4"/>
      <c r="X1568" s="4"/>
      <c r="Y1568" s="4"/>
    </row>
    <row r="1569" spans="5:25">
      <c r="E1569"/>
      <c r="G1569"/>
      <c r="H1569"/>
      <c r="I1569"/>
      <c r="K1569"/>
      <c r="O1569"/>
      <c r="R1569"/>
      <c r="W1569" s="4"/>
      <c r="X1569" s="4"/>
      <c r="Y1569" s="4"/>
    </row>
    <row r="1570" spans="5:25">
      <c r="E1570"/>
      <c r="G1570"/>
      <c r="H1570"/>
      <c r="I1570"/>
      <c r="K1570"/>
      <c r="O1570"/>
      <c r="R1570"/>
      <c r="W1570" s="4"/>
      <c r="X1570" s="4"/>
      <c r="Y1570" s="4"/>
    </row>
    <row r="1571" spans="5:25">
      <c r="E1571"/>
      <c r="G1571"/>
      <c r="H1571"/>
      <c r="I1571"/>
      <c r="K1571"/>
      <c r="O1571"/>
      <c r="R1571"/>
      <c r="W1571" s="4"/>
      <c r="X1571" s="4"/>
      <c r="Y1571" s="4"/>
    </row>
    <row r="1572" spans="5:25">
      <c r="E1572"/>
      <c r="G1572"/>
      <c r="H1572"/>
      <c r="I1572"/>
      <c r="K1572"/>
      <c r="O1572"/>
      <c r="R1572"/>
      <c r="W1572" s="4"/>
      <c r="X1572" s="4"/>
      <c r="Y1572" s="4"/>
    </row>
    <row r="1573" spans="5:25">
      <c r="E1573"/>
      <c r="G1573"/>
      <c r="H1573"/>
      <c r="I1573"/>
      <c r="K1573"/>
      <c r="O1573"/>
      <c r="R1573"/>
      <c r="W1573" s="4"/>
      <c r="X1573" s="4"/>
      <c r="Y1573" s="4"/>
    </row>
    <row r="1574" spans="5:25">
      <c r="E1574"/>
      <c r="G1574"/>
      <c r="H1574"/>
      <c r="I1574"/>
      <c r="K1574"/>
      <c r="O1574"/>
      <c r="R1574"/>
      <c r="W1574" s="4"/>
      <c r="X1574" s="4"/>
      <c r="Y1574" s="4"/>
    </row>
    <row r="1575" spans="5:25">
      <c r="E1575"/>
      <c r="G1575"/>
      <c r="H1575"/>
      <c r="I1575"/>
      <c r="K1575"/>
      <c r="O1575"/>
      <c r="R1575"/>
      <c r="W1575" s="4"/>
      <c r="X1575" s="4"/>
      <c r="Y1575" s="4"/>
    </row>
    <row r="1576" spans="5:25">
      <c r="E1576"/>
      <c r="G1576"/>
      <c r="H1576"/>
      <c r="I1576"/>
      <c r="K1576"/>
      <c r="O1576"/>
      <c r="R1576"/>
      <c r="W1576" s="4"/>
      <c r="X1576" s="4"/>
      <c r="Y1576" s="4"/>
    </row>
    <row r="1577" spans="5:25">
      <c r="E1577"/>
      <c r="G1577"/>
      <c r="H1577"/>
      <c r="I1577"/>
      <c r="K1577"/>
      <c r="O1577"/>
      <c r="R1577"/>
      <c r="W1577" s="4"/>
      <c r="X1577" s="4"/>
      <c r="Y1577" s="4"/>
    </row>
    <row r="1578" spans="5:25">
      <c r="E1578"/>
      <c r="G1578"/>
      <c r="H1578"/>
      <c r="I1578"/>
      <c r="K1578"/>
      <c r="O1578"/>
      <c r="R1578"/>
      <c r="W1578" s="4"/>
      <c r="X1578" s="4"/>
      <c r="Y1578" s="4"/>
    </row>
    <row r="1579" spans="5:25">
      <c r="E1579"/>
      <c r="G1579"/>
      <c r="H1579"/>
      <c r="I1579"/>
      <c r="K1579"/>
      <c r="O1579"/>
      <c r="R1579"/>
      <c r="W1579" s="4"/>
      <c r="X1579" s="4"/>
      <c r="Y1579" s="4"/>
    </row>
    <row r="1580" spans="5:25">
      <c r="E1580"/>
      <c r="G1580"/>
      <c r="H1580"/>
      <c r="I1580"/>
      <c r="K1580"/>
      <c r="O1580"/>
      <c r="R1580"/>
      <c r="W1580" s="4"/>
      <c r="X1580" s="4"/>
      <c r="Y1580" s="4"/>
    </row>
    <row r="1581" spans="5:25">
      <c r="E1581"/>
      <c r="G1581"/>
      <c r="H1581"/>
      <c r="I1581"/>
      <c r="K1581"/>
      <c r="O1581"/>
      <c r="R1581"/>
      <c r="W1581" s="4"/>
      <c r="X1581" s="4"/>
      <c r="Y1581" s="4"/>
    </row>
    <row r="1582" spans="5:25">
      <c r="E1582"/>
      <c r="G1582"/>
      <c r="H1582"/>
      <c r="I1582"/>
      <c r="K1582"/>
      <c r="O1582"/>
      <c r="R1582"/>
      <c r="W1582" s="4"/>
      <c r="X1582" s="4"/>
      <c r="Y1582" s="4"/>
    </row>
    <row r="1583" spans="5:25">
      <c r="E1583"/>
      <c r="G1583"/>
      <c r="H1583"/>
      <c r="I1583"/>
      <c r="K1583"/>
      <c r="O1583"/>
      <c r="R1583"/>
      <c r="W1583" s="4"/>
      <c r="X1583" s="4"/>
      <c r="Y1583" s="4"/>
    </row>
    <row r="1584" spans="5:25">
      <c r="E1584"/>
      <c r="G1584"/>
      <c r="H1584"/>
      <c r="I1584"/>
      <c r="K1584"/>
      <c r="O1584"/>
      <c r="R1584"/>
      <c r="W1584" s="4"/>
      <c r="X1584" s="4"/>
      <c r="Y1584" s="4"/>
    </row>
    <row r="1585" spans="5:25">
      <c r="E1585"/>
      <c r="G1585"/>
      <c r="H1585"/>
      <c r="I1585"/>
      <c r="K1585"/>
      <c r="O1585"/>
      <c r="R1585"/>
      <c r="W1585" s="4"/>
      <c r="X1585" s="4"/>
      <c r="Y1585" s="4"/>
    </row>
    <row r="1586" spans="5:25">
      <c r="E1586"/>
      <c r="G1586"/>
      <c r="H1586"/>
      <c r="I1586"/>
      <c r="K1586"/>
      <c r="O1586"/>
      <c r="R1586"/>
      <c r="W1586" s="4"/>
      <c r="X1586" s="4"/>
      <c r="Y1586" s="4"/>
    </row>
    <row r="1587" spans="5:25">
      <c r="E1587"/>
      <c r="G1587"/>
      <c r="H1587"/>
      <c r="I1587"/>
      <c r="K1587"/>
      <c r="O1587"/>
      <c r="R1587"/>
      <c r="W1587" s="4"/>
      <c r="X1587" s="4"/>
      <c r="Y1587" s="4"/>
    </row>
    <row r="1588" spans="5:25">
      <c r="E1588"/>
      <c r="G1588"/>
      <c r="H1588"/>
      <c r="I1588"/>
      <c r="K1588"/>
      <c r="O1588"/>
      <c r="R1588"/>
      <c r="W1588" s="4"/>
      <c r="X1588" s="4"/>
      <c r="Y1588" s="4"/>
    </row>
    <row r="1589" spans="5:25">
      <c r="E1589"/>
      <c r="G1589"/>
      <c r="H1589"/>
      <c r="I1589"/>
      <c r="K1589"/>
      <c r="O1589"/>
      <c r="R1589"/>
      <c r="W1589" s="4"/>
      <c r="X1589" s="4"/>
      <c r="Y1589" s="4"/>
    </row>
    <row r="1590" spans="5:25">
      <c r="E1590"/>
      <c r="G1590"/>
      <c r="H1590"/>
      <c r="I1590"/>
      <c r="K1590"/>
      <c r="O1590"/>
      <c r="R1590"/>
      <c r="W1590" s="4"/>
      <c r="X1590" s="4"/>
      <c r="Y1590" s="4"/>
    </row>
    <row r="1591" spans="5:25">
      <c r="E1591"/>
      <c r="G1591"/>
      <c r="H1591"/>
      <c r="I1591"/>
      <c r="K1591"/>
      <c r="O1591"/>
      <c r="R1591"/>
      <c r="W1591" s="4"/>
      <c r="X1591" s="4"/>
      <c r="Y1591" s="4"/>
    </row>
    <row r="1592" spans="5:25">
      <c r="E1592"/>
      <c r="G1592"/>
      <c r="H1592"/>
      <c r="I1592"/>
      <c r="K1592"/>
      <c r="O1592"/>
      <c r="R1592"/>
      <c r="W1592" s="4"/>
      <c r="X1592" s="4"/>
      <c r="Y1592" s="4"/>
    </row>
    <row r="1593" spans="5:25">
      <c r="E1593"/>
      <c r="G1593"/>
      <c r="H1593"/>
      <c r="I1593"/>
      <c r="K1593"/>
      <c r="O1593"/>
      <c r="R1593"/>
      <c r="W1593" s="4"/>
      <c r="X1593" s="4"/>
      <c r="Y1593" s="4"/>
    </row>
    <row r="1594" spans="5:25">
      <c r="E1594"/>
      <c r="G1594"/>
      <c r="H1594"/>
      <c r="I1594"/>
      <c r="K1594"/>
      <c r="O1594"/>
      <c r="R1594"/>
      <c r="W1594" s="4"/>
      <c r="X1594" s="4"/>
      <c r="Y1594" s="4"/>
    </row>
    <row r="1595" spans="5:25">
      <c r="E1595"/>
      <c r="G1595"/>
      <c r="H1595"/>
      <c r="I1595"/>
      <c r="K1595"/>
      <c r="O1595"/>
      <c r="R1595"/>
      <c r="W1595" s="4"/>
      <c r="X1595" s="4"/>
      <c r="Y1595" s="4"/>
    </row>
    <row r="1596" spans="5:25">
      <c r="E1596"/>
      <c r="G1596"/>
      <c r="H1596"/>
      <c r="I1596"/>
      <c r="K1596"/>
      <c r="O1596"/>
      <c r="R1596"/>
      <c r="W1596" s="4"/>
      <c r="X1596" s="4"/>
      <c r="Y1596" s="4"/>
    </row>
    <row r="1597" spans="5:25">
      <c r="E1597"/>
      <c r="G1597"/>
      <c r="H1597"/>
      <c r="I1597"/>
      <c r="K1597"/>
      <c r="O1597"/>
      <c r="R1597"/>
      <c r="W1597" s="4"/>
      <c r="X1597" s="4"/>
      <c r="Y1597" s="4"/>
    </row>
    <row r="1598" spans="5:25">
      <c r="E1598"/>
      <c r="G1598"/>
      <c r="H1598"/>
      <c r="I1598"/>
      <c r="K1598"/>
      <c r="O1598"/>
      <c r="R1598"/>
      <c r="W1598" s="4"/>
      <c r="X1598" s="4"/>
      <c r="Y1598" s="4"/>
    </row>
    <row r="1599" spans="5:25">
      <c r="E1599"/>
      <c r="G1599"/>
      <c r="H1599"/>
      <c r="I1599"/>
      <c r="K1599"/>
      <c r="O1599"/>
      <c r="R1599"/>
      <c r="W1599" s="4"/>
      <c r="X1599" s="4"/>
      <c r="Y1599" s="4"/>
    </row>
    <row r="1600" spans="5:25">
      <c r="E1600"/>
      <c r="G1600"/>
      <c r="H1600"/>
      <c r="I1600"/>
      <c r="K1600"/>
      <c r="O1600"/>
      <c r="R1600"/>
      <c r="W1600" s="4"/>
      <c r="X1600" s="4"/>
      <c r="Y1600" s="4"/>
    </row>
    <row r="1601" spans="5:25">
      <c r="E1601"/>
      <c r="G1601"/>
      <c r="H1601"/>
      <c r="I1601"/>
      <c r="K1601"/>
      <c r="O1601"/>
      <c r="R1601"/>
      <c r="W1601" s="4"/>
      <c r="X1601" s="4"/>
      <c r="Y1601" s="4"/>
    </row>
    <row r="1602" spans="5:25">
      <c r="E1602"/>
      <c r="G1602"/>
      <c r="H1602"/>
      <c r="I1602"/>
      <c r="K1602"/>
      <c r="O1602"/>
      <c r="R1602"/>
      <c r="W1602" s="4"/>
      <c r="X1602" s="4"/>
      <c r="Y1602" s="4"/>
    </row>
    <row r="1603" spans="5:25">
      <c r="E1603"/>
      <c r="G1603"/>
      <c r="H1603"/>
      <c r="I1603"/>
      <c r="K1603"/>
      <c r="O1603"/>
      <c r="R1603"/>
      <c r="W1603" s="4"/>
      <c r="X1603" s="4"/>
      <c r="Y1603" s="4"/>
    </row>
    <row r="1604" spans="5:25">
      <c r="E1604"/>
      <c r="G1604"/>
      <c r="H1604"/>
      <c r="I1604"/>
      <c r="K1604"/>
      <c r="O1604"/>
      <c r="R1604"/>
      <c r="W1604" s="4"/>
      <c r="X1604" s="4"/>
      <c r="Y1604" s="4"/>
    </row>
    <row r="1605" spans="5:25">
      <c r="E1605"/>
      <c r="G1605"/>
      <c r="H1605"/>
      <c r="I1605"/>
      <c r="K1605"/>
      <c r="O1605"/>
      <c r="R1605"/>
      <c r="W1605" s="4"/>
      <c r="X1605" s="4"/>
      <c r="Y1605" s="4"/>
    </row>
    <row r="1606" spans="5:25">
      <c r="E1606"/>
      <c r="G1606"/>
      <c r="H1606"/>
      <c r="I1606"/>
      <c r="K1606"/>
      <c r="O1606"/>
      <c r="R1606"/>
      <c r="W1606" s="4"/>
      <c r="X1606" s="4"/>
      <c r="Y1606" s="4"/>
    </row>
    <row r="1607" spans="5:25">
      <c r="E1607"/>
      <c r="G1607"/>
      <c r="H1607"/>
      <c r="I1607"/>
      <c r="K1607"/>
      <c r="O1607"/>
      <c r="R1607"/>
      <c r="W1607" s="4"/>
      <c r="X1607" s="4"/>
      <c r="Y1607" s="4"/>
    </row>
    <row r="1608" spans="5:25">
      <c r="E1608"/>
      <c r="G1608"/>
      <c r="H1608"/>
      <c r="I1608"/>
      <c r="K1608"/>
      <c r="O1608"/>
      <c r="R1608"/>
      <c r="W1608" s="4"/>
      <c r="X1608" s="4"/>
      <c r="Y1608" s="4"/>
    </row>
    <row r="1609" spans="5:25">
      <c r="E1609"/>
      <c r="G1609"/>
      <c r="H1609"/>
      <c r="I1609"/>
      <c r="K1609"/>
      <c r="O1609"/>
      <c r="R1609"/>
      <c r="W1609" s="4"/>
      <c r="X1609" s="4"/>
      <c r="Y1609" s="4"/>
    </row>
    <row r="1610" spans="5:25">
      <c r="E1610"/>
      <c r="G1610"/>
      <c r="H1610"/>
      <c r="I1610"/>
      <c r="K1610"/>
      <c r="O1610"/>
      <c r="R1610"/>
      <c r="W1610" s="4"/>
      <c r="X1610" s="4"/>
      <c r="Y1610" s="4"/>
    </row>
    <row r="1611" spans="5:25">
      <c r="E1611"/>
      <c r="G1611"/>
      <c r="H1611"/>
      <c r="I1611"/>
      <c r="K1611"/>
      <c r="O1611"/>
      <c r="R1611"/>
      <c r="W1611" s="4"/>
      <c r="X1611" s="4"/>
      <c r="Y1611" s="4"/>
    </row>
    <row r="1612" spans="5:25">
      <c r="E1612"/>
      <c r="G1612"/>
      <c r="H1612"/>
      <c r="I1612"/>
      <c r="K1612"/>
      <c r="O1612"/>
      <c r="R1612"/>
      <c r="W1612" s="4"/>
      <c r="X1612" s="4"/>
      <c r="Y1612" s="4"/>
    </row>
    <row r="1613" spans="5:25">
      <c r="E1613"/>
      <c r="G1613"/>
      <c r="H1613"/>
      <c r="I1613"/>
      <c r="K1613"/>
      <c r="O1613"/>
      <c r="R1613"/>
      <c r="W1613" s="4"/>
      <c r="X1613" s="4"/>
      <c r="Y1613" s="4"/>
    </row>
    <row r="1614" spans="5:25">
      <c r="E1614"/>
      <c r="G1614"/>
      <c r="H1614"/>
      <c r="I1614"/>
      <c r="K1614"/>
      <c r="O1614"/>
      <c r="R1614"/>
      <c r="W1614" s="4"/>
      <c r="X1614" s="4"/>
      <c r="Y1614" s="4"/>
    </row>
    <row r="1615" spans="5:25">
      <c r="E1615"/>
      <c r="G1615"/>
      <c r="H1615"/>
      <c r="I1615"/>
      <c r="K1615"/>
      <c r="O1615"/>
      <c r="R1615"/>
      <c r="W1615" s="4"/>
      <c r="X1615" s="4"/>
      <c r="Y1615" s="4"/>
    </row>
    <row r="1616" spans="5:25">
      <c r="E1616"/>
      <c r="G1616"/>
      <c r="H1616"/>
      <c r="I1616"/>
      <c r="K1616"/>
      <c r="O1616"/>
      <c r="R1616"/>
      <c r="W1616" s="4"/>
      <c r="X1616" s="4"/>
      <c r="Y1616" s="4"/>
    </row>
    <row r="1617" spans="5:25">
      <c r="E1617"/>
      <c r="G1617"/>
      <c r="H1617"/>
      <c r="I1617"/>
      <c r="K1617"/>
      <c r="O1617"/>
      <c r="R1617"/>
      <c r="W1617" s="4"/>
      <c r="X1617" s="4"/>
      <c r="Y1617" s="4"/>
    </row>
    <row r="1618" spans="5:25">
      <c r="E1618"/>
      <c r="G1618"/>
      <c r="H1618"/>
      <c r="I1618"/>
      <c r="K1618"/>
      <c r="O1618"/>
      <c r="R1618"/>
      <c r="W1618" s="4"/>
      <c r="X1618" s="4"/>
      <c r="Y1618" s="4"/>
    </row>
    <row r="1619" spans="5:25">
      <c r="E1619"/>
      <c r="G1619"/>
      <c r="H1619"/>
      <c r="I1619"/>
      <c r="K1619"/>
      <c r="O1619"/>
      <c r="R1619"/>
      <c r="W1619" s="4"/>
      <c r="X1619" s="4"/>
      <c r="Y1619" s="4"/>
    </row>
    <row r="1620" spans="5:25">
      <c r="E1620"/>
      <c r="G1620"/>
      <c r="H1620"/>
      <c r="I1620"/>
      <c r="K1620"/>
      <c r="O1620"/>
      <c r="R1620"/>
      <c r="W1620" s="4"/>
      <c r="X1620" s="4"/>
      <c r="Y1620" s="4"/>
    </row>
    <row r="1621" spans="5:25">
      <c r="E1621"/>
      <c r="G1621"/>
      <c r="H1621"/>
      <c r="I1621"/>
      <c r="K1621"/>
      <c r="O1621"/>
      <c r="R1621"/>
      <c r="W1621" s="4"/>
      <c r="X1621" s="4"/>
      <c r="Y1621" s="4"/>
    </row>
    <row r="1622" spans="5:25">
      <c r="E1622"/>
      <c r="G1622"/>
      <c r="H1622"/>
      <c r="I1622"/>
      <c r="K1622"/>
      <c r="O1622"/>
      <c r="R1622"/>
      <c r="W1622" s="4"/>
      <c r="X1622" s="4"/>
      <c r="Y1622" s="4"/>
    </row>
    <row r="1623" spans="5:25">
      <c r="E1623"/>
      <c r="G1623"/>
      <c r="H1623"/>
      <c r="I1623"/>
      <c r="K1623"/>
      <c r="O1623"/>
      <c r="R1623"/>
      <c r="W1623" s="4"/>
      <c r="X1623" s="4"/>
      <c r="Y1623" s="4"/>
    </row>
    <row r="1624" spans="5:25">
      <c r="E1624"/>
      <c r="G1624"/>
      <c r="H1624"/>
      <c r="I1624"/>
      <c r="K1624"/>
      <c r="O1624"/>
      <c r="R1624"/>
      <c r="W1624" s="4"/>
      <c r="X1624" s="4"/>
      <c r="Y1624" s="4"/>
    </row>
    <row r="1625" spans="5:25">
      <c r="E1625"/>
      <c r="G1625"/>
      <c r="H1625"/>
      <c r="I1625"/>
      <c r="K1625"/>
      <c r="O1625"/>
      <c r="R1625"/>
      <c r="W1625" s="4"/>
      <c r="X1625" s="4"/>
      <c r="Y1625" s="4"/>
    </row>
    <row r="1626" spans="5:25">
      <c r="E1626"/>
      <c r="G1626"/>
      <c r="H1626"/>
      <c r="I1626"/>
      <c r="K1626"/>
      <c r="O1626"/>
      <c r="R1626"/>
      <c r="W1626" s="4"/>
      <c r="X1626" s="4"/>
      <c r="Y1626" s="4"/>
    </row>
    <row r="1627" spans="5:25">
      <c r="E1627"/>
      <c r="G1627"/>
      <c r="H1627"/>
      <c r="I1627"/>
      <c r="K1627"/>
      <c r="O1627"/>
      <c r="R1627"/>
      <c r="W1627" s="4"/>
      <c r="X1627" s="4"/>
      <c r="Y1627" s="4"/>
    </row>
    <row r="1628" spans="5:25">
      <c r="E1628"/>
      <c r="G1628"/>
      <c r="H1628"/>
      <c r="I1628"/>
      <c r="K1628"/>
      <c r="O1628"/>
      <c r="R1628"/>
      <c r="W1628" s="4"/>
      <c r="X1628" s="4"/>
      <c r="Y1628" s="4"/>
    </row>
    <row r="1629" spans="5:25">
      <c r="E1629"/>
      <c r="G1629"/>
      <c r="H1629"/>
      <c r="I1629"/>
      <c r="K1629"/>
      <c r="O1629"/>
      <c r="R1629"/>
      <c r="W1629" s="4"/>
      <c r="X1629" s="4"/>
      <c r="Y1629" s="4"/>
    </row>
    <row r="1630" spans="5:25">
      <c r="E1630"/>
      <c r="G1630"/>
      <c r="H1630"/>
      <c r="I1630"/>
      <c r="K1630"/>
      <c r="O1630"/>
      <c r="R1630"/>
      <c r="W1630" s="4"/>
      <c r="X1630" s="4"/>
      <c r="Y1630" s="4"/>
    </row>
    <row r="1631" spans="5:25">
      <c r="E1631"/>
      <c r="G1631"/>
      <c r="H1631"/>
      <c r="I1631"/>
      <c r="K1631"/>
      <c r="O1631"/>
      <c r="R1631"/>
      <c r="W1631" s="4"/>
      <c r="X1631" s="4"/>
      <c r="Y1631" s="4"/>
    </row>
    <row r="1632" spans="5:25">
      <c r="E1632"/>
      <c r="G1632"/>
      <c r="H1632"/>
      <c r="I1632"/>
      <c r="K1632"/>
      <c r="O1632"/>
      <c r="R1632"/>
      <c r="W1632" s="4"/>
      <c r="X1632" s="4"/>
      <c r="Y1632" s="4"/>
    </row>
    <row r="1633" spans="5:25">
      <c r="E1633"/>
      <c r="G1633"/>
      <c r="H1633"/>
      <c r="I1633"/>
      <c r="K1633"/>
      <c r="O1633"/>
      <c r="R1633"/>
      <c r="W1633" s="4"/>
      <c r="X1633" s="4"/>
      <c r="Y1633" s="4"/>
    </row>
    <row r="1634" spans="5:25">
      <c r="E1634"/>
      <c r="G1634"/>
      <c r="H1634"/>
      <c r="I1634"/>
      <c r="K1634"/>
      <c r="O1634"/>
      <c r="R1634"/>
      <c r="W1634" s="4"/>
      <c r="X1634" s="4"/>
      <c r="Y1634" s="4"/>
    </row>
    <row r="1635" spans="5:25">
      <c r="E1635"/>
      <c r="G1635"/>
      <c r="H1635"/>
      <c r="I1635"/>
      <c r="K1635"/>
      <c r="O1635"/>
      <c r="R1635"/>
      <c r="W1635" s="4"/>
      <c r="X1635" s="4"/>
      <c r="Y1635" s="4"/>
    </row>
    <row r="1636" spans="5:25">
      <c r="E1636"/>
      <c r="G1636"/>
      <c r="H1636"/>
      <c r="I1636"/>
      <c r="K1636"/>
      <c r="O1636"/>
      <c r="R1636"/>
      <c r="W1636" s="4"/>
      <c r="X1636" s="4"/>
      <c r="Y1636" s="4"/>
    </row>
    <row r="1637" spans="5:25">
      <c r="E1637"/>
      <c r="G1637"/>
      <c r="H1637"/>
      <c r="I1637"/>
      <c r="K1637"/>
      <c r="O1637"/>
      <c r="R1637"/>
      <c r="W1637" s="4"/>
      <c r="X1637" s="4"/>
      <c r="Y1637" s="4"/>
    </row>
    <row r="1638" spans="5:25">
      <c r="E1638"/>
      <c r="G1638"/>
      <c r="H1638"/>
      <c r="I1638"/>
      <c r="K1638"/>
      <c r="O1638"/>
      <c r="R1638"/>
      <c r="W1638" s="4"/>
      <c r="X1638" s="4"/>
      <c r="Y1638" s="4"/>
    </row>
    <row r="1639" spans="5:25">
      <c r="E1639"/>
      <c r="G1639"/>
      <c r="H1639"/>
      <c r="I1639"/>
      <c r="K1639"/>
      <c r="O1639"/>
      <c r="R1639"/>
      <c r="W1639" s="4"/>
      <c r="X1639" s="4"/>
      <c r="Y1639" s="4"/>
    </row>
    <row r="1640" spans="5:25">
      <c r="E1640"/>
      <c r="G1640"/>
      <c r="H1640"/>
      <c r="I1640"/>
      <c r="K1640"/>
      <c r="O1640"/>
      <c r="R1640"/>
      <c r="W1640" s="4"/>
      <c r="X1640" s="4"/>
      <c r="Y1640" s="4"/>
    </row>
    <row r="1641" spans="5:25">
      <c r="E1641"/>
      <c r="G1641"/>
      <c r="H1641"/>
      <c r="I1641"/>
      <c r="K1641"/>
      <c r="O1641"/>
      <c r="R1641"/>
      <c r="W1641" s="4"/>
      <c r="X1641" s="4"/>
      <c r="Y1641" s="4"/>
    </row>
    <row r="1642" spans="5:25">
      <c r="E1642"/>
      <c r="G1642"/>
      <c r="H1642"/>
      <c r="I1642"/>
      <c r="K1642"/>
      <c r="O1642"/>
      <c r="R1642"/>
      <c r="W1642" s="4"/>
      <c r="X1642" s="4"/>
      <c r="Y1642" s="4"/>
    </row>
    <row r="1643" spans="5:25">
      <c r="E1643"/>
      <c r="G1643"/>
      <c r="H1643"/>
      <c r="I1643"/>
      <c r="K1643"/>
      <c r="O1643"/>
      <c r="R1643"/>
      <c r="W1643" s="4"/>
      <c r="X1643" s="4"/>
      <c r="Y1643" s="4"/>
    </row>
    <row r="1644" spans="5:25">
      <c r="E1644"/>
      <c r="G1644"/>
      <c r="H1644"/>
      <c r="I1644"/>
      <c r="K1644"/>
      <c r="O1644"/>
      <c r="R1644"/>
      <c r="W1644" s="4"/>
      <c r="X1644" s="4"/>
      <c r="Y1644" s="4"/>
    </row>
    <row r="1645" spans="5:25">
      <c r="E1645"/>
      <c r="G1645"/>
      <c r="H1645"/>
      <c r="I1645"/>
      <c r="K1645"/>
      <c r="O1645"/>
      <c r="R1645"/>
      <c r="W1645" s="4"/>
      <c r="X1645" s="4"/>
      <c r="Y1645" s="4"/>
    </row>
    <row r="1646" spans="5:25">
      <c r="E1646"/>
      <c r="G1646"/>
      <c r="H1646"/>
      <c r="I1646"/>
      <c r="K1646"/>
      <c r="O1646"/>
      <c r="R1646"/>
      <c r="W1646" s="4"/>
      <c r="X1646" s="4"/>
      <c r="Y1646" s="4"/>
    </row>
    <row r="1647" spans="5:25">
      <c r="E1647"/>
      <c r="G1647"/>
      <c r="H1647"/>
      <c r="I1647"/>
      <c r="K1647"/>
      <c r="O1647"/>
      <c r="R1647"/>
      <c r="W1647" s="4"/>
      <c r="X1647" s="4"/>
      <c r="Y1647" s="4"/>
    </row>
    <row r="1648" spans="5:25">
      <c r="E1648"/>
      <c r="G1648"/>
      <c r="H1648"/>
      <c r="I1648"/>
      <c r="K1648"/>
      <c r="O1648"/>
      <c r="R1648"/>
      <c r="W1648" s="4"/>
      <c r="X1648" s="4"/>
      <c r="Y1648" s="4"/>
    </row>
    <row r="1649" spans="5:25">
      <c r="E1649"/>
      <c r="G1649"/>
      <c r="H1649"/>
      <c r="I1649"/>
      <c r="K1649"/>
      <c r="O1649"/>
      <c r="R1649"/>
      <c r="W1649" s="4"/>
      <c r="X1649" s="4"/>
      <c r="Y1649" s="4"/>
    </row>
    <row r="1650" spans="5:25">
      <c r="E1650"/>
      <c r="G1650"/>
      <c r="H1650"/>
      <c r="I1650"/>
      <c r="K1650"/>
      <c r="O1650"/>
      <c r="R1650"/>
      <c r="W1650" s="4"/>
      <c r="X1650" s="4"/>
      <c r="Y1650" s="4"/>
    </row>
    <row r="1651" spans="5:25">
      <c r="E1651"/>
      <c r="G1651"/>
      <c r="H1651"/>
      <c r="I1651"/>
      <c r="K1651"/>
      <c r="O1651"/>
      <c r="R1651"/>
      <c r="W1651" s="4"/>
      <c r="X1651" s="4"/>
      <c r="Y1651" s="4"/>
    </row>
    <row r="1652" spans="5:25">
      <c r="E1652"/>
      <c r="G1652"/>
      <c r="H1652"/>
      <c r="I1652"/>
      <c r="K1652"/>
      <c r="O1652"/>
      <c r="R1652"/>
      <c r="W1652" s="4"/>
      <c r="X1652" s="4"/>
      <c r="Y1652" s="4"/>
    </row>
    <row r="1653" spans="5:25">
      <c r="E1653"/>
      <c r="G1653"/>
      <c r="H1653"/>
      <c r="I1653"/>
      <c r="K1653"/>
      <c r="O1653"/>
      <c r="R1653"/>
      <c r="W1653" s="4"/>
      <c r="X1653" s="4"/>
      <c r="Y1653" s="4"/>
    </row>
    <row r="1654" spans="5:25">
      <c r="E1654"/>
      <c r="G1654"/>
      <c r="H1654"/>
      <c r="I1654"/>
      <c r="K1654"/>
      <c r="O1654"/>
      <c r="R1654"/>
      <c r="W1654" s="4"/>
      <c r="X1654" s="4"/>
      <c r="Y1654" s="4"/>
    </row>
    <row r="1655" spans="5:25">
      <c r="E1655"/>
      <c r="G1655"/>
      <c r="H1655"/>
      <c r="I1655"/>
      <c r="K1655"/>
      <c r="O1655"/>
      <c r="R1655"/>
      <c r="W1655" s="4"/>
      <c r="X1655" s="4"/>
      <c r="Y1655" s="4"/>
    </row>
    <row r="1656" spans="5:25">
      <c r="E1656"/>
      <c r="G1656"/>
      <c r="H1656"/>
      <c r="I1656"/>
      <c r="K1656"/>
      <c r="O1656"/>
      <c r="R1656"/>
      <c r="W1656" s="4"/>
      <c r="X1656" s="4"/>
      <c r="Y1656" s="4"/>
    </row>
    <row r="1657" spans="5:25">
      <c r="E1657"/>
      <c r="G1657"/>
      <c r="H1657"/>
      <c r="I1657"/>
      <c r="K1657"/>
      <c r="O1657"/>
      <c r="R1657"/>
      <c r="W1657" s="4"/>
      <c r="X1657" s="4"/>
      <c r="Y1657" s="4"/>
    </row>
    <row r="1658" spans="5:25">
      <c r="E1658"/>
      <c r="G1658"/>
      <c r="H1658"/>
      <c r="I1658"/>
      <c r="K1658"/>
      <c r="O1658"/>
      <c r="R1658"/>
      <c r="W1658" s="4"/>
      <c r="X1658" s="4"/>
      <c r="Y1658" s="4"/>
    </row>
    <row r="1659" spans="5:25">
      <c r="E1659"/>
      <c r="G1659"/>
      <c r="H1659"/>
      <c r="I1659"/>
      <c r="K1659"/>
      <c r="O1659"/>
      <c r="R1659"/>
      <c r="W1659" s="4"/>
      <c r="X1659" s="4"/>
      <c r="Y1659" s="4"/>
    </row>
    <row r="1660" spans="5:25">
      <c r="E1660"/>
      <c r="G1660"/>
      <c r="H1660"/>
      <c r="I1660"/>
      <c r="K1660"/>
      <c r="O1660"/>
      <c r="R1660"/>
      <c r="W1660" s="4"/>
      <c r="X1660" s="4"/>
      <c r="Y1660" s="4"/>
    </row>
    <row r="1661" spans="5:25">
      <c r="E1661"/>
      <c r="G1661"/>
      <c r="H1661"/>
      <c r="I1661"/>
      <c r="K1661"/>
      <c r="O1661"/>
      <c r="R1661"/>
      <c r="W1661" s="4"/>
      <c r="X1661" s="4"/>
      <c r="Y1661" s="4"/>
    </row>
    <row r="1662" spans="5:25">
      <c r="E1662"/>
      <c r="G1662"/>
      <c r="H1662"/>
      <c r="I1662"/>
      <c r="K1662"/>
      <c r="O1662"/>
      <c r="R1662"/>
      <c r="W1662" s="4"/>
      <c r="X1662" s="4"/>
      <c r="Y1662" s="4"/>
    </row>
    <row r="1663" spans="5:25">
      <c r="E1663"/>
      <c r="G1663"/>
      <c r="H1663"/>
      <c r="I1663"/>
      <c r="K1663"/>
      <c r="O1663"/>
      <c r="R1663"/>
      <c r="W1663" s="4"/>
      <c r="X1663" s="4"/>
      <c r="Y1663" s="4"/>
    </row>
    <row r="1664" spans="5:25">
      <c r="E1664"/>
      <c r="G1664"/>
      <c r="H1664"/>
      <c r="I1664"/>
      <c r="K1664"/>
      <c r="O1664"/>
      <c r="R1664"/>
      <c r="W1664" s="4"/>
      <c r="X1664" s="4"/>
      <c r="Y1664" s="4"/>
    </row>
    <row r="1665" spans="5:25">
      <c r="E1665"/>
      <c r="G1665"/>
      <c r="H1665"/>
      <c r="I1665"/>
      <c r="K1665"/>
      <c r="O1665"/>
      <c r="R1665"/>
      <c r="W1665" s="4"/>
      <c r="X1665" s="4"/>
      <c r="Y1665" s="4"/>
    </row>
    <row r="1666" spans="5:25">
      <c r="E1666"/>
      <c r="G1666"/>
      <c r="H1666"/>
      <c r="I1666"/>
      <c r="K1666"/>
      <c r="O1666"/>
      <c r="R1666"/>
      <c r="W1666" s="4"/>
      <c r="X1666" s="4"/>
      <c r="Y1666" s="4"/>
    </row>
    <row r="1667" spans="5:25">
      <c r="E1667"/>
      <c r="G1667"/>
      <c r="H1667"/>
      <c r="I1667"/>
      <c r="K1667"/>
      <c r="O1667"/>
      <c r="R1667"/>
      <c r="W1667" s="4"/>
      <c r="X1667" s="4"/>
      <c r="Y1667" s="4"/>
    </row>
    <row r="1668" spans="5:25">
      <c r="E1668"/>
      <c r="G1668"/>
      <c r="H1668"/>
      <c r="I1668"/>
      <c r="K1668"/>
      <c r="O1668"/>
      <c r="R1668"/>
      <c r="W1668" s="4"/>
      <c r="X1668" s="4"/>
      <c r="Y1668" s="4"/>
    </row>
    <row r="1669" spans="5:25">
      <c r="E1669"/>
      <c r="G1669"/>
      <c r="H1669"/>
      <c r="I1669"/>
      <c r="K1669"/>
      <c r="O1669"/>
      <c r="R1669"/>
      <c r="W1669" s="4"/>
      <c r="X1669" s="4"/>
      <c r="Y1669" s="4"/>
    </row>
    <row r="1670" spans="5:25">
      <c r="E1670"/>
      <c r="G1670"/>
      <c r="H1670"/>
      <c r="I1670"/>
      <c r="K1670"/>
      <c r="O1670"/>
      <c r="R1670"/>
      <c r="W1670" s="4"/>
      <c r="X1670" s="4"/>
      <c r="Y1670" s="4"/>
    </row>
    <row r="1671" spans="5:25">
      <c r="E1671"/>
      <c r="G1671"/>
      <c r="H1671"/>
      <c r="I1671"/>
      <c r="K1671"/>
      <c r="O1671"/>
      <c r="R1671"/>
      <c r="W1671" s="4"/>
      <c r="X1671" s="4"/>
      <c r="Y1671" s="4"/>
    </row>
    <row r="1672" spans="5:25">
      <c r="E1672"/>
      <c r="G1672"/>
      <c r="H1672"/>
      <c r="I1672"/>
      <c r="K1672"/>
      <c r="O1672"/>
      <c r="R1672"/>
      <c r="W1672" s="4"/>
      <c r="X1672" s="4"/>
      <c r="Y1672" s="4"/>
    </row>
    <row r="1673" spans="5:25">
      <c r="E1673"/>
      <c r="G1673"/>
      <c r="H1673"/>
      <c r="I1673"/>
      <c r="K1673"/>
      <c r="O1673"/>
      <c r="R1673"/>
      <c r="W1673" s="4"/>
      <c r="X1673" s="4"/>
      <c r="Y1673" s="4"/>
    </row>
    <row r="1674" spans="5:25">
      <c r="E1674"/>
      <c r="G1674"/>
      <c r="H1674"/>
      <c r="I1674"/>
      <c r="K1674"/>
      <c r="O1674"/>
      <c r="R1674"/>
      <c r="W1674" s="4"/>
      <c r="X1674" s="4"/>
      <c r="Y1674" s="4"/>
    </row>
    <row r="1675" spans="5:25">
      <c r="E1675"/>
      <c r="G1675"/>
      <c r="H1675"/>
      <c r="I1675"/>
      <c r="K1675"/>
      <c r="O1675"/>
      <c r="R1675"/>
      <c r="W1675" s="4"/>
      <c r="X1675" s="4"/>
      <c r="Y1675" s="4"/>
    </row>
    <row r="1676" spans="5:25">
      <c r="E1676"/>
      <c r="G1676"/>
      <c r="H1676"/>
      <c r="I1676"/>
      <c r="K1676"/>
      <c r="O1676"/>
      <c r="R1676"/>
      <c r="W1676" s="4"/>
      <c r="X1676" s="4"/>
      <c r="Y1676" s="4"/>
    </row>
    <row r="1677" spans="5:25">
      <c r="E1677"/>
      <c r="G1677"/>
      <c r="H1677"/>
      <c r="I1677"/>
      <c r="K1677"/>
      <c r="O1677"/>
      <c r="R1677"/>
      <c r="W1677" s="4"/>
      <c r="X1677" s="4"/>
      <c r="Y1677" s="4"/>
    </row>
    <row r="1678" spans="5:25">
      <c r="E1678"/>
      <c r="G1678"/>
      <c r="H1678"/>
      <c r="I1678"/>
      <c r="K1678"/>
      <c r="O1678"/>
      <c r="R1678"/>
      <c r="W1678" s="4"/>
      <c r="X1678" s="4"/>
      <c r="Y1678" s="4"/>
    </row>
    <row r="1679" spans="5:25">
      <c r="E1679"/>
      <c r="G1679"/>
      <c r="H1679"/>
      <c r="I1679"/>
      <c r="K1679"/>
      <c r="O1679"/>
      <c r="R1679"/>
      <c r="W1679" s="4"/>
      <c r="X1679" s="4"/>
      <c r="Y1679" s="4"/>
    </row>
    <row r="1680" spans="5:25">
      <c r="E1680"/>
      <c r="G1680"/>
      <c r="H1680"/>
      <c r="I1680"/>
      <c r="K1680"/>
      <c r="O1680"/>
      <c r="R1680"/>
      <c r="W1680" s="4"/>
      <c r="X1680" s="4"/>
      <c r="Y1680" s="4"/>
    </row>
    <row r="1681" spans="5:25">
      <c r="E1681"/>
      <c r="G1681"/>
      <c r="H1681"/>
      <c r="I1681"/>
      <c r="K1681"/>
      <c r="O1681"/>
      <c r="R1681"/>
      <c r="W1681" s="4"/>
      <c r="X1681" s="4"/>
      <c r="Y1681" s="4"/>
    </row>
    <row r="1682" spans="5:25">
      <c r="E1682"/>
      <c r="G1682"/>
      <c r="H1682"/>
      <c r="I1682"/>
      <c r="K1682"/>
      <c r="O1682"/>
      <c r="R1682"/>
      <c r="W1682" s="4"/>
      <c r="X1682" s="4"/>
      <c r="Y1682" s="4"/>
    </row>
    <row r="1683" spans="5:25">
      <c r="E1683"/>
      <c r="G1683"/>
      <c r="H1683"/>
      <c r="I1683"/>
      <c r="K1683"/>
      <c r="O1683"/>
      <c r="R1683"/>
      <c r="W1683" s="4"/>
      <c r="X1683" s="4"/>
      <c r="Y1683" s="4"/>
    </row>
    <row r="1684" spans="5:25">
      <c r="E1684"/>
      <c r="G1684"/>
      <c r="H1684"/>
      <c r="I1684"/>
      <c r="K1684"/>
      <c r="O1684"/>
      <c r="R1684"/>
      <c r="W1684" s="4"/>
      <c r="X1684" s="4"/>
      <c r="Y1684" s="4"/>
    </row>
    <row r="1685" spans="5:25">
      <c r="E1685"/>
      <c r="G1685"/>
      <c r="H1685"/>
      <c r="I1685"/>
      <c r="K1685"/>
      <c r="O1685"/>
      <c r="R1685"/>
      <c r="W1685" s="4"/>
      <c r="X1685" s="4"/>
      <c r="Y1685" s="4"/>
    </row>
    <row r="1686" spans="5:25">
      <c r="E1686"/>
      <c r="G1686"/>
      <c r="H1686"/>
      <c r="I1686"/>
      <c r="K1686"/>
      <c r="O1686"/>
      <c r="R1686"/>
      <c r="W1686" s="4"/>
      <c r="X1686" s="4"/>
      <c r="Y1686" s="4"/>
    </row>
    <row r="1687" spans="5:25">
      <c r="E1687"/>
      <c r="G1687"/>
      <c r="H1687"/>
      <c r="I1687"/>
      <c r="K1687"/>
      <c r="O1687"/>
      <c r="R1687"/>
      <c r="W1687" s="4"/>
      <c r="X1687" s="4"/>
      <c r="Y1687" s="4"/>
    </row>
    <row r="1688" spans="5:25">
      <c r="E1688"/>
      <c r="G1688"/>
      <c r="H1688"/>
      <c r="I1688"/>
      <c r="K1688"/>
      <c r="O1688"/>
      <c r="R1688"/>
      <c r="W1688" s="4"/>
      <c r="X1688" s="4"/>
      <c r="Y1688" s="4"/>
    </row>
    <row r="1689" spans="5:25">
      <c r="E1689"/>
      <c r="G1689"/>
      <c r="H1689"/>
      <c r="I1689"/>
      <c r="K1689"/>
      <c r="O1689"/>
      <c r="R1689"/>
      <c r="W1689" s="4"/>
      <c r="X1689" s="4"/>
      <c r="Y1689" s="4"/>
    </row>
    <row r="1690" spans="5:25">
      <c r="E1690"/>
      <c r="G1690"/>
      <c r="H1690"/>
      <c r="I1690"/>
      <c r="K1690"/>
      <c r="O1690"/>
      <c r="R1690"/>
      <c r="W1690" s="4"/>
      <c r="X1690" s="4"/>
      <c r="Y1690" s="4"/>
    </row>
    <row r="1691" spans="5:25">
      <c r="E1691"/>
      <c r="G1691"/>
      <c r="H1691"/>
      <c r="I1691"/>
      <c r="K1691"/>
      <c r="O1691"/>
      <c r="R1691"/>
      <c r="W1691" s="4"/>
      <c r="X1691" s="4"/>
      <c r="Y1691" s="4"/>
    </row>
    <row r="1692" spans="5:25">
      <c r="E1692"/>
      <c r="G1692"/>
      <c r="H1692"/>
      <c r="I1692"/>
      <c r="K1692"/>
      <c r="O1692"/>
      <c r="R1692"/>
      <c r="W1692" s="4"/>
      <c r="X1692" s="4"/>
      <c r="Y1692" s="4"/>
    </row>
    <row r="1693" spans="5:25">
      <c r="E1693"/>
      <c r="G1693"/>
      <c r="H1693"/>
      <c r="I1693"/>
      <c r="K1693"/>
      <c r="O1693"/>
      <c r="R1693"/>
      <c r="W1693" s="4"/>
      <c r="X1693" s="4"/>
      <c r="Y1693" s="4"/>
    </row>
    <row r="1694" spans="5:25">
      <c r="E1694"/>
      <c r="G1694"/>
      <c r="H1694"/>
      <c r="I1694"/>
      <c r="K1694"/>
      <c r="O1694"/>
      <c r="R1694"/>
      <c r="W1694" s="4"/>
      <c r="X1694" s="4"/>
      <c r="Y1694" s="4"/>
    </row>
    <row r="1695" spans="5:25">
      <c r="E1695"/>
      <c r="G1695"/>
      <c r="H1695"/>
      <c r="I1695"/>
      <c r="K1695"/>
      <c r="O1695"/>
      <c r="R1695"/>
      <c r="W1695" s="4"/>
      <c r="X1695" s="4"/>
      <c r="Y1695" s="4"/>
    </row>
    <row r="1696" spans="5:25">
      <c r="E1696"/>
      <c r="G1696"/>
      <c r="H1696"/>
      <c r="I1696"/>
      <c r="K1696"/>
      <c r="O1696"/>
      <c r="R1696"/>
      <c r="W1696" s="4"/>
      <c r="X1696" s="4"/>
      <c r="Y1696" s="4"/>
    </row>
    <row r="1697" spans="5:25">
      <c r="E1697"/>
      <c r="G1697"/>
      <c r="H1697"/>
      <c r="I1697"/>
      <c r="K1697"/>
      <c r="O1697"/>
      <c r="R1697"/>
      <c r="W1697" s="4"/>
      <c r="X1697" s="4"/>
      <c r="Y1697" s="4"/>
    </row>
    <row r="1698" spans="5:25">
      <c r="E1698"/>
      <c r="G1698"/>
      <c r="H1698"/>
      <c r="I1698"/>
      <c r="K1698"/>
      <c r="O1698"/>
      <c r="R1698"/>
      <c r="W1698" s="4"/>
      <c r="X1698" s="4"/>
      <c r="Y1698" s="4"/>
    </row>
    <row r="1699" spans="5:25">
      <c r="E1699"/>
      <c r="G1699"/>
      <c r="H1699"/>
      <c r="I1699"/>
      <c r="K1699"/>
      <c r="O1699"/>
      <c r="R1699"/>
      <c r="W1699" s="4"/>
      <c r="X1699" s="4"/>
      <c r="Y1699" s="4"/>
    </row>
    <row r="1700" spans="5:25">
      <c r="E1700"/>
      <c r="G1700"/>
      <c r="H1700"/>
      <c r="I1700"/>
      <c r="K1700"/>
      <c r="O1700"/>
      <c r="R1700"/>
      <c r="W1700" s="4"/>
      <c r="X1700" s="4"/>
      <c r="Y1700" s="4"/>
    </row>
    <row r="1701" spans="5:25">
      <c r="E1701"/>
      <c r="G1701"/>
      <c r="H1701"/>
      <c r="I1701"/>
      <c r="K1701"/>
      <c r="O1701"/>
      <c r="R1701"/>
      <c r="W1701" s="4"/>
      <c r="X1701" s="4"/>
      <c r="Y1701" s="4"/>
    </row>
    <row r="1702" spans="5:25">
      <c r="E1702"/>
      <c r="G1702"/>
      <c r="H1702"/>
      <c r="I1702"/>
      <c r="K1702"/>
      <c r="O1702"/>
      <c r="R1702"/>
      <c r="W1702" s="4"/>
      <c r="X1702" s="4"/>
      <c r="Y1702" s="4"/>
    </row>
    <row r="1703" spans="5:25">
      <c r="E1703"/>
      <c r="G1703"/>
      <c r="H1703"/>
      <c r="I1703"/>
      <c r="K1703"/>
      <c r="O1703"/>
      <c r="R1703"/>
      <c r="W1703" s="4"/>
      <c r="X1703" s="4"/>
      <c r="Y1703" s="4"/>
    </row>
    <row r="1704" spans="5:25">
      <c r="E1704"/>
      <c r="G1704"/>
      <c r="H1704"/>
      <c r="I1704"/>
      <c r="K1704"/>
      <c r="O1704"/>
      <c r="R1704"/>
      <c r="W1704" s="4"/>
      <c r="X1704" s="4"/>
      <c r="Y1704" s="4"/>
    </row>
    <row r="1705" spans="5:25">
      <c r="E1705"/>
      <c r="G1705"/>
      <c r="H1705"/>
      <c r="I1705"/>
      <c r="K1705"/>
      <c r="O1705"/>
      <c r="R1705"/>
      <c r="W1705" s="4"/>
      <c r="X1705" s="4"/>
      <c r="Y1705" s="4"/>
    </row>
    <row r="1706" spans="5:25">
      <c r="E1706"/>
      <c r="G1706"/>
      <c r="H1706"/>
      <c r="I1706"/>
      <c r="K1706"/>
      <c r="O1706"/>
      <c r="R1706"/>
      <c r="W1706" s="4"/>
      <c r="X1706" s="4"/>
      <c r="Y1706" s="4"/>
    </row>
    <row r="1707" spans="5:25">
      <c r="E1707"/>
      <c r="G1707"/>
      <c r="H1707"/>
      <c r="I1707"/>
      <c r="K1707"/>
      <c r="O1707"/>
      <c r="R1707"/>
      <c r="W1707" s="4"/>
      <c r="X1707" s="4"/>
      <c r="Y1707" s="4"/>
    </row>
    <row r="1708" spans="5:25">
      <c r="E1708"/>
      <c r="G1708"/>
      <c r="H1708"/>
      <c r="I1708"/>
      <c r="K1708"/>
      <c r="O1708"/>
      <c r="R1708"/>
      <c r="W1708" s="4"/>
      <c r="X1708" s="4"/>
      <c r="Y1708" s="4"/>
    </row>
    <row r="1709" spans="5:25">
      <c r="E1709"/>
      <c r="G1709"/>
      <c r="H1709"/>
      <c r="I1709"/>
      <c r="K1709"/>
      <c r="O1709"/>
      <c r="R1709"/>
      <c r="W1709" s="4"/>
      <c r="X1709" s="4"/>
      <c r="Y1709" s="4"/>
    </row>
    <row r="1710" spans="5:25">
      <c r="E1710"/>
      <c r="G1710"/>
      <c r="H1710"/>
      <c r="I1710"/>
      <c r="K1710"/>
      <c r="O1710"/>
      <c r="R1710"/>
      <c r="W1710" s="4"/>
      <c r="X1710" s="4"/>
      <c r="Y1710" s="4"/>
    </row>
    <row r="1711" spans="5:25">
      <c r="E1711"/>
      <c r="G1711"/>
      <c r="H1711"/>
      <c r="I1711"/>
      <c r="K1711"/>
      <c r="O1711"/>
      <c r="R1711"/>
      <c r="W1711" s="4"/>
      <c r="X1711" s="4"/>
      <c r="Y1711" s="4"/>
    </row>
    <row r="1712" spans="5:25">
      <c r="E1712"/>
      <c r="G1712"/>
      <c r="H1712"/>
      <c r="I1712"/>
      <c r="K1712"/>
      <c r="O1712"/>
      <c r="R1712"/>
      <c r="W1712" s="4"/>
      <c r="X1712" s="4"/>
      <c r="Y1712" s="4"/>
    </row>
    <row r="1713" spans="5:25">
      <c r="E1713"/>
      <c r="G1713"/>
      <c r="H1713"/>
      <c r="I1713"/>
      <c r="K1713"/>
      <c r="O1713"/>
      <c r="R1713"/>
      <c r="W1713" s="4"/>
      <c r="X1713" s="4"/>
      <c r="Y1713" s="4"/>
    </row>
    <row r="1714" spans="5:25">
      <c r="E1714"/>
      <c r="G1714"/>
      <c r="H1714"/>
      <c r="I1714"/>
      <c r="K1714"/>
      <c r="O1714"/>
      <c r="R1714"/>
      <c r="W1714" s="4"/>
      <c r="X1714" s="4"/>
      <c r="Y1714" s="4"/>
    </row>
    <row r="1715" spans="5:25">
      <c r="E1715"/>
      <c r="G1715"/>
      <c r="H1715"/>
      <c r="I1715"/>
      <c r="K1715"/>
      <c r="O1715"/>
      <c r="R1715"/>
      <c r="W1715" s="4"/>
      <c r="X1715" s="4"/>
      <c r="Y1715" s="4"/>
    </row>
    <row r="1716" spans="5:25">
      <c r="E1716"/>
      <c r="G1716"/>
      <c r="H1716"/>
      <c r="I1716"/>
      <c r="K1716"/>
      <c r="O1716"/>
      <c r="R1716"/>
      <c r="W1716" s="4"/>
      <c r="X1716" s="4"/>
      <c r="Y1716" s="4"/>
    </row>
    <row r="1717" spans="5:25">
      <c r="E1717"/>
      <c r="G1717"/>
      <c r="H1717"/>
      <c r="I1717"/>
      <c r="K1717"/>
      <c r="O1717"/>
      <c r="R1717"/>
      <c r="W1717" s="4"/>
      <c r="X1717" s="4"/>
      <c r="Y1717" s="4"/>
    </row>
    <row r="1718" spans="5:25">
      <c r="E1718"/>
      <c r="G1718"/>
      <c r="H1718"/>
      <c r="I1718"/>
      <c r="K1718"/>
      <c r="O1718"/>
      <c r="R1718"/>
      <c r="W1718" s="4"/>
      <c r="X1718" s="4"/>
      <c r="Y1718" s="4"/>
    </row>
    <row r="1719" spans="5:25">
      <c r="E1719"/>
      <c r="G1719"/>
      <c r="H1719"/>
      <c r="I1719"/>
      <c r="K1719"/>
      <c r="O1719"/>
      <c r="R1719"/>
      <c r="W1719" s="4"/>
      <c r="X1719" s="4"/>
      <c r="Y1719" s="4"/>
    </row>
    <row r="1720" spans="5:25">
      <c r="E1720"/>
      <c r="G1720"/>
      <c r="H1720"/>
      <c r="I1720"/>
      <c r="K1720"/>
      <c r="O1720"/>
      <c r="R1720"/>
      <c r="W1720" s="4"/>
      <c r="X1720" s="4"/>
      <c r="Y1720" s="4"/>
    </row>
    <row r="1721" spans="5:25">
      <c r="E1721"/>
      <c r="G1721"/>
      <c r="H1721"/>
      <c r="I1721"/>
      <c r="K1721"/>
      <c r="O1721"/>
      <c r="R1721"/>
      <c r="W1721" s="4"/>
      <c r="X1721" s="4"/>
      <c r="Y1721" s="4"/>
    </row>
    <row r="1722" spans="5:25">
      <c r="E1722"/>
      <c r="G1722"/>
      <c r="H1722"/>
      <c r="I1722"/>
      <c r="K1722"/>
      <c r="O1722"/>
      <c r="R1722"/>
      <c r="W1722" s="4"/>
      <c r="X1722" s="4"/>
      <c r="Y1722" s="4"/>
    </row>
    <row r="1723" spans="5:25">
      <c r="E1723"/>
      <c r="G1723"/>
      <c r="H1723"/>
      <c r="I1723"/>
      <c r="K1723"/>
      <c r="O1723"/>
      <c r="R1723"/>
      <c r="W1723" s="4"/>
      <c r="X1723" s="4"/>
      <c r="Y1723" s="4"/>
    </row>
    <row r="1724" spans="5:25">
      <c r="E1724"/>
      <c r="G1724"/>
      <c r="H1724"/>
      <c r="I1724"/>
      <c r="K1724"/>
      <c r="O1724"/>
      <c r="R1724"/>
      <c r="W1724" s="4"/>
      <c r="X1724" s="4"/>
      <c r="Y1724" s="4"/>
    </row>
    <row r="1725" spans="5:25">
      <c r="E1725"/>
      <c r="G1725"/>
      <c r="H1725"/>
      <c r="I1725"/>
      <c r="K1725"/>
      <c r="O1725"/>
      <c r="R1725"/>
      <c r="W1725" s="4"/>
      <c r="X1725" s="4"/>
      <c r="Y1725" s="4"/>
    </row>
    <row r="1726" spans="5:25">
      <c r="E1726"/>
      <c r="G1726"/>
      <c r="H1726"/>
      <c r="I1726"/>
      <c r="K1726"/>
      <c r="O1726"/>
      <c r="R1726"/>
      <c r="W1726" s="4"/>
      <c r="X1726" s="4"/>
      <c r="Y1726" s="4"/>
    </row>
    <row r="1727" spans="5:25">
      <c r="E1727"/>
      <c r="G1727"/>
      <c r="H1727"/>
      <c r="I1727"/>
      <c r="K1727"/>
      <c r="O1727"/>
      <c r="R1727"/>
      <c r="W1727" s="4"/>
      <c r="X1727" s="4"/>
      <c r="Y1727" s="4"/>
    </row>
    <row r="1728" spans="5:25">
      <c r="E1728"/>
      <c r="G1728"/>
      <c r="H1728"/>
      <c r="I1728"/>
      <c r="K1728"/>
      <c r="O1728"/>
      <c r="R1728"/>
      <c r="W1728" s="4"/>
      <c r="X1728" s="4"/>
      <c r="Y1728" s="4"/>
    </row>
    <row r="1729" spans="5:25">
      <c r="E1729"/>
      <c r="G1729"/>
      <c r="H1729"/>
      <c r="I1729"/>
      <c r="K1729"/>
      <c r="O1729"/>
      <c r="R1729"/>
      <c r="W1729" s="4"/>
      <c r="X1729" s="4"/>
      <c r="Y1729" s="4"/>
    </row>
    <row r="1730" spans="5:25">
      <c r="E1730"/>
      <c r="G1730"/>
      <c r="H1730"/>
      <c r="I1730"/>
      <c r="K1730"/>
      <c r="O1730"/>
      <c r="R1730"/>
      <c r="W1730" s="4"/>
      <c r="X1730" s="4"/>
      <c r="Y1730" s="4"/>
    </row>
    <row r="1731" spans="5:25">
      <c r="E1731"/>
      <c r="G1731"/>
      <c r="H1731"/>
      <c r="I1731"/>
      <c r="K1731"/>
      <c r="O1731"/>
      <c r="R1731"/>
      <c r="W1731" s="4"/>
      <c r="X1731" s="4"/>
      <c r="Y1731" s="4"/>
    </row>
    <row r="1732" spans="5:25">
      <c r="E1732"/>
      <c r="G1732"/>
      <c r="H1732"/>
      <c r="I1732"/>
      <c r="K1732"/>
      <c r="O1732"/>
      <c r="R1732"/>
      <c r="W1732" s="4"/>
      <c r="X1732" s="4"/>
      <c r="Y1732" s="4"/>
    </row>
    <row r="1733" spans="5:25">
      <c r="E1733"/>
      <c r="G1733"/>
      <c r="H1733"/>
      <c r="I1733"/>
      <c r="K1733"/>
      <c r="O1733"/>
      <c r="R1733"/>
      <c r="W1733" s="4"/>
      <c r="X1733" s="4"/>
      <c r="Y1733" s="4"/>
    </row>
    <row r="1734" spans="5:25">
      <c r="E1734"/>
      <c r="G1734"/>
      <c r="H1734"/>
      <c r="I1734"/>
      <c r="K1734"/>
      <c r="O1734"/>
      <c r="R1734"/>
      <c r="W1734" s="4"/>
      <c r="X1734" s="4"/>
      <c r="Y1734" s="4"/>
    </row>
    <row r="1735" spans="5:25">
      <c r="E1735"/>
      <c r="G1735"/>
      <c r="H1735"/>
      <c r="I1735"/>
      <c r="K1735"/>
      <c r="O1735"/>
      <c r="R1735"/>
      <c r="W1735" s="4"/>
      <c r="X1735" s="4"/>
      <c r="Y1735" s="4"/>
    </row>
    <row r="1736" spans="5:25">
      <c r="E1736"/>
      <c r="G1736"/>
      <c r="H1736"/>
      <c r="I1736"/>
      <c r="K1736"/>
      <c r="O1736"/>
      <c r="R1736"/>
      <c r="W1736" s="4"/>
      <c r="X1736" s="4"/>
      <c r="Y1736" s="4"/>
    </row>
    <row r="1737" spans="5:25">
      <c r="E1737"/>
      <c r="G1737"/>
      <c r="H1737"/>
      <c r="I1737"/>
      <c r="K1737"/>
      <c r="O1737"/>
      <c r="R1737"/>
      <c r="W1737" s="4"/>
      <c r="X1737" s="4"/>
      <c r="Y1737" s="4"/>
    </row>
    <row r="1738" spans="5:25">
      <c r="E1738"/>
      <c r="G1738"/>
      <c r="H1738"/>
      <c r="I1738"/>
      <c r="K1738"/>
      <c r="O1738"/>
      <c r="R1738"/>
      <c r="W1738" s="4"/>
      <c r="X1738" s="4"/>
      <c r="Y1738" s="4"/>
    </row>
    <row r="1739" spans="5:25">
      <c r="E1739"/>
      <c r="G1739"/>
      <c r="H1739"/>
      <c r="I1739"/>
      <c r="K1739"/>
      <c r="O1739"/>
      <c r="R1739"/>
      <c r="W1739" s="4"/>
      <c r="X1739" s="4"/>
      <c r="Y1739" s="4"/>
    </row>
    <row r="1740" spans="5:25">
      <c r="E1740"/>
      <c r="G1740"/>
      <c r="H1740"/>
      <c r="I1740"/>
      <c r="K1740"/>
      <c r="O1740"/>
      <c r="R1740"/>
      <c r="W1740" s="4"/>
      <c r="X1740" s="4"/>
      <c r="Y1740" s="4"/>
    </row>
    <row r="1741" spans="5:25">
      <c r="E1741"/>
      <c r="G1741"/>
      <c r="H1741"/>
      <c r="I1741"/>
      <c r="K1741"/>
      <c r="O1741"/>
      <c r="R1741"/>
      <c r="W1741" s="4"/>
      <c r="X1741" s="4"/>
      <c r="Y1741" s="4"/>
    </row>
    <row r="1742" spans="5:25">
      <c r="E1742"/>
      <c r="G1742"/>
      <c r="H1742"/>
      <c r="I1742"/>
      <c r="K1742"/>
      <c r="O1742"/>
      <c r="R1742"/>
      <c r="W1742" s="4"/>
      <c r="X1742" s="4"/>
      <c r="Y1742" s="4"/>
    </row>
    <row r="1743" spans="5:25">
      <c r="E1743"/>
      <c r="G1743"/>
      <c r="H1743"/>
      <c r="I1743"/>
      <c r="K1743"/>
      <c r="O1743"/>
      <c r="R1743"/>
      <c r="W1743" s="4"/>
      <c r="X1743" s="4"/>
      <c r="Y1743" s="4"/>
    </row>
    <row r="1744" spans="5:25">
      <c r="E1744"/>
      <c r="G1744"/>
      <c r="H1744"/>
      <c r="I1744"/>
      <c r="K1744"/>
      <c r="O1744"/>
      <c r="R1744"/>
      <c r="W1744" s="4"/>
      <c r="X1744" s="4"/>
      <c r="Y1744" s="4"/>
    </row>
    <row r="1745" spans="5:25">
      <c r="E1745"/>
      <c r="G1745"/>
      <c r="H1745"/>
      <c r="I1745"/>
      <c r="K1745"/>
      <c r="O1745"/>
      <c r="R1745"/>
      <c r="W1745" s="4"/>
      <c r="X1745" s="4"/>
      <c r="Y1745" s="4"/>
    </row>
    <row r="1746" spans="5:25">
      <c r="E1746"/>
      <c r="G1746"/>
      <c r="H1746"/>
      <c r="I1746"/>
      <c r="K1746"/>
      <c r="O1746"/>
      <c r="R1746"/>
      <c r="W1746" s="4"/>
      <c r="X1746" s="4"/>
      <c r="Y1746" s="4"/>
    </row>
    <row r="1747" spans="5:25">
      <c r="E1747"/>
      <c r="G1747"/>
      <c r="H1747"/>
      <c r="I1747"/>
      <c r="K1747"/>
      <c r="O1747"/>
      <c r="R1747"/>
      <c r="W1747" s="4"/>
      <c r="X1747" s="4"/>
      <c r="Y1747" s="4"/>
    </row>
    <row r="1748" spans="5:25">
      <c r="E1748"/>
      <c r="G1748"/>
      <c r="H1748"/>
      <c r="I1748"/>
      <c r="K1748"/>
      <c r="O1748"/>
      <c r="R1748"/>
      <c r="W1748" s="4"/>
      <c r="X1748" s="4"/>
      <c r="Y1748" s="4"/>
    </row>
    <row r="1749" spans="5:25">
      <c r="E1749"/>
      <c r="G1749"/>
      <c r="H1749"/>
      <c r="I1749"/>
      <c r="K1749"/>
      <c r="O1749"/>
      <c r="R1749"/>
      <c r="W1749" s="4"/>
      <c r="X1749" s="4"/>
      <c r="Y1749" s="4"/>
    </row>
    <row r="1750" spans="5:25">
      <c r="E1750"/>
      <c r="G1750"/>
      <c r="H1750"/>
      <c r="I1750"/>
      <c r="K1750"/>
      <c r="O1750"/>
      <c r="R1750"/>
      <c r="W1750" s="4"/>
      <c r="X1750" s="4"/>
      <c r="Y1750" s="4"/>
    </row>
    <row r="1751" spans="5:25">
      <c r="E1751"/>
      <c r="G1751"/>
      <c r="H1751"/>
      <c r="I1751"/>
      <c r="K1751"/>
      <c r="O1751"/>
      <c r="R1751"/>
      <c r="W1751" s="4"/>
      <c r="X1751" s="4"/>
      <c r="Y1751" s="4"/>
    </row>
    <row r="1752" spans="5:25">
      <c r="E1752"/>
      <c r="G1752"/>
      <c r="H1752"/>
      <c r="I1752"/>
      <c r="K1752"/>
      <c r="O1752"/>
      <c r="R1752"/>
      <c r="W1752" s="4"/>
      <c r="X1752" s="4"/>
      <c r="Y1752" s="4"/>
    </row>
    <row r="1753" spans="5:25">
      <c r="E1753"/>
      <c r="G1753"/>
      <c r="H1753"/>
      <c r="I1753"/>
      <c r="K1753"/>
      <c r="O1753"/>
      <c r="R1753"/>
      <c r="W1753" s="4"/>
      <c r="X1753" s="4"/>
      <c r="Y1753" s="4"/>
    </row>
    <row r="1754" spans="5:25">
      <c r="E1754"/>
      <c r="G1754"/>
      <c r="H1754"/>
      <c r="I1754"/>
      <c r="K1754"/>
      <c r="O1754"/>
      <c r="R1754"/>
      <c r="W1754" s="4"/>
      <c r="X1754" s="4"/>
      <c r="Y1754" s="4"/>
    </row>
    <row r="1755" spans="5:25">
      <c r="E1755"/>
      <c r="G1755"/>
      <c r="H1755"/>
      <c r="I1755"/>
      <c r="K1755"/>
      <c r="O1755"/>
      <c r="R1755"/>
      <c r="W1755" s="4"/>
      <c r="X1755" s="4"/>
      <c r="Y1755" s="4"/>
    </row>
    <row r="1756" spans="5:25">
      <c r="E1756"/>
      <c r="G1756"/>
      <c r="H1756"/>
      <c r="I1756"/>
      <c r="K1756"/>
      <c r="O1756"/>
      <c r="R1756"/>
      <c r="W1756" s="4"/>
      <c r="X1756" s="4"/>
      <c r="Y1756" s="4"/>
    </row>
    <row r="1757" spans="5:25">
      <c r="E1757"/>
      <c r="G1757"/>
      <c r="H1757"/>
      <c r="I1757"/>
      <c r="K1757"/>
      <c r="O1757"/>
      <c r="R1757"/>
      <c r="W1757" s="4"/>
      <c r="X1757" s="4"/>
      <c r="Y1757" s="4"/>
    </row>
    <row r="1758" spans="5:25">
      <c r="E1758"/>
      <c r="G1758"/>
      <c r="H1758"/>
      <c r="I1758"/>
      <c r="K1758"/>
      <c r="O1758"/>
      <c r="R1758"/>
      <c r="W1758" s="4"/>
      <c r="X1758" s="4"/>
      <c r="Y1758" s="4"/>
    </row>
    <row r="1759" spans="5:25">
      <c r="E1759"/>
      <c r="G1759"/>
      <c r="H1759"/>
      <c r="I1759"/>
      <c r="K1759"/>
      <c r="O1759"/>
      <c r="R1759"/>
      <c r="W1759" s="4"/>
      <c r="X1759" s="4"/>
      <c r="Y1759" s="4"/>
    </row>
    <row r="1760" spans="5:25">
      <c r="E1760"/>
      <c r="G1760"/>
      <c r="H1760"/>
      <c r="I1760"/>
      <c r="K1760"/>
      <c r="O1760"/>
      <c r="R1760"/>
      <c r="W1760" s="4"/>
      <c r="X1760" s="4"/>
      <c r="Y1760" s="4"/>
    </row>
    <row r="1761" spans="5:25">
      <c r="E1761"/>
      <c r="G1761"/>
      <c r="H1761"/>
      <c r="I1761"/>
      <c r="K1761"/>
      <c r="O1761"/>
      <c r="R1761"/>
      <c r="W1761" s="4"/>
      <c r="X1761" s="4"/>
      <c r="Y1761" s="4"/>
    </row>
    <row r="1762" spans="5:25">
      <c r="E1762"/>
      <c r="G1762"/>
      <c r="H1762"/>
      <c r="I1762"/>
      <c r="K1762"/>
      <c r="O1762"/>
      <c r="R1762"/>
      <c r="W1762" s="4"/>
      <c r="X1762" s="4"/>
      <c r="Y1762" s="4"/>
    </row>
    <row r="1763" spans="5:25">
      <c r="E1763"/>
      <c r="G1763"/>
      <c r="H1763"/>
      <c r="I1763"/>
      <c r="K1763"/>
      <c r="O1763"/>
      <c r="R1763"/>
      <c r="W1763" s="4"/>
      <c r="X1763" s="4"/>
      <c r="Y1763" s="4"/>
    </row>
    <row r="1764" spans="5:25">
      <c r="E1764"/>
      <c r="G1764"/>
      <c r="H1764"/>
      <c r="I1764"/>
      <c r="K1764"/>
      <c r="O1764"/>
      <c r="R1764"/>
      <c r="W1764" s="4"/>
      <c r="X1764" s="4"/>
      <c r="Y1764" s="4"/>
    </row>
    <row r="1765" spans="5:25">
      <c r="E1765"/>
      <c r="G1765"/>
      <c r="H1765"/>
      <c r="I1765"/>
      <c r="K1765"/>
      <c r="O1765"/>
      <c r="R1765"/>
      <c r="W1765" s="4"/>
      <c r="X1765" s="4"/>
      <c r="Y1765" s="4"/>
    </row>
    <row r="1766" spans="5:25">
      <c r="E1766"/>
      <c r="G1766"/>
      <c r="H1766"/>
      <c r="I1766"/>
      <c r="K1766"/>
      <c r="O1766"/>
      <c r="R1766"/>
      <c r="W1766" s="4"/>
      <c r="X1766" s="4"/>
      <c r="Y1766" s="4"/>
    </row>
    <row r="1767" spans="5:25">
      <c r="E1767"/>
      <c r="G1767"/>
      <c r="H1767"/>
      <c r="I1767"/>
      <c r="K1767"/>
      <c r="O1767"/>
      <c r="R1767"/>
      <c r="W1767" s="4"/>
      <c r="X1767" s="4"/>
      <c r="Y1767" s="4"/>
    </row>
    <row r="1768" spans="5:25">
      <c r="E1768"/>
      <c r="G1768"/>
      <c r="H1768"/>
      <c r="I1768"/>
      <c r="K1768"/>
      <c r="O1768"/>
      <c r="R1768"/>
      <c r="W1768" s="4"/>
      <c r="X1768" s="4"/>
      <c r="Y1768" s="4"/>
    </row>
    <row r="1769" spans="5:25">
      <c r="E1769"/>
      <c r="G1769"/>
      <c r="H1769"/>
      <c r="I1769"/>
      <c r="K1769"/>
      <c r="O1769"/>
      <c r="R1769"/>
      <c r="W1769" s="4"/>
      <c r="X1769" s="4"/>
      <c r="Y1769" s="4"/>
    </row>
    <row r="1770" spans="5:25">
      <c r="E1770"/>
      <c r="G1770"/>
      <c r="H1770"/>
      <c r="I1770"/>
      <c r="K1770"/>
      <c r="O1770"/>
      <c r="R1770"/>
      <c r="W1770" s="4"/>
      <c r="X1770" s="4"/>
      <c r="Y1770" s="4"/>
    </row>
    <row r="1771" spans="5:25">
      <c r="E1771"/>
      <c r="G1771"/>
      <c r="H1771"/>
      <c r="I1771"/>
      <c r="K1771"/>
      <c r="O1771"/>
      <c r="R1771"/>
      <c r="W1771" s="4"/>
      <c r="X1771" s="4"/>
      <c r="Y1771" s="4"/>
    </row>
    <row r="1772" spans="5:25">
      <c r="E1772"/>
      <c r="G1772"/>
      <c r="H1772"/>
      <c r="I1772"/>
      <c r="K1772"/>
      <c r="O1772"/>
      <c r="R1772"/>
      <c r="W1772" s="4"/>
      <c r="X1772" s="4"/>
      <c r="Y1772" s="4"/>
    </row>
    <row r="1773" spans="5:25">
      <c r="E1773"/>
      <c r="G1773"/>
      <c r="H1773"/>
      <c r="I1773"/>
      <c r="K1773"/>
      <c r="O1773"/>
      <c r="R1773"/>
      <c r="W1773" s="4"/>
      <c r="X1773" s="4"/>
      <c r="Y1773" s="4"/>
    </row>
    <row r="1774" spans="5:25">
      <c r="E1774"/>
      <c r="G1774"/>
      <c r="H1774"/>
      <c r="I1774"/>
      <c r="K1774"/>
      <c r="O1774"/>
      <c r="R1774"/>
      <c r="W1774" s="4"/>
      <c r="X1774" s="4"/>
      <c r="Y1774" s="4"/>
    </row>
    <row r="1775" spans="5:25">
      <c r="E1775"/>
      <c r="G1775"/>
      <c r="H1775"/>
      <c r="I1775"/>
      <c r="K1775"/>
      <c r="O1775"/>
      <c r="R1775"/>
      <c r="W1775" s="4"/>
      <c r="X1775" s="4"/>
      <c r="Y1775" s="4"/>
    </row>
    <row r="1776" spans="5:25">
      <c r="E1776"/>
      <c r="G1776"/>
      <c r="H1776"/>
      <c r="I1776"/>
      <c r="K1776"/>
      <c r="O1776"/>
      <c r="R1776"/>
      <c r="W1776" s="4"/>
      <c r="X1776" s="4"/>
      <c r="Y1776" s="4"/>
    </row>
    <row r="1777" spans="5:25">
      <c r="E1777"/>
      <c r="G1777"/>
      <c r="H1777"/>
      <c r="I1777"/>
      <c r="K1777"/>
      <c r="O1777"/>
      <c r="R1777"/>
      <c r="W1777" s="4"/>
      <c r="X1777" s="4"/>
      <c r="Y1777" s="4"/>
    </row>
    <row r="1778" spans="5:25">
      <c r="E1778"/>
      <c r="G1778"/>
      <c r="H1778"/>
      <c r="I1778"/>
      <c r="K1778"/>
      <c r="O1778"/>
      <c r="R1778"/>
      <c r="W1778" s="4"/>
      <c r="X1778" s="4"/>
      <c r="Y1778" s="4"/>
    </row>
    <row r="1779" spans="5:25">
      <c r="E1779"/>
      <c r="G1779"/>
      <c r="H1779"/>
      <c r="I1779"/>
      <c r="K1779"/>
      <c r="O1779"/>
      <c r="R1779"/>
      <c r="W1779" s="4"/>
      <c r="X1779" s="4"/>
      <c r="Y1779" s="4"/>
    </row>
    <row r="1780" spans="5:25">
      <c r="E1780"/>
      <c r="G1780"/>
      <c r="H1780"/>
      <c r="I1780"/>
      <c r="K1780"/>
      <c r="O1780"/>
      <c r="R1780"/>
      <c r="W1780" s="4"/>
      <c r="X1780" s="4"/>
      <c r="Y1780" s="4"/>
    </row>
    <row r="1781" spans="5:25">
      <c r="E1781"/>
      <c r="G1781"/>
      <c r="H1781"/>
      <c r="I1781"/>
      <c r="K1781"/>
      <c r="O1781"/>
      <c r="R1781"/>
      <c r="W1781" s="4"/>
      <c r="X1781" s="4"/>
      <c r="Y1781" s="4"/>
    </row>
    <row r="1782" spans="5:25">
      <c r="E1782"/>
      <c r="G1782"/>
      <c r="H1782"/>
      <c r="I1782"/>
      <c r="K1782"/>
      <c r="O1782"/>
      <c r="R1782"/>
      <c r="W1782" s="4"/>
      <c r="X1782" s="4"/>
      <c r="Y1782" s="4"/>
    </row>
    <row r="1783" spans="5:25">
      <c r="E1783"/>
      <c r="G1783"/>
      <c r="H1783"/>
      <c r="I1783"/>
      <c r="K1783"/>
      <c r="O1783"/>
      <c r="R1783"/>
      <c r="W1783" s="4"/>
      <c r="X1783" s="4"/>
      <c r="Y1783" s="4"/>
    </row>
    <row r="1784" spans="5:25">
      <c r="E1784"/>
      <c r="G1784"/>
      <c r="H1784"/>
      <c r="I1784"/>
      <c r="K1784"/>
      <c r="O1784"/>
      <c r="R1784"/>
      <c r="W1784" s="4"/>
      <c r="X1784" s="4"/>
      <c r="Y1784" s="4"/>
    </row>
    <row r="1785" spans="5:25">
      <c r="E1785"/>
      <c r="G1785"/>
      <c r="H1785"/>
      <c r="I1785"/>
      <c r="K1785"/>
      <c r="O1785"/>
      <c r="R1785"/>
      <c r="W1785" s="4"/>
      <c r="X1785" s="4"/>
      <c r="Y1785" s="4"/>
    </row>
    <row r="1786" spans="5:25">
      <c r="E1786"/>
      <c r="G1786"/>
      <c r="H1786"/>
      <c r="I1786"/>
      <c r="K1786"/>
      <c r="O1786"/>
      <c r="R1786"/>
      <c r="W1786" s="4"/>
      <c r="X1786" s="4"/>
      <c r="Y1786" s="4"/>
    </row>
    <row r="1787" spans="5:25">
      <c r="E1787"/>
      <c r="G1787"/>
      <c r="H1787"/>
      <c r="I1787"/>
      <c r="K1787"/>
      <c r="O1787"/>
      <c r="R1787"/>
      <c r="W1787" s="4"/>
      <c r="X1787" s="4"/>
      <c r="Y1787" s="4"/>
    </row>
    <row r="1788" spans="5:25">
      <c r="E1788"/>
      <c r="G1788"/>
      <c r="H1788"/>
      <c r="I1788"/>
      <c r="K1788"/>
      <c r="O1788"/>
      <c r="R1788"/>
      <c r="W1788" s="4"/>
      <c r="X1788" s="4"/>
      <c r="Y1788" s="4"/>
    </row>
    <row r="1789" spans="5:25">
      <c r="E1789"/>
      <c r="G1789"/>
      <c r="H1789"/>
      <c r="I1789"/>
      <c r="K1789"/>
      <c r="O1789"/>
      <c r="R1789"/>
      <c r="W1789" s="4"/>
      <c r="X1789" s="4"/>
      <c r="Y1789" s="4"/>
    </row>
    <row r="1790" spans="5:25">
      <c r="E1790"/>
      <c r="G1790"/>
      <c r="H1790"/>
      <c r="I1790"/>
      <c r="K1790"/>
      <c r="O1790"/>
      <c r="R1790"/>
      <c r="W1790" s="4"/>
      <c r="X1790" s="4"/>
      <c r="Y1790" s="4"/>
    </row>
    <row r="1791" spans="5:25">
      <c r="E1791"/>
      <c r="G1791"/>
      <c r="H1791"/>
      <c r="I1791"/>
      <c r="K1791"/>
      <c r="O1791"/>
      <c r="R1791"/>
      <c r="W1791" s="4"/>
      <c r="X1791" s="4"/>
      <c r="Y1791" s="4"/>
    </row>
    <row r="1792" spans="5:25">
      <c r="E1792"/>
      <c r="G1792"/>
      <c r="H1792"/>
      <c r="I1792"/>
      <c r="K1792"/>
      <c r="O1792"/>
      <c r="R1792"/>
      <c r="W1792" s="4"/>
      <c r="X1792" s="4"/>
      <c r="Y1792" s="4"/>
    </row>
    <row r="1793" spans="5:25">
      <c r="E1793"/>
      <c r="G1793"/>
      <c r="H1793"/>
      <c r="I1793"/>
      <c r="K1793"/>
      <c r="O1793"/>
      <c r="R1793"/>
      <c r="W1793" s="4"/>
      <c r="X1793" s="4"/>
      <c r="Y1793" s="4"/>
    </row>
    <row r="1794" spans="5:25">
      <c r="E1794"/>
      <c r="G1794"/>
      <c r="H1794"/>
      <c r="I1794"/>
      <c r="K1794"/>
      <c r="O1794"/>
      <c r="R1794"/>
      <c r="W1794" s="4"/>
      <c r="X1794" s="4"/>
      <c r="Y1794" s="4"/>
    </row>
    <row r="1795" spans="5:25">
      <c r="E1795"/>
      <c r="G1795"/>
      <c r="H1795"/>
      <c r="I1795"/>
      <c r="K1795"/>
      <c r="O1795"/>
      <c r="R1795"/>
      <c r="W1795" s="4"/>
      <c r="X1795" s="4"/>
      <c r="Y1795" s="4"/>
    </row>
    <row r="1796" spans="5:25">
      <c r="E1796"/>
      <c r="G1796"/>
      <c r="H1796"/>
      <c r="I1796"/>
      <c r="K1796"/>
      <c r="O1796"/>
      <c r="R1796"/>
      <c r="W1796" s="4"/>
      <c r="X1796" s="4"/>
      <c r="Y1796" s="4"/>
    </row>
    <row r="1797" spans="5:25">
      <c r="E1797"/>
      <c r="G1797"/>
      <c r="H1797"/>
      <c r="I1797"/>
      <c r="K1797"/>
      <c r="O1797"/>
      <c r="R1797"/>
      <c r="W1797" s="4"/>
      <c r="X1797" s="4"/>
      <c r="Y1797" s="4"/>
    </row>
    <row r="1798" spans="5:25">
      <c r="E1798"/>
      <c r="G1798"/>
      <c r="H1798"/>
      <c r="I1798"/>
      <c r="K1798"/>
      <c r="O1798"/>
      <c r="R1798"/>
      <c r="W1798" s="4"/>
      <c r="X1798" s="4"/>
      <c r="Y1798" s="4"/>
    </row>
    <row r="1799" spans="5:25">
      <c r="E1799"/>
      <c r="G1799"/>
      <c r="H1799"/>
      <c r="I1799"/>
      <c r="K1799"/>
      <c r="O1799"/>
      <c r="R1799"/>
      <c r="W1799" s="4"/>
      <c r="X1799" s="4"/>
      <c r="Y1799" s="4"/>
    </row>
    <row r="1800" spans="5:25">
      <c r="E1800"/>
      <c r="G1800"/>
      <c r="H1800"/>
      <c r="I1800"/>
      <c r="K1800"/>
      <c r="O1800"/>
      <c r="R1800"/>
      <c r="W1800" s="4"/>
      <c r="X1800" s="4"/>
      <c r="Y1800" s="4"/>
    </row>
    <row r="1801" spans="5:25">
      <c r="E1801"/>
      <c r="G1801"/>
      <c r="H1801"/>
      <c r="I1801"/>
      <c r="K1801"/>
      <c r="O1801"/>
      <c r="R1801"/>
      <c r="W1801" s="4"/>
      <c r="X1801" s="4"/>
      <c r="Y1801" s="4"/>
    </row>
    <row r="1802" spans="5:25">
      <c r="E1802"/>
      <c r="G1802"/>
      <c r="H1802"/>
      <c r="I1802"/>
      <c r="K1802"/>
      <c r="O1802"/>
      <c r="R1802"/>
      <c r="W1802" s="4"/>
      <c r="X1802" s="4"/>
      <c r="Y1802" s="4"/>
    </row>
    <row r="1803" spans="5:25">
      <c r="E1803"/>
      <c r="G1803"/>
      <c r="H1803"/>
      <c r="I1803"/>
      <c r="K1803"/>
      <c r="O1803"/>
      <c r="R1803"/>
      <c r="W1803" s="4"/>
      <c r="X1803" s="4"/>
      <c r="Y1803" s="4"/>
    </row>
    <row r="1804" spans="5:25">
      <c r="E1804"/>
      <c r="G1804"/>
      <c r="H1804"/>
      <c r="I1804"/>
      <c r="K1804"/>
      <c r="O1804"/>
      <c r="R1804"/>
      <c r="W1804" s="4"/>
      <c r="X1804" s="4"/>
      <c r="Y1804" s="4"/>
    </row>
    <row r="1805" spans="5:25">
      <c r="E1805"/>
      <c r="G1805"/>
      <c r="H1805"/>
      <c r="I1805"/>
      <c r="K1805"/>
      <c r="O1805"/>
      <c r="R1805"/>
      <c r="W1805" s="4"/>
      <c r="X1805" s="4"/>
      <c r="Y1805" s="4"/>
    </row>
    <row r="1806" spans="5:25">
      <c r="E1806"/>
      <c r="G1806"/>
      <c r="H1806"/>
      <c r="I1806"/>
      <c r="K1806"/>
      <c r="O1806"/>
      <c r="R1806"/>
      <c r="W1806" s="4"/>
      <c r="X1806" s="4"/>
      <c r="Y1806" s="4"/>
    </row>
    <row r="1807" spans="5:25">
      <c r="E1807"/>
      <c r="G1807"/>
      <c r="H1807"/>
      <c r="I1807"/>
      <c r="K1807"/>
      <c r="O1807"/>
      <c r="R1807"/>
      <c r="W1807" s="4"/>
      <c r="X1807" s="4"/>
      <c r="Y1807" s="4"/>
    </row>
    <row r="1808" spans="5:25">
      <c r="E1808"/>
      <c r="G1808"/>
      <c r="H1808"/>
      <c r="I1808"/>
      <c r="K1808"/>
      <c r="O1808"/>
      <c r="R1808"/>
      <c r="W1808" s="4"/>
      <c r="X1808" s="4"/>
      <c r="Y1808" s="4"/>
    </row>
    <row r="1809" spans="5:25">
      <c r="E1809"/>
      <c r="G1809"/>
      <c r="H1809"/>
      <c r="I1809"/>
      <c r="K1809"/>
      <c r="O1809"/>
      <c r="R1809"/>
      <c r="W1809" s="4"/>
      <c r="X1809" s="4"/>
      <c r="Y1809" s="4"/>
    </row>
    <row r="1810" spans="5:25">
      <c r="E1810"/>
      <c r="G1810"/>
      <c r="H1810"/>
      <c r="I1810"/>
      <c r="K1810"/>
      <c r="O1810"/>
      <c r="R1810"/>
      <c r="W1810" s="4"/>
      <c r="X1810" s="4"/>
      <c r="Y1810" s="4"/>
    </row>
    <row r="1811" spans="5:25">
      <c r="E1811"/>
      <c r="G1811"/>
      <c r="H1811"/>
      <c r="I1811"/>
      <c r="K1811"/>
      <c r="O1811"/>
      <c r="R1811"/>
      <c r="W1811" s="4"/>
      <c r="X1811" s="4"/>
      <c r="Y1811" s="4"/>
    </row>
    <row r="1812" spans="5:25">
      <c r="E1812"/>
      <c r="G1812"/>
      <c r="H1812"/>
      <c r="I1812"/>
      <c r="K1812"/>
      <c r="O1812"/>
      <c r="R1812"/>
      <c r="W1812" s="4"/>
      <c r="X1812" s="4"/>
      <c r="Y1812" s="4"/>
    </row>
    <row r="1813" spans="5:25">
      <c r="E1813"/>
      <c r="G1813"/>
      <c r="H1813"/>
      <c r="I1813"/>
      <c r="K1813"/>
      <c r="O1813"/>
      <c r="R1813"/>
      <c r="W1813" s="4"/>
      <c r="X1813" s="4"/>
      <c r="Y1813" s="4"/>
    </row>
    <row r="1814" spans="5:25">
      <c r="E1814"/>
      <c r="G1814"/>
      <c r="H1814"/>
      <c r="I1814"/>
      <c r="K1814"/>
      <c r="O1814"/>
      <c r="R1814"/>
      <c r="W1814" s="4"/>
      <c r="X1814" s="4"/>
      <c r="Y1814" s="4"/>
    </row>
    <row r="1815" spans="5:25">
      <c r="E1815"/>
      <c r="G1815"/>
      <c r="H1815"/>
      <c r="I1815"/>
      <c r="K1815"/>
      <c r="O1815"/>
      <c r="R1815"/>
      <c r="W1815" s="4"/>
      <c r="X1815" s="4"/>
      <c r="Y1815" s="4"/>
    </row>
    <row r="1816" spans="5:25">
      <c r="E1816"/>
      <c r="G1816"/>
      <c r="H1816"/>
      <c r="I1816"/>
      <c r="K1816"/>
      <c r="O1816"/>
      <c r="R1816"/>
      <c r="W1816" s="4"/>
      <c r="X1816" s="4"/>
      <c r="Y1816" s="4"/>
    </row>
    <row r="1817" spans="5:25">
      <c r="E1817"/>
      <c r="G1817"/>
      <c r="H1817"/>
      <c r="I1817"/>
      <c r="K1817"/>
      <c r="O1817"/>
      <c r="R1817"/>
      <c r="W1817" s="4"/>
      <c r="X1817" s="4"/>
      <c r="Y1817" s="4"/>
    </row>
    <row r="1818" spans="5:25">
      <c r="E1818"/>
      <c r="G1818"/>
      <c r="H1818"/>
      <c r="I1818"/>
      <c r="K1818"/>
      <c r="O1818"/>
      <c r="R1818"/>
      <c r="W1818" s="4"/>
      <c r="X1818" s="4"/>
      <c r="Y1818" s="4"/>
    </row>
    <row r="1819" spans="5:25">
      <c r="E1819"/>
      <c r="G1819"/>
      <c r="H1819"/>
      <c r="I1819"/>
      <c r="K1819"/>
      <c r="O1819"/>
      <c r="R1819"/>
      <c r="W1819" s="4"/>
      <c r="X1819" s="4"/>
      <c r="Y1819" s="4"/>
    </row>
    <row r="1820" spans="5:25">
      <c r="E1820"/>
      <c r="G1820"/>
      <c r="H1820"/>
      <c r="I1820"/>
      <c r="K1820"/>
      <c r="O1820"/>
      <c r="R1820"/>
      <c r="W1820" s="4"/>
      <c r="X1820" s="4"/>
      <c r="Y1820" s="4"/>
    </row>
    <row r="1821" spans="5:25">
      <c r="E1821"/>
      <c r="G1821"/>
      <c r="H1821"/>
      <c r="I1821"/>
      <c r="K1821"/>
      <c r="O1821"/>
      <c r="R1821"/>
      <c r="W1821" s="4"/>
      <c r="X1821" s="4"/>
      <c r="Y1821" s="4"/>
    </row>
    <row r="1822" spans="5:25">
      <c r="E1822"/>
      <c r="G1822"/>
      <c r="H1822"/>
      <c r="I1822"/>
      <c r="K1822"/>
      <c r="O1822"/>
      <c r="R1822"/>
      <c r="W1822" s="4"/>
      <c r="X1822" s="4"/>
      <c r="Y1822" s="4"/>
    </row>
    <row r="1823" spans="5:25">
      <c r="E1823"/>
      <c r="G1823"/>
      <c r="H1823"/>
      <c r="I1823"/>
      <c r="K1823"/>
      <c r="O1823"/>
      <c r="R1823"/>
      <c r="W1823" s="4"/>
      <c r="X1823" s="4"/>
      <c r="Y1823" s="4"/>
    </row>
    <row r="1824" spans="5:25">
      <c r="E1824"/>
      <c r="G1824"/>
      <c r="H1824"/>
      <c r="I1824"/>
      <c r="K1824"/>
      <c r="O1824"/>
      <c r="R1824"/>
      <c r="W1824" s="4"/>
      <c r="X1824" s="4"/>
      <c r="Y1824" s="4"/>
    </row>
    <row r="1825" spans="5:25">
      <c r="E1825"/>
      <c r="G1825"/>
      <c r="H1825"/>
      <c r="I1825"/>
      <c r="K1825"/>
      <c r="O1825"/>
      <c r="R1825"/>
      <c r="W1825" s="4"/>
      <c r="X1825" s="4"/>
      <c r="Y1825" s="4"/>
    </row>
    <row r="1826" spans="5:25">
      <c r="E1826"/>
      <c r="G1826"/>
      <c r="H1826"/>
      <c r="I1826"/>
      <c r="K1826"/>
      <c r="O1826"/>
      <c r="R1826"/>
      <c r="W1826" s="4"/>
      <c r="X1826" s="4"/>
      <c r="Y1826" s="4"/>
    </row>
    <row r="1827" spans="5:25">
      <c r="E1827"/>
      <c r="G1827"/>
      <c r="H1827"/>
      <c r="I1827"/>
      <c r="K1827"/>
      <c r="O1827"/>
      <c r="R1827"/>
      <c r="W1827" s="4"/>
      <c r="X1827" s="4"/>
      <c r="Y1827" s="4"/>
    </row>
    <row r="1828" spans="5:25">
      <c r="E1828"/>
      <c r="G1828"/>
      <c r="H1828"/>
      <c r="I1828"/>
      <c r="K1828"/>
      <c r="O1828"/>
      <c r="R1828"/>
      <c r="W1828" s="4"/>
      <c r="X1828" s="4"/>
      <c r="Y1828" s="4"/>
    </row>
    <row r="1829" spans="5:25">
      <c r="E1829"/>
      <c r="G1829"/>
      <c r="H1829"/>
      <c r="I1829"/>
      <c r="K1829"/>
      <c r="O1829"/>
      <c r="R1829"/>
      <c r="W1829" s="4"/>
      <c r="X1829" s="4"/>
      <c r="Y1829" s="4"/>
    </row>
    <row r="1830" spans="5:25">
      <c r="E1830"/>
      <c r="G1830"/>
      <c r="H1830"/>
      <c r="I1830"/>
      <c r="K1830"/>
      <c r="O1830"/>
      <c r="R1830"/>
      <c r="W1830" s="4"/>
      <c r="X1830" s="4"/>
      <c r="Y1830" s="4"/>
    </row>
    <row r="1831" spans="5:25">
      <c r="E1831"/>
      <c r="G1831"/>
      <c r="H1831"/>
      <c r="I1831"/>
      <c r="K1831"/>
      <c r="O1831"/>
      <c r="R1831"/>
      <c r="W1831" s="4"/>
      <c r="X1831" s="4"/>
      <c r="Y1831" s="4"/>
    </row>
    <row r="1832" spans="5:25">
      <c r="E1832"/>
      <c r="G1832"/>
      <c r="H1832"/>
      <c r="I1832"/>
      <c r="K1832"/>
      <c r="O1832"/>
      <c r="R1832"/>
      <c r="W1832" s="4"/>
      <c r="X1832" s="4"/>
      <c r="Y1832" s="4"/>
    </row>
    <row r="1833" spans="5:25">
      <c r="E1833"/>
      <c r="G1833"/>
      <c r="H1833"/>
      <c r="I1833"/>
      <c r="K1833"/>
      <c r="O1833"/>
      <c r="R1833"/>
      <c r="W1833" s="4"/>
      <c r="X1833" s="4"/>
      <c r="Y1833" s="4"/>
    </row>
    <row r="1834" spans="5:25">
      <c r="E1834"/>
      <c r="G1834"/>
      <c r="H1834"/>
      <c r="I1834"/>
      <c r="K1834"/>
      <c r="O1834"/>
      <c r="R1834"/>
      <c r="W1834" s="4"/>
      <c r="X1834" s="4"/>
      <c r="Y1834" s="4"/>
    </row>
    <row r="1835" spans="5:25">
      <c r="E1835"/>
      <c r="G1835"/>
      <c r="H1835"/>
      <c r="I1835"/>
      <c r="K1835"/>
      <c r="O1835"/>
      <c r="R1835"/>
      <c r="W1835" s="4"/>
      <c r="X1835" s="4"/>
      <c r="Y1835" s="4"/>
    </row>
    <row r="1836" spans="5:25">
      <c r="E1836"/>
      <c r="G1836"/>
      <c r="H1836"/>
      <c r="I1836"/>
      <c r="K1836"/>
      <c r="O1836"/>
      <c r="R1836"/>
      <c r="W1836" s="4"/>
      <c r="X1836" s="4"/>
      <c r="Y1836" s="4"/>
    </row>
    <row r="1837" spans="5:25">
      <c r="E1837"/>
      <c r="G1837"/>
      <c r="H1837"/>
      <c r="I1837"/>
      <c r="K1837"/>
      <c r="O1837"/>
      <c r="R1837"/>
      <c r="W1837" s="4"/>
      <c r="X1837" s="4"/>
      <c r="Y1837" s="4"/>
    </row>
    <row r="1838" spans="5:25">
      <c r="E1838"/>
      <c r="G1838"/>
      <c r="H1838"/>
      <c r="I1838"/>
      <c r="K1838"/>
      <c r="O1838"/>
      <c r="R1838"/>
      <c r="W1838" s="4"/>
      <c r="X1838" s="4"/>
      <c r="Y1838" s="4"/>
    </row>
    <row r="1839" spans="5:25">
      <c r="E1839"/>
      <c r="G1839"/>
      <c r="H1839"/>
      <c r="I1839"/>
      <c r="K1839"/>
      <c r="O1839"/>
      <c r="R1839"/>
      <c r="W1839" s="4"/>
      <c r="X1839" s="4"/>
      <c r="Y1839" s="4"/>
    </row>
    <row r="1840" spans="5:25">
      <c r="E1840"/>
      <c r="G1840"/>
      <c r="H1840"/>
      <c r="I1840"/>
      <c r="K1840"/>
      <c r="O1840"/>
      <c r="R1840"/>
      <c r="W1840" s="4"/>
      <c r="X1840" s="4"/>
      <c r="Y1840" s="4"/>
    </row>
    <row r="1841" spans="5:25">
      <c r="E1841"/>
      <c r="G1841"/>
      <c r="H1841"/>
      <c r="I1841"/>
      <c r="K1841"/>
      <c r="O1841"/>
      <c r="R1841"/>
      <c r="W1841" s="4"/>
      <c r="X1841" s="4"/>
      <c r="Y1841" s="4"/>
    </row>
    <row r="1842" spans="5:25">
      <c r="E1842"/>
      <c r="G1842"/>
      <c r="H1842"/>
      <c r="I1842"/>
      <c r="K1842"/>
      <c r="O1842"/>
      <c r="R1842"/>
      <c r="W1842" s="4"/>
      <c r="X1842" s="4"/>
      <c r="Y1842" s="4"/>
    </row>
    <row r="1843" spans="5:25">
      <c r="E1843"/>
      <c r="G1843"/>
      <c r="H1843"/>
      <c r="I1843"/>
      <c r="K1843"/>
      <c r="O1843"/>
      <c r="R1843"/>
      <c r="W1843" s="4"/>
      <c r="X1843" s="4"/>
      <c r="Y1843" s="4"/>
    </row>
    <row r="1844" spans="5:25">
      <c r="E1844"/>
      <c r="G1844"/>
      <c r="H1844"/>
      <c r="I1844"/>
      <c r="K1844"/>
      <c r="O1844"/>
      <c r="R1844"/>
      <c r="W1844" s="4"/>
      <c r="X1844" s="4"/>
      <c r="Y1844" s="4"/>
    </row>
    <row r="1845" spans="5:25">
      <c r="E1845"/>
      <c r="G1845"/>
      <c r="H1845"/>
      <c r="I1845"/>
      <c r="K1845"/>
      <c r="O1845"/>
      <c r="R1845"/>
      <c r="W1845" s="4"/>
      <c r="X1845" s="4"/>
      <c r="Y1845" s="4"/>
    </row>
    <row r="1846" spans="5:25">
      <c r="E1846"/>
      <c r="G1846"/>
      <c r="H1846"/>
      <c r="I1846"/>
      <c r="K1846"/>
      <c r="O1846"/>
      <c r="R1846"/>
      <c r="W1846" s="4"/>
      <c r="X1846" s="4"/>
      <c r="Y1846" s="4"/>
    </row>
    <row r="1847" spans="5:25">
      <c r="E1847"/>
      <c r="G1847"/>
      <c r="H1847"/>
      <c r="I1847"/>
      <c r="K1847"/>
      <c r="O1847"/>
      <c r="R1847"/>
      <c r="W1847" s="4"/>
      <c r="X1847" s="4"/>
      <c r="Y1847" s="4"/>
    </row>
    <row r="1848" spans="5:25">
      <c r="E1848"/>
      <c r="G1848"/>
      <c r="H1848"/>
      <c r="I1848"/>
      <c r="K1848"/>
      <c r="O1848"/>
      <c r="R1848"/>
      <c r="W1848" s="4"/>
      <c r="X1848" s="4"/>
      <c r="Y1848" s="4"/>
    </row>
    <row r="1849" spans="5:25">
      <c r="E1849"/>
      <c r="G1849"/>
      <c r="H1849"/>
      <c r="I1849"/>
      <c r="K1849"/>
      <c r="O1849"/>
      <c r="R1849"/>
      <c r="W1849" s="4"/>
      <c r="X1849" s="4"/>
      <c r="Y1849" s="4"/>
    </row>
    <row r="1850" spans="5:25">
      <c r="E1850"/>
      <c r="G1850"/>
      <c r="H1850"/>
      <c r="I1850"/>
      <c r="K1850"/>
      <c r="O1850"/>
      <c r="R1850"/>
      <c r="W1850" s="4"/>
      <c r="X1850" s="4"/>
      <c r="Y1850" s="4"/>
    </row>
    <row r="1851" spans="5:25">
      <c r="E1851"/>
      <c r="G1851"/>
      <c r="H1851"/>
      <c r="I1851"/>
      <c r="K1851"/>
      <c r="O1851"/>
      <c r="R1851"/>
      <c r="W1851" s="4"/>
      <c r="X1851" s="4"/>
      <c r="Y1851" s="4"/>
    </row>
    <row r="1852" spans="5:25">
      <c r="E1852"/>
      <c r="G1852"/>
      <c r="H1852"/>
      <c r="I1852"/>
      <c r="K1852"/>
      <c r="O1852"/>
      <c r="R1852"/>
      <c r="W1852" s="4"/>
      <c r="X1852" s="4"/>
      <c r="Y1852" s="4"/>
    </row>
    <row r="1853" spans="5:25">
      <c r="E1853"/>
      <c r="G1853"/>
      <c r="H1853"/>
      <c r="I1853"/>
      <c r="K1853"/>
      <c r="O1853"/>
      <c r="R1853"/>
      <c r="W1853" s="4"/>
      <c r="X1853" s="4"/>
      <c r="Y1853" s="4"/>
    </row>
    <row r="1854" spans="5:25">
      <c r="E1854"/>
      <c r="G1854"/>
      <c r="H1854"/>
      <c r="I1854"/>
      <c r="K1854"/>
      <c r="O1854"/>
      <c r="R1854"/>
      <c r="W1854" s="4"/>
      <c r="X1854" s="4"/>
      <c r="Y1854" s="4"/>
    </row>
    <row r="1855" spans="5:25">
      <c r="E1855"/>
      <c r="G1855"/>
      <c r="H1855"/>
      <c r="I1855"/>
      <c r="K1855"/>
      <c r="O1855"/>
      <c r="R1855"/>
      <c r="W1855" s="4"/>
      <c r="X1855" s="4"/>
      <c r="Y1855" s="4"/>
    </row>
    <row r="1856" spans="5:25">
      <c r="E1856"/>
      <c r="G1856"/>
      <c r="H1856"/>
      <c r="I1856"/>
      <c r="K1856"/>
      <c r="O1856"/>
      <c r="R1856"/>
      <c r="W1856" s="4"/>
      <c r="X1856" s="4"/>
      <c r="Y1856" s="4"/>
    </row>
    <row r="1857" spans="5:25">
      <c r="E1857"/>
      <c r="G1857"/>
      <c r="H1857"/>
      <c r="I1857"/>
      <c r="K1857"/>
      <c r="O1857"/>
      <c r="R1857"/>
      <c r="W1857" s="4"/>
      <c r="X1857" s="4"/>
      <c r="Y1857" s="4"/>
    </row>
    <row r="1858" spans="5:25">
      <c r="E1858"/>
      <c r="G1858"/>
      <c r="H1858"/>
      <c r="I1858"/>
      <c r="K1858"/>
      <c r="O1858"/>
      <c r="R1858"/>
      <c r="W1858" s="4"/>
      <c r="X1858" s="4"/>
      <c r="Y1858" s="4"/>
    </row>
    <row r="1859" spans="5:25">
      <c r="E1859"/>
      <c r="G1859"/>
      <c r="H1859"/>
      <c r="I1859"/>
      <c r="K1859"/>
      <c r="O1859"/>
      <c r="R1859"/>
      <c r="W1859" s="4"/>
      <c r="X1859" s="4"/>
      <c r="Y1859" s="4"/>
    </row>
    <row r="1860" spans="5:25">
      <c r="E1860"/>
      <c r="G1860"/>
      <c r="H1860"/>
      <c r="I1860"/>
      <c r="K1860"/>
      <c r="O1860"/>
      <c r="R1860"/>
      <c r="W1860" s="4"/>
      <c r="X1860" s="4"/>
      <c r="Y1860" s="4"/>
    </row>
    <row r="1861" spans="5:25">
      <c r="E1861"/>
      <c r="G1861"/>
      <c r="H1861"/>
      <c r="I1861"/>
      <c r="K1861"/>
      <c r="O1861"/>
      <c r="R1861"/>
      <c r="W1861" s="4"/>
      <c r="X1861" s="4"/>
      <c r="Y1861" s="4"/>
    </row>
    <row r="1862" spans="5:25">
      <c r="E1862"/>
      <c r="G1862"/>
      <c r="H1862"/>
      <c r="I1862"/>
      <c r="K1862"/>
      <c r="O1862"/>
      <c r="R1862"/>
      <c r="W1862" s="4"/>
      <c r="X1862" s="4"/>
      <c r="Y1862" s="4"/>
    </row>
    <row r="1863" spans="5:25">
      <c r="E1863"/>
      <c r="G1863"/>
      <c r="H1863"/>
      <c r="I1863"/>
      <c r="K1863"/>
      <c r="O1863"/>
      <c r="R1863"/>
      <c r="W1863" s="4"/>
      <c r="X1863" s="4"/>
      <c r="Y1863" s="4"/>
    </row>
    <row r="1864" spans="5:25">
      <c r="E1864"/>
      <c r="G1864"/>
      <c r="H1864"/>
      <c r="I1864"/>
      <c r="K1864"/>
      <c r="O1864"/>
      <c r="R1864"/>
      <c r="W1864" s="4"/>
      <c r="X1864" s="4"/>
      <c r="Y1864" s="4"/>
    </row>
    <row r="1865" spans="5:25">
      <c r="E1865"/>
      <c r="G1865"/>
      <c r="H1865"/>
      <c r="I1865"/>
      <c r="K1865"/>
      <c r="O1865"/>
      <c r="R1865"/>
      <c r="W1865" s="4"/>
      <c r="X1865" s="4"/>
      <c r="Y1865" s="4"/>
    </row>
    <row r="1866" spans="5:25">
      <c r="E1866"/>
      <c r="G1866"/>
      <c r="H1866"/>
      <c r="I1866"/>
      <c r="K1866"/>
      <c r="O1866"/>
      <c r="R1866"/>
      <c r="W1866" s="4"/>
      <c r="X1866" s="4"/>
      <c r="Y1866" s="4"/>
    </row>
    <row r="1867" spans="5:25">
      <c r="E1867"/>
      <c r="G1867"/>
      <c r="H1867"/>
      <c r="I1867"/>
      <c r="K1867"/>
      <c r="O1867"/>
      <c r="R1867"/>
      <c r="W1867" s="4"/>
      <c r="X1867" s="4"/>
      <c r="Y1867" s="4"/>
    </row>
    <row r="1868" spans="5:25">
      <c r="E1868"/>
      <c r="G1868"/>
      <c r="H1868"/>
      <c r="I1868"/>
      <c r="K1868"/>
      <c r="O1868"/>
      <c r="R1868"/>
      <c r="W1868" s="4"/>
      <c r="X1868" s="4"/>
      <c r="Y1868" s="4"/>
    </row>
    <row r="1869" spans="5:25">
      <c r="E1869"/>
      <c r="G1869"/>
      <c r="H1869"/>
      <c r="I1869"/>
      <c r="K1869"/>
      <c r="O1869"/>
      <c r="R1869"/>
      <c r="W1869" s="4"/>
      <c r="X1869" s="4"/>
      <c r="Y1869" s="4"/>
    </row>
    <row r="1870" spans="5:25">
      <c r="E1870"/>
      <c r="G1870"/>
      <c r="H1870"/>
      <c r="I1870"/>
      <c r="K1870"/>
      <c r="O1870"/>
      <c r="R1870"/>
      <c r="W1870" s="4"/>
      <c r="X1870" s="4"/>
      <c r="Y1870" s="4"/>
    </row>
    <row r="1871" spans="5:25">
      <c r="E1871"/>
      <c r="G1871"/>
      <c r="H1871"/>
      <c r="I1871"/>
      <c r="K1871"/>
      <c r="O1871"/>
      <c r="R1871"/>
      <c r="W1871" s="4"/>
      <c r="X1871" s="4"/>
      <c r="Y1871" s="4"/>
    </row>
    <row r="1872" spans="5:25">
      <c r="E1872"/>
      <c r="G1872"/>
      <c r="H1872"/>
      <c r="I1872"/>
      <c r="K1872"/>
      <c r="O1872"/>
      <c r="R1872"/>
      <c r="W1872" s="4"/>
      <c r="X1872" s="4"/>
      <c r="Y1872" s="4"/>
    </row>
    <row r="1873" spans="5:25">
      <c r="E1873"/>
      <c r="G1873"/>
      <c r="H1873"/>
      <c r="I1873"/>
      <c r="K1873"/>
      <c r="O1873"/>
      <c r="R1873"/>
      <c r="W1873" s="4"/>
      <c r="X1873" s="4"/>
      <c r="Y1873" s="4"/>
    </row>
    <row r="1874" spans="5:25">
      <c r="E1874"/>
      <c r="G1874"/>
      <c r="H1874"/>
      <c r="I1874"/>
      <c r="K1874"/>
      <c r="O1874"/>
      <c r="R1874"/>
      <c r="W1874" s="4"/>
      <c r="X1874" s="4"/>
      <c r="Y1874" s="4"/>
    </row>
    <row r="1875" spans="5:25">
      <c r="E1875"/>
      <c r="G1875"/>
      <c r="H1875"/>
      <c r="I1875"/>
      <c r="K1875"/>
      <c r="O1875"/>
      <c r="R1875"/>
      <c r="W1875" s="4"/>
      <c r="X1875" s="4"/>
      <c r="Y1875" s="4"/>
    </row>
    <row r="1876" spans="5:25">
      <c r="E1876"/>
      <c r="G1876"/>
      <c r="H1876"/>
      <c r="I1876"/>
      <c r="K1876"/>
      <c r="O1876"/>
      <c r="R1876"/>
      <c r="W1876" s="4"/>
      <c r="X1876" s="4"/>
      <c r="Y1876" s="4"/>
    </row>
    <row r="1877" spans="5:25">
      <c r="E1877"/>
      <c r="G1877"/>
      <c r="H1877"/>
      <c r="I1877"/>
      <c r="K1877"/>
      <c r="O1877"/>
      <c r="R1877"/>
      <c r="W1877" s="4"/>
      <c r="X1877" s="4"/>
      <c r="Y1877" s="4"/>
    </row>
    <row r="1878" spans="5:25">
      <c r="E1878"/>
      <c r="G1878"/>
      <c r="H1878"/>
      <c r="I1878"/>
      <c r="K1878"/>
      <c r="O1878"/>
      <c r="R1878"/>
      <c r="W1878" s="4"/>
      <c r="X1878" s="4"/>
      <c r="Y1878" s="4"/>
    </row>
    <row r="1879" spans="5:25">
      <c r="E1879"/>
      <c r="G1879"/>
      <c r="H1879"/>
      <c r="I1879"/>
      <c r="K1879"/>
      <c r="O1879"/>
      <c r="R1879"/>
      <c r="W1879" s="4"/>
      <c r="X1879" s="4"/>
      <c r="Y1879" s="4"/>
    </row>
    <row r="1880" spans="5:25">
      <c r="E1880"/>
      <c r="G1880"/>
      <c r="H1880"/>
      <c r="I1880"/>
      <c r="K1880"/>
      <c r="O1880"/>
      <c r="R1880"/>
      <c r="W1880" s="4"/>
      <c r="X1880" s="4"/>
      <c r="Y1880" s="4"/>
    </row>
    <row r="1881" spans="5:25">
      <c r="E1881"/>
      <c r="G1881"/>
      <c r="H1881"/>
      <c r="I1881"/>
      <c r="K1881"/>
      <c r="O1881"/>
      <c r="R1881"/>
      <c r="W1881" s="4"/>
      <c r="X1881" s="4"/>
      <c r="Y1881" s="4"/>
    </row>
    <row r="1882" spans="5:25">
      <c r="E1882"/>
      <c r="G1882"/>
      <c r="H1882"/>
      <c r="I1882"/>
      <c r="K1882"/>
      <c r="O1882"/>
      <c r="R1882"/>
      <c r="W1882" s="4"/>
      <c r="X1882" s="4"/>
      <c r="Y1882" s="4"/>
    </row>
    <row r="1883" spans="5:25">
      <c r="E1883"/>
      <c r="G1883"/>
      <c r="H1883"/>
      <c r="I1883"/>
      <c r="K1883"/>
      <c r="O1883"/>
      <c r="R1883"/>
      <c r="W1883" s="4"/>
      <c r="X1883" s="4"/>
      <c r="Y1883" s="4"/>
    </row>
    <row r="1884" spans="5:25">
      <c r="E1884"/>
      <c r="G1884"/>
      <c r="H1884"/>
      <c r="I1884"/>
      <c r="K1884"/>
      <c r="O1884"/>
      <c r="R1884"/>
      <c r="W1884" s="4"/>
      <c r="X1884" s="4"/>
      <c r="Y1884" s="4"/>
    </row>
    <row r="1885" spans="5:25">
      <c r="E1885"/>
      <c r="G1885"/>
      <c r="H1885"/>
      <c r="I1885"/>
      <c r="K1885"/>
      <c r="O1885"/>
      <c r="R1885"/>
      <c r="W1885" s="4"/>
      <c r="X1885" s="4"/>
      <c r="Y1885" s="4"/>
    </row>
    <row r="1886" spans="5:25">
      <c r="E1886"/>
      <c r="G1886"/>
      <c r="H1886"/>
      <c r="I1886"/>
      <c r="K1886"/>
      <c r="O1886"/>
      <c r="R1886"/>
      <c r="W1886" s="4"/>
      <c r="X1886" s="4"/>
      <c r="Y1886" s="4"/>
    </row>
    <row r="1887" spans="5:25">
      <c r="E1887"/>
      <c r="G1887"/>
      <c r="H1887"/>
      <c r="I1887"/>
      <c r="K1887"/>
      <c r="O1887"/>
      <c r="R1887"/>
      <c r="W1887" s="4"/>
      <c r="X1887" s="4"/>
      <c r="Y1887" s="4"/>
    </row>
    <row r="1888" spans="5:25">
      <c r="E1888"/>
      <c r="G1888"/>
      <c r="H1888"/>
      <c r="I1888"/>
      <c r="K1888"/>
      <c r="O1888"/>
      <c r="R1888"/>
      <c r="W1888" s="4"/>
      <c r="X1888" s="4"/>
      <c r="Y1888" s="4"/>
    </row>
    <row r="1889" spans="5:25">
      <c r="E1889"/>
      <c r="G1889"/>
      <c r="H1889"/>
      <c r="I1889"/>
      <c r="K1889"/>
      <c r="O1889"/>
      <c r="R1889"/>
      <c r="W1889" s="4"/>
      <c r="X1889" s="4"/>
      <c r="Y1889" s="4"/>
    </row>
    <row r="1890" spans="5:25">
      <c r="E1890"/>
      <c r="G1890"/>
      <c r="H1890"/>
      <c r="I1890"/>
      <c r="K1890"/>
      <c r="O1890"/>
      <c r="R1890"/>
      <c r="W1890" s="4"/>
      <c r="X1890" s="4"/>
      <c r="Y1890" s="4"/>
    </row>
    <row r="1891" spans="5:25">
      <c r="E1891"/>
      <c r="G1891"/>
      <c r="H1891"/>
      <c r="I1891"/>
      <c r="K1891"/>
      <c r="O1891"/>
      <c r="R1891"/>
      <c r="W1891" s="4"/>
      <c r="X1891" s="4"/>
      <c r="Y1891" s="4"/>
    </row>
    <row r="1892" spans="5:25">
      <c r="E1892"/>
      <c r="G1892"/>
      <c r="H1892"/>
      <c r="I1892"/>
      <c r="K1892"/>
      <c r="O1892"/>
      <c r="R1892"/>
      <c r="W1892" s="4"/>
      <c r="X1892" s="4"/>
      <c r="Y1892" s="4"/>
    </row>
    <row r="1893" spans="5:25">
      <c r="E1893"/>
      <c r="G1893"/>
      <c r="H1893"/>
      <c r="I1893"/>
      <c r="K1893"/>
      <c r="O1893"/>
      <c r="R1893"/>
      <c r="W1893" s="4"/>
      <c r="X1893" s="4"/>
      <c r="Y1893" s="4"/>
    </row>
    <row r="1894" spans="5:25">
      <c r="E1894"/>
      <c r="G1894"/>
      <c r="H1894"/>
      <c r="I1894"/>
      <c r="K1894"/>
      <c r="O1894"/>
      <c r="R1894"/>
      <c r="W1894" s="4"/>
      <c r="X1894" s="4"/>
      <c r="Y1894" s="4"/>
    </row>
    <row r="1895" spans="5:25">
      <c r="E1895"/>
      <c r="G1895"/>
      <c r="H1895"/>
      <c r="I1895"/>
      <c r="K1895"/>
      <c r="O1895"/>
      <c r="R1895"/>
      <c r="W1895" s="4"/>
      <c r="X1895" s="4"/>
      <c r="Y1895" s="4"/>
    </row>
    <row r="1896" spans="5:25">
      <c r="E1896"/>
      <c r="G1896"/>
      <c r="H1896"/>
      <c r="I1896"/>
      <c r="K1896"/>
      <c r="O1896"/>
      <c r="R1896"/>
      <c r="W1896" s="4"/>
      <c r="X1896" s="4"/>
      <c r="Y1896" s="4"/>
    </row>
    <row r="1897" spans="5:25">
      <c r="E1897"/>
      <c r="G1897"/>
      <c r="H1897"/>
      <c r="I1897"/>
      <c r="K1897"/>
      <c r="O1897"/>
      <c r="R1897"/>
      <c r="W1897" s="4"/>
      <c r="X1897" s="4"/>
      <c r="Y1897" s="4"/>
    </row>
    <row r="1898" spans="5:25">
      <c r="E1898"/>
      <c r="G1898"/>
      <c r="H1898"/>
      <c r="I1898"/>
      <c r="K1898"/>
      <c r="O1898"/>
      <c r="R1898"/>
      <c r="W1898" s="4"/>
      <c r="X1898" s="4"/>
      <c r="Y1898" s="4"/>
    </row>
    <row r="1899" spans="5:25">
      <c r="E1899"/>
      <c r="G1899"/>
      <c r="H1899"/>
      <c r="I1899"/>
      <c r="K1899"/>
      <c r="O1899"/>
      <c r="R1899"/>
      <c r="W1899" s="4"/>
      <c r="X1899" s="4"/>
      <c r="Y1899" s="4"/>
    </row>
    <row r="1900" spans="5:25">
      <c r="E1900"/>
      <c r="G1900"/>
      <c r="H1900"/>
      <c r="I1900"/>
      <c r="K1900"/>
      <c r="O1900"/>
      <c r="R1900"/>
      <c r="W1900" s="4"/>
      <c r="X1900" s="4"/>
      <c r="Y1900" s="4"/>
    </row>
    <row r="1901" spans="5:25">
      <c r="E1901"/>
      <c r="G1901"/>
      <c r="H1901"/>
      <c r="I1901"/>
      <c r="K1901"/>
      <c r="O1901"/>
      <c r="R1901"/>
      <c r="W1901" s="4"/>
      <c r="X1901" s="4"/>
      <c r="Y1901" s="4"/>
    </row>
    <row r="1902" spans="5:25">
      <c r="E1902"/>
      <c r="G1902"/>
      <c r="H1902"/>
      <c r="I1902"/>
      <c r="K1902"/>
      <c r="O1902"/>
      <c r="R1902"/>
      <c r="W1902" s="4"/>
      <c r="X1902" s="4"/>
      <c r="Y1902" s="4"/>
    </row>
    <row r="1903" spans="5:25">
      <c r="E1903"/>
      <c r="G1903"/>
      <c r="H1903"/>
      <c r="I1903"/>
      <c r="K1903"/>
      <c r="O1903"/>
      <c r="R1903"/>
      <c r="W1903" s="4"/>
      <c r="X1903" s="4"/>
      <c r="Y1903" s="4"/>
    </row>
    <row r="1904" spans="5:25">
      <c r="E1904"/>
      <c r="G1904"/>
      <c r="H1904"/>
      <c r="I1904"/>
      <c r="K1904"/>
      <c r="O1904"/>
      <c r="R1904"/>
      <c r="W1904" s="4"/>
      <c r="X1904" s="4"/>
      <c r="Y1904" s="4"/>
    </row>
    <row r="1905" spans="5:25">
      <c r="E1905"/>
      <c r="G1905"/>
      <c r="H1905"/>
      <c r="I1905"/>
      <c r="K1905"/>
      <c r="O1905"/>
      <c r="R1905"/>
      <c r="W1905" s="4"/>
      <c r="X1905" s="4"/>
      <c r="Y1905" s="4"/>
    </row>
    <row r="1906" spans="5:25">
      <c r="E1906"/>
      <c r="G1906"/>
      <c r="H1906"/>
      <c r="I1906"/>
      <c r="K1906"/>
      <c r="O1906"/>
      <c r="R1906"/>
      <c r="W1906" s="4"/>
      <c r="X1906" s="4"/>
      <c r="Y1906" s="4"/>
    </row>
    <row r="1907" spans="5:25">
      <c r="E1907"/>
      <c r="G1907"/>
      <c r="H1907"/>
      <c r="I1907"/>
      <c r="K1907"/>
      <c r="O1907"/>
      <c r="R1907"/>
      <c r="W1907" s="4"/>
      <c r="X1907" s="4"/>
      <c r="Y1907" s="4"/>
    </row>
    <row r="1908" spans="5:25">
      <c r="E1908"/>
      <c r="G1908"/>
      <c r="H1908"/>
      <c r="I1908"/>
      <c r="K1908"/>
      <c r="O1908"/>
      <c r="R1908"/>
      <c r="W1908" s="4"/>
      <c r="X1908" s="4"/>
      <c r="Y1908" s="4"/>
    </row>
    <row r="1909" spans="5:25">
      <c r="E1909"/>
      <c r="G1909"/>
      <c r="H1909"/>
      <c r="I1909"/>
      <c r="K1909"/>
      <c r="O1909"/>
      <c r="R1909"/>
      <c r="W1909" s="4"/>
      <c r="X1909" s="4"/>
      <c r="Y1909" s="4"/>
    </row>
    <row r="1910" spans="5:25">
      <c r="E1910"/>
      <c r="G1910"/>
      <c r="H1910"/>
      <c r="I1910"/>
      <c r="K1910"/>
      <c r="O1910"/>
      <c r="R1910"/>
      <c r="W1910" s="4"/>
      <c r="X1910" s="4"/>
      <c r="Y1910" s="4"/>
    </row>
    <row r="1911" spans="5:25">
      <c r="E1911"/>
      <c r="G1911"/>
      <c r="H1911"/>
      <c r="I1911"/>
      <c r="K1911"/>
      <c r="O1911"/>
      <c r="R1911"/>
      <c r="W1911" s="4"/>
      <c r="X1911" s="4"/>
      <c r="Y1911" s="4"/>
    </row>
    <row r="1912" spans="5:25">
      <c r="E1912"/>
      <c r="G1912"/>
      <c r="H1912"/>
      <c r="I1912"/>
      <c r="K1912"/>
      <c r="O1912"/>
      <c r="R1912"/>
      <c r="W1912" s="4"/>
      <c r="X1912" s="4"/>
      <c r="Y1912" s="4"/>
    </row>
    <row r="1913" spans="5:25">
      <c r="E1913"/>
      <c r="G1913"/>
      <c r="H1913"/>
      <c r="I1913"/>
      <c r="K1913"/>
      <c r="O1913"/>
      <c r="R1913"/>
      <c r="W1913" s="4"/>
      <c r="X1913" s="4"/>
      <c r="Y1913" s="4"/>
    </row>
    <row r="1914" spans="5:25">
      <c r="E1914"/>
      <c r="G1914"/>
      <c r="H1914"/>
      <c r="I1914"/>
      <c r="K1914"/>
      <c r="O1914"/>
      <c r="R1914"/>
      <c r="W1914" s="4"/>
      <c r="X1914" s="4"/>
      <c r="Y1914" s="4"/>
    </row>
    <row r="1915" spans="5:25">
      <c r="E1915"/>
      <c r="G1915"/>
      <c r="H1915"/>
      <c r="I1915"/>
      <c r="K1915"/>
      <c r="O1915"/>
      <c r="R1915"/>
      <c r="W1915" s="4"/>
      <c r="X1915" s="4"/>
      <c r="Y1915" s="4"/>
    </row>
    <row r="1916" spans="5:25">
      <c r="E1916"/>
      <c r="G1916"/>
      <c r="H1916"/>
      <c r="I1916"/>
      <c r="K1916"/>
      <c r="O1916"/>
      <c r="R1916"/>
      <c r="W1916" s="4"/>
      <c r="X1916" s="4"/>
      <c r="Y1916" s="4"/>
    </row>
    <row r="1917" spans="5:25">
      <c r="E1917"/>
      <c r="G1917"/>
      <c r="H1917"/>
      <c r="I1917"/>
      <c r="K1917"/>
      <c r="O1917"/>
      <c r="R1917"/>
      <c r="W1917" s="4"/>
      <c r="X1917" s="4"/>
      <c r="Y1917" s="4"/>
    </row>
    <row r="1918" spans="5:25">
      <c r="E1918"/>
      <c r="G1918"/>
      <c r="H1918"/>
      <c r="I1918"/>
      <c r="K1918"/>
      <c r="O1918"/>
      <c r="R1918"/>
      <c r="W1918" s="4"/>
      <c r="X1918" s="4"/>
      <c r="Y1918" s="4"/>
    </row>
    <row r="1919" spans="5:25">
      <c r="E1919"/>
      <c r="G1919"/>
      <c r="H1919"/>
      <c r="I1919"/>
      <c r="K1919"/>
      <c r="O1919"/>
      <c r="R1919"/>
      <c r="W1919" s="4"/>
      <c r="X1919" s="4"/>
      <c r="Y1919" s="4"/>
    </row>
    <row r="1920" spans="5:25">
      <c r="E1920"/>
      <c r="G1920"/>
      <c r="H1920"/>
      <c r="I1920"/>
      <c r="K1920"/>
      <c r="O1920"/>
      <c r="R1920"/>
      <c r="W1920" s="4"/>
      <c r="X1920" s="4"/>
      <c r="Y1920" s="4"/>
    </row>
    <row r="1921" spans="5:25">
      <c r="E1921"/>
      <c r="G1921"/>
      <c r="H1921"/>
      <c r="I1921"/>
      <c r="K1921"/>
      <c r="O1921"/>
      <c r="R1921"/>
      <c r="W1921" s="4"/>
      <c r="X1921" s="4"/>
      <c r="Y1921" s="4"/>
    </row>
    <row r="1922" spans="5:25">
      <c r="E1922"/>
      <c r="G1922"/>
      <c r="H1922"/>
      <c r="I1922"/>
      <c r="K1922"/>
      <c r="O1922"/>
      <c r="R1922"/>
      <c r="W1922" s="4"/>
      <c r="X1922" s="4"/>
      <c r="Y1922" s="4"/>
    </row>
    <row r="1923" spans="5:25">
      <c r="E1923"/>
      <c r="G1923"/>
      <c r="H1923"/>
      <c r="I1923"/>
      <c r="K1923"/>
      <c r="O1923"/>
      <c r="R1923"/>
      <c r="W1923" s="4"/>
      <c r="X1923" s="4"/>
      <c r="Y1923" s="4"/>
    </row>
    <row r="1924" spans="5:25">
      <c r="E1924"/>
      <c r="G1924"/>
      <c r="H1924"/>
      <c r="I1924"/>
      <c r="K1924"/>
      <c r="O1924"/>
      <c r="R1924"/>
      <c r="W1924" s="4"/>
      <c r="X1924" s="4"/>
      <c r="Y1924" s="4"/>
    </row>
    <row r="1925" spans="5:25">
      <c r="E1925"/>
      <c r="G1925"/>
      <c r="H1925"/>
      <c r="I1925"/>
      <c r="K1925"/>
      <c r="O1925"/>
      <c r="R1925"/>
      <c r="W1925" s="4"/>
      <c r="X1925" s="4"/>
      <c r="Y1925" s="4"/>
    </row>
    <row r="1926" spans="5:25">
      <c r="E1926"/>
      <c r="G1926"/>
      <c r="H1926"/>
      <c r="I1926"/>
      <c r="K1926"/>
      <c r="O1926"/>
      <c r="R1926"/>
      <c r="W1926" s="4"/>
      <c r="X1926" s="4"/>
      <c r="Y1926" s="4"/>
    </row>
    <row r="1927" spans="5:25">
      <c r="E1927"/>
      <c r="G1927"/>
      <c r="H1927"/>
      <c r="I1927"/>
      <c r="K1927"/>
      <c r="O1927"/>
      <c r="R1927"/>
      <c r="W1927" s="4"/>
      <c r="X1927" s="4"/>
      <c r="Y1927" s="4"/>
    </row>
    <row r="1928" spans="5:25">
      <c r="E1928"/>
      <c r="G1928"/>
      <c r="H1928"/>
      <c r="I1928"/>
      <c r="K1928"/>
      <c r="O1928"/>
      <c r="R1928"/>
      <c r="W1928" s="4"/>
      <c r="X1928" s="4"/>
      <c r="Y1928" s="4"/>
    </row>
    <row r="1929" spans="5:25">
      <c r="E1929"/>
      <c r="G1929"/>
      <c r="H1929"/>
      <c r="I1929"/>
      <c r="K1929"/>
      <c r="O1929"/>
      <c r="R1929"/>
      <c r="W1929" s="4"/>
      <c r="X1929" s="4"/>
      <c r="Y1929" s="4"/>
    </row>
    <row r="1930" spans="5:25">
      <c r="E1930"/>
      <c r="G1930"/>
      <c r="H1930"/>
      <c r="I1930"/>
      <c r="K1930"/>
      <c r="O1930"/>
      <c r="R1930"/>
      <c r="W1930" s="4"/>
      <c r="X1930" s="4"/>
      <c r="Y1930" s="4"/>
    </row>
    <row r="1931" spans="5:25">
      <c r="E1931"/>
      <c r="G1931"/>
      <c r="H1931"/>
      <c r="I1931"/>
      <c r="K1931"/>
      <c r="O1931"/>
      <c r="R1931"/>
      <c r="W1931" s="4"/>
      <c r="X1931" s="4"/>
      <c r="Y1931" s="4"/>
    </row>
    <row r="1932" spans="5:25">
      <c r="E1932"/>
      <c r="G1932"/>
      <c r="H1932"/>
      <c r="I1932"/>
      <c r="K1932"/>
      <c r="O1932"/>
      <c r="R1932"/>
      <c r="W1932" s="4"/>
      <c r="X1932" s="4"/>
      <c r="Y1932" s="4"/>
    </row>
    <row r="1933" spans="5:25">
      <c r="E1933"/>
      <c r="G1933"/>
      <c r="H1933"/>
      <c r="I1933"/>
      <c r="K1933"/>
      <c r="O1933"/>
      <c r="R1933"/>
      <c r="W1933" s="4"/>
      <c r="X1933" s="4"/>
      <c r="Y1933" s="4"/>
    </row>
    <row r="1934" spans="5:25">
      <c r="E1934"/>
      <c r="G1934"/>
      <c r="H1934"/>
      <c r="I1934"/>
      <c r="K1934"/>
      <c r="O1934"/>
      <c r="R1934"/>
      <c r="W1934" s="4"/>
      <c r="X1934" s="4"/>
      <c r="Y1934" s="4"/>
    </row>
    <row r="1935" spans="5:25">
      <c r="E1935"/>
      <c r="G1935"/>
      <c r="H1935"/>
      <c r="I1935"/>
      <c r="K1935"/>
      <c r="O1935"/>
      <c r="R1935"/>
      <c r="W1935" s="4"/>
      <c r="X1935" s="4"/>
      <c r="Y1935" s="4"/>
    </row>
    <row r="1936" spans="5:25">
      <c r="E1936"/>
      <c r="G1936"/>
      <c r="H1936"/>
      <c r="I1936"/>
      <c r="K1936"/>
      <c r="O1936"/>
      <c r="R1936"/>
      <c r="W1936" s="4"/>
      <c r="X1936" s="4"/>
      <c r="Y1936" s="4"/>
    </row>
    <row r="1937" spans="5:25">
      <c r="E1937"/>
      <c r="G1937"/>
      <c r="H1937"/>
      <c r="I1937"/>
      <c r="K1937"/>
      <c r="O1937"/>
      <c r="R1937"/>
      <c r="W1937" s="4"/>
      <c r="X1937" s="4"/>
      <c r="Y1937" s="4"/>
    </row>
    <row r="1938" spans="5:25">
      <c r="E1938"/>
      <c r="G1938"/>
      <c r="H1938"/>
      <c r="I1938"/>
      <c r="K1938"/>
      <c r="O1938"/>
      <c r="R1938"/>
      <c r="W1938" s="4"/>
      <c r="X1938" s="4"/>
      <c r="Y1938" s="4"/>
    </row>
    <row r="1939" spans="5:25">
      <c r="E1939"/>
      <c r="G1939"/>
      <c r="H1939"/>
      <c r="I1939"/>
      <c r="K1939"/>
      <c r="O1939"/>
      <c r="R1939"/>
      <c r="W1939" s="4"/>
      <c r="X1939" s="4"/>
      <c r="Y1939" s="4"/>
    </row>
    <row r="1940" spans="5:25">
      <c r="E1940"/>
      <c r="G1940"/>
      <c r="H1940"/>
      <c r="I1940"/>
      <c r="K1940"/>
      <c r="O1940"/>
      <c r="R1940"/>
      <c r="W1940" s="4"/>
      <c r="X1940" s="4"/>
      <c r="Y1940" s="4"/>
    </row>
    <row r="1941" spans="5:25">
      <c r="E1941"/>
      <c r="G1941"/>
      <c r="H1941"/>
      <c r="I1941"/>
      <c r="K1941"/>
      <c r="O1941"/>
      <c r="R1941"/>
      <c r="W1941" s="4"/>
      <c r="X1941" s="4"/>
      <c r="Y1941" s="4"/>
    </row>
    <row r="1942" spans="5:25">
      <c r="E1942"/>
      <c r="G1942"/>
      <c r="H1942"/>
      <c r="I1942"/>
      <c r="K1942"/>
      <c r="O1942"/>
      <c r="R1942"/>
      <c r="W1942" s="4"/>
      <c r="X1942" s="4"/>
      <c r="Y1942" s="4"/>
    </row>
    <row r="1943" spans="5:25">
      <c r="E1943"/>
      <c r="G1943"/>
      <c r="H1943"/>
      <c r="I1943"/>
      <c r="K1943"/>
      <c r="O1943"/>
      <c r="R1943"/>
      <c r="W1943" s="4"/>
      <c r="X1943" s="4"/>
      <c r="Y1943" s="4"/>
    </row>
    <row r="1944" spans="5:25">
      <c r="E1944"/>
      <c r="G1944"/>
      <c r="H1944"/>
      <c r="I1944"/>
      <c r="K1944"/>
      <c r="O1944"/>
      <c r="R1944"/>
      <c r="W1944" s="4"/>
      <c r="X1944" s="4"/>
      <c r="Y1944" s="4"/>
    </row>
    <row r="1945" spans="5:25">
      <c r="E1945"/>
      <c r="G1945"/>
      <c r="H1945"/>
      <c r="I1945"/>
      <c r="K1945"/>
      <c r="O1945"/>
      <c r="R1945"/>
      <c r="W1945" s="4"/>
      <c r="X1945" s="4"/>
      <c r="Y1945" s="4"/>
    </row>
    <row r="1946" spans="5:25">
      <c r="E1946"/>
      <c r="G1946"/>
      <c r="H1946"/>
      <c r="I1946"/>
      <c r="K1946"/>
      <c r="O1946"/>
      <c r="R1946"/>
      <c r="W1946" s="4"/>
      <c r="X1946" s="4"/>
      <c r="Y1946" s="4"/>
    </row>
    <row r="1947" spans="5:25">
      <c r="E1947"/>
      <c r="G1947"/>
      <c r="H1947"/>
      <c r="I1947"/>
      <c r="K1947"/>
      <c r="O1947"/>
      <c r="R1947"/>
      <c r="W1947" s="4"/>
      <c r="X1947" s="4"/>
      <c r="Y1947" s="4"/>
    </row>
    <row r="1948" spans="5:25">
      <c r="E1948"/>
      <c r="G1948"/>
      <c r="H1948"/>
      <c r="I1948"/>
      <c r="K1948"/>
      <c r="O1948"/>
      <c r="R1948"/>
      <c r="W1948" s="4"/>
      <c r="X1948" s="4"/>
      <c r="Y1948" s="4"/>
    </row>
    <row r="1949" spans="5:25">
      <c r="E1949"/>
      <c r="G1949"/>
      <c r="H1949"/>
      <c r="I1949"/>
      <c r="K1949"/>
      <c r="O1949"/>
      <c r="R1949"/>
      <c r="W1949" s="4"/>
      <c r="X1949" s="4"/>
      <c r="Y1949" s="4"/>
    </row>
    <row r="1950" spans="5:25">
      <c r="E1950"/>
      <c r="G1950"/>
      <c r="H1950"/>
      <c r="I1950"/>
      <c r="K1950"/>
      <c r="O1950"/>
      <c r="R1950"/>
      <c r="W1950" s="4"/>
      <c r="X1950" s="4"/>
      <c r="Y1950" s="4"/>
    </row>
    <row r="1951" spans="5:25">
      <c r="E1951"/>
      <c r="G1951"/>
      <c r="H1951"/>
      <c r="I1951"/>
      <c r="K1951"/>
      <c r="O1951"/>
      <c r="R1951"/>
      <c r="W1951" s="4"/>
      <c r="X1951" s="4"/>
      <c r="Y1951" s="4"/>
    </row>
    <row r="1952" spans="5:25">
      <c r="E1952"/>
      <c r="G1952"/>
      <c r="H1952"/>
      <c r="I1952"/>
      <c r="K1952"/>
      <c r="O1952"/>
      <c r="R1952"/>
      <c r="W1952" s="4"/>
      <c r="X1952" s="4"/>
      <c r="Y1952" s="4"/>
    </row>
    <row r="1953" spans="5:25">
      <c r="E1953"/>
      <c r="G1953"/>
      <c r="H1953"/>
      <c r="I1953"/>
      <c r="K1953"/>
      <c r="O1953"/>
      <c r="R1953"/>
      <c r="W1953" s="4"/>
      <c r="X1953" s="4"/>
      <c r="Y1953" s="4"/>
    </row>
    <row r="1954" spans="5:25">
      <c r="E1954"/>
      <c r="G1954"/>
      <c r="H1954"/>
      <c r="I1954"/>
      <c r="K1954"/>
      <c r="O1954"/>
      <c r="R1954"/>
      <c r="W1954" s="4"/>
      <c r="X1954" s="4"/>
      <c r="Y1954" s="4"/>
    </row>
    <row r="1955" spans="5:25">
      <c r="E1955"/>
      <c r="G1955"/>
      <c r="H1955"/>
      <c r="I1955"/>
      <c r="K1955"/>
      <c r="O1955"/>
      <c r="R1955"/>
      <c r="W1955" s="4"/>
      <c r="X1955" s="4"/>
      <c r="Y1955" s="4"/>
    </row>
    <row r="1956" spans="5:25">
      <c r="E1956"/>
      <c r="G1956"/>
      <c r="H1956"/>
      <c r="I1956"/>
      <c r="K1956"/>
      <c r="O1956"/>
      <c r="R1956"/>
      <c r="W1956" s="4"/>
      <c r="X1956" s="4"/>
      <c r="Y1956" s="4"/>
    </row>
    <row r="1957" spans="5:25">
      <c r="E1957"/>
      <c r="G1957"/>
      <c r="H1957"/>
      <c r="I1957"/>
      <c r="K1957"/>
      <c r="O1957"/>
      <c r="R1957"/>
      <c r="W1957" s="4"/>
      <c r="X1957" s="4"/>
      <c r="Y1957" s="4"/>
    </row>
    <row r="1958" spans="5:25">
      <c r="E1958"/>
      <c r="G1958"/>
      <c r="H1958"/>
      <c r="I1958"/>
      <c r="K1958"/>
      <c r="O1958"/>
      <c r="R1958"/>
      <c r="W1958" s="4"/>
      <c r="X1958" s="4"/>
      <c r="Y1958" s="4"/>
    </row>
    <row r="1959" spans="5:25">
      <c r="E1959"/>
      <c r="G1959"/>
      <c r="H1959"/>
      <c r="I1959"/>
      <c r="K1959"/>
      <c r="O1959"/>
      <c r="R1959"/>
      <c r="W1959" s="4"/>
      <c r="X1959" s="4"/>
      <c r="Y1959" s="4"/>
    </row>
    <row r="1960" spans="5:25">
      <c r="E1960"/>
      <c r="G1960"/>
      <c r="H1960"/>
      <c r="I1960"/>
      <c r="K1960"/>
      <c r="O1960"/>
      <c r="R1960"/>
      <c r="W1960" s="4"/>
      <c r="X1960" s="4"/>
      <c r="Y1960" s="4"/>
    </row>
    <row r="1961" spans="5:25">
      <c r="E1961"/>
      <c r="G1961"/>
      <c r="H1961"/>
      <c r="I1961"/>
      <c r="K1961"/>
      <c r="O1961"/>
      <c r="R1961"/>
      <c r="W1961" s="4"/>
      <c r="X1961" s="4"/>
      <c r="Y1961" s="4"/>
    </row>
    <row r="1962" spans="5:25">
      <c r="E1962"/>
      <c r="G1962"/>
      <c r="H1962"/>
      <c r="I1962"/>
      <c r="K1962"/>
      <c r="O1962"/>
      <c r="R1962"/>
      <c r="W1962" s="4"/>
      <c r="X1962" s="4"/>
      <c r="Y1962" s="4"/>
    </row>
    <row r="1963" spans="5:25">
      <c r="E1963"/>
      <c r="G1963"/>
      <c r="H1963"/>
      <c r="I1963"/>
      <c r="K1963"/>
      <c r="O1963"/>
      <c r="R1963"/>
      <c r="W1963" s="4"/>
      <c r="X1963" s="4"/>
      <c r="Y1963" s="4"/>
    </row>
    <row r="1964" spans="5:25">
      <c r="E1964"/>
      <c r="G1964"/>
      <c r="H1964"/>
      <c r="I1964"/>
      <c r="K1964"/>
      <c r="O1964"/>
      <c r="R1964"/>
      <c r="W1964" s="4"/>
      <c r="X1964" s="4"/>
      <c r="Y1964" s="4"/>
    </row>
    <row r="1965" spans="5:25">
      <c r="E1965"/>
      <c r="G1965"/>
      <c r="H1965"/>
      <c r="I1965"/>
      <c r="K1965"/>
      <c r="O1965"/>
      <c r="R1965"/>
      <c r="W1965" s="4"/>
      <c r="X1965" s="4"/>
      <c r="Y1965" s="4"/>
    </row>
    <row r="1966" spans="5:25">
      <c r="E1966"/>
      <c r="G1966"/>
      <c r="H1966"/>
      <c r="I1966"/>
      <c r="K1966"/>
      <c r="O1966"/>
      <c r="R1966"/>
      <c r="W1966" s="4"/>
      <c r="X1966" s="4"/>
      <c r="Y1966" s="4"/>
    </row>
    <row r="1967" spans="5:25">
      <c r="E1967"/>
      <c r="G1967"/>
      <c r="H1967"/>
      <c r="I1967"/>
      <c r="K1967"/>
      <c r="O1967"/>
      <c r="R1967"/>
      <c r="W1967" s="4"/>
      <c r="X1967" s="4"/>
      <c r="Y1967" s="4"/>
    </row>
    <row r="1968" spans="5:25">
      <c r="E1968"/>
      <c r="G1968"/>
      <c r="H1968"/>
      <c r="I1968"/>
      <c r="K1968"/>
      <c r="O1968"/>
      <c r="R1968"/>
      <c r="W1968" s="4"/>
      <c r="X1968" s="4"/>
      <c r="Y1968" s="4"/>
    </row>
    <row r="1969" spans="5:25">
      <c r="E1969"/>
      <c r="G1969"/>
      <c r="H1969"/>
      <c r="I1969"/>
      <c r="K1969"/>
      <c r="O1969"/>
      <c r="R1969"/>
      <c r="W1969" s="4"/>
      <c r="X1969" s="4"/>
      <c r="Y1969" s="4"/>
    </row>
    <row r="1970" spans="5:25">
      <c r="E1970"/>
      <c r="G1970"/>
      <c r="H1970"/>
      <c r="I1970"/>
      <c r="K1970"/>
      <c r="O1970"/>
      <c r="R1970"/>
      <c r="W1970" s="4"/>
      <c r="X1970" s="4"/>
      <c r="Y1970" s="4"/>
    </row>
    <row r="1971" spans="5:25">
      <c r="E1971"/>
      <c r="G1971"/>
      <c r="H1971"/>
      <c r="I1971"/>
      <c r="K1971"/>
      <c r="O1971"/>
      <c r="R1971"/>
      <c r="W1971" s="4"/>
      <c r="X1971" s="4"/>
      <c r="Y1971" s="4"/>
    </row>
    <row r="1972" spans="5:25">
      <c r="E1972"/>
      <c r="G1972"/>
      <c r="H1972"/>
      <c r="I1972"/>
      <c r="K1972"/>
      <c r="O1972"/>
      <c r="R1972"/>
      <c r="W1972" s="4"/>
      <c r="X1972" s="4"/>
      <c r="Y1972" s="4"/>
    </row>
    <row r="1973" spans="5:25">
      <c r="E1973"/>
      <c r="G1973"/>
      <c r="H1973"/>
      <c r="I1973"/>
      <c r="K1973"/>
      <c r="O1973"/>
      <c r="R1973"/>
      <c r="W1973" s="4"/>
      <c r="X1973" s="4"/>
      <c r="Y1973" s="4"/>
    </row>
    <row r="1974" spans="5:25">
      <c r="E1974"/>
      <c r="G1974"/>
      <c r="H1974"/>
      <c r="I1974"/>
      <c r="K1974"/>
      <c r="O1974"/>
      <c r="R1974"/>
      <c r="W1974" s="4"/>
      <c r="X1974" s="4"/>
      <c r="Y1974" s="4"/>
    </row>
    <row r="1975" spans="5:25">
      <c r="E1975"/>
      <c r="G1975"/>
      <c r="H1975"/>
      <c r="I1975"/>
      <c r="K1975"/>
      <c r="O1975"/>
      <c r="R1975"/>
      <c r="W1975" s="4"/>
      <c r="X1975" s="4"/>
      <c r="Y1975" s="4"/>
    </row>
    <row r="1976" spans="5:25">
      <c r="E1976"/>
      <c r="G1976"/>
      <c r="H1976"/>
      <c r="I1976"/>
      <c r="K1976"/>
      <c r="O1976"/>
      <c r="R1976"/>
      <c r="W1976" s="4"/>
      <c r="X1976" s="4"/>
      <c r="Y1976" s="4"/>
    </row>
    <row r="1977" spans="5:25">
      <c r="E1977"/>
      <c r="G1977"/>
      <c r="H1977"/>
      <c r="I1977"/>
      <c r="K1977"/>
      <c r="O1977"/>
      <c r="R1977"/>
      <c r="W1977" s="4"/>
      <c r="X1977" s="4"/>
      <c r="Y1977" s="4"/>
    </row>
    <row r="1978" spans="5:25">
      <c r="E1978"/>
      <c r="G1978"/>
      <c r="H1978"/>
      <c r="I1978"/>
      <c r="K1978"/>
      <c r="O1978"/>
      <c r="R1978"/>
      <c r="W1978" s="4"/>
      <c r="X1978" s="4"/>
      <c r="Y1978" s="4"/>
    </row>
    <row r="1979" spans="5:25">
      <c r="E1979"/>
      <c r="G1979"/>
      <c r="H1979"/>
      <c r="I1979"/>
      <c r="K1979"/>
      <c r="O1979"/>
      <c r="R1979"/>
      <c r="W1979" s="4"/>
      <c r="X1979" s="4"/>
      <c r="Y1979" s="4"/>
    </row>
    <row r="1980" spans="5:25">
      <c r="E1980"/>
      <c r="G1980"/>
      <c r="H1980"/>
      <c r="I1980"/>
      <c r="K1980"/>
      <c r="O1980"/>
      <c r="R1980"/>
      <c r="W1980" s="4"/>
      <c r="X1980" s="4"/>
      <c r="Y1980" s="4"/>
    </row>
    <row r="1981" spans="5:25">
      <c r="E1981"/>
      <c r="G1981"/>
      <c r="H1981"/>
      <c r="I1981"/>
      <c r="K1981"/>
      <c r="O1981"/>
      <c r="R1981"/>
      <c r="W1981" s="4"/>
      <c r="X1981" s="4"/>
      <c r="Y1981" s="4"/>
    </row>
    <row r="1982" spans="5:25">
      <c r="E1982"/>
      <c r="G1982"/>
      <c r="H1982"/>
      <c r="I1982"/>
      <c r="K1982"/>
      <c r="O1982"/>
      <c r="R1982"/>
      <c r="W1982" s="4"/>
      <c r="X1982" s="4"/>
      <c r="Y1982" s="4"/>
    </row>
    <row r="1983" spans="5:25">
      <c r="E1983"/>
      <c r="G1983"/>
      <c r="H1983"/>
      <c r="I1983"/>
      <c r="K1983"/>
      <c r="O1983"/>
      <c r="R1983"/>
      <c r="W1983" s="4"/>
      <c r="X1983" s="4"/>
      <c r="Y1983" s="4"/>
    </row>
    <row r="1984" spans="5:25">
      <c r="E1984"/>
      <c r="G1984"/>
      <c r="H1984"/>
      <c r="I1984"/>
      <c r="K1984"/>
      <c r="O1984"/>
      <c r="R1984"/>
      <c r="W1984" s="4"/>
      <c r="X1984" s="4"/>
      <c r="Y1984" s="4"/>
    </row>
    <row r="1985" spans="5:25">
      <c r="E1985"/>
      <c r="G1985"/>
      <c r="H1985"/>
      <c r="I1985"/>
      <c r="K1985"/>
      <c r="O1985"/>
      <c r="R1985"/>
      <c r="W1985" s="4"/>
      <c r="X1985" s="4"/>
      <c r="Y1985" s="4"/>
    </row>
    <row r="1986" spans="5:25">
      <c r="E1986"/>
      <c r="G1986"/>
      <c r="H1986"/>
      <c r="I1986"/>
      <c r="K1986"/>
      <c r="O1986"/>
      <c r="R1986"/>
      <c r="W1986" s="4"/>
      <c r="X1986" s="4"/>
      <c r="Y1986" s="4"/>
    </row>
    <row r="1987" spans="5:25">
      <c r="E1987"/>
      <c r="G1987"/>
      <c r="H1987"/>
      <c r="I1987"/>
      <c r="K1987"/>
      <c r="O1987"/>
      <c r="R1987"/>
      <c r="W1987" s="4"/>
      <c r="X1987" s="4"/>
      <c r="Y1987" s="4"/>
    </row>
    <row r="1988" spans="5:25">
      <c r="E1988"/>
      <c r="G1988"/>
      <c r="H1988"/>
      <c r="I1988"/>
      <c r="K1988"/>
      <c r="O1988"/>
      <c r="R1988"/>
      <c r="W1988" s="4"/>
      <c r="X1988" s="4"/>
      <c r="Y1988" s="4"/>
    </row>
    <row r="1989" spans="5:25">
      <c r="E1989"/>
      <c r="G1989"/>
      <c r="H1989"/>
      <c r="I1989"/>
      <c r="K1989"/>
      <c r="O1989"/>
      <c r="R1989"/>
      <c r="W1989" s="4"/>
      <c r="X1989" s="4"/>
      <c r="Y1989" s="4"/>
    </row>
    <row r="1990" spans="5:25">
      <c r="E1990"/>
      <c r="G1990"/>
      <c r="H1990"/>
      <c r="I1990"/>
      <c r="K1990"/>
      <c r="O1990"/>
      <c r="R1990"/>
      <c r="W1990" s="4"/>
      <c r="X1990" s="4"/>
      <c r="Y1990" s="4"/>
    </row>
    <row r="1991" spans="5:25">
      <c r="E1991"/>
      <c r="G1991"/>
      <c r="H1991"/>
      <c r="I1991"/>
      <c r="K1991"/>
      <c r="O1991"/>
      <c r="R1991"/>
      <c r="W1991" s="4"/>
      <c r="X1991" s="4"/>
      <c r="Y1991" s="4"/>
    </row>
    <row r="1992" spans="5:25">
      <c r="E1992"/>
      <c r="G1992"/>
      <c r="H1992"/>
      <c r="I1992"/>
      <c r="K1992"/>
      <c r="O1992"/>
      <c r="R1992"/>
      <c r="W1992" s="4"/>
      <c r="X1992" s="4"/>
      <c r="Y1992" s="4"/>
    </row>
    <row r="1993" spans="5:25">
      <c r="E1993"/>
      <c r="G1993"/>
      <c r="H1993"/>
      <c r="I1993"/>
      <c r="K1993"/>
      <c r="O1993"/>
      <c r="R1993"/>
      <c r="W1993" s="4"/>
      <c r="X1993" s="4"/>
      <c r="Y1993" s="4"/>
    </row>
    <row r="1994" spans="5:25">
      <c r="E1994"/>
      <c r="G1994"/>
      <c r="H1994"/>
      <c r="I1994"/>
      <c r="K1994"/>
      <c r="O1994"/>
      <c r="R1994"/>
      <c r="W1994" s="4"/>
      <c r="X1994" s="4"/>
      <c r="Y1994" s="4"/>
    </row>
    <row r="1995" spans="5:25">
      <c r="E1995"/>
      <c r="G1995"/>
      <c r="H1995"/>
      <c r="I1995"/>
      <c r="K1995"/>
      <c r="O1995"/>
      <c r="R1995"/>
      <c r="W1995" s="4"/>
      <c r="X1995" s="4"/>
      <c r="Y1995" s="4"/>
    </row>
    <row r="1996" spans="5:25">
      <c r="E1996"/>
      <c r="G1996"/>
      <c r="H1996"/>
      <c r="I1996"/>
      <c r="K1996"/>
      <c r="O1996"/>
      <c r="R1996"/>
      <c r="W1996" s="4"/>
      <c r="X1996" s="4"/>
      <c r="Y1996" s="4"/>
    </row>
    <row r="1997" spans="5:25">
      <c r="E1997"/>
      <c r="G1997"/>
      <c r="H1997"/>
      <c r="I1997"/>
      <c r="K1997"/>
      <c r="O1997"/>
      <c r="R1997"/>
      <c r="W1997" s="4"/>
      <c r="X1997" s="4"/>
      <c r="Y1997" s="4"/>
    </row>
    <row r="1998" spans="5:25">
      <c r="E1998"/>
      <c r="G1998"/>
      <c r="H1998"/>
      <c r="I1998"/>
      <c r="K1998"/>
      <c r="O1998"/>
      <c r="R1998"/>
      <c r="W1998" s="4"/>
      <c r="X1998" s="4"/>
      <c r="Y1998" s="4"/>
    </row>
    <row r="1999" spans="5:25">
      <c r="E1999"/>
      <c r="G1999"/>
      <c r="H1999"/>
      <c r="I1999"/>
      <c r="K1999"/>
      <c r="O1999"/>
      <c r="R1999"/>
      <c r="W1999" s="4"/>
      <c r="X1999" s="4"/>
      <c r="Y1999" s="4"/>
    </row>
    <row r="2000" spans="5:25">
      <c r="E2000"/>
      <c r="G2000"/>
      <c r="H2000"/>
      <c r="I2000"/>
      <c r="K2000"/>
      <c r="O2000"/>
      <c r="R2000"/>
      <c r="W2000" s="4"/>
      <c r="X2000" s="4"/>
      <c r="Y2000" s="4"/>
    </row>
    <row r="2001" spans="5:25">
      <c r="E2001"/>
      <c r="G2001"/>
      <c r="H2001"/>
      <c r="I2001"/>
      <c r="K2001"/>
      <c r="O2001"/>
      <c r="R2001"/>
      <c r="W2001" s="4"/>
      <c r="X2001" s="4"/>
      <c r="Y2001" s="4"/>
    </row>
    <row r="2002" spans="5:25">
      <c r="E2002"/>
      <c r="G2002"/>
      <c r="H2002"/>
      <c r="I2002"/>
      <c r="K2002"/>
      <c r="O2002"/>
      <c r="R2002"/>
      <c r="W2002" s="4"/>
      <c r="X2002" s="4"/>
      <c r="Y2002" s="4"/>
    </row>
    <row r="2003" spans="5:25">
      <c r="E2003"/>
      <c r="G2003"/>
      <c r="H2003"/>
      <c r="I2003"/>
      <c r="K2003"/>
      <c r="O2003"/>
      <c r="R2003"/>
      <c r="W2003" s="4"/>
      <c r="X2003" s="4"/>
      <c r="Y2003" s="4"/>
    </row>
    <row r="2004" spans="5:25">
      <c r="E2004"/>
      <c r="G2004"/>
      <c r="H2004"/>
      <c r="I2004"/>
      <c r="K2004"/>
      <c r="O2004"/>
      <c r="R2004"/>
      <c r="W2004" s="4"/>
      <c r="X2004" s="4"/>
      <c r="Y2004" s="4"/>
    </row>
    <row r="2005" spans="5:25">
      <c r="E2005"/>
      <c r="G2005"/>
      <c r="H2005"/>
      <c r="I2005"/>
      <c r="K2005"/>
      <c r="O2005"/>
      <c r="R2005"/>
      <c r="W2005" s="4"/>
      <c r="X2005" s="4"/>
      <c r="Y2005" s="4"/>
    </row>
    <row r="2006" spans="5:25">
      <c r="E2006"/>
      <c r="G2006"/>
      <c r="H2006"/>
      <c r="I2006"/>
      <c r="K2006"/>
      <c r="O2006"/>
      <c r="R2006"/>
      <c r="W2006" s="4"/>
      <c r="X2006" s="4"/>
      <c r="Y2006" s="4"/>
    </row>
    <row r="2007" spans="5:25">
      <c r="E2007"/>
      <c r="G2007"/>
      <c r="H2007"/>
      <c r="I2007"/>
      <c r="K2007"/>
      <c r="O2007"/>
      <c r="R2007"/>
      <c r="W2007" s="4"/>
      <c r="X2007" s="4"/>
      <c r="Y2007" s="4"/>
    </row>
    <row r="2008" spans="5:25">
      <c r="E2008"/>
      <c r="G2008"/>
      <c r="H2008"/>
      <c r="I2008"/>
      <c r="K2008"/>
      <c r="O2008"/>
      <c r="R2008"/>
      <c r="W2008" s="4"/>
      <c r="X2008" s="4"/>
      <c r="Y2008" s="4"/>
    </row>
    <row r="2009" spans="5:25">
      <c r="E2009"/>
      <c r="G2009"/>
      <c r="H2009"/>
      <c r="I2009"/>
      <c r="K2009"/>
      <c r="O2009"/>
      <c r="R2009"/>
      <c r="W2009" s="4"/>
      <c r="X2009" s="4"/>
      <c r="Y2009" s="4"/>
    </row>
    <row r="2010" spans="5:25">
      <c r="E2010"/>
      <c r="G2010"/>
      <c r="H2010"/>
      <c r="I2010"/>
      <c r="K2010"/>
      <c r="O2010"/>
      <c r="R2010"/>
      <c r="W2010" s="4"/>
      <c r="X2010" s="4"/>
      <c r="Y2010" s="4"/>
    </row>
    <row r="2011" spans="5:25">
      <c r="E2011"/>
      <c r="G2011"/>
      <c r="H2011"/>
      <c r="I2011"/>
      <c r="K2011"/>
      <c r="O2011"/>
      <c r="R2011"/>
      <c r="W2011" s="4"/>
      <c r="X2011" s="4"/>
      <c r="Y2011" s="4"/>
    </row>
    <row r="2012" spans="5:25">
      <c r="E2012"/>
      <c r="G2012"/>
      <c r="H2012"/>
      <c r="I2012"/>
      <c r="K2012"/>
      <c r="O2012"/>
      <c r="R2012"/>
      <c r="W2012" s="4"/>
      <c r="X2012" s="4"/>
      <c r="Y2012" s="4"/>
    </row>
    <row r="2013" spans="5:25">
      <c r="E2013"/>
      <c r="G2013"/>
      <c r="H2013"/>
      <c r="I2013"/>
      <c r="K2013"/>
      <c r="O2013"/>
      <c r="R2013"/>
      <c r="W2013" s="4"/>
      <c r="X2013" s="4"/>
      <c r="Y2013" s="4"/>
    </row>
    <row r="2014" spans="5:25">
      <c r="E2014"/>
      <c r="G2014"/>
      <c r="H2014"/>
      <c r="I2014"/>
      <c r="K2014"/>
      <c r="O2014"/>
      <c r="R2014"/>
      <c r="W2014" s="4"/>
      <c r="X2014" s="4"/>
      <c r="Y2014" s="4"/>
    </row>
    <row r="2015" spans="5:25">
      <c r="E2015"/>
      <c r="G2015"/>
      <c r="H2015"/>
      <c r="I2015"/>
      <c r="K2015"/>
      <c r="O2015"/>
      <c r="R2015"/>
      <c r="W2015" s="4"/>
      <c r="X2015" s="4"/>
      <c r="Y2015" s="4"/>
    </row>
    <row r="2016" spans="5:25">
      <c r="E2016"/>
      <c r="G2016"/>
      <c r="H2016"/>
      <c r="I2016"/>
      <c r="K2016"/>
      <c r="O2016"/>
      <c r="R2016"/>
      <c r="W2016" s="4"/>
      <c r="X2016" s="4"/>
      <c r="Y2016" s="4"/>
    </row>
    <row r="2017" spans="5:25">
      <c r="E2017"/>
      <c r="G2017"/>
      <c r="H2017"/>
      <c r="I2017"/>
      <c r="K2017"/>
      <c r="O2017"/>
      <c r="R2017"/>
      <c r="W2017" s="4"/>
      <c r="X2017" s="4"/>
      <c r="Y2017" s="4"/>
    </row>
    <row r="2018" spans="5:25">
      <c r="E2018"/>
      <c r="G2018"/>
      <c r="H2018"/>
      <c r="I2018"/>
      <c r="K2018"/>
      <c r="O2018"/>
      <c r="R2018"/>
      <c r="W2018" s="4"/>
      <c r="X2018" s="4"/>
      <c r="Y2018" s="4"/>
    </row>
    <row r="2019" spans="5:25">
      <c r="E2019"/>
      <c r="G2019"/>
      <c r="H2019"/>
      <c r="I2019"/>
      <c r="K2019"/>
      <c r="O2019"/>
      <c r="R2019"/>
      <c r="W2019" s="4"/>
      <c r="X2019" s="4"/>
      <c r="Y2019" s="4"/>
    </row>
    <row r="2020" spans="5:25">
      <c r="E2020"/>
      <c r="G2020"/>
      <c r="H2020"/>
      <c r="I2020"/>
      <c r="K2020"/>
      <c r="O2020"/>
      <c r="R2020"/>
      <c r="W2020" s="4"/>
      <c r="X2020" s="4"/>
      <c r="Y2020" s="4"/>
    </row>
    <row r="2021" spans="5:25">
      <c r="E2021"/>
      <c r="G2021"/>
      <c r="H2021"/>
      <c r="I2021"/>
      <c r="K2021"/>
      <c r="O2021"/>
      <c r="R2021"/>
      <c r="W2021" s="4"/>
      <c r="X2021" s="4"/>
      <c r="Y2021" s="4"/>
    </row>
    <row r="2022" spans="5:25">
      <c r="E2022"/>
      <c r="G2022"/>
      <c r="H2022"/>
      <c r="I2022"/>
      <c r="K2022"/>
      <c r="O2022"/>
      <c r="R2022"/>
      <c r="W2022" s="4"/>
      <c r="X2022" s="4"/>
      <c r="Y2022" s="4"/>
    </row>
    <row r="2023" spans="5:25">
      <c r="E2023"/>
      <c r="G2023"/>
      <c r="H2023"/>
      <c r="I2023"/>
      <c r="K2023"/>
      <c r="O2023"/>
      <c r="R2023"/>
      <c r="W2023" s="4"/>
      <c r="X2023" s="4"/>
      <c r="Y2023" s="4"/>
    </row>
    <row r="2024" spans="5:25">
      <c r="E2024"/>
      <c r="G2024"/>
      <c r="H2024"/>
      <c r="I2024"/>
      <c r="K2024"/>
      <c r="O2024"/>
      <c r="R2024"/>
      <c r="W2024" s="4"/>
      <c r="X2024" s="4"/>
      <c r="Y2024" s="4"/>
    </row>
    <row r="2025" spans="5:25">
      <c r="E2025"/>
      <c r="G2025"/>
      <c r="H2025"/>
      <c r="I2025"/>
      <c r="K2025"/>
      <c r="O2025"/>
      <c r="R2025"/>
      <c r="W2025" s="4"/>
      <c r="X2025" s="4"/>
      <c r="Y2025" s="4"/>
    </row>
    <row r="2026" spans="5:25">
      <c r="E2026"/>
      <c r="G2026"/>
      <c r="H2026"/>
      <c r="I2026"/>
      <c r="K2026"/>
      <c r="O2026"/>
      <c r="R2026"/>
      <c r="W2026" s="4"/>
      <c r="X2026" s="4"/>
      <c r="Y2026" s="4"/>
    </row>
    <row r="2027" spans="5:25">
      <c r="E2027"/>
      <c r="G2027"/>
      <c r="H2027"/>
      <c r="I2027"/>
      <c r="K2027"/>
      <c r="O2027"/>
      <c r="R2027"/>
      <c r="W2027" s="4"/>
      <c r="X2027" s="4"/>
      <c r="Y2027" s="4"/>
    </row>
    <row r="2028" spans="5:25">
      <c r="E2028"/>
      <c r="G2028"/>
      <c r="H2028"/>
      <c r="I2028"/>
      <c r="K2028"/>
      <c r="O2028"/>
      <c r="R2028"/>
      <c r="W2028" s="4"/>
      <c r="X2028" s="4"/>
      <c r="Y2028" s="4"/>
    </row>
    <row r="2029" spans="5:25">
      <c r="E2029"/>
      <c r="G2029"/>
      <c r="H2029"/>
      <c r="I2029"/>
      <c r="K2029"/>
      <c r="O2029"/>
      <c r="R2029"/>
      <c r="W2029" s="4"/>
      <c r="X2029" s="4"/>
      <c r="Y2029" s="4"/>
    </row>
    <row r="2030" spans="5:25">
      <c r="E2030"/>
      <c r="G2030"/>
      <c r="H2030"/>
      <c r="I2030"/>
      <c r="K2030"/>
      <c r="O2030"/>
      <c r="R2030"/>
      <c r="W2030" s="4"/>
      <c r="X2030" s="4"/>
      <c r="Y2030" s="4"/>
    </row>
    <row r="2031" spans="5:25">
      <c r="E2031"/>
      <c r="G2031"/>
      <c r="H2031"/>
      <c r="I2031"/>
      <c r="K2031"/>
      <c r="O2031"/>
      <c r="R2031"/>
      <c r="W2031" s="4"/>
      <c r="X2031" s="4"/>
      <c r="Y2031" s="4"/>
    </row>
    <row r="2032" spans="5:25">
      <c r="E2032"/>
      <c r="G2032"/>
      <c r="H2032"/>
      <c r="I2032"/>
      <c r="K2032"/>
      <c r="O2032"/>
      <c r="R2032"/>
      <c r="W2032" s="4"/>
      <c r="X2032" s="4"/>
      <c r="Y2032" s="4"/>
    </row>
    <row r="2033" spans="5:25">
      <c r="E2033"/>
      <c r="G2033"/>
      <c r="H2033"/>
      <c r="I2033"/>
      <c r="K2033"/>
      <c r="O2033"/>
      <c r="R2033"/>
      <c r="W2033" s="4"/>
      <c r="X2033" s="4"/>
      <c r="Y2033" s="4"/>
    </row>
    <row r="2034" spans="5:25">
      <c r="E2034"/>
      <c r="G2034"/>
      <c r="H2034"/>
      <c r="I2034"/>
      <c r="K2034"/>
      <c r="O2034"/>
      <c r="R2034"/>
      <c r="W2034" s="4"/>
      <c r="X2034" s="4"/>
      <c r="Y2034" s="4"/>
    </row>
    <row r="2035" spans="5:25">
      <c r="E2035"/>
      <c r="G2035"/>
      <c r="H2035"/>
      <c r="I2035"/>
      <c r="K2035"/>
      <c r="O2035"/>
      <c r="R2035"/>
      <c r="W2035" s="4"/>
      <c r="X2035" s="4"/>
      <c r="Y2035" s="4"/>
    </row>
    <row r="2036" spans="5:25">
      <c r="E2036"/>
      <c r="G2036"/>
      <c r="H2036"/>
      <c r="I2036"/>
      <c r="K2036"/>
      <c r="O2036"/>
      <c r="R2036"/>
      <c r="W2036" s="4"/>
      <c r="X2036" s="4"/>
      <c r="Y2036" s="4"/>
    </row>
    <row r="2037" spans="5:25">
      <c r="E2037"/>
      <c r="G2037"/>
      <c r="H2037"/>
      <c r="I2037"/>
      <c r="K2037"/>
      <c r="O2037"/>
      <c r="R2037"/>
      <c r="W2037" s="4"/>
      <c r="X2037" s="4"/>
      <c r="Y2037" s="4"/>
    </row>
    <row r="2038" spans="5:25">
      <c r="E2038"/>
      <c r="G2038"/>
      <c r="H2038"/>
      <c r="I2038"/>
      <c r="K2038"/>
      <c r="O2038"/>
      <c r="R2038"/>
      <c r="W2038" s="4"/>
      <c r="X2038" s="4"/>
      <c r="Y2038" s="4"/>
    </row>
    <row r="2039" spans="5:25">
      <c r="E2039"/>
      <c r="G2039"/>
      <c r="H2039"/>
      <c r="I2039"/>
      <c r="K2039"/>
      <c r="O2039"/>
      <c r="R2039"/>
      <c r="W2039" s="4"/>
      <c r="X2039" s="4"/>
      <c r="Y2039" s="4"/>
    </row>
    <row r="2040" spans="5:25">
      <c r="E2040"/>
      <c r="G2040"/>
      <c r="H2040"/>
      <c r="I2040"/>
      <c r="K2040"/>
      <c r="O2040"/>
      <c r="R2040"/>
      <c r="W2040" s="4"/>
      <c r="X2040" s="4"/>
      <c r="Y2040" s="4"/>
    </row>
    <row r="2041" spans="5:25">
      <c r="E2041"/>
      <c r="G2041"/>
      <c r="H2041"/>
      <c r="I2041"/>
      <c r="K2041"/>
      <c r="O2041"/>
      <c r="R2041"/>
      <c r="W2041" s="4"/>
      <c r="X2041" s="4"/>
      <c r="Y2041" s="4"/>
    </row>
    <row r="2042" spans="5:25">
      <c r="E2042"/>
      <c r="G2042"/>
      <c r="H2042"/>
      <c r="I2042"/>
      <c r="K2042"/>
      <c r="O2042"/>
      <c r="R2042"/>
      <c r="W2042" s="4"/>
      <c r="X2042" s="4"/>
      <c r="Y2042" s="4"/>
    </row>
    <row r="2043" spans="5:25">
      <c r="E2043"/>
      <c r="G2043"/>
      <c r="H2043"/>
      <c r="I2043"/>
      <c r="K2043"/>
      <c r="O2043"/>
      <c r="R2043"/>
      <c r="W2043" s="4"/>
      <c r="X2043" s="4"/>
      <c r="Y2043" s="4"/>
    </row>
    <row r="2044" spans="5:25">
      <c r="E2044"/>
      <c r="G2044"/>
      <c r="H2044"/>
      <c r="I2044"/>
      <c r="K2044"/>
      <c r="O2044"/>
      <c r="R2044"/>
      <c r="W2044" s="4"/>
      <c r="X2044" s="4"/>
      <c r="Y2044" s="4"/>
    </row>
    <row r="2045" spans="5:25">
      <c r="E2045"/>
      <c r="G2045"/>
      <c r="H2045"/>
      <c r="I2045"/>
      <c r="K2045"/>
      <c r="O2045"/>
      <c r="R2045"/>
      <c r="W2045" s="4"/>
      <c r="X2045" s="4"/>
      <c r="Y2045" s="4"/>
    </row>
    <row r="2046" spans="5:25">
      <c r="E2046"/>
      <c r="G2046"/>
      <c r="H2046"/>
      <c r="I2046"/>
      <c r="K2046"/>
      <c r="O2046"/>
      <c r="R2046"/>
      <c r="W2046" s="4"/>
      <c r="X2046" s="4"/>
      <c r="Y2046" s="4"/>
    </row>
    <row r="2047" spans="5:25">
      <c r="E2047"/>
      <c r="G2047"/>
      <c r="H2047"/>
      <c r="I2047"/>
      <c r="K2047"/>
      <c r="O2047"/>
      <c r="R2047"/>
      <c r="W2047" s="4"/>
      <c r="X2047" s="4"/>
      <c r="Y2047" s="4"/>
    </row>
    <row r="2048" spans="5:25">
      <c r="E2048"/>
      <c r="G2048"/>
      <c r="H2048"/>
      <c r="I2048"/>
      <c r="K2048"/>
      <c r="O2048"/>
      <c r="R2048"/>
      <c r="W2048" s="4"/>
      <c r="X2048" s="4"/>
      <c r="Y2048" s="4"/>
    </row>
    <row r="2049" spans="5:25">
      <c r="E2049"/>
      <c r="G2049"/>
      <c r="H2049"/>
      <c r="I2049"/>
      <c r="K2049"/>
      <c r="O2049"/>
      <c r="R2049"/>
      <c r="W2049" s="4"/>
      <c r="X2049" s="4"/>
      <c r="Y2049" s="4"/>
    </row>
    <row r="2050" spans="5:25">
      <c r="E2050"/>
      <c r="G2050"/>
      <c r="H2050"/>
      <c r="I2050"/>
      <c r="K2050"/>
      <c r="O2050"/>
      <c r="R2050"/>
      <c r="W2050" s="4"/>
      <c r="X2050" s="4"/>
      <c r="Y2050" s="4"/>
    </row>
    <row r="2051" spans="5:25">
      <c r="E2051"/>
      <c r="G2051"/>
      <c r="H2051"/>
      <c r="I2051"/>
      <c r="K2051"/>
      <c r="O2051"/>
      <c r="R2051"/>
      <c r="W2051" s="4"/>
      <c r="X2051" s="4"/>
      <c r="Y2051" s="4"/>
    </row>
    <row r="2052" spans="5:25">
      <c r="E2052"/>
      <c r="G2052"/>
      <c r="H2052"/>
      <c r="I2052"/>
      <c r="K2052"/>
      <c r="O2052"/>
      <c r="R2052"/>
      <c r="W2052" s="4"/>
      <c r="X2052" s="4"/>
      <c r="Y2052" s="4"/>
    </row>
    <row r="2053" spans="5:25">
      <c r="E2053"/>
      <c r="G2053"/>
      <c r="H2053"/>
      <c r="I2053"/>
      <c r="K2053"/>
      <c r="O2053"/>
      <c r="R2053"/>
      <c r="W2053" s="4"/>
      <c r="X2053" s="4"/>
      <c r="Y2053" s="4"/>
    </row>
    <row r="2054" spans="5:25">
      <c r="E2054"/>
      <c r="G2054"/>
      <c r="H2054"/>
      <c r="I2054"/>
      <c r="K2054"/>
      <c r="O2054"/>
      <c r="R2054"/>
      <c r="W2054" s="4"/>
      <c r="X2054" s="4"/>
      <c r="Y2054" s="4"/>
    </row>
    <row r="2055" spans="5:25">
      <c r="E2055"/>
      <c r="G2055"/>
      <c r="H2055"/>
      <c r="I2055"/>
      <c r="K2055"/>
      <c r="O2055"/>
      <c r="R2055"/>
      <c r="W2055" s="4"/>
      <c r="X2055" s="4"/>
      <c r="Y2055" s="4"/>
    </row>
    <row r="2056" spans="5:25">
      <c r="E2056"/>
      <c r="G2056"/>
      <c r="H2056"/>
      <c r="I2056"/>
      <c r="K2056"/>
      <c r="O2056"/>
      <c r="R2056"/>
      <c r="W2056" s="4"/>
      <c r="X2056" s="4"/>
      <c r="Y2056" s="4"/>
    </row>
    <row r="2057" spans="5:25">
      <c r="E2057"/>
      <c r="G2057"/>
      <c r="H2057"/>
      <c r="I2057"/>
      <c r="K2057"/>
      <c r="O2057"/>
      <c r="R2057"/>
      <c r="W2057" s="4"/>
      <c r="X2057" s="4"/>
      <c r="Y2057" s="4"/>
    </row>
    <row r="2058" spans="5:25">
      <c r="E2058"/>
      <c r="G2058"/>
      <c r="H2058"/>
      <c r="I2058"/>
      <c r="K2058"/>
      <c r="O2058"/>
      <c r="R2058"/>
      <c r="W2058" s="4"/>
      <c r="X2058" s="4"/>
      <c r="Y2058" s="4"/>
    </row>
    <row r="2059" spans="5:25">
      <c r="E2059"/>
      <c r="G2059"/>
      <c r="H2059"/>
      <c r="I2059"/>
      <c r="K2059"/>
      <c r="O2059"/>
      <c r="R2059"/>
      <c r="W2059" s="4"/>
      <c r="X2059" s="4"/>
      <c r="Y2059" s="4"/>
    </row>
    <row r="2060" spans="5:25">
      <c r="E2060"/>
      <c r="G2060"/>
      <c r="H2060"/>
      <c r="I2060"/>
      <c r="K2060"/>
      <c r="O2060"/>
      <c r="R2060"/>
      <c r="W2060" s="4"/>
      <c r="X2060" s="4"/>
      <c r="Y2060" s="4"/>
    </row>
    <row r="2061" spans="5:25">
      <c r="E2061"/>
      <c r="G2061"/>
      <c r="H2061"/>
      <c r="I2061"/>
      <c r="K2061"/>
      <c r="O2061"/>
      <c r="R2061"/>
      <c r="W2061" s="4"/>
      <c r="X2061" s="4"/>
      <c r="Y2061" s="4"/>
    </row>
    <row r="2062" spans="5:25">
      <c r="E2062"/>
      <c r="G2062"/>
      <c r="H2062"/>
      <c r="I2062"/>
      <c r="K2062"/>
      <c r="O2062"/>
      <c r="R2062"/>
      <c r="W2062" s="4"/>
      <c r="X2062" s="4"/>
      <c r="Y2062" s="4"/>
    </row>
    <row r="2063" spans="5:25">
      <c r="E2063"/>
      <c r="G2063"/>
      <c r="H2063"/>
      <c r="I2063"/>
      <c r="K2063"/>
      <c r="O2063"/>
      <c r="R2063"/>
      <c r="W2063" s="4"/>
      <c r="X2063" s="4"/>
      <c r="Y2063" s="4"/>
    </row>
    <row r="2064" spans="5:25">
      <c r="E2064"/>
      <c r="G2064"/>
      <c r="H2064"/>
      <c r="I2064"/>
      <c r="K2064"/>
      <c r="O2064"/>
      <c r="R2064"/>
      <c r="W2064" s="4"/>
      <c r="X2064" s="4"/>
      <c r="Y2064" s="4"/>
    </row>
    <row r="2065" spans="5:25">
      <c r="E2065"/>
      <c r="G2065"/>
      <c r="H2065"/>
      <c r="I2065"/>
      <c r="K2065"/>
      <c r="O2065"/>
      <c r="R2065"/>
      <c r="W2065" s="4"/>
      <c r="X2065" s="4"/>
      <c r="Y2065" s="4"/>
    </row>
    <row r="2066" spans="5:25">
      <c r="E2066"/>
      <c r="G2066"/>
      <c r="H2066"/>
      <c r="I2066"/>
      <c r="K2066"/>
      <c r="O2066"/>
      <c r="R2066"/>
      <c r="W2066" s="4"/>
      <c r="X2066" s="4"/>
      <c r="Y2066" s="4"/>
    </row>
    <row r="2067" spans="5:25">
      <c r="E2067"/>
      <c r="G2067"/>
      <c r="H2067"/>
      <c r="I2067"/>
      <c r="K2067"/>
      <c r="O2067"/>
      <c r="R2067"/>
      <c r="W2067" s="4"/>
      <c r="X2067" s="4"/>
      <c r="Y2067" s="4"/>
    </row>
    <row r="2068" spans="5:25">
      <c r="E2068"/>
      <c r="G2068"/>
      <c r="H2068"/>
      <c r="I2068"/>
      <c r="K2068"/>
      <c r="O2068"/>
      <c r="R2068"/>
      <c r="W2068" s="4"/>
      <c r="X2068" s="4"/>
      <c r="Y2068" s="4"/>
    </row>
    <row r="2069" spans="5:25">
      <c r="E2069"/>
      <c r="G2069"/>
      <c r="H2069"/>
      <c r="I2069"/>
      <c r="K2069"/>
      <c r="O2069"/>
      <c r="R2069"/>
      <c r="W2069" s="4"/>
      <c r="X2069" s="4"/>
      <c r="Y2069" s="4"/>
    </row>
    <row r="2070" spans="5:25">
      <c r="E2070"/>
      <c r="G2070"/>
      <c r="H2070"/>
      <c r="I2070"/>
      <c r="K2070"/>
      <c r="O2070"/>
      <c r="R2070"/>
      <c r="W2070" s="4"/>
      <c r="X2070" s="4"/>
      <c r="Y2070" s="4"/>
    </row>
    <row r="2071" spans="5:25">
      <c r="E2071"/>
      <c r="G2071"/>
      <c r="H2071"/>
      <c r="I2071"/>
      <c r="K2071"/>
      <c r="O2071"/>
      <c r="R2071"/>
      <c r="W2071" s="4"/>
      <c r="X2071" s="4"/>
      <c r="Y2071" s="4"/>
    </row>
    <row r="2072" spans="5:25">
      <c r="E2072"/>
      <c r="G2072"/>
      <c r="H2072"/>
      <c r="I2072"/>
      <c r="K2072"/>
      <c r="O2072"/>
      <c r="R2072"/>
      <c r="W2072" s="4"/>
      <c r="X2072" s="4"/>
      <c r="Y2072" s="4"/>
    </row>
    <row r="2073" spans="5:25">
      <c r="E2073"/>
      <c r="G2073"/>
      <c r="H2073"/>
      <c r="I2073"/>
      <c r="K2073"/>
      <c r="O2073"/>
      <c r="R2073"/>
      <c r="W2073" s="4"/>
      <c r="X2073" s="4"/>
      <c r="Y2073" s="4"/>
    </row>
    <row r="2074" spans="5:25">
      <c r="E2074"/>
      <c r="G2074"/>
      <c r="H2074"/>
      <c r="I2074"/>
      <c r="K2074"/>
      <c r="O2074"/>
      <c r="R2074"/>
      <c r="W2074" s="4"/>
      <c r="X2074" s="4"/>
      <c r="Y2074" s="4"/>
    </row>
    <row r="2075" spans="5:25">
      <c r="E2075"/>
      <c r="G2075"/>
      <c r="H2075"/>
      <c r="I2075"/>
      <c r="K2075"/>
      <c r="O2075"/>
      <c r="R2075"/>
      <c r="W2075" s="4"/>
      <c r="X2075" s="4"/>
      <c r="Y2075" s="4"/>
    </row>
    <row r="2076" spans="5:25">
      <c r="E2076"/>
      <c r="G2076"/>
      <c r="H2076"/>
      <c r="I2076"/>
      <c r="K2076"/>
      <c r="O2076"/>
      <c r="R2076"/>
      <c r="W2076" s="4"/>
      <c r="X2076" s="4"/>
      <c r="Y2076" s="4"/>
    </row>
    <row r="2077" spans="5:25">
      <c r="E2077"/>
      <c r="G2077"/>
      <c r="H2077"/>
      <c r="I2077"/>
      <c r="K2077"/>
      <c r="O2077"/>
      <c r="R2077"/>
      <c r="W2077" s="4"/>
      <c r="X2077" s="4"/>
      <c r="Y2077" s="4"/>
    </row>
    <row r="2078" spans="5:25">
      <c r="E2078"/>
      <c r="G2078"/>
      <c r="H2078"/>
      <c r="I2078"/>
      <c r="K2078"/>
      <c r="O2078"/>
      <c r="R2078"/>
      <c r="W2078" s="4"/>
      <c r="X2078" s="4"/>
      <c r="Y2078" s="4"/>
    </row>
    <row r="2079" spans="5:25">
      <c r="E2079"/>
      <c r="G2079"/>
      <c r="H2079"/>
      <c r="I2079"/>
      <c r="K2079"/>
      <c r="O2079"/>
      <c r="R2079"/>
      <c r="W2079" s="4"/>
      <c r="X2079" s="4"/>
      <c r="Y2079" s="4"/>
    </row>
    <row r="2080" spans="5:25">
      <c r="E2080"/>
      <c r="G2080"/>
      <c r="H2080"/>
      <c r="I2080"/>
      <c r="K2080"/>
      <c r="O2080"/>
      <c r="R2080"/>
      <c r="W2080" s="4"/>
      <c r="X2080" s="4"/>
      <c r="Y2080" s="4"/>
    </row>
    <row r="2081" spans="5:25">
      <c r="E2081"/>
      <c r="G2081"/>
      <c r="H2081"/>
      <c r="I2081"/>
      <c r="K2081"/>
      <c r="O2081"/>
      <c r="R2081"/>
      <c r="W2081" s="4"/>
      <c r="X2081" s="4"/>
      <c r="Y2081" s="4"/>
    </row>
    <row r="2082" spans="5:25">
      <c r="E2082"/>
      <c r="G2082"/>
      <c r="H2082"/>
      <c r="I2082"/>
      <c r="K2082"/>
      <c r="O2082"/>
      <c r="R2082"/>
      <c r="W2082" s="4"/>
      <c r="X2082" s="4"/>
      <c r="Y2082" s="4"/>
    </row>
    <row r="2083" spans="5:25">
      <c r="E2083"/>
      <c r="G2083"/>
      <c r="H2083"/>
      <c r="I2083"/>
      <c r="K2083"/>
      <c r="O2083"/>
      <c r="R2083"/>
      <c r="W2083" s="4"/>
      <c r="X2083" s="4"/>
      <c r="Y2083" s="4"/>
    </row>
    <row r="2084" spans="5:25">
      <c r="E2084"/>
      <c r="G2084"/>
      <c r="H2084"/>
      <c r="I2084"/>
      <c r="K2084"/>
      <c r="O2084"/>
      <c r="R2084"/>
      <c r="W2084" s="4"/>
      <c r="X2084" s="4"/>
      <c r="Y2084" s="4"/>
    </row>
    <row r="2085" spans="5:25">
      <c r="E2085"/>
      <c r="G2085"/>
      <c r="H2085"/>
      <c r="I2085"/>
      <c r="K2085"/>
      <c r="O2085"/>
      <c r="R2085"/>
      <c r="W2085" s="4"/>
      <c r="X2085" s="4"/>
      <c r="Y2085" s="4"/>
    </row>
    <row r="2086" spans="5:25">
      <c r="E2086"/>
      <c r="G2086"/>
      <c r="H2086"/>
      <c r="I2086"/>
      <c r="K2086"/>
      <c r="O2086"/>
      <c r="R2086"/>
      <c r="W2086" s="4"/>
      <c r="X2086" s="4"/>
      <c r="Y2086" s="4"/>
    </row>
    <row r="2087" spans="5:25">
      <c r="E2087"/>
      <c r="G2087"/>
      <c r="H2087"/>
      <c r="I2087"/>
      <c r="K2087"/>
      <c r="O2087"/>
      <c r="R2087"/>
      <c r="W2087" s="4"/>
      <c r="X2087" s="4"/>
      <c r="Y2087" s="4"/>
    </row>
    <row r="2088" spans="5:25">
      <c r="E2088"/>
      <c r="G2088"/>
      <c r="H2088"/>
      <c r="I2088"/>
      <c r="K2088"/>
      <c r="O2088"/>
      <c r="R2088"/>
      <c r="W2088" s="4"/>
      <c r="X2088" s="4"/>
      <c r="Y2088" s="4"/>
    </row>
    <row r="2089" spans="5:25">
      <c r="E2089"/>
      <c r="G2089"/>
      <c r="H2089"/>
      <c r="I2089"/>
      <c r="K2089"/>
      <c r="O2089"/>
      <c r="R2089"/>
      <c r="W2089" s="4"/>
      <c r="X2089" s="4"/>
      <c r="Y2089" s="4"/>
    </row>
    <row r="2090" spans="5:25">
      <c r="E2090"/>
      <c r="G2090"/>
      <c r="H2090"/>
      <c r="I2090"/>
      <c r="K2090"/>
      <c r="O2090"/>
      <c r="R2090"/>
      <c r="W2090" s="4"/>
      <c r="X2090" s="4"/>
      <c r="Y2090" s="4"/>
    </row>
    <row r="2091" spans="5:25">
      <c r="E2091"/>
      <c r="G2091"/>
      <c r="H2091"/>
      <c r="I2091"/>
      <c r="K2091"/>
      <c r="O2091"/>
      <c r="R2091"/>
      <c r="W2091" s="4"/>
      <c r="X2091" s="4"/>
      <c r="Y2091" s="4"/>
    </row>
    <row r="2092" spans="5:25">
      <c r="E2092"/>
      <c r="G2092"/>
      <c r="H2092"/>
      <c r="I2092"/>
      <c r="K2092"/>
      <c r="O2092"/>
      <c r="R2092"/>
      <c r="W2092" s="4"/>
      <c r="X2092" s="4"/>
      <c r="Y2092" s="4"/>
    </row>
    <row r="2093" spans="5:25">
      <c r="E2093"/>
      <c r="G2093"/>
      <c r="H2093"/>
      <c r="I2093"/>
      <c r="K2093"/>
      <c r="O2093"/>
      <c r="R2093"/>
      <c r="W2093" s="4"/>
      <c r="X2093" s="4"/>
      <c r="Y2093" s="4"/>
    </row>
    <row r="2094" spans="5:25">
      <c r="E2094"/>
      <c r="G2094"/>
      <c r="H2094"/>
      <c r="I2094"/>
      <c r="K2094"/>
      <c r="O2094"/>
      <c r="R2094"/>
      <c r="W2094" s="4"/>
      <c r="X2094" s="4"/>
      <c r="Y2094" s="4"/>
    </row>
    <row r="2095" spans="5:25">
      <c r="E2095"/>
      <c r="G2095"/>
      <c r="H2095"/>
      <c r="I2095"/>
      <c r="K2095"/>
      <c r="O2095"/>
      <c r="R2095"/>
      <c r="W2095" s="4"/>
      <c r="X2095" s="4"/>
      <c r="Y2095" s="4"/>
    </row>
    <row r="2096" spans="5:25">
      <c r="E2096"/>
      <c r="G2096"/>
      <c r="H2096"/>
      <c r="I2096"/>
      <c r="K2096"/>
      <c r="O2096"/>
      <c r="R2096"/>
      <c r="W2096" s="4"/>
      <c r="X2096" s="4"/>
      <c r="Y2096" s="4"/>
    </row>
    <row r="2097" spans="5:25">
      <c r="E2097"/>
      <c r="G2097"/>
      <c r="H2097"/>
      <c r="I2097"/>
      <c r="K2097"/>
      <c r="O2097"/>
      <c r="R2097"/>
      <c r="W2097" s="4"/>
      <c r="X2097" s="4"/>
      <c r="Y2097" s="4"/>
    </row>
    <row r="2098" spans="5:25">
      <c r="E2098"/>
      <c r="G2098"/>
      <c r="H2098"/>
      <c r="I2098"/>
      <c r="K2098"/>
      <c r="O2098"/>
      <c r="R2098"/>
      <c r="W2098" s="4"/>
      <c r="X2098" s="4"/>
      <c r="Y2098" s="4"/>
    </row>
    <row r="2099" spans="5:25">
      <c r="E2099"/>
      <c r="G2099"/>
      <c r="H2099"/>
      <c r="I2099"/>
      <c r="K2099"/>
      <c r="O2099"/>
      <c r="R2099"/>
      <c r="W2099" s="4"/>
      <c r="X2099" s="4"/>
      <c r="Y2099" s="4"/>
    </row>
    <row r="2100" spans="5:25">
      <c r="E2100"/>
      <c r="G2100"/>
      <c r="H2100"/>
      <c r="I2100"/>
      <c r="K2100"/>
      <c r="O2100"/>
      <c r="R2100"/>
      <c r="W2100" s="4"/>
      <c r="X2100" s="4"/>
      <c r="Y2100" s="4"/>
    </row>
    <row r="2101" spans="5:25">
      <c r="E2101"/>
      <c r="G2101"/>
      <c r="H2101"/>
      <c r="I2101"/>
      <c r="K2101"/>
      <c r="O2101"/>
      <c r="R2101"/>
      <c r="W2101" s="4"/>
      <c r="X2101" s="4"/>
      <c r="Y2101" s="4"/>
    </row>
    <row r="2102" spans="5:25">
      <c r="E2102"/>
      <c r="G2102"/>
      <c r="H2102"/>
      <c r="I2102"/>
      <c r="K2102"/>
      <c r="O2102"/>
      <c r="R2102"/>
      <c r="W2102" s="4"/>
      <c r="X2102" s="4"/>
      <c r="Y2102" s="4"/>
    </row>
    <row r="2103" spans="5:25">
      <c r="E2103"/>
      <c r="G2103"/>
      <c r="H2103"/>
      <c r="I2103"/>
      <c r="K2103"/>
      <c r="O2103"/>
      <c r="R2103"/>
      <c r="W2103" s="4"/>
      <c r="X2103" s="4"/>
      <c r="Y2103" s="4"/>
    </row>
    <row r="2104" spans="5:25">
      <c r="E2104"/>
      <c r="G2104"/>
      <c r="H2104"/>
      <c r="I2104"/>
      <c r="K2104"/>
      <c r="O2104"/>
      <c r="R2104"/>
      <c r="W2104" s="4"/>
      <c r="X2104" s="4"/>
      <c r="Y2104" s="4"/>
    </row>
    <row r="2105" spans="5:25">
      <c r="E2105"/>
      <c r="G2105"/>
      <c r="H2105"/>
      <c r="I2105"/>
      <c r="K2105"/>
      <c r="O2105"/>
      <c r="R2105"/>
      <c r="W2105" s="4"/>
      <c r="X2105" s="4"/>
      <c r="Y2105" s="4"/>
    </row>
    <row r="2106" spans="5:25">
      <c r="E2106"/>
      <c r="G2106"/>
      <c r="H2106"/>
      <c r="I2106"/>
      <c r="K2106"/>
      <c r="O2106"/>
      <c r="R2106"/>
      <c r="W2106" s="4"/>
      <c r="X2106" s="4"/>
      <c r="Y2106" s="4"/>
    </row>
    <row r="2107" spans="5:25">
      <c r="E2107"/>
      <c r="G2107"/>
      <c r="H2107"/>
      <c r="I2107"/>
      <c r="K2107"/>
      <c r="O2107"/>
      <c r="R2107"/>
      <c r="W2107" s="4"/>
      <c r="X2107" s="4"/>
      <c r="Y2107" s="4"/>
    </row>
    <row r="2108" spans="5:25">
      <c r="E2108"/>
      <c r="G2108"/>
      <c r="H2108"/>
      <c r="I2108"/>
      <c r="K2108"/>
      <c r="O2108"/>
      <c r="R2108"/>
      <c r="W2108" s="4"/>
      <c r="X2108" s="4"/>
      <c r="Y2108" s="4"/>
    </row>
    <row r="2109" spans="5:25">
      <c r="E2109"/>
      <c r="G2109"/>
      <c r="H2109"/>
      <c r="I2109"/>
      <c r="K2109"/>
      <c r="O2109"/>
      <c r="R2109"/>
      <c r="W2109" s="4"/>
      <c r="X2109" s="4"/>
      <c r="Y2109" s="4"/>
    </row>
    <row r="2110" spans="5:25">
      <c r="E2110"/>
      <c r="G2110"/>
      <c r="H2110"/>
      <c r="I2110"/>
      <c r="K2110"/>
      <c r="O2110"/>
      <c r="R2110"/>
      <c r="W2110" s="4"/>
      <c r="X2110" s="4"/>
      <c r="Y2110" s="4"/>
    </row>
    <row r="2111" spans="5:25">
      <c r="E2111"/>
      <c r="G2111"/>
      <c r="H2111"/>
      <c r="I2111"/>
      <c r="K2111"/>
      <c r="O2111"/>
      <c r="R2111"/>
      <c r="W2111" s="4"/>
      <c r="X2111" s="4"/>
      <c r="Y2111" s="4"/>
    </row>
    <row r="2112" spans="5:25">
      <c r="E2112"/>
      <c r="G2112"/>
      <c r="H2112"/>
      <c r="I2112"/>
      <c r="K2112"/>
      <c r="O2112"/>
      <c r="R2112"/>
      <c r="W2112" s="4"/>
      <c r="X2112" s="4"/>
      <c r="Y2112" s="4"/>
    </row>
    <row r="2113" spans="5:25">
      <c r="E2113"/>
      <c r="G2113"/>
      <c r="H2113"/>
      <c r="I2113"/>
      <c r="K2113"/>
      <c r="O2113"/>
      <c r="R2113"/>
      <c r="W2113" s="4"/>
      <c r="X2113" s="4"/>
      <c r="Y2113" s="4"/>
    </row>
    <row r="2114" spans="5:25">
      <c r="E2114"/>
      <c r="G2114"/>
      <c r="H2114"/>
      <c r="I2114"/>
      <c r="K2114"/>
      <c r="O2114"/>
      <c r="R2114"/>
      <c r="W2114" s="4"/>
      <c r="X2114" s="4"/>
      <c r="Y2114" s="4"/>
    </row>
    <row r="2115" spans="5:25">
      <c r="E2115"/>
      <c r="G2115"/>
      <c r="H2115"/>
      <c r="I2115"/>
      <c r="K2115"/>
      <c r="O2115"/>
      <c r="R2115"/>
      <c r="W2115" s="4"/>
      <c r="X2115" s="4"/>
      <c r="Y2115" s="4"/>
    </row>
    <row r="2116" spans="5:25">
      <c r="E2116"/>
      <c r="G2116"/>
      <c r="H2116"/>
      <c r="I2116"/>
      <c r="K2116"/>
      <c r="O2116"/>
      <c r="R2116"/>
      <c r="W2116" s="4"/>
      <c r="X2116" s="4"/>
      <c r="Y2116" s="4"/>
    </row>
    <row r="2117" spans="5:25">
      <c r="E2117"/>
      <c r="G2117"/>
      <c r="H2117"/>
      <c r="I2117"/>
      <c r="K2117"/>
      <c r="O2117"/>
      <c r="R2117"/>
      <c r="W2117" s="4"/>
      <c r="X2117" s="4"/>
      <c r="Y2117" s="4"/>
    </row>
    <row r="2118" spans="5:25">
      <c r="E2118"/>
      <c r="G2118"/>
      <c r="H2118"/>
      <c r="I2118"/>
      <c r="K2118"/>
      <c r="O2118"/>
      <c r="R2118"/>
      <c r="W2118" s="4"/>
      <c r="X2118" s="4"/>
      <c r="Y2118" s="4"/>
    </row>
    <row r="2119" spans="5:25">
      <c r="E2119"/>
      <c r="G2119"/>
      <c r="H2119"/>
      <c r="I2119"/>
      <c r="K2119"/>
      <c r="O2119"/>
      <c r="R2119"/>
      <c r="W2119" s="4"/>
      <c r="X2119" s="4"/>
      <c r="Y2119" s="4"/>
    </row>
    <row r="2120" spans="5:25">
      <c r="E2120"/>
      <c r="G2120"/>
      <c r="H2120"/>
      <c r="I2120"/>
      <c r="K2120"/>
      <c r="O2120"/>
      <c r="R2120"/>
      <c r="W2120" s="4"/>
      <c r="X2120" s="4"/>
      <c r="Y2120" s="4"/>
    </row>
    <row r="2121" spans="5:25">
      <c r="E2121"/>
      <c r="G2121"/>
      <c r="H2121"/>
      <c r="I2121"/>
      <c r="K2121"/>
      <c r="O2121"/>
      <c r="R2121"/>
      <c r="W2121" s="4"/>
      <c r="X2121" s="4"/>
      <c r="Y2121" s="4"/>
    </row>
    <row r="2122" spans="5:25">
      <c r="E2122"/>
      <c r="G2122"/>
      <c r="H2122"/>
      <c r="I2122"/>
      <c r="K2122"/>
      <c r="O2122"/>
      <c r="R2122"/>
      <c r="W2122" s="4"/>
      <c r="X2122" s="4"/>
      <c r="Y2122" s="4"/>
    </row>
    <row r="2123" spans="5:25">
      <c r="E2123"/>
      <c r="G2123"/>
      <c r="H2123"/>
      <c r="I2123"/>
      <c r="K2123"/>
      <c r="O2123"/>
      <c r="R2123"/>
      <c r="W2123" s="4"/>
      <c r="X2123" s="4"/>
      <c r="Y2123" s="4"/>
    </row>
    <row r="2124" spans="5:25">
      <c r="E2124"/>
      <c r="G2124"/>
      <c r="H2124"/>
      <c r="I2124"/>
      <c r="K2124"/>
      <c r="O2124"/>
      <c r="R2124"/>
      <c r="W2124" s="4"/>
      <c r="X2124" s="4"/>
      <c r="Y2124" s="4"/>
    </row>
    <row r="2125" spans="5:25">
      <c r="E2125"/>
      <c r="G2125"/>
      <c r="H2125"/>
      <c r="I2125"/>
      <c r="K2125"/>
      <c r="O2125"/>
      <c r="R2125"/>
      <c r="W2125" s="4"/>
      <c r="X2125" s="4"/>
      <c r="Y2125" s="4"/>
    </row>
    <row r="2126" spans="5:25">
      <c r="E2126"/>
      <c r="G2126"/>
      <c r="H2126"/>
      <c r="I2126"/>
      <c r="K2126"/>
      <c r="O2126"/>
      <c r="R2126"/>
      <c r="W2126" s="4"/>
      <c r="X2126" s="4"/>
      <c r="Y2126" s="4"/>
    </row>
    <row r="2127" spans="5:25">
      <c r="E2127"/>
      <c r="G2127"/>
      <c r="H2127"/>
      <c r="I2127"/>
      <c r="K2127"/>
      <c r="O2127"/>
      <c r="R2127"/>
      <c r="W2127" s="4"/>
      <c r="X2127" s="4"/>
      <c r="Y2127" s="4"/>
    </row>
    <row r="2128" spans="5:25">
      <c r="E2128"/>
      <c r="G2128"/>
      <c r="H2128"/>
      <c r="I2128"/>
      <c r="K2128"/>
      <c r="O2128"/>
      <c r="R2128"/>
      <c r="W2128" s="4"/>
      <c r="X2128" s="4"/>
      <c r="Y2128" s="4"/>
    </row>
    <row r="2129" spans="5:25">
      <c r="E2129"/>
      <c r="G2129"/>
      <c r="H2129"/>
      <c r="I2129"/>
      <c r="K2129"/>
      <c r="O2129"/>
      <c r="R2129"/>
      <c r="W2129" s="4"/>
      <c r="X2129" s="4"/>
      <c r="Y2129" s="4"/>
    </row>
    <row r="2130" spans="5:25">
      <c r="E2130"/>
      <c r="G2130"/>
      <c r="H2130"/>
      <c r="I2130"/>
      <c r="K2130"/>
      <c r="O2130"/>
      <c r="R2130"/>
      <c r="W2130" s="4"/>
      <c r="X2130" s="4"/>
      <c r="Y2130" s="4"/>
    </row>
    <row r="2131" spans="5:25">
      <c r="E2131"/>
      <c r="G2131"/>
      <c r="H2131"/>
      <c r="I2131"/>
      <c r="K2131"/>
      <c r="O2131"/>
      <c r="R2131"/>
      <c r="W2131" s="4"/>
      <c r="X2131" s="4"/>
      <c r="Y2131" s="4"/>
    </row>
    <row r="2132" spans="5:25">
      <c r="E2132"/>
      <c r="G2132"/>
      <c r="H2132"/>
      <c r="I2132"/>
      <c r="K2132"/>
      <c r="O2132"/>
      <c r="R2132"/>
      <c r="W2132" s="4"/>
      <c r="X2132" s="4"/>
      <c r="Y2132" s="4"/>
    </row>
    <row r="2133" spans="5:25">
      <c r="E2133"/>
      <c r="G2133"/>
      <c r="H2133"/>
      <c r="I2133"/>
      <c r="K2133"/>
      <c r="O2133"/>
      <c r="R2133"/>
      <c r="W2133" s="4"/>
      <c r="X2133" s="4"/>
      <c r="Y2133" s="4"/>
    </row>
    <row r="2134" spans="5:25">
      <c r="E2134"/>
      <c r="G2134"/>
      <c r="H2134"/>
      <c r="I2134"/>
      <c r="K2134"/>
      <c r="O2134"/>
      <c r="R2134"/>
      <c r="W2134" s="4"/>
      <c r="X2134" s="4"/>
      <c r="Y2134" s="4"/>
    </row>
    <row r="2135" spans="5:25">
      <c r="E2135"/>
      <c r="G2135"/>
      <c r="H2135"/>
      <c r="I2135"/>
      <c r="K2135"/>
      <c r="O2135"/>
      <c r="R2135"/>
      <c r="W2135" s="4"/>
      <c r="X2135" s="4"/>
      <c r="Y2135" s="4"/>
    </row>
    <row r="2136" spans="5:25">
      <c r="E2136"/>
      <c r="G2136"/>
      <c r="H2136"/>
      <c r="I2136"/>
      <c r="K2136"/>
      <c r="O2136"/>
      <c r="R2136"/>
      <c r="W2136" s="4"/>
      <c r="X2136" s="4"/>
      <c r="Y2136" s="4"/>
    </row>
    <row r="2137" spans="5:25">
      <c r="E2137"/>
      <c r="G2137"/>
      <c r="H2137"/>
      <c r="I2137"/>
      <c r="K2137"/>
      <c r="O2137"/>
      <c r="R2137"/>
      <c r="W2137" s="4"/>
      <c r="X2137" s="4"/>
      <c r="Y2137" s="4"/>
    </row>
    <row r="2138" spans="5:25">
      <c r="E2138"/>
      <c r="G2138"/>
      <c r="H2138"/>
      <c r="I2138"/>
      <c r="K2138"/>
      <c r="O2138"/>
      <c r="R2138"/>
      <c r="W2138" s="4"/>
      <c r="X2138" s="4"/>
      <c r="Y2138" s="4"/>
    </row>
    <row r="2139" spans="5:25">
      <c r="E2139"/>
      <c r="G2139"/>
      <c r="H2139"/>
      <c r="I2139"/>
      <c r="K2139"/>
      <c r="O2139"/>
      <c r="R2139"/>
      <c r="W2139" s="4"/>
      <c r="X2139" s="4"/>
      <c r="Y2139" s="4"/>
    </row>
    <row r="2140" spans="5:25">
      <c r="E2140"/>
      <c r="G2140"/>
      <c r="H2140"/>
      <c r="I2140"/>
      <c r="K2140"/>
      <c r="O2140"/>
      <c r="R2140"/>
      <c r="W2140" s="4"/>
      <c r="X2140" s="4"/>
      <c r="Y2140" s="4"/>
    </row>
    <row r="2141" spans="5:25">
      <c r="E2141"/>
      <c r="G2141"/>
      <c r="H2141"/>
      <c r="I2141"/>
      <c r="K2141"/>
      <c r="O2141"/>
      <c r="R2141"/>
      <c r="W2141" s="4"/>
      <c r="X2141" s="4"/>
      <c r="Y2141" s="4"/>
    </row>
    <row r="2142" spans="5:25">
      <c r="E2142"/>
      <c r="G2142"/>
      <c r="H2142"/>
      <c r="I2142"/>
      <c r="K2142"/>
      <c r="O2142"/>
      <c r="R2142"/>
      <c r="W2142" s="4"/>
      <c r="X2142" s="4"/>
      <c r="Y2142" s="4"/>
    </row>
    <row r="2143" spans="5:25">
      <c r="E2143"/>
      <c r="G2143"/>
      <c r="H2143"/>
      <c r="I2143"/>
      <c r="K2143"/>
      <c r="O2143"/>
      <c r="R2143"/>
      <c r="W2143" s="4"/>
      <c r="X2143" s="4"/>
      <c r="Y2143" s="4"/>
    </row>
    <row r="2144" spans="5:25">
      <c r="E2144"/>
      <c r="G2144"/>
      <c r="H2144"/>
      <c r="I2144"/>
      <c r="K2144"/>
      <c r="O2144"/>
      <c r="R2144"/>
      <c r="W2144" s="4"/>
      <c r="X2144" s="4"/>
      <c r="Y2144" s="4"/>
    </row>
    <row r="2145" spans="5:25">
      <c r="E2145"/>
      <c r="G2145"/>
      <c r="H2145"/>
      <c r="I2145"/>
      <c r="K2145"/>
      <c r="O2145"/>
      <c r="R2145"/>
      <c r="W2145" s="4"/>
      <c r="X2145" s="4"/>
      <c r="Y2145" s="4"/>
    </row>
    <row r="2146" spans="5:25">
      <c r="E2146"/>
      <c r="G2146"/>
      <c r="H2146"/>
      <c r="I2146"/>
      <c r="K2146"/>
      <c r="O2146"/>
      <c r="R2146"/>
      <c r="W2146" s="4"/>
      <c r="X2146" s="4"/>
      <c r="Y2146" s="4"/>
    </row>
    <row r="2147" spans="5:25">
      <c r="E2147"/>
      <c r="G2147"/>
      <c r="H2147"/>
      <c r="I2147"/>
      <c r="K2147"/>
      <c r="O2147"/>
      <c r="R2147"/>
      <c r="W2147" s="4"/>
      <c r="X2147" s="4"/>
      <c r="Y2147" s="4"/>
    </row>
    <row r="2148" spans="5:25">
      <c r="E2148"/>
      <c r="G2148"/>
      <c r="H2148"/>
      <c r="I2148"/>
      <c r="K2148"/>
      <c r="O2148"/>
      <c r="R2148"/>
      <c r="W2148" s="4"/>
      <c r="X2148" s="4"/>
      <c r="Y2148" s="4"/>
    </row>
    <row r="2149" spans="5:25">
      <c r="E2149"/>
      <c r="G2149"/>
      <c r="H2149"/>
      <c r="I2149"/>
      <c r="K2149"/>
      <c r="O2149"/>
      <c r="R2149"/>
      <c r="W2149" s="4"/>
      <c r="X2149" s="4"/>
      <c r="Y2149" s="4"/>
    </row>
    <row r="2150" spans="5:25">
      <c r="E2150"/>
      <c r="G2150"/>
      <c r="H2150"/>
      <c r="I2150"/>
      <c r="K2150"/>
      <c r="O2150"/>
      <c r="R2150"/>
      <c r="W2150" s="4"/>
      <c r="X2150" s="4"/>
      <c r="Y2150" s="4"/>
    </row>
    <row r="2151" spans="5:25">
      <c r="E2151"/>
      <c r="G2151"/>
      <c r="H2151"/>
      <c r="I2151"/>
      <c r="K2151"/>
      <c r="O2151"/>
      <c r="R2151"/>
      <c r="W2151" s="4"/>
      <c r="X2151" s="4"/>
      <c r="Y2151" s="4"/>
    </row>
    <row r="2152" spans="5:25">
      <c r="E2152"/>
      <c r="G2152"/>
      <c r="H2152"/>
      <c r="I2152"/>
      <c r="K2152"/>
      <c r="O2152"/>
      <c r="R2152"/>
      <c r="W2152" s="4"/>
      <c r="X2152" s="4"/>
      <c r="Y2152" s="4"/>
    </row>
    <row r="2153" spans="5:25">
      <c r="E2153"/>
      <c r="G2153"/>
      <c r="H2153"/>
      <c r="I2153"/>
      <c r="K2153"/>
      <c r="O2153"/>
      <c r="R2153"/>
      <c r="W2153" s="4"/>
      <c r="X2153" s="4"/>
      <c r="Y2153" s="4"/>
    </row>
    <row r="2154" spans="5:25">
      <c r="E2154"/>
      <c r="G2154"/>
      <c r="H2154"/>
      <c r="I2154"/>
      <c r="K2154"/>
      <c r="O2154"/>
      <c r="R2154"/>
      <c r="W2154" s="4"/>
      <c r="X2154" s="4"/>
      <c r="Y2154" s="4"/>
    </row>
    <row r="2155" spans="5:25">
      <c r="E2155"/>
      <c r="G2155"/>
      <c r="H2155"/>
      <c r="I2155"/>
      <c r="K2155"/>
      <c r="O2155"/>
      <c r="R2155"/>
      <c r="W2155" s="4"/>
      <c r="X2155" s="4"/>
      <c r="Y2155" s="4"/>
    </row>
    <row r="2156" spans="5:25">
      <c r="E2156"/>
      <c r="G2156"/>
      <c r="H2156"/>
      <c r="I2156"/>
      <c r="K2156"/>
      <c r="O2156"/>
      <c r="R2156"/>
      <c r="W2156" s="4"/>
      <c r="X2156" s="4"/>
      <c r="Y2156" s="4"/>
    </row>
    <row r="2157" spans="5:25">
      <c r="E2157"/>
      <c r="G2157"/>
      <c r="H2157"/>
      <c r="I2157"/>
      <c r="K2157"/>
      <c r="O2157"/>
      <c r="R2157"/>
      <c r="W2157" s="4"/>
      <c r="X2157" s="4"/>
      <c r="Y2157" s="4"/>
    </row>
    <row r="2158" spans="5:25">
      <c r="E2158"/>
      <c r="G2158"/>
      <c r="H2158"/>
      <c r="I2158"/>
      <c r="K2158"/>
      <c r="O2158"/>
      <c r="R2158"/>
      <c r="W2158" s="4"/>
      <c r="X2158" s="4"/>
      <c r="Y2158" s="4"/>
    </row>
    <row r="2159" spans="5:25">
      <c r="E2159"/>
      <c r="G2159"/>
      <c r="H2159"/>
      <c r="I2159"/>
      <c r="K2159"/>
      <c r="O2159"/>
      <c r="R2159"/>
      <c r="W2159" s="4"/>
      <c r="X2159" s="4"/>
      <c r="Y2159" s="4"/>
    </row>
    <row r="2160" spans="5:25">
      <c r="E2160"/>
      <c r="G2160"/>
      <c r="H2160"/>
      <c r="I2160"/>
      <c r="K2160"/>
      <c r="O2160"/>
      <c r="R2160"/>
      <c r="W2160" s="4"/>
      <c r="X2160" s="4"/>
      <c r="Y2160" s="4"/>
    </row>
    <row r="2161" spans="5:25">
      <c r="E2161"/>
      <c r="G2161"/>
      <c r="H2161"/>
      <c r="I2161"/>
      <c r="K2161"/>
      <c r="O2161"/>
      <c r="R2161"/>
      <c r="W2161" s="4"/>
      <c r="X2161" s="4"/>
      <c r="Y2161" s="4"/>
    </row>
    <row r="2162" spans="5:25">
      <c r="E2162"/>
      <c r="G2162"/>
      <c r="H2162"/>
      <c r="I2162"/>
      <c r="K2162"/>
      <c r="O2162"/>
      <c r="R2162"/>
      <c r="W2162" s="4"/>
      <c r="X2162" s="4"/>
      <c r="Y2162" s="4"/>
    </row>
    <row r="2163" spans="5:25">
      <c r="E2163"/>
      <c r="G2163"/>
      <c r="H2163"/>
      <c r="I2163"/>
      <c r="K2163"/>
      <c r="O2163"/>
      <c r="R2163"/>
      <c r="W2163" s="4"/>
      <c r="X2163" s="4"/>
      <c r="Y2163" s="4"/>
    </row>
    <row r="2164" spans="5:25">
      <c r="E2164"/>
      <c r="G2164"/>
      <c r="H2164"/>
      <c r="I2164"/>
      <c r="K2164"/>
      <c r="O2164"/>
      <c r="R2164"/>
      <c r="W2164" s="4"/>
      <c r="X2164" s="4"/>
      <c r="Y2164" s="4"/>
    </row>
    <row r="2165" spans="5:25">
      <c r="E2165"/>
      <c r="G2165"/>
      <c r="H2165"/>
      <c r="I2165"/>
      <c r="K2165"/>
      <c r="O2165"/>
      <c r="R2165"/>
      <c r="W2165" s="4"/>
      <c r="X2165" s="4"/>
      <c r="Y2165" s="4"/>
    </row>
    <row r="2166" spans="5:25">
      <c r="E2166"/>
      <c r="G2166"/>
      <c r="H2166"/>
      <c r="I2166"/>
      <c r="K2166"/>
      <c r="O2166"/>
      <c r="R2166"/>
      <c r="W2166" s="4"/>
      <c r="X2166" s="4"/>
      <c r="Y2166" s="4"/>
    </row>
    <row r="2167" spans="5:25">
      <c r="E2167"/>
      <c r="G2167"/>
      <c r="H2167"/>
      <c r="I2167"/>
      <c r="K2167"/>
      <c r="O2167"/>
      <c r="R2167"/>
      <c r="W2167" s="4"/>
      <c r="X2167" s="4"/>
      <c r="Y2167" s="4"/>
    </row>
    <row r="2168" spans="5:25">
      <c r="E2168"/>
      <c r="G2168"/>
      <c r="H2168"/>
      <c r="I2168"/>
      <c r="K2168"/>
      <c r="O2168"/>
      <c r="R2168"/>
      <c r="W2168" s="4"/>
      <c r="X2168" s="4"/>
      <c r="Y2168" s="4"/>
    </row>
    <row r="2169" spans="5:25">
      <c r="E2169"/>
      <c r="G2169"/>
      <c r="H2169"/>
      <c r="I2169"/>
      <c r="K2169"/>
      <c r="O2169"/>
      <c r="R2169"/>
      <c r="W2169" s="4"/>
      <c r="X2169" s="4"/>
      <c r="Y2169" s="4"/>
    </row>
    <row r="2170" spans="5:25">
      <c r="E2170"/>
      <c r="G2170"/>
      <c r="H2170"/>
      <c r="I2170"/>
      <c r="K2170"/>
      <c r="O2170"/>
      <c r="R2170"/>
      <c r="W2170" s="4"/>
      <c r="X2170" s="4"/>
      <c r="Y2170" s="4"/>
    </row>
    <row r="2171" spans="5:25">
      <c r="E2171"/>
      <c r="G2171"/>
      <c r="H2171"/>
      <c r="I2171"/>
      <c r="K2171"/>
      <c r="O2171"/>
      <c r="R2171"/>
      <c r="W2171" s="4"/>
      <c r="X2171" s="4"/>
      <c r="Y2171" s="4"/>
    </row>
    <row r="2172" spans="5:25">
      <c r="E2172"/>
      <c r="G2172"/>
      <c r="H2172"/>
      <c r="I2172"/>
      <c r="K2172"/>
      <c r="O2172"/>
      <c r="R2172"/>
      <c r="W2172" s="4"/>
      <c r="X2172" s="4"/>
      <c r="Y2172" s="4"/>
    </row>
    <row r="2173" spans="5:25">
      <c r="E2173"/>
      <c r="G2173"/>
      <c r="H2173"/>
      <c r="I2173"/>
      <c r="K2173"/>
      <c r="O2173"/>
      <c r="R2173"/>
      <c r="W2173" s="4"/>
      <c r="X2173" s="4"/>
      <c r="Y2173" s="4"/>
    </row>
    <row r="2174" spans="5:25">
      <c r="E2174"/>
      <c r="G2174"/>
      <c r="H2174"/>
      <c r="I2174"/>
      <c r="K2174"/>
      <c r="O2174"/>
      <c r="R2174"/>
      <c r="W2174" s="4"/>
      <c r="X2174" s="4"/>
      <c r="Y2174" s="4"/>
    </row>
    <row r="2175" spans="5:25">
      <c r="E2175"/>
      <c r="G2175"/>
      <c r="H2175"/>
      <c r="I2175"/>
      <c r="K2175"/>
      <c r="O2175"/>
      <c r="R2175"/>
      <c r="W2175" s="4"/>
      <c r="X2175" s="4"/>
      <c r="Y2175" s="4"/>
    </row>
    <row r="2176" spans="5:25">
      <c r="E2176"/>
      <c r="G2176"/>
      <c r="H2176"/>
      <c r="I2176"/>
      <c r="K2176"/>
      <c r="O2176"/>
      <c r="R2176"/>
      <c r="W2176" s="4"/>
      <c r="X2176" s="4"/>
      <c r="Y2176" s="4"/>
    </row>
    <row r="2177" spans="5:25">
      <c r="E2177"/>
      <c r="G2177"/>
      <c r="H2177"/>
      <c r="I2177"/>
      <c r="K2177"/>
      <c r="O2177"/>
      <c r="R2177"/>
      <c r="W2177" s="4"/>
      <c r="X2177" s="4"/>
      <c r="Y2177" s="4"/>
    </row>
    <row r="2178" spans="5:25">
      <c r="E2178"/>
      <c r="G2178"/>
      <c r="H2178"/>
      <c r="I2178"/>
      <c r="K2178"/>
      <c r="O2178"/>
      <c r="R2178"/>
      <c r="W2178" s="4"/>
      <c r="X2178" s="4"/>
      <c r="Y2178" s="4"/>
    </row>
    <row r="2179" spans="5:25">
      <c r="E2179"/>
      <c r="G2179"/>
      <c r="H2179"/>
      <c r="I2179"/>
      <c r="K2179"/>
      <c r="O2179"/>
      <c r="R2179"/>
      <c r="W2179" s="4"/>
      <c r="X2179" s="4"/>
      <c r="Y2179" s="4"/>
    </row>
    <row r="2180" spans="5:25">
      <c r="E2180"/>
      <c r="G2180"/>
      <c r="H2180"/>
      <c r="I2180"/>
      <c r="K2180"/>
      <c r="O2180"/>
      <c r="R2180"/>
      <c r="W2180" s="4"/>
      <c r="X2180" s="4"/>
      <c r="Y2180" s="4"/>
    </row>
    <row r="2181" spans="5:25">
      <c r="E2181"/>
      <c r="G2181"/>
      <c r="H2181"/>
      <c r="I2181"/>
      <c r="K2181"/>
      <c r="O2181"/>
      <c r="R2181"/>
      <c r="W2181" s="4"/>
      <c r="X2181" s="4"/>
      <c r="Y2181" s="4"/>
    </row>
    <row r="2182" spans="5:25">
      <c r="E2182"/>
      <c r="G2182"/>
      <c r="H2182"/>
      <c r="I2182"/>
      <c r="K2182"/>
      <c r="O2182"/>
      <c r="R2182"/>
      <c r="W2182" s="4"/>
      <c r="X2182" s="4"/>
      <c r="Y2182" s="4"/>
    </row>
    <row r="2183" spans="5:25">
      <c r="E2183"/>
      <c r="G2183"/>
      <c r="H2183"/>
      <c r="I2183"/>
      <c r="K2183"/>
      <c r="O2183"/>
      <c r="R2183"/>
      <c r="W2183" s="4"/>
      <c r="X2183" s="4"/>
      <c r="Y2183" s="4"/>
    </row>
    <row r="2184" spans="5:25">
      <c r="E2184"/>
      <c r="G2184"/>
      <c r="H2184"/>
      <c r="I2184"/>
      <c r="K2184"/>
      <c r="O2184"/>
      <c r="R2184"/>
      <c r="W2184" s="4"/>
      <c r="X2184" s="4"/>
      <c r="Y2184" s="4"/>
    </row>
    <row r="2185" spans="5:25">
      <c r="E2185"/>
      <c r="G2185"/>
      <c r="H2185"/>
      <c r="I2185"/>
      <c r="K2185"/>
      <c r="O2185"/>
      <c r="R2185"/>
      <c r="W2185" s="4"/>
      <c r="X2185" s="4"/>
      <c r="Y2185" s="4"/>
    </row>
    <row r="2186" spans="5:25">
      <c r="E2186"/>
      <c r="G2186"/>
      <c r="H2186"/>
      <c r="I2186"/>
      <c r="K2186"/>
      <c r="O2186"/>
      <c r="R2186"/>
      <c r="W2186" s="4"/>
      <c r="X2186" s="4"/>
      <c r="Y2186" s="4"/>
    </row>
    <row r="2187" spans="5:25">
      <c r="E2187"/>
      <c r="G2187"/>
      <c r="H2187"/>
      <c r="I2187"/>
      <c r="K2187"/>
      <c r="O2187"/>
      <c r="R2187"/>
      <c r="W2187" s="4"/>
      <c r="X2187" s="4"/>
      <c r="Y2187" s="4"/>
    </row>
    <row r="2188" spans="5:25">
      <c r="E2188"/>
      <c r="G2188"/>
      <c r="H2188"/>
      <c r="I2188"/>
      <c r="K2188"/>
      <c r="O2188"/>
      <c r="R2188"/>
      <c r="W2188" s="4"/>
      <c r="X2188" s="4"/>
      <c r="Y2188" s="4"/>
    </row>
    <row r="2189" spans="5:25">
      <c r="E2189"/>
      <c r="G2189"/>
      <c r="H2189"/>
      <c r="I2189"/>
      <c r="K2189"/>
      <c r="O2189"/>
      <c r="R2189"/>
      <c r="W2189" s="4"/>
      <c r="X2189" s="4"/>
      <c r="Y2189" s="4"/>
    </row>
    <row r="2190" spans="5:25">
      <c r="E2190"/>
      <c r="G2190"/>
      <c r="H2190"/>
      <c r="I2190"/>
      <c r="K2190"/>
      <c r="O2190"/>
      <c r="R2190"/>
      <c r="W2190" s="4"/>
      <c r="X2190" s="4"/>
      <c r="Y2190" s="4"/>
    </row>
    <row r="2191" spans="5:25">
      <c r="E2191"/>
      <c r="G2191"/>
      <c r="H2191"/>
      <c r="I2191"/>
      <c r="K2191"/>
      <c r="O2191"/>
      <c r="R2191"/>
      <c r="W2191" s="4"/>
      <c r="X2191" s="4"/>
      <c r="Y2191" s="4"/>
    </row>
    <row r="2192" spans="5:25">
      <c r="E2192"/>
      <c r="G2192"/>
      <c r="H2192"/>
      <c r="I2192"/>
      <c r="K2192"/>
      <c r="O2192"/>
      <c r="R2192"/>
      <c r="W2192" s="4"/>
      <c r="X2192" s="4"/>
      <c r="Y2192" s="4"/>
    </row>
    <row r="2193" spans="5:25">
      <c r="E2193"/>
      <c r="G2193"/>
      <c r="H2193"/>
      <c r="I2193"/>
      <c r="K2193"/>
      <c r="O2193"/>
      <c r="R2193"/>
      <c r="W2193" s="4"/>
      <c r="X2193" s="4"/>
      <c r="Y2193" s="4"/>
    </row>
    <row r="2194" spans="5:25">
      <c r="E2194"/>
      <c r="G2194"/>
      <c r="H2194"/>
      <c r="I2194"/>
      <c r="K2194"/>
      <c r="O2194"/>
      <c r="R2194"/>
      <c r="W2194" s="4"/>
      <c r="X2194" s="4"/>
      <c r="Y2194" s="4"/>
    </row>
    <row r="2195" spans="5:25">
      <c r="E2195"/>
      <c r="G2195"/>
      <c r="H2195"/>
      <c r="I2195"/>
      <c r="K2195"/>
      <c r="O2195"/>
      <c r="R2195"/>
      <c r="W2195" s="4"/>
      <c r="X2195" s="4"/>
      <c r="Y2195" s="4"/>
    </row>
    <row r="2196" spans="5:25">
      <c r="E2196"/>
      <c r="G2196"/>
      <c r="H2196"/>
      <c r="I2196"/>
      <c r="K2196"/>
      <c r="O2196"/>
      <c r="R2196"/>
      <c r="W2196" s="4"/>
      <c r="X2196" s="4"/>
      <c r="Y2196" s="4"/>
    </row>
    <row r="2197" spans="5:25">
      <c r="E2197"/>
      <c r="G2197"/>
      <c r="H2197"/>
      <c r="I2197"/>
      <c r="K2197"/>
      <c r="O2197"/>
      <c r="R2197"/>
      <c r="W2197" s="4"/>
      <c r="X2197" s="4"/>
      <c r="Y2197" s="4"/>
    </row>
    <row r="2198" spans="5:25">
      <c r="E2198"/>
      <c r="G2198"/>
      <c r="H2198"/>
      <c r="I2198"/>
      <c r="K2198"/>
      <c r="O2198"/>
      <c r="R2198"/>
      <c r="W2198" s="4"/>
      <c r="X2198" s="4"/>
      <c r="Y2198" s="4"/>
    </row>
    <row r="2199" spans="5:25">
      <c r="E2199"/>
      <c r="G2199"/>
      <c r="H2199"/>
      <c r="I2199"/>
      <c r="K2199"/>
      <c r="O2199"/>
      <c r="R2199"/>
      <c r="W2199" s="4"/>
      <c r="X2199" s="4"/>
      <c r="Y2199" s="4"/>
    </row>
    <row r="2200" spans="5:25">
      <c r="E2200"/>
      <c r="G2200"/>
      <c r="H2200"/>
      <c r="I2200"/>
      <c r="K2200"/>
      <c r="O2200"/>
      <c r="R2200"/>
      <c r="W2200" s="4"/>
      <c r="X2200" s="4"/>
      <c r="Y2200" s="4"/>
    </row>
    <row r="2201" spans="5:25">
      <c r="E2201"/>
      <c r="G2201"/>
      <c r="H2201"/>
      <c r="I2201"/>
      <c r="K2201"/>
      <c r="O2201"/>
      <c r="R2201"/>
      <c r="W2201" s="4"/>
      <c r="X2201" s="4"/>
      <c r="Y2201" s="4"/>
    </row>
    <row r="2202" spans="5:25">
      <c r="E2202"/>
      <c r="G2202"/>
      <c r="H2202"/>
      <c r="I2202"/>
      <c r="K2202"/>
      <c r="O2202"/>
      <c r="R2202"/>
      <c r="W2202" s="4"/>
      <c r="X2202" s="4"/>
      <c r="Y2202" s="4"/>
    </row>
    <row r="2203" spans="5:25">
      <c r="E2203"/>
      <c r="G2203"/>
      <c r="H2203"/>
      <c r="I2203"/>
      <c r="K2203"/>
      <c r="O2203"/>
      <c r="R2203"/>
      <c r="W2203" s="4"/>
      <c r="X2203" s="4"/>
      <c r="Y2203" s="4"/>
    </row>
    <row r="2204" spans="5:25">
      <c r="E2204"/>
      <c r="G2204"/>
      <c r="H2204"/>
      <c r="I2204"/>
      <c r="K2204"/>
      <c r="O2204"/>
      <c r="R2204"/>
      <c r="W2204" s="4"/>
      <c r="X2204" s="4"/>
      <c r="Y2204" s="4"/>
    </row>
    <row r="2205" spans="5:25">
      <c r="E2205"/>
      <c r="G2205"/>
      <c r="H2205"/>
      <c r="I2205"/>
      <c r="K2205"/>
      <c r="O2205"/>
      <c r="R2205"/>
      <c r="W2205" s="4"/>
      <c r="X2205" s="4"/>
      <c r="Y2205" s="4"/>
    </row>
    <row r="2206" spans="5:25">
      <c r="E2206"/>
      <c r="G2206"/>
      <c r="H2206"/>
      <c r="I2206"/>
      <c r="K2206"/>
      <c r="O2206"/>
      <c r="R2206"/>
      <c r="W2206" s="4"/>
      <c r="X2206" s="4"/>
      <c r="Y2206" s="4"/>
    </row>
    <row r="2207" spans="5:25">
      <c r="E2207"/>
      <c r="G2207"/>
      <c r="H2207"/>
      <c r="I2207"/>
      <c r="K2207"/>
      <c r="O2207"/>
      <c r="R2207"/>
      <c r="W2207" s="4"/>
      <c r="X2207" s="4"/>
      <c r="Y2207" s="4"/>
    </row>
    <row r="2208" spans="5:25">
      <c r="E2208"/>
      <c r="G2208"/>
      <c r="H2208"/>
      <c r="I2208"/>
      <c r="K2208"/>
      <c r="O2208"/>
      <c r="R2208"/>
      <c r="W2208" s="4"/>
      <c r="X2208" s="4"/>
      <c r="Y2208" s="4"/>
    </row>
    <row r="2209" spans="5:25">
      <c r="E2209"/>
      <c r="G2209"/>
      <c r="H2209"/>
      <c r="I2209"/>
      <c r="K2209"/>
      <c r="O2209"/>
      <c r="R2209"/>
      <c r="W2209" s="4"/>
      <c r="X2209" s="4"/>
      <c r="Y2209" s="4"/>
    </row>
    <row r="2210" spans="5:25">
      <c r="E2210"/>
      <c r="G2210"/>
      <c r="H2210"/>
      <c r="I2210"/>
      <c r="K2210"/>
      <c r="O2210"/>
      <c r="R2210"/>
      <c r="W2210" s="4"/>
      <c r="X2210" s="4"/>
      <c r="Y2210" s="4"/>
    </row>
    <row r="2211" spans="5:25">
      <c r="E2211"/>
      <c r="G2211"/>
      <c r="H2211"/>
      <c r="I2211"/>
      <c r="K2211"/>
      <c r="O2211"/>
      <c r="R2211"/>
      <c r="W2211" s="4"/>
      <c r="X2211" s="4"/>
      <c r="Y2211" s="4"/>
    </row>
    <row r="2212" spans="5:25">
      <c r="E2212"/>
      <c r="G2212"/>
      <c r="H2212"/>
      <c r="I2212"/>
      <c r="K2212"/>
      <c r="O2212"/>
      <c r="R2212"/>
      <c r="W2212" s="4"/>
      <c r="X2212" s="4"/>
      <c r="Y2212" s="4"/>
    </row>
    <row r="2213" spans="5:25">
      <c r="E2213"/>
      <c r="G2213"/>
      <c r="H2213"/>
      <c r="I2213"/>
      <c r="K2213"/>
      <c r="O2213"/>
      <c r="R2213"/>
      <c r="W2213" s="4"/>
      <c r="X2213" s="4"/>
      <c r="Y2213" s="4"/>
    </row>
    <row r="2214" spans="5:25">
      <c r="E2214"/>
      <c r="G2214"/>
      <c r="H2214"/>
      <c r="I2214"/>
      <c r="K2214"/>
      <c r="O2214"/>
      <c r="R2214"/>
      <c r="W2214" s="4"/>
      <c r="X2214" s="4"/>
      <c r="Y2214" s="4"/>
    </row>
    <row r="2215" spans="5:25">
      <c r="E2215"/>
      <c r="G2215"/>
      <c r="H2215"/>
      <c r="I2215"/>
      <c r="K2215"/>
      <c r="O2215"/>
      <c r="R2215"/>
      <c r="W2215" s="4"/>
      <c r="X2215" s="4"/>
      <c r="Y2215" s="4"/>
    </row>
    <row r="2216" spans="5:25">
      <c r="E2216"/>
      <c r="G2216"/>
      <c r="H2216"/>
      <c r="I2216"/>
      <c r="K2216"/>
      <c r="O2216"/>
      <c r="R2216"/>
      <c r="W2216" s="4"/>
      <c r="X2216" s="4"/>
      <c r="Y2216" s="4"/>
    </row>
    <row r="2217" spans="5:25">
      <c r="E2217"/>
      <c r="G2217"/>
      <c r="H2217"/>
      <c r="I2217"/>
      <c r="K2217"/>
      <c r="O2217"/>
      <c r="R2217"/>
      <c r="W2217" s="4"/>
      <c r="X2217" s="4"/>
      <c r="Y2217" s="4"/>
    </row>
    <row r="2218" spans="5:25">
      <c r="E2218"/>
      <c r="G2218"/>
      <c r="H2218"/>
      <c r="I2218"/>
      <c r="K2218"/>
      <c r="O2218"/>
      <c r="R2218"/>
      <c r="W2218" s="4"/>
      <c r="X2218" s="4"/>
      <c r="Y2218" s="4"/>
    </row>
    <row r="2219" spans="5:25">
      <c r="E2219"/>
      <c r="G2219"/>
      <c r="H2219"/>
      <c r="I2219"/>
      <c r="K2219"/>
      <c r="O2219"/>
      <c r="R2219"/>
      <c r="W2219" s="4"/>
      <c r="X2219" s="4"/>
      <c r="Y2219" s="4"/>
    </row>
    <row r="2220" spans="5:25">
      <c r="E2220"/>
      <c r="G2220"/>
      <c r="H2220"/>
      <c r="I2220"/>
      <c r="K2220"/>
      <c r="O2220"/>
      <c r="R2220"/>
      <c r="W2220" s="4"/>
      <c r="X2220" s="4"/>
      <c r="Y2220" s="4"/>
    </row>
    <row r="2221" spans="5:25">
      <c r="E2221"/>
      <c r="G2221"/>
      <c r="H2221"/>
      <c r="I2221"/>
      <c r="K2221"/>
      <c r="O2221"/>
      <c r="R2221"/>
      <c r="W2221" s="4"/>
      <c r="X2221" s="4"/>
      <c r="Y2221" s="4"/>
    </row>
    <row r="2222" spans="5:25">
      <c r="E2222"/>
      <c r="G2222"/>
      <c r="H2222"/>
      <c r="I2222"/>
      <c r="K2222"/>
      <c r="O2222"/>
      <c r="R2222"/>
      <c r="W2222" s="4"/>
      <c r="X2222" s="4"/>
      <c r="Y2222" s="4"/>
    </row>
    <row r="2223" spans="5:25">
      <c r="E2223"/>
      <c r="G2223"/>
      <c r="H2223"/>
      <c r="I2223"/>
      <c r="K2223"/>
      <c r="O2223"/>
      <c r="R2223"/>
      <c r="W2223" s="4"/>
      <c r="X2223" s="4"/>
      <c r="Y2223" s="4"/>
    </row>
    <row r="2224" spans="5:25">
      <c r="E2224"/>
      <c r="G2224"/>
      <c r="H2224"/>
      <c r="I2224"/>
      <c r="K2224"/>
      <c r="O2224"/>
      <c r="R2224"/>
      <c r="W2224" s="4"/>
      <c r="X2224" s="4"/>
      <c r="Y2224" s="4"/>
    </row>
    <row r="2225" spans="5:25">
      <c r="E2225"/>
      <c r="G2225"/>
      <c r="H2225"/>
      <c r="I2225"/>
      <c r="K2225"/>
      <c r="O2225"/>
      <c r="R2225"/>
      <c r="W2225" s="4"/>
      <c r="X2225" s="4"/>
      <c r="Y2225" s="4"/>
    </row>
    <row r="2226" spans="5:25">
      <c r="E2226"/>
      <c r="G2226"/>
      <c r="H2226"/>
      <c r="I2226"/>
      <c r="K2226"/>
      <c r="O2226"/>
      <c r="R2226"/>
      <c r="W2226" s="4"/>
      <c r="X2226" s="4"/>
      <c r="Y2226" s="4"/>
    </row>
    <row r="2227" spans="5:25">
      <c r="E2227"/>
      <c r="G2227"/>
      <c r="H2227"/>
      <c r="I2227"/>
      <c r="K2227"/>
      <c r="O2227"/>
      <c r="R2227"/>
      <c r="W2227" s="4"/>
      <c r="X2227" s="4"/>
      <c r="Y2227" s="4"/>
    </row>
    <row r="2228" spans="5:25">
      <c r="E2228"/>
      <c r="G2228"/>
      <c r="H2228"/>
      <c r="I2228"/>
      <c r="K2228"/>
      <c r="O2228"/>
      <c r="R2228"/>
      <c r="W2228" s="4"/>
      <c r="X2228" s="4"/>
      <c r="Y2228" s="4"/>
    </row>
    <row r="2229" spans="5:25">
      <c r="E2229"/>
      <c r="G2229"/>
      <c r="H2229"/>
      <c r="I2229"/>
      <c r="K2229"/>
      <c r="O2229"/>
      <c r="R2229"/>
      <c r="W2229" s="4"/>
      <c r="X2229" s="4"/>
      <c r="Y2229" s="4"/>
    </row>
    <row r="2230" spans="5:25">
      <c r="E2230"/>
      <c r="G2230"/>
      <c r="H2230"/>
      <c r="I2230"/>
      <c r="K2230"/>
      <c r="O2230"/>
      <c r="R2230"/>
      <c r="W2230" s="4"/>
      <c r="X2230" s="4"/>
      <c r="Y2230" s="4"/>
    </row>
    <row r="2231" spans="5:25">
      <c r="E2231"/>
      <c r="G2231"/>
      <c r="H2231"/>
      <c r="I2231"/>
      <c r="K2231"/>
      <c r="O2231"/>
      <c r="R2231"/>
      <c r="W2231" s="4"/>
      <c r="X2231" s="4"/>
      <c r="Y2231" s="4"/>
    </row>
    <row r="2232" spans="5:25">
      <c r="E2232"/>
      <c r="G2232"/>
      <c r="H2232"/>
      <c r="I2232"/>
      <c r="K2232"/>
      <c r="O2232"/>
      <c r="R2232"/>
      <c r="W2232" s="4"/>
      <c r="X2232" s="4"/>
      <c r="Y2232" s="4"/>
    </row>
    <row r="2233" spans="5:25">
      <c r="E2233"/>
      <c r="G2233"/>
      <c r="H2233"/>
      <c r="I2233"/>
      <c r="K2233"/>
      <c r="O2233"/>
      <c r="R2233"/>
      <c r="W2233" s="4"/>
      <c r="X2233" s="4"/>
      <c r="Y2233" s="4"/>
    </row>
    <row r="2234" spans="5:25">
      <c r="E2234"/>
      <c r="G2234"/>
      <c r="H2234"/>
      <c r="I2234"/>
      <c r="K2234"/>
      <c r="O2234"/>
      <c r="R2234"/>
      <c r="W2234" s="4"/>
      <c r="X2234" s="4"/>
      <c r="Y2234" s="4"/>
    </row>
    <row r="2235" spans="5:25">
      <c r="E2235"/>
      <c r="G2235"/>
      <c r="H2235"/>
      <c r="I2235"/>
      <c r="K2235"/>
      <c r="O2235"/>
      <c r="R2235"/>
      <c r="W2235" s="4"/>
      <c r="X2235" s="4"/>
      <c r="Y2235" s="4"/>
    </row>
    <row r="2236" spans="5:25">
      <c r="E2236"/>
      <c r="G2236"/>
      <c r="H2236"/>
      <c r="I2236"/>
      <c r="K2236"/>
      <c r="O2236"/>
      <c r="R2236"/>
      <c r="W2236" s="4"/>
      <c r="X2236" s="4"/>
      <c r="Y2236" s="4"/>
    </row>
    <row r="2237" spans="5:25">
      <c r="E2237"/>
      <c r="G2237"/>
      <c r="H2237"/>
      <c r="I2237"/>
      <c r="K2237"/>
      <c r="O2237"/>
      <c r="R2237"/>
      <c r="W2237" s="4"/>
      <c r="X2237" s="4"/>
      <c r="Y2237" s="4"/>
    </row>
    <row r="2238" spans="5:25">
      <c r="E2238"/>
      <c r="G2238"/>
      <c r="H2238"/>
      <c r="I2238"/>
      <c r="K2238"/>
      <c r="O2238"/>
      <c r="R2238"/>
      <c r="W2238" s="4"/>
      <c r="X2238" s="4"/>
      <c r="Y2238" s="4"/>
    </row>
    <row r="2239" spans="5:25">
      <c r="E2239"/>
      <c r="G2239"/>
      <c r="H2239"/>
      <c r="I2239"/>
      <c r="K2239"/>
      <c r="O2239"/>
      <c r="R2239"/>
      <c r="W2239" s="4"/>
      <c r="X2239" s="4"/>
      <c r="Y2239" s="4"/>
    </row>
    <row r="2240" spans="5:25">
      <c r="E2240"/>
      <c r="G2240"/>
      <c r="H2240"/>
      <c r="I2240"/>
      <c r="K2240"/>
      <c r="O2240"/>
      <c r="R2240"/>
      <c r="W2240" s="4"/>
      <c r="X2240" s="4"/>
      <c r="Y2240" s="4"/>
    </row>
    <row r="2241" spans="5:25">
      <c r="E2241"/>
      <c r="G2241"/>
      <c r="H2241"/>
      <c r="I2241"/>
      <c r="K2241"/>
      <c r="O2241"/>
      <c r="R2241"/>
      <c r="W2241" s="4"/>
      <c r="X2241" s="4"/>
      <c r="Y2241" s="4"/>
    </row>
    <row r="2242" spans="5:25">
      <c r="E2242"/>
      <c r="G2242"/>
      <c r="H2242"/>
      <c r="I2242"/>
      <c r="K2242"/>
      <c r="O2242"/>
      <c r="R2242"/>
      <c r="W2242" s="4"/>
      <c r="X2242" s="4"/>
      <c r="Y2242" s="4"/>
    </row>
    <row r="2243" spans="5:25">
      <c r="E2243"/>
      <c r="G2243"/>
      <c r="H2243"/>
      <c r="I2243"/>
      <c r="K2243"/>
      <c r="O2243"/>
      <c r="R2243"/>
      <c r="W2243" s="4"/>
      <c r="X2243" s="4"/>
      <c r="Y2243" s="4"/>
    </row>
    <row r="2244" spans="5:25">
      <c r="E2244"/>
      <c r="G2244"/>
      <c r="H2244"/>
      <c r="I2244"/>
      <c r="K2244"/>
      <c r="O2244"/>
      <c r="R2244"/>
      <c r="W2244" s="4"/>
      <c r="X2244" s="4"/>
      <c r="Y2244" s="4"/>
    </row>
    <row r="2245" spans="5:25">
      <c r="E2245"/>
      <c r="G2245"/>
      <c r="H2245"/>
      <c r="I2245"/>
      <c r="K2245"/>
      <c r="O2245"/>
      <c r="R2245"/>
      <c r="W2245" s="4"/>
      <c r="X2245" s="4"/>
      <c r="Y2245" s="4"/>
    </row>
    <row r="2246" spans="5:25">
      <c r="E2246"/>
      <c r="G2246"/>
      <c r="H2246"/>
      <c r="I2246"/>
      <c r="K2246"/>
      <c r="O2246"/>
      <c r="R2246"/>
      <c r="W2246" s="4"/>
      <c r="X2246" s="4"/>
      <c r="Y2246" s="4"/>
    </row>
    <row r="2247" spans="5:25">
      <c r="E2247"/>
      <c r="G2247"/>
      <c r="H2247"/>
      <c r="I2247"/>
      <c r="K2247"/>
      <c r="O2247"/>
      <c r="R2247"/>
      <c r="W2247" s="4"/>
      <c r="X2247" s="4"/>
      <c r="Y2247" s="4"/>
    </row>
    <row r="2248" spans="5:25">
      <c r="E2248"/>
      <c r="G2248"/>
      <c r="H2248"/>
      <c r="I2248"/>
      <c r="K2248"/>
      <c r="O2248"/>
      <c r="R2248"/>
      <c r="W2248" s="4"/>
      <c r="X2248" s="4"/>
      <c r="Y2248" s="4"/>
    </row>
    <row r="2249" spans="5:25">
      <c r="E2249"/>
      <c r="G2249"/>
      <c r="H2249"/>
      <c r="I2249"/>
      <c r="K2249"/>
      <c r="O2249"/>
      <c r="R2249"/>
      <c r="W2249" s="4"/>
      <c r="X2249" s="4"/>
      <c r="Y2249" s="4"/>
    </row>
    <row r="2250" spans="5:25">
      <c r="E2250"/>
      <c r="G2250"/>
      <c r="H2250"/>
      <c r="I2250"/>
      <c r="K2250"/>
      <c r="O2250"/>
      <c r="R2250"/>
      <c r="W2250" s="4"/>
      <c r="X2250" s="4"/>
      <c r="Y2250" s="4"/>
    </row>
    <row r="2251" spans="5:25">
      <c r="E2251"/>
      <c r="G2251"/>
      <c r="H2251"/>
      <c r="I2251"/>
      <c r="K2251"/>
      <c r="O2251"/>
      <c r="R2251"/>
      <c r="W2251" s="4"/>
      <c r="X2251" s="4"/>
      <c r="Y2251" s="4"/>
    </row>
    <row r="2252" spans="5:25">
      <c r="E2252"/>
      <c r="G2252"/>
      <c r="H2252"/>
      <c r="I2252"/>
      <c r="K2252"/>
      <c r="O2252"/>
      <c r="R2252"/>
      <c r="W2252" s="4"/>
      <c r="X2252" s="4"/>
      <c r="Y2252" s="4"/>
    </row>
    <row r="2253" spans="5:25">
      <c r="E2253"/>
      <c r="G2253"/>
      <c r="H2253"/>
      <c r="I2253"/>
      <c r="K2253"/>
      <c r="O2253"/>
      <c r="R2253"/>
      <c r="W2253" s="4"/>
      <c r="X2253" s="4"/>
      <c r="Y2253" s="4"/>
    </row>
    <row r="2254" spans="5:25">
      <c r="E2254"/>
      <c r="G2254"/>
      <c r="H2254"/>
      <c r="I2254"/>
      <c r="K2254"/>
      <c r="O2254"/>
      <c r="R2254"/>
      <c r="W2254" s="4"/>
      <c r="X2254" s="4"/>
      <c r="Y2254" s="4"/>
    </row>
    <row r="2255" spans="5:25">
      <c r="E2255"/>
      <c r="G2255"/>
      <c r="H2255"/>
      <c r="I2255"/>
      <c r="K2255"/>
      <c r="O2255"/>
      <c r="R2255"/>
      <c r="W2255" s="4"/>
      <c r="X2255" s="4"/>
      <c r="Y2255" s="4"/>
    </row>
    <row r="2256" spans="5:25">
      <c r="E2256"/>
      <c r="G2256"/>
      <c r="H2256"/>
      <c r="I2256"/>
      <c r="K2256"/>
      <c r="O2256"/>
      <c r="R2256"/>
      <c r="W2256" s="4"/>
      <c r="X2256" s="4"/>
      <c r="Y2256" s="4"/>
    </row>
    <row r="2257" spans="5:25">
      <c r="E2257"/>
      <c r="G2257"/>
      <c r="H2257"/>
      <c r="I2257"/>
      <c r="K2257"/>
      <c r="O2257"/>
      <c r="R2257"/>
      <c r="W2257" s="4"/>
      <c r="X2257" s="4"/>
      <c r="Y2257" s="4"/>
    </row>
    <row r="2258" spans="5:25">
      <c r="E2258"/>
      <c r="G2258"/>
      <c r="H2258"/>
      <c r="I2258"/>
      <c r="K2258"/>
      <c r="O2258"/>
      <c r="R2258"/>
      <c r="W2258" s="4"/>
      <c r="X2258" s="4"/>
      <c r="Y2258" s="4"/>
    </row>
    <row r="2259" spans="5:25">
      <c r="E2259"/>
      <c r="G2259"/>
      <c r="H2259"/>
      <c r="I2259"/>
      <c r="K2259"/>
      <c r="O2259"/>
      <c r="R2259"/>
      <c r="W2259" s="4"/>
      <c r="X2259" s="4"/>
      <c r="Y2259" s="4"/>
    </row>
    <row r="2260" spans="5:25">
      <c r="E2260"/>
      <c r="G2260"/>
      <c r="H2260"/>
      <c r="I2260"/>
      <c r="K2260"/>
      <c r="O2260"/>
      <c r="R2260"/>
      <c r="W2260" s="4"/>
      <c r="X2260" s="4"/>
      <c r="Y2260" s="4"/>
    </row>
    <row r="2261" spans="5:25">
      <c r="E2261"/>
      <c r="G2261"/>
      <c r="H2261"/>
      <c r="I2261"/>
      <c r="K2261"/>
      <c r="O2261"/>
      <c r="R2261"/>
      <c r="W2261" s="4"/>
      <c r="X2261" s="4"/>
      <c r="Y2261" s="4"/>
    </row>
    <row r="2262" spans="5:25">
      <c r="E2262"/>
      <c r="G2262"/>
      <c r="H2262"/>
      <c r="I2262"/>
      <c r="K2262"/>
      <c r="O2262"/>
      <c r="R2262"/>
      <c r="W2262" s="4"/>
      <c r="X2262" s="4"/>
      <c r="Y2262" s="4"/>
    </row>
    <row r="2263" spans="5:25">
      <c r="E2263"/>
      <c r="G2263"/>
      <c r="H2263"/>
      <c r="I2263"/>
      <c r="K2263"/>
      <c r="O2263"/>
      <c r="R2263"/>
      <c r="W2263" s="4"/>
      <c r="X2263" s="4"/>
      <c r="Y2263" s="4"/>
    </row>
    <row r="2264" spans="5:25">
      <c r="E2264"/>
      <c r="G2264"/>
      <c r="H2264"/>
      <c r="I2264"/>
      <c r="K2264"/>
      <c r="O2264"/>
      <c r="R2264"/>
      <c r="W2264" s="4"/>
      <c r="X2264" s="4"/>
      <c r="Y2264" s="4"/>
    </row>
    <row r="2265" spans="5:25">
      <c r="E2265"/>
      <c r="G2265"/>
      <c r="H2265"/>
      <c r="I2265"/>
      <c r="K2265"/>
      <c r="O2265"/>
      <c r="R2265"/>
      <c r="W2265" s="4"/>
      <c r="X2265" s="4"/>
      <c r="Y2265" s="4"/>
    </row>
    <row r="2266" spans="5:25">
      <c r="E2266"/>
      <c r="G2266"/>
      <c r="H2266"/>
      <c r="I2266"/>
      <c r="K2266"/>
      <c r="O2266"/>
      <c r="R2266"/>
      <c r="W2266" s="4"/>
      <c r="X2266" s="4"/>
      <c r="Y2266" s="4"/>
    </row>
    <row r="2267" spans="5:25">
      <c r="E2267"/>
      <c r="G2267"/>
      <c r="H2267"/>
      <c r="I2267"/>
      <c r="K2267"/>
      <c r="O2267"/>
      <c r="R2267"/>
      <c r="W2267" s="4"/>
      <c r="X2267" s="4"/>
      <c r="Y2267" s="4"/>
    </row>
    <row r="2268" spans="5:25">
      <c r="E2268"/>
      <c r="G2268"/>
      <c r="H2268"/>
      <c r="I2268"/>
      <c r="K2268"/>
      <c r="O2268"/>
      <c r="R2268"/>
      <c r="W2268" s="4"/>
      <c r="X2268" s="4"/>
      <c r="Y2268" s="4"/>
    </row>
    <row r="2269" spans="5:25">
      <c r="E2269"/>
      <c r="G2269"/>
      <c r="H2269"/>
      <c r="I2269"/>
      <c r="K2269"/>
      <c r="O2269"/>
      <c r="R2269"/>
      <c r="W2269" s="4"/>
      <c r="X2269" s="4"/>
      <c r="Y2269" s="4"/>
    </row>
    <row r="2270" spans="5:25">
      <c r="E2270"/>
      <c r="G2270"/>
      <c r="H2270"/>
      <c r="I2270"/>
      <c r="K2270"/>
      <c r="O2270"/>
      <c r="R2270"/>
      <c r="W2270" s="4"/>
      <c r="X2270" s="4"/>
      <c r="Y2270" s="4"/>
    </row>
    <row r="2271" spans="5:25">
      <c r="E2271"/>
      <c r="G2271"/>
      <c r="H2271"/>
      <c r="I2271"/>
      <c r="K2271"/>
      <c r="O2271"/>
      <c r="R2271"/>
      <c r="W2271" s="4"/>
      <c r="X2271" s="4"/>
      <c r="Y2271" s="4"/>
    </row>
    <row r="2272" spans="5:25">
      <c r="E2272"/>
      <c r="G2272"/>
      <c r="H2272"/>
      <c r="I2272"/>
      <c r="K2272"/>
      <c r="O2272"/>
      <c r="R2272"/>
      <c r="W2272" s="4"/>
      <c r="X2272" s="4"/>
      <c r="Y2272" s="4"/>
    </row>
    <row r="2273" spans="5:25">
      <c r="E2273"/>
      <c r="G2273"/>
      <c r="H2273"/>
      <c r="I2273"/>
      <c r="K2273"/>
      <c r="O2273"/>
      <c r="R2273"/>
      <c r="W2273" s="4"/>
      <c r="X2273" s="4"/>
      <c r="Y2273" s="4"/>
    </row>
    <row r="2274" spans="5:25">
      <c r="E2274"/>
      <c r="G2274"/>
      <c r="H2274"/>
      <c r="I2274"/>
      <c r="K2274"/>
      <c r="O2274"/>
      <c r="R2274"/>
      <c r="W2274" s="4"/>
      <c r="X2274" s="4"/>
      <c r="Y2274" s="4"/>
    </row>
    <row r="2275" spans="5:25">
      <c r="E2275"/>
      <c r="G2275"/>
      <c r="H2275"/>
      <c r="I2275"/>
      <c r="K2275"/>
      <c r="O2275"/>
      <c r="R2275"/>
      <c r="W2275" s="4"/>
      <c r="X2275" s="4"/>
      <c r="Y2275" s="4"/>
    </row>
    <row r="2276" spans="5:25">
      <c r="E2276"/>
      <c r="G2276"/>
      <c r="H2276"/>
      <c r="I2276"/>
      <c r="K2276"/>
      <c r="O2276"/>
      <c r="R2276"/>
      <c r="W2276" s="4"/>
      <c r="X2276" s="4"/>
      <c r="Y2276" s="4"/>
    </row>
    <row r="2277" spans="5:25">
      <c r="E2277"/>
      <c r="G2277"/>
      <c r="H2277"/>
      <c r="I2277"/>
      <c r="K2277"/>
      <c r="O2277"/>
      <c r="R2277"/>
      <c r="W2277" s="4"/>
      <c r="X2277" s="4"/>
      <c r="Y2277" s="4"/>
    </row>
    <row r="2278" spans="5:25">
      <c r="E2278"/>
      <c r="G2278"/>
      <c r="H2278"/>
      <c r="I2278"/>
      <c r="K2278"/>
      <c r="O2278"/>
      <c r="R2278"/>
      <c r="W2278" s="4"/>
      <c r="X2278" s="4"/>
      <c r="Y2278" s="4"/>
    </row>
    <row r="2279" spans="5:25">
      <c r="E2279"/>
      <c r="G2279"/>
      <c r="H2279"/>
      <c r="I2279"/>
      <c r="K2279"/>
      <c r="O2279"/>
      <c r="R2279"/>
      <c r="W2279" s="4"/>
      <c r="X2279" s="4"/>
      <c r="Y2279" s="4"/>
    </row>
    <row r="2280" spans="5:25">
      <c r="E2280"/>
      <c r="G2280"/>
      <c r="H2280"/>
      <c r="I2280"/>
      <c r="K2280"/>
      <c r="O2280"/>
      <c r="R2280"/>
      <c r="W2280" s="4"/>
      <c r="X2280" s="4"/>
      <c r="Y2280" s="4"/>
    </row>
    <row r="2281" spans="5:25">
      <c r="E2281"/>
      <c r="G2281"/>
      <c r="H2281"/>
      <c r="I2281"/>
      <c r="K2281"/>
      <c r="O2281"/>
      <c r="R2281"/>
      <c r="W2281" s="4"/>
      <c r="X2281" s="4"/>
      <c r="Y2281" s="4"/>
    </row>
    <row r="2282" spans="5:25">
      <c r="E2282"/>
      <c r="G2282"/>
      <c r="H2282"/>
      <c r="I2282"/>
      <c r="K2282"/>
      <c r="O2282"/>
      <c r="R2282"/>
      <c r="W2282" s="4"/>
      <c r="X2282" s="4"/>
      <c r="Y2282" s="4"/>
    </row>
    <row r="2283" spans="5:25">
      <c r="E2283"/>
      <c r="G2283"/>
      <c r="H2283"/>
      <c r="I2283"/>
      <c r="K2283"/>
      <c r="O2283"/>
      <c r="R2283"/>
      <c r="W2283" s="4"/>
      <c r="X2283" s="4"/>
      <c r="Y2283" s="4"/>
    </row>
    <row r="2284" spans="5:25">
      <c r="E2284"/>
      <c r="G2284"/>
      <c r="H2284"/>
      <c r="I2284"/>
      <c r="K2284"/>
      <c r="O2284"/>
      <c r="R2284"/>
      <c r="W2284" s="4"/>
      <c r="X2284" s="4"/>
      <c r="Y2284" s="4"/>
    </row>
    <row r="2285" spans="5:25">
      <c r="E2285"/>
      <c r="G2285"/>
      <c r="H2285"/>
      <c r="I2285"/>
      <c r="K2285"/>
      <c r="O2285"/>
      <c r="R2285"/>
      <c r="W2285" s="4"/>
      <c r="X2285" s="4"/>
      <c r="Y2285" s="4"/>
    </row>
    <row r="2286" spans="5:25">
      <c r="E2286"/>
      <c r="G2286"/>
      <c r="H2286"/>
      <c r="I2286"/>
      <c r="K2286"/>
      <c r="O2286"/>
      <c r="R2286"/>
      <c r="W2286" s="4"/>
      <c r="X2286" s="4"/>
      <c r="Y2286" s="4"/>
    </row>
    <row r="2287" spans="5:25">
      <c r="E2287"/>
      <c r="G2287"/>
      <c r="H2287"/>
      <c r="I2287"/>
      <c r="K2287"/>
      <c r="O2287"/>
      <c r="R2287"/>
      <c r="W2287" s="4"/>
      <c r="X2287" s="4"/>
      <c r="Y2287" s="4"/>
    </row>
    <row r="2288" spans="5:25">
      <c r="E2288"/>
      <c r="G2288"/>
      <c r="H2288"/>
      <c r="I2288"/>
      <c r="K2288"/>
      <c r="O2288"/>
      <c r="R2288"/>
      <c r="W2288" s="4"/>
      <c r="X2288" s="4"/>
      <c r="Y2288" s="4"/>
    </row>
    <row r="2289" spans="5:25">
      <c r="E2289"/>
      <c r="G2289"/>
      <c r="H2289"/>
      <c r="I2289"/>
      <c r="K2289"/>
      <c r="O2289"/>
      <c r="R2289"/>
      <c r="W2289" s="4"/>
      <c r="X2289" s="4"/>
      <c r="Y2289" s="4"/>
    </row>
    <row r="2290" spans="5:25">
      <c r="E2290"/>
      <c r="G2290"/>
      <c r="H2290"/>
      <c r="I2290"/>
      <c r="K2290"/>
      <c r="O2290"/>
      <c r="R2290"/>
      <c r="W2290" s="4"/>
      <c r="X2290" s="4"/>
      <c r="Y2290" s="4"/>
    </row>
    <row r="2291" spans="5:25">
      <c r="E2291"/>
      <c r="G2291"/>
      <c r="H2291"/>
      <c r="I2291"/>
      <c r="K2291"/>
      <c r="O2291"/>
      <c r="R2291"/>
      <c r="W2291" s="4"/>
      <c r="X2291" s="4"/>
      <c r="Y2291" s="4"/>
    </row>
    <row r="2292" spans="5:25">
      <c r="E2292"/>
      <c r="G2292"/>
      <c r="H2292"/>
      <c r="I2292"/>
      <c r="K2292"/>
      <c r="O2292"/>
      <c r="R2292"/>
      <c r="W2292" s="4"/>
      <c r="X2292" s="4"/>
      <c r="Y2292" s="4"/>
    </row>
    <row r="2293" spans="5:25">
      <c r="E2293"/>
      <c r="G2293"/>
      <c r="H2293"/>
      <c r="I2293"/>
      <c r="K2293"/>
      <c r="O2293"/>
      <c r="R2293"/>
      <c r="W2293" s="4"/>
      <c r="X2293" s="4"/>
      <c r="Y2293" s="4"/>
    </row>
    <row r="2294" spans="5:25">
      <c r="E2294"/>
      <c r="G2294"/>
      <c r="H2294"/>
      <c r="I2294"/>
      <c r="K2294"/>
      <c r="O2294"/>
      <c r="R2294"/>
      <c r="W2294" s="4"/>
      <c r="X2294" s="4"/>
      <c r="Y2294" s="4"/>
    </row>
    <row r="2295" spans="5:25">
      <c r="E2295"/>
      <c r="G2295"/>
      <c r="H2295"/>
      <c r="I2295"/>
      <c r="K2295"/>
      <c r="O2295"/>
      <c r="R2295"/>
      <c r="W2295" s="4"/>
      <c r="X2295" s="4"/>
      <c r="Y2295" s="4"/>
    </row>
    <row r="2296" spans="5:25">
      <c r="E2296"/>
      <c r="G2296"/>
      <c r="H2296"/>
      <c r="I2296"/>
      <c r="K2296"/>
      <c r="O2296"/>
      <c r="R2296"/>
      <c r="W2296" s="4"/>
      <c r="X2296" s="4"/>
      <c r="Y2296" s="4"/>
    </row>
    <row r="2297" spans="5:25">
      <c r="E2297"/>
      <c r="G2297"/>
      <c r="H2297"/>
      <c r="I2297"/>
      <c r="K2297"/>
      <c r="O2297"/>
      <c r="R2297"/>
      <c r="W2297" s="4"/>
      <c r="X2297" s="4"/>
      <c r="Y2297" s="4"/>
    </row>
    <row r="2298" spans="5:25">
      <c r="E2298"/>
      <c r="G2298"/>
      <c r="H2298"/>
      <c r="I2298"/>
      <c r="K2298"/>
      <c r="O2298"/>
      <c r="R2298"/>
      <c r="W2298" s="4"/>
      <c r="X2298" s="4"/>
      <c r="Y2298" s="4"/>
    </row>
    <row r="2299" spans="5:25">
      <c r="E2299"/>
      <c r="G2299"/>
      <c r="H2299"/>
      <c r="I2299"/>
      <c r="K2299"/>
      <c r="O2299"/>
      <c r="R2299"/>
      <c r="W2299" s="4"/>
      <c r="X2299" s="4"/>
      <c r="Y2299" s="4"/>
    </row>
    <row r="2300" spans="5:25">
      <c r="E2300"/>
      <c r="G2300"/>
      <c r="H2300"/>
      <c r="I2300"/>
      <c r="K2300"/>
      <c r="O2300"/>
      <c r="R2300"/>
      <c r="W2300" s="4"/>
      <c r="X2300" s="4"/>
      <c r="Y2300" s="4"/>
    </row>
    <row r="2301" spans="5:25">
      <c r="E2301"/>
      <c r="G2301"/>
      <c r="H2301"/>
      <c r="I2301"/>
      <c r="K2301"/>
      <c r="O2301"/>
      <c r="R2301"/>
      <c r="W2301" s="4"/>
      <c r="X2301" s="4"/>
      <c r="Y2301" s="4"/>
    </row>
    <row r="2302" spans="5:25">
      <c r="E2302"/>
      <c r="G2302"/>
      <c r="H2302"/>
      <c r="I2302"/>
      <c r="K2302"/>
      <c r="O2302"/>
      <c r="R2302"/>
      <c r="W2302" s="4"/>
      <c r="X2302" s="4"/>
      <c r="Y2302" s="4"/>
    </row>
    <row r="2303" spans="5:25">
      <c r="E2303"/>
      <c r="G2303"/>
      <c r="H2303"/>
      <c r="I2303"/>
      <c r="K2303"/>
      <c r="O2303"/>
      <c r="R2303"/>
      <c r="W2303" s="4"/>
      <c r="X2303" s="4"/>
      <c r="Y2303" s="4"/>
    </row>
    <row r="2304" spans="5:25">
      <c r="E2304"/>
      <c r="G2304"/>
      <c r="H2304"/>
      <c r="I2304"/>
      <c r="K2304"/>
      <c r="O2304"/>
      <c r="R2304"/>
      <c r="W2304" s="4"/>
      <c r="X2304" s="4"/>
      <c r="Y2304" s="4"/>
    </row>
    <row r="2305" spans="5:25">
      <c r="E2305"/>
      <c r="G2305"/>
      <c r="H2305"/>
      <c r="I2305"/>
      <c r="K2305"/>
      <c r="O2305"/>
      <c r="R2305"/>
      <c r="W2305" s="4"/>
      <c r="X2305" s="4"/>
      <c r="Y2305" s="4"/>
    </row>
    <row r="2306" spans="5:25">
      <c r="E2306"/>
      <c r="G2306"/>
      <c r="H2306"/>
      <c r="I2306"/>
      <c r="K2306"/>
      <c r="O2306"/>
      <c r="R2306"/>
      <c r="W2306" s="4"/>
      <c r="X2306" s="4"/>
      <c r="Y2306" s="4"/>
    </row>
    <row r="2307" spans="5:25">
      <c r="E2307"/>
      <c r="G2307"/>
      <c r="H2307"/>
      <c r="I2307"/>
      <c r="K2307"/>
      <c r="O2307"/>
      <c r="R2307"/>
      <c r="W2307" s="4"/>
      <c r="X2307" s="4"/>
      <c r="Y2307" s="4"/>
    </row>
    <row r="2308" spans="5:25">
      <c r="E2308"/>
      <c r="G2308"/>
      <c r="H2308"/>
      <c r="I2308"/>
      <c r="K2308"/>
      <c r="O2308"/>
      <c r="R2308"/>
      <c r="W2308" s="4"/>
      <c r="X2308" s="4"/>
      <c r="Y2308" s="4"/>
    </row>
    <row r="2309" spans="5:25">
      <c r="E2309"/>
      <c r="G2309"/>
      <c r="H2309"/>
      <c r="I2309"/>
      <c r="K2309"/>
      <c r="O2309"/>
      <c r="R2309"/>
      <c r="W2309" s="4"/>
      <c r="X2309" s="4"/>
      <c r="Y2309" s="4"/>
    </row>
    <row r="2310" spans="5:25">
      <c r="E2310"/>
      <c r="G2310"/>
      <c r="H2310"/>
      <c r="I2310"/>
      <c r="K2310"/>
      <c r="O2310"/>
      <c r="R2310"/>
      <c r="W2310" s="4"/>
      <c r="X2310" s="4"/>
      <c r="Y2310" s="4"/>
    </row>
    <row r="2311" spans="5:25">
      <c r="E2311"/>
      <c r="G2311"/>
      <c r="H2311"/>
      <c r="I2311"/>
      <c r="K2311"/>
      <c r="O2311"/>
      <c r="R2311"/>
      <c r="W2311" s="4"/>
      <c r="X2311" s="4"/>
      <c r="Y2311" s="4"/>
    </row>
    <row r="2312" spans="5:25">
      <c r="E2312"/>
      <c r="G2312"/>
      <c r="H2312"/>
      <c r="I2312"/>
      <c r="K2312"/>
      <c r="O2312"/>
      <c r="R2312"/>
      <c r="W2312" s="4"/>
      <c r="X2312" s="4"/>
      <c r="Y2312" s="4"/>
    </row>
    <row r="2313" spans="5:25">
      <c r="E2313"/>
      <c r="G2313"/>
      <c r="H2313"/>
      <c r="I2313"/>
      <c r="K2313"/>
      <c r="O2313"/>
      <c r="R2313"/>
      <c r="W2313" s="4"/>
      <c r="X2313" s="4"/>
      <c r="Y2313" s="4"/>
    </row>
    <row r="2314" spans="5:25">
      <c r="E2314"/>
      <c r="G2314"/>
      <c r="H2314"/>
      <c r="I2314"/>
      <c r="K2314"/>
      <c r="O2314"/>
      <c r="R2314"/>
      <c r="W2314" s="4"/>
      <c r="X2314" s="4"/>
      <c r="Y2314" s="4"/>
    </row>
    <row r="2315" spans="5:25">
      <c r="E2315"/>
      <c r="G2315"/>
      <c r="H2315"/>
      <c r="I2315"/>
      <c r="K2315"/>
      <c r="O2315"/>
      <c r="R2315"/>
      <c r="W2315" s="4"/>
      <c r="X2315" s="4"/>
      <c r="Y2315" s="4"/>
    </row>
    <row r="2316" spans="5:25">
      <c r="E2316"/>
      <c r="G2316"/>
      <c r="H2316"/>
      <c r="I2316"/>
      <c r="K2316"/>
      <c r="O2316"/>
      <c r="R2316"/>
      <c r="W2316" s="4"/>
      <c r="X2316" s="4"/>
      <c r="Y2316" s="4"/>
    </row>
    <row r="2317" spans="5:25">
      <c r="E2317"/>
      <c r="G2317"/>
      <c r="H2317"/>
      <c r="I2317"/>
      <c r="K2317"/>
      <c r="O2317"/>
      <c r="R2317"/>
      <c r="W2317" s="4"/>
      <c r="X2317" s="4"/>
      <c r="Y2317" s="4"/>
    </row>
    <row r="2318" spans="5:25">
      <c r="E2318"/>
      <c r="G2318"/>
      <c r="H2318"/>
      <c r="I2318"/>
      <c r="K2318"/>
      <c r="O2318"/>
      <c r="R2318"/>
      <c r="W2318" s="4"/>
      <c r="X2318" s="4"/>
      <c r="Y2318" s="4"/>
    </row>
    <row r="2319" spans="5:25">
      <c r="E2319"/>
      <c r="G2319"/>
      <c r="H2319"/>
      <c r="I2319"/>
      <c r="K2319"/>
      <c r="O2319"/>
      <c r="R2319"/>
      <c r="W2319" s="4"/>
      <c r="X2319" s="4"/>
      <c r="Y2319" s="4"/>
    </row>
    <row r="2320" spans="5:25">
      <c r="E2320"/>
      <c r="G2320"/>
      <c r="H2320"/>
      <c r="I2320"/>
      <c r="K2320"/>
      <c r="O2320"/>
      <c r="R2320"/>
      <c r="W2320" s="4"/>
      <c r="X2320" s="4"/>
      <c r="Y2320" s="4"/>
    </row>
    <row r="2321" spans="5:25">
      <c r="E2321"/>
      <c r="G2321"/>
      <c r="H2321"/>
      <c r="I2321"/>
      <c r="K2321"/>
      <c r="O2321"/>
      <c r="R2321"/>
      <c r="W2321" s="4"/>
      <c r="X2321" s="4"/>
      <c r="Y2321" s="4"/>
    </row>
    <row r="2322" spans="5:25">
      <c r="E2322"/>
      <c r="G2322"/>
      <c r="H2322"/>
      <c r="I2322"/>
      <c r="K2322"/>
      <c r="O2322"/>
      <c r="R2322"/>
      <c r="W2322" s="4"/>
      <c r="X2322" s="4"/>
      <c r="Y2322" s="4"/>
    </row>
    <row r="2323" spans="5:25">
      <c r="E2323"/>
      <c r="G2323"/>
      <c r="H2323"/>
      <c r="I2323"/>
      <c r="K2323"/>
      <c r="O2323"/>
      <c r="R2323"/>
      <c r="W2323" s="4"/>
      <c r="X2323" s="4"/>
      <c r="Y2323" s="4"/>
    </row>
    <row r="2324" spans="5:25">
      <c r="E2324"/>
      <c r="G2324"/>
      <c r="H2324"/>
      <c r="I2324"/>
      <c r="K2324"/>
      <c r="O2324"/>
      <c r="R2324"/>
      <c r="W2324" s="4"/>
      <c r="X2324" s="4"/>
      <c r="Y2324" s="4"/>
    </row>
    <row r="2325" spans="5:25">
      <c r="E2325"/>
      <c r="G2325"/>
      <c r="H2325"/>
      <c r="I2325"/>
      <c r="K2325"/>
      <c r="O2325"/>
      <c r="R2325"/>
      <c r="W2325" s="4"/>
      <c r="X2325" s="4"/>
      <c r="Y2325" s="4"/>
    </row>
    <row r="2326" spans="5:25">
      <c r="E2326"/>
      <c r="G2326"/>
      <c r="H2326"/>
      <c r="I2326"/>
      <c r="K2326"/>
      <c r="O2326"/>
      <c r="R2326"/>
      <c r="W2326" s="4"/>
      <c r="X2326" s="4"/>
      <c r="Y2326" s="4"/>
    </row>
    <row r="2327" spans="5:25">
      <c r="E2327"/>
      <c r="G2327"/>
      <c r="H2327"/>
      <c r="I2327"/>
      <c r="K2327"/>
      <c r="O2327"/>
      <c r="R2327"/>
      <c r="W2327" s="4"/>
      <c r="X2327" s="4"/>
      <c r="Y2327" s="4"/>
    </row>
    <row r="2328" spans="5:25">
      <c r="E2328"/>
      <c r="G2328"/>
      <c r="H2328"/>
      <c r="I2328"/>
      <c r="K2328"/>
      <c r="O2328"/>
      <c r="R2328"/>
      <c r="W2328" s="4"/>
      <c r="X2328" s="4"/>
      <c r="Y2328" s="4"/>
    </row>
    <row r="2329" spans="5:25">
      <c r="E2329"/>
      <c r="G2329"/>
      <c r="H2329"/>
      <c r="I2329"/>
      <c r="K2329"/>
      <c r="O2329"/>
      <c r="R2329"/>
      <c r="W2329" s="4"/>
      <c r="X2329" s="4"/>
      <c r="Y2329" s="4"/>
    </row>
    <row r="2330" spans="5:25">
      <c r="E2330"/>
      <c r="G2330"/>
      <c r="H2330"/>
      <c r="I2330"/>
      <c r="K2330"/>
      <c r="O2330"/>
      <c r="R2330"/>
      <c r="W2330" s="4"/>
      <c r="X2330" s="4"/>
      <c r="Y2330" s="4"/>
    </row>
    <row r="2331" spans="5:25">
      <c r="E2331"/>
      <c r="G2331"/>
      <c r="H2331"/>
      <c r="I2331"/>
      <c r="K2331"/>
      <c r="O2331"/>
      <c r="R2331"/>
      <c r="W2331" s="4"/>
      <c r="X2331" s="4"/>
      <c r="Y2331" s="4"/>
    </row>
    <row r="2332" spans="5:25">
      <c r="E2332"/>
      <c r="G2332"/>
      <c r="H2332"/>
      <c r="I2332"/>
      <c r="K2332"/>
      <c r="O2332"/>
      <c r="R2332"/>
      <c r="W2332" s="4"/>
      <c r="X2332" s="4"/>
      <c r="Y2332" s="4"/>
    </row>
    <row r="2333" spans="5:25">
      <c r="E2333"/>
      <c r="G2333"/>
      <c r="H2333"/>
      <c r="I2333"/>
      <c r="K2333"/>
      <c r="O2333"/>
      <c r="R2333"/>
      <c r="W2333" s="4"/>
      <c r="X2333" s="4"/>
      <c r="Y2333" s="4"/>
    </row>
    <row r="2334" spans="5:25">
      <c r="E2334"/>
      <c r="G2334"/>
      <c r="H2334"/>
      <c r="I2334"/>
      <c r="K2334"/>
      <c r="O2334"/>
      <c r="R2334"/>
      <c r="W2334" s="4"/>
      <c r="X2334" s="4"/>
      <c r="Y2334" s="4"/>
    </row>
    <row r="2335" spans="5:25">
      <c r="E2335"/>
      <c r="G2335"/>
      <c r="H2335"/>
      <c r="I2335"/>
      <c r="K2335"/>
      <c r="O2335"/>
      <c r="R2335"/>
      <c r="W2335" s="4"/>
      <c r="X2335" s="4"/>
      <c r="Y2335" s="4"/>
    </row>
    <row r="2336" spans="5:25">
      <c r="E2336"/>
      <c r="G2336"/>
      <c r="H2336"/>
      <c r="I2336"/>
      <c r="K2336"/>
      <c r="O2336"/>
      <c r="R2336"/>
      <c r="W2336" s="4"/>
      <c r="X2336" s="4"/>
      <c r="Y2336" s="4"/>
    </row>
    <row r="2337" spans="5:25">
      <c r="E2337"/>
      <c r="G2337"/>
      <c r="H2337"/>
      <c r="I2337"/>
      <c r="K2337"/>
      <c r="O2337"/>
      <c r="R2337"/>
      <c r="W2337" s="4"/>
      <c r="X2337" s="4"/>
      <c r="Y2337" s="4"/>
    </row>
    <row r="2338" spans="5:25">
      <c r="E2338"/>
      <c r="G2338"/>
      <c r="H2338"/>
      <c r="I2338"/>
      <c r="K2338"/>
      <c r="O2338"/>
      <c r="R2338"/>
      <c r="W2338" s="4"/>
      <c r="X2338" s="4"/>
      <c r="Y2338" s="4"/>
    </row>
    <row r="2339" spans="5:25">
      <c r="E2339"/>
      <c r="G2339"/>
      <c r="H2339"/>
      <c r="I2339"/>
      <c r="K2339"/>
      <c r="O2339"/>
      <c r="R2339"/>
      <c r="W2339" s="4"/>
      <c r="X2339" s="4"/>
      <c r="Y2339" s="4"/>
    </row>
    <row r="2340" spans="5:25">
      <c r="E2340"/>
      <c r="G2340"/>
      <c r="H2340"/>
      <c r="I2340"/>
      <c r="K2340"/>
      <c r="O2340"/>
      <c r="R2340"/>
      <c r="W2340" s="4"/>
      <c r="X2340" s="4"/>
      <c r="Y2340" s="4"/>
    </row>
    <row r="2341" spans="5:25">
      <c r="E2341"/>
      <c r="G2341"/>
      <c r="H2341"/>
      <c r="I2341"/>
      <c r="K2341"/>
      <c r="O2341"/>
      <c r="R2341"/>
      <c r="W2341" s="4"/>
      <c r="X2341" s="4"/>
      <c r="Y2341" s="4"/>
    </row>
    <row r="2342" spans="5:25">
      <c r="E2342"/>
      <c r="G2342"/>
      <c r="H2342"/>
      <c r="I2342"/>
      <c r="K2342"/>
      <c r="O2342"/>
      <c r="R2342"/>
      <c r="W2342" s="4"/>
      <c r="X2342" s="4"/>
      <c r="Y2342" s="4"/>
    </row>
    <row r="2343" spans="5:25">
      <c r="E2343"/>
      <c r="G2343"/>
      <c r="H2343"/>
      <c r="I2343"/>
      <c r="K2343"/>
      <c r="O2343"/>
      <c r="R2343"/>
      <c r="W2343" s="4"/>
      <c r="X2343" s="4"/>
      <c r="Y2343" s="4"/>
    </row>
    <row r="2344" spans="5:25">
      <c r="E2344"/>
      <c r="G2344"/>
      <c r="H2344"/>
      <c r="I2344"/>
      <c r="K2344"/>
      <c r="O2344"/>
      <c r="R2344"/>
      <c r="W2344" s="4"/>
      <c r="X2344" s="4"/>
      <c r="Y2344" s="4"/>
    </row>
    <row r="2345" spans="5:25">
      <c r="E2345"/>
      <c r="G2345"/>
      <c r="H2345"/>
      <c r="I2345"/>
      <c r="K2345"/>
      <c r="O2345"/>
      <c r="R2345"/>
      <c r="W2345" s="4"/>
      <c r="X2345" s="4"/>
      <c r="Y2345" s="4"/>
    </row>
    <row r="2346" spans="5:25">
      <c r="E2346"/>
      <c r="G2346"/>
      <c r="H2346"/>
      <c r="I2346"/>
      <c r="K2346"/>
      <c r="O2346"/>
      <c r="R2346"/>
      <c r="W2346" s="4"/>
      <c r="X2346" s="4"/>
      <c r="Y2346" s="4"/>
    </row>
    <row r="2347" spans="5:25">
      <c r="E2347"/>
      <c r="G2347"/>
      <c r="H2347"/>
      <c r="I2347"/>
      <c r="K2347"/>
      <c r="O2347"/>
      <c r="R2347"/>
      <c r="W2347" s="4"/>
      <c r="X2347" s="4"/>
      <c r="Y2347" s="4"/>
    </row>
    <row r="2348" spans="5:25">
      <c r="E2348"/>
      <c r="G2348"/>
      <c r="H2348"/>
      <c r="I2348"/>
      <c r="K2348"/>
      <c r="O2348"/>
      <c r="R2348"/>
      <c r="W2348" s="4"/>
      <c r="X2348" s="4"/>
      <c r="Y2348" s="4"/>
    </row>
    <row r="2349" spans="5:25">
      <c r="E2349"/>
      <c r="G2349"/>
      <c r="H2349"/>
      <c r="I2349"/>
      <c r="K2349"/>
      <c r="O2349"/>
      <c r="R2349"/>
      <c r="W2349" s="4"/>
      <c r="X2349" s="4"/>
      <c r="Y2349" s="4"/>
    </row>
    <row r="2350" spans="5:25">
      <c r="E2350"/>
      <c r="G2350"/>
      <c r="H2350"/>
      <c r="I2350"/>
      <c r="K2350"/>
      <c r="O2350"/>
      <c r="R2350"/>
      <c r="W2350" s="4"/>
      <c r="X2350" s="4"/>
      <c r="Y2350" s="4"/>
    </row>
    <row r="2351" spans="5:25">
      <c r="E2351"/>
      <c r="G2351"/>
      <c r="H2351"/>
      <c r="I2351"/>
      <c r="K2351"/>
      <c r="O2351"/>
      <c r="R2351"/>
      <c r="W2351" s="4"/>
      <c r="X2351" s="4"/>
      <c r="Y2351" s="4"/>
    </row>
    <row r="2352" spans="5:25">
      <c r="E2352"/>
      <c r="G2352"/>
      <c r="H2352"/>
      <c r="I2352"/>
      <c r="K2352"/>
      <c r="O2352"/>
      <c r="R2352"/>
      <c r="W2352" s="4"/>
      <c r="X2352" s="4"/>
      <c r="Y2352" s="4"/>
    </row>
    <row r="2353" spans="5:25">
      <c r="E2353"/>
      <c r="G2353"/>
      <c r="H2353"/>
      <c r="I2353"/>
      <c r="K2353"/>
      <c r="O2353"/>
      <c r="R2353"/>
      <c r="W2353" s="4"/>
      <c r="X2353" s="4"/>
      <c r="Y2353" s="4"/>
    </row>
    <row r="2354" spans="5:25">
      <c r="E2354"/>
      <c r="G2354"/>
      <c r="H2354"/>
      <c r="I2354"/>
      <c r="K2354"/>
      <c r="O2354"/>
      <c r="R2354"/>
      <c r="W2354" s="4"/>
      <c r="X2354" s="4"/>
      <c r="Y2354" s="4"/>
    </row>
    <row r="2355" spans="5:25">
      <c r="E2355"/>
      <c r="G2355"/>
      <c r="H2355"/>
      <c r="I2355"/>
      <c r="K2355"/>
      <c r="O2355"/>
      <c r="R2355"/>
      <c r="W2355" s="4"/>
      <c r="X2355" s="4"/>
      <c r="Y2355" s="4"/>
    </row>
    <row r="2356" spans="5:25">
      <c r="E2356"/>
      <c r="G2356"/>
      <c r="H2356"/>
      <c r="I2356"/>
      <c r="K2356"/>
      <c r="O2356"/>
      <c r="R2356"/>
      <c r="W2356" s="4"/>
      <c r="X2356" s="4"/>
      <c r="Y2356" s="4"/>
    </row>
    <row r="2357" spans="5:25">
      <c r="E2357"/>
      <c r="G2357"/>
      <c r="H2357"/>
      <c r="I2357"/>
      <c r="K2357"/>
      <c r="O2357"/>
      <c r="R2357"/>
      <c r="W2357" s="4"/>
      <c r="X2357" s="4"/>
      <c r="Y2357" s="4"/>
    </row>
    <row r="2358" spans="5:25">
      <c r="E2358"/>
      <c r="G2358"/>
      <c r="H2358"/>
      <c r="I2358"/>
      <c r="K2358"/>
      <c r="O2358"/>
      <c r="R2358"/>
      <c r="W2358" s="4"/>
      <c r="X2358" s="4"/>
      <c r="Y2358" s="4"/>
    </row>
    <row r="2359" spans="5:25">
      <c r="E2359"/>
      <c r="G2359"/>
      <c r="H2359"/>
      <c r="I2359"/>
      <c r="K2359"/>
      <c r="O2359"/>
      <c r="R2359"/>
      <c r="W2359" s="4"/>
      <c r="X2359" s="4"/>
      <c r="Y2359" s="4"/>
    </row>
    <row r="2360" spans="5:25">
      <c r="E2360"/>
      <c r="G2360"/>
      <c r="H2360"/>
      <c r="I2360"/>
      <c r="K2360"/>
      <c r="O2360"/>
      <c r="R2360"/>
      <c r="W2360" s="4"/>
      <c r="X2360" s="4"/>
      <c r="Y2360" s="4"/>
    </row>
    <row r="2361" spans="5:25">
      <c r="E2361"/>
      <c r="G2361"/>
      <c r="H2361"/>
      <c r="I2361"/>
      <c r="K2361"/>
      <c r="O2361"/>
      <c r="R2361"/>
      <c r="W2361" s="4"/>
      <c r="X2361" s="4"/>
      <c r="Y2361" s="4"/>
    </row>
    <row r="2362" spans="5:25">
      <c r="E2362"/>
      <c r="G2362"/>
      <c r="H2362"/>
      <c r="I2362"/>
      <c r="K2362"/>
      <c r="O2362"/>
      <c r="R2362"/>
      <c r="W2362" s="4"/>
      <c r="X2362" s="4"/>
      <c r="Y2362" s="4"/>
    </row>
    <row r="2363" spans="5:25">
      <c r="E2363"/>
      <c r="G2363"/>
      <c r="H2363"/>
      <c r="I2363"/>
      <c r="K2363"/>
      <c r="O2363"/>
      <c r="R2363"/>
      <c r="W2363" s="4"/>
      <c r="X2363" s="4"/>
      <c r="Y2363" s="4"/>
    </row>
    <row r="2364" spans="5:25">
      <c r="E2364"/>
      <c r="G2364"/>
      <c r="H2364"/>
      <c r="I2364"/>
      <c r="K2364"/>
      <c r="O2364"/>
      <c r="R2364"/>
      <c r="W2364" s="4"/>
      <c r="X2364" s="4"/>
      <c r="Y2364" s="4"/>
    </row>
    <row r="2365" spans="5:25">
      <c r="E2365"/>
      <c r="G2365"/>
      <c r="H2365"/>
      <c r="I2365"/>
      <c r="K2365"/>
      <c r="O2365"/>
      <c r="R2365"/>
      <c r="W2365" s="4"/>
      <c r="X2365" s="4"/>
      <c r="Y2365" s="4"/>
    </row>
    <row r="2366" spans="5:25">
      <c r="E2366"/>
      <c r="G2366"/>
      <c r="H2366"/>
      <c r="I2366"/>
      <c r="K2366"/>
      <c r="O2366"/>
      <c r="R2366"/>
      <c r="W2366" s="4"/>
      <c r="X2366" s="4"/>
      <c r="Y2366" s="4"/>
    </row>
    <row r="2367" spans="5:25">
      <c r="E2367"/>
      <c r="G2367"/>
      <c r="H2367"/>
      <c r="I2367"/>
      <c r="K2367"/>
      <c r="O2367"/>
      <c r="R2367"/>
      <c r="W2367" s="4"/>
      <c r="X2367" s="4"/>
      <c r="Y2367" s="4"/>
    </row>
    <row r="2368" spans="5:25">
      <c r="E2368"/>
      <c r="G2368"/>
      <c r="H2368"/>
      <c r="I2368"/>
      <c r="K2368"/>
      <c r="O2368"/>
      <c r="R2368"/>
      <c r="W2368" s="4"/>
      <c r="X2368" s="4"/>
      <c r="Y2368" s="4"/>
    </row>
    <row r="2369" spans="5:25">
      <c r="E2369"/>
      <c r="G2369"/>
      <c r="H2369"/>
      <c r="I2369"/>
      <c r="K2369"/>
      <c r="O2369"/>
      <c r="R2369"/>
      <c r="W2369" s="4"/>
      <c r="X2369" s="4"/>
      <c r="Y2369" s="4"/>
    </row>
    <row r="2370" spans="5:25">
      <c r="E2370"/>
      <c r="G2370"/>
      <c r="H2370"/>
      <c r="I2370"/>
      <c r="K2370"/>
      <c r="O2370"/>
      <c r="R2370"/>
      <c r="W2370" s="4"/>
      <c r="X2370" s="4"/>
      <c r="Y2370" s="4"/>
    </row>
    <row r="2371" spans="5:25">
      <c r="E2371"/>
      <c r="G2371"/>
      <c r="H2371"/>
      <c r="I2371"/>
      <c r="K2371"/>
      <c r="O2371"/>
      <c r="R2371"/>
      <c r="W2371" s="4"/>
      <c r="X2371" s="4"/>
      <c r="Y2371" s="4"/>
    </row>
    <row r="2372" spans="5:25">
      <c r="E2372"/>
      <c r="G2372"/>
      <c r="H2372"/>
      <c r="I2372"/>
      <c r="K2372"/>
      <c r="O2372"/>
      <c r="R2372"/>
      <c r="W2372" s="4"/>
      <c r="X2372" s="4"/>
      <c r="Y2372" s="4"/>
    </row>
    <row r="2373" spans="5:25">
      <c r="E2373"/>
      <c r="G2373"/>
      <c r="H2373"/>
      <c r="I2373"/>
      <c r="K2373"/>
      <c r="O2373"/>
      <c r="R2373"/>
      <c r="W2373" s="4"/>
      <c r="X2373" s="4"/>
      <c r="Y2373" s="4"/>
    </row>
    <row r="2374" spans="5:25">
      <c r="E2374"/>
      <c r="G2374"/>
      <c r="H2374"/>
      <c r="I2374"/>
      <c r="K2374"/>
      <c r="O2374"/>
      <c r="R2374"/>
      <c r="W2374" s="4"/>
      <c r="X2374" s="4"/>
      <c r="Y2374" s="4"/>
    </row>
    <row r="2375" spans="5:25">
      <c r="E2375"/>
      <c r="G2375"/>
      <c r="H2375"/>
      <c r="I2375"/>
      <c r="K2375"/>
      <c r="O2375"/>
      <c r="R2375"/>
      <c r="W2375" s="4"/>
      <c r="X2375" s="4"/>
      <c r="Y2375" s="4"/>
    </row>
    <row r="2376" spans="5:25">
      <c r="E2376"/>
      <c r="G2376"/>
      <c r="H2376"/>
      <c r="I2376"/>
      <c r="K2376"/>
      <c r="O2376"/>
      <c r="R2376"/>
      <c r="W2376" s="4"/>
      <c r="X2376" s="4"/>
      <c r="Y2376" s="4"/>
    </row>
    <row r="2377" spans="5:25">
      <c r="E2377"/>
      <c r="G2377"/>
      <c r="H2377"/>
      <c r="I2377"/>
      <c r="K2377"/>
      <c r="O2377"/>
      <c r="R2377"/>
      <c r="W2377" s="4"/>
      <c r="X2377" s="4"/>
      <c r="Y2377" s="4"/>
    </row>
    <row r="2378" spans="5:25">
      <c r="E2378"/>
      <c r="G2378"/>
      <c r="H2378"/>
      <c r="I2378"/>
      <c r="K2378"/>
      <c r="O2378"/>
      <c r="R2378"/>
      <c r="W2378" s="4"/>
      <c r="X2378" s="4"/>
      <c r="Y2378" s="4"/>
    </row>
    <row r="2379" spans="5:25">
      <c r="E2379"/>
      <c r="G2379"/>
      <c r="H2379"/>
      <c r="I2379"/>
      <c r="K2379"/>
      <c r="O2379"/>
      <c r="R2379"/>
      <c r="W2379" s="4"/>
      <c r="X2379" s="4"/>
      <c r="Y2379" s="4"/>
    </row>
    <row r="2380" spans="5:25">
      <c r="E2380"/>
      <c r="G2380"/>
      <c r="H2380"/>
      <c r="I2380"/>
      <c r="K2380"/>
      <c r="O2380"/>
      <c r="R2380"/>
      <c r="W2380" s="4"/>
      <c r="X2380" s="4"/>
      <c r="Y2380" s="4"/>
    </row>
    <row r="2381" spans="5:25">
      <c r="E2381"/>
      <c r="G2381"/>
      <c r="H2381"/>
      <c r="I2381"/>
      <c r="K2381"/>
      <c r="O2381"/>
      <c r="R2381"/>
      <c r="W2381" s="4"/>
      <c r="X2381" s="4"/>
      <c r="Y2381" s="4"/>
    </row>
    <row r="2382" spans="5:25">
      <c r="E2382"/>
      <c r="G2382"/>
      <c r="H2382"/>
      <c r="I2382"/>
      <c r="K2382"/>
      <c r="O2382"/>
      <c r="R2382"/>
      <c r="W2382" s="4"/>
      <c r="X2382" s="4"/>
      <c r="Y2382" s="4"/>
    </row>
    <row r="2383" spans="5:25">
      <c r="E2383"/>
      <c r="G2383"/>
      <c r="H2383"/>
      <c r="I2383"/>
      <c r="K2383"/>
      <c r="O2383"/>
      <c r="R2383"/>
      <c r="W2383" s="4"/>
      <c r="X2383" s="4"/>
      <c r="Y2383" s="4"/>
    </row>
    <row r="2384" spans="5:25">
      <c r="E2384"/>
      <c r="G2384"/>
      <c r="H2384"/>
      <c r="I2384"/>
      <c r="K2384"/>
      <c r="O2384"/>
      <c r="R2384"/>
      <c r="W2384" s="4"/>
      <c r="X2384" s="4"/>
      <c r="Y2384" s="4"/>
    </row>
    <row r="2385" spans="5:25">
      <c r="E2385"/>
      <c r="G2385"/>
      <c r="H2385"/>
      <c r="I2385"/>
      <c r="K2385"/>
      <c r="O2385"/>
      <c r="R2385"/>
      <c r="W2385" s="4"/>
      <c r="X2385" s="4"/>
      <c r="Y2385" s="4"/>
    </row>
    <row r="2386" spans="5:25">
      <c r="E2386"/>
      <c r="G2386"/>
      <c r="H2386"/>
      <c r="I2386"/>
      <c r="K2386"/>
      <c r="O2386"/>
      <c r="R2386"/>
      <c r="W2386" s="4"/>
      <c r="X2386" s="4"/>
      <c r="Y2386" s="4"/>
    </row>
    <row r="2387" spans="5:25">
      <c r="E2387"/>
      <c r="G2387"/>
      <c r="H2387"/>
      <c r="I2387"/>
      <c r="K2387"/>
      <c r="O2387"/>
      <c r="R2387"/>
      <c r="W2387" s="4"/>
      <c r="X2387" s="4"/>
      <c r="Y2387" s="4"/>
    </row>
    <row r="2388" spans="5:25">
      <c r="E2388"/>
      <c r="G2388"/>
      <c r="H2388"/>
      <c r="I2388"/>
      <c r="K2388"/>
      <c r="O2388"/>
      <c r="R2388"/>
      <c r="W2388" s="4"/>
      <c r="X2388" s="4"/>
      <c r="Y2388" s="4"/>
    </row>
    <row r="2389" spans="5:25">
      <c r="E2389"/>
      <c r="G2389"/>
      <c r="H2389"/>
      <c r="I2389"/>
      <c r="K2389"/>
      <c r="O2389"/>
      <c r="R2389"/>
      <c r="W2389" s="4"/>
      <c r="X2389" s="4"/>
      <c r="Y2389" s="4"/>
    </row>
    <row r="2390" spans="5:25">
      <c r="E2390"/>
      <c r="G2390"/>
      <c r="H2390"/>
      <c r="I2390"/>
      <c r="K2390"/>
      <c r="O2390"/>
      <c r="R2390"/>
      <c r="W2390" s="4"/>
      <c r="X2390" s="4"/>
      <c r="Y2390" s="4"/>
    </row>
    <row r="2391" spans="5:25">
      <c r="E2391"/>
      <c r="G2391"/>
      <c r="H2391"/>
      <c r="I2391"/>
      <c r="K2391"/>
      <c r="O2391"/>
      <c r="R2391"/>
      <c r="W2391" s="4"/>
      <c r="X2391" s="4"/>
      <c r="Y2391" s="4"/>
    </row>
    <row r="2392" spans="5:25">
      <c r="E2392"/>
      <c r="G2392"/>
      <c r="H2392"/>
      <c r="I2392"/>
      <c r="K2392"/>
      <c r="O2392"/>
      <c r="R2392"/>
      <c r="W2392" s="4"/>
      <c r="X2392" s="4"/>
      <c r="Y2392" s="4"/>
    </row>
    <row r="2393" spans="5:25">
      <c r="E2393"/>
      <c r="G2393"/>
      <c r="H2393"/>
      <c r="I2393"/>
      <c r="K2393"/>
      <c r="O2393"/>
      <c r="R2393"/>
      <c r="W2393" s="4"/>
      <c r="X2393" s="4"/>
      <c r="Y2393" s="4"/>
    </row>
    <row r="2394" spans="5:25">
      <c r="E2394"/>
      <c r="G2394"/>
      <c r="H2394"/>
      <c r="I2394"/>
      <c r="K2394"/>
      <c r="O2394"/>
      <c r="R2394"/>
      <c r="W2394" s="4"/>
      <c r="X2394" s="4"/>
      <c r="Y2394" s="4"/>
    </row>
    <row r="2395" spans="5:25">
      <c r="E2395"/>
      <c r="G2395"/>
      <c r="H2395"/>
      <c r="I2395"/>
      <c r="K2395"/>
      <c r="O2395"/>
      <c r="R2395"/>
      <c r="W2395" s="4"/>
      <c r="X2395" s="4"/>
      <c r="Y2395" s="4"/>
    </row>
    <row r="2396" spans="5:25">
      <c r="E2396"/>
      <c r="G2396"/>
      <c r="H2396"/>
      <c r="I2396"/>
      <c r="K2396"/>
      <c r="O2396"/>
      <c r="R2396"/>
      <c r="W2396" s="4"/>
      <c r="X2396" s="4"/>
      <c r="Y2396" s="4"/>
    </row>
    <row r="2397" spans="5:25">
      <c r="E2397"/>
      <c r="G2397"/>
      <c r="H2397"/>
      <c r="I2397"/>
      <c r="K2397"/>
      <c r="O2397"/>
      <c r="R2397"/>
      <c r="W2397" s="4"/>
      <c r="X2397" s="4"/>
      <c r="Y2397" s="4"/>
    </row>
    <row r="2398" spans="5:25">
      <c r="E2398"/>
      <c r="G2398"/>
      <c r="H2398"/>
      <c r="I2398"/>
      <c r="K2398"/>
      <c r="O2398"/>
      <c r="R2398"/>
      <c r="W2398" s="4"/>
      <c r="X2398" s="4"/>
      <c r="Y2398" s="4"/>
    </row>
    <row r="2399" spans="5:25">
      <c r="E2399"/>
      <c r="G2399"/>
      <c r="H2399"/>
      <c r="I2399"/>
      <c r="K2399"/>
      <c r="O2399"/>
      <c r="R2399"/>
      <c r="W2399" s="4"/>
      <c r="X2399" s="4"/>
      <c r="Y2399" s="4"/>
    </row>
    <row r="2400" spans="5:25">
      <c r="E2400"/>
      <c r="G2400"/>
      <c r="H2400"/>
      <c r="I2400"/>
      <c r="K2400"/>
      <c r="O2400"/>
      <c r="R2400"/>
      <c r="W2400" s="4"/>
      <c r="X2400" s="4"/>
      <c r="Y2400" s="4"/>
    </row>
    <row r="2401" spans="5:25">
      <c r="E2401"/>
      <c r="G2401"/>
      <c r="H2401"/>
      <c r="I2401"/>
      <c r="K2401"/>
      <c r="O2401"/>
      <c r="R2401"/>
      <c r="W2401" s="4"/>
      <c r="X2401" s="4"/>
      <c r="Y2401" s="4"/>
    </row>
    <row r="2402" spans="5:25">
      <c r="E2402"/>
      <c r="G2402"/>
      <c r="H2402"/>
      <c r="I2402"/>
      <c r="K2402"/>
      <c r="O2402"/>
      <c r="R2402"/>
      <c r="W2402" s="4"/>
      <c r="X2402" s="4"/>
      <c r="Y2402" s="4"/>
    </row>
    <row r="2403" spans="5:25">
      <c r="E2403"/>
      <c r="G2403"/>
      <c r="H2403"/>
      <c r="I2403"/>
      <c r="K2403"/>
      <c r="O2403"/>
      <c r="R2403"/>
      <c r="W2403" s="4"/>
      <c r="X2403" s="4"/>
      <c r="Y2403" s="4"/>
    </row>
    <row r="2404" spans="5:25">
      <c r="E2404"/>
      <c r="G2404"/>
      <c r="H2404"/>
      <c r="I2404"/>
      <c r="K2404"/>
      <c r="O2404"/>
      <c r="R2404"/>
      <c r="W2404" s="4"/>
      <c r="X2404" s="4"/>
      <c r="Y2404" s="4"/>
    </row>
    <row r="2405" spans="5:25">
      <c r="E2405"/>
      <c r="G2405"/>
      <c r="H2405"/>
      <c r="I2405"/>
      <c r="K2405"/>
      <c r="O2405"/>
      <c r="R2405"/>
      <c r="W2405" s="4"/>
      <c r="X2405" s="4"/>
      <c r="Y2405" s="4"/>
    </row>
    <row r="2406" spans="5:25">
      <c r="E2406"/>
      <c r="G2406"/>
      <c r="H2406"/>
      <c r="I2406"/>
      <c r="K2406"/>
      <c r="O2406"/>
      <c r="R2406"/>
      <c r="W2406" s="4"/>
      <c r="X2406" s="4"/>
      <c r="Y2406" s="4"/>
    </row>
    <row r="2407" spans="5:25">
      <c r="E2407"/>
      <c r="G2407"/>
      <c r="H2407"/>
      <c r="I2407"/>
      <c r="K2407"/>
      <c r="O2407"/>
      <c r="R2407"/>
      <c r="W2407" s="4"/>
      <c r="X2407" s="4"/>
      <c r="Y2407" s="4"/>
    </row>
    <row r="2408" spans="5:25">
      <c r="E2408"/>
      <c r="G2408"/>
      <c r="H2408"/>
      <c r="I2408"/>
      <c r="K2408"/>
      <c r="O2408"/>
      <c r="R2408"/>
      <c r="W2408" s="4"/>
      <c r="X2408" s="4"/>
      <c r="Y2408" s="4"/>
    </row>
    <row r="2409" spans="5:25">
      <c r="E2409"/>
      <c r="G2409"/>
      <c r="H2409"/>
      <c r="I2409"/>
      <c r="K2409"/>
      <c r="O2409"/>
      <c r="R2409"/>
      <c r="W2409" s="4"/>
      <c r="X2409" s="4"/>
      <c r="Y2409" s="4"/>
    </row>
    <row r="2410" spans="5:25">
      <c r="E2410"/>
      <c r="G2410"/>
      <c r="H2410"/>
      <c r="I2410"/>
      <c r="K2410"/>
      <c r="O2410"/>
      <c r="R2410"/>
      <c r="W2410" s="4"/>
      <c r="X2410" s="4"/>
      <c r="Y2410" s="4"/>
    </row>
    <row r="2411" spans="5:25">
      <c r="E2411"/>
      <c r="G2411"/>
      <c r="H2411"/>
      <c r="I2411"/>
      <c r="K2411"/>
      <c r="O2411"/>
      <c r="R2411"/>
      <c r="W2411" s="4"/>
      <c r="X2411" s="4"/>
      <c r="Y2411" s="4"/>
    </row>
    <row r="2412" spans="5:25">
      <c r="E2412"/>
      <c r="G2412"/>
      <c r="H2412"/>
      <c r="I2412"/>
      <c r="K2412"/>
      <c r="O2412"/>
      <c r="R2412"/>
      <c r="W2412" s="4"/>
      <c r="X2412" s="4"/>
      <c r="Y2412" s="4"/>
    </row>
    <row r="2413" spans="5:25">
      <c r="E2413"/>
      <c r="G2413"/>
      <c r="H2413"/>
      <c r="I2413"/>
      <c r="K2413"/>
      <c r="O2413"/>
      <c r="R2413"/>
      <c r="W2413" s="4"/>
      <c r="X2413" s="4"/>
      <c r="Y2413" s="4"/>
    </row>
    <row r="2414" spans="5:25">
      <c r="E2414"/>
      <c r="G2414"/>
      <c r="H2414"/>
      <c r="I2414"/>
      <c r="K2414"/>
      <c r="O2414"/>
      <c r="R2414"/>
      <c r="W2414" s="4"/>
      <c r="X2414" s="4"/>
      <c r="Y2414" s="4"/>
    </row>
    <row r="2415" spans="5:25">
      <c r="E2415"/>
      <c r="G2415"/>
      <c r="H2415"/>
      <c r="I2415"/>
      <c r="K2415"/>
      <c r="O2415"/>
      <c r="R2415"/>
      <c r="W2415" s="4"/>
      <c r="X2415" s="4"/>
      <c r="Y2415" s="4"/>
    </row>
    <row r="2416" spans="5:25">
      <c r="E2416"/>
      <c r="G2416"/>
      <c r="H2416"/>
      <c r="I2416"/>
      <c r="K2416"/>
      <c r="O2416"/>
      <c r="R2416"/>
      <c r="W2416" s="4"/>
      <c r="X2416" s="4"/>
      <c r="Y2416" s="4"/>
    </row>
    <row r="2417" spans="5:25">
      <c r="E2417"/>
      <c r="G2417"/>
      <c r="H2417"/>
      <c r="I2417"/>
      <c r="K2417"/>
      <c r="O2417"/>
      <c r="R2417"/>
      <c r="W2417" s="4"/>
      <c r="X2417" s="4"/>
      <c r="Y2417" s="4"/>
    </row>
    <row r="2418" spans="5:25">
      <c r="E2418"/>
      <c r="G2418"/>
      <c r="H2418"/>
      <c r="I2418"/>
      <c r="K2418"/>
      <c r="O2418"/>
      <c r="R2418"/>
      <c r="W2418" s="4"/>
      <c r="X2418" s="4"/>
      <c r="Y2418" s="4"/>
    </row>
    <row r="2419" spans="5:25">
      <c r="E2419"/>
      <c r="G2419"/>
      <c r="H2419"/>
      <c r="I2419"/>
      <c r="K2419"/>
      <c r="O2419"/>
      <c r="R2419"/>
      <c r="W2419" s="4"/>
      <c r="X2419" s="4"/>
      <c r="Y2419" s="4"/>
    </row>
    <row r="2420" spans="5:25">
      <c r="E2420"/>
      <c r="G2420"/>
      <c r="H2420"/>
      <c r="I2420"/>
      <c r="K2420"/>
      <c r="O2420"/>
      <c r="R2420"/>
      <c r="W2420" s="4"/>
      <c r="X2420" s="4"/>
      <c r="Y2420" s="4"/>
    </row>
    <row r="2421" spans="5:25">
      <c r="E2421"/>
      <c r="G2421"/>
      <c r="H2421"/>
      <c r="I2421"/>
      <c r="K2421"/>
      <c r="O2421"/>
      <c r="R2421"/>
      <c r="W2421" s="4"/>
      <c r="X2421" s="4"/>
      <c r="Y2421" s="4"/>
    </row>
    <row r="2422" spans="5:25">
      <c r="E2422"/>
      <c r="G2422"/>
      <c r="H2422"/>
      <c r="I2422"/>
      <c r="K2422"/>
      <c r="O2422"/>
      <c r="R2422"/>
      <c r="W2422" s="4"/>
      <c r="X2422" s="4"/>
      <c r="Y2422" s="4"/>
    </row>
    <row r="2423" spans="5:25">
      <c r="E2423"/>
      <c r="G2423"/>
      <c r="H2423"/>
      <c r="I2423"/>
      <c r="K2423"/>
      <c r="O2423"/>
      <c r="R2423"/>
      <c r="W2423" s="4"/>
      <c r="X2423" s="4"/>
      <c r="Y2423" s="4"/>
    </row>
    <row r="2424" spans="5:25">
      <c r="E2424"/>
      <c r="G2424"/>
      <c r="H2424"/>
      <c r="I2424"/>
      <c r="K2424"/>
      <c r="O2424"/>
      <c r="R2424"/>
      <c r="W2424" s="4"/>
      <c r="X2424" s="4"/>
      <c r="Y2424" s="4"/>
    </row>
    <row r="2425" spans="5:25">
      <c r="E2425"/>
      <c r="G2425"/>
      <c r="H2425"/>
      <c r="I2425"/>
      <c r="K2425"/>
      <c r="O2425"/>
      <c r="R2425"/>
      <c r="W2425" s="4"/>
      <c r="X2425" s="4"/>
      <c r="Y2425" s="4"/>
    </row>
    <row r="2426" spans="5:25">
      <c r="E2426"/>
      <c r="G2426"/>
      <c r="H2426"/>
      <c r="I2426"/>
      <c r="K2426"/>
      <c r="O2426"/>
      <c r="R2426"/>
      <c r="W2426" s="4"/>
      <c r="X2426" s="4"/>
      <c r="Y2426" s="4"/>
    </row>
    <row r="2427" spans="5:25">
      <c r="E2427"/>
      <c r="G2427"/>
      <c r="H2427"/>
      <c r="I2427"/>
      <c r="K2427"/>
      <c r="O2427"/>
      <c r="R2427"/>
      <c r="W2427" s="4"/>
      <c r="X2427" s="4"/>
      <c r="Y2427" s="4"/>
    </row>
    <row r="2428" spans="5:25">
      <c r="E2428"/>
      <c r="G2428"/>
      <c r="H2428"/>
      <c r="I2428"/>
      <c r="K2428"/>
      <c r="O2428"/>
      <c r="R2428"/>
      <c r="W2428" s="4"/>
      <c r="X2428" s="4"/>
      <c r="Y2428" s="4"/>
    </row>
    <row r="2429" spans="5:25">
      <c r="E2429"/>
      <c r="G2429"/>
      <c r="H2429"/>
      <c r="I2429"/>
      <c r="K2429"/>
      <c r="O2429"/>
      <c r="R2429"/>
      <c r="W2429" s="4"/>
      <c r="X2429" s="4"/>
      <c r="Y2429" s="4"/>
    </row>
    <row r="2430" spans="5:25">
      <c r="E2430"/>
      <c r="G2430"/>
      <c r="H2430"/>
      <c r="I2430"/>
      <c r="K2430"/>
      <c r="O2430"/>
      <c r="R2430"/>
      <c r="W2430" s="4"/>
      <c r="X2430" s="4"/>
      <c r="Y2430" s="4"/>
    </row>
    <row r="2431" spans="5:25">
      <c r="E2431"/>
      <c r="G2431"/>
      <c r="H2431"/>
      <c r="I2431"/>
      <c r="K2431"/>
      <c r="O2431"/>
      <c r="R2431"/>
      <c r="W2431" s="4"/>
      <c r="X2431" s="4"/>
      <c r="Y2431" s="4"/>
    </row>
    <row r="2432" spans="5:25">
      <c r="E2432"/>
      <c r="G2432"/>
      <c r="H2432"/>
      <c r="I2432"/>
      <c r="K2432"/>
      <c r="O2432"/>
      <c r="R2432"/>
      <c r="W2432" s="4"/>
      <c r="X2432" s="4"/>
      <c r="Y2432" s="4"/>
    </row>
    <row r="2433" spans="5:25">
      <c r="E2433"/>
      <c r="G2433"/>
      <c r="H2433"/>
      <c r="I2433"/>
      <c r="K2433"/>
      <c r="O2433"/>
      <c r="R2433"/>
      <c r="W2433" s="4"/>
      <c r="X2433" s="4"/>
      <c r="Y2433" s="4"/>
    </row>
    <row r="2434" spans="5:25">
      <c r="E2434"/>
      <c r="G2434"/>
      <c r="H2434"/>
      <c r="I2434"/>
      <c r="K2434"/>
      <c r="O2434"/>
      <c r="R2434"/>
      <c r="W2434" s="4"/>
      <c r="X2434" s="4"/>
      <c r="Y2434" s="4"/>
    </row>
    <row r="2435" spans="5:25">
      <c r="E2435"/>
      <c r="G2435"/>
      <c r="H2435"/>
      <c r="I2435"/>
      <c r="K2435"/>
      <c r="O2435"/>
      <c r="R2435"/>
      <c r="W2435" s="4"/>
      <c r="X2435" s="4"/>
      <c r="Y2435" s="4"/>
    </row>
    <row r="2436" spans="5:25">
      <c r="E2436"/>
      <c r="G2436"/>
      <c r="H2436"/>
      <c r="I2436"/>
      <c r="K2436"/>
      <c r="O2436"/>
      <c r="R2436"/>
      <c r="W2436" s="4"/>
      <c r="X2436" s="4"/>
      <c r="Y2436" s="4"/>
    </row>
    <row r="2437" spans="5:25">
      <c r="E2437"/>
      <c r="G2437"/>
      <c r="H2437"/>
      <c r="I2437"/>
      <c r="K2437"/>
      <c r="O2437"/>
      <c r="R2437"/>
      <c r="W2437" s="4"/>
      <c r="X2437" s="4"/>
      <c r="Y2437" s="4"/>
    </row>
    <row r="2438" spans="5:25">
      <c r="E2438"/>
      <c r="G2438"/>
      <c r="H2438"/>
      <c r="I2438"/>
      <c r="K2438"/>
      <c r="O2438"/>
      <c r="R2438"/>
      <c r="W2438" s="4"/>
      <c r="X2438" s="4"/>
      <c r="Y2438" s="4"/>
    </row>
    <row r="2439" spans="5:25">
      <c r="E2439"/>
      <c r="G2439"/>
      <c r="H2439"/>
      <c r="I2439"/>
      <c r="K2439"/>
      <c r="O2439"/>
      <c r="R2439"/>
      <c r="W2439" s="4"/>
      <c r="X2439" s="4"/>
      <c r="Y2439" s="4"/>
    </row>
    <row r="2440" spans="5:25">
      <c r="E2440"/>
      <c r="G2440"/>
      <c r="H2440"/>
      <c r="I2440"/>
      <c r="K2440"/>
      <c r="O2440"/>
      <c r="R2440"/>
      <c r="W2440" s="4"/>
      <c r="X2440" s="4"/>
      <c r="Y2440" s="4"/>
    </row>
    <row r="2441" spans="5:25">
      <c r="E2441"/>
      <c r="G2441"/>
      <c r="H2441"/>
      <c r="I2441"/>
      <c r="K2441"/>
      <c r="O2441"/>
      <c r="R2441"/>
      <c r="W2441" s="4"/>
      <c r="X2441" s="4"/>
      <c r="Y2441" s="4"/>
    </row>
    <row r="2442" spans="5:25">
      <c r="E2442"/>
      <c r="G2442"/>
      <c r="H2442"/>
      <c r="I2442"/>
      <c r="K2442"/>
      <c r="O2442"/>
      <c r="R2442"/>
      <c r="W2442" s="4"/>
      <c r="X2442" s="4"/>
      <c r="Y2442" s="4"/>
    </row>
    <row r="2443" spans="5:25">
      <c r="E2443"/>
      <c r="G2443"/>
      <c r="H2443"/>
      <c r="I2443"/>
      <c r="K2443"/>
      <c r="O2443"/>
      <c r="R2443"/>
      <c r="W2443" s="4"/>
      <c r="X2443" s="4"/>
      <c r="Y2443" s="4"/>
    </row>
    <row r="2444" spans="5:25">
      <c r="E2444"/>
      <c r="G2444"/>
      <c r="H2444"/>
      <c r="I2444"/>
      <c r="K2444"/>
      <c r="O2444"/>
      <c r="R2444"/>
      <c r="W2444" s="4"/>
      <c r="X2444" s="4"/>
      <c r="Y2444" s="4"/>
    </row>
    <row r="2445" spans="5:25">
      <c r="E2445"/>
      <c r="G2445"/>
      <c r="H2445"/>
      <c r="I2445"/>
      <c r="K2445"/>
      <c r="O2445"/>
      <c r="R2445"/>
      <c r="W2445" s="4"/>
      <c r="X2445" s="4"/>
      <c r="Y2445" s="4"/>
    </row>
    <row r="2446" spans="5:25">
      <c r="E2446"/>
      <c r="G2446"/>
      <c r="H2446"/>
      <c r="I2446"/>
      <c r="K2446"/>
      <c r="O2446"/>
      <c r="R2446"/>
      <c r="W2446" s="4"/>
      <c r="X2446" s="4"/>
      <c r="Y2446" s="4"/>
    </row>
    <row r="2447" spans="5:25">
      <c r="E2447"/>
      <c r="G2447"/>
      <c r="H2447"/>
      <c r="I2447"/>
      <c r="K2447"/>
      <c r="O2447"/>
      <c r="R2447"/>
      <c r="W2447" s="4"/>
      <c r="X2447" s="4"/>
      <c r="Y2447" s="4"/>
    </row>
    <row r="2448" spans="5:25">
      <c r="E2448"/>
      <c r="G2448"/>
      <c r="H2448"/>
      <c r="I2448"/>
      <c r="K2448"/>
      <c r="O2448"/>
      <c r="R2448"/>
      <c r="W2448" s="4"/>
      <c r="X2448" s="4"/>
      <c r="Y2448" s="4"/>
    </row>
    <row r="2449" spans="5:25">
      <c r="E2449"/>
      <c r="G2449"/>
      <c r="H2449"/>
      <c r="I2449"/>
      <c r="K2449"/>
      <c r="O2449"/>
      <c r="R2449"/>
      <c r="W2449" s="4"/>
      <c r="X2449" s="4"/>
      <c r="Y2449" s="4"/>
    </row>
    <row r="2450" spans="5:25">
      <c r="E2450"/>
      <c r="G2450"/>
      <c r="H2450"/>
      <c r="I2450"/>
      <c r="K2450"/>
      <c r="O2450"/>
      <c r="R2450"/>
      <c r="W2450" s="4"/>
      <c r="X2450" s="4"/>
      <c r="Y2450" s="4"/>
    </row>
    <row r="2451" spans="5:25">
      <c r="E2451"/>
      <c r="G2451"/>
      <c r="H2451"/>
      <c r="I2451"/>
      <c r="K2451"/>
      <c r="O2451"/>
      <c r="R2451"/>
      <c r="W2451" s="4"/>
      <c r="X2451" s="4"/>
      <c r="Y2451" s="4"/>
    </row>
    <row r="2452" spans="5:25">
      <c r="E2452"/>
      <c r="G2452"/>
      <c r="H2452"/>
      <c r="I2452"/>
      <c r="K2452"/>
      <c r="O2452"/>
      <c r="R2452"/>
      <c r="W2452" s="4"/>
      <c r="X2452" s="4"/>
      <c r="Y2452" s="4"/>
    </row>
    <row r="2453" spans="5:25">
      <c r="E2453"/>
      <c r="G2453"/>
      <c r="H2453"/>
      <c r="I2453"/>
      <c r="K2453"/>
      <c r="O2453"/>
      <c r="R2453"/>
      <c r="W2453" s="4"/>
      <c r="X2453" s="4"/>
      <c r="Y2453" s="4"/>
    </row>
    <row r="2454" spans="5:25">
      <c r="E2454"/>
      <c r="G2454"/>
      <c r="H2454"/>
      <c r="I2454"/>
      <c r="K2454"/>
      <c r="O2454"/>
      <c r="R2454"/>
      <c r="W2454" s="4"/>
      <c r="X2454" s="4"/>
      <c r="Y2454" s="4"/>
    </row>
    <row r="2455" spans="5:25">
      <c r="E2455"/>
      <c r="G2455"/>
      <c r="H2455"/>
      <c r="I2455"/>
      <c r="K2455"/>
      <c r="O2455"/>
      <c r="R2455"/>
      <c r="W2455" s="4"/>
      <c r="X2455" s="4"/>
      <c r="Y2455" s="4"/>
    </row>
    <row r="2456" spans="5:25">
      <c r="E2456"/>
      <c r="G2456"/>
      <c r="H2456"/>
      <c r="I2456"/>
      <c r="K2456"/>
      <c r="O2456"/>
      <c r="R2456"/>
      <c r="W2456" s="4"/>
      <c r="X2456" s="4"/>
      <c r="Y2456" s="4"/>
    </row>
    <row r="2457" spans="5:25">
      <c r="E2457"/>
      <c r="G2457"/>
      <c r="H2457"/>
      <c r="I2457"/>
      <c r="K2457"/>
      <c r="O2457"/>
      <c r="R2457"/>
      <c r="W2457" s="4"/>
      <c r="X2457" s="4"/>
      <c r="Y2457" s="4"/>
    </row>
    <row r="2458" spans="5:25">
      <c r="E2458"/>
      <c r="G2458"/>
      <c r="H2458"/>
      <c r="I2458"/>
      <c r="K2458"/>
      <c r="O2458"/>
      <c r="R2458"/>
      <c r="W2458" s="4"/>
      <c r="X2458" s="4"/>
      <c r="Y2458" s="4"/>
    </row>
    <row r="2459" spans="5:25">
      <c r="E2459"/>
      <c r="G2459"/>
      <c r="H2459"/>
      <c r="I2459"/>
      <c r="K2459"/>
      <c r="O2459"/>
      <c r="R2459"/>
      <c r="W2459" s="4"/>
      <c r="X2459" s="4"/>
      <c r="Y2459" s="4"/>
    </row>
    <row r="2460" spans="5:25">
      <c r="E2460"/>
      <c r="G2460"/>
      <c r="H2460"/>
      <c r="I2460"/>
      <c r="K2460"/>
      <c r="O2460"/>
      <c r="R2460"/>
      <c r="W2460" s="4"/>
      <c r="X2460" s="4"/>
      <c r="Y2460" s="4"/>
    </row>
    <row r="2461" spans="5:25">
      <c r="E2461"/>
      <c r="G2461"/>
      <c r="H2461"/>
      <c r="I2461"/>
      <c r="K2461"/>
      <c r="O2461"/>
      <c r="R2461"/>
      <c r="W2461" s="4"/>
      <c r="X2461" s="4"/>
      <c r="Y2461" s="4"/>
    </row>
    <row r="2462" spans="5:25">
      <c r="E2462"/>
      <c r="G2462"/>
      <c r="H2462"/>
      <c r="I2462"/>
      <c r="K2462"/>
      <c r="O2462"/>
      <c r="R2462"/>
      <c r="W2462" s="4"/>
      <c r="X2462" s="4"/>
      <c r="Y2462" s="4"/>
    </row>
    <row r="2463" spans="5:25">
      <c r="E2463"/>
      <c r="G2463"/>
      <c r="H2463"/>
      <c r="I2463"/>
      <c r="K2463"/>
      <c r="O2463"/>
      <c r="R2463"/>
      <c r="W2463" s="4"/>
      <c r="X2463" s="4"/>
      <c r="Y2463" s="4"/>
    </row>
    <row r="2464" spans="5:25">
      <c r="E2464"/>
      <c r="G2464"/>
      <c r="H2464"/>
      <c r="I2464"/>
      <c r="K2464"/>
      <c r="O2464"/>
      <c r="R2464"/>
      <c r="W2464" s="4"/>
      <c r="X2464" s="4"/>
      <c r="Y2464" s="4"/>
    </row>
    <row r="2465" spans="5:25">
      <c r="E2465"/>
      <c r="G2465"/>
      <c r="H2465"/>
      <c r="I2465"/>
      <c r="K2465"/>
      <c r="O2465"/>
      <c r="R2465"/>
      <c r="W2465" s="4"/>
      <c r="X2465" s="4"/>
      <c r="Y2465" s="4"/>
    </row>
    <row r="2466" spans="5:25">
      <c r="E2466"/>
      <c r="G2466"/>
      <c r="H2466"/>
      <c r="I2466"/>
      <c r="K2466"/>
      <c r="O2466"/>
      <c r="R2466"/>
      <c r="W2466" s="4"/>
      <c r="X2466" s="4"/>
      <c r="Y2466" s="4"/>
    </row>
    <row r="2467" spans="5:25">
      <c r="E2467"/>
      <c r="G2467"/>
      <c r="H2467"/>
      <c r="I2467"/>
      <c r="K2467"/>
      <c r="O2467"/>
      <c r="R2467"/>
      <c r="W2467" s="4"/>
      <c r="X2467" s="4"/>
      <c r="Y2467" s="4"/>
    </row>
    <row r="2468" spans="5:25">
      <c r="E2468"/>
      <c r="G2468"/>
      <c r="H2468"/>
      <c r="I2468"/>
      <c r="K2468"/>
      <c r="O2468"/>
      <c r="R2468"/>
      <c r="W2468" s="4"/>
      <c r="X2468" s="4"/>
      <c r="Y2468" s="4"/>
    </row>
    <row r="2469" spans="5:25">
      <c r="E2469"/>
      <c r="G2469"/>
      <c r="H2469"/>
      <c r="I2469"/>
      <c r="K2469"/>
      <c r="O2469"/>
      <c r="R2469"/>
      <c r="W2469" s="4"/>
      <c r="X2469" s="4"/>
      <c r="Y2469" s="4"/>
    </row>
    <row r="2470" spans="5:25">
      <c r="E2470"/>
      <c r="G2470"/>
      <c r="H2470"/>
      <c r="I2470"/>
      <c r="K2470"/>
      <c r="O2470"/>
      <c r="R2470"/>
      <c r="W2470" s="4"/>
      <c r="X2470" s="4"/>
      <c r="Y2470" s="4"/>
    </row>
    <row r="2471" spans="5:25">
      <c r="E2471"/>
      <c r="G2471"/>
      <c r="H2471"/>
      <c r="I2471"/>
      <c r="K2471"/>
      <c r="O2471"/>
      <c r="R2471"/>
      <c r="W2471" s="4"/>
      <c r="X2471" s="4"/>
      <c r="Y2471" s="4"/>
    </row>
    <row r="2472" spans="5:25">
      <c r="E2472"/>
      <c r="G2472"/>
      <c r="H2472"/>
      <c r="I2472"/>
      <c r="K2472"/>
      <c r="O2472"/>
      <c r="R2472"/>
      <c r="W2472" s="4"/>
      <c r="X2472" s="4"/>
      <c r="Y2472" s="4"/>
    </row>
    <row r="2473" spans="5:25">
      <c r="E2473"/>
      <c r="G2473"/>
      <c r="H2473"/>
      <c r="I2473"/>
      <c r="K2473"/>
      <c r="O2473"/>
      <c r="R2473"/>
      <c r="W2473" s="4"/>
      <c r="X2473" s="4"/>
      <c r="Y2473" s="4"/>
    </row>
    <row r="2474" spans="5:25">
      <c r="E2474"/>
      <c r="G2474"/>
      <c r="H2474"/>
      <c r="I2474"/>
      <c r="K2474"/>
      <c r="O2474"/>
      <c r="R2474"/>
      <c r="W2474" s="4"/>
      <c r="X2474" s="4"/>
      <c r="Y2474" s="4"/>
    </row>
    <row r="2475" spans="5:25">
      <c r="E2475"/>
      <c r="G2475"/>
      <c r="H2475"/>
      <c r="I2475"/>
      <c r="K2475"/>
      <c r="O2475"/>
      <c r="R2475"/>
      <c r="W2475" s="4"/>
      <c r="X2475" s="4"/>
      <c r="Y2475" s="4"/>
    </row>
    <row r="2476" spans="5:25">
      <c r="E2476"/>
      <c r="G2476"/>
      <c r="H2476"/>
      <c r="I2476"/>
      <c r="K2476"/>
      <c r="O2476"/>
      <c r="R2476"/>
      <c r="W2476" s="4"/>
      <c r="X2476" s="4"/>
      <c r="Y2476" s="4"/>
    </row>
    <row r="2477" spans="5:25">
      <c r="E2477"/>
      <c r="G2477"/>
      <c r="H2477"/>
      <c r="I2477"/>
      <c r="K2477"/>
      <c r="O2477"/>
      <c r="R2477"/>
      <c r="W2477" s="4"/>
      <c r="X2477" s="4"/>
      <c r="Y2477" s="4"/>
    </row>
    <row r="2478" spans="5:25">
      <c r="E2478"/>
      <c r="G2478"/>
      <c r="H2478"/>
      <c r="I2478"/>
      <c r="K2478"/>
      <c r="O2478"/>
      <c r="R2478"/>
      <c r="W2478" s="4"/>
      <c r="X2478" s="4"/>
      <c r="Y2478" s="4"/>
    </row>
    <row r="2479" spans="5:25">
      <c r="E2479"/>
      <c r="G2479"/>
      <c r="H2479"/>
      <c r="I2479"/>
      <c r="K2479"/>
      <c r="O2479"/>
      <c r="R2479"/>
      <c r="W2479" s="4"/>
      <c r="X2479" s="4"/>
      <c r="Y2479" s="4"/>
    </row>
    <row r="2480" spans="5:25">
      <c r="E2480"/>
      <c r="G2480"/>
      <c r="H2480"/>
      <c r="I2480"/>
      <c r="K2480"/>
      <c r="O2480"/>
      <c r="R2480"/>
      <c r="W2480" s="4"/>
      <c r="X2480" s="4"/>
      <c r="Y2480" s="4"/>
    </row>
    <row r="2481" spans="5:25">
      <c r="E2481"/>
      <c r="G2481"/>
      <c r="H2481"/>
      <c r="I2481"/>
      <c r="K2481"/>
      <c r="O2481"/>
      <c r="R2481"/>
      <c r="W2481" s="4"/>
      <c r="X2481" s="4"/>
      <c r="Y2481" s="4"/>
    </row>
    <row r="2482" spans="5:25">
      <c r="E2482"/>
      <c r="G2482"/>
      <c r="H2482"/>
      <c r="I2482"/>
      <c r="K2482"/>
      <c r="O2482"/>
      <c r="R2482"/>
      <c r="W2482" s="4"/>
      <c r="X2482" s="4"/>
      <c r="Y2482" s="4"/>
    </row>
    <row r="2483" spans="5:25">
      <c r="E2483"/>
      <c r="G2483"/>
      <c r="H2483"/>
      <c r="I2483"/>
      <c r="K2483"/>
      <c r="O2483"/>
      <c r="R2483"/>
      <c r="W2483" s="4"/>
      <c r="X2483" s="4"/>
      <c r="Y2483" s="4"/>
    </row>
    <row r="2484" spans="5:25">
      <c r="E2484"/>
      <c r="G2484"/>
      <c r="H2484"/>
      <c r="I2484"/>
      <c r="K2484"/>
      <c r="O2484"/>
      <c r="R2484"/>
      <c r="W2484" s="4"/>
      <c r="X2484" s="4"/>
      <c r="Y2484" s="4"/>
    </row>
    <row r="2485" spans="5:25">
      <c r="E2485"/>
      <c r="G2485"/>
      <c r="H2485"/>
      <c r="I2485"/>
      <c r="K2485"/>
      <c r="O2485"/>
      <c r="R2485"/>
      <c r="W2485" s="4"/>
      <c r="X2485" s="4"/>
      <c r="Y2485" s="4"/>
    </row>
    <row r="2486" spans="5:25">
      <c r="E2486"/>
      <c r="G2486"/>
      <c r="H2486"/>
      <c r="I2486"/>
      <c r="K2486"/>
      <c r="O2486"/>
      <c r="R2486"/>
      <c r="W2486" s="4"/>
      <c r="X2486" s="4"/>
      <c r="Y2486" s="4"/>
    </row>
    <row r="2487" spans="5:25">
      <c r="E2487"/>
      <c r="G2487"/>
      <c r="H2487"/>
      <c r="I2487"/>
      <c r="K2487"/>
      <c r="O2487"/>
      <c r="R2487"/>
      <c r="W2487" s="4"/>
      <c r="X2487" s="4"/>
      <c r="Y2487" s="4"/>
    </row>
    <row r="2488" spans="5:25">
      <c r="E2488"/>
      <c r="G2488"/>
      <c r="H2488"/>
      <c r="I2488"/>
      <c r="K2488"/>
      <c r="O2488"/>
      <c r="R2488"/>
      <c r="W2488" s="4"/>
      <c r="X2488" s="4"/>
      <c r="Y2488" s="4"/>
    </row>
    <row r="2489" spans="5:25">
      <c r="E2489"/>
      <c r="G2489"/>
      <c r="H2489"/>
      <c r="I2489"/>
      <c r="K2489"/>
      <c r="O2489"/>
      <c r="R2489"/>
      <c r="W2489" s="4"/>
      <c r="X2489" s="4"/>
      <c r="Y2489" s="4"/>
    </row>
    <row r="2490" spans="5:25">
      <c r="E2490"/>
      <c r="G2490"/>
      <c r="H2490"/>
      <c r="I2490"/>
      <c r="K2490"/>
      <c r="O2490"/>
      <c r="R2490"/>
      <c r="W2490" s="4"/>
      <c r="X2490" s="4"/>
      <c r="Y2490" s="4"/>
    </row>
    <row r="2491" spans="5:25">
      <c r="E2491"/>
      <c r="G2491"/>
      <c r="H2491"/>
      <c r="I2491"/>
      <c r="K2491"/>
      <c r="O2491"/>
      <c r="R2491"/>
      <c r="W2491" s="4"/>
      <c r="X2491" s="4"/>
      <c r="Y2491" s="4"/>
    </row>
    <row r="2492" spans="5:25">
      <c r="E2492"/>
      <c r="G2492"/>
      <c r="H2492"/>
      <c r="I2492"/>
      <c r="K2492"/>
      <c r="O2492"/>
      <c r="R2492"/>
      <c r="W2492" s="4"/>
      <c r="X2492" s="4"/>
      <c r="Y2492" s="4"/>
    </row>
    <row r="2493" spans="5:25">
      <c r="E2493"/>
      <c r="G2493"/>
      <c r="H2493"/>
      <c r="I2493"/>
      <c r="K2493"/>
      <c r="O2493"/>
      <c r="R2493"/>
      <c r="W2493" s="4"/>
      <c r="X2493" s="4"/>
      <c r="Y2493" s="4"/>
    </row>
    <row r="2494" spans="5:25">
      <c r="E2494"/>
      <c r="G2494"/>
      <c r="H2494"/>
      <c r="I2494"/>
      <c r="K2494"/>
      <c r="O2494"/>
      <c r="R2494"/>
      <c r="W2494" s="4"/>
      <c r="X2494" s="4"/>
      <c r="Y2494" s="4"/>
    </row>
    <row r="2495" spans="5:25">
      <c r="E2495"/>
      <c r="G2495"/>
      <c r="H2495"/>
      <c r="I2495"/>
      <c r="K2495"/>
      <c r="O2495"/>
      <c r="R2495"/>
      <c r="W2495" s="4"/>
      <c r="X2495" s="4"/>
      <c r="Y2495" s="4"/>
    </row>
    <row r="2496" spans="5:25">
      <c r="E2496"/>
      <c r="G2496"/>
      <c r="H2496"/>
      <c r="I2496"/>
      <c r="K2496"/>
      <c r="O2496"/>
      <c r="R2496"/>
      <c r="W2496" s="4"/>
      <c r="X2496" s="4"/>
      <c r="Y2496" s="4"/>
    </row>
    <row r="2497" spans="5:25">
      <c r="E2497"/>
      <c r="G2497"/>
      <c r="H2497"/>
      <c r="I2497"/>
      <c r="K2497"/>
      <c r="O2497"/>
      <c r="R2497"/>
      <c r="W2497" s="4"/>
      <c r="X2497" s="4"/>
      <c r="Y2497" s="4"/>
    </row>
    <row r="2498" spans="5:25">
      <c r="E2498"/>
      <c r="G2498"/>
      <c r="H2498"/>
      <c r="I2498"/>
      <c r="K2498"/>
      <c r="O2498"/>
      <c r="R2498"/>
      <c r="W2498" s="4"/>
      <c r="X2498" s="4"/>
      <c r="Y2498" s="4"/>
    </row>
    <row r="2499" spans="5:25">
      <c r="E2499"/>
      <c r="G2499"/>
      <c r="H2499"/>
      <c r="I2499"/>
      <c r="K2499"/>
      <c r="O2499"/>
      <c r="R2499"/>
      <c r="W2499" s="4"/>
      <c r="X2499" s="4"/>
      <c r="Y2499" s="4"/>
    </row>
    <row r="2500" spans="5:25">
      <c r="E2500"/>
      <c r="G2500"/>
      <c r="H2500"/>
      <c r="I2500"/>
      <c r="K2500"/>
      <c r="O2500"/>
      <c r="R2500"/>
      <c r="W2500" s="4"/>
      <c r="X2500" s="4"/>
      <c r="Y2500" s="4"/>
    </row>
    <row r="2501" spans="5:25">
      <c r="E2501"/>
      <c r="G2501"/>
      <c r="H2501"/>
      <c r="I2501"/>
      <c r="K2501"/>
      <c r="O2501"/>
      <c r="R2501"/>
      <c r="W2501" s="4"/>
      <c r="X2501" s="4"/>
      <c r="Y2501" s="4"/>
    </row>
    <row r="2502" spans="5:25">
      <c r="E2502"/>
      <c r="G2502"/>
      <c r="H2502"/>
      <c r="I2502"/>
      <c r="K2502"/>
      <c r="O2502"/>
      <c r="R2502"/>
      <c r="W2502" s="4"/>
      <c r="X2502" s="4"/>
      <c r="Y2502" s="4"/>
    </row>
    <row r="2503" spans="5:25">
      <c r="E2503"/>
      <c r="G2503"/>
      <c r="H2503"/>
      <c r="I2503"/>
      <c r="K2503"/>
      <c r="O2503"/>
      <c r="R2503"/>
      <c r="W2503" s="4"/>
      <c r="X2503" s="4"/>
      <c r="Y2503" s="4"/>
    </row>
    <row r="2504" spans="5:25">
      <c r="E2504"/>
      <c r="G2504"/>
      <c r="H2504"/>
      <c r="I2504"/>
      <c r="K2504"/>
      <c r="O2504"/>
      <c r="R2504"/>
      <c r="W2504" s="4"/>
      <c r="X2504" s="4"/>
      <c r="Y2504" s="4"/>
    </row>
    <row r="2505" spans="5:25">
      <c r="E2505"/>
      <c r="G2505"/>
      <c r="H2505"/>
      <c r="I2505"/>
      <c r="K2505"/>
      <c r="O2505"/>
      <c r="R2505"/>
      <c r="W2505" s="4"/>
      <c r="X2505" s="4"/>
      <c r="Y2505" s="4"/>
    </row>
    <row r="2506" spans="5:25">
      <c r="E2506"/>
      <c r="G2506"/>
      <c r="H2506"/>
      <c r="I2506"/>
      <c r="K2506"/>
      <c r="O2506"/>
      <c r="R2506"/>
      <c r="W2506" s="4"/>
      <c r="X2506" s="4"/>
      <c r="Y2506" s="4"/>
    </row>
    <row r="2507" spans="5:25">
      <c r="E2507"/>
      <c r="G2507"/>
      <c r="H2507"/>
      <c r="I2507"/>
      <c r="K2507"/>
      <c r="O2507"/>
      <c r="R2507"/>
      <c r="W2507" s="4"/>
      <c r="X2507" s="4"/>
      <c r="Y2507" s="4"/>
    </row>
    <row r="2508" spans="5:25">
      <c r="E2508"/>
      <c r="G2508"/>
      <c r="H2508"/>
      <c r="I2508"/>
      <c r="K2508"/>
      <c r="O2508"/>
      <c r="R2508"/>
      <c r="W2508" s="4"/>
      <c r="X2508" s="4"/>
      <c r="Y2508" s="4"/>
    </row>
    <row r="2509" spans="5:25">
      <c r="E2509"/>
      <c r="G2509"/>
      <c r="H2509"/>
      <c r="I2509"/>
      <c r="K2509"/>
      <c r="O2509"/>
      <c r="R2509"/>
      <c r="W2509" s="4"/>
      <c r="X2509" s="4"/>
      <c r="Y2509" s="4"/>
    </row>
    <row r="2510" spans="5:25">
      <c r="E2510"/>
      <c r="G2510"/>
      <c r="H2510"/>
      <c r="I2510"/>
      <c r="K2510"/>
      <c r="O2510"/>
      <c r="R2510"/>
      <c r="W2510" s="4"/>
      <c r="X2510" s="4"/>
      <c r="Y2510" s="4"/>
    </row>
    <row r="2511" spans="5:25">
      <c r="E2511"/>
      <c r="G2511"/>
      <c r="H2511"/>
      <c r="I2511"/>
      <c r="K2511"/>
      <c r="O2511"/>
      <c r="R2511"/>
      <c r="W2511" s="4"/>
      <c r="X2511" s="4"/>
      <c r="Y2511" s="4"/>
    </row>
    <row r="2512" spans="5:25">
      <c r="E2512"/>
      <c r="G2512"/>
      <c r="H2512"/>
      <c r="I2512"/>
      <c r="K2512"/>
      <c r="O2512"/>
      <c r="R2512"/>
      <c r="W2512" s="4"/>
      <c r="X2512" s="4"/>
      <c r="Y2512" s="4"/>
    </row>
    <row r="2513" spans="5:25">
      <c r="E2513"/>
      <c r="G2513"/>
      <c r="H2513"/>
      <c r="I2513"/>
      <c r="K2513"/>
      <c r="O2513"/>
      <c r="R2513"/>
      <c r="W2513" s="4"/>
      <c r="X2513" s="4"/>
      <c r="Y2513" s="4"/>
    </row>
    <row r="2514" spans="5:25">
      <c r="E2514"/>
      <c r="G2514"/>
      <c r="H2514"/>
      <c r="I2514"/>
      <c r="K2514"/>
      <c r="O2514"/>
      <c r="R2514"/>
      <c r="W2514" s="4"/>
      <c r="X2514" s="4"/>
      <c r="Y2514" s="4"/>
    </row>
    <row r="2515" spans="5:25">
      <c r="E2515"/>
      <c r="G2515"/>
      <c r="H2515"/>
      <c r="I2515"/>
      <c r="K2515"/>
      <c r="O2515"/>
      <c r="R2515"/>
      <c r="W2515" s="4"/>
      <c r="X2515" s="4"/>
      <c r="Y2515" s="4"/>
    </row>
    <row r="2516" spans="5:25">
      <c r="E2516"/>
      <c r="G2516"/>
      <c r="H2516"/>
      <c r="I2516"/>
      <c r="K2516"/>
      <c r="O2516"/>
      <c r="R2516"/>
      <c r="W2516" s="4"/>
      <c r="X2516" s="4"/>
      <c r="Y2516" s="4"/>
    </row>
    <row r="2517" spans="5:25">
      <c r="E2517"/>
      <c r="G2517"/>
      <c r="H2517"/>
      <c r="I2517"/>
      <c r="K2517"/>
      <c r="O2517"/>
      <c r="R2517"/>
      <c r="W2517" s="4"/>
      <c r="X2517" s="4"/>
      <c r="Y2517" s="4"/>
    </row>
    <row r="2518" spans="5:25">
      <c r="E2518"/>
      <c r="G2518"/>
      <c r="H2518"/>
      <c r="I2518"/>
      <c r="K2518"/>
      <c r="O2518"/>
      <c r="R2518"/>
      <c r="W2518" s="4"/>
      <c r="X2518" s="4"/>
      <c r="Y2518" s="4"/>
    </row>
    <row r="2519" spans="5:25">
      <c r="E2519"/>
      <c r="G2519"/>
      <c r="H2519"/>
      <c r="I2519"/>
      <c r="K2519"/>
      <c r="O2519"/>
      <c r="R2519"/>
      <c r="W2519" s="4"/>
      <c r="X2519" s="4"/>
      <c r="Y2519" s="4"/>
    </row>
    <row r="2520" spans="5:25">
      <c r="E2520"/>
      <c r="G2520"/>
      <c r="H2520"/>
      <c r="I2520"/>
      <c r="K2520"/>
      <c r="O2520"/>
      <c r="R2520"/>
      <c r="W2520" s="4"/>
      <c r="X2520" s="4"/>
      <c r="Y2520" s="4"/>
    </row>
    <row r="2521" spans="5:25">
      <c r="E2521"/>
      <c r="G2521"/>
      <c r="H2521"/>
      <c r="I2521"/>
      <c r="K2521"/>
      <c r="O2521"/>
      <c r="R2521"/>
      <c r="W2521" s="4"/>
      <c r="X2521" s="4"/>
      <c r="Y2521" s="4"/>
    </row>
    <row r="2522" spans="5:25">
      <c r="E2522"/>
      <c r="G2522"/>
      <c r="H2522"/>
      <c r="I2522"/>
      <c r="K2522"/>
      <c r="O2522"/>
      <c r="R2522"/>
      <c r="W2522" s="4"/>
      <c r="X2522" s="4"/>
      <c r="Y2522" s="4"/>
    </row>
    <row r="2523" spans="5:25">
      <c r="E2523"/>
      <c r="G2523"/>
      <c r="H2523"/>
      <c r="I2523"/>
      <c r="K2523"/>
      <c r="O2523"/>
      <c r="R2523"/>
      <c r="W2523" s="4"/>
      <c r="X2523" s="4"/>
      <c r="Y2523" s="4"/>
    </row>
    <row r="2524" spans="5:25">
      <c r="E2524"/>
      <c r="G2524"/>
      <c r="H2524"/>
      <c r="I2524"/>
      <c r="K2524"/>
      <c r="O2524"/>
      <c r="R2524"/>
      <c r="W2524" s="4"/>
      <c r="X2524" s="4"/>
      <c r="Y2524" s="4"/>
    </row>
    <row r="2525" spans="5:25">
      <c r="E2525"/>
      <c r="G2525"/>
      <c r="H2525"/>
      <c r="I2525"/>
      <c r="K2525"/>
      <c r="O2525"/>
      <c r="R2525"/>
      <c r="W2525" s="4"/>
      <c r="X2525" s="4"/>
      <c r="Y2525" s="4"/>
    </row>
    <row r="2526" spans="5:25">
      <c r="E2526"/>
      <c r="G2526"/>
      <c r="H2526"/>
      <c r="I2526"/>
      <c r="K2526"/>
      <c r="O2526"/>
      <c r="R2526"/>
      <c r="W2526" s="4"/>
      <c r="X2526" s="4"/>
      <c r="Y2526" s="4"/>
    </row>
    <row r="2527" spans="5:25">
      <c r="E2527"/>
      <c r="G2527"/>
      <c r="H2527"/>
      <c r="I2527"/>
      <c r="K2527"/>
      <c r="O2527"/>
      <c r="R2527"/>
      <c r="W2527" s="4"/>
      <c r="X2527" s="4"/>
      <c r="Y2527" s="4"/>
    </row>
    <row r="2528" spans="5:25">
      <c r="E2528"/>
      <c r="G2528"/>
      <c r="H2528"/>
      <c r="I2528"/>
      <c r="K2528"/>
      <c r="O2528"/>
      <c r="R2528"/>
      <c r="W2528" s="4"/>
      <c r="X2528" s="4"/>
      <c r="Y2528" s="4"/>
    </row>
    <row r="2529" spans="5:25">
      <c r="E2529"/>
      <c r="G2529"/>
      <c r="H2529"/>
      <c r="I2529"/>
      <c r="K2529"/>
      <c r="O2529"/>
      <c r="R2529"/>
      <c r="W2529" s="4"/>
      <c r="X2529" s="4"/>
      <c r="Y2529" s="4"/>
    </row>
    <row r="2530" spans="5:25">
      <c r="E2530"/>
      <c r="G2530"/>
      <c r="H2530"/>
      <c r="I2530"/>
      <c r="K2530"/>
      <c r="O2530"/>
      <c r="R2530"/>
      <c r="W2530" s="4"/>
      <c r="X2530" s="4"/>
      <c r="Y2530" s="4"/>
    </row>
    <row r="2531" spans="5:25">
      <c r="E2531"/>
      <c r="G2531"/>
      <c r="H2531"/>
      <c r="I2531"/>
      <c r="K2531"/>
      <c r="O2531"/>
      <c r="R2531"/>
      <c r="W2531" s="4"/>
      <c r="X2531" s="4"/>
      <c r="Y2531" s="4"/>
    </row>
    <row r="2532" spans="5:25">
      <c r="E2532"/>
      <c r="G2532"/>
      <c r="H2532"/>
      <c r="I2532"/>
      <c r="K2532"/>
      <c r="O2532"/>
      <c r="R2532"/>
      <c r="W2532" s="4"/>
      <c r="X2532" s="4"/>
      <c r="Y2532" s="4"/>
    </row>
    <row r="2533" spans="5:25">
      <c r="E2533"/>
      <c r="G2533"/>
      <c r="H2533"/>
      <c r="I2533"/>
      <c r="K2533"/>
      <c r="O2533"/>
      <c r="R2533"/>
      <c r="W2533" s="4"/>
      <c r="X2533" s="4"/>
      <c r="Y2533" s="4"/>
    </row>
    <row r="2534" spans="5:25">
      <c r="E2534"/>
      <c r="G2534"/>
      <c r="H2534"/>
      <c r="I2534"/>
      <c r="K2534"/>
      <c r="O2534"/>
      <c r="R2534"/>
      <c r="W2534" s="4"/>
      <c r="X2534" s="4"/>
      <c r="Y2534" s="4"/>
    </row>
    <row r="2535" spans="5:25">
      <c r="E2535"/>
      <c r="G2535"/>
      <c r="H2535"/>
      <c r="I2535"/>
      <c r="K2535"/>
      <c r="O2535"/>
      <c r="R2535"/>
      <c r="W2535" s="4"/>
      <c r="X2535" s="4"/>
      <c r="Y2535" s="4"/>
    </row>
    <row r="2536" spans="5:25">
      <c r="E2536"/>
      <c r="G2536"/>
      <c r="H2536"/>
      <c r="I2536"/>
      <c r="K2536"/>
      <c r="O2536"/>
      <c r="R2536"/>
      <c r="W2536" s="4"/>
      <c r="X2536" s="4"/>
      <c r="Y2536" s="4"/>
    </row>
    <row r="2537" spans="5:25">
      <c r="E2537"/>
      <c r="G2537"/>
      <c r="H2537"/>
      <c r="I2537"/>
      <c r="K2537"/>
      <c r="O2537"/>
      <c r="R2537"/>
      <c r="W2537" s="4"/>
      <c r="X2537" s="4"/>
      <c r="Y2537" s="4"/>
    </row>
    <row r="2538" spans="5:25">
      <c r="E2538"/>
      <c r="G2538"/>
      <c r="H2538"/>
      <c r="I2538"/>
      <c r="K2538"/>
      <c r="O2538"/>
      <c r="R2538"/>
      <c r="W2538" s="4"/>
      <c r="X2538" s="4"/>
      <c r="Y2538" s="4"/>
    </row>
    <row r="2539" spans="5:25">
      <c r="E2539"/>
      <c r="G2539"/>
      <c r="H2539"/>
      <c r="I2539"/>
      <c r="K2539"/>
      <c r="O2539"/>
      <c r="R2539"/>
      <c r="W2539" s="4"/>
      <c r="X2539" s="4"/>
      <c r="Y2539" s="4"/>
    </row>
    <row r="2540" spans="5:25">
      <c r="E2540"/>
      <c r="G2540"/>
      <c r="H2540"/>
      <c r="I2540"/>
      <c r="K2540"/>
      <c r="O2540"/>
      <c r="R2540"/>
      <c r="W2540" s="4"/>
      <c r="X2540" s="4"/>
      <c r="Y2540" s="4"/>
    </row>
    <row r="2541" spans="5:25">
      <c r="E2541"/>
      <c r="G2541"/>
      <c r="H2541"/>
      <c r="I2541"/>
      <c r="K2541"/>
      <c r="O2541"/>
      <c r="R2541"/>
      <c r="W2541" s="4"/>
      <c r="X2541" s="4"/>
      <c r="Y2541" s="4"/>
    </row>
    <row r="2542" spans="5:25">
      <c r="E2542"/>
      <c r="G2542"/>
      <c r="H2542"/>
      <c r="I2542"/>
      <c r="K2542"/>
      <c r="O2542"/>
      <c r="R2542"/>
      <c r="W2542" s="4"/>
      <c r="X2542" s="4"/>
      <c r="Y2542" s="4"/>
    </row>
    <row r="2543" spans="5:25">
      <c r="E2543"/>
      <c r="G2543"/>
      <c r="H2543"/>
      <c r="I2543"/>
      <c r="K2543"/>
      <c r="O2543"/>
      <c r="R2543"/>
      <c r="W2543" s="4"/>
      <c r="X2543" s="4"/>
      <c r="Y2543" s="4"/>
    </row>
    <row r="2544" spans="5:25">
      <c r="E2544"/>
      <c r="G2544"/>
      <c r="H2544"/>
      <c r="I2544"/>
      <c r="K2544"/>
      <c r="O2544"/>
      <c r="R2544"/>
      <c r="W2544" s="4"/>
      <c r="X2544" s="4"/>
      <c r="Y2544" s="4"/>
    </row>
    <row r="2545" spans="5:25">
      <c r="E2545"/>
      <c r="G2545"/>
      <c r="H2545"/>
      <c r="I2545"/>
      <c r="K2545"/>
      <c r="O2545"/>
      <c r="R2545"/>
      <c r="W2545" s="4"/>
      <c r="X2545" s="4"/>
      <c r="Y2545" s="4"/>
    </row>
    <row r="2546" spans="5:25">
      <c r="E2546"/>
      <c r="G2546"/>
      <c r="H2546"/>
      <c r="I2546"/>
      <c r="K2546"/>
      <c r="O2546"/>
      <c r="R2546"/>
      <c r="W2546" s="4"/>
      <c r="X2546" s="4"/>
      <c r="Y2546" s="4"/>
    </row>
    <row r="2547" spans="5:25">
      <c r="E2547"/>
      <c r="G2547"/>
      <c r="H2547"/>
      <c r="I2547"/>
      <c r="K2547"/>
      <c r="O2547"/>
      <c r="R2547"/>
      <c r="W2547" s="4"/>
      <c r="X2547" s="4"/>
      <c r="Y2547" s="4"/>
    </row>
    <row r="2548" spans="5:25">
      <c r="E2548"/>
      <c r="G2548"/>
      <c r="H2548"/>
      <c r="I2548"/>
      <c r="K2548"/>
      <c r="O2548"/>
      <c r="R2548"/>
      <c r="W2548" s="4"/>
      <c r="X2548" s="4"/>
      <c r="Y2548" s="4"/>
    </row>
    <row r="2549" spans="5:25">
      <c r="E2549"/>
      <c r="G2549"/>
      <c r="H2549"/>
      <c r="I2549"/>
      <c r="K2549"/>
      <c r="O2549"/>
      <c r="R2549"/>
      <c r="W2549" s="4"/>
      <c r="X2549" s="4"/>
      <c r="Y2549" s="4"/>
    </row>
    <row r="2550" spans="5:25">
      <c r="E2550"/>
      <c r="G2550"/>
      <c r="H2550"/>
      <c r="I2550"/>
      <c r="K2550"/>
      <c r="O2550"/>
      <c r="R2550"/>
      <c r="W2550" s="4"/>
      <c r="X2550" s="4"/>
      <c r="Y2550" s="4"/>
    </row>
    <row r="2551" spans="5:25">
      <c r="E2551"/>
      <c r="G2551"/>
      <c r="H2551"/>
      <c r="I2551"/>
      <c r="K2551"/>
      <c r="O2551"/>
      <c r="R2551"/>
      <c r="W2551" s="4"/>
      <c r="X2551" s="4"/>
      <c r="Y2551" s="4"/>
    </row>
    <row r="2552" spans="5:25">
      <c r="E2552"/>
      <c r="G2552"/>
      <c r="H2552"/>
      <c r="I2552"/>
      <c r="K2552"/>
      <c r="O2552"/>
      <c r="R2552"/>
      <c r="W2552" s="4"/>
      <c r="X2552" s="4"/>
      <c r="Y2552" s="4"/>
    </row>
    <row r="2553" spans="5:25">
      <c r="E2553"/>
      <c r="G2553"/>
      <c r="H2553"/>
      <c r="I2553"/>
      <c r="K2553"/>
      <c r="O2553"/>
      <c r="R2553"/>
      <c r="W2553" s="4"/>
      <c r="X2553" s="4"/>
      <c r="Y2553" s="4"/>
    </row>
    <row r="2554" spans="5:25">
      <c r="E2554"/>
      <c r="G2554"/>
      <c r="H2554"/>
      <c r="I2554"/>
      <c r="K2554"/>
      <c r="O2554"/>
      <c r="R2554"/>
      <c r="W2554" s="4"/>
      <c r="X2554" s="4"/>
      <c r="Y2554" s="4"/>
    </row>
    <row r="2555" spans="5:25">
      <c r="E2555"/>
      <c r="G2555"/>
      <c r="H2555"/>
      <c r="I2555"/>
      <c r="K2555"/>
      <c r="O2555"/>
      <c r="R2555"/>
      <c r="W2555" s="4"/>
      <c r="X2555" s="4"/>
      <c r="Y2555" s="4"/>
    </row>
    <row r="2556" spans="5:25">
      <c r="E2556"/>
      <c r="G2556"/>
      <c r="H2556"/>
      <c r="I2556"/>
      <c r="K2556"/>
      <c r="O2556"/>
      <c r="R2556"/>
      <c r="W2556" s="4"/>
      <c r="X2556" s="4"/>
      <c r="Y2556" s="4"/>
    </row>
    <row r="2557" spans="5:25">
      <c r="E2557"/>
      <c r="G2557"/>
      <c r="H2557"/>
      <c r="I2557"/>
      <c r="K2557"/>
      <c r="O2557"/>
      <c r="R2557"/>
      <c r="W2557" s="4"/>
      <c r="X2557" s="4"/>
      <c r="Y2557" s="4"/>
    </row>
    <row r="2558" spans="5:25">
      <c r="E2558"/>
      <c r="G2558"/>
      <c r="H2558"/>
      <c r="I2558"/>
      <c r="K2558"/>
      <c r="O2558"/>
      <c r="R2558"/>
      <c r="W2558" s="4"/>
      <c r="X2558" s="4"/>
      <c r="Y2558" s="4"/>
    </row>
    <row r="2559" spans="5:25">
      <c r="E2559"/>
      <c r="G2559"/>
      <c r="H2559"/>
      <c r="I2559"/>
      <c r="K2559"/>
      <c r="O2559"/>
      <c r="R2559"/>
      <c r="W2559" s="4"/>
      <c r="X2559" s="4"/>
      <c r="Y2559" s="4"/>
    </row>
    <row r="2560" spans="5:25">
      <c r="E2560"/>
      <c r="G2560"/>
      <c r="H2560"/>
      <c r="I2560"/>
      <c r="K2560"/>
      <c r="O2560"/>
      <c r="R2560"/>
      <c r="W2560" s="4"/>
      <c r="X2560" s="4"/>
      <c r="Y2560" s="4"/>
    </row>
    <row r="2561" spans="5:25">
      <c r="E2561"/>
      <c r="G2561"/>
      <c r="H2561"/>
      <c r="I2561"/>
      <c r="K2561"/>
      <c r="O2561"/>
      <c r="R2561"/>
      <c r="W2561" s="4"/>
      <c r="X2561" s="4"/>
      <c r="Y2561" s="4"/>
    </row>
    <row r="2562" spans="5:25">
      <c r="E2562"/>
      <c r="G2562"/>
      <c r="H2562"/>
      <c r="I2562"/>
      <c r="K2562"/>
      <c r="O2562"/>
      <c r="R2562"/>
      <c r="W2562" s="4"/>
      <c r="X2562" s="4"/>
      <c r="Y2562" s="4"/>
    </row>
    <row r="2563" spans="5:25">
      <c r="E2563"/>
      <c r="G2563"/>
      <c r="H2563"/>
      <c r="I2563"/>
      <c r="K2563"/>
      <c r="O2563"/>
      <c r="R2563"/>
      <c r="W2563" s="4"/>
      <c r="X2563" s="4"/>
      <c r="Y2563" s="4"/>
    </row>
    <row r="2564" spans="5:25">
      <c r="E2564"/>
      <c r="G2564"/>
      <c r="H2564"/>
      <c r="I2564"/>
      <c r="K2564"/>
      <c r="O2564"/>
      <c r="R2564"/>
      <c r="W2564" s="4"/>
      <c r="X2564" s="4"/>
      <c r="Y2564" s="4"/>
    </row>
    <row r="2565" spans="5:25">
      <c r="E2565"/>
      <c r="G2565"/>
      <c r="H2565"/>
      <c r="I2565"/>
      <c r="K2565"/>
      <c r="O2565"/>
      <c r="R2565"/>
      <c r="W2565" s="4"/>
      <c r="X2565" s="4"/>
      <c r="Y2565" s="4"/>
    </row>
    <row r="2566" spans="5:25">
      <c r="E2566"/>
      <c r="G2566"/>
      <c r="H2566"/>
      <c r="I2566"/>
      <c r="K2566"/>
      <c r="O2566"/>
      <c r="R2566"/>
      <c r="W2566" s="4"/>
      <c r="X2566" s="4"/>
      <c r="Y2566" s="4"/>
    </row>
    <row r="2567" spans="5:25">
      <c r="E2567"/>
      <c r="G2567"/>
      <c r="H2567"/>
      <c r="I2567"/>
      <c r="K2567"/>
      <c r="O2567"/>
      <c r="R2567"/>
      <c r="W2567" s="4"/>
      <c r="X2567" s="4"/>
      <c r="Y2567" s="4"/>
    </row>
    <row r="2568" spans="5:25">
      <c r="E2568"/>
      <c r="G2568"/>
      <c r="H2568"/>
      <c r="I2568"/>
      <c r="K2568"/>
      <c r="O2568"/>
      <c r="R2568"/>
      <c r="W2568" s="4"/>
      <c r="X2568" s="4"/>
      <c r="Y2568" s="4"/>
    </row>
    <row r="2569" spans="5:25">
      <c r="E2569"/>
      <c r="G2569"/>
      <c r="H2569"/>
      <c r="I2569"/>
      <c r="K2569"/>
      <c r="O2569"/>
      <c r="R2569"/>
      <c r="W2569" s="4"/>
      <c r="X2569" s="4"/>
      <c r="Y2569" s="4"/>
    </row>
    <row r="2570" spans="5:25">
      <c r="E2570"/>
      <c r="G2570"/>
      <c r="H2570"/>
      <c r="I2570"/>
      <c r="K2570"/>
      <c r="O2570"/>
      <c r="R2570"/>
      <c r="W2570" s="4"/>
      <c r="X2570" s="4"/>
      <c r="Y2570" s="4"/>
    </row>
    <row r="2571" spans="5:25">
      <c r="E2571"/>
      <c r="G2571"/>
      <c r="H2571"/>
      <c r="I2571"/>
      <c r="K2571"/>
      <c r="O2571"/>
      <c r="R2571"/>
      <c r="W2571" s="4"/>
      <c r="X2571" s="4"/>
      <c r="Y2571" s="4"/>
    </row>
    <row r="2572" spans="5:25">
      <c r="E2572"/>
      <c r="G2572"/>
      <c r="H2572"/>
      <c r="I2572"/>
      <c r="K2572"/>
      <c r="O2572"/>
      <c r="R2572"/>
      <c r="W2572" s="4"/>
      <c r="X2572" s="4"/>
      <c r="Y2572" s="4"/>
    </row>
    <row r="2573" spans="5:25">
      <c r="E2573"/>
      <c r="G2573"/>
      <c r="H2573"/>
      <c r="I2573"/>
      <c r="K2573"/>
      <c r="O2573"/>
      <c r="R2573"/>
      <c r="W2573" s="4"/>
      <c r="X2573" s="4"/>
      <c r="Y2573" s="4"/>
    </row>
    <row r="2574" spans="5:25">
      <c r="E2574"/>
      <c r="G2574"/>
      <c r="H2574"/>
      <c r="I2574"/>
      <c r="K2574"/>
      <c r="O2574"/>
      <c r="R2574"/>
      <c r="W2574" s="4"/>
      <c r="X2574" s="4"/>
      <c r="Y2574" s="4"/>
    </row>
    <row r="2575" spans="5:25">
      <c r="E2575"/>
      <c r="G2575"/>
      <c r="H2575"/>
      <c r="I2575"/>
      <c r="K2575"/>
      <c r="O2575"/>
      <c r="R2575"/>
      <c r="W2575" s="4"/>
      <c r="X2575" s="4"/>
      <c r="Y2575" s="4"/>
    </row>
    <row r="2576" spans="5:25">
      <c r="E2576"/>
      <c r="G2576"/>
      <c r="H2576"/>
      <c r="I2576"/>
      <c r="K2576"/>
      <c r="O2576"/>
      <c r="R2576"/>
      <c r="W2576" s="4"/>
      <c r="X2576" s="4"/>
      <c r="Y2576" s="4"/>
    </row>
    <row r="2577" spans="5:25">
      <c r="E2577"/>
      <c r="G2577"/>
      <c r="H2577"/>
      <c r="I2577"/>
      <c r="K2577"/>
      <c r="O2577"/>
      <c r="R2577"/>
      <c r="W2577" s="4"/>
      <c r="X2577" s="4"/>
      <c r="Y2577" s="4"/>
    </row>
    <row r="2578" spans="5:25">
      <c r="E2578"/>
      <c r="G2578"/>
      <c r="H2578"/>
      <c r="I2578"/>
      <c r="K2578"/>
      <c r="O2578"/>
      <c r="R2578"/>
      <c r="W2578" s="4"/>
      <c r="X2578" s="4"/>
      <c r="Y2578" s="4"/>
    </row>
    <row r="2579" spans="5:25">
      <c r="E2579"/>
      <c r="G2579"/>
      <c r="H2579"/>
      <c r="I2579"/>
      <c r="K2579"/>
      <c r="O2579"/>
      <c r="R2579"/>
      <c r="W2579" s="4"/>
      <c r="X2579" s="4"/>
      <c r="Y2579" s="4"/>
    </row>
    <row r="2580" spans="5:25">
      <c r="E2580"/>
      <c r="G2580"/>
      <c r="H2580"/>
      <c r="I2580"/>
      <c r="K2580"/>
      <c r="O2580"/>
      <c r="R2580"/>
      <c r="W2580" s="4"/>
      <c r="X2580" s="4"/>
      <c r="Y2580" s="4"/>
    </row>
    <row r="2581" spans="5:25">
      <c r="E2581"/>
      <c r="G2581"/>
      <c r="H2581"/>
      <c r="I2581"/>
      <c r="K2581"/>
      <c r="O2581"/>
      <c r="R2581"/>
      <c r="W2581" s="4"/>
      <c r="X2581" s="4"/>
      <c r="Y2581" s="4"/>
    </row>
    <row r="2582" spans="5:25">
      <c r="E2582"/>
      <c r="G2582"/>
      <c r="H2582"/>
      <c r="I2582"/>
      <c r="K2582"/>
      <c r="O2582"/>
      <c r="R2582"/>
      <c r="W2582" s="4"/>
      <c r="X2582" s="4"/>
      <c r="Y2582" s="4"/>
    </row>
    <row r="2583" spans="5:25">
      <c r="E2583"/>
      <c r="G2583"/>
      <c r="H2583"/>
      <c r="I2583"/>
      <c r="K2583"/>
      <c r="O2583"/>
      <c r="R2583"/>
      <c r="W2583" s="4"/>
      <c r="X2583" s="4"/>
      <c r="Y2583" s="4"/>
    </row>
    <row r="2584" spans="5:25">
      <c r="E2584"/>
      <c r="G2584"/>
      <c r="H2584"/>
      <c r="I2584"/>
      <c r="K2584"/>
      <c r="O2584"/>
      <c r="R2584"/>
      <c r="W2584" s="4"/>
      <c r="X2584" s="4"/>
      <c r="Y2584" s="4"/>
    </row>
    <row r="2585" spans="5:25">
      <c r="E2585"/>
      <c r="G2585"/>
      <c r="H2585"/>
      <c r="I2585"/>
      <c r="K2585"/>
      <c r="O2585"/>
      <c r="R2585"/>
      <c r="W2585" s="4"/>
      <c r="X2585" s="4"/>
      <c r="Y2585" s="4"/>
    </row>
    <row r="2586" spans="5:25">
      <c r="E2586"/>
      <c r="G2586"/>
      <c r="H2586"/>
      <c r="I2586"/>
      <c r="K2586"/>
      <c r="O2586"/>
      <c r="R2586"/>
      <c r="W2586" s="4"/>
      <c r="X2586" s="4"/>
      <c r="Y2586" s="4"/>
    </row>
    <row r="2587" spans="5:25">
      <c r="E2587"/>
      <c r="G2587"/>
      <c r="H2587"/>
      <c r="I2587"/>
      <c r="K2587"/>
      <c r="O2587"/>
      <c r="R2587"/>
      <c r="W2587" s="4"/>
      <c r="X2587" s="4"/>
      <c r="Y2587" s="4"/>
    </row>
    <row r="2588" spans="5:25">
      <c r="E2588"/>
      <c r="G2588"/>
      <c r="H2588"/>
      <c r="I2588"/>
      <c r="K2588"/>
      <c r="O2588"/>
      <c r="R2588"/>
      <c r="W2588" s="4"/>
      <c r="X2588" s="4"/>
      <c r="Y2588" s="4"/>
    </row>
    <row r="2589" spans="5:25">
      <c r="E2589"/>
      <c r="G2589"/>
      <c r="H2589"/>
      <c r="I2589"/>
      <c r="K2589"/>
      <c r="O2589"/>
      <c r="R2589"/>
      <c r="W2589" s="4"/>
      <c r="X2589" s="4"/>
      <c r="Y2589" s="4"/>
    </row>
    <row r="2590" spans="5:25">
      <c r="E2590"/>
      <c r="G2590"/>
      <c r="H2590"/>
      <c r="I2590"/>
      <c r="K2590"/>
      <c r="O2590"/>
      <c r="R2590"/>
      <c r="W2590" s="4"/>
      <c r="X2590" s="4"/>
      <c r="Y2590" s="4"/>
    </row>
    <row r="2591" spans="5:25">
      <c r="E2591"/>
      <c r="G2591"/>
      <c r="H2591"/>
      <c r="I2591"/>
      <c r="K2591"/>
      <c r="O2591"/>
      <c r="R2591"/>
      <c r="W2591" s="4"/>
      <c r="X2591" s="4"/>
      <c r="Y2591" s="4"/>
    </row>
    <row r="2592" spans="5:25">
      <c r="E2592"/>
      <c r="G2592"/>
      <c r="H2592"/>
      <c r="I2592"/>
      <c r="K2592"/>
      <c r="O2592"/>
      <c r="R2592"/>
      <c r="W2592" s="4"/>
      <c r="X2592" s="4"/>
      <c r="Y2592" s="4"/>
    </row>
    <row r="2593" spans="5:25">
      <c r="E2593"/>
      <c r="G2593"/>
      <c r="H2593"/>
      <c r="I2593"/>
      <c r="K2593"/>
      <c r="O2593"/>
      <c r="R2593"/>
      <c r="W2593" s="4"/>
      <c r="X2593" s="4"/>
      <c r="Y2593" s="4"/>
    </row>
    <row r="2594" spans="5:25">
      <c r="E2594"/>
      <c r="G2594"/>
      <c r="H2594"/>
      <c r="I2594"/>
      <c r="K2594"/>
      <c r="O2594"/>
      <c r="R2594"/>
      <c r="W2594" s="4"/>
      <c r="X2594" s="4"/>
      <c r="Y2594" s="4"/>
    </row>
    <row r="2595" spans="5:25">
      <c r="E2595"/>
      <c r="G2595"/>
      <c r="H2595"/>
      <c r="I2595"/>
      <c r="K2595"/>
      <c r="O2595"/>
      <c r="R2595"/>
      <c r="W2595" s="4"/>
      <c r="X2595" s="4"/>
      <c r="Y2595" s="4"/>
    </row>
    <row r="2596" spans="5:25">
      <c r="E2596"/>
      <c r="G2596"/>
      <c r="H2596"/>
      <c r="I2596"/>
      <c r="K2596"/>
      <c r="O2596"/>
      <c r="R2596"/>
      <c r="W2596" s="4"/>
      <c r="X2596" s="4"/>
      <c r="Y2596" s="4"/>
    </row>
    <row r="2597" spans="5:25">
      <c r="E2597"/>
      <c r="G2597"/>
      <c r="H2597"/>
      <c r="I2597"/>
      <c r="K2597"/>
      <c r="O2597"/>
      <c r="R2597"/>
      <c r="W2597" s="4"/>
      <c r="X2597" s="4"/>
      <c r="Y2597" s="4"/>
    </row>
    <row r="2598" spans="5:25">
      <c r="E2598"/>
      <c r="G2598"/>
      <c r="H2598"/>
      <c r="I2598"/>
      <c r="K2598"/>
      <c r="O2598"/>
      <c r="R2598"/>
      <c r="W2598" s="4"/>
      <c r="X2598" s="4"/>
      <c r="Y2598" s="4"/>
    </row>
    <row r="2599" spans="5:25">
      <c r="E2599"/>
      <c r="G2599"/>
      <c r="H2599"/>
      <c r="I2599"/>
      <c r="K2599"/>
      <c r="O2599"/>
      <c r="R2599"/>
      <c r="W2599" s="4"/>
      <c r="X2599" s="4"/>
      <c r="Y2599" s="4"/>
    </row>
    <row r="2600" spans="5:25">
      <c r="E2600"/>
      <c r="G2600"/>
      <c r="H2600"/>
      <c r="I2600"/>
      <c r="K2600"/>
      <c r="O2600"/>
      <c r="R2600"/>
      <c r="W2600" s="4"/>
      <c r="X2600" s="4"/>
      <c r="Y2600" s="4"/>
    </row>
    <row r="2601" spans="5:25">
      <c r="E2601"/>
      <c r="G2601"/>
      <c r="H2601"/>
      <c r="I2601"/>
      <c r="K2601"/>
      <c r="O2601"/>
      <c r="R2601"/>
      <c r="W2601" s="4"/>
      <c r="X2601" s="4"/>
      <c r="Y2601" s="4"/>
    </row>
    <row r="2602" spans="5:25">
      <c r="E2602"/>
      <c r="G2602"/>
      <c r="H2602"/>
      <c r="I2602"/>
      <c r="K2602"/>
      <c r="O2602"/>
      <c r="R2602"/>
      <c r="W2602" s="4"/>
      <c r="X2602" s="4"/>
      <c r="Y2602" s="4"/>
    </row>
    <row r="2603" spans="5:25">
      <c r="E2603"/>
      <c r="G2603"/>
      <c r="H2603"/>
      <c r="I2603"/>
      <c r="K2603"/>
      <c r="O2603"/>
      <c r="R2603"/>
      <c r="W2603" s="4"/>
      <c r="X2603" s="4"/>
      <c r="Y2603" s="4"/>
    </row>
    <row r="2604" spans="5:25">
      <c r="E2604"/>
      <c r="G2604"/>
      <c r="H2604"/>
      <c r="I2604"/>
      <c r="K2604"/>
      <c r="O2604"/>
      <c r="R2604"/>
      <c r="W2604" s="4"/>
      <c r="X2604" s="4"/>
      <c r="Y2604" s="4"/>
    </row>
    <row r="2605" spans="5:25">
      <c r="E2605"/>
      <c r="G2605"/>
      <c r="H2605"/>
      <c r="I2605"/>
      <c r="K2605"/>
      <c r="O2605"/>
      <c r="R2605"/>
      <c r="W2605" s="4"/>
      <c r="X2605" s="4"/>
      <c r="Y2605" s="4"/>
    </row>
    <row r="2606" spans="5:25">
      <c r="E2606"/>
      <c r="G2606"/>
      <c r="H2606"/>
      <c r="I2606"/>
      <c r="K2606"/>
      <c r="O2606"/>
      <c r="R2606"/>
      <c r="W2606" s="4"/>
      <c r="X2606" s="4"/>
      <c r="Y2606" s="4"/>
    </row>
    <row r="2607" spans="5:25">
      <c r="E2607"/>
      <c r="G2607"/>
      <c r="H2607"/>
      <c r="I2607"/>
      <c r="K2607"/>
      <c r="O2607"/>
      <c r="R2607"/>
      <c r="W2607" s="4"/>
      <c r="X2607" s="4"/>
      <c r="Y2607" s="4"/>
    </row>
    <row r="2608" spans="5:25">
      <c r="E2608"/>
      <c r="G2608"/>
      <c r="H2608"/>
      <c r="I2608"/>
      <c r="K2608"/>
      <c r="O2608"/>
      <c r="R2608"/>
      <c r="W2608" s="4"/>
      <c r="X2608" s="4"/>
      <c r="Y2608" s="4"/>
    </row>
    <row r="2609" spans="5:25">
      <c r="E2609"/>
      <c r="G2609"/>
      <c r="H2609"/>
      <c r="I2609"/>
      <c r="K2609"/>
      <c r="O2609"/>
      <c r="R2609"/>
      <c r="W2609" s="4"/>
      <c r="X2609" s="4"/>
      <c r="Y2609" s="4"/>
    </row>
    <row r="2610" spans="5:25">
      <c r="E2610"/>
      <c r="G2610"/>
      <c r="H2610"/>
      <c r="I2610"/>
      <c r="K2610"/>
      <c r="O2610"/>
      <c r="R2610"/>
      <c r="W2610" s="4"/>
      <c r="X2610" s="4"/>
      <c r="Y2610" s="4"/>
    </row>
    <row r="2611" spans="5:25">
      <c r="E2611"/>
      <c r="G2611"/>
      <c r="H2611"/>
      <c r="I2611"/>
      <c r="K2611"/>
      <c r="O2611"/>
      <c r="R2611"/>
      <c r="W2611" s="4"/>
      <c r="X2611" s="4"/>
      <c r="Y2611" s="4"/>
    </row>
    <row r="2612" spans="5:25">
      <c r="E2612"/>
      <c r="G2612"/>
      <c r="H2612"/>
      <c r="I2612"/>
      <c r="K2612"/>
      <c r="O2612"/>
      <c r="R2612"/>
      <c r="W2612" s="4"/>
      <c r="X2612" s="4"/>
      <c r="Y2612" s="4"/>
    </row>
    <row r="2613" spans="5:25">
      <c r="E2613"/>
      <c r="G2613"/>
      <c r="H2613"/>
      <c r="I2613"/>
      <c r="K2613"/>
      <c r="O2613"/>
      <c r="R2613"/>
      <c r="W2613" s="4"/>
      <c r="X2613" s="4"/>
      <c r="Y2613" s="4"/>
    </row>
    <row r="2614" spans="5:25">
      <c r="E2614"/>
      <c r="G2614"/>
      <c r="H2614"/>
      <c r="I2614"/>
      <c r="K2614"/>
      <c r="O2614"/>
      <c r="R2614"/>
      <c r="W2614" s="4"/>
      <c r="X2614" s="4"/>
      <c r="Y2614" s="4"/>
    </row>
    <row r="2615" spans="5:25">
      <c r="E2615"/>
      <c r="G2615"/>
      <c r="H2615"/>
      <c r="I2615"/>
      <c r="K2615"/>
      <c r="O2615"/>
      <c r="R2615"/>
      <c r="W2615" s="4"/>
      <c r="X2615" s="4"/>
      <c r="Y2615" s="4"/>
    </row>
    <row r="2616" spans="5:25">
      <c r="E2616"/>
      <c r="G2616"/>
      <c r="H2616"/>
      <c r="I2616"/>
      <c r="K2616"/>
      <c r="O2616"/>
      <c r="R2616"/>
      <c r="W2616" s="4"/>
      <c r="X2616" s="4"/>
      <c r="Y2616" s="4"/>
    </row>
    <row r="2617" spans="5:25">
      <c r="E2617"/>
      <c r="G2617"/>
      <c r="H2617"/>
      <c r="I2617"/>
      <c r="K2617"/>
      <c r="O2617"/>
      <c r="R2617"/>
      <c r="W2617" s="4"/>
      <c r="X2617" s="4"/>
      <c r="Y2617" s="4"/>
    </row>
    <row r="2618" spans="5:25">
      <c r="E2618"/>
      <c r="G2618"/>
      <c r="H2618"/>
      <c r="I2618"/>
      <c r="K2618"/>
      <c r="O2618"/>
      <c r="R2618"/>
      <c r="W2618" s="4"/>
      <c r="X2618" s="4"/>
      <c r="Y2618" s="4"/>
    </row>
    <row r="2619" spans="5:25">
      <c r="E2619"/>
      <c r="G2619"/>
      <c r="H2619"/>
      <c r="I2619"/>
      <c r="K2619"/>
      <c r="O2619"/>
      <c r="R2619"/>
      <c r="W2619" s="4"/>
      <c r="X2619" s="4"/>
      <c r="Y2619" s="4"/>
    </row>
    <row r="2620" spans="5:25">
      <c r="E2620"/>
      <c r="G2620"/>
      <c r="H2620"/>
      <c r="I2620"/>
      <c r="K2620"/>
      <c r="O2620"/>
      <c r="R2620"/>
      <c r="W2620" s="4"/>
      <c r="X2620" s="4"/>
      <c r="Y2620" s="4"/>
    </row>
    <row r="2621" spans="5:25">
      <c r="E2621"/>
      <c r="G2621"/>
      <c r="H2621"/>
      <c r="I2621"/>
      <c r="K2621"/>
      <c r="O2621"/>
      <c r="R2621"/>
      <c r="W2621" s="4"/>
      <c r="X2621" s="4"/>
      <c r="Y2621" s="4"/>
    </row>
    <row r="2622" spans="5:25">
      <c r="E2622"/>
      <c r="G2622"/>
      <c r="H2622"/>
      <c r="I2622"/>
      <c r="K2622"/>
      <c r="O2622"/>
      <c r="R2622"/>
      <c r="W2622" s="4"/>
      <c r="X2622" s="4"/>
      <c r="Y2622" s="4"/>
    </row>
    <row r="2623" spans="5:25">
      <c r="E2623"/>
      <c r="G2623"/>
      <c r="H2623"/>
      <c r="I2623"/>
      <c r="K2623"/>
      <c r="O2623"/>
      <c r="R2623"/>
      <c r="W2623" s="4"/>
      <c r="X2623" s="4"/>
      <c r="Y2623" s="4"/>
    </row>
    <row r="2624" spans="5:25">
      <c r="E2624"/>
      <c r="G2624"/>
      <c r="H2624"/>
      <c r="I2624"/>
      <c r="K2624"/>
      <c r="O2624"/>
      <c r="R2624"/>
      <c r="W2624" s="4"/>
      <c r="X2624" s="4"/>
      <c r="Y2624" s="4"/>
    </row>
    <row r="2625" spans="5:25">
      <c r="E2625"/>
      <c r="G2625"/>
      <c r="H2625"/>
      <c r="I2625"/>
      <c r="K2625"/>
      <c r="O2625"/>
      <c r="R2625"/>
      <c r="W2625" s="4"/>
      <c r="X2625" s="4"/>
      <c r="Y2625" s="4"/>
    </row>
    <row r="2626" spans="5:25">
      <c r="E2626"/>
      <c r="G2626"/>
      <c r="H2626"/>
      <c r="I2626"/>
      <c r="K2626"/>
      <c r="O2626"/>
      <c r="R2626"/>
      <c r="W2626" s="4"/>
      <c r="X2626" s="4"/>
      <c r="Y2626" s="4"/>
    </row>
    <row r="2627" spans="5:25">
      <c r="E2627"/>
      <c r="G2627"/>
      <c r="H2627"/>
      <c r="I2627"/>
      <c r="K2627"/>
      <c r="O2627"/>
      <c r="R2627"/>
      <c r="W2627" s="4"/>
      <c r="X2627" s="4"/>
      <c r="Y2627" s="4"/>
    </row>
    <row r="2628" spans="5:25">
      <c r="E2628"/>
      <c r="G2628"/>
      <c r="H2628"/>
      <c r="I2628"/>
      <c r="K2628"/>
      <c r="O2628"/>
      <c r="R2628"/>
      <c r="W2628" s="4"/>
      <c r="X2628" s="4"/>
      <c r="Y2628" s="4"/>
    </row>
    <row r="2629" spans="5:25">
      <c r="E2629"/>
      <c r="G2629"/>
      <c r="H2629"/>
      <c r="I2629"/>
      <c r="K2629"/>
      <c r="O2629"/>
      <c r="R2629"/>
      <c r="W2629" s="4"/>
      <c r="X2629" s="4"/>
      <c r="Y2629" s="4"/>
    </row>
    <row r="2630" spans="5:25">
      <c r="E2630"/>
      <c r="G2630"/>
      <c r="H2630"/>
      <c r="I2630"/>
      <c r="K2630"/>
      <c r="O2630"/>
      <c r="R2630"/>
      <c r="W2630" s="4"/>
      <c r="X2630" s="4"/>
      <c r="Y2630" s="4"/>
    </row>
    <row r="2631" spans="5:25">
      <c r="E2631"/>
      <c r="G2631"/>
      <c r="H2631"/>
      <c r="I2631"/>
      <c r="K2631"/>
      <c r="O2631"/>
      <c r="R2631"/>
      <c r="W2631" s="4"/>
      <c r="X2631" s="4"/>
      <c r="Y2631" s="4"/>
    </row>
    <row r="2632" spans="5:25">
      <c r="E2632"/>
      <c r="G2632"/>
      <c r="H2632"/>
      <c r="I2632"/>
      <c r="K2632"/>
      <c r="O2632"/>
      <c r="R2632"/>
      <c r="W2632" s="4"/>
      <c r="X2632" s="4"/>
      <c r="Y2632" s="4"/>
    </row>
    <row r="2633" spans="5:25">
      <c r="E2633"/>
      <c r="G2633"/>
      <c r="H2633"/>
      <c r="I2633"/>
      <c r="K2633"/>
      <c r="O2633"/>
      <c r="R2633"/>
      <c r="W2633" s="4"/>
      <c r="X2633" s="4"/>
      <c r="Y2633" s="4"/>
    </row>
    <row r="2634" spans="5:25">
      <c r="E2634"/>
      <c r="G2634"/>
      <c r="H2634"/>
      <c r="I2634"/>
      <c r="K2634"/>
      <c r="O2634"/>
      <c r="R2634"/>
      <c r="W2634" s="4"/>
      <c r="X2634" s="4"/>
      <c r="Y2634" s="4"/>
    </row>
    <row r="2635" spans="5:25">
      <c r="E2635"/>
      <c r="G2635"/>
      <c r="H2635"/>
      <c r="I2635"/>
      <c r="K2635"/>
      <c r="O2635"/>
      <c r="R2635"/>
      <c r="W2635" s="4"/>
      <c r="X2635" s="4"/>
      <c r="Y2635" s="4"/>
    </row>
    <row r="2636" spans="5:25">
      <c r="E2636"/>
      <c r="G2636"/>
      <c r="H2636"/>
      <c r="I2636"/>
      <c r="K2636"/>
      <c r="O2636"/>
      <c r="R2636"/>
      <c r="W2636" s="4"/>
      <c r="X2636" s="4"/>
      <c r="Y2636" s="4"/>
    </row>
    <row r="2637" spans="5:25">
      <c r="E2637"/>
      <c r="G2637"/>
      <c r="H2637"/>
      <c r="I2637"/>
      <c r="K2637"/>
      <c r="O2637"/>
      <c r="R2637"/>
      <c r="W2637" s="4"/>
      <c r="X2637" s="4"/>
      <c r="Y2637" s="4"/>
    </row>
    <row r="2638" spans="5:25">
      <c r="E2638"/>
      <c r="G2638"/>
      <c r="H2638"/>
      <c r="I2638"/>
      <c r="K2638"/>
      <c r="O2638"/>
      <c r="R2638"/>
      <c r="W2638" s="4"/>
      <c r="X2638" s="4"/>
      <c r="Y2638" s="4"/>
    </row>
    <row r="2639" spans="5:25">
      <c r="E2639"/>
      <c r="G2639"/>
      <c r="H2639"/>
      <c r="I2639"/>
      <c r="K2639"/>
      <c r="O2639"/>
      <c r="R2639"/>
      <c r="W2639" s="4"/>
      <c r="X2639" s="4"/>
      <c r="Y2639" s="4"/>
    </row>
    <row r="2640" spans="5:25">
      <c r="E2640"/>
      <c r="G2640"/>
      <c r="H2640"/>
      <c r="I2640"/>
      <c r="K2640"/>
      <c r="O2640"/>
      <c r="R2640"/>
      <c r="W2640" s="4"/>
      <c r="X2640" s="4"/>
      <c r="Y2640" s="4"/>
    </row>
    <row r="2641" spans="5:25">
      <c r="E2641"/>
      <c r="G2641"/>
      <c r="H2641"/>
      <c r="I2641"/>
      <c r="K2641"/>
      <c r="O2641"/>
      <c r="R2641"/>
      <c r="W2641" s="4"/>
      <c r="X2641" s="4"/>
      <c r="Y2641" s="4"/>
    </row>
    <row r="2642" spans="5:25">
      <c r="E2642"/>
      <c r="G2642"/>
      <c r="H2642"/>
      <c r="I2642"/>
      <c r="K2642"/>
      <c r="O2642"/>
      <c r="R2642"/>
      <c r="W2642" s="4"/>
      <c r="X2642" s="4"/>
      <c r="Y2642" s="4"/>
    </row>
    <row r="2643" spans="5:25">
      <c r="E2643"/>
      <c r="G2643"/>
      <c r="H2643"/>
      <c r="I2643"/>
      <c r="K2643"/>
      <c r="O2643"/>
      <c r="R2643"/>
      <c r="W2643" s="4"/>
      <c r="X2643" s="4"/>
      <c r="Y2643" s="4"/>
    </row>
    <row r="2644" spans="5:25">
      <c r="E2644"/>
      <c r="G2644"/>
      <c r="H2644"/>
      <c r="I2644"/>
      <c r="K2644"/>
      <c r="O2644"/>
      <c r="R2644"/>
      <c r="W2644" s="4"/>
      <c r="X2644" s="4"/>
      <c r="Y2644" s="4"/>
    </row>
    <row r="2645" spans="5:25">
      <c r="E2645"/>
      <c r="G2645"/>
      <c r="H2645"/>
      <c r="I2645"/>
      <c r="K2645"/>
      <c r="O2645"/>
      <c r="R2645"/>
      <c r="W2645" s="4"/>
      <c r="X2645" s="4"/>
      <c r="Y2645" s="4"/>
    </row>
    <row r="2646" spans="5:25">
      <c r="E2646"/>
      <c r="G2646"/>
      <c r="H2646"/>
      <c r="I2646"/>
      <c r="K2646"/>
      <c r="O2646"/>
      <c r="R2646"/>
      <c r="W2646" s="4"/>
      <c r="X2646" s="4"/>
      <c r="Y2646" s="4"/>
    </row>
    <row r="2647" spans="5:25">
      <c r="E2647"/>
      <c r="G2647"/>
      <c r="H2647"/>
      <c r="I2647"/>
      <c r="K2647"/>
      <c r="O2647"/>
      <c r="R2647"/>
      <c r="W2647" s="4"/>
      <c r="X2647" s="4"/>
      <c r="Y2647" s="4"/>
    </row>
    <row r="2648" spans="5:25">
      <c r="E2648"/>
      <c r="G2648"/>
      <c r="H2648"/>
      <c r="I2648"/>
      <c r="K2648"/>
      <c r="O2648"/>
      <c r="R2648"/>
      <c r="W2648" s="4"/>
      <c r="X2648" s="4"/>
      <c r="Y2648" s="4"/>
    </row>
    <row r="2649" spans="5:25">
      <c r="E2649"/>
      <c r="G2649"/>
      <c r="H2649"/>
      <c r="I2649"/>
      <c r="K2649"/>
      <c r="O2649"/>
      <c r="R2649"/>
      <c r="W2649" s="4"/>
      <c r="X2649" s="4"/>
      <c r="Y2649" s="4"/>
    </row>
    <row r="2650" spans="5:25">
      <c r="E2650"/>
      <c r="G2650"/>
      <c r="H2650"/>
      <c r="I2650"/>
      <c r="K2650"/>
      <c r="O2650"/>
      <c r="R2650"/>
      <c r="W2650" s="4"/>
      <c r="X2650" s="4"/>
      <c r="Y2650" s="4"/>
    </row>
    <row r="2651" spans="5:25">
      <c r="E2651"/>
      <c r="G2651"/>
      <c r="H2651"/>
      <c r="I2651"/>
      <c r="K2651"/>
      <c r="O2651"/>
      <c r="R2651"/>
      <c r="W2651" s="4"/>
      <c r="X2651" s="4"/>
      <c r="Y2651" s="4"/>
    </row>
    <row r="2652" spans="5:25">
      <c r="E2652"/>
      <c r="G2652"/>
      <c r="H2652"/>
      <c r="I2652"/>
      <c r="K2652"/>
      <c r="O2652"/>
      <c r="R2652"/>
      <c r="W2652" s="4"/>
      <c r="X2652" s="4"/>
      <c r="Y2652" s="4"/>
    </row>
    <row r="2653" spans="5:25">
      <c r="E2653"/>
      <c r="G2653"/>
      <c r="H2653"/>
      <c r="I2653"/>
      <c r="K2653"/>
      <c r="O2653"/>
      <c r="R2653"/>
      <c r="W2653" s="4"/>
      <c r="X2653" s="4"/>
      <c r="Y2653" s="4"/>
    </row>
    <row r="2654" spans="5:25">
      <c r="E2654"/>
      <c r="G2654"/>
      <c r="H2654"/>
      <c r="I2654"/>
      <c r="K2654"/>
      <c r="O2654"/>
      <c r="R2654"/>
      <c r="W2654" s="4"/>
      <c r="X2654" s="4"/>
      <c r="Y2654" s="4"/>
    </row>
    <row r="2655" spans="5:25">
      <c r="E2655"/>
      <c r="G2655"/>
      <c r="H2655"/>
      <c r="I2655"/>
      <c r="K2655"/>
      <c r="O2655"/>
      <c r="R2655"/>
      <c r="W2655" s="4"/>
      <c r="X2655" s="4"/>
      <c r="Y2655" s="4"/>
    </row>
    <row r="2656" spans="5:25">
      <c r="E2656"/>
      <c r="G2656"/>
      <c r="H2656"/>
      <c r="I2656"/>
      <c r="K2656"/>
      <c r="O2656"/>
      <c r="R2656"/>
      <c r="W2656" s="4"/>
      <c r="X2656" s="4"/>
      <c r="Y2656" s="4"/>
    </row>
    <row r="2657" spans="5:25">
      <c r="E2657"/>
      <c r="G2657"/>
      <c r="H2657"/>
      <c r="I2657"/>
      <c r="K2657"/>
      <c r="O2657"/>
      <c r="R2657"/>
      <c r="W2657" s="4"/>
      <c r="X2657" s="4"/>
      <c r="Y2657" s="4"/>
    </row>
    <row r="2658" spans="5:25">
      <c r="E2658"/>
      <c r="G2658"/>
      <c r="H2658"/>
      <c r="I2658"/>
      <c r="K2658"/>
      <c r="O2658"/>
      <c r="R2658"/>
      <c r="W2658" s="4"/>
      <c r="X2658" s="4"/>
      <c r="Y2658" s="4"/>
    </row>
    <row r="2659" spans="5:25">
      <c r="E2659"/>
      <c r="G2659"/>
      <c r="H2659"/>
      <c r="I2659"/>
      <c r="K2659"/>
      <c r="O2659"/>
      <c r="R2659"/>
      <c r="W2659" s="4"/>
      <c r="X2659" s="4"/>
      <c r="Y2659" s="4"/>
    </row>
    <row r="2660" spans="5:25">
      <c r="E2660"/>
      <c r="G2660"/>
      <c r="H2660"/>
      <c r="I2660"/>
      <c r="K2660"/>
      <c r="O2660"/>
      <c r="R2660"/>
      <c r="W2660" s="4"/>
      <c r="X2660" s="4"/>
      <c r="Y2660" s="4"/>
    </row>
    <row r="2661" spans="5:25">
      <c r="E2661"/>
      <c r="G2661"/>
      <c r="H2661"/>
      <c r="I2661"/>
      <c r="K2661"/>
      <c r="O2661"/>
      <c r="R2661"/>
      <c r="W2661" s="4"/>
      <c r="X2661" s="4"/>
      <c r="Y2661" s="4"/>
    </row>
    <row r="2662" spans="5:25">
      <c r="E2662"/>
      <c r="G2662"/>
      <c r="H2662"/>
      <c r="I2662"/>
      <c r="K2662"/>
      <c r="O2662"/>
      <c r="R2662"/>
      <c r="W2662" s="4"/>
      <c r="X2662" s="4"/>
      <c r="Y2662" s="4"/>
    </row>
    <row r="2663" spans="5:25">
      <c r="E2663"/>
      <c r="G2663"/>
      <c r="H2663"/>
      <c r="I2663"/>
      <c r="K2663"/>
      <c r="O2663"/>
      <c r="R2663"/>
      <c r="W2663" s="4"/>
      <c r="X2663" s="4"/>
      <c r="Y2663" s="4"/>
    </row>
    <row r="2664" spans="5:25">
      <c r="E2664"/>
      <c r="G2664"/>
      <c r="H2664"/>
      <c r="I2664"/>
      <c r="K2664"/>
      <c r="O2664"/>
      <c r="R2664"/>
      <c r="W2664" s="4"/>
      <c r="X2664" s="4"/>
      <c r="Y2664" s="4"/>
    </row>
    <row r="2665" spans="5:25">
      <c r="E2665"/>
      <c r="G2665"/>
      <c r="H2665"/>
      <c r="I2665"/>
      <c r="K2665"/>
      <c r="O2665"/>
      <c r="R2665"/>
      <c r="W2665" s="4"/>
      <c r="X2665" s="4"/>
      <c r="Y2665" s="4"/>
    </row>
    <row r="2666" spans="5:25">
      <c r="E2666"/>
      <c r="G2666"/>
      <c r="H2666"/>
      <c r="I2666"/>
      <c r="K2666"/>
      <c r="O2666"/>
      <c r="R2666"/>
      <c r="W2666" s="4"/>
      <c r="X2666" s="4"/>
      <c r="Y2666" s="4"/>
    </row>
    <row r="2667" spans="5:25">
      <c r="E2667"/>
      <c r="G2667"/>
      <c r="H2667"/>
      <c r="I2667"/>
      <c r="K2667"/>
      <c r="O2667"/>
      <c r="R2667"/>
      <c r="W2667" s="4"/>
      <c r="X2667" s="4"/>
      <c r="Y2667" s="4"/>
    </row>
    <row r="2668" spans="5:25">
      <c r="E2668"/>
      <c r="G2668"/>
      <c r="H2668"/>
      <c r="I2668"/>
      <c r="K2668"/>
      <c r="O2668"/>
      <c r="R2668"/>
      <c r="W2668" s="4"/>
      <c r="X2668" s="4"/>
      <c r="Y2668" s="4"/>
    </row>
    <row r="2669" spans="5:25">
      <c r="E2669"/>
      <c r="G2669"/>
      <c r="H2669"/>
      <c r="I2669"/>
      <c r="K2669"/>
      <c r="O2669"/>
      <c r="R2669"/>
      <c r="W2669" s="4"/>
      <c r="X2669" s="4"/>
      <c r="Y2669" s="4"/>
    </row>
    <row r="2670" spans="5:25">
      <c r="E2670"/>
      <c r="G2670"/>
      <c r="H2670"/>
      <c r="I2670"/>
      <c r="K2670"/>
      <c r="O2670"/>
      <c r="R2670"/>
      <c r="W2670" s="4"/>
      <c r="X2670" s="4"/>
      <c r="Y2670" s="4"/>
    </row>
    <row r="2671" spans="5:25">
      <c r="E2671"/>
      <c r="G2671"/>
      <c r="H2671"/>
      <c r="I2671"/>
      <c r="K2671"/>
      <c r="O2671"/>
      <c r="R2671"/>
      <c r="W2671" s="4"/>
      <c r="X2671" s="4"/>
      <c r="Y2671" s="4"/>
    </row>
    <row r="2672" spans="5:25">
      <c r="E2672"/>
      <c r="G2672"/>
      <c r="H2672"/>
      <c r="I2672"/>
      <c r="K2672"/>
      <c r="O2672"/>
      <c r="R2672"/>
      <c r="W2672" s="4"/>
      <c r="X2672" s="4"/>
      <c r="Y2672" s="4"/>
    </row>
    <row r="2673" spans="5:25">
      <c r="E2673"/>
      <c r="G2673"/>
      <c r="H2673"/>
      <c r="I2673"/>
      <c r="K2673"/>
      <c r="O2673"/>
      <c r="R2673"/>
      <c r="W2673" s="4"/>
      <c r="X2673" s="4"/>
      <c r="Y2673" s="4"/>
    </row>
    <row r="2674" spans="5:25">
      <c r="E2674"/>
      <c r="G2674"/>
      <c r="H2674"/>
      <c r="I2674"/>
      <c r="K2674"/>
      <c r="O2674"/>
      <c r="R2674"/>
      <c r="W2674" s="4"/>
      <c r="X2674" s="4"/>
      <c r="Y2674" s="4"/>
    </row>
    <row r="2675" spans="5:25">
      <c r="E2675"/>
      <c r="G2675"/>
      <c r="H2675"/>
      <c r="I2675"/>
      <c r="K2675"/>
      <c r="O2675"/>
      <c r="R2675"/>
      <c r="W2675" s="4"/>
      <c r="X2675" s="4"/>
      <c r="Y2675" s="4"/>
    </row>
    <row r="2676" spans="5:25">
      <c r="E2676"/>
      <c r="G2676"/>
      <c r="H2676"/>
      <c r="I2676"/>
      <c r="K2676"/>
      <c r="O2676"/>
      <c r="R2676"/>
      <c r="W2676" s="4"/>
      <c r="X2676" s="4"/>
      <c r="Y2676" s="4"/>
    </row>
    <row r="2677" spans="5:25">
      <c r="E2677"/>
      <c r="G2677"/>
      <c r="H2677"/>
      <c r="I2677"/>
      <c r="K2677"/>
      <c r="O2677"/>
      <c r="R2677"/>
      <c r="W2677" s="4"/>
      <c r="X2677" s="4"/>
      <c r="Y2677" s="4"/>
    </row>
    <row r="2678" spans="5:25">
      <c r="E2678"/>
      <c r="G2678"/>
      <c r="H2678"/>
      <c r="I2678"/>
      <c r="K2678"/>
      <c r="O2678"/>
      <c r="R2678"/>
      <c r="W2678" s="4"/>
      <c r="X2678" s="4"/>
      <c r="Y2678" s="4"/>
    </row>
    <row r="2679" spans="5:25">
      <c r="E2679"/>
      <c r="G2679"/>
      <c r="H2679"/>
      <c r="I2679"/>
      <c r="K2679"/>
      <c r="O2679"/>
      <c r="R2679"/>
      <c r="W2679" s="4"/>
      <c r="X2679" s="4"/>
      <c r="Y2679" s="4"/>
    </row>
    <row r="2680" spans="5:25">
      <c r="E2680"/>
      <c r="G2680"/>
      <c r="H2680"/>
      <c r="I2680"/>
      <c r="K2680"/>
      <c r="O2680"/>
      <c r="R2680"/>
      <c r="W2680" s="4"/>
      <c r="X2680" s="4"/>
      <c r="Y2680" s="4"/>
    </row>
    <row r="2681" spans="5:25">
      <c r="E2681"/>
      <c r="G2681"/>
      <c r="H2681"/>
      <c r="I2681"/>
      <c r="K2681"/>
      <c r="O2681"/>
      <c r="R2681"/>
      <c r="W2681" s="4"/>
      <c r="X2681" s="4"/>
      <c r="Y2681" s="4"/>
    </row>
    <row r="2682" spans="5:25">
      <c r="E2682"/>
      <c r="G2682"/>
      <c r="H2682"/>
      <c r="I2682"/>
      <c r="K2682"/>
      <c r="O2682"/>
      <c r="R2682"/>
      <c r="W2682" s="4"/>
      <c r="X2682" s="4"/>
      <c r="Y2682" s="4"/>
    </row>
    <row r="2683" spans="5:25">
      <c r="E2683"/>
      <c r="G2683"/>
      <c r="H2683"/>
      <c r="I2683"/>
      <c r="K2683"/>
      <c r="O2683"/>
      <c r="R2683"/>
      <c r="W2683" s="4"/>
      <c r="X2683" s="4"/>
      <c r="Y2683" s="4"/>
    </row>
    <row r="2684" spans="5:25">
      <c r="E2684"/>
      <c r="G2684"/>
      <c r="H2684"/>
      <c r="I2684"/>
      <c r="K2684"/>
      <c r="O2684"/>
      <c r="R2684"/>
      <c r="W2684" s="4"/>
      <c r="X2684" s="4"/>
      <c r="Y2684" s="4"/>
    </row>
    <row r="2685" spans="5:25">
      <c r="E2685"/>
      <c r="G2685"/>
      <c r="H2685"/>
      <c r="I2685"/>
      <c r="K2685"/>
      <c r="O2685"/>
      <c r="R2685"/>
      <c r="W2685" s="4"/>
      <c r="X2685" s="4"/>
      <c r="Y2685" s="4"/>
    </row>
    <row r="2686" spans="5:25">
      <c r="E2686"/>
      <c r="G2686"/>
      <c r="H2686"/>
      <c r="I2686"/>
      <c r="K2686"/>
      <c r="O2686"/>
      <c r="R2686"/>
      <c r="W2686" s="4"/>
      <c r="X2686" s="4"/>
      <c r="Y2686" s="4"/>
    </row>
    <row r="2687" spans="5:25">
      <c r="E2687"/>
      <c r="G2687"/>
      <c r="H2687"/>
      <c r="I2687"/>
      <c r="K2687"/>
      <c r="O2687"/>
      <c r="R2687"/>
      <c r="W2687" s="4"/>
      <c r="X2687" s="4"/>
      <c r="Y2687" s="4"/>
    </row>
    <row r="2688" spans="5:25">
      <c r="E2688"/>
      <c r="G2688"/>
      <c r="H2688"/>
      <c r="I2688"/>
      <c r="K2688"/>
      <c r="O2688"/>
      <c r="R2688"/>
      <c r="W2688" s="4"/>
      <c r="X2688" s="4"/>
      <c r="Y2688" s="4"/>
    </row>
    <row r="2689" spans="5:25">
      <c r="E2689"/>
      <c r="G2689"/>
      <c r="H2689"/>
      <c r="I2689"/>
      <c r="K2689"/>
      <c r="O2689"/>
      <c r="R2689"/>
      <c r="W2689" s="4"/>
      <c r="X2689" s="4"/>
      <c r="Y2689" s="4"/>
    </row>
    <row r="2690" spans="5:25">
      <c r="E2690"/>
      <c r="G2690"/>
      <c r="H2690"/>
      <c r="I2690"/>
      <c r="K2690"/>
      <c r="O2690"/>
      <c r="R2690"/>
      <c r="W2690" s="4"/>
      <c r="X2690" s="4"/>
      <c r="Y2690" s="4"/>
    </row>
    <row r="2691" spans="5:25">
      <c r="E2691"/>
      <c r="G2691"/>
      <c r="H2691"/>
      <c r="I2691"/>
      <c r="K2691"/>
      <c r="O2691"/>
      <c r="R2691"/>
      <c r="W2691" s="4"/>
      <c r="X2691" s="4"/>
      <c r="Y2691" s="4"/>
    </row>
    <row r="2692" spans="5:25">
      <c r="E2692"/>
      <c r="G2692"/>
      <c r="H2692"/>
      <c r="I2692"/>
      <c r="K2692"/>
      <c r="O2692"/>
      <c r="R2692"/>
      <c r="W2692" s="4"/>
      <c r="X2692" s="4"/>
      <c r="Y2692" s="4"/>
    </row>
    <row r="2693" spans="5:25">
      <c r="E2693"/>
      <c r="G2693"/>
      <c r="H2693"/>
      <c r="I2693"/>
      <c r="K2693"/>
      <c r="O2693"/>
      <c r="R2693"/>
      <c r="W2693" s="4"/>
      <c r="X2693" s="4"/>
      <c r="Y2693" s="4"/>
    </row>
    <row r="2694" spans="5:25">
      <c r="E2694"/>
      <c r="G2694"/>
      <c r="H2694"/>
      <c r="I2694"/>
      <c r="K2694"/>
      <c r="O2694"/>
      <c r="R2694"/>
      <c r="W2694" s="4"/>
      <c r="X2694" s="4"/>
      <c r="Y2694" s="4"/>
    </row>
    <row r="2695" spans="5:25">
      <c r="E2695"/>
      <c r="G2695"/>
      <c r="H2695"/>
      <c r="I2695"/>
      <c r="K2695"/>
      <c r="O2695"/>
      <c r="R2695"/>
      <c r="W2695" s="4"/>
      <c r="X2695" s="4"/>
      <c r="Y2695" s="4"/>
    </row>
    <row r="2696" spans="5:25">
      <c r="E2696"/>
      <c r="G2696"/>
      <c r="H2696"/>
      <c r="I2696"/>
      <c r="K2696"/>
      <c r="O2696"/>
      <c r="R2696"/>
      <c r="W2696" s="4"/>
      <c r="X2696" s="4"/>
      <c r="Y2696" s="4"/>
    </row>
    <row r="2697" spans="5:25">
      <c r="E2697"/>
      <c r="G2697"/>
      <c r="H2697"/>
      <c r="I2697"/>
      <c r="K2697"/>
      <c r="O2697"/>
      <c r="R2697"/>
      <c r="W2697" s="4"/>
      <c r="X2697" s="4"/>
      <c r="Y2697" s="4"/>
    </row>
    <row r="2698" spans="5:25">
      <c r="E2698"/>
      <c r="G2698"/>
      <c r="H2698"/>
      <c r="I2698"/>
      <c r="K2698"/>
      <c r="O2698"/>
      <c r="R2698"/>
      <c r="W2698" s="4"/>
      <c r="X2698" s="4"/>
      <c r="Y2698" s="4"/>
    </row>
    <row r="2699" spans="5:25">
      <c r="E2699"/>
      <c r="G2699"/>
      <c r="H2699"/>
      <c r="I2699"/>
      <c r="K2699"/>
      <c r="O2699"/>
      <c r="R2699"/>
      <c r="W2699" s="4"/>
      <c r="X2699" s="4"/>
      <c r="Y2699" s="4"/>
    </row>
    <row r="2700" spans="5:25">
      <c r="E2700"/>
      <c r="G2700"/>
      <c r="H2700"/>
      <c r="I2700"/>
      <c r="K2700"/>
      <c r="O2700"/>
      <c r="R2700"/>
      <c r="W2700" s="4"/>
      <c r="X2700" s="4"/>
      <c r="Y2700" s="4"/>
    </row>
    <row r="2701" spans="5:25">
      <c r="E2701"/>
      <c r="G2701"/>
      <c r="H2701"/>
      <c r="I2701"/>
      <c r="K2701"/>
      <c r="O2701"/>
      <c r="R2701"/>
      <c r="W2701" s="4"/>
      <c r="X2701" s="4"/>
      <c r="Y2701" s="4"/>
    </row>
    <row r="2702" spans="5:25">
      <c r="E2702"/>
      <c r="G2702"/>
      <c r="H2702"/>
      <c r="I2702"/>
      <c r="K2702"/>
      <c r="O2702"/>
      <c r="R2702"/>
      <c r="W2702" s="4"/>
      <c r="X2702" s="4"/>
      <c r="Y2702" s="4"/>
    </row>
    <row r="2703" spans="5:25">
      <c r="E2703"/>
      <c r="G2703"/>
      <c r="H2703"/>
      <c r="I2703"/>
      <c r="K2703"/>
      <c r="O2703"/>
      <c r="R2703"/>
      <c r="W2703" s="4"/>
      <c r="X2703" s="4"/>
      <c r="Y2703" s="4"/>
    </row>
    <row r="2704" spans="5:25">
      <c r="E2704"/>
      <c r="G2704"/>
      <c r="H2704"/>
      <c r="I2704"/>
      <c r="K2704"/>
      <c r="O2704"/>
      <c r="R2704"/>
      <c r="W2704" s="4"/>
      <c r="X2704" s="4"/>
      <c r="Y2704" s="4"/>
    </row>
    <row r="2705" spans="5:25">
      <c r="E2705"/>
      <c r="G2705"/>
      <c r="H2705"/>
      <c r="I2705"/>
      <c r="K2705"/>
      <c r="O2705"/>
      <c r="R2705"/>
      <c r="W2705" s="4"/>
      <c r="X2705" s="4"/>
      <c r="Y2705" s="4"/>
    </row>
    <row r="2706" spans="5:25">
      <c r="E2706"/>
      <c r="G2706"/>
      <c r="H2706"/>
      <c r="I2706"/>
      <c r="K2706"/>
      <c r="O2706"/>
      <c r="R2706"/>
      <c r="W2706" s="4"/>
      <c r="X2706" s="4"/>
      <c r="Y2706" s="4"/>
    </row>
    <row r="2707" spans="5:25">
      <c r="E2707"/>
      <c r="G2707"/>
      <c r="H2707"/>
      <c r="I2707"/>
      <c r="K2707"/>
      <c r="O2707"/>
      <c r="R2707"/>
      <c r="W2707" s="4"/>
      <c r="X2707" s="4"/>
      <c r="Y2707" s="4"/>
    </row>
    <row r="2708" spans="5:25">
      <c r="E2708"/>
      <c r="G2708"/>
      <c r="H2708"/>
      <c r="I2708"/>
      <c r="K2708"/>
      <c r="O2708"/>
      <c r="R2708"/>
      <c r="W2708" s="4"/>
      <c r="X2708" s="4"/>
      <c r="Y2708" s="4"/>
    </row>
    <row r="2709" spans="5:25">
      <c r="E2709"/>
      <c r="G2709"/>
      <c r="H2709"/>
      <c r="I2709"/>
      <c r="K2709"/>
      <c r="O2709"/>
      <c r="R2709"/>
      <c r="W2709" s="4"/>
      <c r="X2709" s="4"/>
      <c r="Y2709" s="4"/>
    </row>
    <row r="2710" spans="5:25">
      <c r="E2710"/>
      <c r="G2710"/>
      <c r="H2710"/>
      <c r="I2710"/>
      <c r="K2710"/>
      <c r="O2710"/>
      <c r="R2710"/>
      <c r="W2710" s="4"/>
      <c r="X2710" s="4"/>
      <c r="Y2710" s="4"/>
    </row>
    <row r="2711" spans="5:25">
      <c r="E2711"/>
      <c r="G2711"/>
      <c r="H2711"/>
      <c r="I2711"/>
      <c r="K2711"/>
      <c r="O2711"/>
      <c r="R2711"/>
      <c r="W2711" s="4"/>
      <c r="X2711" s="4"/>
      <c r="Y2711" s="4"/>
    </row>
    <row r="2712" spans="5:25">
      <c r="E2712"/>
      <c r="G2712"/>
      <c r="H2712"/>
      <c r="I2712"/>
      <c r="K2712"/>
      <c r="O2712"/>
      <c r="R2712"/>
      <c r="W2712" s="4"/>
      <c r="X2712" s="4"/>
      <c r="Y2712" s="4"/>
    </row>
    <row r="2713" spans="5:25">
      <c r="E2713"/>
      <c r="G2713"/>
      <c r="H2713"/>
      <c r="I2713"/>
      <c r="K2713"/>
      <c r="O2713"/>
      <c r="R2713"/>
      <c r="W2713" s="4"/>
      <c r="X2713" s="4"/>
      <c r="Y2713" s="4"/>
    </row>
    <row r="2714" spans="5:25">
      <c r="E2714"/>
      <c r="G2714"/>
      <c r="H2714"/>
      <c r="I2714"/>
      <c r="K2714"/>
      <c r="O2714"/>
      <c r="R2714"/>
      <c r="W2714" s="4"/>
      <c r="X2714" s="4"/>
      <c r="Y2714" s="4"/>
    </row>
    <row r="2715" spans="5:25">
      <c r="E2715"/>
      <c r="G2715"/>
      <c r="H2715"/>
      <c r="I2715"/>
      <c r="K2715"/>
      <c r="O2715"/>
      <c r="R2715"/>
      <c r="W2715" s="4"/>
      <c r="X2715" s="4"/>
      <c r="Y2715" s="4"/>
    </row>
    <row r="2716" spans="5:25">
      <c r="E2716"/>
      <c r="G2716"/>
      <c r="H2716"/>
      <c r="I2716"/>
      <c r="K2716"/>
      <c r="O2716"/>
      <c r="R2716"/>
      <c r="W2716" s="4"/>
      <c r="X2716" s="4"/>
      <c r="Y2716" s="4"/>
    </row>
    <row r="2717" spans="5:25">
      <c r="E2717"/>
      <c r="G2717"/>
      <c r="H2717"/>
      <c r="I2717"/>
      <c r="K2717"/>
      <c r="O2717"/>
      <c r="R2717"/>
      <c r="W2717" s="4"/>
      <c r="X2717" s="4"/>
      <c r="Y2717" s="4"/>
    </row>
    <row r="2718" spans="5:25">
      <c r="E2718"/>
      <c r="G2718"/>
      <c r="H2718"/>
      <c r="I2718"/>
      <c r="K2718"/>
      <c r="O2718"/>
      <c r="R2718"/>
      <c r="W2718" s="4"/>
      <c r="X2718" s="4"/>
      <c r="Y2718" s="4"/>
    </row>
    <row r="2719" spans="5:25">
      <c r="E2719"/>
      <c r="G2719"/>
      <c r="H2719"/>
      <c r="I2719"/>
      <c r="K2719"/>
      <c r="O2719"/>
      <c r="R2719"/>
      <c r="W2719" s="4"/>
      <c r="X2719" s="4"/>
      <c r="Y2719" s="4"/>
    </row>
    <row r="2720" spans="5:25">
      <c r="E2720"/>
      <c r="G2720"/>
      <c r="H2720"/>
      <c r="I2720"/>
      <c r="K2720"/>
      <c r="O2720"/>
      <c r="R2720"/>
      <c r="W2720" s="4"/>
      <c r="X2720" s="4"/>
      <c r="Y2720" s="4"/>
    </row>
    <row r="2721" spans="5:25">
      <c r="E2721"/>
      <c r="G2721"/>
      <c r="H2721"/>
      <c r="I2721"/>
      <c r="K2721"/>
      <c r="O2721"/>
      <c r="R2721"/>
      <c r="W2721" s="4"/>
      <c r="X2721" s="4"/>
      <c r="Y2721" s="4"/>
    </row>
    <row r="2722" spans="5:25">
      <c r="E2722"/>
      <c r="G2722"/>
      <c r="H2722"/>
      <c r="I2722"/>
      <c r="K2722"/>
      <c r="O2722"/>
      <c r="R2722"/>
      <c r="W2722" s="4"/>
      <c r="X2722" s="4"/>
      <c r="Y2722" s="4"/>
    </row>
    <row r="2723" spans="5:25">
      <c r="E2723"/>
      <c r="G2723"/>
      <c r="H2723"/>
      <c r="I2723"/>
      <c r="K2723"/>
      <c r="O2723"/>
      <c r="R2723"/>
      <c r="W2723" s="4"/>
      <c r="X2723" s="4"/>
      <c r="Y2723" s="4"/>
    </row>
    <row r="2724" spans="5:25">
      <c r="E2724"/>
      <c r="G2724"/>
      <c r="H2724"/>
      <c r="I2724"/>
      <c r="K2724"/>
      <c r="O2724"/>
      <c r="R2724"/>
      <c r="W2724" s="4"/>
      <c r="X2724" s="4"/>
      <c r="Y2724" s="4"/>
    </row>
    <row r="2725" spans="5:25">
      <c r="E2725"/>
      <c r="G2725"/>
      <c r="H2725"/>
      <c r="I2725"/>
      <c r="K2725"/>
      <c r="O2725"/>
      <c r="R2725"/>
      <c r="W2725" s="4"/>
      <c r="X2725" s="4"/>
      <c r="Y2725" s="4"/>
    </row>
    <row r="2726" spans="5:25">
      <c r="E2726"/>
      <c r="G2726"/>
      <c r="H2726"/>
      <c r="I2726"/>
      <c r="K2726"/>
      <c r="O2726"/>
      <c r="R2726"/>
      <c r="W2726" s="4"/>
      <c r="X2726" s="4"/>
      <c r="Y2726" s="4"/>
    </row>
    <row r="2727" spans="5:25">
      <c r="E2727"/>
      <c r="G2727"/>
      <c r="H2727"/>
      <c r="I2727"/>
      <c r="K2727"/>
      <c r="O2727"/>
      <c r="R2727"/>
      <c r="W2727" s="4"/>
      <c r="X2727" s="4"/>
      <c r="Y2727" s="4"/>
    </row>
    <row r="2728" spans="5:25">
      <c r="E2728"/>
      <c r="G2728"/>
      <c r="H2728"/>
      <c r="I2728"/>
      <c r="K2728"/>
      <c r="O2728"/>
      <c r="R2728"/>
      <c r="W2728" s="4"/>
      <c r="X2728" s="4"/>
      <c r="Y2728" s="4"/>
    </row>
    <row r="2729" spans="5:25">
      <c r="E2729"/>
      <c r="G2729"/>
      <c r="H2729"/>
      <c r="I2729"/>
      <c r="K2729"/>
      <c r="O2729"/>
      <c r="R2729"/>
      <c r="W2729" s="4"/>
      <c r="X2729" s="4"/>
      <c r="Y2729" s="4"/>
    </row>
    <row r="2730" spans="5:25">
      <c r="E2730"/>
      <c r="G2730"/>
      <c r="H2730"/>
      <c r="I2730"/>
      <c r="K2730"/>
      <c r="O2730"/>
      <c r="R2730"/>
      <c r="W2730" s="4"/>
      <c r="X2730" s="4"/>
      <c r="Y2730" s="4"/>
    </row>
    <row r="2731" spans="5:25">
      <c r="E2731"/>
      <c r="G2731"/>
      <c r="H2731"/>
      <c r="I2731"/>
      <c r="K2731"/>
      <c r="O2731"/>
      <c r="R2731"/>
      <c r="W2731" s="4"/>
      <c r="X2731" s="4"/>
      <c r="Y2731" s="4"/>
    </row>
    <row r="2732" spans="5:25">
      <c r="E2732"/>
      <c r="G2732"/>
      <c r="H2732"/>
      <c r="I2732"/>
      <c r="K2732"/>
      <c r="O2732"/>
      <c r="R2732"/>
      <c r="W2732" s="4"/>
      <c r="X2732" s="4"/>
      <c r="Y2732" s="4"/>
    </row>
    <row r="2733" spans="5:25">
      <c r="E2733"/>
      <c r="G2733"/>
      <c r="H2733"/>
      <c r="I2733"/>
      <c r="K2733"/>
      <c r="O2733"/>
      <c r="R2733"/>
      <c r="W2733" s="4"/>
      <c r="X2733" s="4"/>
      <c r="Y2733" s="4"/>
    </row>
    <row r="2734" spans="5:25">
      <c r="E2734"/>
      <c r="G2734"/>
      <c r="H2734"/>
      <c r="I2734"/>
      <c r="K2734"/>
      <c r="O2734"/>
      <c r="R2734"/>
      <c r="W2734" s="4"/>
      <c r="X2734" s="4"/>
      <c r="Y2734" s="4"/>
    </row>
    <row r="2735" spans="5:25">
      <c r="E2735"/>
      <c r="G2735"/>
      <c r="H2735"/>
      <c r="I2735"/>
      <c r="K2735"/>
      <c r="O2735"/>
      <c r="R2735"/>
      <c r="W2735" s="4"/>
      <c r="X2735" s="4"/>
      <c r="Y2735" s="4"/>
    </row>
    <row r="2736" spans="5:25">
      <c r="E2736"/>
      <c r="G2736"/>
      <c r="H2736"/>
      <c r="I2736"/>
      <c r="K2736"/>
      <c r="O2736"/>
      <c r="R2736"/>
      <c r="W2736" s="4"/>
      <c r="X2736" s="4"/>
      <c r="Y2736" s="4"/>
    </row>
    <row r="2737" spans="5:25">
      <c r="E2737"/>
      <c r="G2737"/>
      <c r="H2737"/>
      <c r="I2737"/>
      <c r="K2737"/>
      <c r="O2737"/>
      <c r="R2737"/>
      <c r="W2737" s="4"/>
      <c r="X2737" s="4"/>
      <c r="Y2737" s="4"/>
    </row>
    <row r="2738" spans="5:25">
      <c r="E2738"/>
      <c r="G2738"/>
      <c r="H2738"/>
      <c r="I2738"/>
      <c r="K2738"/>
      <c r="O2738"/>
      <c r="R2738"/>
      <c r="W2738" s="4"/>
      <c r="X2738" s="4"/>
      <c r="Y2738" s="4"/>
    </row>
    <row r="2739" spans="5:25">
      <c r="E2739"/>
      <c r="G2739"/>
      <c r="H2739"/>
      <c r="I2739"/>
      <c r="K2739"/>
      <c r="O2739"/>
      <c r="R2739"/>
      <c r="W2739" s="4"/>
      <c r="X2739" s="4"/>
      <c r="Y2739" s="4"/>
    </row>
    <row r="2740" spans="5:25">
      <c r="E2740"/>
      <c r="G2740"/>
      <c r="H2740"/>
      <c r="I2740"/>
      <c r="K2740"/>
      <c r="O2740"/>
      <c r="R2740"/>
      <c r="W2740" s="4"/>
      <c r="X2740" s="4"/>
      <c r="Y2740" s="4"/>
    </row>
    <row r="2741" spans="5:25">
      <c r="E2741"/>
      <c r="G2741"/>
      <c r="H2741"/>
      <c r="I2741"/>
      <c r="K2741"/>
      <c r="O2741"/>
      <c r="R2741"/>
      <c r="W2741" s="4"/>
      <c r="X2741" s="4"/>
      <c r="Y2741" s="4"/>
    </row>
    <row r="2742" spans="5:25">
      <c r="E2742"/>
      <c r="G2742"/>
      <c r="H2742"/>
      <c r="I2742"/>
      <c r="K2742"/>
      <c r="O2742"/>
      <c r="R2742"/>
      <c r="W2742" s="4"/>
      <c r="X2742" s="4"/>
      <c r="Y2742" s="4"/>
    </row>
    <row r="2743" spans="5:25">
      <c r="E2743"/>
      <c r="G2743"/>
      <c r="H2743"/>
      <c r="I2743"/>
      <c r="K2743"/>
      <c r="O2743"/>
      <c r="R2743"/>
      <c r="W2743" s="4"/>
      <c r="X2743" s="4"/>
      <c r="Y2743" s="4"/>
    </row>
    <row r="2744" spans="5:25">
      <c r="E2744"/>
      <c r="G2744"/>
      <c r="H2744"/>
      <c r="I2744"/>
      <c r="K2744"/>
      <c r="O2744"/>
      <c r="R2744"/>
      <c r="W2744" s="4"/>
      <c r="X2744" s="4"/>
      <c r="Y2744" s="4"/>
    </row>
    <row r="2745" spans="5:25">
      <c r="E2745"/>
      <c r="G2745"/>
      <c r="H2745"/>
      <c r="I2745"/>
      <c r="K2745"/>
      <c r="O2745"/>
      <c r="R2745"/>
      <c r="W2745" s="4"/>
      <c r="X2745" s="4"/>
      <c r="Y2745" s="4"/>
    </row>
    <row r="2746" spans="5:25">
      <c r="E2746"/>
      <c r="G2746"/>
      <c r="H2746"/>
      <c r="I2746"/>
      <c r="K2746"/>
      <c r="O2746"/>
      <c r="R2746"/>
      <c r="W2746" s="4"/>
      <c r="X2746" s="4"/>
      <c r="Y2746" s="4"/>
    </row>
    <row r="2747" spans="5:25">
      <c r="E2747"/>
      <c r="G2747"/>
      <c r="H2747"/>
      <c r="I2747"/>
      <c r="K2747"/>
      <c r="O2747"/>
      <c r="R2747"/>
      <c r="W2747" s="4"/>
      <c r="X2747" s="4"/>
      <c r="Y2747" s="4"/>
    </row>
    <row r="2748" spans="5:25">
      <c r="E2748"/>
      <c r="G2748"/>
      <c r="H2748"/>
      <c r="I2748"/>
      <c r="K2748"/>
      <c r="O2748"/>
      <c r="R2748"/>
      <c r="W2748" s="4"/>
      <c r="X2748" s="4"/>
      <c r="Y2748" s="4"/>
    </row>
    <row r="2749" spans="5:25">
      <c r="E2749"/>
      <c r="G2749"/>
      <c r="H2749"/>
      <c r="I2749"/>
      <c r="K2749"/>
      <c r="O2749"/>
      <c r="R2749"/>
      <c r="W2749" s="4"/>
      <c r="X2749" s="4"/>
      <c r="Y2749" s="4"/>
    </row>
    <row r="2750" spans="5:25">
      <c r="E2750"/>
      <c r="G2750"/>
      <c r="H2750"/>
      <c r="I2750"/>
      <c r="K2750"/>
      <c r="O2750"/>
      <c r="R2750"/>
      <c r="W2750" s="4"/>
      <c r="X2750" s="4"/>
      <c r="Y2750" s="4"/>
    </row>
    <row r="2751" spans="5:25">
      <c r="E2751"/>
      <c r="G2751"/>
      <c r="H2751"/>
      <c r="I2751"/>
      <c r="K2751"/>
      <c r="O2751"/>
      <c r="R2751"/>
      <c r="W2751" s="4"/>
      <c r="X2751" s="4"/>
      <c r="Y2751" s="4"/>
    </row>
    <row r="2752" spans="5:25">
      <c r="E2752"/>
      <c r="G2752"/>
      <c r="H2752"/>
      <c r="I2752"/>
      <c r="K2752"/>
      <c r="O2752"/>
      <c r="R2752"/>
      <c r="W2752" s="4"/>
      <c r="X2752" s="4"/>
      <c r="Y2752" s="4"/>
    </row>
    <row r="2753" spans="5:25">
      <c r="E2753"/>
      <c r="G2753"/>
      <c r="H2753"/>
      <c r="I2753"/>
      <c r="K2753"/>
      <c r="O2753"/>
      <c r="R2753"/>
      <c r="W2753" s="4"/>
      <c r="X2753" s="4"/>
      <c r="Y2753" s="4"/>
    </row>
    <row r="2754" spans="5:25">
      <c r="E2754"/>
      <c r="G2754"/>
      <c r="H2754"/>
      <c r="I2754"/>
      <c r="K2754"/>
      <c r="O2754"/>
      <c r="R2754"/>
      <c r="W2754" s="4"/>
      <c r="X2754" s="4"/>
      <c r="Y2754" s="4"/>
    </row>
    <row r="2755" spans="5:25">
      <c r="E2755"/>
      <c r="G2755"/>
      <c r="H2755"/>
      <c r="I2755"/>
      <c r="K2755"/>
      <c r="O2755"/>
      <c r="R2755"/>
      <c r="W2755" s="4"/>
      <c r="X2755" s="4"/>
      <c r="Y2755" s="4"/>
    </row>
    <row r="2756" spans="5:25">
      <c r="E2756"/>
      <c r="G2756"/>
      <c r="H2756"/>
      <c r="I2756"/>
      <c r="K2756"/>
      <c r="O2756"/>
      <c r="R2756"/>
      <c r="W2756" s="4"/>
      <c r="X2756" s="4"/>
      <c r="Y2756" s="4"/>
    </row>
    <row r="2757" spans="5:25">
      <c r="E2757"/>
      <c r="G2757"/>
      <c r="H2757"/>
      <c r="I2757"/>
      <c r="K2757"/>
      <c r="O2757"/>
      <c r="R2757"/>
      <c r="W2757" s="4"/>
      <c r="X2757" s="4"/>
      <c r="Y2757" s="4"/>
    </row>
    <row r="2758" spans="5:25">
      <c r="E2758"/>
      <c r="G2758"/>
      <c r="H2758"/>
      <c r="I2758"/>
      <c r="K2758"/>
      <c r="O2758"/>
      <c r="R2758"/>
      <c r="W2758" s="4"/>
      <c r="X2758" s="4"/>
      <c r="Y2758" s="4"/>
    </row>
    <row r="2759" spans="5:25">
      <c r="E2759"/>
      <c r="G2759"/>
      <c r="H2759"/>
      <c r="I2759"/>
      <c r="K2759"/>
      <c r="O2759"/>
      <c r="R2759"/>
      <c r="W2759" s="4"/>
      <c r="X2759" s="4"/>
      <c r="Y2759" s="4"/>
    </row>
    <row r="2760" spans="5:25">
      <c r="E2760"/>
      <c r="G2760"/>
      <c r="H2760"/>
      <c r="I2760"/>
      <c r="K2760"/>
      <c r="O2760"/>
      <c r="R2760"/>
      <c r="W2760" s="4"/>
      <c r="X2760" s="4"/>
      <c r="Y2760" s="4"/>
    </row>
    <row r="2761" spans="5:25">
      <c r="E2761"/>
      <c r="G2761"/>
      <c r="H2761"/>
      <c r="I2761"/>
      <c r="K2761"/>
      <c r="O2761"/>
      <c r="R2761"/>
      <c r="W2761" s="4"/>
      <c r="X2761" s="4"/>
      <c r="Y2761" s="4"/>
    </row>
    <row r="2762" spans="5:25">
      <c r="E2762"/>
      <c r="G2762"/>
      <c r="H2762"/>
      <c r="I2762"/>
      <c r="K2762"/>
      <c r="O2762"/>
      <c r="R2762"/>
      <c r="W2762" s="4"/>
      <c r="X2762" s="4"/>
      <c r="Y2762" s="4"/>
    </row>
    <row r="2763" spans="5:25">
      <c r="E2763"/>
      <c r="G2763"/>
      <c r="H2763"/>
      <c r="I2763"/>
      <c r="K2763"/>
      <c r="O2763"/>
      <c r="R2763"/>
      <c r="W2763" s="4"/>
      <c r="X2763" s="4"/>
      <c r="Y2763" s="4"/>
    </row>
    <row r="2764" spans="5:25">
      <c r="E2764"/>
      <c r="G2764"/>
      <c r="H2764"/>
      <c r="I2764"/>
      <c r="K2764"/>
      <c r="O2764"/>
      <c r="R2764"/>
      <c r="W2764" s="4"/>
      <c r="X2764" s="4"/>
      <c r="Y2764" s="4"/>
    </row>
    <row r="2765" spans="5:25">
      <c r="E2765"/>
      <c r="G2765"/>
      <c r="H2765"/>
      <c r="I2765"/>
      <c r="K2765"/>
      <c r="O2765"/>
      <c r="R2765"/>
      <c r="W2765" s="4"/>
      <c r="X2765" s="4"/>
      <c r="Y2765" s="4"/>
    </row>
    <row r="2766" spans="5:25">
      <c r="E2766"/>
      <c r="G2766"/>
      <c r="H2766"/>
      <c r="I2766"/>
      <c r="K2766"/>
      <c r="O2766"/>
      <c r="R2766"/>
      <c r="W2766" s="4"/>
      <c r="X2766" s="4"/>
      <c r="Y2766" s="4"/>
    </row>
    <row r="2767" spans="5:25">
      <c r="E2767"/>
      <c r="G2767"/>
      <c r="H2767"/>
      <c r="I2767"/>
      <c r="K2767"/>
      <c r="O2767"/>
      <c r="R2767"/>
      <c r="W2767" s="4"/>
      <c r="X2767" s="4"/>
      <c r="Y2767" s="4"/>
    </row>
    <row r="2768" spans="5:25">
      <c r="E2768"/>
      <c r="G2768"/>
      <c r="H2768"/>
      <c r="I2768"/>
      <c r="K2768"/>
      <c r="O2768"/>
      <c r="R2768"/>
      <c r="W2768" s="4"/>
      <c r="X2768" s="4"/>
      <c r="Y2768" s="4"/>
    </row>
    <row r="2769" spans="5:25">
      <c r="E2769"/>
      <c r="G2769"/>
      <c r="H2769"/>
      <c r="I2769"/>
      <c r="K2769"/>
      <c r="O2769"/>
      <c r="R2769"/>
      <c r="W2769" s="4"/>
      <c r="X2769" s="4"/>
      <c r="Y2769" s="4"/>
    </row>
    <row r="2770" spans="5:25">
      <c r="E2770"/>
      <c r="G2770"/>
      <c r="H2770"/>
      <c r="I2770"/>
      <c r="K2770"/>
      <c r="O2770"/>
      <c r="R2770"/>
      <c r="W2770" s="4"/>
      <c r="X2770" s="4"/>
      <c r="Y2770" s="4"/>
    </row>
    <row r="2771" spans="5:25">
      <c r="E2771"/>
      <c r="G2771"/>
      <c r="H2771"/>
      <c r="I2771"/>
      <c r="K2771"/>
      <c r="O2771"/>
      <c r="R2771"/>
      <c r="W2771" s="4"/>
      <c r="X2771" s="4"/>
      <c r="Y2771" s="4"/>
    </row>
    <row r="2772" spans="5:25">
      <c r="E2772"/>
      <c r="G2772"/>
      <c r="H2772"/>
      <c r="I2772"/>
      <c r="K2772"/>
      <c r="O2772"/>
      <c r="R2772"/>
      <c r="W2772" s="4"/>
      <c r="X2772" s="4"/>
      <c r="Y2772" s="4"/>
    </row>
    <row r="2773" spans="5:25">
      <c r="E2773"/>
      <c r="G2773"/>
      <c r="H2773"/>
      <c r="I2773"/>
      <c r="K2773"/>
      <c r="O2773"/>
      <c r="R2773"/>
      <c r="W2773" s="4"/>
      <c r="X2773" s="4"/>
      <c r="Y2773" s="4"/>
    </row>
    <row r="2774" spans="5:25">
      <c r="E2774"/>
      <c r="G2774"/>
      <c r="H2774"/>
      <c r="I2774"/>
      <c r="K2774"/>
      <c r="O2774"/>
      <c r="R2774"/>
      <c r="W2774" s="4"/>
      <c r="X2774" s="4"/>
      <c r="Y2774" s="4"/>
    </row>
    <row r="2775" spans="5:25">
      <c r="E2775"/>
      <c r="G2775"/>
      <c r="H2775"/>
      <c r="I2775"/>
      <c r="K2775"/>
      <c r="O2775"/>
      <c r="R2775"/>
      <c r="W2775" s="4"/>
      <c r="X2775" s="4"/>
      <c r="Y2775" s="4"/>
    </row>
    <row r="2776" spans="5:25">
      <c r="E2776"/>
      <c r="G2776"/>
      <c r="H2776"/>
      <c r="I2776"/>
      <c r="K2776"/>
      <c r="O2776"/>
      <c r="R2776"/>
      <c r="W2776" s="4"/>
      <c r="X2776" s="4"/>
      <c r="Y2776" s="4"/>
    </row>
    <row r="2777" spans="5:25">
      <c r="E2777"/>
      <c r="G2777"/>
      <c r="H2777"/>
      <c r="I2777"/>
      <c r="K2777"/>
      <c r="O2777"/>
      <c r="R2777"/>
      <c r="W2777" s="4"/>
      <c r="X2777" s="4"/>
      <c r="Y2777" s="4"/>
    </row>
    <row r="2778" spans="5:25">
      <c r="E2778"/>
      <c r="G2778"/>
      <c r="H2778"/>
      <c r="I2778"/>
      <c r="K2778"/>
      <c r="O2778"/>
      <c r="R2778"/>
      <c r="W2778" s="4"/>
      <c r="X2778" s="4"/>
      <c r="Y2778" s="4"/>
    </row>
    <row r="2779" spans="5:25">
      <c r="E2779"/>
      <c r="G2779"/>
      <c r="H2779"/>
      <c r="I2779"/>
      <c r="K2779"/>
      <c r="O2779"/>
      <c r="R2779"/>
      <c r="W2779" s="4"/>
      <c r="X2779" s="4"/>
      <c r="Y2779" s="4"/>
    </row>
    <row r="2780" spans="5:25">
      <c r="E2780"/>
      <c r="G2780"/>
      <c r="H2780"/>
      <c r="I2780"/>
      <c r="K2780"/>
      <c r="O2780"/>
      <c r="R2780"/>
      <c r="W2780" s="4"/>
      <c r="X2780" s="4"/>
      <c r="Y2780" s="4"/>
    </row>
    <row r="2781" spans="5:25">
      <c r="E2781"/>
      <c r="G2781"/>
      <c r="H2781"/>
      <c r="I2781"/>
      <c r="K2781"/>
      <c r="O2781"/>
      <c r="R2781"/>
      <c r="W2781" s="4"/>
      <c r="X2781" s="4"/>
      <c r="Y2781" s="4"/>
    </row>
    <row r="2782" spans="5:25">
      <c r="E2782"/>
      <c r="G2782"/>
      <c r="H2782"/>
      <c r="I2782"/>
      <c r="K2782"/>
      <c r="O2782"/>
      <c r="R2782"/>
      <c r="W2782" s="4"/>
      <c r="X2782" s="4"/>
      <c r="Y2782" s="4"/>
    </row>
    <row r="2783" spans="5:25">
      <c r="E2783"/>
      <c r="G2783"/>
      <c r="H2783"/>
      <c r="I2783"/>
      <c r="K2783"/>
      <c r="O2783"/>
      <c r="R2783"/>
      <c r="W2783" s="4"/>
      <c r="X2783" s="4"/>
      <c r="Y2783" s="4"/>
    </row>
    <row r="2784" spans="5:25">
      <c r="E2784"/>
      <c r="G2784"/>
      <c r="H2784"/>
      <c r="I2784"/>
      <c r="K2784"/>
      <c r="O2784"/>
      <c r="R2784"/>
      <c r="W2784" s="4"/>
      <c r="X2784" s="4"/>
      <c r="Y2784" s="4"/>
    </row>
    <row r="2785" spans="5:25">
      <c r="E2785"/>
      <c r="G2785"/>
      <c r="H2785"/>
      <c r="I2785"/>
      <c r="K2785"/>
      <c r="O2785"/>
      <c r="R2785"/>
      <c r="W2785" s="4"/>
      <c r="X2785" s="4"/>
      <c r="Y2785" s="4"/>
    </row>
    <row r="2786" spans="5:25">
      <c r="E2786"/>
      <c r="G2786"/>
      <c r="H2786"/>
      <c r="I2786"/>
      <c r="K2786"/>
      <c r="O2786"/>
      <c r="R2786"/>
      <c r="W2786" s="4"/>
      <c r="X2786" s="4"/>
      <c r="Y2786" s="4"/>
    </row>
    <row r="2787" spans="5:25">
      <c r="E2787"/>
      <c r="G2787"/>
      <c r="H2787"/>
      <c r="I2787"/>
      <c r="K2787"/>
      <c r="O2787"/>
      <c r="R2787"/>
      <c r="W2787" s="4"/>
      <c r="X2787" s="4"/>
      <c r="Y2787" s="4"/>
    </row>
    <row r="2788" spans="5:25">
      <c r="E2788"/>
      <c r="G2788"/>
      <c r="H2788"/>
      <c r="I2788"/>
      <c r="K2788"/>
      <c r="O2788"/>
      <c r="R2788"/>
      <c r="W2788" s="4"/>
      <c r="X2788" s="4"/>
      <c r="Y2788" s="4"/>
    </row>
    <row r="2789" spans="5:25">
      <c r="E2789"/>
      <c r="G2789"/>
      <c r="H2789"/>
      <c r="I2789"/>
      <c r="K2789"/>
      <c r="O2789"/>
      <c r="R2789"/>
      <c r="W2789" s="4"/>
      <c r="X2789" s="4"/>
      <c r="Y2789" s="4"/>
    </row>
    <row r="2790" spans="5:25">
      <c r="E2790"/>
      <c r="G2790"/>
      <c r="H2790"/>
      <c r="I2790"/>
      <c r="K2790"/>
      <c r="O2790"/>
      <c r="R2790"/>
      <c r="W2790" s="4"/>
      <c r="X2790" s="4"/>
      <c r="Y2790" s="4"/>
    </row>
    <row r="2791" spans="5:25">
      <c r="E2791"/>
      <c r="G2791"/>
      <c r="H2791"/>
      <c r="I2791"/>
      <c r="K2791"/>
      <c r="O2791"/>
      <c r="R2791"/>
      <c r="W2791" s="4"/>
      <c r="X2791" s="4"/>
      <c r="Y2791" s="4"/>
    </row>
    <row r="2792" spans="5:25">
      <c r="E2792"/>
      <c r="G2792"/>
      <c r="H2792"/>
      <c r="I2792"/>
      <c r="K2792"/>
      <c r="O2792"/>
      <c r="R2792"/>
      <c r="W2792" s="4"/>
      <c r="X2792" s="4"/>
      <c r="Y2792" s="4"/>
    </row>
    <row r="2793" spans="5:25">
      <c r="E2793"/>
      <c r="G2793"/>
      <c r="H2793"/>
      <c r="I2793"/>
      <c r="K2793"/>
      <c r="O2793"/>
      <c r="R2793"/>
      <c r="W2793" s="4"/>
      <c r="X2793" s="4"/>
      <c r="Y2793" s="4"/>
    </row>
    <row r="2794" spans="5:25">
      <c r="E2794"/>
      <c r="G2794"/>
      <c r="H2794"/>
      <c r="I2794"/>
      <c r="K2794"/>
      <c r="O2794"/>
      <c r="R2794"/>
      <c r="W2794" s="4"/>
      <c r="X2794" s="4"/>
      <c r="Y2794" s="4"/>
    </row>
    <row r="2795" spans="5:25">
      <c r="E2795"/>
      <c r="G2795"/>
      <c r="H2795"/>
      <c r="I2795"/>
      <c r="K2795"/>
      <c r="O2795"/>
      <c r="R2795"/>
      <c r="W2795" s="4"/>
      <c r="X2795" s="4"/>
      <c r="Y2795" s="4"/>
    </row>
    <row r="2796" spans="5:25">
      <c r="E2796"/>
      <c r="G2796"/>
      <c r="H2796"/>
      <c r="I2796"/>
      <c r="K2796"/>
      <c r="O2796"/>
      <c r="R2796"/>
      <c r="W2796" s="4"/>
      <c r="X2796" s="4"/>
      <c r="Y2796" s="4"/>
    </row>
    <row r="2797" spans="5:25">
      <c r="E2797"/>
      <c r="G2797"/>
      <c r="H2797"/>
      <c r="I2797"/>
      <c r="K2797"/>
      <c r="O2797"/>
      <c r="R2797"/>
      <c r="W2797" s="4"/>
      <c r="X2797" s="4"/>
      <c r="Y2797" s="4"/>
    </row>
    <row r="2798" spans="5:25">
      <c r="E2798"/>
      <c r="G2798"/>
      <c r="H2798"/>
      <c r="I2798"/>
      <c r="K2798"/>
      <c r="O2798"/>
      <c r="R2798"/>
      <c r="W2798" s="4"/>
      <c r="X2798" s="4"/>
      <c r="Y2798" s="4"/>
    </row>
    <row r="2799" spans="5:25">
      <c r="E2799"/>
      <c r="G2799"/>
      <c r="H2799"/>
      <c r="I2799"/>
      <c r="K2799"/>
      <c r="O2799"/>
      <c r="R2799"/>
      <c r="W2799" s="4"/>
      <c r="X2799" s="4"/>
      <c r="Y2799" s="4"/>
    </row>
    <row r="2800" spans="5:25">
      <c r="E2800"/>
      <c r="G2800"/>
      <c r="H2800"/>
      <c r="I2800"/>
      <c r="K2800"/>
      <c r="O2800"/>
      <c r="R2800"/>
      <c r="W2800" s="4"/>
      <c r="X2800" s="4"/>
      <c r="Y2800" s="4"/>
    </row>
    <row r="2801" spans="5:25">
      <c r="E2801"/>
      <c r="G2801"/>
      <c r="H2801"/>
      <c r="I2801"/>
      <c r="K2801"/>
      <c r="O2801"/>
      <c r="R2801"/>
      <c r="W2801" s="4"/>
      <c r="X2801" s="4"/>
      <c r="Y2801" s="4"/>
    </row>
    <row r="2802" spans="5:25">
      <c r="E2802"/>
      <c r="G2802"/>
      <c r="H2802"/>
      <c r="I2802"/>
      <c r="K2802"/>
      <c r="O2802"/>
      <c r="R2802"/>
      <c r="W2802" s="4"/>
      <c r="X2802" s="4"/>
      <c r="Y2802" s="4"/>
    </row>
    <row r="2803" spans="5:25">
      <c r="E2803"/>
      <c r="G2803"/>
      <c r="H2803"/>
      <c r="I2803"/>
      <c r="K2803"/>
      <c r="O2803"/>
      <c r="R2803"/>
      <c r="W2803" s="4"/>
      <c r="X2803" s="4"/>
      <c r="Y2803" s="4"/>
    </row>
    <row r="2804" spans="5:25">
      <c r="E2804"/>
      <c r="G2804"/>
      <c r="H2804"/>
      <c r="I2804"/>
      <c r="K2804"/>
      <c r="O2804"/>
      <c r="R2804"/>
      <c r="W2804" s="4"/>
      <c r="X2804" s="4"/>
      <c r="Y2804" s="4"/>
    </row>
    <row r="2805" spans="5:25">
      <c r="E2805"/>
      <c r="G2805"/>
      <c r="H2805"/>
      <c r="I2805"/>
      <c r="K2805"/>
      <c r="O2805"/>
      <c r="R2805"/>
      <c r="W2805" s="4"/>
      <c r="X2805" s="4"/>
      <c r="Y2805" s="4"/>
    </row>
    <row r="2806" spans="5:25">
      <c r="E2806"/>
      <c r="G2806"/>
      <c r="H2806"/>
      <c r="I2806"/>
      <c r="K2806"/>
      <c r="O2806"/>
      <c r="R2806"/>
      <c r="W2806" s="4"/>
      <c r="X2806" s="4"/>
      <c r="Y2806" s="4"/>
    </row>
    <row r="2807" spans="5:25">
      <c r="E2807"/>
      <c r="G2807"/>
      <c r="H2807"/>
      <c r="I2807"/>
      <c r="K2807"/>
      <c r="O2807"/>
      <c r="R2807"/>
      <c r="W2807" s="4"/>
      <c r="X2807" s="4"/>
      <c r="Y2807" s="4"/>
    </row>
    <row r="2808" spans="5:25">
      <c r="E2808"/>
      <c r="G2808"/>
      <c r="H2808"/>
      <c r="I2808"/>
      <c r="K2808"/>
      <c r="O2808"/>
      <c r="R2808"/>
      <c r="W2808" s="4"/>
      <c r="X2808" s="4"/>
      <c r="Y2808" s="4"/>
    </row>
    <row r="2809" spans="5:25">
      <c r="E2809"/>
      <c r="G2809"/>
      <c r="H2809"/>
      <c r="I2809"/>
      <c r="K2809"/>
      <c r="O2809"/>
      <c r="R2809"/>
      <c r="W2809" s="4"/>
      <c r="X2809" s="4"/>
      <c r="Y2809" s="4"/>
    </row>
    <row r="2810" spans="5:25">
      <c r="E2810"/>
      <c r="G2810"/>
      <c r="H2810"/>
      <c r="I2810"/>
      <c r="K2810"/>
      <c r="O2810"/>
      <c r="R2810"/>
      <c r="W2810" s="4"/>
      <c r="X2810" s="4"/>
      <c r="Y2810" s="4"/>
    </row>
    <row r="2811" spans="5:25">
      <c r="E2811"/>
      <c r="G2811"/>
      <c r="H2811"/>
      <c r="I2811"/>
      <c r="K2811"/>
      <c r="O2811"/>
      <c r="R2811"/>
      <c r="W2811" s="4"/>
      <c r="X2811" s="4"/>
      <c r="Y2811" s="4"/>
    </row>
    <row r="2812" spans="5:25">
      <c r="E2812"/>
      <c r="G2812"/>
      <c r="H2812"/>
      <c r="I2812"/>
      <c r="K2812"/>
      <c r="O2812"/>
      <c r="R2812"/>
      <c r="W2812" s="4"/>
      <c r="X2812" s="4"/>
      <c r="Y2812" s="4"/>
    </row>
    <row r="2813" spans="5:25">
      <c r="E2813"/>
      <c r="G2813"/>
      <c r="H2813"/>
      <c r="I2813"/>
      <c r="K2813"/>
      <c r="O2813"/>
      <c r="R2813"/>
      <c r="W2813" s="4"/>
      <c r="X2813" s="4"/>
      <c r="Y2813" s="4"/>
    </row>
    <row r="2814" spans="5:25">
      <c r="E2814"/>
      <c r="G2814"/>
      <c r="H2814"/>
      <c r="I2814"/>
      <c r="K2814"/>
      <c r="O2814"/>
      <c r="R2814"/>
      <c r="W2814" s="4"/>
      <c r="X2814" s="4"/>
      <c r="Y2814" s="4"/>
    </row>
    <row r="2815" spans="5:25">
      <c r="E2815"/>
      <c r="G2815"/>
      <c r="H2815"/>
      <c r="I2815"/>
      <c r="K2815"/>
      <c r="O2815"/>
      <c r="R2815"/>
      <c r="W2815" s="4"/>
      <c r="X2815" s="4"/>
      <c r="Y2815" s="4"/>
    </row>
    <row r="2816" spans="5:25">
      <c r="E2816"/>
      <c r="G2816"/>
      <c r="H2816"/>
      <c r="I2816"/>
      <c r="K2816"/>
      <c r="O2816"/>
      <c r="R2816"/>
      <c r="W2816" s="4"/>
      <c r="X2816" s="4"/>
      <c r="Y2816" s="4"/>
    </row>
    <row r="2817" spans="5:25">
      <c r="E2817"/>
      <c r="G2817"/>
      <c r="H2817"/>
      <c r="I2817"/>
      <c r="K2817"/>
      <c r="O2817"/>
      <c r="R2817"/>
      <c r="W2817" s="4"/>
      <c r="X2817" s="4"/>
      <c r="Y2817" s="4"/>
    </row>
    <row r="2818" spans="5:25">
      <c r="E2818"/>
      <c r="G2818"/>
      <c r="H2818"/>
      <c r="I2818"/>
      <c r="K2818"/>
      <c r="O2818"/>
      <c r="R2818"/>
      <c r="W2818" s="4"/>
      <c r="X2818" s="4"/>
      <c r="Y2818" s="4"/>
    </row>
    <row r="2819" spans="5:25">
      <c r="E2819"/>
      <c r="G2819"/>
      <c r="H2819"/>
      <c r="I2819"/>
      <c r="K2819"/>
      <c r="O2819"/>
      <c r="R2819"/>
      <c r="W2819" s="4"/>
      <c r="X2819" s="4"/>
      <c r="Y2819" s="4"/>
    </row>
    <row r="2820" spans="5:25">
      <c r="E2820"/>
      <c r="G2820"/>
      <c r="H2820"/>
      <c r="I2820"/>
      <c r="K2820"/>
      <c r="O2820"/>
      <c r="R2820"/>
      <c r="W2820" s="4"/>
      <c r="X2820" s="4"/>
      <c r="Y2820" s="4"/>
    </row>
    <row r="2821" spans="5:25">
      <c r="E2821"/>
      <c r="G2821"/>
      <c r="H2821"/>
      <c r="I2821"/>
      <c r="K2821"/>
      <c r="O2821"/>
      <c r="R2821"/>
      <c r="W2821" s="4"/>
      <c r="X2821" s="4"/>
      <c r="Y2821" s="4"/>
    </row>
    <row r="2822" spans="5:25">
      <c r="E2822"/>
      <c r="G2822"/>
      <c r="H2822"/>
      <c r="I2822"/>
      <c r="K2822"/>
      <c r="O2822"/>
      <c r="R2822"/>
      <c r="W2822" s="4"/>
      <c r="X2822" s="4"/>
      <c r="Y2822" s="4"/>
    </row>
    <row r="2823" spans="5:25">
      <c r="E2823"/>
      <c r="G2823"/>
      <c r="H2823"/>
      <c r="I2823"/>
      <c r="K2823"/>
      <c r="O2823"/>
      <c r="R2823"/>
      <c r="W2823" s="4"/>
      <c r="X2823" s="4"/>
      <c r="Y2823" s="4"/>
    </row>
    <row r="2824" spans="5:25">
      <c r="E2824"/>
      <c r="G2824"/>
      <c r="H2824"/>
      <c r="I2824"/>
      <c r="K2824"/>
      <c r="O2824"/>
      <c r="R2824"/>
      <c r="W2824" s="4"/>
      <c r="X2824" s="4"/>
      <c r="Y2824" s="4"/>
    </row>
    <row r="2825" spans="5:25">
      <c r="E2825"/>
      <c r="G2825"/>
      <c r="H2825"/>
      <c r="I2825"/>
      <c r="K2825"/>
      <c r="O2825"/>
      <c r="R2825"/>
      <c r="W2825" s="4"/>
      <c r="X2825" s="4"/>
      <c r="Y2825" s="4"/>
    </row>
    <row r="2826" spans="5:25">
      <c r="E2826"/>
      <c r="G2826"/>
      <c r="H2826"/>
      <c r="I2826"/>
      <c r="K2826"/>
      <c r="O2826"/>
      <c r="R2826"/>
      <c r="W2826" s="4"/>
      <c r="X2826" s="4"/>
      <c r="Y2826" s="4"/>
    </row>
    <row r="2827" spans="5:25">
      <c r="E2827"/>
      <c r="G2827"/>
      <c r="H2827"/>
      <c r="I2827"/>
      <c r="K2827"/>
      <c r="O2827"/>
      <c r="R2827"/>
      <c r="W2827" s="4"/>
      <c r="X2827" s="4"/>
      <c r="Y2827" s="4"/>
    </row>
    <row r="2828" spans="5:25">
      <c r="E2828"/>
      <c r="G2828"/>
      <c r="H2828"/>
      <c r="I2828"/>
      <c r="K2828"/>
      <c r="O2828"/>
      <c r="R2828"/>
      <c r="W2828" s="4"/>
      <c r="X2828" s="4"/>
      <c r="Y2828" s="4"/>
    </row>
    <row r="2829" spans="5:25">
      <c r="E2829"/>
      <c r="G2829"/>
      <c r="H2829"/>
      <c r="I2829"/>
      <c r="K2829"/>
      <c r="O2829"/>
      <c r="R2829"/>
      <c r="W2829" s="4"/>
      <c r="X2829" s="4"/>
      <c r="Y2829" s="4"/>
    </row>
    <row r="2830" spans="5:25">
      <c r="E2830"/>
      <c r="G2830"/>
      <c r="H2830"/>
      <c r="I2830"/>
      <c r="K2830"/>
      <c r="O2830"/>
      <c r="R2830"/>
      <c r="W2830" s="4"/>
      <c r="X2830" s="4"/>
      <c r="Y2830" s="4"/>
    </row>
    <row r="2831" spans="5:25">
      <c r="E2831"/>
      <c r="G2831"/>
      <c r="H2831"/>
      <c r="I2831"/>
      <c r="K2831"/>
      <c r="O2831"/>
      <c r="R2831"/>
      <c r="W2831" s="4"/>
      <c r="X2831" s="4"/>
      <c r="Y2831" s="4"/>
    </row>
    <row r="2832" spans="5:25">
      <c r="E2832"/>
      <c r="G2832"/>
      <c r="H2832"/>
      <c r="I2832"/>
      <c r="K2832"/>
      <c r="O2832"/>
      <c r="R2832"/>
      <c r="W2832" s="4"/>
      <c r="X2832" s="4"/>
      <c r="Y2832" s="4"/>
    </row>
    <row r="2833" spans="5:25">
      <c r="E2833"/>
      <c r="G2833"/>
      <c r="H2833"/>
      <c r="I2833"/>
      <c r="K2833"/>
      <c r="O2833"/>
      <c r="R2833"/>
      <c r="W2833" s="4"/>
      <c r="X2833" s="4"/>
      <c r="Y2833" s="4"/>
    </row>
    <row r="2834" spans="5:25">
      <c r="E2834"/>
      <c r="G2834"/>
      <c r="H2834"/>
      <c r="I2834"/>
      <c r="K2834"/>
      <c r="O2834"/>
      <c r="R2834"/>
      <c r="W2834" s="4"/>
      <c r="X2834" s="4"/>
      <c r="Y2834" s="4"/>
    </row>
    <row r="2835" spans="5:25">
      <c r="E2835"/>
      <c r="G2835"/>
      <c r="H2835"/>
      <c r="I2835"/>
      <c r="K2835"/>
      <c r="O2835"/>
      <c r="R2835"/>
      <c r="W2835" s="4"/>
      <c r="X2835" s="4"/>
      <c r="Y2835" s="4"/>
    </row>
    <row r="2836" spans="5:25">
      <c r="E2836"/>
      <c r="G2836"/>
      <c r="H2836"/>
      <c r="I2836"/>
      <c r="K2836"/>
      <c r="O2836"/>
      <c r="R2836"/>
      <c r="W2836" s="4"/>
      <c r="X2836" s="4"/>
      <c r="Y2836" s="4"/>
    </row>
    <row r="2837" spans="5:25">
      <c r="E2837"/>
      <c r="G2837"/>
      <c r="H2837"/>
      <c r="I2837"/>
      <c r="K2837"/>
      <c r="O2837"/>
      <c r="R2837"/>
      <c r="W2837" s="4"/>
      <c r="X2837" s="4"/>
      <c r="Y2837" s="4"/>
    </row>
    <row r="2838" spans="5:25">
      <c r="E2838"/>
      <c r="G2838"/>
      <c r="H2838"/>
      <c r="I2838"/>
      <c r="K2838"/>
      <c r="O2838"/>
      <c r="R2838"/>
      <c r="W2838" s="4"/>
      <c r="X2838" s="4"/>
      <c r="Y2838" s="4"/>
    </row>
    <row r="2839" spans="5:25">
      <c r="E2839"/>
      <c r="G2839"/>
      <c r="H2839"/>
      <c r="I2839"/>
      <c r="K2839"/>
      <c r="O2839"/>
      <c r="R2839"/>
      <c r="W2839" s="4"/>
      <c r="X2839" s="4"/>
      <c r="Y2839" s="4"/>
    </row>
    <row r="2840" spans="5:25">
      <c r="E2840"/>
      <c r="G2840"/>
      <c r="H2840"/>
      <c r="I2840"/>
      <c r="K2840"/>
      <c r="O2840"/>
      <c r="R2840"/>
      <c r="W2840" s="4"/>
      <c r="X2840" s="4"/>
      <c r="Y2840" s="4"/>
    </row>
    <row r="2841" spans="5:25">
      <c r="E2841"/>
      <c r="G2841"/>
      <c r="H2841"/>
      <c r="I2841"/>
      <c r="K2841"/>
      <c r="O2841"/>
      <c r="R2841"/>
      <c r="W2841" s="4"/>
      <c r="X2841" s="4"/>
      <c r="Y2841" s="4"/>
    </row>
    <row r="2842" spans="5:25">
      <c r="E2842"/>
      <c r="G2842"/>
      <c r="H2842"/>
      <c r="I2842"/>
      <c r="K2842"/>
      <c r="O2842"/>
      <c r="R2842"/>
      <c r="W2842" s="4"/>
      <c r="X2842" s="4"/>
      <c r="Y2842" s="4"/>
    </row>
    <row r="2843" spans="5:25">
      <c r="E2843"/>
      <c r="G2843"/>
      <c r="H2843"/>
      <c r="I2843"/>
      <c r="K2843"/>
      <c r="O2843"/>
      <c r="R2843"/>
      <c r="W2843" s="4"/>
      <c r="X2843" s="4"/>
      <c r="Y2843" s="4"/>
    </row>
    <row r="2844" spans="5:25">
      <c r="E2844"/>
      <c r="G2844"/>
      <c r="H2844"/>
      <c r="I2844"/>
      <c r="K2844"/>
      <c r="O2844"/>
      <c r="R2844"/>
      <c r="W2844" s="4"/>
      <c r="X2844" s="4"/>
      <c r="Y2844" s="4"/>
    </row>
    <row r="2845" spans="5:25">
      <c r="E2845"/>
      <c r="G2845"/>
      <c r="H2845"/>
      <c r="I2845"/>
      <c r="K2845"/>
      <c r="O2845"/>
      <c r="R2845"/>
      <c r="W2845" s="4"/>
      <c r="X2845" s="4"/>
      <c r="Y2845" s="4"/>
    </row>
    <row r="2846" spans="5:25">
      <c r="E2846"/>
      <c r="G2846"/>
      <c r="H2846"/>
      <c r="I2846"/>
      <c r="K2846"/>
      <c r="O2846"/>
      <c r="R2846"/>
      <c r="W2846" s="4"/>
      <c r="X2846" s="4"/>
      <c r="Y2846" s="4"/>
    </row>
    <row r="2847" spans="5:25">
      <c r="E2847"/>
      <c r="G2847"/>
      <c r="H2847"/>
      <c r="I2847"/>
      <c r="K2847"/>
      <c r="O2847"/>
      <c r="R2847"/>
      <c r="W2847" s="4"/>
      <c r="X2847" s="4"/>
      <c r="Y2847" s="4"/>
    </row>
    <row r="2848" spans="5:25">
      <c r="E2848"/>
      <c r="G2848"/>
      <c r="H2848"/>
      <c r="I2848"/>
      <c r="K2848"/>
      <c r="O2848"/>
      <c r="R2848"/>
      <c r="W2848" s="4"/>
      <c r="X2848" s="4"/>
      <c r="Y2848" s="4"/>
    </row>
    <row r="2849" spans="5:25">
      <c r="E2849"/>
      <c r="G2849"/>
      <c r="H2849"/>
      <c r="I2849"/>
      <c r="K2849"/>
      <c r="O2849"/>
      <c r="R2849"/>
      <c r="W2849" s="4"/>
      <c r="X2849" s="4"/>
      <c r="Y2849" s="4"/>
    </row>
    <row r="2850" spans="5:25">
      <c r="E2850"/>
      <c r="G2850"/>
      <c r="H2850"/>
      <c r="I2850"/>
      <c r="K2850"/>
      <c r="O2850"/>
      <c r="R2850"/>
      <c r="W2850" s="4"/>
      <c r="X2850" s="4"/>
      <c r="Y2850" s="4"/>
    </row>
    <row r="2851" spans="5:25">
      <c r="E2851"/>
      <c r="G2851"/>
      <c r="H2851"/>
      <c r="I2851"/>
      <c r="K2851"/>
      <c r="O2851"/>
      <c r="R2851"/>
      <c r="W2851" s="4"/>
      <c r="X2851" s="4"/>
      <c r="Y2851" s="4"/>
    </row>
    <row r="2852" spans="5:25">
      <c r="E2852"/>
      <c r="G2852"/>
      <c r="H2852"/>
      <c r="I2852"/>
      <c r="K2852"/>
      <c r="O2852"/>
      <c r="R2852"/>
      <c r="W2852" s="4"/>
      <c r="X2852" s="4"/>
      <c r="Y2852" s="4"/>
    </row>
    <row r="2853" spans="5:25">
      <c r="E2853"/>
      <c r="G2853"/>
      <c r="H2853"/>
      <c r="I2853"/>
      <c r="K2853"/>
      <c r="O2853"/>
      <c r="R2853"/>
      <c r="W2853" s="4"/>
      <c r="X2853" s="4"/>
      <c r="Y2853" s="4"/>
    </row>
    <row r="2854" spans="5:25">
      <c r="E2854"/>
      <c r="G2854"/>
      <c r="H2854"/>
      <c r="I2854"/>
      <c r="K2854"/>
      <c r="O2854"/>
      <c r="R2854"/>
      <c r="W2854" s="4"/>
      <c r="X2854" s="4"/>
      <c r="Y2854" s="4"/>
    </row>
    <row r="2855" spans="5:25">
      <c r="E2855"/>
      <c r="G2855"/>
      <c r="H2855"/>
      <c r="I2855"/>
      <c r="K2855"/>
      <c r="O2855"/>
      <c r="R2855"/>
      <c r="W2855" s="4"/>
      <c r="X2855" s="4"/>
      <c r="Y2855" s="4"/>
    </row>
    <row r="2856" spans="5:25">
      <c r="E2856"/>
      <c r="G2856"/>
      <c r="H2856"/>
      <c r="I2856"/>
      <c r="K2856"/>
      <c r="O2856"/>
      <c r="R2856"/>
      <c r="W2856" s="4"/>
      <c r="X2856" s="4"/>
      <c r="Y2856" s="4"/>
    </row>
    <row r="2857" spans="5:25">
      <c r="E2857"/>
      <c r="G2857"/>
      <c r="H2857"/>
      <c r="I2857"/>
      <c r="K2857"/>
      <c r="O2857"/>
      <c r="R2857"/>
      <c r="W2857" s="4"/>
      <c r="X2857" s="4"/>
      <c r="Y2857" s="4"/>
    </row>
    <row r="2858" spans="5:25">
      <c r="E2858"/>
      <c r="G2858"/>
      <c r="H2858"/>
      <c r="I2858"/>
      <c r="K2858"/>
      <c r="O2858"/>
      <c r="R2858"/>
      <c r="W2858" s="4"/>
      <c r="X2858" s="4"/>
      <c r="Y2858" s="4"/>
    </row>
    <row r="2859" spans="5:25">
      <c r="E2859"/>
      <c r="G2859"/>
      <c r="H2859"/>
      <c r="I2859"/>
      <c r="K2859"/>
      <c r="O2859"/>
      <c r="R2859"/>
      <c r="W2859" s="4"/>
      <c r="X2859" s="4"/>
      <c r="Y2859" s="4"/>
    </row>
    <row r="2860" spans="5:25">
      <c r="E2860"/>
      <c r="G2860"/>
      <c r="H2860"/>
      <c r="I2860"/>
      <c r="K2860"/>
      <c r="O2860"/>
      <c r="R2860"/>
      <c r="W2860" s="4"/>
      <c r="X2860" s="4"/>
      <c r="Y2860" s="4"/>
    </row>
    <row r="2861" spans="5:25">
      <c r="E2861"/>
      <c r="G2861"/>
      <c r="H2861"/>
      <c r="I2861"/>
      <c r="K2861"/>
      <c r="O2861"/>
      <c r="R2861"/>
      <c r="W2861" s="4"/>
      <c r="X2861" s="4"/>
      <c r="Y2861" s="4"/>
    </row>
    <row r="2862" spans="5:25">
      <c r="E2862"/>
      <c r="G2862"/>
      <c r="H2862"/>
      <c r="I2862"/>
      <c r="K2862"/>
      <c r="O2862"/>
      <c r="R2862"/>
      <c r="W2862" s="4"/>
      <c r="X2862" s="4"/>
      <c r="Y2862" s="4"/>
    </row>
    <row r="2863" spans="5:25">
      <c r="E2863"/>
      <c r="G2863"/>
      <c r="H2863"/>
      <c r="I2863"/>
      <c r="K2863"/>
      <c r="O2863"/>
      <c r="R2863"/>
      <c r="W2863" s="4"/>
      <c r="X2863" s="4"/>
      <c r="Y2863" s="4"/>
    </row>
    <row r="2864" spans="5:25">
      <c r="E2864"/>
      <c r="G2864"/>
      <c r="H2864"/>
      <c r="I2864"/>
      <c r="K2864"/>
      <c r="O2864"/>
      <c r="R2864"/>
      <c r="W2864" s="4"/>
      <c r="X2864" s="4"/>
      <c r="Y2864" s="4"/>
    </row>
    <row r="2865" spans="5:25">
      <c r="E2865"/>
      <c r="G2865"/>
      <c r="H2865"/>
      <c r="I2865"/>
      <c r="K2865"/>
      <c r="O2865"/>
      <c r="R2865"/>
      <c r="W2865" s="4"/>
      <c r="X2865" s="4"/>
      <c r="Y2865" s="4"/>
    </row>
    <row r="2866" spans="5:25">
      <c r="E2866"/>
      <c r="G2866"/>
      <c r="H2866"/>
      <c r="I2866"/>
      <c r="K2866"/>
      <c r="O2866"/>
      <c r="R2866"/>
      <c r="W2866" s="4"/>
      <c r="X2866" s="4"/>
      <c r="Y2866" s="4"/>
    </row>
    <row r="2867" spans="5:25">
      <c r="E2867"/>
      <c r="G2867"/>
      <c r="H2867"/>
      <c r="I2867"/>
      <c r="K2867"/>
      <c r="O2867"/>
      <c r="R2867"/>
      <c r="W2867" s="4"/>
      <c r="X2867" s="4"/>
      <c r="Y2867" s="4"/>
    </row>
    <row r="2868" spans="5:25">
      <c r="E2868"/>
      <c r="G2868"/>
      <c r="H2868"/>
      <c r="I2868"/>
      <c r="K2868"/>
      <c r="O2868"/>
      <c r="R2868"/>
      <c r="W2868" s="4"/>
      <c r="X2868" s="4"/>
      <c r="Y2868" s="4"/>
    </row>
    <row r="2869" spans="5:25">
      <c r="E2869"/>
      <c r="G2869"/>
      <c r="H2869"/>
      <c r="I2869"/>
      <c r="K2869"/>
      <c r="O2869"/>
      <c r="R2869"/>
      <c r="W2869" s="4"/>
      <c r="X2869" s="4"/>
      <c r="Y2869" s="4"/>
    </row>
    <row r="2870" spans="5:25">
      <c r="E2870"/>
      <c r="G2870"/>
      <c r="H2870"/>
      <c r="I2870"/>
      <c r="K2870"/>
      <c r="O2870"/>
      <c r="R2870"/>
      <c r="W2870" s="4"/>
      <c r="X2870" s="4"/>
      <c r="Y2870" s="4"/>
    </row>
    <row r="2871" spans="5:25">
      <c r="E2871"/>
      <c r="G2871"/>
      <c r="H2871"/>
      <c r="I2871"/>
      <c r="K2871"/>
      <c r="O2871"/>
      <c r="R2871"/>
      <c r="W2871" s="4"/>
      <c r="X2871" s="4"/>
      <c r="Y2871" s="4"/>
    </row>
    <row r="2872" spans="5:25">
      <c r="E2872"/>
      <c r="G2872"/>
      <c r="H2872"/>
      <c r="I2872"/>
      <c r="K2872"/>
      <c r="O2872"/>
      <c r="R2872"/>
      <c r="W2872" s="4"/>
      <c r="X2872" s="4"/>
      <c r="Y2872" s="4"/>
    </row>
    <row r="2873" spans="5:25">
      <c r="E2873"/>
      <c r="G2873"/>
      <c r="H2873"/>
      <c r="I2873"/>
      <c r="K2873"/>
      <c r="O2873"/>
      <c r="R2873"/>
      <c r="W2873" s="4"/>
      <c r="X2873" s="4"/>
      <c r="Y2873" s="4"/>
    </row>
    <row r="2874" spans="5:25">
      <c r="E2874"/>
      <c r="G2874"/>
      <c r="H2874"/>
      <c r="I2874"/>
      <c r="K2874"/>
      <c r="O2874"/>
      <c r="R2874"/>
      <c r="W2874" s="4"/>
      <c r="X2874" s="4"/>
      <c r="Y2874" s="4"/>
    </row>
    <row r="2875" spans="5:25">
      <c r="E2875"/>
      <c r="G2875"/>
      <c r="H2875"/>
      <c r="I2875"/>
      <c r="K2875"/>
      <c r="O2875"/>
      <c r="R2875"/>
      <c r="W2875" s="4"/>
      <c r="X2875" s="4"/>
      <c r="Y2875" s="4"/>
    </row>
    <row r="2876" spans="5:25">
      <c r="E2876"/>
      <c r="G2876"/>
      <c r="H2876"/>
      <c r="I2876"/>
      <c r="K2876"/>
      <c r="O2876"/>
      <c r="R2876"/>
      <c r="W2876" s="4"/>
      <c r="X2876" s="4"/>
      <c r="Y2876" s="4"/>
    </row>
    <row r="2877" spans="5:25">
      <c r="E2877"/>
      <c r="G2877"/>
      <c r="H2877"/>
      <c r="I2877"/>
      <c r="K2877"/>
      <c r="O2877"/>
      <c r="R2877"/>
      <c r="W2877" s="4"/>
      <c r="X2877" s="4"/>
      <c r="Y2877" s="4"/>
    </row>
    <row r="2878" spans="5:25">
      <c r="E2878"/>
      <c r="G2878"/>
      <c r="H2878"/>
      <c r="I2878"/>
      <c r="K2878"/>
      <c r="O2878"/>
      <c r="R2878"/>
      <c r="W2878" s="4"/>
      <c r="X2878" s="4"/>
      <c r="Y2878" s="4"/>
    </row>
    <row r="2879" spans="5:25">
      <c r="E2879"/>
      <c r="G2879"/>
      <c r="H2879"/>
      <c r="I2879"/>
      <c r="K2879"/>
      <c r="O2879"/>
      <c r="R2879"/>
      <c r="W2879" s="4"/>
      <c r="X2879" s="4"/>
      <c r="Y2879" s="4"/>
    </row>
    <row r="2880" spans="5:25">
      <c r="E2880"/>
      <c r="G2880"/>
      <c r="H2880"/>
      <c r="I2880"/>
      <c r="K2880"/>
      <c r="O2880"/>
      <c r="R2880"/>
      <c r="W2880" s="4"/>
      <c r="X2880" s="4"/>
      <c r="Y2880" s="4"/>
    </row>
    <row r="2881" spans="5:25">
      <c r="E2881"/>
      <c r="G2881"/>
      <c r="H2881"/>
      <c r="I2881"/>
      <c r="K2881"/>
      <c r="O2881"/>
      <c r="R2881"/>
      <c r="W2881" s="4"/>
      <c r="X2881" s="4"/>
      <c r="Y2881" s="4"/>
    </row>
    <row r="2882" spans="5:25">
      <c r="E2882"/>
      <c r="G2882"/>
      <c r="H2882"/>
      <c r="I2882"/>
      <c r="K2882"/>
      <c r="O2882"/>
      <c r="R2882"/>
      <c r="W2882" s="4"/>
      <c r="X2882" s="4"/>
      <c r="Y2882" s="4"/>
    </row>
    <row r="2883" spans="5:25">
      <c r="E2883"/>
      <c r="G2883"/>
      <c r="H2883"/>
      <c r="I2883"/>
      <c r="K2883"/>
      <c r="O2883"/>
      <c r="R2883"/>
      <c r="W2883" s="4"/>
      <c r="X2883" s="4"/>
      <c r="Y2883" s="4"/>
    </row>
    <row r="2884" spans="5:25">
      <c r="E2884"/>
      <c r="G2884"/>
      <c r="H2884"/>
      <c r="I2884"/>
      <c r="K2884"/>
      <c r="O2884"/>
      <c r="R2884"/>
      <c r="W2884" s="4"/>
      <c r="X2884" s="4"/>
      <c r="Y2884" s="4"/>
    </row>
    <row r="2885" spans="5:25">
      <c r="E2885"/>
      <c r="G2885"/>
      <c r="H2885"/>
      <c r="I2885"/>
      <c r="K2885"/>
      <c r="O2885"/>
      <c r="R2885"/>
      <c r="W2885" s="4"/>
      <c r="X2885" s="4"/>
      <c r="Y2885" s="4"/>
    </row>
    <row r="2886" spans="5:25">
      <c r="E2886"/>
      <c r="G2886"/>
      <c r="H2886"/>
      <c r="I2886"/>
      <c r="K2886"/>
      <c r="O2886"/>
      <c r="R2886"/>
      <c r="W2886" s="4"/>
      <c r="X2886" s="4"/>
      <c r="Y2886" s="4"/>
    </row>
    <row r="2887" spans="5:25">
      <c r="E2887"/>
      <c r="G2887"/>
      <c r="H2887"/>
      <c r="I2887"/>
      <c r="K2887"/>
      <c r="O2887"/>
      <c r="R2887"/>
      <c r="W2887" s="4"/>
      <c r="X2887" s="4"/>
      <c r="Y2887" s="4"/>
    </row>
    <row r="2888" spans="5:25">
      <c r="E2888"/>
      <c r="G2888"/>
      <c r="H2888"/>
      <c r="I2888"/>
      <c r="K2888"/>
      <c r="O2888"/>
      <c r="R2888"/>
      <c r="W2888" s="4"/>
      <c r="X2888" s="4"/>
      <c r="Y2888" s="4"/>
    </row>
    <row r="2889" spans="5:25">
      <c r="E2889"/>
      <c r="G2889"/>
      <c r="H2889"/>
      <c r="I2889"/>
      <c r="K2889"/>
      <c r="O2889"/>
      <c r="R2889"/>
      <c r="W2889" s="4"/>
      <c r="X2889" s="4"/>
      <c r="Y2889" s="4"/>
    </row>
    <row r="2890" spans="5:25">
      <c r="E2890"/>
      <c r="G2890"/>
      <c r="H2890"/>
      <c r="I2890"/>
      <c r="K2890"/>
      <c r="O2890"/>
      <c r="R2890"/>
      <c r="W2890" s="4"/>
      <c r="X2890" s="4"/>
      <c r="Y2890" s="4"/>
    </row>
    <row r="2891" spans="5:25">
      <c r="E2891"/>
      <c r="G2891"/>
      <c r="H2891"/>
      <c r="I2891"/>
      <c r="K2891"/>
      <c r="O2891"/>
      <c r="R2891"/>
      <c r="W2891" s="4"/>
      <c r="X2891" s="4"/>
      <c r="Y2891" s="4"/>
    </row>
    <row r="2892" spans="5:25">
      <c r="E2892"/>
      <c r="G2892"/>
      <c r="H2892"/>
      <c r="I2892"/>
      <c r="K2892"/>
      <c r="O2892"/>
      <c r="R2892"/>
      <c r="W2892" s="4"/>
      <c r="X2892" s="4"/>
      <c r="Y2892" s="4"/>
    </row>
    <row r="2893" spans="5:25">
      <c r="E2893"/>
      <c r="G2893"/>
      <c r="H2893"/>
      <c r="I2893"/>
      <c r="K2893"/>
      <c r="O2893"/>
      <c r="R2893"/>
      <c r="W2893" s="4"/>
      <c r="X2893" s="4"/>
      <c r="Y2893" s="4"/>
    </row>
    <row r="2894" spans="5:25">
      <c r="E2894"/>
      <c r="G2894"/>
      <c r="H2894"/>
      <c r="I2894"/>
      <c r="K2894"/>
      <c r="O2894"/>
      <c r="R2894"/>
      <c r="W2894" s="4"/>
      <c r="X2894" s="4"/>
      <c r="Y2894" s="4"/>
    </row>
    <row r="2895" spans="5:25">
      <c r="E2895"/>
      <c r="G2895"/>
      <c r="H2895"/>
      <c r="I2895"/>
      <c r="K2895"/>
      <c r="O2895"/>
      <c r="R2895"/>
      <c r="W2895" s="4"/>
      <c r="X2895" s="4"/>
      <c r="Y2895" s="4"/>
    </row>
    <row r="2896" spans="5:25">
      <c r="E2896"/>
      <c r="G2896"/>
      <c r="H2896"/>
      <c r="I2896"/>
      <c r="K2896"/>
      <c r="O2896"/>
      <c r="R2896"/>
      <c r="W2896" s="4"/>
      <c r="X2896" s="4"/>
      <c r="Y2896" s="4"/>
    </row>
    <row r="2897" spans="5:25">
      <c r="E2897"/>
      <c r="G2897"/>
      <c r="H2897"/>
      <c r="I2897"/>
      <c r="K2897"/>
      <c r="O2897"/>
      <c r="R2897"/>
      <c r="W2897" s="4"/>
      <c r="X2897" s="4"/>
      <c r="Y2897" s="4"/>
    </row>
    <row r="2898" spans="5:25">
      <c r="E2898"/>
      <c r="G2898"/>
      <c r="H2898"/>
      <c r="I2898"/>
      <c r="K2898"/>
      <c r="O2898"/>
      <c r="R2898"/>
      <c r="W2898" s="4"/>
      <c r="X2898" s="4"/>
      <c r="Y2898" s="4"/>
    </row>
    <row r="2899" spans="5:25">
      <c r="E2899"/>
      <c r="G2899"/>
      <c r="H2899"/>
      <c r="I2899"/>
      <c r="K2899"/>
      <c r="O2899"/>
      <c r="R2899"/>
      <c r="W2899" s="4"/>
      <c r="X2899" s="4"/>
      <c r="Y2899" s="4"/>
    </row>
    <row r="2900" spans="5:25">
      <c r="E2900"/>
      <c r="G2900"/>
      <c r="H2900"/>
      <c r="I2900"/>
      <c r="K2900"/>
      <c r="O2900"/>
      <c r="R2900"/>
      <c r="W2900" s="4"/>
      <c r="X2900" s="4"/>
      <c r="Y2900" s="4"/>
    </row>
    <row r="2901" spans="5:25">
      <c r="E2901"/>
      <c r="G2901"/>
      <c r="H2901"/>
      <c r="I2901"/>
      <c r="K2901"/>
      <c r="O2901"/>
      <c r="R2901"/>
      <c r="W2901" s="4"/>
      <c r="X2901" s="4"/>
      <c r="Y2901" s="4"/>
    </row>
    <row r="2902" spans="5:25">
      <c r="E2902"/>
      <c r="G2902"/>
      <c r="H2902"/>
      <c r="I2902"/>
      <c r="K2902"/>
      <c r="O2902"/>
      <c r="R2902"/>
      <c r="W2902" s="4"/>
      <c r="X2902" s="4"/>
      <c r="Y2902" s="4"/>
    </row>
    <row r="2903" spans="5:25">
      <c r="E2903"/>
      <c r="G2903"/>
      <c r="H2903"/>
      <c r="I2903"/>
      <c r="K2903"/>
      <c r="O2903"/>
      <c r="R2903"/>
      <c r="W2903" s="4"/>
      <c r="X2903" s="4"/>
      <c r="Y2903" s="4"/>
    </row>
    <row r="2904" spans="5:25">
      <c r="E2904"/>
      <c r="G2904"/>
      <c r="H2904"/>
      <c r="I2904"/>
      <c r="K2904"/>
      <c r="O2904"/>
      <c r="R2904"/>
      <c r="W2904" s="4"/>
      <c r="X2904" s="4"/>
      <c r="Y2904" s="4"/>
    </row>
    <row r="2905" spans="5:25">
      <c r="E2905"/>
      <c r="G2905"/>
      <c r="H2905"/>
      <c r="I2905"/>
      <c r="K2905"/>
      <c r="O2905"/>
      <c r="R2905"/>
      <c r="W2905" s="4"/>
      <c r="X2905" s="4"/>
      <c r="Y2905" s="4"/>
    </row>
    <row r="2906" spans="5:25">
      <c r="E2906"/>
      <c r="G2906"/>
      <c r="H2906"/>
      <c r="I2906"/>
      <c r="K2906"/>
      <c r="O2906"/>
      <c r="R2906"/>
      <c r="W2906" s="4"/>
      <c r="X2906" s="4"/>
      <c r="Y2906" s="4"/>
    </row>
    <row r="2907" spans="5:25">
      <c r="E2907"/>
      <c r="G2907"/>
      <c r="H2907"/>
      <c r="I2907"/>
      <c r="K2907"/>
      <c r="O2907"/>
      <c r="R2907"/>
      <c r="W2907" s="4"/>
      <c r="X2907" s="4"/>
      <c r="Y2907" s="4"/>
    </row>
    <row r="2908" spans="5:25">
      <c r="E2908"/>
      <c r="G2908"/>
      <c r="H2908"/>
      <c r="I2908"/>
      <c r="K2908"/>
      <c r="O2908"/>
      <c r="R2908"/>
      <c r="W2908" s="4"/>
      <c r="X2908" s="4"/>
      <c r="Y2908" s="4"/>
    </row>
    <row r="2909" spans="5:25">
      <c r="E2909"/>
      <c r="G2909"/>
      <c r="H2909"/>
      <c r="I2909"/>
      <c r="K2909"/>
      <c r="O2909"/>
      <c r="R2909"/>
      <c r="W2909" s="4"/>
      <c r="X2909" s="4"/>
      <c r="Y2909" s="4"/>
    </row>
    <row r="2910" spans="5:25">
      <c r="E2910"/>
      <c r="G2910"/>
      <c r="H2910"/>
      <c r="I2910"/>
      <c r="K2910"/>
      <c r="O2910"/>
      <c r="R2910"/>
      <c r="W2910" s="4"/>
      <c r="X2910" s="4"/>
      <c r="Y2910" s="4"/>
    </row>
    <row r="2911" spans="5:25">
      <c r="E2911"/>
      <c r="G2911"/>
      <c r="H2911"/>
      <c r="I2911"/>
      <c r="K2911"/>
      <c r="O2911"/>
      <c r="R2911"/>
      <c r="W2911" s="4"/>
      <c r="X2911" s="4"/>
      <c r="Y2911" s="4"/>
    </row>
    <row r="2912" spans="5:25">
      <c r="E2912"/>
      <c r="G2912"/>
      <c r="H2912"/>
      <c r="I2912"/>
      <c r="K2912"/>
      <c r="O2912"/>
      <c r="R2912"/>
      <c r="W2912" s="4"/>
      <c r="X2912" s="4"/>
      <c r="Y2912" s="4"/>
    </row>
    <row r="2913" spans="5:25">
      <c r="E2913"/>
      <c r="G2913"/>
      <c r="H2913"/>
      <c r="I2913"/>
      <c r="K2913"/>
      <c r="O2913"/>
      <c r="R2913"/>
      <c r="W2913" s="4"/>
      <c r="X2913" s="4"/>
      <c r="Y2913" s="4"/>
    </row>
    <row r="2914" spans="5:25">
      <c r="E2914"/>
      <c r="G2914"/>
      <c r="H2914"/>
      <c r="I2914"/>
      <c r="K2914"/>
      <c r="O2914"/>
      <c r="R2914"/>
      <c r="W2914" s="4"/>
      <c r="X2914" s="4"/>
      <c r="Y2914" s="4"/>
    </row>
    <row r="2915" spans="5:25">
      <c r="E2915"/>
      <c r="G2915"/>
      <c r="H2915"/>
      <c r="I2915"/>
      <c r="K2915"/>
      <c r="O2915"/>
      <c r="R2915"/>
      <c r="W2915" s="4"/>
      <c r="X2915" s="4"/>
      <c r="Y2915" s="4"/>
    </row>
    <row r="2916" spans="5:25">
      <c r="E2916"/>
      <c r="G2916"/>
      <c r="H2916"/>
      <c r="I2916"/>
      <c r="K2916"/>
      <c r="O2916"/>
      <c r="R2916"/>
      <c r="W2916" s="4"/>
      <c r="X2916" s="4"/>
      <c r="Y2916" s="4"/>
    </row>
    <row r="2917" spans="5:25">
      <c r="E2917"/>
      <c r="G2917"/>
      <c r="H2917"/>
      <c r="I2917"/>
      <c r="K2917"/>
      <c r="O2917"/>
      <c r="R2917"/>
      <c r="W2917" s="4"/>
      <c r="X2917" s="4"/>
      <c r="Y2917" s="4"/>
    </row>
    <row r="2918" spans="5:25">
      <c r="E2918"/>
      <c r="G2918"/>
      <c r="H2918"/>
      <c r="I2918"/>
      <c r="K2918"/>
      <c r="O2918"/>
      <c r="R2918"/>
      <c r="W2918" s="4"/>
      <c r="X2918" s="4"/>
      <c r="Y2918" s="4"/>
    </row>
    <row r="2919" spans="5:25">
      <c r="E2919"/>
      <c r="G2919"/>
      <c r="H2919"/>
      <c r="I2919"/>
      <c r="K2919"/>
      <c r="O2919"/>
      <c r="R2919"/>
      <c r="W2919" s="4"/>
      <c r="X2919" s="4"/>
      <c r="Y2919" s="4"/>
    </row>
    <row r="2920" spans="5:25">
      <c r="E2920"/>
      <c r="G2920"/>
      <c r="H2920"/>
      <c r="I2920"/>
      <c r="K2920"/>
      <c r="O2920"/>
      <c r="R2920"/>
      <c r="W2920" s="4"/>
      <c r="X2920" s="4"/>
      <c r="Y2920" s="4"/>
    </row>
    <row r="2921" spans="5:25">
      <c r="E2921"/>
      <c r="G2921"/>
      <c r="H2921"/>
      <c r="I2921"/>
      <c r="K2921"/>
      <c r="O2921"/>
      <c r="R2921"/>
      <c r="W2921" s="4"/>
      <c r="X2921" s="4"/>
      <c r="Y2921" s="4"/>
    </row>
    <row r="2922" spans="5:25">
      <c r="E2922"/>
      <c r="G2922"/>
      <c r="H2922"/>
      <c r="I2922"/>
      <c r="K2922"/>
      <c r="O2922"/>
      <c r="R2922"/>
      <c r="W2922" s="4"/>
      <c r="X2922" s="4"/>
      <c r="Y2922" s="4"/>
    </row>
    <row r="2923" spans="5:25">
      <c r="E2923"/>
      <c r="G2923"/>
      <c r="H2923"/>
      <c r="I2923"/>
      <c r="K2923"/>
      <c r="O2923"/>
      <c r="R2923"/>
      <c r="W2923" s="4"/>
      <c r="X2923" s="4"/>
      <c r="Y2923" s="4"/>
    </row>
    <row r="2924" spans="5:25">
      <c r="E2924"/>
      <c r="G2924"/>
      <c r="H2924"/>
      <c r="I2924"/>
      <c r="K2924"/>
      <c r="O2924"/>
      <c r="R2924"/>
      <c r="W2924" s="4"/>
      <c r="X2924" s="4"/>
      <c r="Y2924" s="4"/>
    </row>
    <row r="2925" spans="5:25">
      <c r="E2925"/>
      <c r="G2925"/>
      <c r="H2925"/>
      <c r="I2925"/>
      <c r="K2925"/>
      <c r="O2925"/>
      <c r="R2925"/>
      <c r="W2925" s="4"/>
      <c r="X2925" s="4"/>
      <c r="Y2925" s="4"/>
    </row>
    <row r="2926" spans="5:25">
      <c r="E2926"/>
      <c r="G2926"/>
      <c r="H2926"/>
      <c r="I2926"/>
      <c r="K2926"/>
      <c r="O2926"/>
      <c r="R2926"/>
      <c r="W2926" s="4"/>
      <c r="X2926" s="4"/>
      <c r="Y2926" s="4"/>
    </row>
    <row r="2927" spans="5:25">
      <c r="E2927"/>
      <c r="G2927"/>
      <c r="H2927"/>
      <c r="I2927"/>
      <c r="K2927"/>
      <c r="O2927"/>
      <c r="R2927"/>
      <c r="W2927" s="4"/>
      <c r="X2927" s="4"/>
      <c r="Y2927" s="4"/>
    </row>
    <row r="2928" spans="5:25">
      <c r="E2928"/>
      <c r="G2928"/>
      <c r="H2928"/>
      <c r="I2928"/>
      <c r="K2928"/>
      <c r="O2928"/>
      <c r="R2928"/>
      <c r="W2928" s="4"/>
      <c r="X2928" s="4"/>
      <c r="Y2928" s="4"/>
    </row>
    <row r="2929" spans="5:25">
      <c r="E2929"/>
      <c r="G2929"/>
      <c r="H2929"/>
      <c r="I2929"/>
      <c r="K2929"/>
      <c r="O2929"/>
      <c r="R2929"/>
      <c r="W2929" s="4"/>
      <c r="X2929" s="4"/>
      <c r="Y2929" s="4"/>
    </row>
    <row r="2930" spans="5:25">
      <c r="E2930"/>
      <c r="G2930"/>
      <c r="H2930"/>
      <c r="I2930"/>
      <c r="K2930"/>
      <c r="O2930"/>
      <c r="R2930"/>
      <c r="W2930" s="4"/>
      <c r="X2930" s="4"/>
      <c r="Y2930" s="4"/>
    </row>
    <row r="2931" spans="5:25">
      <c r="E2931"/>
      <c r="G2931"/>
      <c r="H2931"/>
      <c r="I2931"/>
      <c r="K2931"/>
      <c r="O2931"/>
      <c r="R2931"/>
      <c r="W2931" s="4"/>
      <c r="X2931" s="4"/>
      <c r="Y2931" s="4"/>
    </row>
    <row r="2932" spans="5:25">
      <c r="E2932"/>
      <c r="G2932"/>
      <c r="H2932"/>
      <c r="I2932"/>
      <c r="K2932"/>
      <c r="O2932"/>
      <c r="R2932"/>
      <c r="W2932" s="4"/>
      <c r="X2932" s="4"/>
      <c r="Y2932" s="4"/>
    </row>
    <row r="2933" spans="5:25">
      <c r="E2933"/>
      <c r="G2933"/>
      <c r="H2933"/>
      <c r="I2933"/>
      <c r="K2933"/>
      <c r="O2933"/>
      <c r="R2933"/>
      <c r="W2933" s="4"/>
      <c r="X2933" s="4"/>
      <c r="Y2933" s="4"/>
    </row>
    <row r="2934" spans="5:25">
      <c r="E2934"/>
      <c r="G2934"/>
      <c r="H2934"/>
      <c r="I2934"/>
      <c r="K2934"/>
      <c r="O2934"/>
      <c r="R2934"/>
      <c r="W2934" s="4"/>
      <c r="X2934" s="4"/>
      <c r="Y2934" s="4"/>
    </row>
    <row r="2935" spans="5:25">
      <c r="E2935"/>
      <c r="G2935"/>
      <c r="H2935"/>
      <c r="I2935"/>
      <c r="K2935"/>
      <c r="O2935"/>
      <c r="R2935"/>
      <c r="W2935" s="4"/>
      <c r="X2935" s="4"/>
      <c r="Y2935" s="4"/>
    </row>
    <row r="2936" spans="5:25">
      <c r="E2936"/>
      <c r="G2936"/>
      <c r="H2936"/>
      <c r="I2936"/>
      <c r="K2936"/>
      <c r="O2936"/>
      <c r="R2936"/>
      <c r="W2936" s="4"/>
      <c r="X2936" s="4"/>
      <c r="Y2936" s="4"/>
    </row>
    <row r="2937" spans="5:25">
      <c r="E2937"/>
      <c r="G2937"/>
      <c r="H2937"/>
      <c r="I2937"/>
      <c r="K2937"/>
      <c r="O2937"/>
      <c r="R2937"/>
      <c r="W2937" s="4"/>
      <c r="X2937" s="4"/>
      <c r="Y2937" s="4"/>
    </row>
    <row r="2938" spans="5:25">
      <c r="E2938"/>
      <c r="G2938"/>
      <c r="H2938"/>
      <c r="I2938"/>
      <c r="K2938"/>
      <c r="O2938"/>
      <c r="R2938"/>
      <c r="W2938" s="4"/>
      <c r="X2938" s="4"/>
      <c r="Y2938" s="4"/>
    </row>
    <row r="2939" spans="5:25">
      <c r="E2939"/>
      <c r="G2939"/>
      <c r="H2939"/>
      <c r="I2939"/>
      <c r="K2939"/>
      <c r="O2939"/>
      <c r="R2939"/>
      <c r="W2939" s="4"/>
      <c r="X2939" s="4"/>
      <c r="Y2939" s="4"/>
    </row>
    <row r="2940" spans="5:25">
      <c r="E2940"/>
      <c r="G2940"/>
      <c r="H2940"/>
      <c r="I2940"/>
      <c r="K2940"/>
      <c r="O2940"/>
      <c r="R2940"/>
      <c r="W2940" s="4"/>
      <c r="X2940" s="4"/>
      <c r="Y2940" s="4"/>
    </row>
    <row r="2941" spans="5:25">
      <c r="E2941"/>
      <c r="G2941"/>
      <c r="H2941"/>
      <c r="I2941"/>
      <c r="K2941"/>
      <c r="O2941"/>
      <c r="R2941"/>
      <c r="W2941" s="4"/>
      <c r="X2941" s="4"/>
      <c r="Y2941" s="4"/>
    </row>
    <row r="2942" spans="5:25">
      <c r="E2942"/>
      <c r="G2942"/>
      <c r="H2942"/>
      <c r="I2942"/>
      <c r="K2942"/>
      <c r="O2942"/>
      <c r="R2942"/>
      <c r="W2942" s="4"/>
      <c r="X2942" s="4"/>
      <c r="Y2942" s="4"/>
    </row>
    <row r="2943" spans="5:25">
      <c r="E2943"/>
      <c r="G2943"/>
      <c r="H2943"/>
      <c r="I2943"/>
      <c r="K2943"/>
      <c r="O2943"/>
      <c r="R2943"/>
      <c r="W2943" s="4"/>
      <c r="X2943" s="4"/>
      <c r="Y2943" s="4"/>
    </row>
    <row r="2944" spans="5:25">
      <c r="E2944"/>
      <c r="G2944"/>
      <c r="H2944"/>
      <c r="I2944"/>
      <c r="K2944"/>
      <c r="O2944"/>
      <c r="R2944"/>
      <c r="W2944" s="4"/>
      <c r="X2944" s="4"/>
      <c r="Y2944" s="4"/>
    </row>
    <row r="2945" spans="5:25">
      <c r="E2945"/>
      <c r="G2945"/>
      <c r="H2945"/>
      <c r="I2945"/>
      <c r="K2945"/>
      <c r="O2945"/>
      <c r="R2945"/>
      <c r="W2945" s="4"/>
      <c r="X2945" s="4"/>
      <c r="Y2945" s="4"/>
    </row>
    <row r="2946" spans="5:25">
      <c r="E2946"/>
      <c r="G2946"/>
      <c r="H2946"/>
      <c r="I2946"/>
      <c r="K2946"/>
      <c r="O2946"/>
      <c r="R2946"/>
      <c r="W2946" s="4"/>
      <c r="X2946" s="4"/>
      <c r="Y2946" s="4"/>
    </row>
    <row r="2947" spans="5:25">
      <c r="E2947"/>
      <c r="G2947"/>
      <c r="H2947"/>
      <c r="I2947"/>
      <c r="K2947"/>
      <c r="O2947"/>
      <c r="R2947"/>
      <c r="W2947" s="4"/>
      <c r="X2947" s="4"/>
      <c r="Y2947" s="4"/>
    </row>
    <row r="2948" spans="5:25">
      <c r="E2948"/>
      <c r="G2948"/>
      <c r="H2948"/>
      <c r="I2948"/>
      <c r="K2948"/>
      <c r="O2948"/>
      <c r="R2948"/>
      <c r="W2948" s="4"/>
      <c r="X2948" s="4"/>
      <c r="Y2948" s="4"/>
    </row>
    <row r="2949" spans="5:25">
      <c r="E2949"/>
      <c r="G2949"/>
      <c r="H2949"/>
      <c r="I2949"/>
      <c r="K2949"/>
      <c r="O2949"/>
      <c r="R2949"/>
      <c r="W2949" s="4"/>
      <c r="X2949" s="4"/>
      <c r="Y2949" s="4"/>
    </row>
    <row r="2950" spans="5:25">
      <c r="E2950"/>
      <c r="G2950"/>
      <c r="H2950"/>
      <c r="I2950"/>
      <c r="K2950"/>
      <c r="O2950"/>
      <c r="R2950"/>
      <c r="W2950" s="4"/>
      <c r="X2950" s="4"/>
      <c r="Y2950" s="4"/>
    </row>
    <row r="2951" spans="5:25">
      <c r="E2951"/>
      <c r="G2951"/>
      <c r="H2951"/>
      <c r="I2951"/>
      <c r="K2951"/>
      <c r="O2951"/>
      <c r="R2951"/>
      <c r="W2951" s="4"/>
      <c r="X2951" s="4"/>
      <c r="Y2951" s="4"/>
    </row>
    <row r="2952" spans="5:25">
      <c r="E2952"/>
      <c r="G2952"/>
      <c r="H2952"/>
      <c r="I2952"/>
      <c r="K2952"/>
      <c r="O2952"/>
      <c r="R2952"/>
      <c r="W2952" s="4"/>
      <c r="X2952" s="4"/>
      <c r="Y2952" s="4"/>
    </row>
    <row r="2953" spans="5:25">
      <c r="E2953"/>
      <c r="G2953"/>
      <c r="H2953"/>
      <c r="I2953"/>
      <c r="K2953"/>
      <c r="O2953"/>
      <c r="R2953"/>
      <c r="W2953" s="4"/>
      <c r="X2953" s="4"/>
      <c r="Y2953" s="4"/>
    </row>
    <row r="2954" spans="5:25">
      <c r="E2954"/>
      <c r="G2954"/>
      <c r="H2954"/>
      <c r="I2954"/>
      <c r="K2954"/>
      <c r="O2954"/>
      <c r="R2954"/>
      <c r="W2954" s="4"/>
      <c r="X2954" s="4"/>
      <c r="Y2954" s="4"/>
    </row>
    <row r="2955" spans="5:25">
      <c r="E2955"/>
      <c r="G2955"/>
      <c r="H2955"/>
      <c r="I2955"/>
      <c r="K2955"/>
      <c r="O2955"/>
      <c r="R2955"/>
      <c r="W2955" s="4"/>
      <c r="X2955" s="4"/>
      <c r="Y2955" s="4"/>
    </row>
    <row r="2956" spans="5:25">
      <c r="E2956"/>
      <c r="G2956"/>
      <c r="H2956"/>
      <c r="I2956"/>
      <c r="K2956"/>
      <c r="O2956"/>
      <c r="R2956"/>
      <c r="W2956" s="4"/>
      <c r="X2956" s="4"/>
      <c r="Y2956" s="4"/>
    </row>
    <row r="2957" spans="5:25">
      <c r="E2957"/>
      <c r="G2957"/>
      <c r="H2957"/>
      <c r="I2957"/>
      <c r="K2957"/>
      <c r="O2957"/>
      <c r="R2957"/>
      <c r="W2957" s="4"/>
      <c r="X2957" s="4"/>
      <c r="Y2957" s="4"/>
    </row>
    <row r="2958" spans="5:25">
      <c r="E2958"/>
      <c r="G2958"/>
      <c r="H2958"/>
      <c r="I2958"/>
      <c r="K2958"/>
      <c r="O2958"/>
      <c r="R2958"/>
      <c r="W2958" s="4"/>
      <c r="X2958" s="4"/>
      <c r="Y2958" s="4"/>
    </row>
    <row r="2959" spans="5:25">
      <c r="E2959"/>
      <c r="G2959"/>
      <c r="H2959"/>
      <c r="I2959"/>
      <c r="K2959"/>
      <c r="O2959"/>
      <c r="R2959"/>
      <c r="W2959" s="4"/>
      <c r="X2959" s="4"/>
      <c r="Y2959" s="4"/>
    </row>
    <row r="2960" spans="5:25">
      <c r="E2960"/>
      <c r="G2960"/>
      <c r="H2960"/>
      <c r="I2960"/>
      <c r="K2960"/>
      <c r="O2960"/>
      <c r="R2960"/>
      <c r="W2960" s="4"/>
      <c r="X2960" s="4"/>
      <c r="Y2960" s="4"/>
    </row>
    <row r="2961" spans="5:25">
      <c r="E2961"/>
      <c r="G2961"/>
      <c r="H2961"/>
      <c r="I2961"/>
      <c r="K2961"/>
      <c r="O2961"/>
      <c r="R2961"/>
      <c r="W2961" s="4"/>
      <c r="X2961" s="4"/>
      <c r="Y2961" s="4"/>
    </row>
    <row r="2962" spans="5:25">
      <c r="E2962"/>
      <c r="G2962"/>
      <c r="H2962"/>
      <c r="I2962"/>
      <c r="K2962"/>
      <c r="O2962"/>
      <c r="R2962"/>
      <c r="W2962" s="4"/>
      <c r="X2962" s="4"/>
      <c r="Y2962" s="4"/>
    </row>
    <row r="2963" spans="5:25">
      <c r="E2963"/>
      <c r="G2963"/>
      <c r="H2963"/>
      <c r="I2963"/>
      <c r="K2963"/>
      <c r="O2963"/>
      <c r="R2963"/>
      <c r="W2963" s="4"/>
      <c r="X2963" s="4"/>
      <c r="Y2963" s="4"/>
    </row>
    <row r="2964" spans="5:25">
      <c r="E2964"/>
      <c r="G2964"/>
      <c r="H2964"/>
      <c r="I2964"/>
      <c r="K2964"/>
      <c r="O2964"/>
      <c r="R2964"/>
      <c r="W2964" s="4"/>
      <c r="X2964" s="4"/>
      <c r="Y2964" s="4"/>
    </row>
    <row r="2965" spans="5:25">
      <c r="E2965"/>
      <c r="G2965"/>
      <c r="H2965"/>
      <c r="I2965"/>
      <c r="K2965"/>
      <c r="O2965"/>
      <c r="R2965"/>
      <c r="W2965" s="4"/>
      <c r="X2965" s="4"/>
      <c r="Y2965" s="4"/>
    </row>
    <row r="2966" spans="5:25">
      <c r="E2966"/>
      <c r="G2966"/>
      <c r="H2966"/>
      <c r="I2966"/>
      <c r="K2966"/>
      <c r="O2966"/>
      <c r="R2966"/>
      <c r="W2966" s="4"/>
      <c r="X2966" s="4"/>
      <c r="Y2966" s="4"/>
    </row>
    <row r="2967" spans="5:25">
      <c r="E2967"/>
      <c r="G2967"/>
      <c r="H2967"/>
      <c r="I2967"/>
      <c r="K2967"/>
      <c r="O2967"/>
      <c r="R2967"/>
      <c r="W2967" s="4"/>
      <c r="X2967" s="4"/>
      <c r="Y2967" s="4"/>
    </row>
    <row r="2968" spans="5:25">
      <c r="E2968"/>
      <c r="G2968"/>
      <c r="H2968"/>
      <c r="I2968"/>
      <c r="K2968"/>
      <c r="O2968"/>
      <c r="R2968"/>
      <c r="W2968" s="4"/>
      <c r="X2968" s="4"/>
      <c r="Y2968" s="4"/>
    </row>
    <row r="2969" spans="5:25">
      <c r="E2969"/>
      <c r="G2969"/>
      <c r="H2969"/>
      <c r="I2969"/>
      <c r="K2969"/>
      <c r="O2969"/>
      <c r="R2969"/>
      <c r="W2969" s="4"/>
      <c r="X2969" s="4"/>
      <c r="Y2969" s="4"/>
    </row>
    <row r="2970" spans="5:25">
      <c r="E2970"/>
      <c r="G2970"/>
      <c r="H2970"/>
      <c r="I2970"/>
      <c r="K2970"/>
      <c r="O2970"/>
      <c r="R2970"/>
      <c r="W2970" s="4"/>
      <c r="X2970" s="4"/>
      <c r="Y2970" s="4"/>
    </row>
    <row r="2971" spans="5:25">
      <c r="E2971"/>
      <c r="G2971"/>
      <c r="H2971"/>
      <c r="I2971"/>
      <c r="K2971"/>
      <c r="O2971"/>
      <c r="R2971"/>
      <c r="W2971" s="4"/>
      <c r="X2971" s="4"/>
      <c r="Y2971" s="4"/>
    </row>
    <row r="2972" spans="5:25">
      <c r="E2972"/>
      <c r="G2972"/>
      <c r="H2972"/>
      <c r="I2972"/>
      <c r="K2972"/>
      <c r="O2972"/>
      <c r="R2972"/>
      <c r="W2972" s="4"/>
      <c r="X2972" s="4"/>
      <c r="Y2972" s="4"/>
    </row>
    <row r="2973" spans="5:25">
      <c r="E2973"/>
      <c r="G2973"/>
      <c r="H2973"/>
      <c r="I2973"/>
      <c r="K2973"/>
      <c r="O2973"/>
      <c r="R2973"/>
      <c r="W2973" s="4"/>
      <c r="X2973" s="4"/>
      <c r="Y2973" s="4"/>
    </row>
    <row r="2974" spans="5:25">
      <c r="E2974"/>
      <c r="G2974"/>
      <c r="H2974"/>
      <c r="I2974"/>
      <c r="K2974"/>
      <c r="O2974"/>
      <c r="R2974"/>
      <c r="W2974" s="4"/>
      <c r="X2974" s="4"/>
      <c r="Y2974" s="4"/>
    </row>
    <row r="2975" spans="5:25">
      <c r="E2975"/>
      <c r="G2975"/>
      <c r="H2975"/>
      <c r="I2975"/>
      <c r="K2975"/>
      <c r="O2975"/>
      <c r="R2975"/>
      <c r="W2975" s="4"/>
      <c r="X2975" s="4"/>
      <c r="Y2975" s="4"/>
    </row>
    <row r="2976" spans="5:25">
      <c r="E2976"/>
      <c r="G2976"/>
      <c r="H2976"/>
      <c r="I2976"/>
      <c r="K2976"/>
      <c r="O2976"/>
      <c r="R2976"/>
      <c r="W2976" s="4"/>
      <c r="X2976" s="4"/>
      <c r="Y2976" s="4"/>
    </row>
    <row r="2977" spans="5:25">
      <c r="E2977"/>
      <c r="G2977"/>
      <c r="H2977"/>
      <c r="I2977"/>
      <c r="K2977"/>
      <c r="O2977"/>
      <c r="R2977"/>
      <c r="W2977" s="4"/>
      <c r="X2977" s="4"/>
      <c r="Y2977" s="4"/>
    </row>
    <row r="2978" spans="5:25">
      <c r="E2978"/>
      <c r="G2978"/>
      <c r="H2978"/>
      <c r="I2978"/>
      <c r="K2978"/>
      <c r="O2978"/>
      <c r="R2978"/>
      <c r="W2978" s="4"/>
      <c r="X2978" s="4"/>
      <c r="Y2978" s="4"/>
    </row>
    <row r="2979" spans="5:25">
      <c r="E2979"/>
      <c r="G2979"/>
      <c r="H2979"/>
      <c r="I2979"/>
      <c r="K2979"/>
      <c r="O2979"/>
      <c r="R2979"/>
      <c r="W2979" s="4"/>
      <c r="X2979" s="4"/>
      <c r="Y2979" s="4"/>
    </row>
    <row r="2980" spans="5:25">
      <c r="E2980"/>
      <c r="G2980"/>
      <c r="H2980"/>
      <c r="I2980"/>
      <c r="K2980"/>
      <c r="O2980"/>
      <c r="R2980"/>
      <c r="W2980" s="4"/>
      <c r="X2980" s="4"/>
      <c r="Y2980" s="4"/>
    </row>
    <row r="2981" spans="5:25">
      <c r="E2981"/>
      <c r="G2981"/>
      <c r="H2981"/>
      <c r="I2981"/>
      <c r="K2981"/>
      <c r="O2981"/>
      <c r="R2981"/>
      <c r="W2981" s="4"/>
      <c r="X2981" s="4"/>
      <c r="Y2981" s="4"/>
    </row>
    <row r="2982" spans="5:25">
      <c r="E2982"/>
      <c r="G2982"/>
      <c r="H2982"/>
      <c r="I2982"/>
      <c r="K2982"/>
      <c r="O2982"/>
      <c r="R2982"/>
      <c r="W2982" s="4"/>
      <c r="X2982" s="4"/>
      <c r="Y2982" s="4"/>
    </row>
    <row r="2983" spans="5:25">
      <c r="E2983"/>
      <c r="G2983"/>
      <c r="H2983"/>
      <c r="I2983"/>
      <c r="K2983"/>
      <c r="O2983"/>
      <c r="R2983"/>
      <c r="W2983" s="4"/>
      <c r="X2983" s="4"/>
      <c r="Y2983" s="4"/>
    </row>
    <row r="2984" spans="5:25">
      <c r="E2984"/>
      <c r="G2984"/>
      <c r="H2984"/>
      <c r="I2984"/>
      <c r="K2984"/>
      <c r="O2984"/>
      <c r="R2984"/>
      <c r="W2984" s="4"/>
      <c r="X2984" s="4"/>
      <c r="Y2984" s="4"/>
    </row>
    <row r="2985" spans="5:25">
      <c r="E2985"/>
      <c r="G2985"/>
      <c r="H2985"/>
      <c r="I2985"/>
      <c r="K2985"/>
      <c r="O2985"/>
      <c r="R2985"/>
      <c r="W2985" s="4"/>
      <c r="X2985" s="4"/>
      <c r="Y2985" s="4"/>
    </row>
    <row r="2986" spans="5:25">
      <c r="E2986"/>
      <c r="G2986"/>
      <c r="H2986"/>
      <c r="I2986"/>
      <c r="K2986"/>
      <c r="O2986"/>
      <c r="R2986"/>
      <c r="W2986" s="4"/>
      <c r="X2986" s="4"/>
      <c r="Y2986" s="4"/>
    </row>
    <row r="2987" spans="5:25">
      <c r="E2987"/>
      <c r="G2987"/>
      <c r="H2987"/>
      <c r="I2987"/>
      <c r="K2987"/>
      <c r="O2987"/>
      <c r="R2987"/>
      <c r="W2987" s="4"/>
      <c r="X2987" s="4"/>
      <c r="Y2987" s="4"/>
    </row>
    <row r="2988" spans="5:25">
      <c r="E2988"/>
      <c r="G2988"/>
      <c r="H2988"/>
      <c r="I2988"/>
      <c r="K2988"/>
      <c r="O2988"/>
      <c r="R2988"/>
      <c r="W2988" s="4"/>
      <c r="X2988" s="4"/>
      <c r="Y2988" s="4"/>
    </row>
    <row r="2989" spans="5:25">
      <c r="E2989"/>
      <c r="G2989"/>
      <c r="H2989"/>
      <c r="I2989"/>
      <c r="K2989"/>
      <c r="O2989"/>
      <c r="R2989"/>
      <c r="W2989" s="4"/>
      <c r="X2989" s="4"/>
      <c r="Y2989" s="4"/>
    </row>
    <row r="2990" spans="5:25">
      <c r="E2990"/>
      <c r="G2990"/>
      <c r="H2990"/>
      <c r="I2990"/>
      <c r="K2990"/>
      <c r="O2990"/>
      <c r="R2990"/>
      <c r="W2990" s="4"/>
      <c r="X2990" s="4"/>
      <c r="Y2990" s="4"/>
    </row>
    <row r="2991" spans="5:25">
      <c r="E2991"/>
      <c r="G2991"/>
      <c r="H2991"/>
      <c r="I2991"/>
      <c r="K2991"/>
      <c r="O2991"/>
      <c r="R2991"/>
      <c r="W2991" s="4"/>
      <c r="X2991" s="4"/>
      <c r="Y2991" s="4"/>
    </row>
    <row r="2992" spans="5:25">
      <c r="E2992"/>
      <c r="G2992"/>
      <c r="H2992"/>
      <c r="I2992"/>
      <c r="K2992"/>
      <c r="O2992"/>
      <c r="R2992"/>
      <c r="W2992" s="4"/>
      <c r="X2992" s="4"/>
      <c r="Y2992" s="4"/>
    </row>
    <row r="2993" spans="5:25">
      <c r="E2993"/>
      <c r="G2993"/>
      <c r="H2993"/>
      <c r="I2993"/>
      <c r="K2993"/>
      <c r="O2993"/>
      <c r="R2993"/>
      <c r="W2993" s="4"/>
      <c r="X2993" s="4"/>
      <c r="Y2993" s="4"/>
    </row>
    <row r="2994" spans="5:25">
      <c r="E2994"/>
      <c r="G2994"/>
      <c r="H2994"/>
      <c r="I2994"/>
      <c r="K2994"/>
      <c r="O2994"/>
      <c r="R2994"/>
      <c r="W2994" s="4"/>
      <c r="X2994" s="4"/>
      <c r="Y2994" s="4"/>
    </row>
    <row r="2995" spans="5:25">
      <c r="E2995"/>
      <c r="G2995"/>
      <c r="H2995"/>
      <c r="I2995"/>
      <c r="K2995"/>
      <c r="O2995"/>
      <c r="R2995"/>
      <c r="W2995" s="4"/>
      <c r="X2995" s="4"/>
      <c r="Y2995" s="4"/>
    </row>
    <row r="2996" spans="5:25">
      <c r="E2996"/>
      <c r="G2996"/>
      <c r="H2996"/>
      <c r="I2996"/>
      <c r="K2996"/>
      <c r="O2996"/>
      <c r="R2996"/>
      <c r="W2996" s="4"/>
      <c r="X2996" s="4"/>
      <c r="Y2996" s="4"/>
    </row>
    <row r="2997" spans="5:25">
      <c r="E2997"/>
      <c r="G2997"/>
      <c r="H2997"/>
      <c r="I2997"/>
      <c r="K2997"/>
      <c r="O2997"/>
      <c r="R2997"/>
      <c r="W2997" s="4"/>
      <c r="X2997" s="4"/>
      <c r="Y2997" s="4"/>
    </row>
    <row r="2998" spans="5:25">
      <c r="E2998"/>
      <c r="G2998"/>
      <c r="H2998"/>
      <c r="I2998"/>
      <c r="K2998"/>
      <c r="O2998"/>
      <c r="R2998"/>
      <c r="W2998" s="4"/>
      <c r="X2998" s="4"/>
      <c r="Y2998" s="4"/>
    </row>
    <row r="2999" spans="5:25">
      <c r="E2999"/>
      <c r="G2999"/>
      <c r="H2999"/>
      <c r="I2999"/>
      <c r="K2999"/>
      <c r="O2999"/>
      <c r="R2999"/>
      <c r="W2999" s="4"/>
      <c r="X2999" s="4"/>
      <c r="Y2999" s="4"/>
    </row>
    <row r="3000" spans="5:25">
      <c r="E3000"/>
      <c r="G3000"/>
      <c r="H3000"/>
      <c r="I3000"/>
      <c r="K3000"/>
      <c r="O3000"/>
      <c r="R3000"/>
      <c r="W3000" s="4"/>
      <c r="X3000" s="4"/>
      <c r="Y3000" s="4"/>
    </row>
    <row r="3001" spans="5:25">
      <c r="E3001"/>
      <c r="G3001"/>
      <c r="H3001"/>
      <c r="I3001"/>
      <c r="K3001"/>
      <c r="O3001"/>
      <c r="R3001"/>
      <c r="W3001" s="4"/>
      <c r="X3001" s="4"/>
      <c r="Y3001" s="4"/>
    </row>
    <row r="3002" spans="5:25">
      <c r="E3002"/>
      <c r="G3002"/>
      <c r="H3002"/>
      <c r="I3002"/>
      <c r="K3002"/>
      <c r="O3002"/>
      <c r="R3002"/>
      <c r="W3002" s="4"/>
      <c r="X3002" s="4"/>
      <c r="Y3002" s="4"/>
    </row>
    <row r="3003" spans="5:25">
      <c r="E3003"/>
      <c r="G3003"/>
      <c r="H3003"/>
      <c r="I3003"/>
      <c r="K3003"/>
      <c r="O3003"/>
      <c r="R3003"/>
      <c r="W3003" s="4"/>
      <c r="X3003" s="4"/>
      <c r="Y3003" s="4"/>
    </row>
    <row r="3004" spans="5:25">
      <c r="E3004"/>
      <c r="G3004"/>
      <c r="H3004"/>
      <c r="I3004"/>
      <c r="K3004"/>
      <c r="O3004"/>
      <c r="R3004"/>
      <c r="W3004" s="4"/>
      <c r="X3004" s="4"/>
      <c r="Y3004" s="4"/>
    </row>
    <row r="3005" spans="5:25">
      <c r="E3005"/>
      <c r="G3005"/>
      <c r="H3005"/>
      <c r="I3005"/>
      <c r="K3005"/>
      <c r="O3005"/>
      <c r="R3005"/>
      <c r="W3005" s="4"/>
      <c r="X3005" s="4"/>
      <c r="Y3005" s="4"/>
    </row>
    <row r="3006" spans="5:25">
      <c r="E3006"/>
      <c r="G3006"/>
      <c r="H3006"/>
      <c r="I3006"/>
      <c r="K3006"/>
      <c r="O3006"/>
      <c r="R3006"/>
      <c r="W3006" s="4"/>
      <c r="X3006" s="4"/>
      <c r="Y3006" s="4"/>
    </row>
    <row r="3007" spans="5:25">
      <c r="E3007"/>
      <c r="G3007"/>
      <c r="H3007"/>
      <c r="I3007"/>
      <c r="K3007"/>
      <c r="O3007"/>
      <c r="R3007"/>
      <c r="W3007" s="4"/>
      <c r="X3007" s="4"/>
      <c r="Y3007" s="4"/>
    </row>
    <row r="3008" spans="5:25">
      <c r="E3008"/>
      <c r="G3008"/>
      <c r="H3008"/>
      <c r="I3008"/>
      <c r="K3008"/>
      <c r="O3008"/>
      <c r="R3008"/>
      <c r="W3008" s="4"/>
      <c r="X3008" s="4"/>
      <c r="Y3008" s="4"/>
    </row>
    <row r="3009" spans="5:25">
      <c r="E3009"/>
      <c r="G3009"/>
      <c r="H3009"/>
      <c r="I3009"/>
      <c r="K3009"/>
      <c r="O3009"/>
      <c r="R3009"/>
      <c r="W3009" s="4"/>
      <c r="X3009" s="4"/>
      <c r="Y3009" s="4"/>
    </row>
    <row r="3010" spans="5:25">
      <c r="E3010"/>
      <c r="G3010"/>
      <c r="H3010"/>
      <c r="I3010"/>
      <c r="K3010"/>
      <c r="O3010"/>
      <c r="R3010"/>
      <c r="W3010" s="4"/>
      <c r="X3010" s="4"/>
      <c r="Y3010" s="4"/>
    </row>
    <row r="3011" spans="5:25">
      <c r="E3011"/>
      <c r="G3011"/>
      <c r="H3011"/>
      <c r="I3011"/>
      <c r="K3011"/>
      <c r="O3011"/>
      <c r="R3011"/>
      <c r="W3011" s="4"/>
      <c r="X3011" s="4"/>
      <c r="Y3011" s="4"/>
    </row>
    <row r="3012" spans="5:25">
      <c r="E3012"/>
      <c r="G3012"/>
      <c r="H3012"/>
      <c r="I3012"/>
      <c r="K3012"/>
      <c r="O3012"/>
      <c r="R3012"/>
      <c r="W3012" s="4"/>
      <c r="X3012" s="4"/>
      <c r="Y3012" s="4"/>
    </row>
    <row r="3013" spans="5:25">
      <c r="E3013"/>
      <c r="G3013"/>
      <c r="H3013"/>
      <c r="I3013"/>
      <c r="K3013"/>
      <c r="O3013"/>
      <c r="R3013"/>
      <c r="W3013" s="4"/>
      <c r="X3013" s="4"/>
      <c r="Y3013" s="4"/>
    </row>
    <row r="3014" spans="5:25">
      <c r="E3014"/>
      <c r="G3014"/>
      <c r="H3014"/>
      <c r="I3014"/>
      <c r="K3014"/>
      <c r="O3014"/>
      <c r="R3014"/>
      <c r="W3014" s="4"/>
      <c r="X3014" s="4"/>
      <c r="Y3014" s="4"/>
    </row>
    <row r="3015" spans="5:25">
      <c r="E3015"/>
      <c r="G3015"/>
      <c r="H3015"/>
      <c r="I3015"/>
      <c r="K3015"/>
      <c r="O3015"/>
      <c r="R3015"/>
      <c r="W3015" s="4"/>
      <c r="X3015" s="4"/>
      <c r="Y3015" s="4"/>
    </row>
    <row r="3016" spans="5:25">
      <c r="E3016"/>
      <c r="G3016"/>
      <c r="H3016"/>
      <c r="I3016"/>
      <c r="K3016"/>
      <c r="O3016"/>
      <c r="R3016"/>
      <c r="W3016" s="4"/>
      <c r="X3016" s="4"/>
      <c r="Y3016" s="4"/>
    </row>
    <row r="3017" spans="5:25">
      <c r="E3017"/>
      <c r="G3017"/>
      <c r="H3017"/>
      <c r="I3017"/>
      <c r="K3017"/>
      <c r="O3017"/>
      <c r="R3017"/>
      <c r="W3017" s="4"/>
      <c r="X3017" s="4"/>
      <c r="Y3017" s="4"/>
    </row>
    <row r="3018" spans="5:25">
      <c r="E3018"/>
      <c r="G3018"/>
      <c r="H3018"/>
      <c r="I3018"/>
      <c r="K3018"/>
      <c r="O3018"/>
      <c r="R3018"/>
      <c r="W3018" s="4"/>
      <c r="X3018" s="4"/>
      <c r="Y3018" s="4"/>
    </row>
    <row r="3019" spans="5:25">
      <c r="E3019"/>
      <c r="G3019"/>
      <c r="H3019"/>
      <c r="I3019"/>
      <c r="K3019"/>
      <c r="O3019"/>
      <c r="R3019"/>
      <c r="W3019" s="4"/>
      <c r="X3019" s="4"/>
      <c r="Y3019" s="4"/>
    </row>
    <row r="3020" spans="5:25">
      <c r="E3020"/>
      <c r="G3020"/>
      <c r="H3020"/>
      <c r="I3020"/>
      <c r="K3020"/>
      <c r="O3020"/>
      <c r="R3020"/>
      <c r="W3020" s="4"/>
      <c r="X3020" s="4"/>
      <c r="Y3020" s="4"/>
    </row>
    <row r="3021" spans="5:25">
      <c r="E3021"/>
      <c r="G3021"/>
      <c r="H3021"/>
      <c r="I3021"/>
      <c r="K3021"/>
      <c r="O3021"/>
      <c r="R3021"/>
      <c r="W3021" s="4"/>
      <c r="X3021" s="4"/>
      <c r="Y3021" s="4"/>
    </row>
    <row r="3022" spans="5:25">
      <c r="E3022"/>
      <c r="G3022"/>
      <c r="H3022"/>
      <c r="I3022"/>
      <c r="K3022"/>
      <c r="O3022"/>
      <c r="R3022"/>
      <c r="W3022" s="4"/>
      <c r="X3022" s="4"/>
      <c r="Y3022" s="4"/>
    </row>
    <row r="3023" spans="5:25">
      <c r="E3023"/>
      <c r="G3023"/>
      <c r="H3023"/>
      <c r="I3023"/>
      <c r="K3023"/>
      <c r="O3023"/>
      <c r="R3023"/>
      <c r="W3023" s="4"/>
      <c r="X3023" s="4"/>
      <c r="Y3023" s="4"/>
    </row>
    <row r="3024" spans="5:25">
      <c r="E3024"/>
      <c r="G3024"/>
      <c r="H3024"/>
      <c r="I3024"/>
      <c r="K3024"/>
      <c r="O3024"/>
      <c r="R3024"/>
      <c r="W3024" s="4"/>
      <c r="X3024" s="4"/>
      <c r="Y3024" s="4"/>
    </row>
    <row r="3025" spans="5:25">
      <c r="E3025"/>
      <c r="G3025"/>
      <c r="H3025"/>
      <c r="I3025"/>
      <c r="K3025"/>
      <c r="O3025"/>
      <c r="R3025"/>
      <c r="W3025" s="4"/>
      <c r="X3025" s="4"/>
      <c r="Y3025" s="4"/>
    </row>
    <row r="3026" spans="5:25">
      <c r="E3026"/>
      <c r="G3026"/>
      <c r="H3026"/>
      <c r="I3026"/>
      <c r="K3026"/>
      <c r="O3026"/>
      <c r="R3026"/>
      <c r="W3026" s="4"/>
      <c r="X3026" s="4"/>
      <c r="Y3026" s="4"/>
    </row>
    <row r="3027" spans="5:25">
      <c r="E3027"/>
      <c r="G3027"/>
      <c r="H3027"/>
      <c r="I3027"/>
      <c r="K3027"/>
      <c r="O3027"/>
      <c r="R3027"/>
      <c r="W3027" s="4"/>
      <c r="X3027" s="4"/>
      <c r="Y3027" s="4"/>
    </row>
    <row r="3028" spans="5:25">
      <c r="E3028"/>
      <c r="G3028"/>
      <c r="H3028"/>
      <c r="I3028"/>
      <c r="K3028"/>
      <c r="O3028"/>
      <c r="R3028"/>
      <c r="W3028" s="4"/>
      <c r="X3028" s="4"/>
      <c r="Y3028" s="4"/>
    </row>
    <row r="3029" spans="5:25">
      <c r="E3029"/>
      <c r="G3029"/>
      <c r="H3029"/>
      <c r="I3029"/>
      <c r="K3029"/>
      <c r="O3029"/>
      <c r="R3029"/>
      <c r="W3029" s="4"/>
      <c r="X3029" s="4"/>
      <c r="Y3029" s="4"/>
    </row>
    <row r="3030" spans="5:25">
      <c r="E3030"/>
      <c r="G3030"/>
      <c r="H3030"/>
      <c r="I3030"/>
      <c r="K3030"/>
      <c r="O3030"/>
      <c r="R3030"/>
      <c r="W3030" s="4"/>
      <c r="X3030" s="4"/>
      <c r="Y3030" s="4"/>
    </row>
    <row r="3031" spans="5:25">
      <c r="E3031"/>
      <c r="G3031"/>
      <c r="H3031"/>
      <c r="I3031"/>
      <c r="K3031"/>
      <c r="O3031"/>
      <c r="R3031"/>
      <c r="W3031" s="4"/>
      <c r="X3031" s="4"/>
      <c r="Y3031" s="4"/>
    </row>
    <row r="3032" spans="5:25">
      <c r="E3032"/>
      <c r="G3032"/>
      <c r="H3032"/>
      <c r="I3032"/>
      <c r="K3032"/>
      <c r="O3032"/>
      <c r="R3032"/>
      <c r="W3032" s="4"/>
      <c r="X3032" s="4"/>
      <c r="Y3032" s="4"/>
    </row>
    <row r="3033" spans="5:25">
      <c r="E3033"/>
      <c r="G3033"/>
      <c r="H3033"/>
      <c r="I3033"/>
      <c r="K3033"/>
      <c r="O3033"/>
      <c r="R3033"/>
      <c r="W3033" s="4"/>
      <c r="X3033" s="4"/>
      <c r="Y3033" s="4"/>
    </row>
    <row r="3034" spans="5:25">
      <c r="E3034"/>
      <c r="G3034"/>
      <c r="H3034"/>
      <c r="I3034"/>
      <c r="K3034"/>
      <c r="O3034"/>
      <c r="R3034"/>
      <c r="W3034" s="4"/>
      <c r="X3034" s="4"/>
      <c r="Y3034" s="4"/>
    </row>
    <row r="3035" spans="5:25">
      <c r="E3035"/>
      <c r="G3035"/>
      <c r="H3035"/>
      <c r="I3035"/>
      <c r="K3035"/>
      <c r="O3035"/>
      <c r="R3035"/>
      <c r="W3035" s="4"/>
      <c r="X3035" s="4"/>
      <c r="Y3035" s="4"/>
    </row>
    <row r="3036" spans="5:25">
      <c r="E3036"/>
      <c r="G3036"/>
      <c r="H3036"/>
      <c r="I3036"/>
      <c r="K3036"/>
      <c r="O3036"/>
      <c r="R3036"/>
      <c r="W3036" s="4"/>
      <c r="X3036" s="4"/>
      <c r="Y3036" s="4"/>
    </row>
    <row r="3037" spans="5:25">
      <c r="E3037"/>
      <c r="G3037"/>
      <c r="H3037"/>
      <c r="I3037"/>
      <c r="K3037"/>
      <c r="O3037"/>
      <c r="R3037"/>
      <c r="W3037" s="4"/>
      <c r="X3037" s="4"/>
      <c r="Y3037" s="4"/>
    </row>
    <row r="3038" spans="5:25">
      <c r="E3038"/>
      <c r="G3038"/>
      <c r="H3038"/>
      <c r="I3038"/>
      <c r="K3038"/>
      <c r="O3038"/>
      <c r="R3038"/>
      <c r="W3038" s="4"/>
      <c r="X3038" s="4"/>
      <c r="Y3038" s="4"/>
    </row>
    <row r="3039" spans="5:25">
      <c r="E3039"/>
      <c r="G3039"/>
      <c r="H3039"/>
      <c r="I3039"/>
      <c r="K3039"/>
      <c r="O3039"/>
      <c r="R3039"/>
      <c r="W3039" s="4"/>
      <c r="X3039" s="4"/>
      <c r="Y3039" s="4"/>
    </row>
    <row r="3040" spans="5:25">
      <c r="E3040"/>
      <c r="G3040"/>
      <c r="H3040"/>
      <c r="I3040"/>
      <c r="K3040"/>
      <c r="O3040"/>
      <c r="R3040"/>
      <c r="W3040" s="4"/>
      <c r="X3040" s="4"/>
      <c r="Y3040" s="4"/>
    </row>
    <row r="3041" spans="5:25">
      <c r="E3041"/>
      <c r="G3041"/>
      <c r="H3041"/>
      <c r="I3041"/>
      <c r="K3041"/>
      <c r="O3041"/>
      <c r="R3041"/>
      <c r="W3041" s="4"/>
      <c r="X3041" s="4"/>
      <c r="Y3041" s="4"/>
    </row>
    <row r="3042" spans="5:25">
      <c r="E3042"/>
      <c r="G3042"/>
      <c r="H3042"/>
      <c r="I3042"/>
      <c r="K3042"/>
      <c r="O3042"/>
      <c r="R3042"/>
      <c r="W3042" s="4"/>
      <c r="X3042" s="4"/>
      <c r="Y3042" s="4"/>
    </row>
    <row r="3043" spans="5:25">
      <c r="E3043"/>
      <c r="G3043"/>
      <c r="H3043"/>
      <c r="I3043"/>
      <c r="K3043"/>
      <c r="O3043"/>
      <c r="R3043"/>
      <c r="W3043" s="4"/>
      <c r="X3043" s="4"/>
      <c r="Y3043" s="4"/>
    </row>
    <row r="3044" spans="5:25">
      <c r="E3044"/>
      <c r="G3044"/>
      <c r="H3044"/>
      <c r="I3044"/>
      <c r="K3044"/>
      <c r="O3044"/>
      <c r="R3044"/>
      <c r="W3044" s="4"/>
      <c r="X3044" s="4"/>
      <c r="Y3044" s="4"/>
    </row>
    <row r="3045" spans="5:25">
      <c r="E3045"/>
      <c r="G3045"/>
      <c r="H3045"/>
      <c r="I3045"/>
      <c r="K3045"/>
      <c r="O3045"/>
      <c r="R3045"/>
      <c r="W3045" s="4"/>
      <c r="X3045" s="4"/>
      <c r="Y3045" s="4"/>
    </row>
    <row r="3046" spans="5:25">
      <c r="E3046"/>
      <c r="G3046"/>
      <c r="H3046"/>
      <c r="I3046"/>
      <c r="K3046"/>
      <c r="O3046"/>
      <c r="R3046"/>
      <c r="W3046" s="4"/>
      <c r="X3046" s="4"/>
      <c r="Y3046" s="4"/>
    </row>
    <row r="3047" spans="5:25">
      <c r="E3047"/>
      <c r="G3047"/>
      <c r="H3047"/>
      <c r="I3047"/>
      <c r="K3047"/>
      <c r="O3047"/>
      <c r="R3047"/>
      <c r="W3047" s="4"/>
      <c r="X3047" s="4"/>
      <c r="Y3047" s="4"/>
    </row>
    <row r="3048" spans="5:25">
      <c r="E3048"/>
      <c r="G3048"/>
      <c r="H3048"/>
      <c r="I3048"/>
      <c r="K3048"/>
      <c r="O3048"/>
      <c r="R3048"/>
      <c r="W3048" s="4"/>
      <c r="X3048" s="4"/>
      <c r="Y3048" s="4"/>
    </row>
    <row r="3049" spans="5:25">
      <c r="E3049"/>
      <c r="G3049"/>
      <c r="H3049"/>
      <c r="I3049"/>
      <c r="K3049"/>
      <c r="O3049"/>
      <c r="R3049"/>
      <c r="W3049" s="4"/>
      <c r="X3049" s="4"/>
      <c r="Y3049" s="4"/>
    </row>
    <row r="3050" spans="5:25">
      <c r="E3050"/>
      <c r="G3050"/>
      <c r="H3050"/>
      <c r="I3050"/>
      <c r="K3050"/>
      <c r="O3050"/>
      <c r="R3050"/>
      <c r="W3050" s="4"/>
      <c r="X3050" s="4"/>
      <c r="Y3050" s="4"/>
    </row>
    <row r="3051" spans="5:25">
      <c r="E3051"/>
      <c r="G3051"/>
      <c r="H3051"/>
      <c r="I3051"/>
      <c r="K3051"/>
      <c r="O3051"/>
      <c r="R3051"/>
      <c r="W3051" s="4"/>
      <c r="X3051" s="4"/>
      <c r="Y3051" s="4"/>
    </row>
    <row r="3052" spans="5:25">
      <c r="E3052"/>
      <c r="G3052"/>
      <c r="H3052"/>
      <c r="I3052"/>
      <c r="K3052"/>
      <c r="O3052"/>
      <c r="R3052"/>
      <c r="W3052" s="4"/>
      <c r="X3052" s="4"/>
      <c r="Y3052" s="4"/>
    </row>
    <row r="3053" spans="5:25">
      <c r="E3053"/>
      <c r="G3053"/>
      <c r="H3053"/>
      <c r="I3053"/>
      <c r="K3053"/>
      <c r="O3053"/>
      <c r="R3053"/>
      <c r="W3053" s="4"/>
      <c r="X3053" s="4"/>
      <c r="Y3053" s="4"/>
    </row>
    <row r="3054" spans="5:25">
      <c r="E3054"/>
      <c r="G3054"/>
      <c r="H3054"/>
      <c r="I3054"/>
      <c r="K3054"/>
      <c r="O3054"/>
      <c r="R3054"/>
      <c r="W3054" s="4"/>
      <c r="X3054" s="4"/>
      <c r="Y3054" s="4"/>
    </row>
    <row r="3055" spans="5:25">
      <c r="E3055"/>
      <c r="G3055"/>
      <c r="H3055"/>
      <c r="I3055"/>
      <c r="K3055"/>
      <c r="O3055"/>
      <c r="R3055"/>
      <c r="W3055" s="4"/>
      <c r="X3055" s="4"/>
      <c r="Y3055" s="4"/>
    </row>
    <row r="3056" spans="5:25">
      <c r="E3056"/>
      <c r="G3056"/>
      <c r="H3056"/>
      <c r="I3056"/>
      <c r="K3056"/>
      <c r="O3056"/>
      <c r="R3056"/>
      <c r="W3056" s="4"/>
      <c r="X3056" s="4"/>
      <c r="Y3056" s="4"/>
    </row>
    <row r="3057" spans="5:25">
      <c r="E3057"/>
      <c r="G3057"/>
      <c r="H3057"/>
      <c r="I3057"/>
      <c r="K3057"/>
      <c r="O3057"/>
      <c r="R3057"/>
      <c r="W3057" s="4"/>
      <c r="X3057" s="4"/>
      <c r="Y3057" s="4"/>
    </row>
    <row r="3058" spans="5:25">
      <c r="E3058"/>
      <c r="G3058"/>
      <c r="H3058"/>
      <c r="I3058"/>
      <c r="K3058"/>
      <c r="O3058"/>
      <c r="R3058"/>
      <c r="W3058" s="4"/>
      <c r="X3058" s="4"/>
      <c r="Y3058" s="4"/>
    </row>
    <row r="3059" spans="5:25">
      <c r="E3059"/>
      <c r="G3059"/>
      <c r="H3059"/>
      <c r="I3059"/>
      <c r="K3059"/>
      <c r="O3059"/>
      <c r="R3059"/>
      <c r="W3059" s="4"/>
      <c r="X3059" s="4"/>
      <c r="Y3059" s="4"/>
    </row>
    <row r="3060" spans="5:25">
      <c r="E3060"/>
      <c r="G3060"/>
      <c r="H3060"/>
      <c r="I3060"/>
      <c r="K3060"/>
      <c r="O3060"/>
      <c r="R3060"/>
      <c r="W3060" s="4"/>
      <c r="X3060" s="4"/>
      <c r="Y3060" s="4"/>
    </row>
    <row r="3061" spans="5:25">
      <c r="E3061"/>
      <c r="G3061"/>
      <c r="H3061"/>
      <c r="I3061"/>
      <c r="K3061"/>
      <c r="O3061"/>
      <c r="R3061"/>
      <c r="W3061" s="4"/>
      <c r="X3061" s="4"/>
      <c r="Y3061" s="4"/>
    </row>
    <row r="3062" spans="5:25">
      <c r="E3062"/>
      <c r="G3062"/>
      <c r="H3062"/>
      <c r="I3062"/>
      <c r="K3062"/>
      <c r="O3062"/>
      <c r="R3062"/>
      <c r="W3062" s="4"/>
      <c r="X3062" s="4"/>
      <c r="Y3062" s="4"/>
    </row>
    <row r="3063" spans="5:25">
      <c r="E3063"/>
      <c r="G3063"/>
      <c r="H3063"/>
      <c r="I3063"/>
      <c r="K3063"/>
      <c r="O3063"/>
      <c r="R3063"/>
      <c r="W3063" s="4"/>
      <c r="X3063" s="4"/>
      <c r="Y3063" s="4"/>
    </row>
    <row r="3064" spans="5:25">
      <c r="E3064"/>
      <c r="G3064"/>
      <c r="H3064"/>
      <c r="I3064"/>
      <c r="K3064"/>
      <c r="O3064"/>
      <c r="R3064"/>
      <c r="W3064" s="4"/>
      <c r="X3064" s="4"/>
      <c r="Y3064" s="4"/>
    </row>
    <row r="3065" spans="5:25">
      <c r="E3065"/>
      <c r="G3065"/>
      <c r="H3065"/>
      <c r="I3065"/>
      <c r="K3065"/>
      <c r="O3065"/>
      <c r="R3065"/>
      <c r="W3065" s="4"/>
      <c r="X3065" s="4"/>
      <c r="Y3065" s="4"/>
    </row>
    <row r="3066" spans="5:25">
      <c r="E3066"/>
      <c r="G3066"/>
      <c r="H3066"/>
      <c r="I3066"/>
      <c r="K3066"/>
      <c r="O3066"/>
      <c r="R3066"/>
      <c r="W3066" s="4"/>
      <c r="X3066" s="4"/>
      <c r="Y3066" s="4"/>
    </row>
    <row r="3067" spans="5:25">
      <c r="E3067"/>
      <c r="G3067"/>
      <c r="H3067"/>
      <c r="I3067"/>
      <c r="K3067"/>
      <c r="O3067"/>
      <c r="R3067"/>
      <c r="W3067" s="4"/>
      <c r="X3067" s="4"/>
      <c r="Y3067" s="4"/>
    </row>
    <row r="3068" spans="5:25">
      <c r="E3068"/>
      <c r="G3068"/>
      <c r="H3068"/>
      <c r="I3068"/>
      <c r="K3068"/>
      <c r="O3068"/>
      <c r="R3068"/>
      <c r="W3068" s="4"/>
      <c r="X3068" s="4"/>
      <c r="Y3068" s="4"/>
    </row>
    <row r="3069" spans="5:25">
      <c r="E3069"/>
      <c r="G3069"/>
      <c r="H3069"/>
      <c r="I3069"/>
      <c r="K3069"/>
      <c r="O3069"/>
      <c r="R3069"/>
      <c r="W3069" s="4"/>
      <c r="X3069" s="4"/>
      <c r="Y3069" s="4"/>
    </row>
    <row r="3070" spans="5:25">
      <c r="E3070"/>
      <c r="G3070"/>
      <c r="H3070"/>
      <c r="I3070"/>
      <c r="K3070"/>
      <c r="O3070"/>
      <c r="R3070"/>
      <c r="W3070" s="4"/>
      <c r="X3070" s="4"/>
      <c r="Y3070" s="4"/>
    </row>
    <row r="3071" spans="5:25">
      <c r="E3071"/>
      <c r="G3071"/>
      <c r="H3071"/>
      <c r="I3071"/>
      <c r="K3071"/>
      <c r="O3071"/>
      <c r="R3071"/>
      <c r="W3071" s="4"/>
      <c r="X3071" s="4"/>
      <c r="Y3071" s="4"/>
    </row>
    <row r="3072" spans="5:25">
      <c r="E3072"/>
      <c r="G3072"/>
      <c r="H3072"/>
      <c r="I3072"/>
      <c r="K3072"/>
      <c r="O3072"/>
      <c r="R3072"/>
      <c r="W3072" s="4"/>
      <c r="X3072" s="4"/>
      <c r="Y3072" s="4"/>
    </row>
    <row r="3073" spans="5:25">
      <c r="E3073"/>
      <c r="G3073"/>
      <c r="H3073"/>
      <c r="I3073"/>
      <c r="K3073"/>
      <c r="O3073"/>
      <c r="R3073"/>
      <c r="W3073" s="4"/>
      <c r="X3073" s="4"/>
      <c r="Y3073" s="4"/>
    </row>
    <row r="3074" spans="5:25">
      <c r="E3074"/>
      <c r="G3074"/>
      <c r="H3074"/>
      <c r="I3074"/>
      <c r="K3074"/>
      <c r="O3074"/>
      <c r="R3074"/>
      <c r="W3074" s="4"/>
      <c r="X3074" s="4"/>
      <c r="Y3074" s="4"/>
    </row>
    <row r="3075" spans="5:25">
      <c r="E3075"/>
      <c r="G3075"/>
      <c r="H3075"/>
      <c r="I3075"/>
      <c r="K3075"/>
      <c r="O3075"/>
      <c r="R3075"/>
      <c r="W3075" s="4"/>
      <c r="X3075" s="4"/>
      <c r="Y3075" s="4"/>
    </row>
    <row r="3076" spans="5:25">
      <c r="E3076"/>
      <c r="G3076"/>
      <c r="H3076"/>
      <c r="I3076"/>
      <c r="K3076"/>
      <c r="O3076"/>
      <c r="R3076"/>
      <c r="W3076" s="4"/>
      <c r="X3076" s="4"/>
      <c r="Y3076" s="4"/>
    </row>
    <row r="3077" spans="5:25">
      <c r="E3077"/>
      <c r="G3077"/>
      <c r="H3077"/>
      <c r="I3077"/>
      <c r="K3077"/>
      <c r="O3077"/>
      <c r="R3077"/>
      <c r="W3077" s="4"/>
      <c r="X3077" s="4"/>
      <c r="Y3077" s="4"/>
    </row>
    <row r="3078" spans="5:25">
      <c r="E3078"/>
      <c r="G3078"/>
      <c r="H3078"/>
      <c r="I3078"/>
      <c r="K3078"/>
      <c r="O3078"/>
      <c r="R3078"/>
      <c r="W3078" s="4"/>
      <c r="X3078" s="4"/>
      <c r="Y3078" s="4"/>
    </row>
    <row r="3079" spans="5:25">
      <c r="E3079"/>
      <c r="G3079"/>
      <c r="H3079"/>
      <c r="I3079"/>
      <c r="K3079"/>
      <c r="O3079"/>
      <c r="R3079"/>
      <c r="W3079" s="4"/>
      <c r="X3079" s="4"/>
      <c r="Y3079" s="4"/>
    </row>
    <row r="3080" spans="5:25">
      <c r="E3080"/>
      <c r="G3080"/>
      <c r="H3080"/>
      <c r="I3080"/>
      <c r="K3080"/>
      <c r="O3080"/>
      <c r="R3080"/>
      <c r="W3080" s="4"/>
      <c r="X3080" s="4"/>
      <c r="Y3080" s="4"/>
    </row>
    <row r="3081" spans="5:25">
      <c r="E3081"/>
      <c r="G3081"/>
      <c r="H3081"/>
      <c r="I3081"/>
      <c r="K3081"/>
      <c r="O3081"/>
      <c r="R3081"/>
      <c r="W3081" s="4"/>
      <c r="X3081" s="4"/>
      <c r="Y3081" s="4"/>
    </row>
    <row r="3082" spans="5:25">
      <c r="E3082"/>
      <c r="G3082"/>
      <c r="H3082"/>
      <c r="I3082"/>
      <c r="K3082"/>
      <c r="O3082"/>
      <c r="R3082"/>
      <c r="W3082" s="4"/>
      <c r="X3082" s="4"/>
      <c r="Y3082" s="4"/>
    </row>
    <row r="3083" spans="5:25">
      <c r="E3083"/>
      <c r="G3083"/>
      <c r="H3083"/>
      <c r="I3083"/>
      <c r="K3083"/>
      <c r="O3083"/>
      <c r="R3083"/>
      <c r="W3083" s="4"/>
      <c r="X3083" s="4"/>
      <c r="Y3083" s="4"/>
    </row>
    <row r="3084" spans="5:25">
      <c r="E3084"/>
      <c r="G3084"/>
      <c r="H3084"/>
      <c r="I3084"/>
      <c r="K3084"/>
      <c r="O3084"/>
      <c r="R3084"/>
      <c r="W3084" s="4"/>
      <c r="X3084" s="4"/>
      <c r="Y3084" s="4"/>
    </row>
    <row r="3085" spans="5:25">
      <c r="E3085"/>
      <c r="G3085"/>
      <c r="H3085"/>
      <c r="I3085"/>
      <c r="K3085"/>
      <c r="O3085"/>
      <c r="R3085"/>
      <c r="W3085" s="4"/>
      <c r="X3085" s="4"/>
      <c r="Y3085" s="4"/>
    </row>
    <row r="3086" spans="5:25">
      <c r="E3086"/>
      <c r="G3086"/>
      <c r="H3086"/>
      <c r="I3086"/>
      <c r="K3086"/>
      <c r="O3086"/>
      <c r="R3086"/>
      <c r="W3086" s="4"/>
      <c r="X3086" s="4"/>
      <c r="Y3086" s="4"/>
    </row>
    <row r="3087" spans="5:25">
      <c r="E3087"/>
      <c r="G3087"/>
      <c r="H3087"/>
      <c r="I3087"/>
      <c r="K3087"/>
      <c r="O3087"/>
      <c r="R3087"/>
      <c r="W3087" s="4"/>
      <c r="X3087" s="4"/>
      <c r="Y3087" s="4"/>
    </row>
    <row r="3088" spans="5:25">
      <c r="E3088"/>
      <c r="G3088"/>
      <c r="H3088"/>
      <c r="I3088"/>
      <c r="K3088"/>
      <c r="O3088"/>
      <c r="R3088"/>
      <c r="W3088" s="4"/>
      <c r="X3088" s="4"/>
      <c r="Y3088" s="4"/>
    </row>
    <row r="3089" spans="5:25">
      <c r="E3089"/>
      <c r="G3089"/>
      <c r="H3089"/>
      <c r="I3089"/>
      <c r="K3089"/>
      <c r="O3089"/>
      <c r="R3089"/>
      <c r="W3089" s="4"/>
      <c r="X3089" s="4"/>
      <c r="Y3089" s="4"/>
    </row>
    <row r="3090" spans="5:25">
      <c r="E3090"/>
      <c r="G3090"/>
      <c r="H3090"/>
      <c r="I3090"/>
      <c r="K3090"/>
      <c r="O3090"/>
      <c r="R3090"/>
      <c r="W3090" s="4"/>
      <c r="X3090" s="4"/>
      <c r="Y3090" s="4"/>
    </row>
    <row r="3091" spans="5:25">
      <c r="E3091"/>
      <c r="G3091"/>
      <c r="H3091"/>
      <c r="I3091"/>
      <c r="K3091"/>
      <c r="O3091"/>
      <c r="R3091"/>
      <c r="W3091" s="4"/>
      <c r="X3091" s="4"/>
      <c r="Y3091" s="4"/>
    </row>
    <row r="3092" spans="5:25">
      <c r="E3092"/>
      <c r="G3092"/>
      <c r="H3092"/>
      <c r="I3092"/>
      <c r="K3092"/>
      <c r="O3092"/>
      <c r="R3092"/>
      <c r="W3092" s="4"/>
      <c r="X3092" s="4"/>
      <c r="Y3092" s="4"/>
    </row>
    <row r="3093" spans="5:25">
      <c r="E3093"/>
      <c r="G3093"/>
      <c r="H3093"/>
      <c r="I3093"/>
      <c r="K3093"/>
      <c r="O3093"/>
      <c r="R3093"/>
      <c r="W3093" s="4"/>
      <c r="X3093" s="4"/>
      <c r="Y3093" s="4"/>
    </row>
    <row r="3094" spans="5:25">
      <c r="E3094"/>
      <c r="G3094"/>
      <c r="H3094"/>
      <c r="I3094"/>
      <c r="K3094"/>
      <c r="O3094"/>
      <c r="R3094"/>
      <c r="W3094" s="4"/>
      <c r="X3094" s="4"/>
      <c r="Y3094" s="4"/>
    </row>
    <row r="3095" spans="5:25">
      <c r="E3095"/>
      <c r="G3095"/>
      <c r="H3095"/>
      <c r="I3095"/>
      <c r="K3095"/>
      <c r="O3095"/>
      <c r="R3095"/>
      <c r="W3095" s="4"/>
      <c r="X3095" s="4"/>
      <c r="Y3095" s="4"/>
    </row>
    <row r="3096" spans="5:25">
      <c r="E3096"/>
      <c r="G3096"/>
      <c r="H3096"/>
      <c r="I3096"/>
      <c r="K3096"/>
      <c r="O3096"/>
      <c r="R3096"/>
      <c r="W3096" s="4"/>
      <c r="X3096" s="4"/>
      <c r="Y3096" s="4"/>
    </row>
    <row r="3097" spans="5:25">
      <c r="E3097"/>
      <c r="G3097"/>
      <c r="H3097"/>
      <c r="I3097"/>
      <c r="K3097"/>
      <c r="O3097"/>
      <c r="R3097"/>
      <c r="W3097" s="4"/>
      <c r="X3097" s="4"/>
      <c r="Y3097" s="4"/>
    </row>
    <row r="3098" spans="5:25">
      <c r="E3098"/>
      <c r="G3098"/>
      <c r="H3098"/>
      <c r="I3098"/>
      <c r="K3098"/>
      <c r="O3098"/>
      <c r="R3098"/>
      <c r="W3098" s="4"/>
      <c r="X3098" s="4"/>
      <c r="Y3098" s="4"/>
    </row>
    <row r="3099" spans="5:25">
      <c r="E3099"/>
      <c r="G3099"/>
      <c r="H3099"/>
      <c r="I3099"/>
      <c r="K3099"/>
      <c r="O3099"/>
      <c r="R3099"/>
      <c r="W3099" s="4"/>
      <c r="X3099" s="4"/>
      <c r="Y3099" s="4"/>
    </row>
    <row r="3100" spans="5:25">
      <c r="E3100"/>
      <c r="G3100"/>
      <c r="H3100"/>
      <c r="I3100"/>
      <c r="K3100"/>
      <c r="O3100"/>
      <c r="R3100"/>
      <c r="W3100" s="4"/>
      <c r="X3100" s="4"/>
      <c r="Y3100" s="4"/>
    </row>
    <row r="3101" spans="5:25">
      <c r="E3101"/>
      <c r="G3101"/>
      <c r="H3101"/>
      <c r="I3101"/>
      <c r="K3101"/>
      <c r="O3101"/>
      <c r="R3101"/>
      <c r="W3101" s="4"/>
      <c r="X3101" s="4"/>
      <c r="Y3101" s="4"/>
    </row>
    <row r="3102" spans="5:25">
      <c r="E3102"/>
      <c r="G3102"/>
      <c r="H3102"/>
      <c r="I3102"/>
      <c r="K3102"/>
      <c r="O3102"/>
      <c r="R3102"/>
      <c r="W3102" s="4"/>
      <c r="X3102" s="4"/>
      <c r="Y3102" s="4"/>
    </row>
    <row r="3103" spans="5:25">
      <c r="E3103"/>
      <c r="G3103"/>
      <c r="H3103"/>
      <c r="I3103"/>
      <c r="K3103"/>
      <c r="O3103"/>
      <c r="R3103"/>
      <c r="W3103" s="4"/>
      <c r="X3103" s="4"/>
      <c r="Y3103" s="4"/>
    </row>
    <row r="3104" spans="5:25">
      <c r="E3104"/>
      <c r="G3104"/>
      <c r="H3104"/>
      <c r="I3104"/>
      <c r="K3104"/>
      <c r="O3104"/>
      <c r="R3104"/>
      <c r="W3104" s="4"/>
      <c r="X3104" s="4"/>
      <c r="Y3104" s="4"/>
    </row>
    <row r="3105" spans="5:25">
      <c r="E3105"/>
      <c r="G3105"/>
      <c r="H3105"/>
      <c r="I3105"/>
      <c r="K3105"/>
      <c r="O3105"/>
      <c r="R3105"/>
      <c r="W3105" s="4"/>
      <c r="X3105" s="4"/>
      <c r="Y3105" s="4"/>
    </row>
    <row r="3106" spans="5:25">
      <c r="E3106"/>
      <c r="G3106"/>
      <c r="H3106"/>
      <c r="I3106"/>
      <c r="K3106"/>
      <c r="O3106"/>
      <c r="R3106"/>
      <c r="W3106" s="4"/>
      <c r="X3106" s="4"/>
      <c r="Y3106" s="4"/>
    </row>
    <row r="3107" spans="5:25">
      <c r="E3107"/>
      <c r="G3107"/>
      <c r="H3107"/>
      <c r="I3107"/>
      <c r="K3107"/>
      <c r="O3107"/>
      <c r="R3107"/>
      <c r="W3107" s="4"/>
      <c r="X3107" s="4"/>
      <c r="Y3107" s="4"/>
    </row>
    <row r="3108" spans="5:25">
      <c r="E3108"/>
      <c r="G3108"/>
      <c r="H3108"/>
      <c r="I3108"/>
      <c r="K3108"/>
      <c r="O3108"/>
      <c r="R3108"/>
      <c r="W3108" s="4"/>
      <c r="X3108" s="4"/>
      <c r="Y3108" s="4"/>
    </row>
    <row r="3109" spans="5:25">
      <c r="E3109"/>
      <c r="G3109"/>
      <c r="H3109"/>
      <c r="I3109"/>
      <c r="K3109"/>
      <c r="O3109"/>
      <c r="R3109"/>
      <c r="W3109" s="4"/>
      <c r="X3109" s="4"/>
      <c r="Y3109" s="4"/>
    </row>
    <row r="3110" spans="5:25">
      <c r="E3110"/>
      <c r="G3110"/>
      <c r="H3110"/>
      <c r="I3110"/>
      <c r="K3110"/>
      <c r="O3110"/>
      <c r="R3110"/>
      <c r="W3110" s="4"/>
      <c r="X3110" s="4"/>
      <c r="Y3110" s="4"/>
    </row>
    <row r="3111" spans="5:25">
      <c r="E3111"/>
      <c r="G3111"/>
      <c r="H3111"/>
      <c r="I3111"/>
      <c r="K3111"/>
      <c r="O3111"/>
      <c r="R3111"/>
      <c r="W3111" s="4"/>
      <c r="X3111" s="4"/>
      <c r="Y3111" s="4"/>
    </row>
    <row r="3112" spans="5:25">
      <c r="E3112"/>
      <c r="G3112"/>
      <c r="H3112"/>
      <c r="I3112"/>
      <c r="K3112"/>
      <c r="O3112"/>
      <c r="R3112"/>
      <c r="W3112" s="4"/>
      <c r="X3112" s="4"/>
      <c r="Y3112" s="4"/>
    </row>
    <row r="3113" spans="5:25">
      <c r="E3113"/>
      <c r="G3113"/>
      <c r="H3113"/>
      <c r="I3113"/>
      <c r="K3113"/>
      <c r="O3113"/>
      <c r="R3113"/>
      <c r="W3113" s="4"/>
      <c r="X3113" s="4"/>
      <c r="Y3113" s="4"/>
    </row>
    <row r="3114" spans="5:25">
      <c r="E3114"/>
      <c r="G3114"/>
      <c r="H3114"/>
      <c r="I3114"/>
      <c r="K3114"/>
      <c r="O3114"/>
      <c r="R3114"/>
      <c r="W3114" s="4"/>
      <c r="X3114" s="4"/>
      <c r="Y3114" s="4"/>
    </row>
    <row r="3115" spans="5:25">
      <c r="E3115"/>
      <c r="G3115"/>
      <c r="H3115"/>
      <c r="I3115"/>
      <c r="K3115"/>
      <c r="O3115"/>
      <c r="R3115"/>
      <c r="W3115" s="4"/>
      <c r="X3115" s="4"/>
      <c r="Y3115" s="4"/>
    </row>
    <row r="3116" spans="5:25">
      <c r="E3116"/>
      <c r="G3116"/>
      <c r="H3116"/>
      <c r="I3116"/>
      <c r="K3116"/>
      <c r="O3116"/>
      <c r="R3116"/>
      <c r="W3116" s="4"/>
      <c r="X3116" s="4"/>
      <c r="Y3116" s="4"/>
    </row>
    <row r="3117" spans="5:25">
      <c r="E3117"/>
      <c r="G3117"/>
      <c r="H3117"/>
      <c r="I3117"/>
      <c r="K3117"/>
      <c r="O3117"/>
      <c r="R3117"/>
      <c r="W3117" s="4"/>
      <c r="X3117" s="4"/>
      <c r="Y3117" s="4"/>
    </row>
    <row r="3118" spans="5:25">
      <c r="E3118"/>
      <c r="G3118"/>
      <c r="H3118"/>
      <c r="I3118"/>
      <c r="K3118"/>
      <c r="O3118"/>
      <c r="R3118"/>
      <c r="W3118" s="4"/>
      <c r="X3118" s="4"/>
      <c r="Y3118" s="4"/>
    </row>
    <row r="3119" spans="5:25">
      <c r="E3119"/>
      <c r="G3119"/>
      <c r="H3119"/>
      <c r="I3119"/>
      <c r="K3119"/>
      <c r="O3119"/>
      <c r="R3119"/>
      <c r="W3119" s="4"/>
      <c r="X3119" s="4"/>
      <c r="Y3119" s="4"/>
    </row>
    <row r="3120" spans="5:25">
      <c r="E3120"/>
      <c r="G3120"/>
      <c r="H3120"/>
      <c r="I3120"/>
      <c r="K3120"/>
      <c r="O3120"/>
      <c r="R3120"/>
      <c r="W3120" s="4"/>
      <c r="X3120" s="4"/>
      <c r="Y3120" s="4"/>
    </row>
    <row r="3121" spans="5:25">
      <c r="E3121"/>
      <c r="G3121"/>
      <c r="H3121"/>
      <c r="I3121"/>
      <c r="K3121"/>
      <c r="O3121"/>
      <c r="R3121"/>
      <c r="W3121" s="4"/>
      <c r="X3121" s="4"/>
      <c r="Y3121" s="4"/>
    </row>
    <row r="3122" spans="5:25">
      <c r="E3122"/>
      <c r="G3122"/>
      <c r="H3122"/>
      <c r="I3122"/>
      <c r="K3122"/>
      <c r="O3122"/>
      <c r="R3122"/>
      <c r="W3122" s="4"/>
      <c r="X3122" s="4"/>
      <c r="Y3122" s="4"/>
    </row>
    <row r="3123" spans="5:25">
      <c r="E3123"/>
      <c r="G3123"/>
      <c r="H3123"/>
      <c r="I3123"/>
      <c r="K3123"/>
      <c r="O3123"/>
      <c r="R3123"/>
      <c r="W3123" s="4"/>
      <c r="X3123" s="4"/>
      <c r="Y3123" s="4"/>
    </row>
    <row r="3124" spans="5:25">
      <c r="E3124"/>
      <c r="G3124"/>
      <c r="H3124"/>
      <c r="I3124"/>
      <c r="K3124"/>
      <c r="O3124"/>
      <c r="R3124"/>
      <c r="W3124" s="4"/>
      <c r="X3124" s="4"/>
      <c r="Y3124" s="4"/>
    </row>
    <row r="3125" spans="5:25">
      <c r="E3125"/>
      <c r="G3125"/>
      <c r="H3125"/>
      <c r="I3125"/>
      <c r="K3125"/>
      <c r="O3125"/>
      <c r="R3125"/>
      <c r="W3125" s="4"/>
      <c r="X3125" s="4"/>
      <c r="Y3125" s="4"/>
    </row>
    <row r="3126" spans="5:25">
      <c r="E3126"/>
      <c r="G3126"/>
      <c r="H3126"/>
      <c r="I3126"/>
      <c r="K3126"/>
      <c r="O3126"/>
      <c r="R3126"/>
      <c r="W3126" s="4"/>
      <c r="X3126" s="4"/>
      <c r="Y3126" s="4"/>
    </row>
    <row r="3127" spans="5:25">
      <c r="E3127"/>
      <c r="G3127"/>
      <c r="H3127"/>
      <c r="I3127"/>
      <c r="K3127"/>
      <c r="O3127"/>
      <c r="R3127"/>
      <c r="W3127" s="4"/>
      <c r="X3127" s="4"/>
      <c r="Y3127" s="4"/>
    </row>
    <row r="3128" spans="5:25">
      <c r="E3128"/>
      <c r="G3128"/>
      <c r="H3128"/>
      <c r="I3128"/>
      <c r="K3128"/>
      <c r="O3128"/>
      <c r="R3128"/>
      <c r="W3128" s="4"/>
      <c r="X3128" s="4"/>
      <c r="Y3128" s="4"/>
    </row>
    <row r="3129" spans="5:25">
      <c r="E3129"/>
      <c r="G3129"/>
      <c r="H3129"/>
      <c r="I3129"/>
      <c r="K3129"/>
      <c r="O3129"/>
      <c r="R3129"/>
      <c r="W3129" s="4"/>
      <c r="X3129" s="4"/>
      <c r="Y3129" s="4"/>
    </row>
    <row r="3130" spans="5:25">
      <c r="E3130"/>
      <c r="G3130"/>
      <c r="H3130"/>
      <c r="I3130"/>
      <c r="K3130"/>
      <c r="O3130"/>
      <c r="R3130"/>
      <c r="W3130" s="4"/>
      <c r="X3130" s="4"/>
      <c r="Y3130" s="4"/>
    </row>
    <row r="3131" spans="5:25">
      <c r="E3131"/>
      <c r="G3131"/>
      <c r="H3131"/>
      <c r="I3131"/>
      <c r="K3131"/>
      <c r="O3131"/>
      <c r="R3131"/>
      <c r="W3131" s="4"/>
      <c r="X3131" s="4"/>
      <c r="Y3131" s="4"/>
    </row>
    <row r="3132" spans="5:25">
      <c r="E3132"/>
      <c r="G3132"/>
      <c r="H3132"/>
      <c r="I3132"/>
      <c r="K3132"/>
      <c r="O3132"/>
      <c r="R3132"/>
      <c r="W3132" s="4"/>
      <c r="X3132" s="4"/>
      <c r="Y3132" s="4"/>
    </row>
    <row r="3133" spans="5:25">
      <c r="E3133"/>
      <c r="G3133"/>
      <c r="H3133"/>
      <c r="I3133"/>
      <c r="K3133"/>
      <c r="O3133"/>
      <c r="R3133"/>
      <c r="W3133" s="4"/>
      <c r="X3133" s="4"/>
      <c r="Y3133" s="4"/>
    </row>
    <row r="3134" spans="5:25">
      <c r="E3134"/>
      <c r="G3134"/>
      <c r="H3134"/>
      <c r="I3134"/>
      <c r="K3134"/>
      <c r="O3134"/>
      <c r="R3134"/>
      <c r="W3134" s="4"/>
      <c r="X3134" s="4"/>
      <c r="Y3134" s="4"/>
    </row>
    <row r="3135" spans="5:25">
      <c r="E3135"/>
      <c r="G3135"/>
      <c r="H3135"/>
      <c r="I3135"/>
      <c r="K3135"/>
      <c r="O3135"/>
      <c r="R3135"/>
      <c r="W3135" s="4"/>
      <c r="X3135" s="4"/>
      <c r="Y3135" s="4"/>
    </row>
    <row r="3136" spans="5:25">
      <c r="E3136"/>
      <c r="G3136"/>
      <c r="H3136"/>
      <c r="I3136"/>
      <c r="K3136"/>
      <c r="O3136"/>
      <c r="R3136"/>
      <c r="W3136" s="4"/>
      <c r="X3136" s="4"/>
      <c r="Y3136" s="4"/>
    </row>
    <row r="3137" spans="5:25">
      <c r="E3137"/>
      <c r="G3137"/>
      <c r="H3137"/>
      <c r="I3137"/>
      <c r="K3137"/>
      <c r="O3137"/>
      <c r="R3137"/>
      <c r="W3137" s="4"/>
      <c r="X3137" s="4"/>
      <c r="Y3137" s="4"/>
    </row>
    <row r="3138" spans="5:25">
      <c r="E3138"/>
      <c r="G3138"/>
      <c r="H3138"/>
      <c r="I3138"/>
      <c r="K3138"/>
      <c r="O3138"/>
      <c r="R3138"/>
      <c r="W3138" s="4"/>
      <c r="X3138" s="4"/>
      <c r="Y3138" s="4"/>
    </row>
    <row r="3139" spans="5:25">
      <c r="E3139"/>
      <c r="G3139"/>
      <c r="H3139"/>
      <c r="I3139"/>
      <c r="K3139"/>
      <c r="O3139"/>
      <c r="R3139"/>
      <c r="W3139" s="4"/>
      <c r="X3139" s="4"/>
      <c r="Y3139" s="4"/>
    </row>
    <row r="3140" spans="5:25">
      <c r="E3140"/>
      <c r="G3140"/>
      <c r="H3140"/>
      <c r="I3140"/>
      <c r="K3140"/>
      <c r="O3140"/>
      <c r="R3140"/>
      <c r="W3140" s="4"/>
      <c r="X3140" s="4"/>
      <c r="Y3140" s="4"/>
    </row>
    <row r="3141" spans="5:25">
      <c r="E3141"/>
      <c r="G3141"/>
      <c r="H3141"/>
      <c r="I3141"/>
      <c r="K3141"/>
      <c r="O3141"/>
      <c r="R3141"/>
      <c r="W3141" s="4"/>
      <c r="X3141" s="4"/>
      <c r="Y3141" s="4"/>
    </row>
    <row r="3142" spans="5:25">
      <c r="E3142"/>
      <c r="G3142"/>
      <c r="H3142"/>
      <c r="I3142"/>
      <c r="K3142"/>
      <c r="O3142"/>
      <c r="R3142"/>
      <c r="W3142" s="4"/>
      <c r="X3142" s="4"/>
      <c r="Y3142" s="4"/>
    </row>
    <row r="3143" spans="5:25">
      <c r="E3143"/>
      <c r="G3143"/>
      <c r="H3143"/>
      <c r="I3143"/>
      <c r="K3143"/>
      <c r="O3143"/>
      <c r="R3143"/>
      <c r="W3143" s="4"/>
      <c r="X3143" s="4"/>
      <c r="Y3143" s="4"/>
    </row>
    <row r="3144" spans="5:25">
      <c r="E3144"/>
      <c r="G3144"/>
      <c r="H3144"/>
      <c r="I3144"/>
      <c r="K3144"/>
      <c r="O3144"/>
      <c r="R3144"/>
      <c r="W3144" s="4"/>
      <c r="X3144" s="4"/>
      <c r="Y3144" s="4"/>
    </row>
    <row r="3145" spans="5:25">
      <c r="E3145"/>
      <c r="G3145"/>
      <c r="H3145"/>
      <c r="I3145"/>
      <c r="K3145"/>
      <c r="O3145"/>
      <c r="R3145"/>
      <c r="W3145" s="4"/>
      <c r="X3145" s="4"/>
      <c r="Y3145" s="4"/>
    </row>
    <row r="3146" spans="5:25">
      <c r="E3146"/>
      <c r="G3146"/>
      <c r="H3146"/>
      <c r="I3146"/>
      <c r="K3146"/>
      <c r="O3146"/>
      <c r="R3146"/>
      <c r="W3146" s="4"/>
      <c r="X3146" s="4"/>
      <c r="Y3146" s="4"/>
    </row>
    <row r="3147" spans="5:25">
      <c r="E3147"/>
      <c r="G3147"/>
      <c r="H3147"/>
      <c r="I3147"/>
      <c r="K3147"/>
      <c r="O3147"/>
      <c r="R3147"/>
      <c r="W3147" s="4"/>
      <c r="X3147" s="4"/>
      <c r="Y3147" s="4"/>
    </row>
    <row r="3148" spans="5:25">
      <c r="E3148"/>
      <c r="G3148"/>
      <c r="H3148"/>
      <c r="I3148"/>
      <c r="K3148"/>
      <c r="O3148"/>
      <c r="R3148"/>
      <c r="W3148" s="4"/>
      <c r="X3148" s="4"/>
      <c r="Y3148" s="4"/>
    </row>
    <row r="3149" spans="5:25">
      <c r="E3149"/>
      <c r="G3149"/>
      <c r="H3149"/>
      <c r="I3149"/>
      <c r="K3149"/>
      <c r="O3149"/>
      <c r="R3149"/>
      <c r="W3149" s="4"/>
      <c r="X3149" s="4"/>
      <c r="Y3149" s="4"/>
    </row>
    <row r="3150" spans="5:25">
      <c r="E3150"/>
      <c r="G3150"/>
      <c r="H3150"/>
      <c r="I3150"/>
      <c r="K3150"/>
      <c r="O3150"/>
      <c r="R3150"/>
      <c r="W3150" s="4"/>
      <c r="X3150" s="4"/>
      <c r="Y3150" s="4"/>
    </row>
    <row r="3151" spans="5:25">
      <c r="E3151"/>
      <c r="G3151"/>
      <c r="H3151"/>
      <c r="I3151"/>
      <c r="K3151"/>
      <c r="O3151"/>
      <c r="R3151"/>
      <c r="W3151" s="4"/>
      <c r="X3151" s="4"/>
      <c r="Y3151" s="4"/>
    </row>
    <row r="3152" spans="5:25">
      <c r="E3152"/>
      <c r="G3152"/>
      <c r="H3152"/>
      <c r="I3152"/>
      <c r="K3152"/>
      <c r="O3152"/>
      <c r="R3152"/>
      <c r="W3152" s="4"/>
      <c r="X3152" s="4"/>
      <c r="Y3152" s="4"/>
    </row>
    <row r="3153" spans="5:25">
      <c r="E3153"/>
      <c r="G3153"/>
      <c r="H3153"/>
      <c r="I3153"/>
      <c r="K3153"/>
      <c r="O3153"/>
      <c r="R3153"/>
      <c r="W3153" s="4"/>
      <c r="X3153" s="4"/>
      <c r="Y3153" s="4"/>
    </row>
    <row r="3154" spans="5:25">
      <c r="E3154"/>
      <c r="G3154"/>
      <c r="H3154"/>
      <c r="I3154"/>
      <c r="K3154"/>
      <c r="O3154"/>
      <c r="R3154"/>
      <c r="W3154" s="4"/>
      <c r="X3154" s="4"/>
      <c r="Y3154" s="4"/>
    </row>
    <row r="3155" spans="5:25">
      <c r="E3155"/>
      <c r="G3155"/>
      <c r="H3155"/>
      <c r="I3155"/>
      <c r="K3155"/>
      <c r="O3155"/>
      <c r="R3155"/>
      <c r="W3155" s="4"/>
      <c r="X3155" s="4"/>
      <c r="Y3155" s="4"/>
    </row>
    <row r="3156" spans="5:25">
      <c r="E3156"/>
      <c r="G3156"/>
      <c r="H3156"/>
      <c r="I3156"/>
      <c r="K3156"/>
      <c r="O3156"/>
      <c r="R3156"/>
      <c r="W3156" s="4"/>
      <c r="X3156" s="4"/>
      <c r="Y3156" s="4"/>
    </row>
    <row r="3157" spans="5:25">
      <c r="E3157"/>
      <c r="G3157"/>
      <c r="H3157"/>
      <c r="I3157"/>
      <c r="K3157"/>
      <c r="O3157"/>
      <c r="R3157"/>
      <c r="W3157" s="4"/>
      <c r="X3157" s="4"/>
      <c r="Y3157" s="4"/>
    </row>
    <row r="3158" spans="5:25">
      <c r="E3158"/>
      <c r="G3158"/>
      <c r="H3158"/>
      <c r="I3158"/>
      <c r="K3158"/>
      <c r="O3158"/>
      <c r="R3158"/>
      <c r="W3158" s="4"/>
      <c r="X3158" s="4"/>
      <c r="Y3158" s="4"/>
    </row>
    <row r="3159" spans="5:25">
      <c r="E3159"/>
      <c r="G3159"/>
      <c r="H3159"/>
      <c r="I3159"/>
      <c r="K3159"/>
      <c r="O3159"/>
      <c r="R3159"/>
      <c r="W3159" s="4"/>
      <c r="X3159" s="4"/>
      <c r="Y3159" s="4"/>
    </row>
    <row r="3160" spans="5:25">
      <c r="E3160"/>
      <c r="G3160"/>
      <c r="H3160"/>
      <c r="I3160"/>
      <c r="K3160"/>
      <c r="O3160"/>
      <c r="R3160"/>
      <c r="W3160" s="4"/>
      <c r="X3160" s="4"/>
      <c r="Y3160" s="4"/>
    </row>
    <row r="3161" spans="5:25">
      <c r="E3161"/>
      <c r="G3161"/>
      <c r="H3161"/>
      <c r="I3161"/>
      <c r="K3161"/>
      <c r="O3161"/>
      <c r="R3161"/>
      <c r="W3161" s="4"/>
      <c r="X3161" s="4"/>
      <c r="Y3161" s="4"/>
    </row>
    <row r="3162" spans="5:25">
      <c r="E3162"/>
      <c r="G3162"/>
      <c r="H3162"/>
      <c r="I3162"/>
      <c r="K3162"/>
      <c r="O3162"/>
      <c r="R3162"/>
      <c r="W3162" s="4"/>
      <c r="X3162" s="4"/>
      <c r="Y3162" s="4"/>
    </row>
    <row r="3163" spans="5:25">
      <c r="E3163"/>
      <c r="G3163"/>
      <c r="H3163"/>
      <c r="I3163"/>
      <c r="K3163"/>
      <c r="O3163"/>
      <c r="R3163"/>
      <c r="W3163" s="4"/>
      <c r="X3163" s="4"/>
      <c r="Y3163" s="4"/>
    </row>
    <row r="3164" spans="5:25">
      <c r="E3164"/>
      <c r="G3164"/>
      <c r="H3164"/>
      <c r="I3164"/>
      <c r="K3164"/>
      <c r="O3164"/>
      <c r="R3164"/>
      <c r="W3164" s="4"/>
      <c r="X3164" s="4"/>
      <c r="Y3164" s="4"/>
    </row>
    <row r="3165" spans="5:25">
      <c r="E3165"/>
      <c r="G3165"/>
      <c r="H3165"/>
      <c r="I3165"/>
      <c r="K3165"/>
      <c r="O3165"/>
      <c r="R3165"/>
      <c r="W3165" s="4"/>
      <c r="X3165" s="4"/>
      <c r="Y3165" s="4"/>
    </row>
    <row r="3166" spans="5:25">
      <c r="E3166"/>
      <c r="G3166"/>
      <c r="H3166"/>
      <c r="I3166"/>
      <c r="K3166"/>
      <c r="O3166"/>
      <c r="R3166"/>
      <c r="W3166" s="4"/>
      <c r="X3166" s="4"/>
      <c r="Y3166" s="4"/>
    </row>
    <row r="3167" spans="5:25">
      <c r="E3167"/>
      <c r="G3167"/>
      <c r="H3167"/>
      <c r="I3167"/>
      <c r="K3167"/>
      <c r="O3167"/>
      <c r="R3167"/>
      <c r="W3167" s="4"/>
      <c r="X3167" s="4"/>
      <c r="Y3167" s="4"/>
    </row>
    <row r="3168" spans="5:25">
      <c r="E3168"/>
      <c r="G3168"/>
      <c r="H3168"/>
      <c r="I3168"/>
      <c r="K3168"/>
      <c r="O3168"/>
      <c r="R3168"/>
      <c r="W3168" s="4"/>
      <c r="X3168" s="4"/>
      <c r="Y3168" s="4"/>
    </row>
    <row r="3169" spans="5:25">
      <c r="E3169"/>
      <c r="G3169"/>
      <c r="H3169"/>
      <c r="I3169"/>
      <c r="K3169"/>
      <c r="O3169"/>
      <c r="R3169"/>
      <c r="W3169" s="4"/>
      <c r="X3169" s="4"/>
      <c r="Y3169" s="4"/>
    </row>
    <row r="3170" spans="5:25">
      <c r="E3170"/>
      <c r="G3170"/>
      <c r="H3170"/>
      <c r="I3170"/>
      <c r="K3170"/>
      <c r="O3170"/>
      <c r="R3170"/>
      <c r="W3170" s="4"/>
      <c r="X3170" s="4"/>
      <c r="Y3170" s="4"/>
    </row>
    <row r="3171" spans="5:25">
      <c r="E3171"/>
      <c r="G3171"/>
      <c r="H3171"/>
      <c r="I3171"/>
      <c r="K3171"/>
      <c r="O3171"/>
      <c r="R3171"/>
      <c r="W3171" s="4"/>
      <c r="X3171" s="4"/>
      <c r="Y3171" s="4"/>
    </row>
    <row r="3172" spans="5:25">
      <c r="E3172"/>
      <c r="G3172"/>
      <c r="H3172"/>
      <c r="I3172"/>
      <c r="K3172"/>
      <c r="O3172"/>
      <c r="R3172"/>
      <c r="W3172" s="4"/>
      <c r="X3172" s="4"/>
      <c r="Y3172" s="4"/>
    </row>
    <row r="3173" spans="5:25">
      <c r="E3173"/>
      <c r="G3173"/>
      <c r="H3173"/>
      <c r="I3173"/>
      <c r="K3173"/>
      <c r="O3173"/>
      <c r="R3173"/>
      <c r="W3173" s="4"/>
      <c r="X3173" s="4"/>
      <c r="Y3173" s="4"/>
    </row>
    <row r="3174" spans="5:25">
      <c r="E3174"/>
      <c r="G3174"/>
      <c r="H3174"/>
      <c r="I3174"/>
      <c r="K3174"/>
      <c r="O3174"/>
      <c r="R3174"/>
      <c r="W3174" s="4"/>
      <c r="X3174" s="4"/>
      <c r="Y3174" s="4"/>
    </row>
    <row r="3175" spans="5:25">
      <c r="E3175"/>
      <c r="G3175"/>
      <c r="H3175"/>
      <c r="I3175"/>
      <c r="K3175"/>
      <c r="O3175"/>
      <c r="R3175"/>
      <c r="W3175" s="4"/>
      <c r="X3175" s="4"/>
      <c r="Y3175" s="4"/>
    </row>
    <row r="3176" spans="5:25">
      <c r="E3176"/>
      <c r="G3176"/>
      <c r="H3176"/>
      <c r="I3176"/>
      <c r="K3176"/>
      <c r="O3176"/>
      <c r="R3176"/>
      <c r="W3176" s="4"/>
      <c r="X3176" s="4"/>
      <c r="Y3176" s="4"/>
    </row>
    <row r="3177" spans="5:25">
      <c r="E3177"/>
      <c r="G3177"/>
      <c r="H3177"/>
      <c r="I3177"/>
      <c r="K3177"/>
      <c r="O3177"/>
      <c r="R3177"/>
      <c r="W3177" s="4"/>
      <c r="X3177" s="4"/>
      <c r="Y3177" s="4"/>
    </row>
    <row r="3178" spans="5:25">
      <c r="E3178"/>
      <c r="G3178"/>
      <c r="H3178"/>
      <c r="I3178"/>
      <c r="K3178"/>
      <c r="O3178"/>
      <c r="R3178"/>
      <c r="W3178" s="4"/>
      <c r="X3178" s="4"/>
      <c r="Y3178" s="4"/>
    </row>
    <row r="3179" spans="5:25">
      <c r="E3179"/>
      <c r="G3179"/>
      <c r="H3179"/>
      <c r="I3179"/>
      <c r="K3179"/>
      <c r="O3179"/>
      <c r="R3179"/>
      <c r="W3179" s="4"/>
      <c r="X3179" s="4"/>
      <c r="Y3179" s="4"/>
    </row>
    <row r="3180" spans="5:25">
      <c r="E3180"/>
      <c r="G3180"/>
      <c r="H3180"/>
      <c r="I3180"/>
      <c r="K3180"/>
      <c r="O3180"/>
      <c r="R3180"/>
      <c r="W3180" s="4"/>
      <c r="X3180" s="4"/>
      <c r="Y3180" s="4"/>
    </row>
    <row r="3181" spans="5:25">
      <c r="E3181"/>
      <c r="G3181"/>
      <c r="H3181"/>
      <c r="I3181"/>
      <c r="K3181"/>
      <c r="O3181"/>
      <c r="R3181"/>
      <c r="W3181" s="4"/>
      <c r="X3181" s="4"/>
      <c r="Y3181" s="4"/>
    </row>
    <row r="3182" spans="5:25">
      <c r="E3182"/>
      <c r="G3182"/>
      <c r="H3182"/>
      <c r="I3182"/>
      <c r="K3182"/>
      <c r="O3182"/>
      <c r="R3182"/>
      <c r="W3182" s="4"/>
      <c r="X3182" s="4"/>
      <c r="Y3182" s="4"/>
    </row>
    <row r="3183" spans="5:25">
      <c r="E3183"/>
      <c r="G3183"/>
      <c r="H3183"/>
      <c r="I3183"/>
      <c r="K3183"/>
      <c r="O3183"/>
      <c r="R3183"/>
      <c r="W3183" s="4"/>
      <c r="X3183" s="4"/>
      <c r="Y3183" s="4"/>
    </row>
    <row r="3184" spans="5:25">
      <c r="E3184"/>
      <c r="G3184"/>
      <c r="H3184"/>
      <c r="I3184"/>
      <c r="K3184"/>
      <c r="O3184"/>
      <c r="R3184"/>
      <c r="W3184" s="4"/>
      <c r="X3184" s="4"/>
      <c r="Y3184" s="4"/>
    </row>
    <row r="3185" spans="5:25">
      <c r="E3185"/>
      <c r="G3185"/>
      <c r="H3185"/>
      <c r="I3185"/>
      <c r="K3185"/>
      <c r="O3185"/>
      <c r="R3185"/>
      <c r="W3185" s="4"/>
      <c r="X3185" s="4"/>
      <c r="Y3185" s="4"/>
    </row>
    <row r="3186" spans="5:25">
      <c r="E3186"/>
      <c r="G3186"/>
      <c r="H3186"/>
      <c r="I3186"/>
      <c r="K3186"/>
      <c r="O3186"/>
      <c r="R3186"/>
      <c r="W3186" s="4"/>
      <c r="X3186" s="4"/>
      <c r="Y3186" s="4"/>
    </row>
    <row r="3187" spans="5:25">
      <c r="E3187"/>
      <c r="G3187"/>
      <c r="H3187"/>
      <c r="I3187"/>
      <c r="K3187"/>
      <c r="O3187"/>
      <c r="R3187"/>
      <c r="W3187" s="4"/>
      <c r="X3187" s="4"/>
      <c r="Y3187" s="4"/>
    </row>
    <row r="3188" spans="5:25">
      <c r="E3188"/>
      <c r="G3188"/>
      <c r="H3188"/>
      <c r="I3188"/>
      <c r="K3188"/>
      <c r="O3188"/>
      <c r="R3188"/>
      <c r="W3188" s="4"/>
      <c r="X3188" s="4"/>
      <c r="Y3188" s="4"/>
    </row>
    <row r="3189" spans="5:25">
      <c r="E3189"/>
      <c r="G3189"/>
      <c r="H3189"/>
      <c r="I3189"/>
      <c r="K3189"/>
      <c r="O3189"/>
      <c r="R3189"/>
      <c r="W3189" s="4"/>
      <c r="X3189" s="4"/>
      <c r="Y3189" s="4"/>
    </row>
    <row r="3190" spans="5:25">
      <c r="E3190"/>
      <c r="G3190"/>
      <c r="H3190"/>
      <c r="I3190"/>
      <c r="K3190"/>
      <c r="O3190"/>
      <c r="R3190"/>
      <c r="W3190" s="4"/>
      <c r="X3190" s="4"/>
      <c r="Y3190" s="4"/>
    </row>
    <row r="3191" spans="5:25">
      <c r="E3191"/>
      <c r="G3191"/>
      <c r="H3191"/>
      <c r="I3191"/>
      <c r="K3191"/>
      <c r="O3191"/>
      <c r="R3191"/>
      <c r="W3191" s="4"/>
      <c r="X3191" s="4"/>
      <c r="Y3191" s="4"/>
    </row>
    <row r="3192" spans="5:25">
      <c r="E3192"/>
      <c r="G3192"/>
      <c r="H3192"/>
      <c r="I3192"/>
      <c r="K3192"/>
      <c r="O3192"/>
      <c r="R3192"/>
      <c r="W3192" s="4"/>
      <c r="X3192" s="4"/>
      <c r="Y3192" s="4"/>
    </row>
    <row r="3193" spans="5:25">
      <c r="E3193"/>
      <c r="G3193"/>
      <c r="H3193"/>
      <c r="I3193"/>
      <c r="K3193"/>
      <c r="O3193"/>
      <c r="R3193"/>
      <c r="W3193" s="4"/>
      <c r="X3193" s="4"/>
      <c r="Y3193" s="4"/>
    </row>
    <row r="3194" spans="5:25">
      <c r="E3194"/>
      <c r="G3194"/>
      <c r="H3194"/>
      <c r="I3194"/>
      <c r="K3194"/>
      <c r="O3194"/>
      <c r="R3194"/>
      <c r="W3194" s="4"/>
      <c r="X3194" s="4"/>
      <c r="Y3194" s="4"/>
    </row>
    <row r="3195" spans="5:25">
      <c r="E3195"/>
      <c r="G3195"/>
      <c r="H3195"/>
      <c r="I3195"/>
      <c r="K3195"/>
      <c r="O3195"/>
      <c r="R3195"/>
      <c r="W3195" s="4"/>
      <c r="X3195" s="4"/>
      <c r="Y3195" s="4"/>
    </row>
    <row r="3196" spans="5:25">
      <c r="E3196"/>
      <c r="G3196"/>
      <c r="H3196"/>
      <c r="I3196"/>
      <c r="K3196"/>
      <c r="O3196"/>
      <c r="R3196"/>
      <c r="W3196" s="4"/>
      <c r="X3196" s="4"/>
      <c r="Y3196" s="4"/>
    </row>
    <row r="3197" spans="5:25">
      <c r="E3197"/>
      <c r="G3197"/>
      <c r="H3197"/>
      <c r="I3197"/>
      <c r="K3197"/>
      <c r="O3197"/>
      <c r="R3197"/>
      <c r="W3197" s="4"/>
      <c r="X3197" s="4"/>
      <c r="Y3197" s="4"/>
    </row>
    <row r="3198" spans="5:25">
      <c r="E3198"/>
      <c r="G3198"/>
      <c r="H3198"/>
      <c r="I3198"/>
      <c r="K3198"/>
      <c r="O3198"/>
      <c r="R3198"/>
      <c r="W3198" s="4"/>
      <c r="X3198" s="4"/>
      <c r="Y3198" s="4"/>
    </row>
    <row r="3199" spans="5:25">
      <c r="E3199"/>
      <c r="G3199"/>
      <c r="H3199"/>
      <c r="I3199"/>
      <c r="K3199"/>
      <c r="O3199"/>
      <c r="R3199"/>
      <c r="W3199" s="4"/>
      <c r="X3199" s="4"/>
      <c r="Y3199" s="4"/>
    </row>
    <row r="3200" spans="5:25">
      <c r="E3200"/>
      <c r="G3200"/>
      <c r="H3200"/>
      <c r="I3200"/>
      <c r="K3200"/>
      <c r="O3200"/>
      <c r="R3200"/>
      <c r="W3200" s="4"/>
      <c r="X3200" s="4"/>
      <c r="Y3200" s="4"/>
    </row>
    <row r="3201" spans="5:25">
      <c r="E3201"/>
      <c r="G3201"/>
      <c r="H3201"/>
      <c r="I3201"/>
      <c r="K3201"/>
      <c r="O3201"/>
      <c r="R3201"/>
      <c r="W3201" s="4"/>
      <c r="X3201" s="4"/>
      <c r="Y3201" s="4"/>
    </row>
    <row r="3202" spans="5:25">
      <c r="E3202"/>
      <c r="G3202"/>
      <c r="H3202"/>
      <c r="I3202"/>
      <c r="K3202"/>
      <c r="O3202"/>
      <c r="R3202"/>
      <c r="W3202" s="4"/>
      <c r="X3202" s="4"/>
      <c r="Y3202" s="4"/>
    </row>
    <row r="3203" spans="5:25">
      <c r="E3203"/>
      <c r="G3203"/>
      <c r="H3203"/>
      <c r="I3203"/>
      <c r="K3203"/>
      <c r="O3203"/>
      <c r="R3203"/>
      <c r="W3203" s="4"/>
      <c r="X3203" s="4"/>
      <c r="Y3203" s="4"/>
    </row>
    <row r="3204" spans="5:25">
      <c r="E3204"/>
      <c r="G3204"/>
      <c r="H3204"/>
      <c r="I3204"/>
      <c r="K3204"/>
      <c r="O3204"/>
      <c r="R3204"/>
      <c r="W3204" s="4"/>
      <c r="X3204" s="4"/>
      <c r="Y3204" s="4"/>
    </row>
    <row r="3205" spans="5:25">
      <c r="E3205"/>
      <c r="G3205"/>
      <c r="H3205"/>
      <c r="I3205"/>
      <c r="K3205"/>
      <c r="O3205"/>
      <c r="R3205"/>
      <c r="W3205" s="4"/>
      <c r="X3205" s="4"/>
      <c r="Y3205" s="4"/>
    </row>
    <row r="3206" spans="5:25">
      <c r="E3206"/>
      <c r="G3206"/>
      <c r="H3206"/>
      <c r="I3206"/>
      <c r="K3206"/>
      <c r="O3206"/>
      <c r="R3206"/>
      <c r="W3206" s="4"/>
      <c r="X3206" s="4"/>
      <c r="Y3206" s="4"/>
    </row>
    <row r="3207" spans="5:25">
      <c r="E3207"/>
      <c r="G3207"/>
      <c r="H3207"/>
      <c r="I3207"/>
      <c r="K3207"/>
      <c r="O3207"/>
      <c r="R3207"/>
      <c r="W3207" s="4"/>
      <c r="X3207" s="4"/>
      <c r="Y3207" s="4"/>
    </row>
    <row r="3208" spans="5:25">
      <c r="E3208"/>
      <c r="G3208"/>
      <c r="H3208"/>
      <c r="I3208"/>
      <c r="K3208"/>
      <c r="O3208"/>
      <c r="R3208"/>
      <c r="W3208" s="4"/>
      <c r="X3208" s="4"/>
      <c r="Y3208" s="4"/>
    </row>
    <row r="3209" spans="5:25">
      <c r="E3209"/>
      <c r="G3209"/>
      <c r="H3209"/>
      <c r="I3209"/>
      <c r="K3209"/>
      <c r="O3209"/>
      <c r="R3209"/>
      <c r="W3209" s="4"/>
      <c r="X3209" s="4"/>
      <c r="Y3209" s="4"/>
    </row>
    <row r="3210" spans="5:25">
      <c r="E3210"/>
      <c r="G3210"/>
      <c r="H3210"/>
      <c r="I3210"/>
      <c r="K3210"/>
      <c r="O3210"/>
      <c r="R3210"/>
      <c r="W3210" s="4"/>
      <c r="X3210" s="4"/>
      <c r="Y3210" s="4"/>
    </row>
    <row r="3211" spans="5:25">
      <c r="E3211"/>
      <c r="G3211"/>
      <c r="H3211"/>
      <c r="I3211"/>
      <c r="K3211"/>
      <c r="O3211"/>
      <c r="R3211"/>
      <c r="W3211" s="4"/>
      <c r="X3211" s="4"/>
      <c r="Y3211" s="4"/>
    </row>
    <row r="3212" spans="5:25">
      <c r="E3212"/>
      <c r="G3212"/>
      <c r="H3212"/>
      <c r="I3212"/>
      <c r="K3212"/>
      <c r="O3212"/>
      <c r="R3212"/>
      <c r="W3212" s="4"/>
      <c r="X3212" s="4"/>
      <c r="Y3212" s="4"/>
    </row>
    <row r="3213" spans="5:25">
      <c r="E3213"/>
      <c r="G3213"/>
      <c r="H3213"/>
      <c r="I3213"/>
      <c r="K3213"/>
      <c r="O3213"/>
      <c r="R3213"/>
      <c r="W3213" s="4"/>
      <c r="X3213" s="4"/>
      <c r="Y3213" s="4"/>
    </row>
    <row r="3214" spans="5:25">
      <c r="E3214"/>
      <c r="G3214"/>
      <c r="H3214"/>
      <c r="I3214"/>
      <c r="K3214"/>
      <c r="O3214"/>
      <c r="R3214"/>
      <c r="W3214" s="4"/>
      <c r="X3214" s="4"/>
      <c r="Y3214" s="4"/>
    </row>
    <row r="3215" spans="5:25">
      <c r="E3215"/>
      <c r="G3215"/>
      <c r="H3215"/>
      <c r="I3215"/>
      <c r="K3215"/>
      <c r="O3215"/>
      <c r="R3215"/>
      <c r="W3215" s="4"/>
      <c r="X3215" s="4"/>
      <c r="Y3215" s="4"/>
    </row>
    <row r="3216" spans="5:25">
      <c r="E3216"/>
      <c r="G3216"/>
      <c r="H3216"/>
      <c r="I3216"/>
      <c r="K3216"/>
      <c r="O3216"/>
      <c r="R3216"/>
      <c r="W3216" s="4"/>
      <c r="X3216" s="4"/>
      <c r="Y3216" s="4"/>
    </row>
    <row r="3217" spans="5:25">
      <c r="E3217"/>
      <c r="G3217"/>
      <c r="H3217"/>
      <c r="I3217"/>
      <c r="K3217"/>
      <c r="O3217"/>
      <c r="R3217"/>
      <c r="W3217" s="4"/>
      <c r="X3217" s="4"/>
      <c r="Y3217" s="4"/>
    </row>
    <row r="3218" spans="5:25">
      <c r="E3218"/>
      <c r="G3218"/>
      <c r="H3218"/>
      <c r="I3218"/>
      <c r="K3218"/>
      <c r="O3218"/>
      <c r="R3218"/>
      <c r="W3218" s="4"/>
      <c r="X3218" s="4"/>
      <c r="Y3218" s="4"/>
    </row>
    <row r="3219" spans="5:25">
      <c r="E3219"/>
      <c r="G3219"/>
      <c r="H3219"/>
      <c r="I3219"/>
      <c r="K3219"/>
      <c r="O3219"/>
      <c r="R3219"/>
      <c r="W3219" s="4"/>
      <c r="X3219" s="4"/>
      <c r="Y3219" s="4"/>
    </row>
    <row r="3220" spans="5:25">
      <c r="E3220"/>
      <c r="G3220"/>
      <c r="H3220"/>
      <c r="I3220"/>
      <c r="K3220"/>
      <c r="O3220"/>
      <c r="R3220"/>
      <c r="W3220" s="4"/>
      <c r="X3220" s="4"/>
      <c r="Y3220" s="4"/>
    </row>
    <row r="3221" spans="5:25">
      <c r="E3221"/>
      <c r="G3221"/>
      <c r="H3221"/>
      <c r="I3221"/>
      <c r="K3221"/>
      <c r="O3221"/>
      <c r="R3221"/>
      <c r="W3221" s="4"/>
      <c r="X3221" s="4"/>
      <c r="Y3221" s="4"/>
    </row>
    <row r="3222" spans="5:25">
      <c r="E3222"/>
      <c r="G3222"/>
      <c r="H3222"/>
      <c r="I3222"/>
      <c r="K3222"/>
      <c r="O3222"/>
      <c r="R3222"/>
      <c r="W3222" s="4"/>
      <c r="X3222" s="4"/>
      <c r="Y3222" s="4"/>
    </row>
    <row r="3223" spans="5:25">
      <c r="E3223"/>
      <c r="G3223"/>
      <c r="H3223"/>
      <c r="I3223"/>
      <c r="K3223"/>
      <c r="O3223"/>
      <c r="R3223"/>
      <c r="W3223" s="4"/>
      <c r="X3223" s="4"/>
      <c r="Y3223" s="4"/>
    </row>
    <row r="3224" spans="5:25">
      <c r="E3224"/>
      <c r="G3224"/>
      <c r="H3224"/>
      <c r="I3224"/>
      <c r="K3224"/>
      <c r="O3224"/>
      <c r="R3224"/>
      <c r="W3224" s="4"/>
      <c r="X3224" s="4"/>
      <c r="Y3224" s="4"/>
    </row>
    <row r="3225" spans="5:25">
      <c r="E3225"/>
      <c r="G3225"/>
      <c r="H3225"/>
      <c r="I3225"/>
      <c r="K3225"/>
      <c r="O3225"/>
      <c r="R3225"/>
      <c r="W3225" s="4"/>
      <c r="X3225" s="4"/>
      <c r="Y3225" s="4"/>
    </row>
    <row r="3226" spans="5:25">
      <c r="E3226"/>
      <c r="G3226"/>
      <c r="H3226"/>
      <c r="I3226"/>
      <c r="K3226"/>
      <c r="O3226"/>
      <c r="R3226"/>
      <c r="W3226" s="4"/>
      <c r="X3226" s="4"/>
      <c r="Y3226" s="4"/>
    </row>
    <row r="3227" spans="5:25">
      <c r="E3227"/>
      <c r="G3227"/>
      <c r="H3227"/>
      <c r="I3227"/>
      <c r="K3227"/>
      <c r="O3227"/>
      <c r="R3227"/>
      <c r="W3227" s="4"/>
      <c r="X3227" s="4"/>
      <c r="Y3227" s="4"/>
    </row>
    <row r="3228" spans="5:25">
      <c r="E3228"/>
      <c r="G3228"/>
      <c r="H3228"/>
      <c r="I3228"/>
      <c r="K3228"/>
      <c r="O3228"/>
      <c r="R3228"/>
      <c r="W3228" s="4"/>
      <c r="X3228" s="4"/>
      <c r="Y3228" s="4"/>
    </row>
    <row r="3229" spans="5:25">
      <c r="E3229"/>
      <c r="G3229"/>
      <c r="H3229"/>
      <c r="I3229"/>
      <c r="K3229"/>
      <c r="O3229"/>
      <c r="R3229"/>
      <c r="W3229" s="4"/>
      <c r="X3229" s="4"/>
      <c r="Y3229" s="4"/>
    </row>
    <row r="3230" spans="5:25">
      <c r="E3230"/>
      <c r="G3230"/>
      <c r="H3230"/>
      <c r="I3230"/>
      <c r="K3230"/>
      <c r="O3230"/>
      <c r="R3230"/>
      <c r="W3230" s="4"/>
      <c r="X3230" s="4"/>
      <c r="Y3230" s="4"/>
    </row>
    <row r="3231" spans="5:25">
      <c r="E3231"/>
      <c r="G3231"/>
      <c r="H3231"/>
      <c r="I3231"/>
      <c r="K3231"/>
      <c r="O3231"/>
      <c r="R3231"/>
      <c r="W3231" s="4"/>
      <c r="X3231" s="4"/>
      <c r="Y3231" s="4"/>
    </row>
    <row r="3232" spans="5:25">
      <c r="E3232"/>
      <c r="G3232"/>
      <c r="H3232"/>
      <c r="I3232"/>
      <c r="K3232"/>
      <c r="O3232"/>
      <c r="R3232"/>
      <c r="W3232" s="4"/>
      <c r="X3232" s="4"/>
      <c r="Y3232" s="4"/>
    </row>
    <row r="3233" spans="5:25">
      <c r="E3233"/>
      <c r="G3233"/>
      <c r="H3233"/>
      <c r="I3233"/>
      <c r="K3233"/>
      <c r="O3233"/>
      <c r="R3233"/>
      <c r="W3233" s="4"/>
      <c r="X3233" s="4"/>
      <c r="Y3233" s="4"/>
    </row>
    <row r="3234" spans="5:25">
      <c r="E3234"/>
      <c r="G3234"/>
      <c r="H3234"/>
      <c r="I3234"/>
      <c r="K3234"/>
      <c r="O3234"/>
      <c r="R3234"/>
      <c r="W3234" s="4"/>
      <c r="X3234" s="4"/>
      <c r="Y3234" s="4"/>
    </row>
    <row r="3235" spans="5:25">
      <c r="E3235"/>
      <c r="G3235"/>
      <c r="H3235"/>
      <c r="I3235"/>
      <c r="K3235"/>
      <c r="O3235"/>
      <c r="R3235"/>
      <c r="W3235" s="4"/>
      <c r="X3235" s="4"/>
      <c r="Y3235" s="4"/>
    </row>
    <row r="3236" spans="5:25">
      <c r="E3236"/>
      <c r="G3236"/>
      <c r="H3236"/>
      <c r="I3236"/>
      <c r="K3236"/>
      <c r="O3236"/>
      <c r="R3236"/>
      <c r="W3236" s="4"/>
      <c r="X3236" s="4"/>
      <c r="Y3236" s="4"/>
    </row>
    <row r="3237" spans="5:25">
      <c r="E3237"/>
      <c r="G3237"/>
      <c r="H3237"/>
      <c r="I3237"/>
      <c r="K3237"/>
      <c r="O3237"/>
      <c r="R3237"/>
      <c r="W3237" s="4"/>
      <c r="X3237" s="4"/>
      <c r="Y3237" s="4"/>
    </row>
    <row r="3238" spans="5:25">
      <c r="E3238"/>
      <c r="G3238"/>
      <c r="H3238"/>
      <c r="I3238"/>
      <c r="K3238"/>
      <c r="O3238"/>
      <c r="R3238"/>
      <c r="W3238" s="4"/>
      <c r="X3238" s="4"/>
      <c r="Y3238" s="4"/>
    </row>
    <row r="3239" spans="5:25">
      <c r="E3239"/>
      <c r="G3239"/>
      <c r="H3239"/>
      <c r="I3239"/>
      <c r="K3239"/>
      <c r="O3239"/>
      <c r="R3239"/>
      <c r="W3239" s="4"/>
      <c r="X3239" s="4"/>
      <c r="Y3239" s="4"/>
    </row>
    <row r="3240" spans="5:25">
      <c r="E3240"/>
      <c r="G3240"/>
      <c r="H3240"/>
      <c r="I3240"/>
      <c r="K3240"/>
      <c r="O3240"/>
      <c r="R3240"/>
      <c r="W3240" s="4"/>
      <c r="X3240" s="4"/>
      <c r="Y3240" s="4"/>
    </row>
    <row r="3241" spans="5:25">
      <c r="E3241"/>
      <c r="G3241"/>
      <c r="H3241"/>
      <c r="I3241"/>
      <c r="K3241"/>
      <c r="O3241"/>
      <c r="R3241"/>
      <c r="W3241" s="4"/>
      <c r="X3241" s="4"/>
      <c r="Y3241" s="4"/>
    </row>
    <row r="3242" spans="5:25">
      <c r="E3242"/>
      <c r="G3242"/>
      <c r="H3242"/>
      <c r="I3242"/>
      <c r="K3242"/>
      <c r="O3242"/>
      <c r="R3242"/>
      <c r="W3242" s="4"/>
      <c r="X3242" s="4"/>
      <c r="Y3242" s="4"/>
    </row>
    <row r="3243" spans="5:25">
      <c r="E3243"/>
      <c r="G3243"/>
      <c r="H3243"/>
      <c r="I3243"/>
      <c r="K3243"/>
      <c r="O3243"/>
      <c r="R3243"/>
      <c r="W3243" s="4"/>
      <c r="X3243" s="4"/>
      <c r="Y3243" s="4"/>
    </row>
    <row r="3244" spans="5:25">
      <c r="E3244"/>
      <c r="G3244"/>
      <c r="H3244"/>
      <c r="I3244"/>
      <c r="K3244"/>
      <c r="O3244"/>
      <c r="R3244"/>
      <c r="W3244" s="4"/>
      <c r="X3244" s="4"/>
      <c r="Y3244" s="4"/>
    </row>
    <row r="3245" spans="5:25">
      <c r="E3245"/>
      <c r="G3245"/>
      <c r="H3245"/>
      <c r="I3245"/>
      <c r="K3245"/>
      <c r="O3245"/>
      <c r="R3245"/>
      <c r="W3245" s="4"/>
      <c r="X3245" s="4"/>
      <c r="Y3245" s="4"/>
    </row>
    <row r="3246" spans="5:25">
      <c r="E3246"/>
      <c r="G3246"/>
      <c r="H3246"/>
      <c r="I3246"/>
      <c r="K3246"/>
      <c r="O3246"/>
      <c r="R3246"/>
      <c r="W3246" s="4"/>
      <c r="X3246" s="4"/>
      <c r="Y3246" s="4"/>
    </row>
    <row r="3247" spans="5:25">
      <c r="E3247"/>
      <c r="G3247"/>
      <c r="H3247"/>
      <c r="I3247"/>
      <c r="K3247"/>
      <c r="O3247"/>
      <c r="R3247"/>
      <c r="W3247" s="4"/>
      <c r="X3247" s="4"/>
      <c r="Y3247" s="4"/>
    </row>
    <row r="3248" spans="5:25">
      <c r="E3248"/>
      <c r="G3248"/>
      <c r="H3248"/>
      <c r="I3248"/>
      <c r="K3248"/>
      <c r="O3248"/>
      <c r="R3248"/>
      <c r="W3248" s="4"/>
      <c r="X3248" s="4"/>
      <c r="Y3248" s="4"/>
    </row>
    <row r="3249" spans="5:25">
      <c r="E3249"/>
      <c r="G3249"/>
      <c r="H3249"/>
      <c r="I3249"/>
      <c r="K3249"/>
      <c r="O3249"/>
      <c r="R3249"/>
      <c r="W3249" s="4"/>
      <c r="X3249" s="4"/>
      <c r="Y3249" s="4"/>
    </row>
    <row r="3250" spans="5:25">
      <c r="E3250"/>
      <c r="G3250"/>
      <c r="H3250"/>
      <c r="I3250"/>
      <c r="K3250"/>
      <c r="O3250"/>
      <c r="R3250"/>
      <c r="W3250" s="4"/>
      <c r="X3250" s="4"/>
      <c r="Y3250" s="4"/>
    </row>
    <row r="3251" spans="5:25">
      <c r="E3251"/>
      <c r="G3251"/>
      <c r="H3251"/>
      <c r="I3251"/>
      <c r="K3251"/>
      <c r="O3251"/>
      <c r="R3251"/>
      <c r="W3251" s="4"/>
      <c r="X3251" s="4"/>
      <c r="Y3251" s="4"/>
    </row>
    <row r="3252" spans="5:25">
      <c r="E3252"/>
      <c r="G3252"/>
      <c r="H3252"/>
      <c r="I3252"/>
      <c r="K3252"/>
      <c r="O3252"/>
      <c r="R3252"/>
      <c r="W3252" s="4"/>
      <c r="X3252" s="4"/>
      <c r="Y3252" s="4"/>
    </row>
    <row r="3253" spans="5:25">
      <c r="E3253"/>
      <c r="G3253"/>
      <c r="H3253"/>
      <c r="I3253"/>
      <c r="K3253"/>
      <c r="O3253"/>
      <c r="R3253"/>
      <c r="W3253" s="4"/>
      <c r="X3253" s="4"/>
      <c r="Y3253" s="4"/>
    </row>
    <row r="3254" spans="5:25">
      <c r="E3254"/>
      <c r="G3254"/>
      <c r="H3254"/>
      <c r="I3254"/>
      <c r="K3254"/>
      <c r="O3254"/>
      <c r="R3254"/>
      <c r="W3254" s="4"/>
      <c r="X3254" s="4"/>
      <c r="Y3254" s="4"/>
    </row>
    <row r="3255" spans="5:25">
      <c r="E3255"/>
      <c r="G3255"/>
      <c r="H3255"/>
      <c r="I3255"/>
      <c r="K3255"/>
      <c r="O3255"/>
      <c r="R3255"/>
      <c r="W3255" s="4"/>
      <c r="X3255" s="4"/>
      <c r="Y3255" s="4"/>
    </row>
    <row r="3256" spans="5:25">
      <c r="E3256"/>
      <c r="G3256"/>
      <c r="H3256"/>
      <c r="I3256"/>
      <c r="K3256"/>
      <c r="O3256"/>
      <c r="R3256"/>
      <c r="W3256" s="4"/>
      <c r="X3256" s="4"/>
      <c r="Y3256" s="4"/>
    </row>
    <row r="3257" spans="5:25">
      <c r="E3257"/>
      <c r="G3257"/>
      <c r="H3257"/>
      <c r="I3257"/>
      <c r="K3257"/>
      <c r="O3257"/>
      <c r="R3257"/>
      <c r="W3257" s="4"/>
      <c r="X3257" s="4"/>
      <c r="Y3257" s="4"/>
    </row>
    <row r="3258" spans="5:25">
      <c r="E3258"/>
      <c r="G3258"/>
      <c r="H3258"/>
      <c r="I3258"/>
      <c r="K3258"/>
      <c r="O3258"/>
      <c r="R3258"/>
      <c r="W3258" s="4"/>
      <c r="X3258" s="4"/>
      <c r="Y3258" s="4"/>
    </row>
    <row r="3259" spans="5:25">
      <c r="E3259"/>
      <c r="G3259"/>
      <c r="H3259"/>
      <c r="I3259"/>
      <c r="K3259"/>
      <c r="O3259"/>
      <c r="R3259"/>
      <c r="W3259" s="4"/>
      <c r="X3259" s="4"/>
      <c r="Y3259" s="4"/>
    </row>
    <row r="3260" spans="5:25">
      <c r="E3260"/>
      <c r="G3260"/>
      <c r="H3260"/>
      <c r="I3260"/>
      <c r="K3260"/>
      <c r="O3260"/>
      <c r="R3260"/>
      <c r="W3260" s="4"/>
      <c r="X3260" s="4"/>
      <c r="Y3260" s="4"/>
    </row>
    <row r="3261" spans="5:25">
      <c r="E3261"/>
      <c r="G3261"/>
      <c r="H3261"/>
      <c r="I3261"/>
      <c r="K3261"/>
      <c r="O3261"/>
      <c r="R3261"/>
      <c r="W3261" s="4"/>
      <c r="X3261" s="4"/>
      <c r="Y3261" s="4"/>
    </row>
    <row r="3262" spans="5:25">
      <c r="E3262"/>
      <c r="G3262"/>
      <c r="H3262"/>
      <c r="I3262"/>
      <c r="K3262"/>
      <c r="O3262"/>
      <c r="R3262"/>
      <c r="W3262" s="4"/>
      <c r="X3262" s="4"/>
      <c r="Y3262" s="4"/>
    </row>
    <row r="3263" spans="5:25">
      <c r="E3263"/>
      <c r="G3263"/>
      <c r="H3263"/>
      <c r="I3263"/>
      <c r="K3263"/>
      <c r="O3263"/>
      <c r="R3263"/>
      <c r="W3263" s="4"/>
      <c r="X3263" s="4"/>
      <c r="Y3263" s="4"/>
    </row>
    <row r="3264" spans="5:25">
      <c r="E3264"/>
      <c r="G3264"/>
      <c r="H3264"/>
      <c r="I3264"/>
      <c r="K3264"/>
      <c r="O3264"/>
      <c r="R3264"/>
      <c r="W3264" s="4"/>
      <c r="X3264" s="4"/>
      <c r="Y3264" s="4"/>
    </row>
    <row r="3265" spans="5:25">
      <c r="E3265"/>
      <c r="G3265"/>
      <c r="H3265"/>
      <c r="I3265"/>
      <c r="K3265"/>
      <c r="O3265"/>
      <c r="R3265"/>
      <c r="W3265" s="4"/>
      <c r="X3265" s="4"/>
      <c r="Y3265" s="4"/>
    </row>
    <row r="3266" spans="5:25">
      <c r="E3266"/>
      <c r="G3266"/>
      <c r="H3266"/>
      <c r="I3266"/>
      <c r="K3266"/>
      <c r="O3266"/>
      <c r="R3266"/>
      <c r="W3266" s="4"/>
      <c r="X3266" s="4"/>
      <c r="Y3266" s="4"/>
    </row>
    <row r="3267" spans="5:25">
      <c r="E3267"/>
      <c r="G3267"/>
      <c r="H3267"/>
      <c r="I3267"/>
      <c r="K3267"/>
      <c r="O3267"/>
      <c r="R3267"/>
      <c r="W3267" s="4"/>
      <c r="X3267" s="4"/>
      <c r="Y3267" s="4"/>
    </row>
    <row r="3268" spans="5:25">
      <c r="E3268"/>
      <c r="G3268"/>
      <c r="H3268"/>
      <c r="I3268"/>
      <c r="K3268"/>
      <c r="O3268"/>
      <c r="R3268"/>
      <c r="W3268" s="4"/>
      <c r="X3268" s="4"/>
      <c r="Y3268" s="4"/>
    </row>
    <row r="3269" spans="5:25">
      <c r="E3269"/>
      <c r="G3269"/>
      <c r="H3269"/>
      <c r="I3269"/>
      <c r="K3269"/>
      <c r="O3269"/>
      <c r="R3269"/>
      <c r="W3269" s="4"/>
      <c r="X3269" s="4"/>
      <c r="Y3269" s="4"/>
    </row>
    <row r="3270" spans="5:25">
      <c r="E3270"/>
      <c r="G3270"/>
      <c r="H3270"/>
      <c r="I3270"/>
      <c r="K3270"/>
      <c r="O3270"/>
      <c r="R3270"/>
      <c r="W3270" s="4"/>
      <c r="X3270" s="4"/>
      <c r="Y3270" s="4"/>
    </row>
    <row r="3271" spans="5:25">
      <c r="E3271"/>
      <c r="G3271"/>
      <c r="H3271"/>
      <c r="I3271"/>
      <c r="K3271"/>
      <c r="O3271"/>
      <c r="R3271"/>
      <c r="W3271" s="4"/>
      <c r="X3271" s="4"/>
      <c r="Y3271" s="4"/>
    </row>
    <row r="3272" spans="5:25">
      <c r="E3272"/>
      <c r="G3272"/>
      <c r="H3272"/>
      <c r="I3272"/>
      <c r="K3272"/>
      <c r="O3272"/>
      <c r="R3272"/>
      <c r="W3272" s="4"/>
      <c r="X3272" s="4"/>
      <c r="Y3272" s="4"/>
    </row>
    <row r="3273" spans="5:25">
      <c r="E3273"/>
      <c r="G3273"/>
      <c r="H3273"/>
      <c r="I3273"/>
      <c r="K3273"/>
      <c r="O3273"/>
      <c r="R3273"/>
      <c r="W3273" s="4"/>
      <c r="X3273" s="4"/>
      <c r="Y3273" s="4"/>
    </row>
    <row r="3274" spans="5:25">
      <c r="E3274"/>
      <c r="G3274"/>
      <c r="H3274"/>
      <c r="I3274"/>
      <c r="K3274"/>
      <c r="O3274"/>
      <c r="R3274"/>
      <c r="W3274" s="4"/>
      <c r="X3274" s="4"/>
      <c r="Y3274" s="4"/>
    </row>
    <row r="3275" spans="5:25">
      <c r="E3275"/>
      <c r="G3275"/>
      <c r="H3275"/>
      <c r="I3275"/>
      <c r="K3275"/>
      <c r="O3275"/>
      <c r="R3275"/>
      <c r="W3275" s="4"/>
      <c r="X3275" s="4"/>
      <c r="Y3275" s="4"/>
    </row>
    <row r="3276" spans="5:25">
      <c r="E3276"/>
      <c r="G3276"/>
      <c r="H3276"/>
      <c r="I3276"/>
      <c r="K3276"/>
      <c r="O3276"/>
      <c r="R3276"/>
      <c r="W3276" s="4"/>
      <c r="X3276" s="4"/>
      <c r="Y3276" s="4"/>
    </row>
    <row r="3277" spans="5:25">
      <c r="E3277"/>
      <c r="G3277"/>
      <c r="H3277"/>
      <c r="I3277"/>
      <c r="K3277"/>
      <c r="O3277"/>
      <c r="R3277"/>
      <c r="W3277" s="4"/>
      <c r="X3277" s="4"/>
      <c r="Y3277" s="4"/>
    </row>
    <row r="3278" spans="5:25">
      <c r="E3278"/>
      <c r="G3278"/>
      <c r="H3278"/>
      <c r="I3278"/>
      <c r="K3278"/>
      <c r="O3278"/>
      <c r="R3278"/>
      <c r="W3278" s="4"/>
      <c r="X3278" s="4"/>
      <c r="Y3278" s="4"/>
    </row>
    <row r="3279" spans="5:25">
      <c r="E3279"/>
      <c r="G3279"/>
      <c r="H3279"/>
      <c r="I3279"/>
      <c r="K3279"/>
      <c r="O3279"/>
      <c r="R3279"/>
      <c r="W3279" s="4"/>
      <c r="X3279" s="4"/>
      <c r="Y3279" s="4"/>
    </row>
    <row r="3280" spans="5:25">
      <c r="E3280"/>
      <c r="G3280"/>
      <c r="H3280"/>
      <c r="I3280"/>
      <c r="K3280"/>
      <c r="O3280"/>
      <c r="R3280"/>
      <c r="W3280" s="4"/>
      <c r="X3280" s="4"/>
      <c r="Y3280" s="4"/>
    </row>
    <row r="3281" spans="5:25">
      <c r="E3281"/>
      <c r="G3281"/>
      <c r="H3281"/>
      <c r="I3281"/>
      <c r="K3281"/>
      <c r="O3281"/>
      <c r="R3281"/>
      <c r="W3281" s="4"/>
      <c r="X3281" s="4"/>
      <c r="Y3281" s="4"/>
    </row>
    <row r="3282" spans="5:25">
      <c r="E3282"/>
      <c r="G3282"/>
      <c r="H3282"/>
      <c r="I3282"/>
      <c r="K3282"/>
      <c r="O3282"/>
      <c r="R3282"/>
      <c r="W3282" s="4"/>
      <c r="X3282" s="4"/>
      <c r="Y3282" s="4"/>
    </row>
    <row r="3283" spans="5:25">
      <c r="E3283"/>
      <c r="G3283"/>
      <c r="H3283"/>
      <c r="I3283"/>
      <c r="K3283"/>
      <c r="O3283"/>
      <c r="R3283"/>
      <c r="W3283" s="4"/>
      <c r="X3283" s="4"/>
      <c r="Y3283" s="4"/>
    </row>
    <row r="3284" spans="5:25">
      <c r="E3284"/>
      <c r="G3284"/>
      <c r="H3284"/>
      <c r="I3284"/>
      <c r="K3284"/>
      <c r="O3284"/>
      <c r="R3284"/>
      <c r="W3284" s="4"/>
      <c r="X3284" s="4"/>
      <c r="Y3284" s="4"/>
    </row>
    <row r="3285" spans="5:25">
      <c r="E3285"/>
      <c r="G3285"/>
      <c r="H3285"/>
      <c r="I3285"/>
      <c r="K3285"/>
      <c r="O3285"/>
      <c r="R3285"/>
      <c r="W3285" s="4"/>
      <c r="X3285" s="4"/>
      <c r="Y3285" s="4"/>
    </row>
    <row r="3286" spans="5:25">
      <c r="E3286"/>
      <c r="G3286"/>
      <c r="H3286"/>
      <c r="I3286"/>
      <c r="K3286"/>
      <c r="O3286"/>
      <c r="R3286"/>
      <c r="W3286" s="4"/>
      <c r="X3286" s="4"/>
      <c r="Y3286" s="4"/>
    </row>
    <row r="3287" spans="5:25">
      <c r="E3287"/>
      <c r="G3287"/>
      <c r="H3287"/>
      <c r="I3287"/>
      <c r="K3287"/>
      <c r="O3287"/>
      <c r="R3287"/>
      <c r="W3287" s="4"/>
      <c r="X3287" s="4"/>
      <c r="Y3287" s="4"/>
    </row>
    <row r="3288" spans="5:25">
      <c r="E3288"/>
      <c r="G3288"/>
      <c r="H3288"/>
      <c r="I3288"/>
      <c r="K3288"/>
      <c r="O3288"/>
      <c r="R3288"/>
      <c r="W3288" s="4"/>
      <c r="X3288" s="4"/>
      <c r="Y3288" s="4"/>
    </row>
    <row r="3289" spans="5:25">
      <c r="E3289"/>
      <c r="G3289"/>
      <c r="H3289"/>
      <c r="I3289"/>
      <c r="K3289"/>
      <c r="O3289"/>
      <c r="R3289"/>
      <c r="W3289" s="4"/>
      <c r="X3289" s="4"/>
      <c r="Y3289" s="4"/>
    </row>
    <row r="3290" spans="5:25">
      <c r="E3290"/>
      <c r="G3290"/>
      <c r="H3290"/>
      <c r="I3290"/>
      <c r="K3290"/>
      <c r="O3290"/>
      <c r="R3290"/>
      <c r="W3290" s="4"/>
      <c r="X3290" s="4"/>
      <c r="Y3290" s="4"/>
    </row>
    <row r="3291" spans="5:25">
      <c r="E3291"/>
      <c r="G3291"/>
      <c r="H3291"/>
      <c r="I3291"/>
      <c r="K3291"/>
      <c r="O3291"/>
      <c r="R3291"/>
      <c r="W3291" s="4"/>
      <c r="X3291" s="4"/>
      <c r="Y3291" s="4"/>
    </row>
    <row r="3292" spans="5:25">
      <c r="E3292"/>
      <c r="G3292"/>
      <c r="H3292"/>
      <c r="I3292"/>
      <c r="K3292"/>
      <c r="O3292"/>
      <c r="R3292"/>
      <c r="W3292" s="4"/>
      <c r="X3292" s="4"/>
      <c r="Y3292" s="4"/>
    </row>
    <row r="3293" spans="5:25">
      <c r="E3293"/>
      <c r="G3293"/>
      <c r="H3293"/>
      <c r="I3293"/>
      <c r="K3293"/>
      <c r="O3293"/>
      <c r="R3293"/>
      <c r="W3293" s="4"/>
      <c r="X3293" s="4"/>
      <c r="Y3293" s="4"/>
    </row>
    <row r="3294" spans="5:25">
      <c r="E3294"/>
      <c r="G3294"/>
      <c r="H3294"/>
      <c r="I3294"/>
      <c r="K3294"/>
      <c r="O3294"/>
      <c r="R3294"/>
      <c r="W3294" s="4"/>
      <c r="X3294" s="4"/>
      <c r="Y3294" s="4"/>
    </row>
    <row r="3295" spans="5:25">
      <c r="E3295"/>
      <c r="G3295"/>
      <c r="H3295"/>
      <c r="I3295"/>
      <c r="K3295"/>
      <c r="O3295"/>
      <c r="R3295"/>
      <c r="W3295" s="4"/>
      <c r="X3295" s="4"/>
      <c r="Y3295" s="4"/>
    </row>
    <row r="3296" spans="5:25">
      <c r="E3296"/>
      <c r="G3296"/>
      <c r="H3296"/>
      <c r="I3296"/>
      <c r="K3296"/>
      <c r="O3296"/>
      <c r="R3296"/>
      <c r="W3296" s="4"/>
      <c r="X3296" s="4"/>
      <c r="Y3296" s="4"/>
    </row>
    <row r="3297" spans="5:25">
      <c r="E3297"/>
      <c r="G3297"/>
      <c r="H3297"/>
      <c r="I3297"/>
      <c r="K3297"/>
      <c r="O3297"/>
      <c r="R3297"/>
      <c r="W3297" s="4"/>
      <c r="X3297" s="4"/>
      <c r="Y3297" s="4"/>
    </row>
    <row r="3298" spans="5:25">
      <c r="E3298"/>
      <c r="G3298"/>
      <c r="H3298"/>
      <c r="I3298"/>
      <c r="K3298"/>
      <c r="O3298"/>
      <c r="R3298"/>
      <c r="W3298" s="4"/>
      <c r="X3298" s="4"/>
      <c r="Y3298" s="4"/>
    </row>
    <row r="3299" spans="5:25">
      <c r="E3299"/>
      <c r="G3299"/>
      <c r="H3299"/>
      <c r="I3299"/>
      <c r="K3299"/>
      <c r="O3299"/>
      <c r="R3299"/>
      <c r="W3299" s="4"/>
      <c r="X3299" s="4"/>
      <c r="Y3299" s="4"/>
    </row>
    <row r="3300" spans="5:25">
      <c r="E3300"/>
      <c r="G3300"/>
      <c r="H3300"/>
      <c r="I3300"/>
      <c r="K3300"/>
      <c r="O3300"/>
      <c r="R3300"/>
      <c r="W3300" s="4"/>
      <c r="X3300" s="4"/>
      <c r="Y3300" s="4"/>
    </row>
    <row r="3301" spans="5:25">
      <c r="E3301"/>
      <c r="G3301"/>
      <c r="H3301"/>
      <c r="I3301"/>
      <c r="K3301"/>
      <c r="O3301"/>
      <c r="R3301"/>
      <c r="W3301" s="4"/>
      <c r="X3301" s="4"/>
      <c r="Y3301" s="4"/>
    </row>
    <row r="3302" spans="5:25">
      <c r="E3302"/>
      <c r="G3302"/>
      <c r="H3302"/>
      <c r="I3302"/>
      <c r="K3302"/>
      <c r="O3302"/>
      <c r="R3302"/>
      <c r="W3302" s="4"/>
      <c r="X3302" s="4"/>
      <c r="Y3302" s="4"/>
    </row>
    <row r="3303" spans="5:25">
      <c r="E3303"/>
      <c r="G3303"/>
      <c r="H3303"/>
      <c r="I3303"/>
      <c r="K3303"/>
      <c r="O3303"/>
      <c r="R3303"/>
      <c r="W3303" s="4"/>
      <c r="X3303" s="4"/>
      <c r="Y3303" s="4"/>
    </row>
    <row r="3304" spans="5:25">
      <c r="E3304"/>
      <c r="G3304"/>
      <c r="H3304"/>
      <c r="I3304"/>
      <c r="K3304"/>
      <c r="O3304"/>
      <c r="R3304"/>
      <c r="W3304" s="4"/>
      <c r="X3304" s="4"/>
      <c r="Y3304" s="4"/>
    </row>
    <row r="3305" spans="5:25">
      <c r="E3305"/>
      <c r="G3305"/>
      <c r="H3305"/>
      <c r="I3305"/>
      <c r="K3305"/>
      <c r="O3305"/>
      <c r="R3305"/>
      <c r="W3305" s="4"/>
      <c r="X3305" s="4"/>
      <c r="Y3305" s="4"/>
    </row>
    <row r="3306" spans="5:25">
      <c r="E3306"/>
      <c r="G3306"/>
      <c r="H3306"/>
      <c r="I3306"/>
      <c r="K3306"/>
      <c r="O3306"/>
      <c r="R3306"/>
      <c r="W3306" s="4"/>
      <c r="X3306" s="4"/>
      <c r="Y3306" s="4"/>
    </row>
    <row r="3307" spans="5:25">
      <c r="E3307"/>
      <c r="G3307"/>
      <c r="H3307"/>
      <c r="I3307"/>
      <c r="K3307"/>
      <c r="O3307"/>
      <c r="R3307"/>
      <c r="W3307" s="4"/>
      <c r="X3307" s="4"/>
      <c r="Y3307" s="4"/>
    </row>
    <row r="3308" spans="5:25">
      <c r="E3308"/>
      <c r="G3308"/>
      <c r="H3308"/>
      <c r="I3308"/>
      <c r="K3308"/>
      <c r="O3308"/>
      <c r="R3308"/>
      <c r="W3308" s="4"/>
      <c r="X3308" s="4"/>
      <c r="Y3308" s="4"/>
    </row>
    <row r="3309" spans="5:25">
      <c r="E3309"/>
      <c r="G3309"/>
      <c r="H3309"/>
      <c r="I3309"/>
      <c r="K3309"/>
      <c r="O3309"/>
      <c r="R3309"/>
      <c r="W3309" s="4"/>
      <c r="X3309" s="4"/>
      <c r="Y3309" s="4"/>
    </row>
    <row r="3310" spans="5:25">
      <c r="E3310"/>
      <c r="G3310"/>
      <c r="H3310"/>
      <c r="I3310"/>
      <c r="K3310"/>
      <c r="O3310"/>
      <c r="R3310"/>
      <c r="W3310" s="4"/>
      <c r="X3310" s="4"/>
      <c r="Y3310" s="4"/>
    </row>
    <row r="3311" spans="5:25">
      <c r="E3311"/>
      <c r="G3311"/>
      <c r="H3311"/>
      <c r="I3311"/>
      <c r="K3311"/>
      <c r="O3311"/>
      <c r="R3311"/>
      <c r="W3311" s="4"/>
      <c r="X3311" s="4"/>
      <c r="Y3311" s="4"/>
    </row>
    <row r="3312" spans="5:25">
      <c r="E3312"/>
      <c r="G3312"/>
      <c r="H3312"/>
      <c r="I3312"/>
      <c r="K3312"/>
      <c r="O3312"/>
      <c r="R3312"/>
      <c r="W3312" s="4"/>
      <c r="X3312" s="4"/>
      <c r="Y3312" s="4"/>
    </row>
    <row r="3313" spans="5:25">
      <c r="E3313"/>
      <c r="G3313"/>
      <c r="H3313"/>
      <c r="I3313"/>
      <c r="K3313"/>
      <c r="O3313"/>
      <c r="R3313"/>
      <c r="W3313" s="4"/>
      <c r="X3313" s="4"/>
      <c r="Y3313" s="4"/>
    </row>
    <row r="3314" spans="5:25">
      <c r="E3314"/>
      <c r="G3314"/>
      <c r="H3314"/>
      <c r="I3314"/>
      <c r="K3314"/>
      <c r="O3314"/>
      <c r="R3314"/>
      <c r="W3314" s="4"/>
      <c r="X3314" s="4"/>
      <c r="Y3314" s="4"/>
    </row>
    <row r="3315" spans="5:25">
      <c r="E3315"/>
      <c r="G3315"/>
      <c r="H3315"/>
      <c r="I3315"/>
      <c r="K3315"/>
      <c r="O3315"/>
      <c r="R3315"/>
      <c r="W3315" s="4"/>
      <c r="X3315" s="4"/>
      <c r="Y3315" s="4"/>
    </row>
    <row r="3316" spans="5:25">
      <c r="E3316"/>
      <c r="G3316"/>
      <c r="H3316"/>
      <c r="I3316"/>
      <c r="K3316"/>
      <c r="O3316"/>
      <c r="R3316"/>
      <c r="W3316" s="4"/>
      <c r="X3316" s="4"/>
      <c r="Y3316" s="4"/>
    </row>
    <row r="3317" spans="5:25">
      <c r="E3317"/>
      <c r="G3317"/>
      <c r="H3317"/>
      <c r="I3317"/>
      <c r="K3317"/>
      <c r="O3317"/>
      <c r="R3317"/>
      <c r="W3317" s="4"/>
      <c r="X3317" s="4"/>
      <c r="Y3317" s="4"/>
    </row>
    <row r="3318" spans="5:25">
      <c r="E3318"/>
      <c r="G3318"/>
      <c r="H3318"/>
      <c r="I3318"/>
      <c r="K3318"/>
      <c r="O3318"/>
      <c r="R3318"/>
      <c r="W3318" s="4"/>
      <c r="X3318" s="4"/>
      <c r="Y3318" s="4"/>
    </row>
    <row r="3319" spans="5:25">
      <c r="E3319"/>
      <c r="G3319"/>
      <c r="H3319"/>
      <c r="I3319"/>
      <c r="K3319"/>
      <c r="O3319"/>
      <c r="R3319"/>
      <c r="W3319" s="4"/>
      <c r="X3319" s="4"/>
      <c r="Y3319" s="4"/>
    </row>
    <row r="3320" spans="5:25">
      <c r="E3320"/>
      <c r="G3320"/>
      <c r="H3320"/>
      <c r="I3320"/>
      <c r="K3320"/>
      <c r="O3320"/>
      <c r="R3320"/>
      <c r="W3320" s="4"/>
      <c r="X3320" s="4"/>
      <c r="Y3320" s="4"/>
    </row>
    <row r="3321" spans="5:25">
      <c r="E3321"/>
      <c r="G3321"/>
      <c r="H3321"/>
      <c r="I3321"/>
      <c r="K3321"/>
      <c r="O3321"/>
      <c r="R3321"/>
      <c r="W3321" s="4"/>
      <c r="X3321" s="4"/>
      <c r="Y3321" s="4"/>
    </row>
    <row r="3322" spans="5:25">
      <c r="E3322"/>
      <c r="G3322"/>
      <c r="H3322"/>
      <c r="I3322"/>
      <c r="K3322"/>
      <c r="O3322"/>
      <c r="R3322"/>
      <c r="W3322" s="4"/>
      <c r="X3322" s="4"/>
      <c r="Y3322" s="4"/>
    </row>
    <row r="3323" spans="5:25">
      <c r="E3323"/>
      <c r="G3323"/>
      <c r="H3323"/>
      <c r="I3323"/>
      <c r="K3323"/>
      <c r="O3323"/>
      <c r="R3323"/>
      <c r="W3323" s="4"/>
      <c r="X3323" s="4"/>
      <c r="Y3323" s="4"/>
    </row>
    <row r="3324" spans="5:25">
      <c r="E3324"/>
      <c r="G3324"/>
      <c r="H3324"/>
      <c r="I3324"/>
      <c r="K3324"/>
      <c r="O3324"/>
      <c r="R3324"/>
      <c r="W3324" s="4"/>
      <c r="X3324" s="4"/>
      <c r="Y3324" s="4"/>
    </row>
    <row r="3325" spans="5:25">
      <c r="E3325"/>
      <c r="G3325"/>
      <c r="H3325"/>
      <c r="I3325"/>
      <c r="K3325"/>
      <c r="O3325"/>
      <c r="R3325"/>
      <c r="W3325" s="4"/>
      <c r="X3325" s="4"/>
      <c r="Y3325" s="4"/>
    </row>
    <row r="3326" spans="5:25">
      <c r="E3326"/>
      <c r="G3326"/>
      <c r="H3326"/>
      <c r="I3326"/>
      <c r="K3326"/>
      <c r="O3326"/>
      <c r="R3326"/>
      <c r="W3326" s="4"/>
      <c r="X3326" s="4"/>
      <c r="Y3326" s="4"/>
    </row>
    <row r="3327" spans="5:25">
      <c r="E3327"/>
      <c r="G3327"/>
      <c r="H3327"/>
      <c r="I3327"/>
      <c r="K3327"/>
      <c r="O3327"/>
      <c r="R3327"/>
      <c r="W3327" s="4"/>
      <c r="X3327" s="4"/>
      <c r="Y3327" s="4"/>
    </row>
    <row r="3328" spans="5:25">
      <c r="E3328"/>
      <c r="G3328"/>
      <c r="H3328"/>
      <c r="I3328"/>
      <c r="K3328"/>
      <c r="O3328"/>
      <c r="R3328"/>
      <c r="W3328" s="4"/>
      <c r="X3328" s="4"/>
      <c r="Y3328" s="4"/>
    </row>
    <row r="3329" spans="5:25">
      <c r="E3329"/>
      <c r="G3329"/>
      <c r="H3329"/>
      <c r="I3329"/>
      <c r="K3329"/>
      <c r="O3329"/>
      <c r="R3329"/>
      <c r="W3329" s="4"/>
      <c r="X3329" s="4"/>
      <c r="Y3329" s="4"/>
    </row>
    <row r="3330" spans="5:25">
      <c r="E3330"/>
      <c r="G3330"/>
      <c r="H3330"/>
      <c r="I3330"/>
      <c r="K3330"/>
      <c r="O3330"/>
      <c r="R3330"/>
      <c r="W3330" s="4"/>
      <c r="X3330" s="4"/>
      <c r="Y3330" s="4"/>
    </row>
    <row r="3331" spans="5:25">
      <c r="E3331"/>
      <c r="G3331"/>
      <c r="H3331"/>
      <c r="I3331"/>
      <c r="K3331"/>
      <c r="O3331"/>
      <c r="R3331"/>
      <c r="W3331" s="4"/>
      <c r="X3331" s="4"/>
      <c r="Y3331" s="4"/>
    </row>
    <row r="3332" spans="5:25">
      <c r="E3332"/>
      <c r="G3332"/>
      <c r="H3332"/>
      <c r="I3332"/>
      <c r="K3332"/>
      <c r="O3332"/>
      <c r="R3332"/>
      <c r="W3332" s="4"/>
      <c r="X3332" s="4"/>
      <c r="Y3332" s="4"/>
    </row>
    <row r="3333" spans="5:25">
      <c r="E3333"/>
      <c r="G3333"/>
      <c r="H3333"/>
      <c r="I3333"/>
      <c r="K3333"/>
      <c r="O3333"/>
      <c r="R3333"/>
      <c r="W3333" s="4"/>
      <c r="X3333" s="4"/>
      <c r="Y3333" s="4"/>
    </row>
    <row r="3334" spans="5:25">
      <c r="E3334"/>
      <c r="G3334"/>
      <c r="H3334"/>
      <c r="I3334"/>
      <c r="K3334"/>
      <c r="O3334"/>
      <c r="R3334"/>
      <c r="W3334" s="4"/>
      <c r="X3334" s="4"/>
      <c r="Y3334" s="4"/>
    </row>
    <row r="3335" spans="5:25">
      <c r="E3335"/>
      <c r="G3335"/>
      <c r="H3335"/>
      <c r="I3335"/>
      <c r="K3335"/>
      <c r="O3335"/>
      <c r="R3335"/>
      <c r="W3335" s="4"/>
      <c r="X3335" s="4"/>
      <c r="Y3335" s="4"/>
    </row>
    <row r="3336" spans="5:25">
      <c r="E3336"/>
      <c r="G3336"/>
      <c r="H3336"/>
      <c r="I3336"/>
      <c r="K3336"/>
      <c r="O3336"/>
      <c r="R3336"/>
      <c r="W3336" s="4"/>
      <c r="X3336" s="4"/>
      <c r="Y3336" s="4"/>
    </row>
    <row r="3337" spans="5:25">
      <c r="E3337"/>
      <c r="G3337"/>
      <c r="H3337"/>
      <c r="I3337"/>
      <c r="K3337"/>
      <c r="O3337"/>
      <c r="R3337"/>
      <c r="W3337" s="4"/>
      <c r="X3337" s="4"/>
      <c r="Y3337" s="4"/>
    </row>
    <row r="3338" spans="5:25">
      <c r="E3338"/>
      <c r="G3338"/>
      <c r="H3338"/>
      <c r="I3338"/>
      <c r="K3338"/>
      <c r="O3338"/>
      <c r="R3338"/>
      <c r="W3338" s="4"/>
      <c r="X3338" s="4"/>
      <c r="Y3338" s="4"/>
    </row>
    <row r="3339" spans="5:25">
      <c r="E3339"/>
      <c r="G3339"/>
      <c r="H3339"/>
      <c r="I3339"/>
      <c r="K3339"/>
      <c r="O3339"/>
      <c r="R3339"/>
      <c r="W3339" s="4"/>
      <c r="X3339" s="4"/>
      <c r="Y3339" s="4"/>
    </row>
    <row r="3340" spans="5:25">
      <c r="E3340"/>
      <c r="G3340"/>
      <c r="H3340"/>
      <c r="I3340"/>
      <c r="K3340"/>
      <c r="O3340"/>
      <c r="R3340"/>
      <c r="W3340" s="4"/>
      <c r="X3340" s="4"/>
      <c r="Y3340" s="4"/>
    </row>
    <row r="3341" spans="5:25">
      <c r="E3341"/>
      <c r="G3341"/>
      <c r="H3341"/>
      <c r="I3341"/>
      <c r="K3341"/>
      <c r="O3341"/>
      <c r="R3341"/>
      <c r="W3341" s="4"/>
      <c r="X3341" s="4"/>
      <c r="Y3341" s="4"/>
    </row>
    <row r="3342" spans="5:25">
      <c r="E3342"/>
      <c r="G3342"/>
      <c r="H3342"/>
      <c r="I3342"/>
      <c r="K3342"/>
      <c r="O3342"/>
      <c r="R3342"/>
      <c r="W3342" s="4"/>
      <c r="X3342" s="4"/>
      <c r="Y3342" s="4"/>
    </row>
    <row r="3343" spans="5:25">
      <c r="E3343"/>
      <c r="G3343"/>
      <c r="H3343"/>
      <c r="I3343"/>
      <c r="K3343"/>
      <c r="O3343"/>
      <c r="R3343"/>
      <c r="W3343" s="4"/>
      <c r="X3343" s="4"/>
      <c r="Y3343" s="4"/>
    </row>
    <row r="3344" spans="5:25">
      <c r="E3344"/>
      <c r="G3344"/>
      <c r="H3344"/>
      <c r="I3344"/>
      <c r="K3344"/>
      <c r="O3344"/>
      <c r="R3344"/>
      <c r="W3344" s="4"/>
      <c r="X3344" s="4"/>
      <c r="Y3344" s="4"/>
    </row>
    <row r="3345" spans="5:25">
      <c r="E3345"/>
      <c r="G3345"/>
      <c r="H3345"/>
      <c r="I3345"/>
      <c r="K3345"/>
      <c r="O3345"/>
      <c r="R3345"/>
      <c r="W3345" s="4"/>
      <c r="X3345" s="4"/>
      <c r="Y3345" s="4"/>
    </row>
    <row r="3346" spans="5:25">
      <c r="E3346"/>
      <c r="G3346"/>
      <c r="H3346"/>
      <c r="I3346"/>
      <c r="K3346"/>
      <c r="O3346"/>
      <c r="R3346"/>
      <c r="W3346" s="4"/>
      <c r="X3346" s="4"/>
      <c r="Y3346" s="4"/>
    </row>
    <row r="3347" spans="5:25">
      <c r="E3347"/>
      <c r="G3347"/>
      <c r="H3347"/>
      <c r="I3347"/>
      <c r="K3347"/>
      <c r="O3347"/>
      <c r="R3347"/>
      <c r="W3347" s="4"/>
      <c r="X3347" s="4"/>
      <c r="Y3347" s="4"/>
    </row>
    <row r="3348" spans="5:25">
      <c r="E3348"/>
      <c r="G3348"/>
      <c r="H3348"/>
      <c r="I3348"/>
      <c r="K3348"/>
      <c r="O3348"/>
      <c r="R3348"/>
      <c r="W3348" s="4"/>
      <c r="X3348" s="4"/>
      <c r="Y3348" s="4"/>
    </row>
    <row r="3349" spans="5:25">
      <c r="E3349"/>
      <c r="G3349"/>
      <c r="H3349"/>
      <c r="I3349"/>
      <c r="K3349"/>
      <c r="O3349"/>
      <c r="R3349"/>
      <c r="W3349" s="4"/>
      <c r="X3349" s="4"/>
      <c r="Y3349" s="4"/>
    </row>
    <row r="3350" spans="5:25">
      <c r="E3350"/>
      <c r="G3350"/>
      <c r="H3350"/>
      <c r="I3350"/>
      <c r="K3350"/>
      <c r="O3350"/>
      <c r="R3350"/>
      <c r="W3350" s="4"/>
      <c r="X3350" s="4"/>
      <c r="Y3350" s="4"/>
    </row>
    <row r="3351" spans="5:25">
      <c r="E3351"/>
      <c r="G3351"/>
      <c r="H3351"/>
      <c r="I3351"/>
      <c r="K3351"/>
      <c r="O3351"/>
      <c r="R3351"/>
      <c r="W3351" s="4"/>
      <c r="X3351" s="4"/>
      <c r="Y3351" s="4"/>
    </row>
    <row r="3352" spans="5:25">
      <c r="E3352"/>
      <c r="G3352"/>
      <c r="H3352"/>
      <c r="I3352"/>
      <c r="K3352"/>
      <c r="O3352"/>
      <c r="R3352"/>
      <c r="W3352" s="4"/>
      <c r="X3352" s="4"/>
      <c r="Y3352" s="4"/>
    </row>
    <row r="3353" spans="5:25">
      <c r="E3353"/>
      <c r="G3353"/>
      <c r="H3353"/>
      <c r="I3353"/>
      <c r="K3353"/>
      <c r="O3353"/>
      <c r="R3353"/>
      <c r="W3353" s="4"/>
      <c r="X3353" s="4"/>
      <c r="Y3353" s="4"/>
    </row>
    <row r="3354" spans="5:25">
      <c r="E3354"/>
      <c r="G3354"/>
      <c r="H3354"/>
      <c r="I3354"/>
      <c r="K3354"/>
      <c r="O3354"/>
      <c r="R3354"/>
      <c r="W3354" s="4"/>
      <c r="X3354" s="4"/>
      <c r="Y3354" s="4"/>
    </row>
    <row r="3355" spans="5:25">
      <c r="E3355"/>
      <c r="G3355"/>
      <c r="H3355"/>
      <c r="I3355"/>
      <c r="K3355"/>
      <c r="O3355"/>
      <c r="R3355"/>
      <c r="W3355" s="4"/>
      <c r="X3355" s="4"/>
      <c r="Y3355" s="4"/>
    </row>
    <row r="3356" spans="5:25">
      <c r="E3356"/>
      <c r="G3356"/>
      <c r="H3356"/>
      <c r="I3356"/>
      <c r="K3356"/>
      <c r="O3356"/>
      <c r="R3356"/>
      <c r="W3356" s="4"/>
      <c r="X3356" s="4"/>
      <c r="Y3356" s="4"/>
    </row>
    <row r="3357" spans="5:25">
      <c r="E3357"/>
      <c r="G3357"/>
      <c r="H3357"/>
      <c r="I3357"/>
      <c r="K3357"/>
      <c r="O3357"/>
      <c r="R3357"/>
      <c r="W3357" s="4"/>
      <c r="X3357" s="4"/>
      <c r="Y3357" s="4"/>
    </row>
    <row r="3358" spans="5:25">
      <c r="E3358"/>
      <c r="G3358"/>
      <c r="H3358"/>
      <c r="I3358"/>
      <c r="K3358"/>
      <c r="O3358"/>
      <c r="R3358"/>
      <c r="W3358" s="4"/>
      <c r="X3358" s="4"/>
      <c r="Y3358" s="4"/>
    </row>
    <row r="3359" spans="5:25">
      <c r="E3359"/>
      <c r="G3359"/>
      <c r="H3359"/>
      <c r="I3359"/>
      <c r="K3359"/>
      <c r="O3359"/>
      <c r="R3359"/>
      <c r="W3359" s="4"/>
      <c r="X3359" s="4"/>
      <c r="Y3359" s="4"/>
    </row>
    <row r="3360" spans="5:25">
      <c r="E3360"/>
      <c r="G3360"/>
      <c r="H3360"/>
      <c r="I3360"/>
      <c r="K3360"/>
      <c r="O3360"/>
      <c r="R3360"/>
      <c r="W3360" s="4"/>
      <c r="X3360" s="4"/>
      <c r="Y3360" s="4"/>
    </row>
    <row r="3361" spans="5:25">
      <c r="E3361"/>
      <c r="G3361"/>
      <c r="H3361"/>
      <c r="I3361"/>
      <c r="K3361"/>
      <c r="O3361"/>
      <c r="R3361"/>
      <c r="W3361" s="4"/>
      <c r="X3361" s="4"/>
      <c r="Y3361" s="4"/>
    </row>
    <row r="3362" spans="5:25">
      <c r="E3362"/>
      <c r="G3362"/>
      <c r="H3362"/>
      <c r="I3362"/>
      <c r="K3362"/>
      <c r="O3362"/>
      <c r="R3362"/>
      <c r="W3362" s="4"/>
      <c r="X3362" s="4"/>
      <c r="Y3362" s="4"/>
    </row>
    <row r="3363" spans="5:25">
      <c r="E3363"/>
      <c r="G3363"/>
      <c r="H3363"/>
      <c r="I3363"/>
      <c r="K3363"/>
      <c r="O3363"/>
      <c r="R3363"/>
      <c r="W3363" s="4"/>
      <c r="X3363" s="4"/>
      <c r="Y3363" s="4"/>
    </row>
    <row r="3364" spans="5:25">
      <c r="E3364"/>
      <c r="G3364"/>
      <c r="H3364"/>
      <c r="I3364"/>
      <c r="K3364"/>
      <c r="O3364"/>
      <c r="R3364"/>
      <c r="W3364" s="4"/>
      <c r="X3364" s="4"/>
      <c r="Y3364" s="4"/>
    </row>
    <row r="3365" spans="5:25">
      <c r="E3365"/>
      <c r="G3365"/>
      <c r="H3365"/>
      <c r="I3365"/>
      <c r="K3365"/>
      <c r="O3365"/>
      <c r="R3365"/>
      <c r="W3365" s="4"/>
      <c r="X3365" s="4"/>
      <c r="Y3365" s="4"/>
    </row>
    <row r="3366" spans="5:25">
      <c r="E3366"/>
      <c r="G3366"/>
      <c r="H3366"/>
      <c r="I3366"/>
      <c r="K3366"/>
      <c r="O3366"/>
      <c r="R3366"/>
      <c r="W3366" s="4"/>
      <c r="X3366" s="4"/>
      <c r="Y3366" s="4"/>
    </row>
    <row r="3367" spans="5:25">
      <c r="E3367"/>
      <c r="G3367"/>
      <c r="H3367"/>
      <c r="I3367"/>
      <c r="K3367"/>
      <c r="O3367"/>
      <c r="R3367"/>
      <c r="W3367" s="4"/>
      <c r="X3367" s="4"/>
      <c r="Y3367" s="4"/>
    </row>
    <row r="3368" spans="5:25">
      <c r="E3368"/>
      <c r="G3368"/>
      <c r="H3368"/>
      <c r="I3368"/>
      <c r="K3368"/>
      <c r="O3368"/>
      <c r="R3368"/>
      <c r="W3368" s="4"/>
      <c r="X3368" s="4"/>
      <c r="Y3368" s="4"/>
    </row>
    <row r="3369" spans="5:25">
      <c r="E3369"/>
      <c r="G3369"/>
      <c r="H3369"/>
      <c r="I3369"/>
      <c r="K3369"/>
      <c r="O3369"/>
      <c r="R3369"/>
      <c r="W3369" s="4"/>
      <c r="X3369" s="4"/>
      <c r="Y3369" s="4"/>
    </row>
    <row r="3370" spans="5:25">
      <c r="E3370"/>
      <c r="G3370"/>
      <c r="H3370"/>
      <c r="I3370"/>
      <c r="K3370"/>
      <c r="O3370"/>
      <c r="R3370"/>
      <c r="W3370" s="4"/>
      <c r="X3370" s="4"/>
      <c r="Y3370" s="4"/>
    </row>
    <row r="3371" spans="5:25">
      <c r="E3371"/>
      <c r="G3371"/>
      <c r="H3371"/>
      <c r="I3371"/>
      <c r="K3371"/>
      <c r="O3371"/>
      <c r="R3371"/>
      <c r="W3371" s="4"/>
      <c r="X3371" s="4"/>
      <c r="Y3371" s="4"/>
    </row>
    <row r="3372" spans="5:25">
      <c r="E3372"/>
      <c r="G3372"/>
      <c r="H3372"/>
      <c r="I3372"/>
      <c r="K3372"/>
      <c r="O3372"/>
      <c r="R3372"/>
      <c r="W3372" s="4"/>
      <c r="X3372" s="4"/>
      <c r="Y3372" s="4"/>
    </row>
    <row r="3373" spans="5:25">
      <c r="E3373"/>
      <c r="G3373"/>
      <c r="H3373"/>
      <c r="I3373"/>
      <c r="K3373"/>
      <c r="O3373"/>
      <c r="R3373"/>
      <c r="W3373" s="4"/>
      <c r="X3373" s="4"/>
      <c r="Y3373" s="4"/>
    </row>
    <row r="3374" spans="5:25">
      <c r="E3374"/>
      <c r="G3374"/>
      <c r="H3374"/>
      <c r="I3374"/>
      <c r="K3374"/>
      <c r="O3374"/>
      <c r="R3374"/>
      <c r="W3374" s="4"/>
      <c r="X3374" s="4"/>
      <c r="Y3374" s="4"/>
    </row>
    <row r="3375" spans="5:25">
      <c r="E3375"/>
      <c r="G3375"/>
      <c r="H3375"/>
      <c r="I3375"/>
      <c r="K3375"/>
      <c r="O3375"/>
      <c r="R3375"/>
      <c r="W3375" s="4"/>
      <c r="X3375" s="4"/>
      <c r="Y3375" s="4"/>
    </row>
    <row r="3376" spans="5:25">
      <c r="E3376"/>
      <c r="G3376"/>
      <c r="H3376"/>
      <c r="I3376"/>
      <c r="K3376"/>
      <c r="O3376"/>
      <c r="R3376"/>
      <c r="W3376" s="4"/>
      <c r="X3376" s="4"/>
      <c r="Y3376" s="4"/>
    </row>
    <row r="3377" spans="5:25">
      <c r="E3377"/>
      <c r="G3377"/>
      <c r="H3377"/>
      <c r="I3377"/>
      <c r="K3377"/>
      <c r="O3377"/>
      <c r="R3377"/>
      <c r="W3377" s="4"/>
      <c r="X3377" s="4"/>
      <c r="Y3377" s="4"/>
    </row>
    <row r="3378" spans="5:25">
      <c r="E3378"/>
      <c r="G3378"/>
      <c r="H3378"/>
      <c r="I3378"/>
      <c r="K3378"/>
      <c r="O3378"/>
      <c r="R3378"/>
      <c r="W3378" s="4"/>
      <c r="X3378" s="4"/>
      <c r="Y3378" s="4"/>
    </row>
    <row r="3379" spans="5:25">
      <c r="E3379"/>
      <c r="G3379"/>
      <c r="H3379"/>
      <c r="I3379"/>
      <c r="K3379"/>
      <c r="O3379"/>
      <c r="R3379"/>
      <c r="W3379" s="4"/>
      <c r="X3379" s="4"/>
      <c r="Y3379" s="4"/>
    </row>
    <row r="3380" spans="5:25">
      <c r="E3380"/>
      <c r="G3380"/>
      <c r="H3380"/>
      <c r="I3380"/>
      <c r="K3380"/>
      <c r="O3380"/>
      <c r="R3380"/>
      <c r="W3380" s="4"/>
      <c r="X3380" s="4"/>
      <c r="Y3380" s="4"/>
    </row>
    <row r="3381" spans="5:25">
      <c r="E3381"/>
      <c r="G3381"/>
      <c r="H3381"/>
      <c r="I3381"/>
      <c r="K3381"/>
      <c r="O3381"/>
      <c r="R3381"/>
      <c r="W3381" s="4"/>
      <c r="X3381" s="4"/>
      <c r="Y3381" s="4"/>
    </row>
    <row r="3382" spans="5:25">
      <c r="E3382"/>
      <c r="G3382"/>
      <c r="H3382"/>
      <c r="I3382"/>
      <c r="K3382"/>
      <c r="O3382"/>
      <c r="R3382"/>
      <c r="W3382" s="4"/>
      <c r="X3382" s="4"/>
      <c r="Y3382" s="4"/>
    </row>
    <row r="3383" spans="5:25">
      <c r="E3383"/>
      <c r="G3383"/>
      <c r="H3383"/>
      <c r="I3383"/>
      <c r="K3383"/>
      <c r="O3383"/>
      <c r="R3383"/>
      <c r="W3383" s="4"/>
      <c r="X3383" s="4"/>
      <c r="Y3383" s="4"/>
    </row>
    <row r="3384" spans="5:25">
      <c r="E3384"/>
      <c r="G3384"/>
      <c r="H3384"/>
      <c r="I3384"/>
      <c r="K3384"/>
      <c r="O3384"/>
      <c r="R3384"/>
      <c r="W3384" s="4"/>
      <c r="X3384" s="4"/>
      <c r="Y3384" s="4"/>
    </row>
    <row r="3385" spans="5:25">
      <c r="E3385"/>
      <c r="G3385"/>
      <c r="H3385"/>
      <c r="I3385"/>
      <c r="K3385"/>
      <c r="O3385"/>
      <c r="R3385"/>
      <c r="W3385" s="4"/>
      <c r="X3385" s="4"/>
      <c r="Y3385" s="4"/>
    </row>
    <row r="3386" spans="5:25">
      <c r="E3386"/>
      <c r="G3386"/>
      <c r="H3386"/>
      <c r="I3386"/>
      <c r="K3386"/>
      <c r="O3386"/>
      <c r="R3386"/>
      <c r="W3386" s="4"/>
      <c r="X3386" s="4"/>
      <c r="Y3386" s="4"/>
    </row>
    <row r="3387" spans="5:25">
      <c r="E3387"/>
      <c r="G3387"/>
      <c r="H3387"/>
      <c r="I3387"/>
      <c r="K3387"/>
      <c r="O3387"/>
      <c r="R3387"/>
      <c r="W3387" s="4"/>
      <c r="X3387" s="4"/>
      <c r="Y3387" s="4"/>
    </row>
    <row r="3388" spans="5:25">
      <c r="E3388"/>
      <c r="G3388"/>
      <c r="H3388"/>
      <c r="I3388"/>
      <c r="K3388"/>
      <c r="O3388"/>
      <c r="R3388"/>
      <c r="W3388" s="4"/>
      <c r="X3388" s="4"/>
      <c r="Y3388" s="4"/>
    </row>
    <row r="3389" spans="5:25">
      <c r="E3389"/>
      <c r="G3389"/>
      <c r="H3389"/>
      <c r="I3389"/>
      <c r="K3389"/>
      <c r="O3389"/>
      <c r="R3389"/>
      <c r="W3389" s="4"/>
      <c r="X3389" s="4"/>
      <c r="Y3389" s="4"/>
    </row>
    <row r="3390" spans="5:25">
      <c r="E3390"/>
      <c r="G3390"/>
      <c r="H3390"/>
      <c r="I3390"/>
      <c r="K3390"/>
      <c r="O3390"/>
      <c r="R3390"/>
      <c r="W3390" s="4"/>
      <c r="X3390" s="4"/>
      <c r="Y3390" s="4"/>
    </row>
    <row r="3391" spans="5:25">
      <c r="E3391"/>
      <c r="G3391"/>
      <c r="H3391"/>
      <c r="I3391"/>
      <c r="K3391"/>
      <c r="O3391"/>
      <c r="R3391"/>
      <c r="W3391" s="4"/>
      <c r="X3391" s="4"/>
      <c r="Y3391" s="4"/>
    </row>
    <row r="3392" spans="5:25">
      <c r="E3392"/>
      <c r="G3392"/>
      <c r="H3392"/>
      <c r="I3392"/>
      <c r="K3392"/>
      <c r="O3392"/>
      <c r="R3392"/>
      <c r="W3392" s="4"/>
      <c r="X3392" s="4"/>
      <c r="Y3392" s="4"/>
    </row>
    <row r="3393" spans="5:25">
      <c r="E3393"/>
      <c r="G3393"/>
      <c r="H3393"/>
      <c r="I3393"/>
      <c r="K3393"/>
      <c r="O3393"/>
      <c r="R3393"/>
      <c r="W3393" s="4"/>
      <c r="X3393" s="4"/>
      <c r="Y3393" s="4"/>
    </row>
    <row r="3394" spans="5:25">
      <c r="E3394"/>
      <c r="G3394"/>
      <c r="H3394"/>
      <c r="I3394"/>
      <c r="K3394"/>
      <c r="O3394"/>
      <c r="R3394"/>
      <c r="W3394" s="4"/>
      <c r="X3394" s="4"/>
      <c r="Y3394" s="4"/>
    </row>
    <row r="3395" spans="5:25">
      <c r="E3395"/>
      <c r="G3395"/>
      <c r="H3395"/>
      <c r="I3395"/>
      <c r="K3395"/>
      <c r="O3395"/>
      <c r="R3395"/>
      <c r="W3395" s="4"/>
      <c r="X3395" s="4"/>
      <c r="Y3395" s="4"/>
    </row>
    <row r="3396" spans="5:25">
      <c r="E3396"/>
      <c r="G3396"/>
      <c r="H3396"/>
      <c r="I3396"/>
      <c r="K3396"/>
      <c r="O3396"/>
      <c r="R3396"/>
      <c r="W3396" s="4"/>
      <c r="X3396" s="4"/>
      <c r="Y3396" s="4"/>
    </row>
    <row r="3397" spans="5:25">
      <c r="E3397"/>
      <c r="G3397"/>
      <c r="H3397"/>
      <c r="I3397"/>
      <c r="K3397"/>
      <c r="O3397"/>
      <c r="R3397"/>
      <c r="W3397" s="4"/>
      <c r="X3397" s="4"/>
      <c r="Y3397" s="4"/>
    </row>
    <row r="3398" spans="5:25">
      <c r="E3398"/>
      <c r="G3398"/>
      <c r="H3398"/>
      <c r="I3398"/>
      <c r="K3398"/>
      <c r="O3398"/>
      <c r="R3398"/>
      <c r="W3398" s="4"/>
      <c r="X3398" s="4"/>
      <c r="Y3398" s="4"/>
    </row>
    <row r="3399" spans="5:25">
      <c r="E3399"/>
      <c r="G3399"/>
      <c r="H3399"/>
      <c r="I3399"/>
      <c r="K3399"/>
      <c r="O3399"/>
      <c r="R3399"/>
      <c r="W3399" s="4"/>
      <c r="X3399" s="4"/>
      <c r="Y3399" s="4"/>
    </row>
    <row r="3400" spans="5:25">
      <c r="E3400"/>
      <c r="G3400"/>
      <c r="H3400"/>
      <c r="I3400"/>
      <c r="K3400"/>
      <c r="O3400"/>
      <c r="R3400"/>
      <c r="W3400" s="4"/>
      <c r="X3400" s="4"/>
      <c r="Y3400" s="4"/>
    </row>
    <row r="3401" spans="5:25">
      <c r="E3401"/>
      <c r="G3401"/>
      <c r="H3401"/>
      <c r="I3401"/>
      <c r="K3401"/>
      <c r="O3401"/>
      <c r="R3401"/>
      <c r="W3401" s="4"/>
      <c r="X3401" s="4"/>
      <c r="Y3401" s="4"/>
    </row>
    <row r="3402" spans="5:25">
      <c r="E3402"/>
      <c r="G3402"/>
      <c r="H3402"/>
      <c r="I3402"/>
      <c r="K3402"/>
      <c r="O3402"/>
      <c r="R3402"/>
      <c r="W3402" s="4"/>
      <c r="X3402" s="4"/>
      <c r="Y3402" s="4"/>
    </row>
    <row r="3403" spans="5:25">
      <c r="E3403"/>
      <c r="G3403"/>
      <c r="H3403"/>
      <c r="I3403"/>
      <c r="K3403"/>
      <c r="O3403"/>
      <c r="R3403"/>
      <c r="W3403" s="4"/>
      <c r="X3403" s="4"/>
      <c r="Y3403" s="4"/>
    </row>
    <row r="3404" spans="5:25">
      <c r="E3404"/>
      <c r="G3404"/>
      <c r="H3404"/>
      <c r="I3404"/>
      <c r="K3404"/>
      <c r="O3404"/>
      <c r="R3404"/>
      <c r="W3404" s="4"/>
      <c r="X3404" s="4"/>
      <c r="Y3404" s="4"/>
    </row>
    <row r="3405" spans="5:25">
      <c r="E3405"/>
      <c r="G3405"/>
      <c r="H3405"/>
      <c r="I3405"/>
      <c r="K3405"/>
      <c r="O3405"/>
      <c r="R3405"/>
      <c r="W3405" s="4"/>
      <c r="X3405" s="4"/>
      <c r="Y3405" s="4"/>
    </row>
    <row r="3406" spans="5:25">
      <c r="E3406"/>
      <c r="G3406"/>
      <c r="H3406"/>
      <c r="I3406"/>
      <c r="K3406"/>
      <c r="O3406"/>
      <c r="R3406"/>
      <c r="W3406" s="4"/>
      <c r="X3406" s="4"/>
      <c r="Y3406" s="4"/>
    </row>
    <row r="3407" spans="5:25">
      <c r="E3407"/>
      <c r="G3407"/>
      <c r="H3407"/>
      <c r="I3407"/>
      <c r="K3407"/>
      <c r="O3407"/>
      <c r="R3407"/>
      <c r="W3407" s="4"/>
      <c r="X3407" s="4"/>
      <c r="Y3407" s="4"/>
    </row>
    <row r="3408" spans="5:25">
      <c r="E3408"/>
      <c r="G3408"/>
      <c r="H3408"/>
      <c r="I3408"/>
      <c r="K3408"/>
      <c r="O3408"/>
      <c r="R3408"/>
      <c r="W3408" s="4"/>
      <c r="X3408" s="4"/>
      <c r="Y3408" s="4"/>
    </row>
    <row r="3409" spans="5:25">
      <c r="E3409"/>
      <c r="G3409"/>
      <c r="H3409"/>
      <c r="I3409"/>
      <c r="K3409"/>
      <c r="O3409"/>
      <c r="R3409"/>
      <c r="W3409" s="4"/>
      <c r="X3409" s="4"/>
      <c r="Y3409" s="4"/>
    </row>
    <row r="3410" spans="5:25">
      <c r="E3410"/>
      <c r="G3410"/>
      <c r="H3410"/>
      <c r="I3410"/>
      <c r="K3410"/>
      <c r="O3410"/>
      <c r="R3410"/>
      <c r="W3410" s="4"/>
      <c r="X3410" s="4"/>
      <c r="Y3410" s="4"/>
    </row>
    <row r="3411" spans="5:25">
      <c r="E3411"/>
      <c r="G3411"/>
      <c r="H3411"/>
      <c r="I3411"/>
      <c r="K3411"/>
      <c r="O3411"/>
      <c r="R3411"/>
      <c r="W3411" s="4"/>
      <c r="X3411" s="4"/>
      <c r="Y3411" s="4"/>
    </row>
    <row r="3412" spans="5:25">
      <c r="E3412"/>
      <c r="G3412"/>
      <c r="H3412"/>
      <c r="I3412"/>
      <c r="K3412"/>
      <c r="O3412"/>
      <c r="R3412"/>
      <c r="W3412" s="4"/>
      <c r="X3412" s="4"/>
      <c r="Y3412" s="4"/>
    </row>
    <row r="3413" spans="5:25">
      <c r="E3413"/>
      <c r="G3413"/>
      <c r="H3413"/>
      <c r="I3413"/>
      <c r="K3413"/>
      <c r="O3413"/>
      <c r="R3413"/>
      <c r="W3413" s="4"/>
      <c r="X3413" s="4"/>
      <c r="Y3413" s="4"/>
    </row>
    <row r="3414" spans="5:25">
      <c r="E3414"/>
      <c r="G3414"/>
      <c r="H3414"/>
      <c r="I3414"/>
      <c r="K3414"/>
      <c r="O3414"/>
      <c r="R3414"/>
      <c r="W3414" s="4"/>
      <c r="X3414" s="4"/>
      <c r="Y3414" s="4"/>
    </row>
    <row r="3415" spans="5:25">
      <c r="E3415"/>
      <c r="G3415"/>
      <c r="H3415"/>
      <c r="I3415"/>
      <c r="K3415"/>
      <c r="O3415"/>
      <c r="R3415"/>
      <c r="W3415" s="4"/>
      <c r="X3415" s="4"/>
      <c r="Y3415" s="4"/>
    </row>
    <row r="3416" spans="5:25">
      <c r="E3416"/>
      <c r="G3416"/>
      <c r="H3416"/>
      <c r="I3416"/>
      <c r="K3416"/>
      <c r="O3416"/>
      <c r="R3416"/>
      <c r="W3416" s="4"/>
      <c r="X3416" s="4"/>
      <c r="Y3416" s="4"/>
    </row>
    <row r="3417" spans="5:25">
      <c r="E3417"/>
      <c r="G3417"/>
      <c r="H3417"/>
      <c r="I3417"/>
      <c r="K3417"/>
      <c r="O3417"/>
      <c r="R3417"/>
      <c r="W3417" s="4"/>
      <c r="X3417" s="4"/>
      <c r="Y3417" s="4"/>
    </row>
    <row r="3418" spans="5:25">
      <c r="E3418"/>
      <c r="G3418"/>
      <c r="H3418"/>
      <c r="I3418"/>
      <c r="K3418"/>
      <c r="O3418"/>
      <c r="R3418"/>
      <c r="W3418" s="4"/>
      <c r="X3418" s="4"/>
      <c r="Y3418" s="4"/>
    </row>
    <row r="3419" spans="5:25">
      <c r="E3419"/>
      <c r="G3419"/>
      <c r="H3419"/>
      <c r="I3419"/>
      <c r="K3419"/>
      <c r="O3419"/>
      <c r="R3419"/>
      <c r="W3419" s="4"/>
      <c r="X3419" s="4"/>
      <c r="Y3419" s="4"/>
    </row>
    <row r="3420" spans="5:25">
      <c r="E3420"/>
      <c r="G3420"/>
      <c r="H3420"/>
      <c r="I3420"/>
      <c r="K3420"/>
      <c r="O3420"/>
      <c r="R3420"/>
      <c r="W3420" s="4"/>
      <c r="X3420" s="4"/>
      <c r="Y3420" s="4"/>
    </row>
    <row r="3421" spans="5:25">
      <c r="E3421"/>
      <c r="G3421"/>
      <c r="H3421"/>
      <c r="I3421"/>
      <c r="K3421"/>
      <c r="O3421"/>
      <c r="R3421"/>
      <c r="W3421" s="4"/>
      <c r="X3421" s="4"/>
      <c r="Y3421" s="4"/>
    </row>
    <row r="3422" spans="5:25">
      <c r="E3422"/>
      <c r="G3422"/>
      <c r="H3422"/>
      <c r="I3422"/>
      <c r="K3422"/>
      <c r="O3422"/>
      <c r="R3422"/>
      <c r="W3422" s="4"/>
      <c r="X3422" s="4"/>
      <c r="Y3422" s="4"/>
    </row>
    <row r="3423" spans="5:25">
      <c r="E3423"/>
      <c r="G3423"/>
      <c r="H3423"/>
      <c r="I3423"/>
      <c r="K3423"/>
      <c r="O3423"/>
      <c r="R3423"/>
      <c r="W3423" s="4"/>
      <c r="X3423" s="4"/>
      <c r="Y3423" s="4"/>
    </row>
    <row r="3424" spans="5:25">
      <c r="E3424"/>
      <c r="G3424"/>
      <c r="H3424"/>
      <c r="I3424"/>
      <c r="K3424"/>
      <c r="O3424"/>
      <c r="R3424"/>
      <c r="W3424" s="4"/>
      <c r="X3424" s="4"/>
      <c r="Y3424" s="4"/>
    </row>
    <row r="3425" spans="5:25">
      <c r="E3425"/>
      <c r="G3425"/>
      <c r="H3425"/>
      <c r="I3425"/>
      <c r="K3425"/>
      <c r="O3425"/>
      <c r="R3425"/>
      <c r="W3425" s="4"/>
      <c r="X3425" s="4"/>
      <c r="Y3425" s="4"/>
    </row>
    <row r="3426" spans="5:25">
      <c r="E3426"/>
      <c r="G3426"/>
      <c r="H3426"/>
      <c r="I3426"/>
      <c r="K3426"/>
      <c r="O3426"/>
      <c r="R3426"/>
      <c r="W3426" s="4"/>
      <c r="X3426" s="4"/>
      <c r="Y3426" s="4"/>
    </row>
    <row r="3427" spans="5:25">
      <c r="E3427"/>
      <c r="G3427"/>
      <c r="H3427"/>
      <c r="I3427"/>
      <c r="K3427"/>
      <c r="O3427"/>
      <c r="R3427"/>
      <c r="W3427" s="4"/>
      <c r="X3427" s="4"/>
      <c r="Y3427" s="4"/>
    </row>
    <row r="3428" spans="5:25">
      <c r="E3428"/>
      <c r="G3428"/>
      <c r="H3428"/>
      <c r="I3428"/>
      <c r="K3428"/>
      <c r="O3428"/>
      <c r="R3428"/>
      <c r="W3428" s="4"/>
      <c r="X3428" s="4"/>
      <c r="Y3428" s="4"/>
    </row>
    <row r="3429" spans="5:25">
      <c r="E3429"/>
      <c r="G3429"/>
      <c r="H3429"/>
      <c r="I3429"/>
      <c r="K3429"/>
      <c r="O3429"/>
      <c r="R3429"/>
      <c r="W3429" s="4"/>
      <c r="X3429" s="4"/>
      <c r="Y3429" s="4"/>
    </row>
    <row r="3430" spans="5:25">
      <c r="E3430"/>
      <c r="G3430"/>
      <c r="H3430"/>
      <c r="I3430"/>
      <c r="K3430"/>
      <c r="O3430"/>
      <c r="R3430"/>
      <c r="W3430" s="4"/>
      <c r="X3430" s="4"/>
      <c r="Y3430" s="4"/>
    </row>
    <row r="3431" spans="5:25">
      <c r="E3431"/>
      <c r="G3431"/>
      <c r="H3431"/>
      <c r="I3431"/>
      <c r="K3431"/>
      <c r="O3431"/>
      <c r="R3431"/>
      <c r="W3431" s="4"/>
      <c r="X3431" s="4"/>
      <c r="Y3431" s="4"/>
    </row>
    <row r="3432" spans="5:25">
      <c r="E3432"/>
      <c r="G3432"/>
      <c r="H3432"/>
      <c r="I3432"/>
      <c r="K3432"/>
      <c r="O3432"/>
      <c r="R3432"/>
      <c r="W3432" s="4"/>
      <c r="X3432" s="4"/>
      <c r="Y3432" s="4"/>
    </row>
    <row r="3433" spans="5:25">
      <c r="E3433"/>
      <c r="G3433"/>
      <c r="H3433"/>
      <c r="I3433"/>
      <c r="K3433"/>
      <c r="O3433"/>
      <c r="R3433"/>
      <c r="W3433" s="4"/>
      <c r="X3433" s="4"/>
      <c r="Y3433" s="4"/>
    </row>
    <row r="3434" spans="5:25">
      <c r="E3434"/>
      <c r="G3434"/>
      <c r="H3434"/>
      <c r="I3434"/>
      <c r="K3434"/>
      <c r="O3434"/>
      <c r="R3434"/>
      <c r="W3434" s="4"/>
      <c r="X3434" s="4"/>
      <c r="Y3434" s="4"/>
    </row>
    <row r="3435" spans="5:25">
      <c r="E3435"/>
      <c r="G3435"/>
      <c r="H3435"/>
      <c r="I3435"/>
      <c r="K3435"/>
      <c r="O3435"/>
      <c r="R3435"/>
      <c r="W3435" s="4"/>
      <c r="X3435" s="4"/>
      <c r="Y3435" s="4"/>
    </row>
    <row r="3436" spans="5:25">
      <c r="E3436"/>
      <c r="G3436"/>
      <c r="H3436"/>
      <c r="I3436"/>
      <c r="K3436"/>
      <c r="O3436"/>
      <c r="R3436"/>
      <c r="W3436" s="4"/>
      <c r="X3436" s="4"/>
      <c r="Y3436" s="4"/>
    </row>
    <row r="3437" spans="5:25">
      <c r="E3437"/>
      <c r="G3437"/>
      <c r="H3437"/>
      <c r="I3437"/>
      <c r="K3437"/>
      <c r="O3437"/>
      <c r="R3437"/>
      <c r="W3437" s="4"/>
      <c r="X3437" s="4"/>
      <c r="Y3437" s="4"/>
    </row>
    <row r="3438" spans="5:25">
      <c r="E3438"/>
      <c r="G3438"/>
      <c r="H3438"/>
      <c r="I3438"/>
      <c r="K3438"/>
      <c r="O3438"/>
      <c r="R3438"/>
      <c r="W3438" s="4"/>
      <c r="X3438" s="4"/>
      <c r="Y3438" s="4"/>
    </row>
    <row r="3439" spans="5:25">
      <c r="E3439"/>
      <c r="G3439"/>
      <c r="H3439"/>
      <c r="I3439"/>
      <c r="K3439"/>
      <c r="O3439"/>
      <c r="R3439"/>
      <c r="W3439" s="4"/>
      <c r="X3439" s="4"/>
      <c r="Y3439" s="4"/>
    </row>
    <row r="3440" spans="5:25">
      <c r="E3440"/>
      <c r="G3440"/>
      <c r="H3440"/>
      <c r="I3440"/>
      <c r="K3440"/>
      <c r="O3440"/>
      <c r="R3440"/>
      <c r="W3440" s="4"/>
      <c r="X3440" s="4"/>
      <c r="Y3440" s="4"/>
    </row>
    <row r="3441" spans="5:25">
      <c r="E3441"/>
      <c r="G3441"/>
      <c r="H3441"/>
      <c r="I3441"/>
      <c r="K3441"/>
      <c r="O3441"/>
      <c r="R3441"/>
      <c r="W3441" s="4"/>
      <c r="X3441" s="4"/>
      <c r="Y3441" s="4"/>
    </row>
    <row r="3442" spans="5:25">
      <c r="E3442"/>
      <c r="G3442"/>
      <c r="H3442"/>
      <c r="I3442"/>
      <c r="K3442"/>
      <c r="O3442"/>
      <c r="R3442"/>
      <c r="W3442" s="4"/>
      <c r="X3442" s="4"/>
      <c r="Y3442" s="4"/>
    </row>
    <row r="3443" spans="5:25">
      <c r="E3443"/>
      <c r="G3443"/>
      <c r="H3443"/>
      <c r="I3443"/>
      <c r="K3443"/>
      <c r="O3443"/>
      <c r="R3443"/>
      <c r="W3443" s="4"/>
      <c r="X3443" s="4"/>
      <c r="Y3443" s="4"/>
    </row>
    <row r="3444" spans="5:25">
      <c r="E3444"/>
      <c r="G3444"/>
      <c r="H3444"/>
      <c r="I3444"/>
      <c r="K3444"/>
      <c r="O3444"/>
      <c r="R3444"/>
      <c r="W3444" s="4"/>
      <c r="X3444" s="4"/>
      <c r="Y3444" s="4"/>
    </row>
    <row r="3445" spans="5:25">
      <c r="E3445"/>
      <c r="G3445"/>
      <c r="H3445"/>
      <c r="I3445"/>
      <c r="K3445"/>
      <c r="O3445"/>
      <c r="R3445"/>
      <c r="W3445" s="4"/>
      <c r="X3445" s="4"/>
      <c r="Y3445" s="4"/>
    </row>
    <row r="3446" spans="5:25">
      <c r="E3446"/>
      <c r="G3446"/>
      <c r="H3446"/>
      <c r="I3446"/>
      <c r="K3446"/>
      <c r="O3446"/>
      <c r="R3446"/>
      <c r="W3446" s="4"/>
      <c r="X3446" s="4"/>
      <c r="Y3446" s="4"/>
    </row>
    <row r="3447" spans="5:25">
      <c r="E3447"/>
      <c r="G3447"/>
      <c r="H3447"/>
      <c r="I3447"/>
      <c r="K3447"/>
      <c r="O3447"/>
      <c r="R3447"/>
      <c r="W3447" s="4"/>
      <c r="X3447" s="4"/>
      <c r="Y3447" s="4"/>
    </row>
    <row r="3448" spans="5:25">
      <c r="E3448"/>
      <c r="G3448"/>
      <c r="H3448"/>
      <c r="I3448"/>
      <c r="K3448"/>
      <c r="O3448"/>
      <c r="R3448"/>
      <c r="W3448" s="4"/>
      <c r="X3448" s="4"/>
      <c r="Y3448" s="4"/>
    </row>
    <row r="3449" spans="5:25">
      <c r="E3449"/>
      <c r="G3449"/>
      <c r="H3449"/>
      <c r="I3449"/>
      <c r="K3449"/>
      <c r="O3449"/>
      <c r="R3449"/>
      <c r="W3449" s="4"/>
      <c r="X3449" s="4"/>
      <c r="Y3449" s="4"/>
    </row>
    <row r="3450" spans="5:25">
      <c r="E3450"/>
      <c r="G3450"/>
      <c r="H3450"/>
      <c r="I3450"/>
      <c r="K3450"/>
      <c r="O3450"/>
      <c r="R3450"/>
      <c r="W3450" s="4"/>
      <c r="X3450" s="4"/>
      <c r="Y3450" s="4"/>
    </row>
    <row r="3451" spans="5:25">
      <c r="E3451"/>
      <c r="G3451"/>
      <c r="H3451"/>
      <c r="I3451"/>
      <c r="K3451"/>
      <c r="O3451"/>
      <c r="R3451"/>
      <c r="W3451" s="4"/>
      <c r="X3451" s="4"/>
      <c r="Y3451" s="4"/>
    </row>
    <row r="3452" spans="5:25">
      <c r="E3452"/>
      <c r="G3452"/>
      <c r="H3452"/>
      <c r="I3452"/>
      <c r="K3452"/>
      <c r="O3452"/>
      <c r="R3452"/>
      <c r="W3452" s="4"/>
      <c r="X3452" s="4"/>
      <c r="Y3452" s="4"/>
    </row>
    <row r="3453" spans="5:25">
      <c r="E3453"/>
      <c r="G3453"/>
      <c r="H3453"/>
      <c r="I3453"/>
      <c r="K3453"/>
      <c r="O3453"/>
      <c r="R3453"/>
      <c r="W3453" s="4"/>
      <c r="X3453" s="4"/>
      <c r="Y3453" s="4"/>
    </row>
    <row r="3454" spans="5:25">
      <c r="E3454"/>
      <c r="G3454"/>
      <c r="H3454"/>
      <c r="I3454"/>
      <c r="K3454"/>
      <c r="O3454"/>
      <c r="R3454"/>
      <c r="W3454" s="4"/>
      <c r="X3454" s="4"/>
      <c r="Y3454" s="4"/>
    </row>
    <row r="3455" spans="5:25">
      <c r="E3455"/>
      <c r="G3455"/>
      <c r="H3455"/>
      <c r="I3455"/>
      <c r="K3455"/>
      <c r="O3455"/>
      <c r="R3455"/>
      <c r="W3455" s="4"/>
      <c r="X3455" s="4"/>
      <c r="Y3455" s="4"/>
    </row>
    <row r="3456" spans="5:25">
      <c r="E3456"/>
      <c r="G3456"/>
      <c r="H3456"/>
      <c r="I3456"/>
      <c r="K3456"/>
      <c r="O3456"/>
      <c r="R3456"/>
      <c r="W3456" s="4"/>
      <c r="X3456" s="4"/>
      <c r="Y3456" s="4"/>
    </row>
    <row r="3457" spans="5:25">
      <c r="E3457"/>
      <c r="G3457"/>
      <c r="H3457"/>
      <c r="I3457"/>
      <c r="K3457"/>
      <c r="O3457"/>
      <c r="R3457"/>
      <c r="W3457" s="4"/>
      <c r="X3457" s="4"/>
      <c r="Y3457" s="4"/>
    </row>
    <row r="3458" spans="5:25">
      <c r="E3458"/>
      <c r="G3458"/>
      <c r="H3458"/>
      <c r="I3458"/>
      <c r="K3458"/>
      <c r="O3458"/>
      <c r="R3458"/>
      <c r="W3458" s="4"/>
      <c r="X3458" s="4"/>
      <c r="Y3458" s="4"/>
    </row>
    <row r="3459" spans="5:25">
      <c r="E3459"/>
      <c r="G3459"/>
      <c r="H3459"/>
      <c r="I3459"/>
      <c r="K3459"/>
      <c r="O3459"/>
      <c r="R3459"/>
      <c r="W3459" s="4"/>
      <c r="X3459" s="4"/>
      <c r="Y3459" s="4"/>
    </row>
    <row r="3460" spans="5:25">
      <c r="E3460"/>
      <c r="G3460"/>
      <c r="H3460"/>
      <c r="I3460"/>
      <c r="K3460"/>
      <c r="O3460"/>
      <c r="R3460"/>
      <c r="W3460" s="4"/>
      <c r="X3460" s="4"/>
      <c r="Y3460" s="4"/>
    </row>
    <row r="3461" spans="5:25">
      <c r="E3461"/>
      <c r="G3461"/>
      <c r="H3461"/>
      <c r="I3461"/>
      <c r="K3461"/>
      <c r="O3461"/>
      <c r="R3461"/>
      <c r="W3461" s="4"/>
      <c r="X3461" s="4"/>
      <c r="Y3461" s="4"/>
    </row>
    <row r="3462" spans="5:25">
      <c r="E3462"/>
      <c r="G3462"/>
      <c r="H3462"/>
      <c r="I3462"/>
      <c r="K3462"/>
      <c r="O3462"/>
      <c r="R3462"/>
      <c r="W3462" s="4"/>
      <c r="X3462" s="4"/>
      <c r="Y3462" s="4"/>
    </row>
    <row r="3463" spans="5:25">
      <c r="E3463"/>
      <c r="G3463"/>
      <c r="H3463"/>
      <c r="I3463"/>
      <c r="K3463"/>
      <c r="O3463"/>
      <c r="R3463"/>
      <c r="W3463" s="4"/>
      <c r="X3463" s="4"/>
      <c r="Y3463" s="4"/>
    </row>
    <row r="3464" spans="5:25">
      <c r="E3464"/>
      <c r="G3464"/>
      <c r="H3464"/>
      <c r="I3464"/>
      <c r="K3464"/>
      <c r="O3464"/>
      <c r="R3464"/>
      <c r="W3464" s="4"/>
      <c r="X3464" s="4"/>
      <c r="Y3464" s="4"/>
    </row>
    <row r="3465" spans="5:25">
      <c r="E3465"/>
      <c r="G3465"/>
      <c r="H3465"/>
      <c r="I3465"/>
      <c r="K3465"/>
      <c r="O3465"/>
      <c r="R3465"/>
      <c r="W3465" s="4"/>
      <c r="X3465" s="4"/>
      <c r="Y3465" s="4"/>
    </row>
    <row r="3466" spans="5:25">
      <c r="E3466"/>
      <c r="G3466"/>
      <c r="H3466"/>
      <c r="I3466"/>
      <c r="K3466"/>
      <c r="O3466"/>
      <c r="R3466"/>
      <c r="W3466" s="4"/>
      <c r="X3466" s="4"/>
      <c r="Y3466" s="4"/>
    </row>
    <row r="3467" spans="5:25">
      <c r="E3467"/>
      <c r="G3467"/>
      <c r="H3467"/>
      <c r="I3467"/>
      <c r="K3467"/>
      <c r="O3467"/>
      <c r="R3467"/>
      <c r="W3467" s="4"/>
      <c r="X3467" s="4"/>
      <c r="Y3467" s="4"/>
    </row>
    <row r="3468" spans="5:25">
      <c r="E3468"/>
      <c r="G3468"/>
      <c r="H3468"/>
      <c r="I3468"/>
      <c r="K3468"/>
      <c r="O3468"/>
      <c r="R3468"/>
      <c r="W3468" s="4"/>
      <c r="X3468" s="4"/>
      <c r="Y3468" s="4"/>
    </row>
    <row r="3469" spans="5:25">
      <c r="E3469"/>
      <c r="G3469"/>
      <c r="H3469"/>
      <c r="I3469"/>
      <c r="K3469"/>
      <c r="O3469"/>
      <c r="R3469"/>
      <c r="W3469" s="4"/>
      <c r="X3469" s="4"/>
      <c r="Y3469" s="4"/>
    </row>
    <row r="3470" spans="5:25">
      <c r="E3470"/>
      <c r="G3470"/>
      <c r="H3470"/>
      <c r="I3470"/>
      <c r="K3470"/>
      <c r="O3470"/>
      <c r="R3470"/>
      <c r="W3470" s="4"/>
      <c r="X3470" s="4"/>
      <c r="Y3470" s="4"/>
    </row>
    <row r="3471" spans="5:25">
      <c r="E3471"/>
      <c r="G3471"/>
      <c r="H3471"/>
      <c r="I3471"/>
      <c r="K3471"/>
      <c r="O3471"/>
      <c r="R3471"/>
      <c r="W3471" s="4"/>
      <c r="X3471" s="4"/>
      <c r="Y3471" s="4"/>
    </row>
    <row r="3472" spans="5:25">
      <c r="E3472"/>
      <c r="G3472"/>
      <c r="H3472"/>
      <c r="I3472"/>
      <c r="K3472"/>
      <c r="O3472"/>
      <c r="R3472"/>
      <c r="W3472" s="4"/>
      <c r="X3472" s="4"/>
      <c r="Y3472" s="4"/>
    </row>
    <row r="3473" spans="5:25">
      <c r="E3473"/>
      <c r="G3473"/>
      <c r="H3473"/>
      <c r="I3473"/>
      <c r="K3473"/>
      <c r="O3473"/>
      <c r="R3473"/>
      <c r="W3473" s="4"/>
      <c r="X3473" s="4"/>
      <c r="Y3473" s="4"/>
    </row>
    <row r="3474" spans="5:25">
      <c r="E3474"/>
      <c r="G3474"/>
      <c r="H3474"/>
      <c r="I3474"/>
      <c r="K3474"/>
      <c r="O3474"/>
      <c r="R3474"/>
      <c r="W3474" s="4"/>
      <c r="X3474" s="4"/>
      <c r="Y3474" s="4"/>
    </row>
    <row r="3475" spans="5:25">
      <c r="E3475"/>
      <c r="G3475"/>
      <c r="H3475"/>
      <c r="I3475"/>
      <c r="K3475"/>
      <c r="O3475"/>
      <c r="R3475"/>
      <c r="W3475" s="4"/>
      <c r="X3475" s="4"/>
      <c r="Y3475" s="4"/>
    </row>
    <row r="3476" spans="5:25">
      <c r="E3476"/>
      <c r="G3476"/>
      <c r="H3476"/>
      <c r="I3476"/>
      <c r="K3476"/>
      <c r="O3476"/>
      <c r="R3476"/>
      <c r="W3476" s="4"/>
      <c r="X3476" s="4"/>
      <c r="Y3476" s="4"/>
    </row>
    <row r="3477" spans="5:25">
      <c r="E3477"/>
      <c r="G3477"/>
      <c r="H3477"/>
      <c r="I3477"/>
      <c r="K3477"/>
      <c r="O3477"/>
      <c r="R3477"/>
      <c r="W3477" s="4"/>
      <c r="X3477" s="4"/>
      <c r="Y3477" s="4"/>
    </row>
    <row r="3478" spans="5:25">
      <c r="E3478"/>
      <c r="G3478"/>
      <c r="H3478"/>
      <c r="I3478"/>
      <c r="K3478"/>
      <c r="O3478"/>
      <c r="R3478"/>
      <c r="W3478" s="4"/>
      <c r="X3478" s="4"/>
      <c r="Y3478" s="4"/>
    </row>
    <row r="3479" spans="5:25">
      <c r="E3479"/>
      <c r="G3479"/>
      <c r="H3479"/>
      <c r="I3479"/>
      <c r="K3479"/>
      <c r="O3479"/>
      <c r="R3479"/>
      <c r="W3479" s="4"/>
      <c r="X3479" s="4"/>
      <c r="Y3479" s="4"/>
    </row>
    <row r="3480" spans="5:25">
      <c r="E3480"/>
      <c r="G3480"/>
      <c r="H3480"/>
      <c r="I3480"/>
      <c r="K3480"/>
      <c r="O3480"/>
      <c r="R3480"/>
      <c r="W3480" s="4"/>
      <c r="X3480" s="4"/>
      <c r="Y3480" s="4"/>
    </row>
    <row r="3481" spans="5:25">
      <c r="E3481"/>
      <c r="G3481"/>
      <c r="H3481"/>
      <c r="I3481"/>
      <c r="K3481"/>
      <c r="O3481"/>
      <c r="R3481"/>
      <c r="W3481" s="4"/>
      <c r="X3481" s="4"/>
      <c r="Y3481" s="4"/>
    </row>
    <row r="3482" spans="5:25">
      <c r="E3482"/>
      <c r="G3482"/>
      <c r="H3482"/>
      <c r="I3482"/>
      <c r="K3482"/>
      <c r="O3482"/>
      <c r="R3482"/>
      <c r="W3482" s="4"/>
      <c r="X3482" s="4"/>
      <c r="Y3482" s="4"/>
    </row>
    <row r="3483" spans="5:25">
      <c r="E3483"/>
      <c r="G3483"/>
      <c r="H3483"/>
      <c r="I3483"/>
      <c r="K3483"/>
      <c r="O3483"/>
      <c r="R3483"/>
      <c r="W3483" s="4"/>
      <c r="X3483" s="4"/>
      <c r="Y3483" s="4"/>
    </row>
    <row r="3484" spans="5:25">
      <c r="E3484"/>
      <c r="G3484"/>
      <c r="H3484"/>
      <c r="I3484"/>
      <c r="K3484"/>
      <c r="O3484"/>
      <c r="R3484"/>
      <c r="W3484" s="4"/>
      <c r="X3484" s="4"/>
      <c r="Y3484" s="4"/>
    </row>
    <row r="3485" spans="5:25">
      <c r="E3485"/>
      <c r="G3485"/>
      <c r="H3485"/>
      <c r="I3485"/>
      <c r="K3485"/>
      <c r="O3485"/>
      <c r="R3485"/>
      <c r="W3485" s="4"/>
      <c r="X3485" s="4"/>
      <c r="Y3485" s="4"/>
    </row>
    <row r="3486" spans="5:25">
      <c r="E3486"/>
      <c r="G3486"/>
      <c r="H3486"/>
      <c r="I3486"/>
      <c r="K3486"/>
      <c r="O3486"/>
      <c r="R3486"/>
      <c r="W3486" s="4"/>
      <c r="X3486" s="4"/>
      <c r="Y3486" s="4"/>
    </row>
    <row r="3487" spans="5:25">
      <c r="E3487"/>
      <c r="G3487"/>
      <c r="H3487"/>
      <c r="I3487"/>
      <c r="K3487"/>
      <c r="O3487"/>
      <c r="R3487"/>
      <c r="W3487" s="4"/>
      <c r="X3487" s="4"/>
      <c r="Y3487" s="4"/>
    </row>
    <row r="3488" spans="5:25">
      <c r="E3488"/>
      <c r="G3488"/>
      <c r="H3488"/>
      <c r="I3488"/>
      <c r="K3488"/>
      <c r="O3488"/>
      <c r="R3488"/>
      <c r="W3488" s="4"/>
      <c r="X3488" s="4"/>
      <c r="Y3488" s="4"/>
    </row>
    <row r="3489" spans="5:25">
      <c r="E3489"/>
      <c r="G3489"/>
      <c r="H3489"/>
      <c r="I3489"/>
      <c r="K3489"/>
      <c r="O3489"/>
      <c r="R3489"/>
      <c r="W3489" s="4"/>
      <c r="X3489" s="4"/>
      <c r="Y3489" s="4"/>
    </row>
    <row r="3490" spans="5:25">
      <c r="E3490"/>
      <c r="G3490"/>
      <c r="H3490"/>
      <c r="I3490"/>
      <c r="K3490"/>
      <c r="O3490"/>
      <c r="R3490"/>
      <c r="W3490" s="4"/>
      <c r="X3490" s="4"/>
      <c r="Y3490" s="4"/>
    </row>
    <row r="3491" spans="5:25">
      <c r="E3491"/>
      <c r="G3491"/>
      <c r="H3491"/>
      <c r="I3491"/>
      <c r="K3491"/>
      <c r="O3491"/>
      <c r="R3491"/>
      <c r="W3491" s="4"/>
      <c r="X3491" s="4"/>
      <c r="Y3491" s="4"/>
    </row>
    <row r="3492" spans="5:25">
      <c r="E3492"/>
      <c r="G3492"/>
      <c r="H3492"/>
      <c r="I3492"/>
      <c r="K3492"/>
      <c r="O3492"/>
      <c r="R3492"/>
      <c r="W3492" s="4"/>
      <c r="X3492" s="4"/>
      <c r="Y3492" s="4"/>
    </row>
    <row r="3493" spans="5:25">
      <c r="E3493"/>
      <c r="G3493"/>
      <c r="H3493"/>
      <c r="I3493"/>
      <c r="K3493"/>
      <c r="O3493"/>
      <c r="R3493"/>
      <c r="W3493" s="4"/>
      <c r="X3493" s="4"/>
      <c r="Y3493" s="4"/>
    </row>
    <row r="3494" spans="5:25">
      <c r="E3494"/>
      <c r="G3494"/>
      <c r="H3494"/>
      <c r="I3494"/>
      <c r="K3494"/>
      <c r="O3494"/>
      <c r="R3494"/>
      <c r="W3494" s="4"/>
      <c r="X3494" s="4"/>
      <c r="Y3494" s="4"/>
    </row>
    <row r="3495" spans="5:25">
      <c r="E3495"/>
      <c r="G3495"/>
      <c r="H3495"/>
      <c r="I3495"/>
      <c r="K3495"/>
      <c r="O3495"/>
      <c r="R3495"/>
      <c r="W3495" s="4"/>
      <c r="X3495" s="4"/>
      <c r="Y3495" s="4"/>
    </row>
    <row r="3496" spans="5:25">
      <c r="E3496"/>
      <c r="G3496"/>
      <c r="H3496"/>
      <c r="I3496"/>
      <c r="K3496"/>
      <c r="O3496"/>
      <c r="R3496"/>
      <c r="W3496" s="4"/>
      <c r="X3496" s="4"/>
      <c r="Y3496" s="4"/>
    </row>
    <row r="3497" spans="5:25">
      <c r="E3497"/>
      <c r="G3497"/>
      <c r="H3497"/>
      <c r="I3497"/>
      <c r="K3497"/>
      <c r="O3497"/>
      <c r="R3497"/>
      <c r="W3497" s="4"/>
      <c r="X3497" s="4"/>
      <c r="Y3497" s="4"/>
    </row>
    <row r="3498" spans="5:25">
      <c r="E3498"/>
      <c r="G3498"/>
      <c r="H3498"/>
      <c r="I3498"/>
      <c r="K3498"/>
      <c r="O3498"/>
      <c r="R3498"/>
      <c r="W3498" s="4"/>
      <c r="X3498" s="4"/>
      <c r="Y3498" s="4"/>
    </row>
    <row r="3499" spans="5:25">
      <c r="E3499"/>
      <c r="G3499"/>
      <c r="H3499"/>
      <c r="I3499"/>
      <c r="K3499"/>
      <c r="O3499"/>
      <c r="R3499"/>
      <c r="W3499" s="4"/>
      <c r="X3499" s="4"/>
      <c r="Y3499" s="4"/>
    </row>
    <row r="3500" spans="5:25">
      <c r="E3500"/>
      <c r="G3500"/>
      <c r="H3500"/>
      <c r="I3500"/>
      <c r="K3500"/>
      <c r="O3500"/>
      <c r="R3500"/>
      <c r="W3500" s="4"/>
      <c r="X3500" s="4"/>
      <c r="Y3500" s="4"/>
    </row>
    <row r="3501" spans="5:25">
      <c r="E3501"/>
      <c r="G3501"/>
      <c r="H3501"/>
      <c r="I3501"/>
      <c r="K3501"/>
      <c r="O3501"/>
      <c r="R3501"/>
      <c r="W3501" s="4"/>
      <c r="X3501" s="4"/>
      <c r="Y3501" s="4"/>
    </row>
    <row r="3502" spans="5:25">
      <c r="E3502"/>
      <c r="G3502"/>
      <c r="H3502"/>
      <c r="I3502"/>
      <c r="K3502"/>
      <c r="O3502"/>
      <c r="R3502"/>
      <c r="W3502" s="4"/>
      <c r="X3502" s="4"/>
      <c r="Y3502" s="4"/>
    </row>
    <row r="3503" spans="5:25">
      <c r="E3503"/>
      <c r="G3503"/>
      <c r="H3503"/>
      <c r="I3503"/>
      <c r="K3503"/>
      <c r="O3503"/>
      <c r="R3503"/>
      <c r="W3503" s="4"/>
      <c r="X3503" s="4"/>
      <c r="Y3503" s="4"/>
    </row>
    <row r="3504" spans="5:25">
      <c r="E3504"/>
      <c r="G3504"/>
      <c r="H3504"/>
      <c r="I3504"/>
      <c r="K3504"/>
      <c r="O3504"/>
      <c r="R3504"/>
      <c r="W3504" s="4"/>
      <c r="X3504" s="4"/>
      <c r="Y3504" s="4"/>
    </row>
    <row r="3505" spans="5:25">
      <c r="E3505"/>
      <c r="G3505"/>
      <c r="H3505"/>
      <c r="I3505"/>
      <c r="K3505"/>
      <c r="O3505"/>
      <c r="R3505"/>
      <c r="W3505" s="4"/>
      <c r="X3505" s="4"/>
      <c r="Y3505" s="4"/>
    </row>
    <row r="3506" spans="5:25">
      <c r="E3506"/>
      <c r="G3506"/>
      <c r="H3506"/>
      <c r="I3506"/>
      <c r="K3506"/>
      <c r="O3506"/>
      <c r="R3506"/>
      <c r="W3506" s="4"/>
      <c r="X3506" s="4"/>
      <c r="Y3506" s="4"/>
    </row>
    <row r="3507" spans="5:25">
      <c r="E3507"/>
      <c r="G3507"/>
      <c r="H3507"/>
      <c r="I3507"/>
      <c r="K3507"/>
      <c r="O3507"/>
      <c r="R3507"/>
      <c r="W3507" s="4"/>
      <c r="X3507" s="4"/>
      <c r="Y3507" s="4"/>
    </row>
    <row r="3508" spans="5:25">
      <c r="E3508"/>
      <c r="G3508"/>
      <c r="H3508"/>
      <c r="I3508"/>
      <c r="K3508"/>
      <c r="O3508"/>
      <c r="R3508"/>
      <c r="W3508" s="4"/>
      <c r="X3508" s="4"/>
      <c r="Y3508" s="4"/>
    </row>
    <row r="3509" spans="5:25">
      <c r="E3509"/>
      <c r="G3509"/>
      <c r="H3509"/>
      <c r="I3509"/>
      <c r="K3509"/>
      <c r="O3509"/>
      <c r="R3509"/>
      <c r="W3509" s="4"/>
      <c r="X3509" s="4"/>
      <c r="Y3509" s="4"/>
    </row>
    <row r="3510" spans="5:25">
      <c r="E3510"/>
      <c r="G3510"/>
      <c r="H3510"/>
      <c r="I3510"/>
      <c r="K3510"/>
      <c r="O3510"/>
      <c r="R3510"/>
      <c r="W3510" s="4"/>
      <c r="X3510" s="4"/>
      <c r="Y3510" s="4"/>
    </row>
    <row r="3511" spans="5:25">
      <c r="E3511"/>
      <c r="G3511"/>
      <c r="H3511"/>
      <c r="I3511"/>
      <c r="K3511"/>
      <c r="O3511"/>
      <c r="R3511"/>
      <c r="W3511" s="4"/>
      <c r="X3511" s="4"/>
      <c r="Y3511" s="4"/>
    </row>
    <row r="3512" spans="5:25">
      <c r="E3512"/>
      <c r="G3512"/>
      <c r="H3512"/>
      <c r="I3512"/>
      <c r="K3512"/>
      <c r="O3512"/>
      <c r="R3512"/>
      <c r="W3512" s="4"/>
      <c r="X3512" s="4"/>
      <c r="Y3512" s="4"/>
    </row>
    <row r="3513" spans="5:25">
      <c r="E3513"/>
      <c r="G3513"/>
      <c r="H3513"/>
      <c r="I3513"/>
      <c r="K3513"/>
      <c r="O3513"/>
      <c r="R3513"/>
      <c r="W3513" s="4"/>
      <c r="X3513" s="4"/>
      <c r="Y3513" s="4"/>
    </row>
    <row r="3514" spans="5:25">
      <c r="E3514"/>
      <c r="G3514"/>
      <c r="H3514"/>
      <c r="I3514"/>
      <c r="K3514"/>
      <c r="O3514"/>
      <c r="R3514"/>
      <c r="W3514" s="4"/>
      <c r="X3514" s="4"/>
      <c r="Y3514" s="4"/>
    </row>
    <row r="3515" spans="5:25">
      <c r="E3515"/>
      <c r="G3515"/>
      <c r="H3515"/>
      <c r="I3515"/>
      <c r="K3515"/>
      <c r="O3515"/>
      <c r="R3515"/>
      <c r="W3515" s="4"/>
      <c r="X3515" s="4"/>
      <c r="Y3515" s="4"/>
    </row>
    <row r="3516" spans="5:25">
      <c r="E3516"/>
      <c r="G3516"/>
      <c r="H3516"/>
      <c r="I3516"/>
      <c r="K3516"/>
      <c r="O3516"/>
      <c r="R3516"/>
      <c r="W3516" s="4"/>
      <c r="X3516" s="4"/>
      <c r="Y3516" s="4"/>
    </row>
    <row r="3517" spans="5:25">
      <c r="E3517"/>
      <c r="G3517"/>
      <c r="H3517"/>
      <c r="I3517"/>
      <c r="K3517"/>
      <c r="O3517"/>
      <c r="R3517"/>
      <c r="W3517" s="4"/>
      <c r="X3517" s="4"/>
      <c r="Y3517" s="4"/>
    </row>
    <row r="3518" spans="5:25">
      <c r="E3518"/>
      <c r="G3518"/>
      <c r="H3518"/>
      <c r="I3518"/>
      <c r="K3518"/>
      <c r="O3518"/>
      <c r="R3518"/>
      <c r="W3518" s="4"/>
      <c r="X3518" s="4"/>
      <c r="Y3518" s="4"/>
    </row>
    <row r="3519" spans="5:25">
      <c r="E3519"/>
      <c r="G3519"/>
      <c r="H3519"/>
      <c r="I3519"/>
      <c r="K3519"/>
      <c r="O3519"/>
      <c r="R3519"/>
      <c r="W3519" s="4"/>
      <c r="X3519" s="4"/>
      <c r="Y3519" s="4"/>
    </row>
    <row r="3520" spans="5:25">
      <c r="E3520"/>
      <c r="G3520"/>
      <c r="H3520"/>
      <c r="I3520"/>
      <c r="K3520"/>
      <c r="O3520"/>
      <c r="R3520"/>
      <c r="W3520" s="4"/>
      <c r="X3520" s="4"/>
      <c r="Y3520" s="4"/>
    </row>
    <row r="3521" spans="5:25">
      <c r="E3521"/>
      <c r="G3521"/>
      <c r="H3521"/>
      <c r="I3521"/>
      <c r="K3521"/>
      <c r="O3521"/>
      <c r="R3521"/>
      <c r="W3521" s="4"/>
      <c r="X3521" s="4"/>
      <c r="Y3521" s="4"/>
    </row>
    <row r="3522" spans="5:25">
      <c r="E3522"/>
      <c r="G3522"/>
      <c r="H3522"/>
      <c r="I3522"/>
      <c r="K3522"/>
      <c r="O3522"/>
      <c r="R3522"/>
      <c r="W3522" s="4"/>
      <c r="X3522" s="4"/>
      <c r="Y3522" s="4"/>
    </row>
    <row r="3523" spans="5:25">
      <c r="E3523"/>
      <c r="G3523"/>
      <c r="H3523"/>
      <c r="I3523"/>
      <c r="K3523"/>
      <c r="O3523"/>
      <c r="R3523"/>
      <c r="W3523" s="4"/>
      <c r="X3523" s="4"/>
      <c r="Y3523" s="4"/>
    </row>
    <row r="3524" spans="5:25">
      <c r="E3524"/>
      <c r="G3524"/>
      <c r="H3524"/>
      <c r="I3524"/>
      <c r="K3524"/>
      <c r="O3524"/>
      <c r="R3524"/>
      <c r="W3524" s="4"/>
      <c r="X3524" s="4"/>
      <c r="Y3524" s="4"/>
    </row>
    <row r="3525" spans="5:25">
      <c r="E3525"/>
      <c r="G3525"/>
      <c r="H3525"/>
      <c r="I3525"/>
      <c r="K3525"/>
      <c r="O3525"/>
      <c r="R3525"/>
      <c r="W3525" s="4"/>
      <c r="X3525" s="4"/>
      <c r="Y3525" s="4"/>
    </row>
    <row r="3526" spans="5:25">
      <c r="E3526"/>
      <c r="G3526"/>
      <c r="H3526"/>
      <c r="I3526"/>
      <c r="K3526"/>
      <c r="O3526"/>
      <c r="R3526"/>
      <c r="W3526" s="4"/>
      <c r="X3526" s="4"/>
      <c r="Y3526" s="4"/>
    </row>
    <row r="3527" spans="5:25">
      <c r="E3527"/>
      <c r="G3527"/>
      <c r="H3527"/>
      <c r="I3527"/>
      <c r="K3527"/>
      <c r="O3527"/>
      <c r="R3527"/>
      <c r="W3527" s="4"/>
      <c r="X3527" s="4"/>
      <c r="Y3527" s="4"/>
    </row>
    <row r="3528" spans="5:25">
      <c r="E3528"/>
      <c r="G3528"/>
      <c r="H3528"/>
      <c r="I3528"/>
      <c r="K3528"/>
      <c r="O3528"/>
      <c r="R3528"/>
      <c r="W3528" s="4"/>
      <c r="X3528" s="4"/>
      <c r="Y3528" s="4"/>
    </row>
    <row r="3529" spans="5:25">
      <c r="E3529"/>
      <c r="G3529"/>
      <c r="H3529"/>
      <c r="I3529"/>
      <c r="K3529"/>
      <c r="O3529"/>
      <c r="R3529"/>
      <c r="W3529" s="4"/>
      <c r="X3529" s="4"/>
      <c r="Y3529" s="4"/>
    </row>
    <row r="3530" spans="5:25">
      <c r="E3530"/>
      <c r="G3530"/>
      <c r="H3530"/>
      <c r="I3530"/>
      <c r="K3530"/>
      <c r="O3530"/>
      <c r="R3530"/>
      <c r="W3530" s="4"/>
      <c r="X3530" s="4"/>
      <c r="Y3530" s="4"/>
    </row>
    <row r="3531" spans="5:25">
      <c r="E3531"/>
      <c r="G3531"/>
      <c r="H3531"/>
      <c r="I3531"/>
      <c r="K3531"/>
      <c r="O3531"/>
      <c r="R3531"/>
      <c r="W3531" s="4"/>
      <c r="X3531" s="4"/>
      <c r="Y3531" s="4"/>
    </row>
    <row r="3532" spans="5:25">
      <c r="E3532"/>
      <c r="G3532"/>
      <c r="H3532"/>
      <c r="I3532"/>
      <c r="K3532"/>
      <c r="O3532"/>
      <c r="R3532"/>
      <c r="W3532" s="4"/>
      <c r="X3532" s="4"/>
      <c r="Y3532" s="4"/>
    </row>
    <row r="3533" spans="5:25">
      <c r="E3533"/>
      <c r="G3533"/>
      <c r="H3533"/>
      <c r="I3533"/>
      <c r="K3533"/>
      <c r="O3533"/>
      <c r="R3533"/>
      <c r="W3533" s="4"/>
      <c r="X3533" s="4"/>
      <c r="Y3533" s="4"/>
    </row>
    <row r="3534" spans="5:25">
      <c r="E3534"/>
      <c r="G3534"/>
      <c r="H3534"/>
      <c r="I3534"/>
      <c r="K3534"/>
      <c r="O3534"/>
      <c r="R3534"/>
      <c r="W3534" s="4"/>
      <c r="X3534" s="4"/>
      <c r="Y3534" s="4"/>
    </row>
    <row r="3535" spans="5:25">
      <c r="E3535"/>
      <c r="G3535"/>
      <c r="H3535"/>
      <c r="I3535"/>
      <c r="K3535"/>
      <c r="O3535"/>
      <c r="R3535"/>
      <c r="W3535" s="4"/>
      <c r="X3535" s="4"/>
      <c r="Y3535" s="4"/>
    </row>
    <row r="3536" spans="5:25">
      <c r="E3536"/>
      <c r="G3536"/>
      <c r="H3536"/>
      <c r="I3536"/>
      <c r="K3536"/>
      <c r="O3536"/>
      <c r="R3536"/>
      <c r="W3536" s="4"/>
      <c r="X3536" s="4"/>
      <c r="Y3536" s="4"/>
    </row>
    <row r="3537" spans="5:25">
      <c r="E3537"/>
      <c r="G3537"/>
      <c r="H3537"/>
      <c r="I3537"/>
      <c r="K3537"/>
      <c r="O3537"/>
      <c r="R3537"/>
      <c r="W3537" s="4"/>
      <c r="X3537" s="4"/>
      <c r="Y3537" s="4"/>
    </row>
    <row r="3538" spans="5:25">
      <c r="E3538"/>
      <c r="G3538"/>
      <c r="H3538"/>
      <c r="I3538"/>
      <c r="K3538"/>
      <c r="O3538"/>
      <c r="R3538"/>
      <c r="W3538" s="4"/>
      <c r="X3538" s="4"/>
      <c r="Y3538" s="4"/>
    </row>
    <row r="3539" spans="5:25">
      <c r="E3539"/>
      <c r="G3539"/>
      <c r="H3539"/>
      <c r="I3539"/>
      <c r="K3539"/>
      <c r="O3539"/>
      <c r="R3539"/>
      <c r="W3539" s="4"/>
      <c r="X3539" s="4"/>
      <c r="Y3539" s="4"/>
    </row>
    <row r="3540" spans="5:25">
      <c r="E3540"/>
      <c r="G3540"/>
      <c r="H3540"/>
      <c r="I3540"/>
      <c r="K3540"/>
      <c r="O3540"/>
      <c r="R3540"/>
      <c r="W3540" s="4"/>
      <c r="X3540" s="4"/>
      <c r="Y3540" s="4"/>
    </row>
    <row r="3541" spans="5:25">
      <c r="E3541"/>
      <c r="G3541"/>
      <c r="H3541"/>
      <c r="I3541"/>
      <c r="K3541"/>
      <c r="O3541"/>
      <c r="R3541"/>
      <c r="W3541" s="4"/>
      <c r="X3541" s="4"/>
      <c r="Y3541" s="4"/>
    </row>
    <row r="3542" spans="5:25">
      <c r="E3542"/>
      <c r="G3542"/>
      <c r="H3542"/>
      <c r="I3542"/>
      <c r="K3542"/>
      <c r="O3542"/>
      <c r="R3542"/>
      <c r="W3542" s="4"/>
      <c r="X3542" s="4"/>
      <c r="Y3542" s="4"/>
    </row>
    <row r="3543" spans="5:25">
      <c r="E3543"/>
      <c r="G3543"/>
      <c r="H3543"/>
      <c r="I3543"/>
      <c r="K3543"/>
      <c r="O3543"/>
      <c r="R3543"/>
      <c r="W3543" s="4"/>
      <c r="X3543" s="4"/>
      <c r="Y3543" s="4"/>
    </row>
    <row r="3544" spans="5:25">
      <c r="E3544"/>
      <c r="G3544"/>
      <c r="H3544"/>
      <c r="I3544"/>
      <c r="K3544"/>
      <c r="O3544"/>
      <c r="R3544"/>
      <c r="W3544" s="4"/>
      <c r="X3544" s="4"/>
      <c r="Y3544" s="4"/>
    </row>
    <row r="3545" spans="5:25">
      <c r="E3545"/>
      <c r="G3545"/>
      <c r="H3545"/>
      <c r="I3545"/>
      <c r="K3545"/>
      <c r="O3545"/>
      <c r="R3545"/>
      <c r="W3545" s="4"/>
      <c r="X3545" s="4"/>
      <c r="Y3545" s="4"/>
    </row>
    <row r="3546" spans="5:25">
      <c r="E3546"/>
      <c r="G3546"/>
      <c r="H3546"/>
      <c r="I3546"/>
      <c r="K3546"/>
      <c r="O3546"/>
      <c r="R3546"/>
      <c r="W3546" s="4"/>
      <c r="X3546" s="4"/>
      <c r="Y3546" s="4"/>
    </row>
    <row r="3547" spans="5:25">
      <c r="E3547"/>
      <c r="G3547"/>
      <c r="H3547"/>
      <c r="I3547"/>
      <c r="K3547"/>
      <c r="O3547"/>
      <c r="R3547"/>
      <c r="W3547" s="4"/>
      <c r="X3547" s="4"/>
      <c r="Y3547" s="4"/>
    </row>
    <row r="3548" spans="5:25">
      <c r="E3548"/>
      <c r="G3548"/>
      <c r="H3548"/>
      <c r="I3548"/>
      <c r="K3548"/>
      <c r="O3548"/>
      <c r="R3548"/>
      <c r="W3548" s="4"/>
      <c r="X3548" s="4"/>
      <c r="Y3548" s="4"/>
    </row>
    <row r="3549" spans="5:25">
      <c r="E3549"/>
      <c r="G3549"/>
      <c r="H3549"/>
      <c r="I3549"/>
      <c r="K3549"/>
      <c r="O3549"/>
      <c r="R3549"/>
      <c r="W3549" s="4"/>
      <c r="X3549" s="4"/>
      <c r="Y3549" s="4"/>
    </row>
    <row r="3550" spans="5:25">
      <c r="E3550"/>
      <c r="G3550"/>
      <c r="H3550"/>
      <c r="I3550"/>
      <c r="K3550"/>
      <c r="O3550"/>
      <c r="R3550"/>
      <c r="W3550" s="4"/>
      <c r="X3550" s="4"/>
      <c r="Y3550" s="4"/>
    </row>
    <row r="3551" spans="5:25">
      <c r="E3551"/>
      <c r="G3551"/>
      <c r="H3551"/>
      <c r="I3551"/>
      <c r="K3551"/>
      <c r="O3551"/>
      <c r="R3551"/>
      <c r="W3551" s="4"/>
      <c r="X3551" s="4"/>
      <c r="Y3551" s="4"/>
    </row>
    <row r="3552" spans="5:25">
      <c r="E3552"/>
      <c r="G3552"/>
      <c r="H3552"/>
      <c r="I3552"/>
      <c r="K3552"/>
      <c r="O3552"/>
      <c r="R3552"/>
      <c r="W3552" s="4"/>
      <c r="X3552" s="4"/>
      <c r="Y3552" s="4"/>
    </row>
    <row r="3553" spans="5:25">
      <c r="E3553"/>
      <c r="G3553"/>
      <c r="H3553"/>
      <c r="I3553"/>
      <c r="K3553"/>
      <c r="O3553"/>
      <c r="R3553"/>
      <c r="W3553" s="4"/>
      <c r="X3553" s="4"/>
      <c r="Y3553" s="4"/>
    </row>
    <row r="3554" spans="5:25">
      <c r="E3554"/>
      <c r="G3554"/>
      <c r="H3554"/>
      <c r="I3554"/>
      <c r="K3554"/>
      <c r="O3554"/>
      <c r="R3554"/>
      <c r="W3554" s="4"/>
      <c r="X3554" s="4"/>
      <c r="Y3554" s="4"/>
    </row>
    <row r="3555" spans="5:25">
      <c r="E3555"/>
      <c r="G3555"/>
      <c r="H3555"/>
      <c r="I3555"/>
      <c r="K3555"/>
      <c r="O3555"/>
      <c r="R3555"/>
      <c r="W3555" s="4"/>
      <c r="X3555" s="4"/>
      <c r="Y3555" s="4"/>
    </row>
    <row r="3556" spans="5:25">
      <c r="E3556"/>
      <c r="G3556"/>
      <c r="H3556"/>
      <c r="I3556"/>
      <c r="K3556"/>
      <c r="O3556"/>
      <c r="R3556"/>
      <c r="W3556" s="4"/>
      <c r="X3556" s="4"/>
      <c r="Y3556" s="4"/>
    </row>
    <row r="3557" spans="5:25">
      <c r="E3557"/>
      <c r="G3557"/>
      <c r="H3557"/>
      <c r="I3557"/>
      <c r="K3557"/>
      <c r="O3557"/>
      <c r="R3557"/>
      <c r="W3557" s="4"/>
      <c r="X3557" s="4"/>
      <c r="Y3557" s="4"/>
    </row>
    <row r="3558" spans="5:25">
      <c r="E3558"/>
      <c r="G3558"/>
      <c r="H3558"/>
      <c r="I3558"/>
      <c r="K3558"/>
      <c r="O3558"/>
      <c r="R3558"/>
      <c r="W3558" s="4"/>
      <c r="X3558" s="4"/>
      <c r="Y3558" s="4"/>
    </row>
    <row r="3559" spans="5:25">
      <c r="E3559"/>
      <c r="G3559"/>
      <c r="H3559"/>
      <c r="I3559"/>
      <c r="K3559"/>
      <c r="O3559"/>
      <c r="R3559"/>
      <c r="W3559" s="4"/>
      <c r="X3559" s="4"/>
      <c r="Y3559" s="4"/>
    </row>
    <row r="3560" spans="5:25">
      <c r="E3560"/>
      <c r="G3560"/>
      <c r="H3560"/>
      <c r="I3560"/>
      <c r="K3560"/>
      <c r="O3560"/>
      <c r="R3560"/>
      <c r="W3560" s="4"/>
      <c r="X3560" s="4"/>
      <c r="Y3560" s="4"/>
    </row>
    <row r="3561" spans="5:25">
      <c r="E3561"/>
      <c r="G3561"/>
      <c r="H3561"/>
      <c r="I3561"/>
      <c r="K3561"/>
      <c r="O3561"/>
      <c r="R3561"/>
      <c r="W3561" s="4"/>
      <c r="X3561" s="4"/>
      <c r="Y3561" s="4"/>
    </row>
    <row r="3562" spans="5:25">
      <c r="E3562"/>
      <c r="G3562"/>
      <c r="H3562"/>
      <c r="I3562"/>
      <c r="K3562"/>
      <c r="O3562"/>
      <c r="R3562"/>
      <c r="W3562" s="4"/>
      <c r="X3562" s="4"/>
      <c r="Y3562" s="4"/>
    </row>
    <row r="3563" spans="5:25">
      <c r="E3563"/>
      <c r="G3563"/>
      <c r="H3563"/>
      <c r="I3563"/>
      <c r="K3563"/>
      <c r="O3563"/>
      <c r="R3563"/>
      <c r="W3563" s="4"/>
      <c r="X3563" s="4"/>
      <c r="Y3563" s="4"/>
    </row>
    <row r="3564" spans="5:25">
      <c r="E3564"/>
      <c r="G3564"/>
      <c r="H3564"/>
      <c r="I3564"/>
      <c r="K3564"/>
      <c r="O3564"/>
      <c r="R3564"/>
      <c r="W3564" s="4"/>
      <c r="X3564" s="4"/>
      <c r="Y3564" s="4"/>
    </row>
    <row r="3565" spans="5:25">
      <c r="E3565"/>
      <c r="G3565"/>
      <c r="H3565"/>
      <c r="I3565"/>
      <c r="K3565"/>
      <c r="O3565"/>
      <c r="R3565"/>
      <c r="W3565" s="4"/>
      <c r="X3565" s="4"/>
      <c r="Y3565" s="4"/>
    </row>
    <row r="3566" spans="5:25">
      <c r="E3566"/>
      <c r="G3566"/>
      <c r="H3566"/>
      <c r="I3566"/>
      <c r="K3566"/>
      <c r="O3566"/>
      <c r="R3566"/>
      <c r="W3566" s="4"/>
      <c r="X3566" s="4"/>
      <c r="Y3566" s="4"/>
    </row>
    <row r="3567" spans="5:25">
      <c r="E3567"/>
      <c r="G3567"/>
      <c r="H3567"/>
      <c r="I3567"/>
      <c r="K3567"/>
      <c r="O3567"/>
      <c r="R3567"/>
      <c r="W3567" s="4"/>
      <c r="X3567" s="4"/>
      <c r="Y3567" s="4"/>
    </row>
    <row r="3568" spans="5:25">
      <c r="E3568"/>
      <c r="G3568"/>
      <c r="H3568"/>
      <c r="I3568"/>
      <c r="K3568"/>
      <c r="O3568"/>
      <c r="R3568"/>
      <c r="W3568" s="4"/>
      <c r="X3568" s="4"/>
      <c r="Y3568" s="4"/>
    </row>
    <row r="3569" spans="5:25">
      <c r="E3569"/>
      <c r="G3569"/>
      <c r="H3569"/>
      <c r="I3569"/>
      <c r="K3569"/>
      <c r="O3569"/>
      <c r="R3569"/>
      <c r="W3569" s="4"/>
      <c r="X3569" s="4"/>
      <c r="Y3569" s="4"/>
    </row>
    <row r="3570" spans="5:25">
      <c r="E3570"/>
      <c r="G3570"/>
      <c r="H3570"/>
      <c r="I3570"/>
      <c r="K3570"/>
      <c r="O3570"/>
      <c r="R3570"/>
      <c r="W3570" s="4"/>
      <c r="X3570" s="4"/>
      <c r="Y3570" s="4"/>
    </row>
    <row r="3571" spans="5:25">
      <c r="E3571"/>
      <c r="G3571"/>
      <c r="H3571"/>
      <c r="I3571"/>
      <c r="K3571"/>
      <c r="O3571"/>
      <c r="R3571"/>
      <c r="W3571" s="4"/>
      <c r="X3571" s="4"/>
      <c r="Y3571" s="4"/>
    </row>
    <row r="3572" spans="5:25">
      <c r="E3572"/>
      <c r="G3572"/>
      <c r="H3572"/>
      <c r="I3572"/>
      <c r="K3572"/>
      <c r="O3572"/>
      <c r="R3572"/>
      <c r="W3572" s="4"/>
      <c r="X3572" s="4"/>
      <c r="Y3572" s="4"/>
    </row>
    <row r="3573" spans="5:25">
      <c r="E3573"/>
      <c r="G3573"/>
      <c r="H3573"/>
      <c r="I3573"/>
      <c r="K3573"/>
      <c r="O3573"/>
      <c r="R3573"/>
      <c r="W3573" s="4"/>
      <c r="X3573" s="4"/>
      <c r="Y3573" s="4"/>
    </row>
    <row r="3574" spans="5:25">
      <c r="E3574"/>
      <c r="G3574"/>
      <c r="H3574"/>
      <c r="I3574"/>
      <c r="K3574"/>
      <c r="O3574"/>
      <c r="R3574"/>
      <c r="W3574" s="4"/>
      <c r="X3574" s="4"/>
      <c r="Y3574" s="4"/>
    </row>
    <row r="3575" spans="5:25">
      <c r="E3575"/>
      <c r="G3575"/>
      <c r="H3575"/>
      <c r="I3575"/>
      <c r="K3575"/>
      <c r="O3575"/>
      <c r="R3575"/>
      <c r="W3575" s="4"/>
      <c r="X3575" s="4"/>
      <c r="Y3575" s="4"/>
    </row>
    <row r="3576" spans="5:25">
      <c r="E3576"/>
      <c r="G3576"/>
      <c r="H3576"/>
      <c r="I3576"/>
      <c r="K3576"/>
      <c r="O3576"/>
      <c r="R3576"/>
      <c r="W3576" s="4"/>
      <c r="X3576" s="4"/>
      <c r="Y3576" s="4"/>
    </row>
    <row r="3577" spans="5:25">
      <c r="E3577"/>
      <c r="G3577"/>
      <c r="H3577"/>
      <c r="I3577"/>
      <c r="K3577"/>
      <c r="O3577"/>
      <c r="R3577"/>
      <c r="W3577" s="4"/>
      <c r="X3577" s="4"/>
      <c r="Y3577" s="4"/>
    </row>
    <row r="3578" spans="5:25">
      <c r="E3578"/>
      <c r="G3578"/>
      <c r="H3578"/>
      <c r="I3578"/>
      <c r="K3578"/>
      <c r="O3578"/>
      <c r="R3578"/>
      <c r="W3578" s="4"/>
      <c r="X3578" s="4"/>
      <c r="Y3578" s="4"/>
    </row>
    <row r="3579" spans="5:25">
      <c r="E3579"/>
      <c r="G3579"/>
      <c r="H3579"/>
      <c r="I3579"/>
      <c r="K3579"/>
      <c r="O3579"/>
      <c r="R3579"/>
      <c r="W3579" s="4"/>
      <c r="X3579" s="4"/>
      <c r="Y3579" s="4"/>
    </row>
    <row r="3580" spans="5:25">
      <c r="E3580"/>
      <c r="G3580"/>
      <c r="H3580"/>
      <c r="I3580"/>
      <c r="K3580"/>
      <c r="O3580"/>
      <c r="R3580"/>
      <c r="W3580" s="4"/>
      <c r="X3580" s="4"/>
      <c r="Y3580" s="4"/>
    </row>
    <row r="3581" spans="5:25">
      <c r="E3581"/>
      <c r="G3581"/>
      <c r="H3581"/>
      <c r="I3581"/>
      <c r="K3581"/>
      <c r="O3581"/>
      <c r="R3581"/>
      <c r="W3581" s="4"/>
      <c r="X3581" s="4"/>
      <c r="Y3581" s="4"/>
    </row>
    <row r="3582" spans="5:25">
      <c r="E3582"/>
      <c r="G3582"/>
      <c r="H3582"/>
      <c r="I3582"/>
      <c r="K3582"/>
      <c r="O3582"/>
      <c r="R3582"/>
      <c r="W3582" s="4"/>
      <c r="X3582" s="4"/>
      <c r="Y3582" s="4"/>
    </row>
    <row r="3583" spans="5:25">
      <c r="E3583"/>
      <c r="G3583"/>
      <c r="H3583"/>
      <c r="I3583"/>
      <c r="K3583"/>
      <c r="O3583"/>
      <c r="R3583"/>
      <c r="W3583" s="4"/>
      <c r="X3583" s="4"/>
      <c r="Y3583" s="4"/>
    </row>
    <row r="3584" spans="5:25">
      <c r="E3584"/>
      <c r="G3584"/>
      <c r="H3584"/>
      <c r="I3584"/>
      <c r="K3584"/>
      <c r="O3584"/>
      <c r="R3584"/>
      <c r="W3584" s="4"/>
      <c r="X3584" s="4"/>
      <c r="Y3584" s="4"/>
    </row>
    <row r="3585" spans="5:25">
      <c r="E3585"/>
      <c r="G3585"/>
      <c r="H3585"/>
      <c r="I3585"/>
      <c r="K3585"/>
      <c r="O3585"/>
      <c r="R3585"/>
      <c r="W3585" s="4"/>
      <c r="X3585" s="4"/>
      <c r="Y3585" s="4"/>
    </row>
    <row r="3586" spans="5:25">
      <c r="E3586"/>
      <c r="G3586"/>
      <c r="H3586"/>
      <c r="I3586"/>
      <c r="K3586"/>
      <c r="O3586"/>
      <c r="R3586"/>
      <c r="W3586" s="4"/>
      <c r="X3586" s="4"/>
      <c r="Y3586" s="4"/>
    </row>
    <row r="3587" spans="5:25">
      <c r="E3587"/>
      <c r="G3587"/>
      <c r="H3587"/>
      <c r="I3587"/>
      <c r="K3587"/>
      <c r="O3587"/>
      <c r="R3587"/>
      <c r="W3587" s="4"/>
      <c r="X3587" s="4"/>
      <c r="Y3587" s="4"/>
    </row>
    <row r="3588" spans="5:25">
      <c r="E3588"/>
      <c r="G3588"/>
      <c r="H3588"/>
      <c r="I3588"/>
      <c r="K3588"/>
      <c r="O3588"/>
      <c r="R3588"/>
      <c r="W3588" s="4"/>
      <c r="X3588" s="4"/>
      <c r="Y3588" s="4"/>
    </row>
    <row r="3589" spans="5:25">
      <c r="E3589"/>
      <c r="G3589"/>
      <c r="H3589"/>
      <c r="I3589"/>
      <c r="K3589"/>
      <c r="O3589"/>
      <c r="R3589"/>
      <c r="W3589" s="4"/>
      <c r="X3589" s="4"/>
      <c r="Y3589" s="4"/>
    </row>
    <row r="3590" spans="5:25">
      <c r="E3590"/>
      <c r="G3590"/>
      <c r="H3590"/>
      <c r="I3590"/>
      <c r="K3590"/>
      <c r="O3590"/>
      <c r="R3590"/>
      <c r="W3590" s="4"/>
      <c r="X3590" s="4"/>
      <c r="Y3590" s="4"/>
    </row>
    <row r="3591" spans="5:25">
      <c r="E3591"/>
      <c r="G3591"/>
      <c r="H3591"/>
      <c r="I3591"/>
      <c r="K3591"/>
      <c r="O3591"/>
      <c r="R3591"/>
      <c r="W3591" s="4"/>
      <c r="X3591" s="4"/>
      <c r="Y3591" s="4"/>
    </row>
    <row r="3592" spans="5:25">
      <c r="E3592"/>
      <c r="G3592"/>
      <c r="H3592"/>
      <c r="I3592"/>
      <c r="K3592"/>
      <c r="O3592"/>
      <c r="R3592"/>
      <c r="W3592" s="4"/>
      <c r="X3592" s="4"/>
      <c r="Y3592" s="4"/>
    </row>
    <row r="3593" spans="5:25">
      <c r="E3593"/>
      <c r="G3593"/>
      <c r="H3593"/>
      <c r="I3593"/>
      <c r="K3593"/>
      <c r="O3593"/>
      <c r="R3593"/>
      <c r="W3593" s="4"/>
      <c r="X3593" s="4"/>
      <c r="Y3593" s="4"/>
    </row>
    <row r="3594" spans="5:25">
      <c r="E3594"/>
      <c r="G3594"/>
      <c r="H3594"/>
      <c r="I3594"/>
      <c r="K3594"/>
      <c r="O3594"/>
      <c r="R3594"/>
      <c r="W3594" s="4"/>
      <c r="X3594" s="4"/>
      <c r="Y3594" s="4"/>
    </row>
    <row r="3595" spans="5:25">
      <c r="E3595"/>
      <c r="G3595"/>
      <c r="H3595"/>
      <c r="I3595"/>
      <c r="K3595"/>
      <c r="O3595"/>
      <c r="R3595"/>
      <c r="W3595" s="4"/>
      <c r="X3595" s="4"/>
      <c r="Y3595" s="4"/>
    </row>
    <row r="3596" spans="5:25">
      <c r="E3596"/>
      <c r="G3596"/>
      <c r="H3596"/>
      <c r="I3596"/>
      <c r="K3596"/>
      <c r="O3596"/>
      <c r="R3596"/>
      <c r="W3596" s="4"/>
      <c r="X3596" s="4"/>
      <c r="Y3596" s="4"/>
    </row>
    <row r="3597" spans="5:25">
      <c r="E3597"/>
      <c r="G3597"/>
      <c r="H3597"/>
      <c r="I3597"/>
      <c r="K3597"/>
      <c r="O3597"/>
      <c r="R3597"/>
      <c r="W3597" s="4"/>
      <c r="X3597" s="4"/>
      <c r="Y3597" s="4"/>
    </row>
    <row r="3598" spans="5:25">
      <c r="E3598"/>
      <c r="G3598"/>
      <c r="H3598"/>
      <c r="I3598"/>
      <c r="K3598"/>
      <c r="O3598"/>
      <c r="R3598"/>
      <c r="W3598" s="4"/>
      <c r="X3598" s="4"/>
      <c r="Y3598" s="4"/>
    </row>
    <row r="3599" spans="5:25">
      <c r="E3599"/>
      <c r="G3599"/>
      <c r="H3599"/>
      <c r="I3599"/>
      <c r="K3599"/>
      <c r="O3599"/>
      <c r="R3599"/>
      <c r="W3599" s="4"/>
      <c r="X3599" s="4"/>
      <c r="Y3599" s="4"/>
    </row>
    <row r="3600" spans="5:25">
      <c r="E3600"/>
      <c r="G3600"/>
      <c r="H3600"/>
      <c r="I3600"/>
      <c r="K3600"/>
      <c r="O3600"/>
      <c r="R3600"/>
      <c r="W3600" s="4"/>
      <c r="X3600" s="4"/>
      <c r="Y3600" s="4"/>
    </row>
    <row r="3601" spans="5:25">
      <c r="E3601"/>
      <c r="G3601"/>
      <c r="H3601"/>
      <c r="I3601"/>
      <c r="K3601"/>
      <c r="O3601"/>
      <c r="R3601"/>
      <c r="W3601" s="4"/>
      <c r="X3601" s="4"/>
      <c r="Y3601" s="4"/>
    </row>
    <row r="3602" spans="5:25">
      <c r="E3602"/>
      <c r="G3602"/>
      <c r="H3602"/>
      <c r="I3602"/>
      <c r="K3602"/>
      <c r="O3602"/>
      <c r="R3602"/>
      <c r="W3602" s="4"/>
      <c r="X3602" s="4"/>
      <c r="Y3602" s="4"/>
    </row>
    <row r="3603" spans="5:25">
      <c r="E3603"/>
      <c r="G3603"/>
      <c r="H3603"/>
      <c r="I3603"/>
      <c r="K3603"/>
      <c r="O3603"/>
      <c r="R3603"/>
      <c r="W3603" s="4"/>
      <c r="X3603" s="4"/>
      <c r="Y3603" s="4"/>
    </row>
    <row r="3604" spans="5:25">
      <c r="E3604"/>
      <c r="G3604"/>
      <c r="H3604"/>
      <c r="I3604"/>
      <c r="K3604"/>
      <c r="O3604"/>
      <c r="R3604"/>
      <c r="W3604" s="4"/>
      <c r="X3604" s="4"/>
      <c r="Y3604" s="4"/>
    </row>
    <row r="3605" spans="5:25">
      <c r="E3605"/>
      <c r="G3605"/>
      <c r="H3605"/>
      <c r="I3605"/>
      <c r="K3605"/>
      <c r="O3605"/>
      <c r="R3605"/>
      <c r="W3605" s="4"/>
      <c r="X3605" s="4"/>
      <c r="Y3605" s="4"/>
    </row>
    <row r="3606" spans="5:25">
      <c r="E3606"/>
      <c r="G3606"/>
      <c r="H3606"/>
      <c r="I3606"/>
      <c r="K3606"/>
      <c r="O3606"/>
      <c r="R3606"/>
      <c r="W3606" s="4"/>
      <c r="X3606" s="4"/>
      <c r="Y3606" s="4"/>
    </row>
    <row r="3607" spans="5:25">
      <c r="E3607"/>
      <c r="G3607"/>
      <c r="H3607"/>
      <c r="I3607"/>
      <c r="K3607"/>
      <c r="O3607"/>
      <c r="R3607"/>
      <c r="W3607" s="4"/>
      <c r="X3607" s="4"/>
      <c r="Y3607" s="4"/>
    </row>
    <row r="3608" spans="5:25">
      <c r="E3608"/>
      <c r="G3608"/>
      <c r="H3608"/>
      <c r="I3608"/>
      <c r="K3608"/>
      <c r="O3608"/>
      <c r="R3608"/>
      <c r="W3608" s="4"/>
      <c r="X3608" s="4"/>
      <c r="Y3608" s="4"/>
    </row>
    <row r="3609" spans="5:25">
      <c r="E3609"/>
      <c r="G3609"/>
      <c r="H3609"/>
      <c r="I3609"/>
      <c r="K3609"/>
      <c r="O3609"/>
      <c r="R3609"/>
      <c r="W3609" s="4"/>
      <c r="X3609" s="4"/>
      <c r="Y3609" s="4"/>
    </row>
    <row r="3610" spans="5:25">
      <c r="E3610"/>
      <c r="G3610"/>
      <c r="H3610"/>
      <c r="I3610"/>
      <c r="K3610"/>
      <c r="O3610"/>
      <c r="R3610"/>
      <c r="W3610" s="4"/>
      <c r="X3610" s="4"/>
      <c r="Y3610" s="4"/>
    </row>
    <row r="3611" spans="5:25">
      <c r="E3611"/>
      <c r="G3611"/>
      <c r="H3611"/>
      <c r="I3611"/>
      <c r="K3611"/>
      <c r="O3611"/>
      <c r="R3611"/>
      <c r="W3611" s="4"/>
      <c r="X3611" s="4"/>
      <c r="Y3611" s="4"/>
    </row>
    <row r="3612" spans="5:25">
      <c r="E3612"/>
      <c r="G3612"/>
      <c r="H3612"/>
      <c r="I3612"/>
      <c r="K3612"/>
      <c r="O3612"/>
      <c r="R3612"/>
      <c r="W3612" s="4"/>
      <c r="X3612" s="4"/>
      <c r="Y3612" s="4"/>
    </row>
    <row r="3613" spans="5:25">
      <c r="E3613"/>
      <c r="G3613"/>
      <c r="H3613"/>
      <c r="I3613"/>
      <c r="K3613"/>
      <c r="O3613"/>
      <c r="R3613"/>
      <c r="W3613" s="4"/>
      <c r="X3613" s="4"/>
      <c r="Y3613" s="4"/>
    </row>
    <row r="3614" spans="5:25">
      <c r="E3614"/>
      <c r="G3614"/>
      <c r="H3614"/>
      <c r="I3614"/>
      <c r="K3614"/>
      <c r="O3614"/>
      <c r="R3614"/>
      <c r="W3614" s="4"/>
      <c r="X3614" s="4"/>
      <c r="Y3614" s="4"/>
    </row>
    <row r="3615" spans="5:25">
      <c r="E3615"/>
      <c r="G3615"/>
      <c r="H3615"/>
      <c r="I3615"/>
      <c r="K3615"/>
      <c r="O3615"/>
      <c r="R3615"/>
      <c r="W3615" s="4"/>
      <c r="X3615" s="4"/>
      <c r="Y3615" s="4"/>
    </row>
    <row r="3616" spans="5:25">
      <c r="E3616"/>
      <c r="G3616"/>
      <c r="H3616"/>
      <c r="I3616"/>
      <c r="K3616"/>
      <c r="O3616"/>
      <c r="R3616"/>
      <c r="W3616" s="4"/>
      <c r="X3616" s="4"/>
      <c r="Y3616" s="4"/>
    </row>
    <row r="3617" spans="5:25">
      <c r="E3617"/>
      <c r="G3617"/>
      <c r="H3617"/>
      <c r="I3617"/>
      <c r="K3617"/>
      <c r="O3617"/>
      <c r="R3617"/>
      <c r="W3617" s="4"/>
      <c r="X3617" s="4"/>
      <c r="Y3617" s="4"/>
    </row>
    <row r="3618" spans="5:25">
      <c r="E3618"/>
      <c r="G3618"/>
      <c r="H3618"/>
      <c r="I3618"/>
      <c r="K3618"/>
      <c r="O3618"/>
      <c r="R3618"/>
      <c r="W3618" s="4"/>
      <c r="X3618" s="4"/>
      <c r="Y3618" s="4"/>
    </row>
    <row r="3619" spans="5:25">
      <c r="E3619"/>
      <c r="G3619"/>
      <c r="H3619"/>
      <c r="I3619"/>
      <c r="K3619"/>
      <c r="O3619"/>
      <c r="R3619"/>
      <c r="W3619" s="4"/>
      <c r="X3619" s="4"/>
      <c r="Y3619" s="4"/>
    </row>
    <row r="3620" spans="5:25">
      <c r="E3620"/>
      <c r="G3620"/>
      <c r="H3620"/>
      <c r="I3620"/>
      <c r="K3620"/>
      <c r="O3620"/>
      <c r="R3620"/>
      <c r="W3620" s="4"/>
      <c r="X3620" s="4"/>
      <c r="Y3620" s="4"/>
    </row>
    <row r="3621" spans="5:25">
      <c r="E3621"/>
      <c r="G3621"/>
      <c r="H3621"/>
      <c r="I3621"/>
      <c r="K3621"/>
      <c r="O3621"/>
      <c r="R3621"/>
      <c r="W3621" s="4"/>
      <c r="X3621" s="4"/>
      <c r="Y3621" s="4"/>
    </row>
    <row r="3622" spans="5:25">
      <c r="E3622"/>
      <c r="G3622"/>
      <c r="H3622"/>
      <c r="I3622"/>
      <c r="K3622"/>
      <c r="O3622"/>
      <c r="R3622"/>
      <c r="W3622" s="4"/>
      <c r="X3622" s="4"/>
      <c r="Y3622" s="4"/>
    </row>
    <row r="3623" spans="5:25">
      <c r="E3623"/>
      <c r="G3623"/>
      <c r="H3623"/>
      <c r="I3623"/>
      <c r="K3623"/>
      <c r="O3623"/>
      <c r="R3623"/>
      <c r="W3623" s="4"/>
      <c r="X3623" s="4"/>
      <c r="Y3623" s="4"/>
    </row>
    <row r="3624" spans="5:25">
      <c r="E3624"/>
      <c r="G3624"/>
      <c r="H3624"/>
      <c r="I3624"/>
      <c r="K3624"/>
      <c r="O3624"/>
      <c r="R3624"/>
      <c r="W3624" s="4"/>
      <c r="X3624" s="4"/>
      <c r="Y3624" s="4"/>
    </row>
    <row r="3625" spans="5:25">
      <c r="E3625"/>
      <c r="G3625"/>
      <c r="H3625"/>
      <c r="I3625"/>
      <c r="K3625"/>
      <c r="O3625"/>
      <c r="R3625"/>
      <c r="W3625" s="4"/>
      <c r="X3625" s="4"/>
      <c r="Y3625" s="4"/>
    </row>
    <row r="3626" spans="5:25">
      <c r="E3626"/>
      <c r="G3626"/>
      <c r="H3626"/>
      <c r="I3626"/>
      <c r="K3626"/>
      <c r="O3626"/>
      <c r="R3626"/>
      <c r="W3626" s="4"/>
      <c r="X3626" s="4"/>
      <c r="Y3626" s="4"/>
    </row>
    <row r="3627" spans="5:25">
      <c r="E3627"/>
      <c r="G3627"/>
      <c r="H3627"/>
      <c r="I3627"/>
      <c r="K3627"/>
      <c r="O3627"/>
      <c r="R3627"/>
      <c r="W3627" s="4"/>
      <c r="X3627" s="4"/>
      <c r="Y3627" s="4"/>
    </row>
    <row r="3628" spans="5:25">
      <c r="E3628"/>
      <c r="G3628"/>
      <c r="H3628"/>
      <c r="I3628"/>
      <c r="K3628"/>
      <c r="O3628"/>
      <c r="R3628"/>
      <c r="W3628" s="4"/>
      <c r="X3628" s="4"/>
      <c r="Y3628" s="4"/>
    </row>
    <row r="3629" spans="5:25">
      <c r="E3629"/>
      <c r="G3629"/>
      <c r="H3629"/>
      <c r="I3629"/>
      <c r="K3629"/>
      <c r="O3629"/>
      <c r="R3629"/>
      <c r="W3629" s="4"/>
      <c r="X3629" s="4"/>
      <c r="Y3629" s="4"/>
    </row>
    <row r="3630" spans="5:25">
      <c r="E3630"/>
      <c r="G3630"/>
      <c r="H3630"/>
      <c r="I3630"/>
      <c r="K3630"/>
      <c r="O3630"/>
      <c r="R3630"/>
      <c r="W3630" s="4"/>
      <c r="X3630" s="4"/>
      <c r="Y3630" s="4"/>
    </row>
    <row r="3631" spans="5:25">
      <c r="E3631"/>
      <c r="G3631"/>
      <c r="H3631"/>
      <c r="I3631"/>
      <c r="K3631"/>
      <c r="O3631"/>
      <c r="R3631"/>
      <c r="W3631" s="4"/>
      <c r="X3631" s="4"/>
      <c r="Y3631" s="4"/>
    </row>
    <row r="3632" spans="5:25">
      <c r="E3632"/>
      <c r="G3632"/>
      <c r="H3632"/>
      <c r="I3632"/>
      <c r="K3632"/>
      <c r="O3632"/>
      <c r="R3632"/>
      <c r="W3632" s="4"/>
      <c r="X3632" s="4"/>
      <c r="Y3632" s="4"/>
    </row>
    <row r="3633" spans="5:25">
      <c r="E3633"/>
      <c r="G3633"/>
      <c r="H3633"/>
      <c r="I3633"/>
      <c r="K3633"/>
      <c r="O3633"/>
      <c r="R3633"/>
      <c r="W3633" s="4"/>
      <c r="X3633" s="4"/>
      <c r="Y3633" s="4"/>
    </row>
    <row r="3634" spans="5:25">
      <c r="E3634"/>
      <c r="G3634"/>
      <c r="H3634"/>
      <c r="I3634"/>
      <c r="K3634"/>
      <c r="O3634"/>
      <c r="R3634"/>
      <c r="W3634" s="4"/>
      <c r="X3634" s="4"/>
      <c r="Y3634" s="4"/>
    </row>
    <row r="3635" spans="5:25">
      <c r="E3635"/>
      <c r="G3635"/>
      <c r="H3635"/>
      <c r="I3635"/>
      <c r="K3635"/>
      <c r="O3635"/>
      <c r="R3635"/>
      <c r="W3635" s="4"/>
      <c r="X3635" s="4"/>
      <c r="Y3635" s="4"/>
    </row>
    <row r="3636" spans="5:25">
      <c r="E3636"/>
      <c r="G3636"/>
      <c r="H3636"/>
      <c r="I3636"/>
      <c r="K3636"/>
      <c r="O3636"/>
      <c r="R3636"/>
      <c r="W3636" s="4"/>
      <c r="X3636" s="4"/>
      <c r="Y3636" s="4"/>
    </row>
    <row r="3637" spans="5:25">
      <c r="E3637"/>
      <c r="G3637"/>
      <c r="H3637"/>
      <c r="I3637"/>
      <c r="K3637"/>
      <c r="O3637"/>
      <c r="R3637"/>
      <c r="W3637" s="4"/>
      <c r="X3637" s="4"/>
      <c r="Y3637" s="4"/>
    </row>
    <row r="3638" spans="5:25">
      <c r="E3638"/>
      <c r="G3638"/>
      <c r="H3638"/>
      <c r="I3638"/>
      <c r="K3638"/>
      <c r="O3638"/>
      <c r="R3638"/>
      <c r="W3638" s="4"/>
      <c r="X3638" s="4"/>
      <c r="Y3638" s="4"/>
    </row>
    <row r="3639" spans="5:25">
      <c r="E3639"/>
      <c r="G3639"/>
      <c r="H3639"/>
      <c r="I3639"/>
      <c r="K3639"/>
      <c r="O3639"/>
      <c r="R3639"/>
      <c r="W3639" s="4"/>
      <c r="X3639" s="4"/>
      <c r="Y3639" s="4"/>
    </row>
    <row r="3640" spans="5:25">
      <c r="E3640"/>
      <c r="G3640"/>
      <c r="H3640"/>
      <c r="I3640"/>
      <c r="K3640"/>
      <c r="O3640"/>
      <c r="R3640"/>
      <c r="W3640" s="4"/>
      <c r="X3640" s="4"/>
      <c r="Y3640" s="4"/>
    </row>
    <row r="3641" spans="5:25">
      <c r="E3641"/>
      <c r="G3641"/>
      <c r="H3641"/>
      <c r="I3641"/>
      <c r="K3641"/>
      <c r="O3641"/>
      <c r="R3641"/>
      <c r="W3641" s="4"/>
      <c r="X3641" s="4"/>
      <c r="Y3641" s="4"/>
    </row>
    <row r="3642" spans="5:25">
      <c r="E3642"/>
      <c r="G3642"/>
      <c r="H3642"/>
      <c r="I3642"/>
      <c r="K3642"/>
      <c r="O3642"/>
      <c r="R3642"/>
      <c r="W3642" s="4"/>
      <c r="X3642" s="4"/>
      <c r="Y3642" s="4"/>
    </row>
    <row r="3643" spans="5:25">
      <c r="E3643"/>
      <c r="G3643"/>
      <c r="H3643"/>
      <c r="I3643"/>
      <c r="K3643"/>
      <c r="O3643"/>
      <c r="R3643"/>
      <c r="W3643" s="4"/>
      <c r="X3643" s="4"/>
      <c r="Y3643" s="4"/>
    </row>
    <row r="3644" spans="5:25">
      <c r="E3644"/>
      <c r="G3644"/>
      <c r="H3644"/>
      <c r="I3644"/>
      <c r="K3644"/>
      <c r="O3644"/>
      <c r="R3644"/>
      <c r="W3644" s="4"/>
      <c r="X3644" s="4"/>
      <c r="Y3644" s="4"/>
    </row>
    <row r="3645" spans="5:25">
      <c r="E3645"/>
      <c r="G3645"/>
      <c r="H3645"/>
      <c r="I3645"/>
      <c r="K3645"/>
      <c r="O3645"/>
      <c r="R3645"/>
      <c r="W3645" s="4"/>
      <c r="X3645" s="4"/>
      <c r="Y3645" s="4"/>
    </row>
    <row r="3646" spans="5:25">
      <c r="E3646"/>
      <c r="G3646"/>
      <c r="H3646"/>
      <c r="I3646"/>
      <c r="K3646"/>
      <c r="O3646"/>
      <c r="R3646"/>
      <c r="W3646" s="4"/>
      <c r="X3646" s="4"/>
      <c r="Y3646" s="4"/>
    </row>
    <row r="3647" spans="5:25">
      <c r="E3647"/>
      <c r="G3647"/>
      <c r="H3647"/>
      <c r="I3647"/>
      <c r="K3647"/>
      <c r="O3647"/>
      <c r="R3647"/>
      <c r="W3647" s="4"/>
      <c r="X3647" s="4"/>
      <c r="Y3647" s="4"/>
    </row>
    <row r="3648" spans="5:25">
      <c r="E3648"/>
      <c r="G3648"/>
      <c r="H3648"/>
      <c r="I3648"/>
      <c r="K3648"/>
      <c r="O3648"/>
      <c r="R3648"/>
      <c r="W3648" s="4"/>
      <c r="X3648" s="4"/>
      <c r="Y3648" s="4"/>
    </row>
    <row r="3649" spans="5:25">
      <c r="E3649"/>
      <c r="G3649"/>
      <c r="H3649"/>
      <c r="I3649"/>
      <c r="K3649"/>
      <c r="O3649"/>
      <c r="R3649"/>
      <c r="W3649" s="4"/>
      <c r="X3649" s="4"/>
      <c r="Y3649" s="4"/>
    </row>
    <row r="3650" spans="5:25">
      <c r="E3650"/>
      <c r="G3650"/>
      <c r="H3650"/>
      <c r="I3650"/>
      <c r="K3650"/>
      <c r="O3650"/>
      <c r="R3650"/>
      <c r="W3650" s="4"/>
      <c r="X3650" s="4"/>
      <c r="Y3650" s="4"/>
    </row>
    <row r="3651" spans="5:25">
      <c r="E3651"/>
      <c r="G3651"/>
      <c r="H3651"/>
      <c r="I3651"/>
      <c r="K3651"/>
      <c r="O3651"/>
      <c r="R3651"/>
      <c r="W3651" s="4"/>
      <c r="X3651" s="4"/>
      <c r="Y3651" s="4"/>
    </row>
    <row r="3652" spans="5:25">
      <c r="E3652"/>
      <c r="G3652"/>
      <c r="H3652"/>
      <c r="I3652"/>
      <c r="K3652"/>
      <c r="O3652"/>
      <c r="R3652"/>
      <c r="W3652" s="4"/>
      <c r="X3652" s="4"/>
      <c r="Y3652" s="4"/>
    </row>
    <row r="3653" spans="5:25">
      <c r="E3653"/>
      <c r="G3653"/>
      <c r="H3653"/>
      <c r="I3653"/>
      <c r="K3653"/>
      <c r="O3653"/>
      <c r="R3653"/>
      <c r="W3653" s="4"/>
      <c r="X3653" s="4"/>
      <c r="Y3653" s="4"/>
    </row>
    <row r="3654" spans="5:25">
      <c r="E3654"/>
      <c r="G3654"/>
      <c r="H3654"/>
      <c r="I3654"/>
      <c r="K3654"/>
      <c r="O3654"/>
      <c r="R3654"/>
      <c r="W3654" s="4"/>
      <c r="X3654" s="4"/>
      <c r="Y3654" s="4"/>
    </row>
    <row r="3655" spans="5:25">
      <c r="E3655"/>
      <c r="G3655"/>
      <c r="H3655"/>
      <c r="I3655"/>
      <c r="K3655"/>
      <c r="O3655"/>
      <c r="R3655"/>
      <c r="W3655" s="4"/>
      <c r="X3655" s="4"/>
      <c r="Y3655" s="4"/>
    </row>
    <row r="3656" spans="5:25">
      <c r="E3656"/>
      <c r="G3656"/>
      <c r="H3656"/>
      <c r="I3656"/>
      <c r="K3656"/>
      <c r="O3656"/>
      <c r="R3656"/>
      <c r="W3656" s="4"/>
      <c r="X3656" s="4"/>
      <c r="Y3656" s="4"/>
    </row>
    <row r="3657" spans="5:25">
      <c r="E3657"/>
      <c r="G3657"/>
      <c r="H3657"/>
      <c r="I3657"/>
      <c r="K3657"/>
      <c r="O3657"/>
      <c r="R3657"/>
      <c r="W3657" s="4"/>
      <c r="X3657" s="4"/>
      <c r="Y3657" s="4"/>
    </row>
    <row r="3658" spans="5:25">
      <c r="E3658"/>
      <c r="G3658"/>
      <c r="H3658"/>
      <c r="I3658"/>
      <c r="K3658"/>
      <c r="O3658"/>
      <c r="R3658"/>
      <c r="W3658" s="4"/>
      <c r="X3658" s="4"/>
      <c r="Y3658" s="4"/>
    </row>
    <row r="3659" spans="5:25">
      <c r="E3659"/>
      <c r="G3659"/>
      <c r="H3659"/>
      <c r="I3659"/>
      <c r="K3659"/>
      <c r="O3659"/>
      <c r="R3659"/>
      <c r="W3659" s="4"/>
      <c r="X3659" s="4"/>
      <c r="Y3659" s="4"/>
    </row>
    <row r="3660" spans="5:25">
      <c r="E3660"/>
      <c r="G3660"/>
      <c r="H3660"/>
      <c r="I3660"/>
      <c r="K3660"/>
      <c r="O3660"/>
      <c r="R3660"/>
      <c r="W3660" s="4"/>
      <c r="X3660" s="4"/>
      <c r="Y3660" s="4"/>
    </row>
    <row r="3661" spans="5:25">
      <c r="E3661"/>
      <c r="G3661"/>
      <c r="H3661"/>
      <c r="I3661"/>
      <c r="K3661"/>
      <c r="O3661"/>
      <c r="R3661"/>
      <c r="W3661" s="4"/>
      <c r="X3661" s="4"/>
      <c r="Y3661" s="4"/>
    </row>
    <row r="3662" spans="5:25">
      <c r="E3662"/>
      <c r="G3662"/>
      <c r="H3662"/>
      <c r="I3662"/>
      <c r="K3662"/>
      <c r="O3662"/>
      <c r="R3662"/>
      <c r="W3662" s="4"/>
      <c r="X3662" s="4"/>
      <c r="Y3662" s="4"/>
    </row>
    <row r="3663" spans="5:25">
      <c r="E3663"/>
      <c r="G3663"/>
      <c r="H3663"/>
      <c r="I3663"/>
      <c r="K3663"/>
      <c r="O3663"/>
      <c r="R3663"/>
      <c r="W3663" s="4"/>
      <c r="X3663" s="4"/>
      <c r="Y3663" s="4"/>
    </row>
    <row r="3664" spans="5:25">
      <c r="E3664"/>
      <c r="G3664"/>
      <c r="H3664"/>
      <c r="I3664"/>
      <c r="K3664"/>
      <c r="O3664"/>
      <c r="R3664"/>
      <c r="W3664" s="4"/>
      <c r="X3664" s="4"/>
      <c r="Y3664" s="4"/>
    </row>
    <row r="3665" spans="5:25">
      <c r="E3665"/>
      <c r="G3665"/>
      <c r="H3665"/>
      <c r="I3665"/>
      <c r="K3665"/>
      <c r="O3665"/>
      <c r="R3665"/>
      <c r="W3665" s="4"/>
      <c r="X3665" s="4"/>
      <c r="Y3665" s="4"/>
    </row>
    <row r="3666" spans="5:25">
      <c r="E3666"/>
      <c r="G3666"/>
      <c r="H3666"/>
      <c r="I3666"/>
      <c r="K3666"/>
      <c r="O3666"/>
      <c r="R3666"/>
      <c r="W3666" s="4"/>
      <c r="X3666" s="4"/>
      <c r="Y3666" s="4"/>
    </row>
    <row r="3667" spans="5:25">
      <c r="E3667"/>
      <c r="G3667"/>
      <c r="H3667"/>
      <c r="I3667"/>
      <c r="K3667"/>
      <c r="O3667"/>
      <c r="R3667"/>
      <c r="W3667" s="4"/>
      <c r="X3667" s="4"/>
      <c r="Y3667" s="4"/>
    </row>
    <row r="3668" spans="5:25">
      <c r="E3668"/>
      <c r="G3668"/>
      <c r="H3668"/>
      <c r="I3668"/>
      <c r="K3668"/>
      <c r="O3668"/>
      <c r="R3668"/>
      <c r="W3668" s="4"/>
      <c r="X3668" s="4"/>
      <c r="Y3668" s="4"/>
    </row>
    <row r="3669" spans="5:25">
      <c r="E3669"/>
      <c r="G3669"/>
      <c r="H3669"/>
      <c r="I3669"/>
      <c r="K3669"/>
      <c r="O3669"/>
      <c r="R3669"/>
      <c r="W3669" s="4"/>
      <c r="X3669" s="4"/>
      <c r="Y3669" s="4"/>
    </row>
    <row r="3670" spans="5:25">
      <c r="E3670"/>
      <c r="G3670"/>
      <c r="H3670"/>
      <c r="I3670"/>
      <c r="K3670"/>
      <c r="O3670"/>
      <c r="R3670"/>
      <c r="W3670" s="4"/>
      <c r="X3670" s="4"/>
      <c r="Y3670" s="4"/>
    </row>
    <row r="3671" spans="5:25">
      <c r="E3671"/>
      <c r="G3671"/>
      <c r="H3671"/>
      <c r="I3671"/>
      <c r="K3671"/>
      <c r="O3671"/>
      <c r="R3671"/>
      <c r="W3671" s="4"/>
      <c r="X3671" s="4"/>
      <c r="Y3671" s="4"/>
    </row>
    <row r="3672" spans="5:25">
      <c r="E3672"/>
      <c r="G3672"/>
      <c r="H3672"/>
      <c r="I3672"/>
      <c r="K3672"/>
      <c r="O3672"/>
      <c r="R3672"/>
      <c r="W3672" s="4"/>
      <c r="X3672" s="4"/>
      <c r="Y3672" s="4"/>
    </row>
    <row r="3673" spans="5:25">
      <c r="E3673"/>
      <c r="G3673"/>
      <c r="H3673"/>
      <c r="I3673"/>
      <c r="K3673"/>
      <c r="O3673"/>
      <c r="R3673"/>
      <c r="W3673" s="4"/>
      <c r="X3673" s="4"/>
      <c r="Y3673" s="4"/>
    </row>
    <row r="3674" spans="5:25">
      <c r="E3674"/>
      <c r="G3674"/>
      <c r="H3674"/>
      <c r="I3674"/>
      <c r="K3674"/>
      <c r="O3674"/>
      <c r="R3674"/>
      <c r="W3674" s="4"/>
      <c r="X3674" s="4"/>
      <c r="Y3674" s="4"/>
    </row>
    <row r="3675" spans="5:25">
      <c r="E3675"/>
      <c r="G3675"/>
      <c r="H3675"/>
      <c r="I3675"/>
      <c r="K3675"/>
      <c r="O3675"/>
      <c r="R3675"/>
      <c r="W3675" s="4"/>
      <c r="X3675" s="4"/>
      <c r="Y3675" s="4"/>
    </row>
    <row r="3676" spans="5:25">
      <c r="E3676"/>
      <c r="G3676"/>
      <c r="H3676"/>
      <c r="I3676"/>
      <c r="K3676"/>
      <c r="O3676"/>
      <c r="R3676"/>
      <c r="W3676" s="4"/>
      <c r="X3676" s="4"/>
      <c r="Y3676" s="4"/>
    </row>
    <row r="3677" spans="5:25">
      <c r="E3677"/>
      <c r="G3677"/>
      <c r="H3677"/>
      <c r="I3677"/>
      <c r="K3677"/>
      <c r="O3677"/>
      <c r="R3677"/>
      <c r="W3677" s="4"/>
      <c r="X3677" s="4"/>
      <c r="Y3677" s="4"/>
    </row>
    <row r="3678" spans="5:25">
      <c r="E3678"/>
      <c r="G3678"/>
      <c r="H3678"/>
      <c r="I3678"/>
      <c r="K3678"/>
      <c r="O3678"/>
      <c r="R3678"/>
      <c r="W3678" s="4"/>
      <c r="X3678" s="4"/>
      <c r="Y3678" s="4"/>
    </row>
    <row r="3679" spans="5:25">
      <c r="E3679"/>
      <c r="G3679"/>
      <c r="H3679"/>
      <c r="I3679"/>
      <c r="K3679"/>
      <c r="O3679"/>
      <c r="R3679"/>
      <c r="W3679" s="4"/>
      <c r="X3679" s="4"/>
      <c r="Y3679" s="4"/>
    </row>
    <row r="3680" spans="5:25">
      <c r="E3680"/>
      <c r="G3680"/>
      <c r="H3680"/>
      <c r="I3680"/>
      <c r="K3680"/>
      <c r="O3680"/>
      <c r="R3680"/>
      <c r="W3680" s="4"/>
      <c r="X3680" s="4"/>
      <c r="Y3680" s="4"/>
    </row>
    <row r="3681" spans="5:25">
      <c r="E3681"/>
      <c r="G3681"/>
      <c r="H3681"/>
      <c r="I3681"/>
      <c r="K3681"/>
      <c r="O3681"/>
      <c r="R3681"/>
      <c r="W3681" s="4"/>
      <c r="X3681" s="4"/>
      <c r="Y3681" s="4"/>
    </row>
    <row r="3682" spans="5:25">
      <c r="E3682"/>
      <c r="G3682"/>
      <c r="H3682"/>
      <c r="I3682"/>
      <c r="K3682"/>
      <c r="O3682"/>
      <c r="R3682"/>
      <c r="W3682" s="4"/>
      <c r="X3682" s="4"/>
      <c r="Y3682" s="4"/>
    </row>
    <row r="3683" spans="5:25">
      <c r="E3683"/>
      <c r="G3683"/>
      <c r="H3683"/>
      <c r="I3683"/>
      <c r="K3683"/>
      <c r="O3683"/>
      <c r="R3683"/>
      <c r="W3683" s="4"/>
      <c r="X3683" s="4"/>
      <c r="Y3683" s="4"/>
    </row>
    <row r="3684" spans="5:25">
      <c r="E3684"/>
      <c r="G3684"/>
      <c r="H3684"/>
      <c r="I3684"/>
      <c r="K3684"/>
      <c r="O3684"/>
      <c r="R3684"/>
      <c r="W3684" s="4"/>
      <c r="X3684" s="4"/>
      <c r="Y3684" s="4"/>
    </row>
    <row r="3685" spans="5:25">
      <c r="E3685"/>
      <c r="G3685"/>
      <c r="H3685"/>
      <c r="I3685"/>
      <c r="K3685"/>
      <c r="O3685"/>
      <c r="R3685"/>
      <c r="W3685" s="4"/>
      <c r="X3685" s="4"/>
      <c r="Y3685" s="4"/>
    </row>
    <row r="3686" spans="5:25">
      <c r="E3686"/>
      <c r="G3686"/>
      <c r="H3686"/>
      <c r="I3686"/>
      <c r="K3686"/>
      <c r="O3686"/>
      <c r="R3686"/>
      <c r="W3686" s="4"/>
      <c r="X3686" s="4"/>
      <c r="Y3686" s="4"/>
    </row>
    <row r="3687" spans="5:25">
      <c r="E3687"/>
      <c r="G3687"/>
      <c r="H3687"/>
      <c r="I3687"/>
      <c r="K3687"/>
      <c r="O3687"/>
      <c r="R3687"/>
      <c r="W3687" s="4"/>
      <c r="X3687" s="4"/>
      <c r="Y3687" s="4"/>
    </row>
    <row r="3688" spans="5:25">
      <c r="E3688"/>
      <c r="G3688"/>
      <c r="H3688"/>
      <c r="I3688"/>
      <c r="K3688"/>
      <c r="O3688"/>
      <c r="R3688"/>
      <c r="W3688" s="4"/>
      <c r="X3688" s="4"/>
      <c r="Y3688" s="4"/>
    </row>
    <row r="3689" spans="5:25">
      <c r="E3689"/>
      <c r="G3689"/>
      <c r="H3689"/>
      <c r="I3689"/>
      <c r="K3689"/>
      <c r="O3689"/>
      <c r="R3689"/>
      <c r="W3689" s="4"/>
      <c r="X3689" s="4"/>
      <c r="Y3689" s="4"/>
    </row>
    <row r="3690" spans="5:25">
      <c r="E3690"/>
      <c r="G3690"/>
      <c r="H3690"/>
      <c r="I3690"/>
      <c r="K3690"/>
      <c r="O3690"/>
      <c r="R3690"/>
      <c r="W3690" s="4"/>
      <c r="X3690" s="4"/>
      <c r="Y3690" s="4"/>
    </row>
    <row r="3691" spans="5:25">
      <c r="E3691"/>
      <c r="G3691"/>
      <c r="H3691"/>
      <c r="I3691"/>
      <c r="K3691"/>
      <c r="O3691"/>
      <c r="R3691"/>
      <c r="W3691" s="4"/>
      <c r="X3691" s="4"/>
      <c r="Y3691" s="4"/>
    </row>
    <row r="3692" spans="5:25">
      <c r="E3692"/>
      <c r="G3692"/>
      <c r="H3692"/>
      <c r="I3692"/>
      <c r="K3692"/>
      <c r="O3692"/>
      <c r="R3692"/>
      <c r="W3692" s="4"/>
      <c r="X3692" s="4"/>
      <c r="Y3692" s="4"/>
    </row>
    <row r="3693" spans="5:25">
      <c r="E3693"/>
      <c r="G3693"/>
      <c r="H3693"/>
      <c r="I3693"/>
      <c r="K3693"/>
      <c r="O3693"/>
      <c r="R3693"/>
      <c r="W3693" s="4"/>
      <c r="X3693" s="4"/>
      <c r="Y3693" s="4"/>
    </row>
    <row r="3694" spans="5:25">
      <c r="E3694"/>
      <c r="G3694"/>
      <c r="H3694"/>
      <c r="I3694"/>
      <c r="K3694"/>
      <c r="O3694"/>
      <c r="R3694"/>
      <c r="W3694" s="4"/>
      <c r="X3694" s="4"/>
      <c r="Y3694" s="4"/>
    </row>
    <row r="3695" spans="5:25">
      <c r="E3695"/>
      <c r="G3695"/>
      <c r="H3695"/>
      <c r="I3695"/>
      <c r="K3695"/>
      <c r="O3695"/>
      <c r="R3695"/>
      <c r="W3695" s="4"/>
      <c r="X3695" s="4"/>
      <c r="Y3695" s="4"/>
    </row>
    <row r="3696" spans="5:25">
      <c r="E3696"/>
      <c r="G3696"/>
      <c r="H3696"/>
      <c r="I3696"/>
      <c r="K3696"/>
      <c r="O3696"/>
      <c r="R3696"/>
      <c r="W3696" s="4"/>
      <c r="X3696" s="4"/>
      <c r="Y3696" s="4"/>
    </row>
    <row r="3697" spans="5:25">
      <c r="E3697"/>
      <c r="G3697"/>
      <c r="H3697"/>
      <c r="I3697"/>
      <c r="K3697"/>
      <c r="O3697"/>
      <c r="R3697"/>
      <c r="W3697" s="4"/>
      <c r="X3697" s="4"/>
      <c r="Y3697" s="4"/>
    </row>
    <row r="3698" spans="5:25">
      <c r="E3698"/>
      <c r="G3698"/>
      <c r="H3698"/>
      <c r="I3698"/>
      <c r="K3698"/>
      <c r="O3698"/>
      <c r="R3698"/>
      <c r="W3698" s="4"/>
      <c r="X3698" s="4"/>
      <c r="Y3698" s="4"/>
    </row>
    <row r="3699" spans="5:25">
      <c r="E3699"/>
      <c r="G3699"/>
      <c r="H3699"/>
      <c r="I3699"/>
      <c r="K3699"/>
      <c r="O3699"/>
      <c r="R3699"/>
      <c r="W3699" s="4"/>
      <c r="X3699" s="4"/>
      <c r="Y3699" s="4"/>
    </row>
    <row r="3700" spans="5:25">
      <c r="E3700"/>
      <c r="G3700"/>
      <c r="H3700"/>
      <c r="I3700"/>
      <c r="K3700"/>
      <c r="O3700"/>
      <c r="R3700"/>
      <c r="W3700" s="4"/>
      <c r="X3700" s="4"/>
      <c r="Y3700" s="4"/>
    </row>
    <row r="3701" spans="5:25">
      <c r="E3701"/>
      <c r="G3701"/>
      <c r="H3701"/>
      <c r="I3701"/>
      <c r="K3701"/>
      <c r="O3701"/>
      <c r="R3701"/>
      <c r="W3701" s="4"/>
      <c r="X3701" s="4"/>
      <c r="Y3701" s="4"/>
    </row>
    <row r="3702" spans="5:25">
      <c r="E3702"/>
      <c r="G3702"/>
      <c r="H3702"/>
      <c r="I3702"/>
      <c r="K3702"/>
      <c r="O3702"/>
      <c r="R3702"/>
      <c r="W3702" s="4"/>
      <c r="X3702" s="4"/>
      <c r="Y3702" s="4"/>
    </row>
    <row r="3703" spans="5:25">
      <c r="E3703"/>
      <c r="G3703"/>
      <c r="H3703"/>
      <c r="I3703"/>
      <c r="K3703"/>
      <c r="O3703"/>
      <c r="R3703"/>
      <c r="W3703" s="4"/>
      <c r="X3703" s="4"/>
      <c r="Y3703" s="4"/>
    </row>
    <row r="3704" spans="5:25">
      <c r="E3704"/>
      <c r="G3704"/>
      <c r="H3704"/>
      <c r="I3704"/>
      <c r="K3704"/>
      <c r="O3704"/>
      <c r="R3704"/>
      <c r="W3704" s="4"/>
      <c r="X3704" s="4"/>
      <c r="Y3704" s="4"/>
    </row>
    <row r="3705" spans="5:25">
      <c r="E3705"/>
      <c r="G3705"/>
      <c r="H3705"/>
      <c r="I3705"/>
      <c r="K3705"/>
      <c r="O3705"/>
      <c r="R3705"/>
      <c r="W3705" s="4"/>
      <c r="X3705" s="4"/>
      <c r="Y3705" s="4"/>
    </row>
    <row r="3706" spans="5:25">
      <c r="E3706"/>
      <c r="G3706"/>
      <c r="H3706"/>
      <c r="I3706"/>
      <c r="K3706"/>
      <c r="O3706"/>
      <c r="R3706"/>
      <c r="W3706" s="4"/>
      <c r="X3706" s="4"/>
      <c r="Y3706" s="4"/>
    </row>
    <row r="3707" spans="5:25">
      <c r="E3707"/>
      <c r="G3707"/>
      <c r="H3707"/>
      <c r="I3707"/>
      <c r="K3707"/>
      <c r="O3707"/>
      <c r="R3707"/>
      <c r="W3707" s="4"/>
      <c r="X3707" s="4"/>
      <c r="Y3707" s="4"/>
    </row>
    <row r="3708" spans="5:25">
      <c r="E3708"/>
      <c r="G3708"/>
      <c r="H3708"/>
      <c r="I3708"/>
      <c r="K3708"/>
      <c r="O3708"/>
      <c r="R3708"/>
      <c r="W3708" s="4"/>
      <c r="X3708" s="4"/>
      <c r="Y3708" s="4"/>
    </row>
    <row r="3709" spans="5:25">
      <c r="E3709"/>
      <c r="G3709"/>
      <c r="H3709"/>
      <c r="I3709"/>
      <c r="K3709"/>
      <c r="O3709"/>
      <c r="R3709"/>
      <c r="W3709" s="4"/>
      <c r="X3709" s="4"/>
      <c r="Y3709" s="4"/>
    </row>
    <row r="3710" spans="5:25">
      <c r="E3710"/>
      <c r="G3710"/>
      <c r="H3710"/>
      <c r="I3710"/>
      <c r="K3710"/>
      <c r="O3710"/>
      <c r="R3710"/>
      <c r="W3710" s="4"/>
      <c r="X3710" s="4"/>
      <c r="Y3710" s="4"/>
    </row>
    <row r="3711" spans="5:25">
      <c r="E3711"/>
      <c r="G3711"/>
      <c r="H3711"/>
      <c r="I3711"/>
      <c r="K3711"/>
      <c r="O3711"/>
      <c r="R3711"/>
      <c r="W3711" s="4"/>
      <c r="X3711" s="4"/>
      <c r="Y3711" s="4"/>
    </row>
    <row r="3712" spans="5:25">
      <c r="E3712"/>
      <c r="G3712"/>
      <c r="H3712"/>
      <c r="I3712"/>
      <c r="K3712"/>
      <c r="O3712"/>
      <c r="R3712"/>
      <c r="W3712" s="4"/>
      <c r="X3712" s="4"/>
      <c r="Y3712" s="4"/>
    </row>
    <row r="3713" spans="5:25">
      <c r="E3713"/>
      <c r="G3713"/>
      <c r="H3713"/>
      <c r="I3713"/>
      <c r="K3713"/>
      <c r="O3713"/>
      <c r="R3713"/>
      <c r="W3713" s="4"/>
      <c r="X3713" s="4"/>
      <c r="Y3713" s="4"/>
    </row>
    <row r="3714" spans="5:25">
      <c r="E3714"/>
      <c r="G3714"/>
      <c r="H3714"/>
      <c r="I3714"/>
      <c r="K3714"/>
      <c r="O3714"/>
      <c r="R3714"/>
      <c r="W3714" s="4"/>
      <c r="X3714" s="4"/>
      <c r="Y3714" s="4"/>
    </row>
    <row r="3715" spans="5:25">
      <c r="E3715"/>
      <c r="G3715"/>
      <c r="H3715"/>
      <c r="I3715"/>
      <c r="K3715"/>
      <c r="O3715"/>
      <c r="R3715"/>
      <c r="W3715" s="4"/>
      <c r="X3715" s="4"/>
      <c r="Y3715" s="4"/>
    </row>
    <row r="3716" spans="5:25">
      <c r="E3716"/>
      <c r="G3716"/>
      <c r="H3716"/>
      <c r="I3716"/>
      <c r="K3716"/>
      <c r="O3716"/>
      <c r="R3716"/>
      <c r="W3716" s="4"/>
      <c r="X3716" s="4"/>
      <c r="Y3716" s="4"/>
    </row>
    <row r="3717" spans="5:25">
      <c r="E3717"/>
      <c r="G3717"/>
      <c r="H3717"/>
      <c r="I3717"/>
      <c r="K3717"/>
      <c r="O3717"/>
      <c r="R3717"/>
      <c r="W3717" s="4"/>
      <c r="X3717" s="4"/>
      <c r="Y3717" s="4"/>
    </row>
    <row r="3718" spans="5:25">
      <c r="E3718"/>
      <c r="G3718"/>
      <c r="H3718"/>
      <c r="I3718"/>
      <c r="K3718"/>
      <c r="O3718"/>
      <c r="R3718"/>
      <c r="W3718" s="4"/>
      <c r="X3718" s="4"/>
      <c r="Y3718" s="4"/>
    </row>
    <row r="3719" spans="5:25">
      <c r="E3719"/>
      <c r="G3719"/>
      <c r="H3719"/>
      <c r="I3719"/>
      <c r="K3719"/>
      <c r="O3719"/>
      <c r="R3719"/>
      <c r="W3719" s="4"/>
      <c r="X3719" s="4"/>
      <c r="Y3719" s="4"/>
    </row>
    <row r="3720" spans="5:25">
      <c r="E3720"/>
      <c r="G3720"/>
      <c r="H3720"/>
      <c r="I3720"/>
      <c r="K3720"/>
      <c r="O3720"/>
      <c r="R3720"/>
      <c r="W3720" s="4"/>
      <c r="X3720" s="4"/>
      <c r="Y3720" s="4"/>
    </row>
    <row r="3721" spans="5:25">
      <c r="E3721"/>
      <c r="G3721"/>
      <c r="H3721"/>
      <c r="I3721"/>
      <c r="K3721"/>
      <c r="O3721"/>
      <c r="R3721"/>
      <c r="W3721" s="4"/>
      <c r="X3721" s="4"/>
      <c r="Y3721" s="4"/>
    </row>
    <row r="3722" spans="5:25">
      <c r="E3722"/>
      <c r="G3722"/>
      <c r="H3722"/>
      <c r="I3722"/>
      <c r="K3722"/>
      <c r="O3722"/>
      <c r="R3722"/>
      <c r="W3722" s="4"/>
      <c r="X3722" s="4"/>
      <c r="Y3722" s="4"/>
    </row>
    <row r="3723" spans="5:25">
      <c r="E3723"/>
      <c r="G3723"/>
      <c r="H3723"/>
      <c r="I3723"/>
      <c r="K3723"/>
      <c r="O3723"/>
      <c r="R3723"/>
      <c r="W3723" s="4"/>
      <c r="X3723" s="4"/>
      <c r="Y3723" s="4"/>
    </row>
    <row r="3724" spans="5:25">
      <c r="E3724"/>
      <c r="G3724"/>
      <c r="H3724"/>
      <c r="I3724"/>
      <c r="K3724"/>
      <c r="O3724"/>
      <c r="R3724"/>
      <c r="W3724" s="4"/>
      <c r="X3724" s="4"/>
      <c r="Y3724" s="4"/>
    </row>
    <row r="3725" spans="5:25">
      <c r="E3725"/>
      <c r="G3725"/>
      <c r="H3725"/>
      <c r="I3725"/>
      <c r="K3725"/>
      <c r="O3725"/>
      <c r="R3725"/>
      <c r="W3725" s="4"/>
      <c r="X3725" s="4"/>
      <c r="Y3725" s="4"/>
    </row>
    <row r="3726" spans="5:25">
      <c r="E3726"/>
      <c r="G3726"/>
      <c r="H3726"/>
      <c r="I3726"/>
      <c r="K3726"/>
      <c r="O3726"/>
      <c r="R3726"/>
      <c r="W3726" s="4"/>
      <c r="X3726" s="4"/>
      <c r="Y3726" s="4"/>
    </row>
    <row r="3727" spans="5:25">
      <c r="E3727"/>
      <c r="G3727"/>
      <c r="H3727"/>
      <c r="I3727"/>
      <c r="K3727"/>
      <c r="O3727"/>
      <c r="R3727"/>
      <c r="W3727" s="4"/>
      <c r="X3727" s="4"/>
      <c r="Y3727" s="4"/>
    </row>
    <row r="3728" spans="5:25">
      <c r="E3728"/>
      <c r="G3728"/>
      <c r="H3728"/>
      <c r="I3728"/>
      <c r="K3728"/>
      <c r="O3728"/>
      <c r="R3728"/>
      <c r="W3728" s="4"/>
      <c r="X3728" s="4"/>
      <c r="Y3728" s="4"/>
    </row>
    <row r="3729" spans="5:25">
      <c r="E3729"/>
      <c r="G3729"/>
      <c r="H3729"/>
      <c r="I3729"/>
      <c r="K3729"/>
      <c r="O3729"/>
      <c r="R3729"/>
      <c r="W3729" s="4"/>
      <c r="X3729" s="4"/>
      <c r="Y3729" s="4"/>
    </row>
    <row r="3730" spans="5:25">
      <c r="E3730"/>
      <c r="G3730"/>
      <c r="H3730"/>
      <c r="I3730"/>
      <c r="K3730"/>
      <c r="O3730"/>
      <c r="R3730"/>
      <c r="W3730" s="4"/>
      <c r="X3730" s="4"/>
      <c r="Y3730" s="4"/>
    </row>
    <row r="3731" spans="5:25">
      <c r="E3731"/>
      <c r="G3731"/>
      <c r="H3731"/>
      <c r="I3731"/>
      <c r="K3731"/>
      <c r="O3731"/>
      <c r="R3731"/>
      <c r="W3731" s="4"/>
      <c r="X3731" s="4"/>
      <c r="Y3731" s="4"/>
    </row>
    <row r="3732" spans="5:25">
      <c r="E3732"/>
      <c r="G3732"/>
      <c r="H3732"/>
      <c r="I3732"/>
      <c r="K3732"/>
      <c r="O3732"/>
      <c r="R3732"/>
      <c r="W3732" s="4"/>
      <c r="X3732" s="4"/>
      <c r="Y3732" s="4"/>
    </row>
    <row r="3733" spans="5:25">
      <c r="E3733"/>
      <c r="G3733"/>
      <c r="H3733"/>
      <c r="I3733"/>
      <c r="K3733"/>
      <c r="O3733"/>
      <c r="R3733"/>
      <c r="W3733" s="4"/>
      <c r="X3733" s="4"/>
      <c r="Y3733" s="4"/>
    </row>
    <row r="3734" spans="5:25">
      <c r="E3734"/>
      <c r="G3734"/>
      <c r="H3734"/>
      <c r="I3734"/>
      <c r="K3734"/>
      <c r="O3734"/>
      <c r="R3734"/>
      <c r="W3734" s="4"/>
      <c r="X3734" s="4"/>
      <c r="Y3734" s="4"/>
    </row>
    <row r="3735" spans="5:25">
      <c r="E3735"/>
      <c r="G3735"/>
      <c r="H3735"/>
      <c r="I3735"/>
      <c r="K3735"/>
      <c r="O3735"/>
      <c r="R3735"/>
      <c r="W3735" s="4"/>
      <c r="X3735" s="4"/>
      <c r="Y3735" s="4"/>
    </row>
    <row r="3736" spans="5:25">
      <c r="E3736"/>
      <c r="G3736"/>
      <c r="H3736"/>
      <c r="I3736"/>
      <c r="K3736"/>
      <c r="O3736"/>
      <c r="R3736"/>
      <c r="W3736" s="4"/>
      <c r="X3736" s="4"/>
      <c r="Y3736" s="4"/>
    </row>
    <row r="3737" spans="5:25">
      <c r="E3737"/>
      <c r="G3737"/>
      <c r="H3737"/>
      <c r="I3737"/>
      <c r="K3737"/>
      <c r="O3737"/>
      <c r="R3737"/>
      <c r="W3737" s="4"/>
      <c r="X3737" s="4"/>
      <c r="Y3737" s="4"/>
    </row>
    <row r="3738" spans="5:25">
      <c r="E3738"/>
      <c r="G3738"/>
      <c r="H3738"/>
      <c r="I3738"/>
      <c r="K3738"/>
      <c r="O3738"/>
      <c r="R3738"/>
      <c r="W3738" s="4"/>
      <c r="X3738" s="4"/>
      <c r="Y3738" s="4"/>
    </row>
    <row r="3739" spans="5:25">
      <c r="E3739"/>
      <c r="G3739"/>
      <c r="H3739"/>
      <c r="I3739"/>
      <c r="K3739"/>
      <c r="O3739"/>
      <c r="R3739"/>
      <c r="W3739" s="4"/>
      <c r="X3739" s="4"/>
      <c r="Y3739" s="4"/>
    </row>
    <row r="3740" spans="5:25">
      <c r="E3740"/>
      <c r="G3740"/>
      <c r="H3740"/>
      <c r="I3740"/>
      <c r="K3740"/>
      <c r="O3740"/>
      <c r="R3740"/>
      <c r="W3740" s="4"/>
      <c r="X3740" s="4"/>
      <c r="Y3740" s="4"/>
    </row>
    <row r="3741" spans="5:25">
      <c r="E3741"/>
      <c r="G3741"/>
      <c r="H3741"/>
      <c r="I3741"/>
      <c r="K3741"/>
      <c r="O3741"/>
      <c r="R3741"/>
      <c r="W3741" s="4"/>
      <c r="X3741" s="4"/>
      <c r="Y3741" s="4"/>
    </row>
    <row r="3742" spans="5:25">
      <c r="E3742"/>
      <c r="G3742"/>
      <c r="H3742"/>
      <c r="I3742"/>
      <c r="K3742"/>
      <c r="O3742"/>
      <c r="R3742"/>
      <c r="W3742" s="4"/>
      <c r="X3742" s="4"/>
      <c r="Y3742" s="4"/>
    </row>
    <row r="3743" spans="5:25">
      <c r="E3743"/>
      <c r="G3743"/>
      <c r="H3743"/>
      <c r="I3743"/>
      <c r="K3743"/>
      <c r="O3743"/>
      <c r="R3743"/>
      <c r="W3743" s="4"/>
      <c r="X3743" s="4"/>
      <c r="Y3743" s="4"/>
    </row>
    <row r="3744" spans="5:25">
      <c r="E3744"/>
      <c r="G3744"/>
      <c r="H3744"/>
      <c r="I3744"/>
      <c r="K3744"/>
      <c r="O3744"/>
      <c r="R3744"/>
      <c r="W3744" s="4"/>
      <c r="X3744" s="4"/>
      <c r="Y3744" s="4"/>
    </row>
    <row r="3745" spans="5:25">
      <c r="E3745"/>
      <c r="G3745"/>
      <c r="H3745"/>
      <c r="I3745"/>
      <c r="K3745"/>
      <c r="O3745"/>
      <c r="R3745"/>
      <c r="W3745" s="4"/>
      <c r="X3745" s="4"/>
      <c r="Y3745" s="4"/>
    </row>
    <row r="3746" spans="5:25">
      <c r="E3746"/>
      <c r="G3746"/>
      <c r="H3746"/>
      <c r="I3746"/>
      <c r="K3746"/>
      <c r="O3746"/>
      <c r="R3746"/>
      <c r="W3746" s="4"/>
      <c r="X3746" s="4"/>
      <c r="Y3746" s="4"/>
    </row>
    <row r="3747" spans="5:25">
      <c r="E3747"/>
      <c r="G3747"/>
      <c r="H3747"/>
      <c r="I3747"/>
      <c r="K3747"/>
      <c r="O3747"/>
      <c r="R3747"/>
      <c r="W3747" s="4"/>
      <c r="X3747" s="4"/>
      <c r="Y3747" s="4"/>
    </row>
    <row r="3748" spans="5:25">
      <c r="E3748"/>
      <c r="G3748"/>
      <c r="H3748"/>
      <c r="I3748"/>
      <c r="K3748"/>
      <c r="O3748"/>
      <c r="R3748"/>
      <c r="W3748" s="4"/>
      <c r="X3748" s="4"/>
      <c r="Y3748" s="4"/>
    </row>
    <row r="3749" spans="5:25">
      <c r="E3749"/>
      <c r="G3749"/>
      <c r="H3749"/>
      <c r="I3749"/>
      <c r="K3749"/>
      <c r="O3749"/>
      <c r="R3749"/>
      <c r="W3749" s="4"/>
      <c r="X3749" s="4"/>
      <c r="Y3749" s="4"/>
    </row>
    <row r="3750" spans="5:25">
      <c r="E3750"/>
      <c r="G3750"/>
      <c r="H3750"/>
      <c r="I3750"/>
      <c r="K3750"/>
      <c r="O3750"/>
      <c r="R3750"/>
      <c r="W3750" s="4"/>
      <c r="X3750" s="4"/>
      <c r="Y3750" s="4"/>
    </row>
    <row r="3751" spans="5:25">
      <c r="E3751"/>
      <c r="G3751"/>
      <c r="H3751"/>
      <c r="I3751"/>
      <c r="K3751"/>
      <c r="O3751"/>
      <c r="R3751"/>
      <c r="W3751" s="4"/>
      <c r="X3751" s="4"/>
      <c r="Y3751" s="4"/>
    </row>
    <row r="3752" spans="5:25">
      <c r="E3752"/>
      <c r="G3752"/>
      <c r="H3752"/>
      <c r="I3752"/>
      <c r="K3752"/>
      <c r="O3752"/>
      <c r="R3752"/>
      <c r="W3752" s="4"/>
      <c r="X3752" s="4"/>
      <c r="Y3752" s="4"/>
    </row>
    <row r="3753" spans="5:25">
      <c r="E3753"/>
      <c r="G3753"/>
      <c r="H3753"/>
      <c r="I3753"/>
      <c r="K3753"/>
      <c r="O3753"/>
      <c r="R3753"/>
      <c r="W3753" s="4"/>
      <c r="X3753" s="4"/>
      <c r="Y3753" s="4"/>
    </row>
    <row r="3754" spans="5:25">
      <c r="E3754"/>
      <c r="G3754"/>
      <c r="H3754"/>
      <c r="I3754"/>
      <c r="K3754"/>
      <c r="O3754"/>
      <c r="R3754"/>
      <c r="W3754" s="4"/>
      <c r="X3754" s="4"/>
      <c r="Y3754" s="4"/>
    </row>
    <row r="3755" spans="5:25">
      <c r="E3755"/>
      <c r="G3755"/>
      <c r="H3755"/>
      <c r="I3755"/>
      <c r="K3755"/>
      <c r="O3755"/>
      <c r="R3755"/>
      <c r="W3755" s="4"/>
      <c r="X3755" s="4"/>
      <c r="Y3755" s="4"/>
    </row>
    <row r="3756" spans="5:25">
      <c r="E3756"/>
      <c r="G3756"/>
      <c r="H3756"/>
      <c r="I3756"/>
      <c r="K3756"/>
      <c r="O3756"/>
      <c r="R3756"/>
      <c r="W3756" s="4"/>
      <c r="X3756" s="4"/>
      <c r="Y3756" s="4"/>
    </row>
    <row r="3757" spans="5:25">
      <c r="E3757"/>
      <c r="G3757"/>
      <c r="H3757"/>
      <c r="I3757"/>
      <c r="K3757"/>
      <c r="O3757"/>
      <c r="R3757"/>
      <c r="W3757" s="4"/>
      <c r="X3757" s="4"/>
      <c r="Y3757" s="4"/>
    </row>
    <row r="3758" spans="5:25">
      <c r="E3758"/>
      <c r="G3758"/>
      <c r="H3758"/>
      <c r="I3758"/>
      <c r="K3758"/>
      <c r="O3758"/>
      <c r="R3758"/>
      <c r="W3758" s="4"/>
      <c r="X3758" s="4"/>
      <c r="Y3758" s="4"/>
    </row>
    <row r="3759" spans="5:25">
      <c r="E3759"/>
      <c r="G3759"/>
      <c r="H3759"/>
      <c r="I3759"/>
      <c r="K3759"/>
      <c r="O3759"/>
      <c r="R3759"/>
      <c r="W3759" s="4"/>
      <c r="X3759" s="4"/>
      <c r="Y3759" s="4"/>
    </row>
    <row r="3760" spans="5:25">
      <c r="E3760"/>
      <c r="G3760"/>
      <c r="H3760"/>
      <c r="I3760"/>
      <c r="K3760"/>
      <c r="O3760"/>
      <c r="R3760"/>
      <c r="W3760" s="4"/>
      <c r="X3760" s="4"/>
      <c r="Y3760" s="4"/>
    </row>
    <row r="3761" spans="5:25">
      <c r="E3761"/>
      <c r="G3761"/>
      <c r="H3761"/>
      <c r="I3761"/>
      <c r="K3761"/>
      <c r="O3761"/>
      <c r="R3761"/>
      <c r="W3761" s="4"/>
      <c r="X3761" s="4"/>
      <c r="Y3761" s="4"/>
    </row>
    <row r="3762" spans="5:25">
      <c r="E3762"/>
      <c r="G3762"/>
      <c r="H3762"/>
      <c r="I3762"/>
      <c r="K3762"/>
      <c r="O3762"/>
      <c r="R3762"/>
      <c r="W3762" s="4"/>
      <c r="X3762" s="4"/>
      <c r="Y3762" s="4"/>
    </row>
    <row r="3763" spans="5:25">
      <c r="E3763"/>
      <c r="G3763"/>
      <c r="H3763"/>
      <c r="I3763"/>
      <c r="K3763"/>
      <c r="O3763"/>
      <c r="R3763"/>
      <c r="W3763" s="4"/>
      <c r="X3763" s="4"/>
      <c r="Y3763" s="4"/>
    </row>
    <row r="3764" spans="5:25">
      <c r="E3764"/>
      <c r="G3764"/>
      <c r="H3764"/>
      <c r="I3764"/>
      <c r="K3764"/>
      <c r="O3764"/>
      <c r="R3764"/>
      <c r="W3764" s="4"/>
      <c r="X3764" s="4"/>
      <c r="Y3764" s="4"/>
    </row>
    <row r="3765" spans="5:25">
      <c r="E3765"/>
      <c r="G3765"/>
      <c r="H3765"/>
      <c r="I3765"/>
      <c r="K3765"/>
      <c r="O3765"/>
      <c r="R3765"/>
      <c r="W3765" s="4"/>
      <c r="X3765" s="4"/>
      <c r="Y3765" s="4"/>
    </row>
    <row r="3766" spans="5:25">
      <c r="E3766"/>
      <c r="G3766"/>
      <c r="H3766"/>
      <c r="I3766"/>
      <c r="K3766"/>
      <c r="O3766"/>
      <c r="R3766"/>
      <c r="W3766" s="4"/>
      <c r="X3766" s="4"/>
      <c r="Y3766" s="4"/>
    </row>
    <row r="3767" spans="5:25">
      <c r="E3767"/>
      <c r="G3767"/>
      <c r="H3767"/>
      <c r="I3767"/>
      <c r="K3767"/>
      <c r="O3767"/>
      <c r="R3767"/>
      <c r="W3767" s="4"/>
      <c r="X3767" s="4"/>
      <c r="Y3767" s="4"/>
    </row>
    <row r="3768" spans="5:25">
      <c r="E3768"/>
      <c r="G3768"/>
      <c r="H3768"/>
      <c r="I3768"/>
      <c r="K3768"/>
      <c r="O3768"/>
      <c r="R3768"/>
      <c r="W3768" s="4"/>
      <c r="X3768" s="4"/>
      <c r="Y3768" s="4"/>
    </row>
    <row r="3769" spans="5:25">
      <c r="E3769"/>
      <c r="G3769"/>
      <c r="H3769"/>
      <c r="I3769"/>
      <c r="K3769"/>
      <c r="O3769"/>
      <c r="R3769"/>
      <c r="W3769" s="4"/>
      <c r="X3769" s="4"/>
      <c r="Y3769" s="4"/>
    </row>
    <row r="3770" spans="5:25">
      <c r="E3770"/>
      <c r="G3770"/>
      <c r="H3770"/>
      <c r="I3770"/>
      <c r="K3770"/>
      <c r="O3770"/>
      <c r="R3770"/>
      <c r="W3770" s="4"/>
      <c r="X3770" s="4"/>
      <c r="Y3770" s="4"/>
    </row>
    <row r="3771" spans="5:25">
      <c r="E3771"/>
      <c r="G3771"/>
      <c r="H3771"/>
      <c r="I3771"/>
      <c r="K3771"/>
      <c r="O3771"/>
      <c r="R3771"/>
      <c r="W3771" s="4"/>
      <c r="X3771" s="4"/>
      <c r="Y3771" s="4"/>
    </row>
    <row r="3772" spans="5:25">
      <c r="E3772"/>
      <c r="G3772"/>
      <c r="H3772"/>
      <c r="I3772"/>
      <c r="K3772"/>
      <c r="O3772"/>
      <c r="R3772"/>
      <c r="W3772" s="4"/>
      <c r="X3772" s="4"/>
      <c r="Y3772" s="4"/>
    </row>
    <row r="3773" spans="5:25">
      <c r="E3773"/>
      <c r="G3773"/>
      <c r="H3773"/>
      <c r="I3773"/>
      <c r="K3773"/>
      <c r="O3773"/>
      <c r="R3773"/>
      <c r="W3773" s="4"/>
      <c r="X3773" s="4"/>
      <c r="Y3773" s="4"/>
    </row>
    <row r="3774" spans="5:25">
      <c r="E3774"/>
      <c r="G3774"/>
      <c r="H3774"/>
      <c r="I3774"/>
      <c r="K3774"/>
      <c r="O3774"/>
      <c r="R3774"/>
      <c r="W3774" s="4"/>
      <c r="X3774" s="4"/>
      <c r="Y3774" s="4"/>
    </row>
    <row r="3775" spans="5:25">
      <c r="E3775"/>
      <c r="G3775"/>
      <c r="H3775"/>
      <c r="I3775"/>
      <c r="K3775"/>
      <c r="O3775"/>
      <c r="R3775"/>
      <c r="W3775" s="4"/>
      <c r="X3775" s="4"/>
      <c r="Y3775" s="4"/>
    </row>
    <row r="3776" spans="5:25">
      <c r="E3776"/>
      <c r="G3776"/>
      <c r="H3776"/>
      <c r="I3776"/>
      <c r="K3776"/>
      <c r="O3776"/>
      <c r="R3776"/>
      <c r="W3776" s="4"/>
      <c r="X3776" s="4"/>
      <c r="Y3776" s="4"/>
    </row>
    <row r="3777" spans="5:25">
      <c r="E3777"/>
      <c r="G3777"/>
      <c r="H3777"/>
      <c r="I3777"/>
      <c r="K3777"/>
      <c r="O3777"/>
      <c r="R3777"/>
      <c r="W3777" s="4"/>
      <c r="X3777" s="4"/>
      <c r="Y3777" s="4"/>
    </row>
    <row r="3778" spans="5:25">
      <c r="E3778"/>
      <c r="G3778"/>
      <c r="H3778"/>
      <c r="I3778"/>
      <c r="K3778"/>
      <c r="O3778"/>
      <c r="R3778"/>
      <c r="W3778" s="4"/>
      <c r="X3778" s="4"/>
      <c r="Y3778" s="4"/>
    </row>
    <row r="3779" spans="5:25">
      <c r="E3779"/>
      <c r="G3779"/>
      <c r="H3779"/>
      <c r="I3779"/>
      <c r="K3779"/>
      <c r="O3779"/>
      <c r="R3779"/>
      <c r="W3779" s="4"/>
      <c r="X3779" s="4"/>
      <c r="Y3779" s="4"/>
    </row>
    <row r="3780" spans="5:25">
      <c r="E3780"/>
      <c r="G3780"/>
      <c r="H3780"/>
      <c r="I3780"/>
      <c r="K3780"/>
      <c r="O3780"/>
      <c r="R3780"/>
      <c r="W3780" s="4"/>
      <c r="X3780" s="4"/>
      <c r="Y3780" s="4"/>
    </row>
    <row r="3781" spans="5:25">
      <c r="E3781"/>
      <c r="G3781"/>
      <c r="H3781"/>
      <c r="I3781"/>
      <c r="K3781"/>
      <c r="O3781"/>
      <c r="R3781"/>
      <c r="W3781" s="4"/>
      <c r="X3781" s="4"/>
      <c r="Y3781" s="4"/>
    </row>
    <row r="3782" spans="5:25">
      <c r="E3782"/>
      <c r="G3782"/>
      <c r="H3782"/>
      <c r="I3782"/>
      <c r="K3782"/>
      <c r="O3782"/>
      <c r="R3782"/>
      <c r="W3782" s="4"/>
      <c r="X3782" s="4"/>
      <c r="Y3782" s="4"/>
    </row>
    <row r="3783" spans="5:25">
      <c r="E3783"/>
      <c r="G3783"/>
      <c r="H3783"/>
      <c r="I3783"/>
      <c r="K3783"/>
      <c r="O3783"/>
      <c r="R3783"/>
      <c r="W3783" s="4"/>
      <c r="X3783" s="4"/>
      <c r="Y3783" s="4"/>
    </row>
    <row r="3784" spans="5:25">
      <c r="E3784"/>
      <c r="G3784"/>
      <c r="H3784"/>
      <c r="I3784"/>
      <c r="K3784"/>
      <c r="O3784"/>
      <c r="R3784"/>
      <c r="W3784" s="4"/>
      <c r="X3784" s="4"/>
      <c r="Y3784" s="4"/>
    </row>
    <row r="3785" spans="5:25">
      <c r="E3785"/>
      <c r="G3785"/>
      <c r="H3785"/>
      <c r="I3785"/>
      <c r="K3785"/>
      <c r="O3785"/>
      <c r="R3785"/>
      <c r="W3785" s="4"/>
      <c r="X3785" s="4"/>
      <c r="Y3785" s="4"/>
    </row>
    <row r="3786" spans="5:25">
      <c r="E3786"/>
      <c r="G3786"/>
      <c r="H3786"/>
      <c r="I3786"/>
      <c r="K3786"/>
      <c r="O3786"/>
      <c r="R3786"/>
      <c r="W3786" s="4"/>
      <c r="X3786" s="4"/>
      <c r="Y3786" s="4"/>
    </row>
    <row r="3787" spans="5:25">
      <c r="E3787"/>
      <c r="G3787"/>
      <c r="H3787"/>
      <c r="I3787"/>
      <c r="K3787"/>
      <c r="O3787"/>
      <c r="R3787"/>
      <c r="W3787" s="4"/>
      <c r="X3787" s="4"/>
      <c r="Y3787" s="4"/>
    </row>
    <row r="3788" spans="5:25">
      <c r="E3788"/>
      <c r="G3788"/>
      <c r="H3788"/>
      <c r="I3788"/>
      <c r="K3788"/>
      <c r="O3788"/>
      <c r="R3788"/>
      <c r="W3788" s="4"/>
      <c r="X3788" s="4"/>
      <c r="Y3788" s="4"/>
    </row>
    <row r="3789" spans="5:25">
      <c r="E3789"/>
      <c r="G3789"/>
      <c r="H3789"/>
      <c r="I3789"/>
      <c r="K3789"/>
      <c r="O3789"/>
      <c r="R3789"/>
      <c r="W3789" s="4"/>
      <c r="X3789" s="4"/>
      <c r="Y3789" s="4"/>
    </row>
    <row r="3790" spans="5:25">
      <c r="E3790"/>
      <c r="G3790"/>
      <c r="H3790"/>
      <c r="I3790"/>
      <c r="K3790"/>
      <c r="O3790"/>
      <c r="R3790"/>
      <c r="W3790" s="4"/>
      <c r="X3790" s="4"/>
      <c r="Y3790" s="4"/>
    </row>
    <row r="3791" spans="5:25">
      <c r="E3791"/>
      <c r="G3791"/>
      <c r="H3791"/>
      <c r="I3791"/>
      <c r="K3791"/>
      <c r="O3791"/>
      <c r="R3791"/>
      <c r="W3791" s="4"/>
      <c r="X3791" s="4"/>
      <c r="Y3791" s="4"/>
    </row>
    <row r="3792" spans="5:25">
      <c r="E3792"/>
      <c r="G3792"/>
      <c r="H3792"/>
      <c r="I3792"/>
      <c r="K3792"/>
      <c r="O3792"/>
      <c r="R3792"/>
      <c r="W3792" s="4"/>
      <c r="X3792" s="4"/>
      <c r="Y3792" s="4"/>
    </row>
    <row r="3793" spans="5:25">
      <c r="E3793"/>
      <c r="G3793"/>
      <c r="H3793"/>
      <c r="I3793"/>
      <c r="K3793"/>
      <c r="O3793"/>
      <c r="R3793"/>
      <c r="W3793" s="4"/>
      <c r="X3793" s="4"/>
      <c r="Y3793" s="4"/>
    </row>
    <row r="3794" spans="5:25">
      <c r="E3794"/>
      <c r="G3794"/>
      <c r="H3794"/>
      <c r="I3794"/>
      <c r="K3794"/>
      <c r="O3794"/>
      <c r="R3794"/>
      <c r="W3794" s="4"/>
      <c r="X3794" s="4"/>
      <c r="Y3794" s="4"/>
    </row>
    <row r="3795" spans="5:25">
      <c r="E3795"/>
      <c r="G3795"/>
      <c r="H3795"/>
      <c r="I3795"/>
      <c r="K3795"/>
      <c r="O3795"/>
      <c r="R3795"/>
      <c r="W3795" s="4"/>
      <c r="X3795" s="4"/>
      <c r="Y3795" s="4"/>
    </row>
    <row r="3796" spans="5:25">
      <c r="E3796"/>
      <c r="G3796"/>
      <c r="H3796"/>
      <c r="I3796"/>
      <c r="K3796"/>
      <c r="O3796"/>
      <c r="R3796"/>
      <c r="W3796" s="4"/>
      <c r="X3796" s="4"/>
      <c r="Y3796" s="4"/>
    </row>
    <row r="3797" spans="5:25">
      <c r="E3797"/>
      <c r="G3797"/>
      <c r="H3797"/>
      <c r="I3797"/>
      <c r="K3797"/>
      <c r="O3797"/>
      <c r="R3797"/>
      <c r="W3797" s="4"/>
      <c r="X3797" s="4"/>
      <c r="Y3797" s="4"/>
    </row>
    <row r="3798" spans="5:25">
      <c r="E3798"/>
      <c r="G3798"/>
      <c r="H3798"/>
      <c r="I3798"/>
      <c r="K3798"/>
      <c r="O3798"/>
      <c r="R3798"/>
      <c r="W3798" s="4"/>
      <c r="X3798" s="4"/>
      <c r="Y3798" s="4"/>
    </row>
    <row r="3799" spans="5:25">
      <c r="E3799"/>
      <c r="G3799"/>
      <c r="H3799"/>
      <c r="I3799"/>
      <c r="K3799"/>
      <c r="O3799"/>
      <c r="R3799"/>
      <c r="W3799" s="4"/>
      <c r="X3799" s="4"/>
      <c r="Y3799" s="4"/>
    </row>
    <row r="3800" spans="5:25">
      <c r="E3800"/>
      <c r="G3800"/>
      <c r="H3800"/>
      <c r="I3800"/>
      <c r="K3800"/>
      <c r="O3800"/>
      <c r="R3800"/>
      <c r="W3800" s="4"/>
      <c r="X3800" s="4"/>
      <c r="Y3800" s="4"/>
    </row>
    <row r="3801" spans="5:25">
      <c r="E3801"/>
      <c r="G3801"/>
      <c r="H3801"/>
      <c r="I3801"/>
      <c r="K3801"/>
      <c r="O3801"/>
      <c r="R3801"/>
      <c r="W3801" s="4"/>
      <c r="X3801" s="4"/>
      <c r="Y3801" s="4"/>
    </row>
    <row r="3802" spans="5:25">
      <c r="E3802"/>
      <c r="G3802"/>
      <c r="H3802"/>
      <c r="I3802"/>
      <c r="K3802"/>
      <c r="O3802"/>
      <c r="R3802"/>
      <c r="W3802" s="4"/>
      <c r="X3802" s="4"/>
      <c r="Y3802" s="4"/>
    </row>
    <row r="3803" spans="5:25">
      <c r="E3803"/>
      <c r="G3803"/>
      <c r="H3803"/>
      <c r="I3803"/>
      <c r="K3803"/>
      <c r="O3803"/>
      <c r="R3803"/>
      <c r="W3803" s="4"/>
      <c r="X3803" s="4"/>
      <c r="Y3803" s="4"/>
    </row>
    <row r="3804" spans="5:25">
      <c r="E3804"/>
      <c r="G3804"/>
      <c r="H3804"/>
      <c r="I3804"/>
      <c r="K3804"/>
      <c r="O3804"/>
      <c r="R3804"/>
      <c r="W3804" s="4"/>
      <c r="X3804" s="4"/>
      <c r="Y3804" s="4"/>
    </row>
    <row r="3805" spans="5:25">
      <c r="E3805"/>
      <c r="G3805"/>
      <c r="H3805"/>
      <c r="I3805"/>
      <c r="K3805"/>
      <c r="O3805"/>
      <c r="R3805"/>
      <c r="W3805" s="4"/>
      <c r="X3805" s="4"/>
      <c r="Y3805" s="4"/>
    </row>
    <row r="3806" spans="5:25">
      <c r="E3806"/>
      <c r="G3806"/>
      <c r="H3806"/>
      <c r="I3806"/>
      <c r="K3806"/>
      <c r="O3806"/>
      <c r="R3806"/>
      <c r="W3806" s="4"/>
      <c r="X3806" s="4"/>
      <c r="Y3806" s="4"/>
    </row>
    <row r="3807" spans="5:25">
      <c r="E3807"/>
      <c r="G3807"/>
      <c r="H3807"/>
      <c r="I3807"/>
      <c r="K3807"/>
      <c r="O3807"/>
      <c r="R3807"/>
      <c r="W3807" s="4"/>
      <c r="X3807" s="4"/>
      <c r="Y3807" s="4"/>
    </row>
    <row r="3808" spans="5:25">
      <c r="E3808"/>
      <c r="G3808"/>
      <c r="H3808"/>
      <c r="I3808"/>
      <c r="K3808"/>
      <c r="O3808"/>
      <c r="R3808"/>
      <c r="W3808" s="4"/>
      <c r="X3808" s="4"/>
      <c r="Y3808" s="4"/>
    </row>
    <row r="3809" spans="5:25">
      <c r="E3809"/>
      <c r="G3809"/>
      <c r="H3809"/>
      <c r="I3809"/>
      <c r="K3809"/>
      <c r="O3809"/>
      <c r="R3809"/>
      <c r="W3809" s="4"/>
      <c r="X3809" s="4"/>
      <c r="Y3809" s="4"/>
    </row>
    <row r="3810" spans="5:25">
      <c r="E3810"/>
      <c r="G3810"/>
      <c r="H3810"/>
      <c r="I3810"/>
      <c r="K3810"/>
      <c r="O3810"/>
      <c r="R3810"/>
      <c r="W3810" s="4"/>
      <c r="X3810" s="4"/>
      <c r="Y3810" s="4"/>
    </row>
    <row r="3811" spans="5:25">
      <c r="E3811"/>
      <c r="G3811"/>
      <c r="H3811"/>
      <c r="I3811"/>
      <c r="K3811"/>
      <c r="O3811"/>
      <c r="R3811"/>
      <c r="W3811" s="4"/>
      <c r="X3811" s="4"/>
      <c r="Y3811" s="4"/>
    </row>
    <row r="3812" spans="5:25">
      <c r="E3812"/>
      <c r="G3812"/>
      <c r="H3812"/>
      <c r="I3812"/>
      <c r="K3812"/>
      <c r="O3812"/>
      <c r="R3812"/>
      <c r="W3812" s="4"/>
      <c r="X3812" s="4"/>
      <c r="Y3812" s="4"/>
    </row>
    <row r="3813" spans="5:25">
      <c r="E3813"/>
      <c r="G3813"/>
      <c r="H3813"/>
      <c r="I3813"/>
      <c r="K3813"/>
      <c r="O3813"/>
      <c r="R3813"/>
      <c r="W3813" s="4"/>
      <c r="X3813" s="4"/>
      <c r="Y3813" s="4"/>
    </row>
    <row r="3814" spans="5:25">
      <c r="E3814"/>
      <c r="G3814"/>
      <c r="H3814"/>
      <c r="I3814"/>
      <c r="K3814"/>
      <c r="O3814"/>
      <c r="R3814"/>
      <c r="W3814" s="4"/>
      <c r="X3814" s="4"/>
      <c r="Y3814" s="4"/>
    </row>
    <row r="3815" spans="5:25">
      <c r="E3815"/>
      <c r="G3815"/>
      <c r="H3815"/>
      <c r="I3815"/>
      <c r="K3815"/>
      <c r="O3815"/>
      <c r="R3815"/>
      <c r="W3815" s="4"/>
      <c r="X3815" s="4"/>
      <c r="Y3815" s="4"/>
    </row>
    <row r="3816" spans="5:25">
      <c r="E3816"/>
      <c r="G3816"/>
      <c r="H3816"/>
      <c r="I3816"/>
      <c r="K3816"/>
      <c r="O3816"/>
      <c r="R3816"/>
      <c r="W3816" s="4"/>
      <c r="X3816" s="4"/>
      <c r="Y3816" s="4"/>
    </row>
    <row r="3817" spans="5:25">
      <c r="E3817"/>
      <c r="G3817"/>
      <c r="H3817"/>
      <c r="I3817"/>
      <c r="K3817"/>
      <c r="O3817"/>
      <c r="R3817"/>
      <c r="W3817" s="4"/>
      <c r="X3817" s="4"/>
      <c r="Y3817" s="4"/>
    </row>
    <row r="3818" spans="5:25">
      <c r="E3818"/>
      <c r="G3818"/>
      <c r="H3818"/>
      <c r="I3818"/>
      <c r="K3818"/>
      <c r="O3818"/>
      <c r="R3818"/>
      <c r="W3818" s="4"/>
      <c r="X3818" s="4"/>
      <c r="Y3818" s="4"/>
    </row>
    <row r="3819" spans="5:25">
      <c r="E3819"/>
      <c r="G3819"/>
      <c r="H3819"/>
      <c r="I3819"/>
      <c r="K3819"/>
      <c r="O3819"/>
      <c r="R3819"/>
      <c r="W3819" s="4"/>
      <c r="X3819" s="4"/>
      <c r="Y3819" s="4"/>
    </row>
    <row r="3820" spans="5:25">
      <c r="E3820"/>
      <c r="G3820"/>
      <c r="H3820"/>
      <c r="I3820"/>
      <c r="K3820"/>
      <c r="O3820"/>
      <c r="R3820"/>
      <c r="W3820" s="4"/>
      <c r="X3820" s="4"/>
      <c r="Y3820" s="4"/>
    </row>
    <row r="3821" spans="5:25">
      <c r="E3821"/>
      <c r="G3821"/>
      <c r="H3821"/>
      <c r="I3821"/>
      <c r="K3821"/>
      <c r="O3821"/>
      <c r="R3821"/>
      <c r="W3821" s="4"/>
      <c r="X3821" s="4"/>
      <c r="Y3821" s="4"/>
    </row>
    <row r="3822" spans="5:25">
      <c r="E3822"/>
      <c r="G3822"/>
      <c r="H3822"/>
      <c r="I3822"/>
      <c r="K3822"/>
      <c r="O3822"/>
      <c r="R3822"/>
      <c r="W3822" s="4"/>
      <c r="X3822" s="4"/>
      <c r="Y3822" s="4"/>
    </row>
    <row r="3823" spans="5:25">
      <c r="E3823"/>
      <c r="G3823"/>
      <c r="H3823"/>
      <c r="I3823"/>
      <c r="K3823"/>
      <c r="O3823"/>
      <c r="R3823"/>
      <c r="W3823" s="4"/>
      <c r="X3823" s="4"/>
      <c r="Y3823" s="4"/>
    </row>
    <row r="3824" spans="5:25">
      <c r="E3824"/>
      <c r="G3824"/>
      <c r="H3824"/>
      <c r="I3824"/>
      <c r="K3824"/>
      <c r="O3824"/>
      <c r="R3824"/>
      <c r="W3824" s="4"/>
      <c r="X3824" s="4"/>
      <c r="Y3824" s="4"/>
    </row>
    <row r="3825" spans="5:25">
      <c r="E3825"/>
      <c r="G3825"/>
      <c r="H3825"/>
      <c r="I3825"/>
      <c r="K3825"/>
      <c r="O3825"/>
      <c r="R3825"/>
      <c r="W3825" s="4"/>
      <c r="X3825" s="4"/>
      <c r="Y3825" s="4"/>
    </row>
    <row r="3826" spans="5:25">
      <c r="E3826"/>
      <c r="G3826"/>
      <c r="H3826"/>
      <c r="I3826"/>
      <c r="K3826"/>
      <c r="O3826"/>
      <c r="R3826"/>
      <c r="W3826" s="4"/>
      <c r="X3826" s="4"/>
      <c r="Y3826" s="4"/>
    </row>
    <row r="3827" spans="5:25">
      <c r="E3827"/>
      <c r="G3827"/>
      <c r="H3827"/>
      <c r="I3827"/>
      <c r="K3827"/>
      <c r="O3827"/>
      <c r="R3827"/>
      <c r="W3827" s="4"/>
      <c r="X3827" s="4"/>
      <c r="Y3827" s="4"/>
    </row>
    <row r="3828" spans="5:25">
      <c r="E3828"/>
      <c r="G3828"/>
      <c r="H3828"/>
      <c r="I3828"/>
      <c r="K3828"/>
      <c r="O3828"/>
      <c r="R3828"/>
      <c r="W3828" s="4"/>
      <c r="X3828" s="4"/>
      <c r="Y3828" s="4"/>
    </row>
    <row r="3829" spans="5:25">
      <c r="E3829"/>
      <c r="G3829"/>
      <c r="H3829"/>
      <c r="I3829"/>
      <c r="K3829"/>
      <c r="O3829"/>
      <c r="R3829"/>
      <c r="W3829" s="4"/>
      <c r="X3829" s="4"/>
      <c r="Y3829" s="4"/>
    </row>
    <row r="3830" spans="5:25">
      <c r="E3830"/>
      <c r="G3830"/>
      <c r="H3830"/>
      <c r="I3830"/>
      <c r="K3830"/>
      <c r="O3830"/>
      <c r="R3830"/>
      <c r="W3830" s="4"/>
      <c r="X3830" s="4"/>
      <c r="Y3830" s="4"/>
    </row>
    <row r="3831" spans="5:25">
      <c r="E3831"/>
      <c r="G3831"/>
      <c r="H3831"/>
      <c r="I3831"/>
      <c r="K3831"/>
      <c r="O3831"/>
      <c r="R3831"/>
      <c r="W3831" s="4"/>
      <c r="X3831" s="4"/>
      <c r="Y3831" s="4"/>
    </row>
    <row r="3832" spans="5:25">
      <c r="E3832"/>
      <c r="G3832"/>
      <c r="H3832"/>
      <c r="I3832"/>
      <c r="K3832"/>
      <c r="O3832"/>
      <c r="R3832"/>
      <c r="W3832" s="4"/>
      <c r="X3832" s="4"/>
      <c r="Y3832" s="4"/>
    </row>
    <row r="3833" spans="5:25">
      <c r="E3833"/>
      <c r="G3833"/>
      <c r="H3833"/>
      <c r="I3833"/>
      <c r="K3833"/>
      <c r="O3833"/>
      <c r="R3833"/>
      <c r="W3833" s="4"/>
      <c r="X3833" s="4"/>
      <c r="Y3833" s="4"/>
    </row>
    <row r="3834" spans="5:25">
      <c r="E3834"/>
      <c r="G3834"/>
      <c r="H3834"/>
      <c r="I3834"/>
      <c r="K3834"/>
      <c r="O3834"/>
      <c r="R3834"/>
      <c r="W3834" s="4"/>
      <c r="X3834" s="4"/>
      <c r="Y3834" s="4"/>
    </row>
    <row r="3835" spans="5:25">
      <c r="E3835"/>
      <c r="G3835"/>
      <c r="H3835"/>
      <c r="I3835"/>
      <c r="K3835"/>
      <c r="O3835"/>
      <c r="R3835"/>
      <c r="W3835" s="4"/>
      <c r="X3835" s="4"/>
      <c r="Y3835" s="4"/>
    </row>
    <row r="3836" spans="5:25">
      <c r="E3836"/>
      <c r="G3836"/>
      <c r="H3836"/>
      <c r="I3836"/>
      <c r="K3836"/>
      <c r="O3836"/>
      <c r="R3836"/>
      <c r="W3836" s="4"/>
      <c r="X3836" s="4"/>
      <c r="Y3836" s="4"/>
    </row>
    <row r="3837" spans="5:25">
      <c r="E3837"/>
      <c r="G3837"/>
      <c r="H3837"/>
      <c r="I3837"/>
      <c r="K3837"/>
      <c r="O3837"/>
      <c r="R3837"/>
      <c r="W3837" s="4"/>
      <c r="X3837" s="4"/>
      <c r="Y3837" s="4"/>
    </row>
    <row r="3838" spans="5:25">
      <c r="E3838"/>
      <c r="G3838"/>
      <c r="H3838"/>
      <c r="I3838"/>
      <c r="K3838"/>
      <c r="O3838"/>
      <c r="R3838"/>
      <c r="W3838" s="4"/>
      <c r="X3838" s="4"/>
      <c r="Y3838" s="4"/>
    </row>
    <row r="3839" spans="5:25">
      <c r="E3839"/>
      <c r="G3839"/>
      <c r="H3839"/>
      <c r="I3839"/>
      <c r="K3839"/>
      <c r="O3839"/>
      <c r="R3839"/>
      <c r="W3839" s="4"/>
      <c r="X3839" s="4"/>
      <c r="Y3839" s="4"/>
    </row>
    <row r="3840" spans="5:25">
      <c r="E3840"/>
      <c r="G3840"/>
      <c r="H3840"/>
      <c r="I3840"/>
      <c r="K3840"/>
      <c r="O3840"/>
      <c r="R3840"/>
      <c r="W3840" s="4"/>
      <c r="X3840" s="4"/>
      <c r="Y3840" s="4"/>
    </row>
    <row r="3841" spans="5:25">
      <c r="E3841"/>
      <c r="G3841"/>
      <c r="H3841"/>
      <c r="I3841"/>
      <c r="K3841"/>
      <c r="O3841"/>
      <c r="R3841"/>
      <c r="W3841" s="4"/>
      <c r="X3841" s="4"/>
      <c r="Y3841" s="4"/>
    </row>
    <row r="3842" spans="5:25">
      <c r="E3842"/>
      <c r="G3842"/>
      <c r="H3842"/>
      <c r="I3842"/>
      <c r="K3842"/>
      <c r="O3842"/>
      <c r="R3842"/>
      <c r="W3842" s="4"/>
      <c r="X3842" s="4"/>
      <c r="Y3842" s="4"/>
    </row>
    <row r="3843" spans="5:25">
      <c r="E3843"/>
      <c r="G3843"/>
      <c r="H3843"/>
      <c r="I3843"/>
      <c r="K3843"/>
      <c r="O3843"/>
      <c r="R3843"/>
      <c r="W3843" s="4"/>
      <c r="X3843" s="4"/>
      <c r="Y3843" s="4"/>
    </row>
    <row r="3844" spans="5:25">
      <c r="E3844"/>
      <c r="G3844"/>
      <c r="H3844"/>
      <c r="I3844"/>
      <c r="K3844"/>
      <c r="O3844"/>
      <c r="R3844"/>
      <c r="W3844" s="4"/>
      <c r="X3844" s="4"/>
      <c r="Y3844" s="4"/>
    </row>
    <row r="3845" spans="5:25">
      <c r="E3845"/>
      <c r="G3845"/>
      <c r="H3845"/>
      <c r="I3845"/>
      <c r="K3845"/>
      <c r="O3845"/>
      <c r="R3845"/>
      <c r="W3845" s="4"/>
      <c r="X3845" s="4"/>
      <c r="Y3845" s="4"/>
    </row>
    <row r="3846" spans="5:25">
      <c r="E3846"/>
      <c r="G3846"/>
      <c r="H3846"/>
      <c r="I3846"/>
      <c r="K3846"/>
      <c r="O3846"/>
      <c r="R3846"/>
      <c r="W3846" s="4"/>
      <c r="X3846" s="4"/>
      <c r="Y3846" s="4"/>
    </row>
    <row r="3847" spans="5:25">
      <c r="E3847"/>
      <c r="G3847"/>
      <c r="H3847"/>
      <c r="I3847"/>
      <c r="K3847"/>
      <c r="O3847"/>
      <c r="R3847"/>
      <c r="W3847" s="4"/>
      <c r="X3847" s="4"/>
      <c r="Y3847" s="4"/>
    </row>
    <row r="3848" spans="5:25">
      <c r="E3848"/>
      <c r="G3848"/>
      <c r="H3848"/>
      <c r="I3848"/>
      <c r="K3848"/>
      <c r="O3848"/>
      <c r="R3848"/>
      <c r="W3848" s="4"/>
      <c r="X3848" s="4"/>
      <c r="Y3848" s="4"/>
    </row>
    <row r="3849" spans="5:25">
      <c r="E3849"/>
      <c r="G3849"/>
      <c r="H3849"/>
      <c r="I3849"/>
      <c r="K3849"/>
      <c r="O3849"/>
      <c r="R3849"/>
      <c r="W3849" s="4"/>
      <c r="X3849" s="4"/>
      <c r="Y3849" s="4"/>
    </row>
    <row r="3850" spans="5:25">
      <c r="E3850"/>
      <c r="G3850"/>
      <c r="H3850"/>
      <c r="I3850"/>
      <c r="K3850"/>
      <c r="O3850"/>
      <c r="R3850"/>
      <c r="W3850" s="4"/>
      <c r="X3850" s="4"/>
      <c r="Y3850" s="4"/>
    </row>
    <row r="3851" spans="5:25">
      <c r="E3851"/>
      <c r="G3851"/>
      <c r="H3851"/>
      <c r="I3851"/>
      <c r="K3851"/>
      <c r="O3851"/>
      <c r="R3851"/>
      <c r="W3851" s="4"/>
      <c r="X3851" s="4"/>
      <c r="Y3851" s="4"/>
    </row>
    <row r="3852" spans="5:25">
      <c r="E3852"/>
      <c r="G3852"/>
      <c r="H3852"/>
      <c r="I3852"/>
      <c r="K3852"/>
      <c r="O3852"/>
      <c r="R3852"/>
      <c r="W3852" s="4"/>
      <c r="X3852" s="4"/>
      <c r="Y3852" s="4"/>
    </row>
    <row r="3853" spans="5:25">
      <c r="E3853"/>
      <c r="G3853"/>
      <c r="H3853"/>
      <c r="I3853"/>
      <c r="K3853"/>
      <c r="O3853"/>
      <c r="R3853"/>
      <c r="W3853" s="4"/>
      <c r="X3853" s="4"/>
      <c r="Y3853" s="4"/>
    </row>
    <row r="3854" spans="5:25">
      <c r="E3854"/>
      <c r="G3854"/>
      <c r="H3854"/>
      <c r="I3854"/>
      <c r="K3854"/>
      <c r="O3854"/>
      <c r="R3854"/>
      <c r="W3854" s="4"/>
      <c r="X3854" s="4"/>
      <c r="Y3854" s="4"/>
    </row>
    <row r="3855" spans="5:25">
      <c r="E3855"/>
      <c r="G3855"/>
      <c r="H3855"/>
      <c r="I3855"/>
      <c r="K3855"/>
      <c r="O3855"/>
      <c r="R3855"/>
      <c r="W3855" s="4"/>
      <c r="X3855" s="4"/>
      <c r="Y3855" s="4"/>
    </row>
    <row r="3856" spans="5:25">
      <c r="E3856"/>
      <c r="G3856"/>
      <c r="H3856"/>
      <c r="I3856"/>
      <c r="K3856"/>
      <c r="O3856"/>
      <c r="R3856"/>
      <c r="W3856" s="4"/>
      <c r="X3856" s="4"/>
      <c r="Y3856" s="4"/>
    </row>
    <row r="3857" spans="5:25">
      <c r="E3857"/>
      <c r="G3857"/>
      <c r="H3857"/>
      <c r="I3857"/>
      <c r="K3857"/>
      <c r="O3857"/>
      <c r="R3857"/>
      <c r="W3857" s="4"/>
      <c r="X3857" s="4"/>
      <c r="Y3857" s="4"/>
    </row>
    <row r="3858" spans="5:25">
      <c r="E3858"/>
      <c r="G3858"/>
      <c r="H3858"/>
      <c r="I3858"/>
      <c r="K3858"/>
      <c r="O3858"/>
      <c r="R3858"/>
      <c r="W3858" s="4"/>
      <c r="X3858" s="4"/>
      <c r="Y3858" s="4"/>
    </row>
    <row r="3859" spans="5:25">
      <c r="E3859"/>
      <c r="G3859"/>
      <c r="H3859"/>
      <c r="I3859"/>
      <c r="K3859"/>
      <c r="O3859"/>
      <c r="R3859"/>
      <c r="W3859" s="4"/>
      <c r="X3859" s="4"/>
      <c r="Y3859" s="4"/>
    </row>
    <row r="3860" spans="5:25">
      <c r="E3860"/>
      <c r="G3860"/>
      <c r="H3860"/>
      <c r="I3860"/>
      <c r="K3860"/>
      <c r="O3860"/>
      <c r="R3860"/>
      <c r="W3860" s="4"/>
      <c r="X3860" s="4"/>
      <c r="Y3860" s="4"/>
    </row>
    <row r="3861" spans="5:25">
      <c r="E3861"/>
      <c r="G3861"/>
      <c r="H3861"/>
      <c r="I3861"/>
      <c r="K3861"/>
      <c r="O3861"/>
      <c r="R3861"/>
      <c r="W3861" s="4"/>
      <c r="X3861" s="4"/>
      <c r="Y3861" s="4"/>
    </row>
    <row r="3862" spans="5:25">
      <c r="E3862"/>
      <c r="G3862"/>
      <c r="H3862"/>
      <c r="I3862"/>
      <c r="K3862"/>
      <c r="O3862"/>
      <c r="R3862"/>
      <c r="W3862" s="4"/>
      <c r="X3862" s="4"/>
      <c r="Y3862" s="4"/>
    </row>
    <row r="3863" spans="5:25">
      <c r="E3863"/>
      <c r="G3863"/>
      <c r="H3863"/>
      <c r="I3863"/>
      <c r="K3863"/>
      <c r="O3863"/>
      <c r="R3863"/>
      <c r="W3863" s="4"/>
      <c r="X3863" s="4"/>
      <c r="Y3863" s="4"/>
    </row>
    <row r="3864" spans="5:25">
      <c r="E3864"/>
      <c r="G3864"/>
      <c r="H3864"/>
      <c r="I3864"/>
      <c r="K3864"/>
      <c r="O3864"/>
      <c r="R3864"/>
      <c r="W3864" s="4"/>
      <c r="X3864" s="4"/>
      <c r="Y3864" s="4"/>
    </row>
    <row r="3865" spans="5:25">
      <c r="E3865"/>
      <c r="G3865"/>
      <c r="H3865"/>
      <c r="I3865"/>
      <c r="K3865"/>
      <c r="O3865"/>
      <c r="R3865"/>
      <c r="W3865" s="4"/>
      <c r="X3865" s="4"/>
      <c r="Y3865" s="4"/>
    </row>
    <row r="3866" spans="5:25">
      <c r="E3866"/>
      <c r="G3866"/>
      <c r="H3866"/>
      <c r="I3866"/>
      <c r="K3866"/>
      <c r="O3866"/>
      <c r="R3866"/>
      <c r="W3866" s="4"/>
      <c r="X3866" s="4"/>
      <c r="Y3866" s="4"/>
    </row>
    <row r="3867" spans="5:25">
      <c r="E3867"/>
      <c r="G3867"/>
      <c r="H3867"/>
      <c r="I3867"/>
      <c r="K3867"/>
      <c r="O3867"/>
      <c r="R3867"/>
      <c r="W3867" s="4"/>
      <c r="X3867" s="4"/>
      <c r="Y3867" s="4"/>
    </row>
    <row r="3868" spans="5:25">
      <c r="E3868"/>
      <c r="G3868"/>
      <c r="H3868"/>
      <c r="I3868"/>
      <c r="K3868"/>
      <c r="O3868"/>
      <c r="R3868"/>
      <c r="W3868" s="4"/>
      <c r="X3868" s="4"/>
      <c r="Y3868" s="4"/>
    </row>
    <row r="3869" spans="5:25">
      <c r="E3869"/>
      <c r="G3869"/>
      <c r="H3869"/>
      <c r="I3869"/>
      <c r="K3869"/>
      <c r="O3869"/>
      <c r="R3869"/>
      <c r="W3869" s="4"/>
      <c r="X3869" s="4"/>
      <c r="Y3869" s="4"/>
    </row>
    <row r="3870" spans="5:25">
      <c r="E3870"/>
      <c r="G3870"/>
      <c r="H3870"/>
      <c r="I3870"/>
      <c r="K3870"/>
      <c r="O3870"/>
      <c r="R3870"/>
      <c r="W3870" s="4"/>
      <c r="X3870" s="4"/>
      <c r="Y3870" s="4"/>
    </row>
    <row r="3871" spans="5:25">
      <c r="E3871"/>
      <c r="G3871"/>
      <c r="H3871"/>
      <c r="I3871"/>
      <c r="K3871"/>
      <c r="O3871"/>
      <c r="R3871"/>
      <c r="W3871" s="4"/>
      <c r="X3871" s="4"/>
      <c r="Y3871" s="4"/>
    </row>
    <row r="3872" spans="5:25">
      <c r="E3872"/>
      <c r="G3872"/>
      <c r="H3872"/>
      <c r="I3872"/>
      <c r="K3872"/>
      <c r="O3872"/>
      <c r="R3872"/>
      <c r="W3872" s="4"/>
      <c r="X3872" s="4"/>
      <c r="Y3872" s="4"/>
    </row>
    <row r="3873" spans="5:25">
      <c r="E3873"/>
      <c r="G3873"/>
      <c r="H3873"/>
      <c r="I3873"/>
      <c r="K3873"/>
      <c r="O3873"/>
      <c r="R3873"/>
      <c r="W3873" s="4"/>
      <c r="X3873" s="4"/>
      <c r="Y3873" s="4"/>
    </row>
    <row r="3874" spans="5:25">
      <c r="E3874"/>
      <c r="G3874"/>
      <c r="H3874"/>
      <c r="I3874"/>
      <c r="K3874"/>
      <c r="O3874"/>
      <c r="R3874"/>
      <c r="W3874" s="4"/>
      <c r="X3874" s="4"/>
      <c r="Y3874" s="4"/>
    </row>
    <row r="3875" spans="5:25">
      <c r="E3875"/>
      <c r="G3875"/>
      <c r="H3875"/>
      <c r="I3875"/>
      <c r="K3875"/>
      <c r="O3875"/>
      <c r="R3875"/>
      <c r="W3875" s="4"/>
      <c r="X3875" s="4"/>
      <c r="Y3875" s="4"/>
    </row>
    <row r="3876" spans="5:25">
      <c r="E3876"/>
      <c r="G3876"/>
      <c r="H3876"/>
      <c r="I3876"/>
      <c r="K3876"/>
      <c r="O3876"/>
      <c r="R3876"/>
      <c r="W3876" s="4"/>
      <c r="X3876" s="4"/>
      <c r="Y3876" s="4"/>
    </row>
    <row r="3877" spans="5:25">
      <c r="E3877"/>
      <c r="G3877"/>
      <c r="H3877"/>
      <c r="I3877"/>
      <c r="K3877"/>
      <c r="O3877"/>
      <c r="R3877"/>
      <c r="W3877" s="4"/>
      <c r="X3877" s="4"/>
      <c r="Y3877" s="4"/>
    </row>
    <row r="3878" spans="5:25">
      <c r="E3878"/>
      <c r="G3878"/>
      <c r="H3878"/>
      <c r="I3878"/>
      <c r="K3878"/>
      <c r="O3878"/>
      <c r="R3878"/>
      <c r="W3878" s="4"/>
      <c r="X3878" s="4"/>
      <c r="Y3878" s="4"/>
    </row>
    <row r="3879" spans="5:25">
      <c r="E3879"/>
      <c r="G3879"/>
      <c r="H3879"/>
      <c r="I3879"/>
      <c r="K3879"/>
      <c r="O3879"/>
      <c r="R3879"/>
      <c r="W3879" s="4"/>
      <c r="X3879" s="4"/>
      <c r="Y3879" s="4"/>
    </row>
    <row r="3880" spans="5:25">
      <c r="E3880"/>
      <c r="G3880"/>
      <c r="H3880"/>
      <c r="I3880"/>
      <c r="K3880"/>
      <c r="O3880"/>
      <c r="R3880"/>
      <c r="W3880" s="4"/>
      <c r="X3880" s="4"/>
      <c r="Y3880" s="4"/>
    </row>
    <row r="3881" spans="5:25">
      <c r="E3881"/>
      <c r="G3881"/>
      <c r="H3881"/>
      <c r="I3881"/>
      <c r="K3881"/>
      <c r="O3881"/>
      <c r="R3881"/>
      <c r="W3881" s="4"/>
      <c r="X3881" s="4"/>
      <c r="Y3881" s="4"/>
    </row>
    <row r="3882" spans="5:25">
      <c r="E3882"/>
      <c r="G3882"/>
      <c r="H3882"/>
      <c r="I3882"/>
      <c r="K3882"/>
      <c r="O3882"/>
      <c r="R3882"/>
      <c r="W3882" s="4"/>
      <c r="X3882" s="4"/>
      <c r="Y3882" s="4"/>
    </row>
    <row r="3883" spans="5:25">
      <c r="E3883"/>
      <c r="G3883"/>
      <c r="H3883"/>
      <c r="I3883"/>
      <c r="K3883"/>
      <c r="O3883"/>
      <c r="R3883"/>
      <c r="W3883" s="4"/>
      <c r="X3883" s="4"/>
      <c r="Y3883" s="4"/>
    </row>
    <row r="3884" spans="5:25">
      <c r="E3884"/>
      <c r="G3884"/>
      <c r="H3884"/>
      <c r="I3884"/>
      <c r="K3884"/>
      <c r="O3884"/>
      <c r="R3884"/>
      <c r="W3884" s="4"/>
      <c r="X3884" s="4"/>
      <c r="Y3884" s="4"/>
    </row>
    <row r="3885" spans="5:25">
      <c r="E3885"/>
      <c r="G3885"/>
      <c r="H3885"/>
      <c r="I3885"/>
      <c r="K3885"/>
      <c r="O3885"/>
      <c r="R3885"/>
      <c r="W3885" s="4"/>
      <c r="X3885" s="4"/>
      <c r="Y3885" s="4"/>
    </row>
    <row r="3886" spans="5:25">
      <c r="E3886"/>
      <c r="G3886"/>
      <c r="H3886"/>
      <c r="I3886"/>
      <c r="K3886"/>
      <c r="O3886"/>
      <c r="R3886"/>
      <c r="W3886" s="4"/>
      <c r="X3886" s="4"/>
      <c r="Y3886" s="4"/>
    </row>
    <row r="3887" spans="5:25">
      <c r="E3887"/>
      <c r="G3887"/>
      <c r="H3887"/>
      <c r="I3887"/>
      <c r="K3887"/>
      <c r="O3887"/>
      <c r="R3887"/>
      <c r="W3887" s="4"/>
      <c r="X3887" s="4"/>
      <c r="Y3887" s="4"/>
    </row>
    <row r="3888" spans="5:25">
      <c r="E3888"/>
      <c r="G3888"/>
      <c r="H3888"/>
      <c r="I3888"/>
      <c r="K3888"/>
      <c r="O3888"/>
      <c r="R3888"/>
      <c r="W3888" s="4"/>
      <c r="X3888" s="4"/>
      <c r="Y3888" s="4"/>
    </row>
    <row r="3889" spans="5:25">
      <c r="E3889"/>
      <c r="G3889"/>
      <c r="H3889"/>
      <c r="I3889"/>
      <c r="K3889"/>
      <c r="O3889"/>
      <c r="R3889"/>
      <c r="W3889" s="4"/>
      <c r="X3889" s="4"/>
      <c r="Y3889" s="4"/>
    </row>
    <row r="3890" spans="5:25">
      <c r="E3890"/>
      <c r="G3890"/>
      <c r="H3890"/>
      <c r="I3890"/>
      <c r="K3890"/>
      <c r="O3890"/>
      <c r="R3890"/>
      <c r="W3890" s="4"/>
      <c r="X3890" s="4"/>
      <c r="Y3890" s="4"/>
    </row>
    <row r="3891" spans="5:25">
      <c r="E3891"/>
      <c r="G3891"/>
      <c r="H3891"/>
      <c r="I3891"/>
      <c r="K3891"/>
      <c r="O3891"/>
      <c r="R3891"/>
      <c r="W3891" s="4"/>
      <c r="X3891" s="4"/>
      <c r="Y3891" s="4"/>
    </row>
    <row r="3892" spans="5:25">
      <c r="E3892"/>
      <c r="G3892"/>
      <c r="H3892"/>
      <c r="I3892"/>
      <c r="K3892"/>
      <c r="O3892"/>
      <c r="R3892"/>
      <c r="W3892" s="4"/>
      <c r="X3892" s="4"/>
      <c r="Y3892" s="4"/>
    </row>
    <row r="3893" spans="5:25">
      <c r="E3893"/>
      <c r="G3893"/>
      <c r="H3893"/>
      <c r="I3893"/>
      <c r="K3893"/>
      <c r="O3893"/>
      <c r="R3893"/>
      <c r="W3893" s="4"/>
      <c r="X3893" s="4"/>
      <c r="Y3893" s="4"/>
    </row>
    <row r="3894" spans="5:25">
      <c r="E3894"/>
      <c r="G3894"/>
      <c r="H3894"/>
      <c r="I3894"/>
      <c r="K3894"/>
      <c r="O3894"/>
      <c r="R3894"/>
      <c r="W3894" s="4"/>
      <c r="X3894" s="4"/>
      <c r="Y3894" s="4"/>
    </row>
    <row r="3895" spans="5:25">
      <c r="E3895"/>
      <c r="G3895"/>
      <c r="H3895"/>
      <c r="I3895"/>
      <c r="K3895"/>
      <c r="O3895"/>
      <c r="R3895"/>
      <c r="W3895" s="4"/>
      <c r="X3895" s="4"/>
      <c r="Y3895" s="4"/>
    </row>
    <row r="3896" spans="5:25">
      <c r="E3896"/>
      <c r="G3896"/>
      <c r="H3896"/>
      <c r="I3896"/>
      <c r="K3896"/>
      <c r="O3896"/>
      <c r="R3896"/>
      <c r="W3896" s="4"/>
      <c r="X3896" s="4"/>
      <c r="Y3896" s="4"/>
    </row>
    <row r="3897" spans="5:25">
      <c r="E3897"/>
      <c r="G3897"/>
      <c r="H3897"/>
      <c r="I3897"/>
      <c r="K3897"/>
      <c r="O3897"/>
      <c r="R3897"/>
      <c r="W3897" s="4"/>
      <c r="X3897" s="4"/>
      <c r="Y3897" s="4"/>
    </row>
    <row r="3898" spans="5:25">
      <c r="E3898"/>
      <c r="G3898"/>
      <c r="H3898"/>
      <c r="I3898"/>
      <c r="K3898"/>
      <c r="O3898"/>
      <c r="R3898"/>
      <c r="W3898" s="4"/>
      <c r="X3898" s="4"/>
      <c r="Y3898" s="4"/>
    </row>
    <row r="3899" spans="5:25">
      <c r="E3899"/>
      <c r="G3899"/>
      <c r="H3899"/>
      <c r="I3899"/>
      <c r="K3899"/>
      <c r="O3899"/>
      <c r="R3899"/>
      <c r="W3899" s="4"/>
      <c r="X3899" s="4"/>
      <c r="Y3899" s="4"/>
    </row>
    <row r="3900" spans="5:25">
      <c r="E3900"/>
      <c r="G3900"/>
      <c r="H3900"/>
      <c r="I3900"/>
      <c r="K3900"/>
      <c r="O3900"/>
      <c r="R3900"/>
      <c r="W3900" s="4"/>
      <c r="X3900" s="4"/>
      <c r="Y3900" s="4"/>
    </row>
    <row r="3901" spans="5:25">
      <c r="E3901"/>
      <c r="G3901"/>
      <c r="H3901"/>
      <c r="I3901"/>
      <c r="K3901"/>
      <c r="O3901"/>
      <c r="R3901"/>
      <c r="W3901" s="4"/>
      <c r="X3901" s="4"/>
      <c r="Y3901" s="4"/>
    </row>
    <row r="3902" spans="5:25">
      <c r="E3902"/>
      <c r="G3902"/>
      <c r="H3902"/>
      <c r="I3902"/>
      <c r="K3902"/>
      <c r="O3902"/>
      <c r="R3902"/>
      <c r="W3902" s="4"/>
      <c r="X3902" s="4"/>
      <c r="Y3902" s="4"/>
    </row>
    <row r="3903" spans="5:25">
      <c r="E3903"/>
      <c r="G3903"/>
      <c r="H3903"/>
      <c r="I3903"/>
      <c r="K3903"/>
      <c r="O3903"/>
      <c r="R3903"/>
      <c r="W3903" s="4"/>
      <c r="X3903" s="4"/>
      <c r="Y3903" s="4"/>
    </row>
    <row r="3904" spans="5:25">
      <c r="E3904"/>
      <c r="G3904"/>
      <c r="H3904"/>
      <c r="I3904"/>
      <c r="K3904"/>
      <c r="O3904"/>
      <c r="R3904"/>
      <c r="W3904" s="4"/>
      <c r="X3904" s="4"/>
      <c r="Y3904" s="4"/>
    </row>
    <row r="3905" spans="5:25">
      <c r="E3905"/>
      <c r="G3905"/>
      <c r="H3905"/>
      <c r="I3905"/>
      <c r="K3905"/>
      <c r="O3905"/>
      <c r="R3905"/>
      <c r="W3905" s="4"/>
      <c r="X3905" s="4"/>
      <c r="Y3905" s="4"/>
    </row>
    <row r="3906" spans="5:25">
      <c r="E3906"/>
      <c r="G3906"/>
      <c r="H3906"/>
      <c r="I3906"/>
      <c r="K3906"/>
      <c r="O3906"/>
      <c r="R3906"/>
      <c r="W3906" s="4"/>
      <c r="X3906" s="4"/>
      <c r="Y3906" s="4"/>
    </row>
    <row r="3907" spans="5:25">
      <c r="E3907"/>
      <c r="G3907"/>
      <c r="H3907"/>
      <c r="I3907"/>
      <c r="K3907"/>
      <c r="O3907"/>
      <c r="R3907"/>
      <c r="W3907" s="4"/>
      <c r="X3907" s="4"/>
      <c r="Y3907" s="4"/>
    </row>
    <row r="3908" spans="5:25">
      <c r="E3908"/>
      <c r="G3908"/>
      <c r="H3908"/>
      <c r="I3908"/>
      <c r="K3908"/>
      <c r="O3908"/>
      <c r="R3908"/>
      <c r="W3908" s="4"/>
      <c r="X3908" s="4"/>
      <c r="Y3908" s="4"/>
    </row>
    <row r="3909" spans="5:25">
      <c r="E3909"/>
      <c r="G3909"/>
      <c r="H3909"/>
      <c r="I3909"/>
      <c r="K3909"/>
      <c r="O3909"/>
      <c r="R3909"/>
      <c r="W3909" s="4"/>
      <c r="X3909" s="4"/>
      <c r="Y3909" s="4"/>
    </row>
    <row r="3910" spans="5:25">
      <c r="E3910"/>
      <c r="G3910"/>
      <c r="H3910"/>
      <c r="I3910"/>
      <c r="K3910"/>
      <c r="O3910"/>
      <c r="R3910"/>
      <c r="W3910" s="4"/>
      <c r="X3910" s="4"/>
      <c r="Y3910" s="4"/>
    </row>
    <row r="3911" spans="5:25">
      <c r="E3911"/>
      <c r="G3911"/>
      <c r="H3911"/>
      <c r="I3911"/>
      <c r="K3911"/>
      <c r="O3911"/>
      <c r="R3911"/>
      <c r="W3911" s="4"/>
      <c r="X3911" s="4"/>
      <c r="Y3911" s="4"/>
    </row>
    <row r="3912" spans="5:25">
      <c r="E3912"/>
      <c r="G3912"/>
      <c r="H3912"/>
      <c r="I3912"/>
      <c r="K3912"/>
      <c r="O3912"/>
      <c r="R3912"/>
      <c r="W3912" s="4"/>
      <c r="X3912" s="4"/>
      <c r="Y3912" s="4"/>
    </row>
    <row r="3913" spans="5:25">
      <c r="E3913"/>
      <c r="G3913"/>
      <c r="H3913"/>
      <c r="I3913"/>
      <c r="K3913"/>
      <c r="O3913"/>
      <c r="R3913"/>
      <c r="W3913" s="4"/>
      <c r="X3913" s="4"/>
      <c r="Y3913" s="4"/>
    </row>
    <row r="3914" spans="5:25">
      <c r="E3914"/>
      <c r="G3914"/>
      <c r="H3914"/>
      <c r="I3914"/>
      <c r="K3914"/>
      <c r="O3914"/>
      <c r="R3914"/>
      <c r="W3914" s="4"/>
      <c r="X3914" s="4"/>
      <c r="Y3914" s="4"/>
    </row>
    <row r="3915" spans="5:25">
      <c r="E3915"/>
      <c r="G3915"/>
      <c r="H3915"/>
      <c r="I3915"/>
      <c r="K3915"/>
      <c r="O3915"/>
      <c r="R3915"/>
      <c r="W3915" s="4"/>
      <c r="X3915" s="4"/>
      <c r="Y3915" s="4"/>
    </row>
    <row r="3916" spans="5:25">
      <c r="E3916"/>
      <c r="G3916"/>
      <c r="H3916"/>
      <c r="I3916"/>
      <c r="K3916"/>
      <c r="O3916"/>
      <c r="R3916"/>
      <c r="W3916" s="4"/>
      <c r="X3916" s="4"/>
      <c r="Y3916" s="4"/>
    </row>
    <row r="3917" spans="5:25">
      <c r="E3917"/>
      <c r="G3917"/>
      <c r="H3917"/>
      <c r="I3917"/>
      <c r="K3917"/>
      <c r="O3917"/>
      <c r="R3917"/>
      <c r="W3917" s="4"/>
      <c r="X3917" s="4"/>
      <c r="Y3917" s="4"/>
    </row>
    <row r="3918" spans="5:25">
      <c r="E3918"/>
      <c r="G3918"/>
      <c r="H3918"/>
      <c r="I3918"/>
      <c r="K3918"/>
      <c r="O3918"/>
      <c r="R3918"/>
      <c r="W3918" s="4"/>
      <c r="X3918" s="4"/>
      <c r="Y3918" s="4"/>
    </row>
    <row r="3919" spans="5:25">
      <c r="E3919"/>
      <c r="G3919"/>
      <c r="H3919"/>
      <c r="I3919"/>
      <c r="K3919"/>
      <c r="O3919"/>
      <c r="R3919"/>
      <c r="W3919" s="4"/>
      <c r="X3919" s="4"/>
      <c r="Y3919" s="4"/>
    </row>
    <row r="3920" spans="5:25">
      <c r="E3920"/>
      <c r="G3920"/>
      <c r="H3920"/>
      <c r="I3920"/>
      <c r="K3920"/>
      <c r="O3920"/>
      <c r="R3920"/>
      <c r="W3920" s="4"/>
      <c r="X3920" s="4"/>
      <c r="Y3920" s="4"/>
    </row>
    <row r="3921" spans="5:25">
      <c r="E3921"/>
      <c r="G3921"/>
      <c r="H3921"/>
      <c r="I3921"/>
      <c r="K3921"/>
      <c r="O3921"/>
      <c r="R3921"/>
      <c r="W3921" s="4"/>
      <c r="X3921" s="4"/>
      <c r="Y3921" s="4"/>
    </row>
    <row r="3922" spans="5:25">
      <c r="E3922"/>
      <c r="G3922"/>
      <c r="H3922"/>
      <c r="I3922"/>
      <c r="K3922"/>
      <c r="O3922"/>
      <c r="R3922"/>
      <c r="W3922" s="4"/>
      <c r="X3922" s="4"/>
      <c r="Y3922" s="4"/>
    </row>
    <row r="3923" spans="5:25">
      <c r="E3923"/>
      <c r="G3923"/>
      <c r="H3923"/>
      <c r="I3923"/>
      <c r="K3923"/>
      <c r="O3923"/>
      <c r="R3923"/>
      <c r="W3923" s="4"/>
      <c r="X3923" s="4"/>
      <c r="Y3923" s="4"/>
    </row>
    <row r="3924" spans="5:25">
      <c r="E3924"/>
      <c r="G3924"/>
      <c r="H3924"/>
      <c r="I3924"/>
      <c r="K3924"/>
      <c r="O3924"/>
      <c r="R3924"/>
      <c r="W3924" s="4"/>
      <c r="X3924" s="4"/>
      <c r="Y3924" s="4"/>
    </row>
    <row r="3925" spans="5:25">
      <c r="E3925"/>
      <c r="G3925"/>
      <c r="H3925"/>
      <c r="I3925"/>
      <c r="K3925"/>
      <c r="O3925"/>
      <c r="R3925"/>
      <c r="W3925" s="4"/>
      <c r="X3925" s="4"/>
      <c r="Y3925" s="4"/>
    </row>
    <row r="3926" spans="5:25">
      <c r="E3926"/>
      <c r="G3926"/>
      <c r="H3926"/>
      <c r="I3926"/>
      <c r="K3926"/>
      <c r="O3926"/>
      <c r="R3926"/>
      <c r="W3926" s="4"/>
      <c r="X3926" s="4"/>
      <c r="Y3926" s="4"/>
    </row>
    <row r="3927" spans="5:25">
      <c r="E3927"/>
      <c r="G3927"/>
      <c r="H3927"/>
      <c r="I3927"/>
      <c r="K3927"/>
      <c r="O3927"/>
      <c r="R3927"/>
      <c r="W3927" s="4"/>
      <c r="X3927" s="4"/>
      <c r="Y3927" s="4"/>
    </row>
    <row r="3928" spans="5:25">
      <c r="E3928"/>
      <c r="G3928"/>
      <c r="H3928"/>
      <c r="I3928"/>
      <c r="K3928"/>
      <c r="O3928"/>
      <c r="R3928"/>
      <c r="W3928" s="4"/>
      <c r="X3928" s="4"/>
      <c r="Y3928" s="4"/>
    </row>
    <row r="3929" spans="5:25">
      <c r="E3929"/>
      <c r="G3929"/>
      <c r="H3929"/>
      <c r="I3929"/>
      <c r="K3929"/>
      <c r="O3929"/>
      <c r="R3929"/>
      <c r="W3929" s="4"/>
      <c r="X3929" s="4"/>
      <c r="Y3929" s="4"/>
    </row>
    <row r="3930" spans="5:25">
      <c r="E3930"/>
      <c r="G3930"/>
      <c r="H3930"/>
      <c r="I3930"/>
      <c r="K3930"/>
      <c r="O3930"/>
      <c r="R3930"/>
      <c r="W3930" s="4"/>
      <c r="X3930" s="4"/>
      <c r="Y3930" s="4"/>
    </row>
    <row r="3931" spans="5:25">
      <c r="E3931"/>
      <c r="G3931"/>
      <c r="H3931"/>
      <c r="I3931"/>
      <c r="K3931"/>
      <c r="O3931"/>
      <c r="R3931"/>
      <c r="W3931" s="4"/>
      <c r="X3931" s="4"/>
      <c r="Y3931" s="4"/>
    </row>
    <row r="3932" spans="5:25">
      <c r="E3932"/>
      <c r="G3932"/>
      <c r="H3932"/>
      <c r="I3932"/>
      <c r="K3932"/>
      <c r="O3932"/>
      <c r="R3932"/>
      <c r="W3932" s="4"/>
      <c r="X3932" s="4"/>
      <c r="Y3932" s="4"/>
    </row>
    <row r="3933" spans="5:25">
      <c r="E3933"/>
      <c r="G3933"/>
      <c r="H3933"/>
      <c r="I3933"/>
      <c r="K3933"/>
      <c r="O3933"/>
      <c r="R3933"/>
      <c r="W3933" s="4"/>
      <c r="X3933" s="4"/>
      <c r="Y3933" s="4"/>
    </row>
    <row r="3934" spans="5:25">
      <c r="E3934"/>
      <c r="G3934"/>
      <c r="H3934"/>
      <c r="I3934"/>
      <c r="K3934"/>
      <c r="O3934"/>
      <c r="R3934"/>
      <c r="W3934" s="4"/>
      <c r="X3934" s="4"/>
      <c r="Y3934" s="4"/>
    </row>
    <row r="3935" spans="5:25">
      <c r="E3935"/>
      <c r="G3935"/>
      <c r="H3935"/>
      <c r="I3935"/>
      <c r="K3935"/>
      <c r="O3935"/>
      <c r="R3935"/>
      <c r="W3935" s="4"/>
      <c r="X3935" s="4"/>
      <c r="Y3935" s="4"/>
    </row>
    <row r="3936" spans="5:25">
      <c r="E3936"/>
      <c r="G3936"/>
      <c r="H3936"/>
      <c r="I3936"/>
      <c r="K3936"/>
      <c r="O3936"/>
      <c r="R3936"/>
      <c r="W3936" s="4"/>
      <c r="X3936" s="4"/>
      <c r="Y3936" s="4"/>
    </row>
    <row r="3937" spans="5:25">
      <c r="E3937"/>
      <c r="G3937"/>
      <c r="H3937"/>
      <c r="I3937"/>
      <c r="K3937"/>
      <c r="O3937"/>
      <c r="R3937"/>
      <c r="W3937" s="4"/>
      <c r="X3937" s="4"/>
      <c r="Y3937" s="4"/>
    </row>
    <row r="3938" spans="5:25">
      <c r="E3938"/>
      <c r="G3938"/>
      <c r="H3938"/>
      <c r="I3938"/>
      <c r="K3938"/>
      <c r="O3938"/>
      <c r="R3938"/>
      <c r="W3938" s="4"/>
      <c r="X3938" s="4"/>
      <c r="Y3938" s="4"/>
    </row>
    <row r="3939" spans="5:25">
      <c r="E3939"/>
      <c r="G3939"/>
      <c r="H3939"/>
      <c r="I3939"/>
      <c r="K3939"/>
      <c r="O3939"/>
      <c r="R3939"/>
      <c r="W3939" s="4"/>
      <c r="X3939" s="4"/>
      <c r="Y3939" s="4"/>
    </row>
    <row r="3940" spans="5:25">
      <c r="E3940"/>
      <c r="G3940"/>
      <c r="H3940"/>
      <c r="I3940"/>
      <c r="K3940"/>
      <c r="O3940"/>
      <c r="R3940"/>
      <c r="W3940" s="4"/>
      <c r="X3940" s="4"/>
      <c r="Y3940" s="4"/>
    </row>
    <row r="3941" spans="5:25">
      <c r="E3941"/>
      <c r="G3941"/>
      <c r="H3941"/>
      <c r="I3941"/>
      <c r="K3941"/>
      <c r="O3941"/>
      <c r="R3941"/>
      <c r="W3941" s="4"/>
      <c r="X3941" s="4"/>
      <c r="Y3941" s="4"/>
    </row>
    <row r="3942" spans="5:25">
      <c r="E3942"/>
      <c r="G3942"/>
      <c r="H3942"/>
      <c r="I3942"/>
      <c r="K3942"/>
      <c r="O3942"/>
      <c r="R3942"/>
      <c r="W3942" s="4"/>
      <c r="X3942" s="4"/>
      <c r="Y3942" s="4"/>
    </row>
    <row r="3943" spans="5:25">
      <c r="E3943"/>
      <c r="G3943"/>
      <c r="H3943"/>
      <c r="I3943"/>
      <c r="K3943"/>
      <c r="O3943"/>
      <c r="R3943"/>
      <c r="W3943" s="4"/>
      <c r="X3943" s="4"/>
      <c r="Y3943" s="4"/>
    </row>
    <row r="3944" spans="5:25">
      <c r="E3944"/>
      <c r="G3944"/>
      <c r="H3944"/>
      <c r="I3944"/>
      <c r="K3944"/>
      <c r="O3944"/>
      <c r="R3944"/>
      <c r="W3944" s="4"/>
      <c r="X3944" s="4"/>
      <c r="Y3944" s="4"/>
    </row>
    <row r="3945" spans="5:25">
      <c r="E3945"/>
      <c r="G3945"/>
      <c r="H3945"/>
      <c r="I3945"/>
      <c r="K3945"/>
      <c r="O3945"/>
      <c r="R3945"/>
      <c r="W3945" s="4"/>
      <c r="X3945" s="4"/>
      <c r="Y3945" s="4"/>
    </row>
    <row r="3946" spans="5:25">
      <c r="E3946"/>
      <c r="G3946"/>
      <c r="H3946"/>
      <c r="I3946"/>
      <c r="K3946"/>
      <c r="O3946"/>
      <c r="R3946"/>
      <c r="W3946" s="4"/>
      <c r="X3946" s="4"/>
      <c r="Y3946" s="4"/>
    </row>
    <row r="3947" spans="5:25">
      <c r="E3947"/>
      <c r="G3947"/>
      <c r="H3947"/>
      <c r="I3947"/>
      <c r="K3947"/>
      <c r="O3947"/>
      <c r="R3947"/>
      <c r="W3947" s="4"/>
      <c r="X3947" s="4"/>
      <c r="Y3947" s="4"/>
    </row>
    <row r="3948" spans="5:25">
      <c r="E3948"/>
      <c r="G3948"/>
      <c r="H3948"/>
      <c r="I3948"/>
      <c r="K3948"/>
      <c r="O3948"/>
      <c r="R3948"/>
      <c r="W3948" s="4"/>
      <c r="X3948" s="4"/>
      <c r="Y3948" s="4"/>
    </row>
    <row r="3949" spans="5:25">
      <c r="E3949"/>
      <c r="G3949"/>
      <c r="H3949"/>
      <c r="I3949"/>
      <c r="K3949"/>
      <c r="O3949"/>
      <c r="R3949"/>
      <c r="W3949" s="4"/>
      <c r="X3949" s="4"/>
      <c r="Y3949" s="4"/>
    </row>
    <row r="3950" spans="5:25">
      <c r="E3950"/>
      <c r="G3950"/>
      <c r="H3950"/>
      <c r="I3950"/>
      <c r="K3950"/>
      <c r="O3950"/>
      <c r="R3950"/>
      <c r="W3950" s="4"/>
      <c r="X3950" s="4"/>
      <c r="Y3950" s="4"/>
    </row>
    <row r="3951" spans="5:25">
      <c r="E3951"/>
      <c r="G3951"/>
      <c r="H3951"/>
      <c r="I3951"/>
      <c r="K3951"/>
      <c r="O3951"/>
      <c r="R3951"/>
      <c r="W3951" s="4"/>
      <c r="X3951" s="4"/>
      <c r="Y3951" s="4"/>
    </row>
    <row r="3952" spans="5:25">
      <c r="E3952"/>
      <c r="G3952"/>
      <c r="H3952"/>
      <c r="I3952"/>
      <c r="K3952"/>
      <c r="O3952"/>
      <c r="R3952"/>
      <c r="W3952" s="4"/>
      <c r="X3952" s="4"/>
      <c r="Y3952" s="4"/>
    </row>
    <row r="3953" spans="5:25">
      <c r="E3953"/>
      <c r="G3953"/>
      <c r="H3953"/>
      <c r="I3953"/>
      <c r="K3953"/>
      <c r="O3953"/>
      <c r="R3953"/>
      <c r="W3953" s="4"/>
      <c r="X3953" s="4"/>
      <c r="Y3953" s="4"/>
    </row>
    <row r="3954" spans="5:25">
      <c r="E3954"/>
      <c r="G3954"/>
      <c r="H3954"/>
      <c r="I3954"/>
      <c r="K3954"/>
      <c r="O3954"/>
      <c r="R3954"/>
      <c r="W3954" s="4"/>
      <c r="X3954" s="4"/>
      <c r="Y3954" s="4"/>
    </row>
    <row r="3955" spans="5:25">
      <c r="E3955"/>
      <c r="G3955"/>
      <c r="H3955"/>
      <c r="I3955"/>
      <c r="K3955"/>
      <c r="O3955"/>
      <c r="R3955"/>
      <c r="W3955" s="4"/>
      <c r="X3955" s="4"/>
      <c r="Y3955" s="4"/>
    </row>
    <row r="3956" spans="5:25">
      <c r="E3956"/>
      <c r="G3956"/>
      <c r="H3956"/>
      <c r="I3956"/>
      <c r="K3956"/>
      <c r="O3956"/>
      <c r="R3956"/>
      <c r="W3956" s="4"/>
      <c r="X3956" s="4"/>
      <c r="Y3956" s="4"/>
    </row>
    <row r="3957" spans="5:25">
      <c r="E3957"/>
      <c r="G3957"/>
      <c r="H3957"/>
      <c r="I3957"/>
      <c r="K3957"/>
      <c r="O3957"/>
      <c r="R3957"/>
      <c r="W3957" s="4"/>
      <c r="X3957" s="4"/>
      <c r="Y3957" s="4"/>
    </row>
    <row r="3958" spans="5:25">
      <c r="E3958"/>
      <c r="G3958"/>
      <c r="H3958"/>
      <c r="I3958"/>
      <c r="K3958"/>
      <c r="O3958"/>
      <c r="R3958"/>
      <c r="W3958" s="4"/>
      <c r="X3958" s="4"/>
      <c r="Y3958" s="4"/>
    </row>
    <row r="3959" spans="5:25">
      <c r="E3959"/>
      <c r="G3959"/>
      <c r="H3959"/>
      <c r="I3959"/>
      <c r="K3959"/>
      <c r="O3959"/>
      <c r="R3959"/>
      <c r="W3959" s="4"/>
      <c r="X3959" s="4"/>
      <c r="Y3959" s="4"/>
    </row>
    <row r="3960" spans="5:25">
      <c r="E3960"/>
      <c r="G3960"/>
      <c r="H3960"/>
      <c r="I3960"/>
      <c r="K3960"/>
      <c r="O3960"/>
      <c r="R3960"/>
      <c r="W3960" s="4"/>
      <c r="X3960" s="4"/>
      <c r="Y3960" s="4"/>
    </row>
    <row r="3961" spans="5:25">
      <c r="E3961"/>
      <c r="G3961"/>
      <c r="H3961"/>
      <c r="I3961"/>
      <c r="K3961"/>
      <c r="O3961"/>
      <c r="R3961"/>
      <c r="W3961" s="4"/>
      <c r="X3961" s="4"/>
      <c r="Y3961" s="4"/>
    </row>
    <row r="3962" spans="5:25">
      <c r="E3962"/>
      <c r="G3962"/>
      <c r="H3962"/>
      <c r="I3962"/>
      <c r="K3962"/>
      <c r="O3962"/>
      <c r="R3962"/>
      <c r="W3962" s="4"/>
      <c r="X3962" s="4"/>
      <c r="Y3962" s="4"/>
    </row>
    <row r="3963" spans="5:25">
      <c r="E3963"/>
      <c r="G3963"/>
      <c r="H3963"/>
      <c r="I3963"/>
      <c r="K3963"/>
      <c r="O3963"/>
      <c r="R3963"/>
      <c r="W3963" s="4"/>
      <c r="X3963" s="4"/>
      <c r="Y3963" s="4"/>
    </row>
    <row r="3964" spans="5:25">
      <c r="E3964"/>
      <c r="G3964"/>
      <c r="H3964"/>
      <c r="I3964"/>
      <c r="K3964"/>
      <c r="O3964"/>
      <c r="R3964"/>
      <c r="W3964" s="4"/>
      <c r="X3964" s="4"/>
      <c r="Y3964" s="4"/>
    </row>
    <row r="3965" spans="5:25">
      <c r="E3965"/>
      <c r="G3965"/>
      <c r="H3965"/>
      <c r="I3965"/>
      <c r="K3965"/>
      <c r="O3965"/>
      <c r="R3965"/>
      <c r="W3965" s="4"/>
      <c r="X3965" s="4"/>
      <c r="Y3965" s="4"/>
    </row>
    <row r="3966" spans="5:25">
      <c r="E3966"/>
      <c r="G3966"/>
      <c r="H3966"/>
      <c r="I3966"/>
      <c r="K3966"/>
      <c r="O3966"/>
      <c r="R3966"/>
      <c r="W3966" s="4"/>
      <c r="X3966" s="4"/>
      <c r="Y3966" s="4"/>
    </row>
    <row r="3967" spans="5:25">
      <c r="E3967"/>
      <c r="G3967"/>
      <c r="H3967"/>
      <c r="I3967"/>
      <c r="K3967"/>
      <c r="O3967"/>
      <c r="R3967"/>
      <c r="W3967" s="4"/>
      <c r="X3967" s="4"/>
      <c r="Y3967" s="4"/>
    </row>
    <row r="3968" spans="5:25">
      <c r="E3968"/>
      <c r="G3968"/>
      <c r="H3968"/>
      <c r="I3968"/>
      <c r="K3968"/>
      <c r="O3968"/>
      <c r="R3968"/>
      <c r="W3968" s="4"/>
      <c r="X3968" s="4"/>
      <c r="Y3968" s="4"/>
    </row>
    <row r="3969" spans="5:25">
      <c r="E3969"/>
      <c r="G3969"/>
      <c r="H3969"/>
      <c r="I3969"/>
      <c r="K3969"/>
      <c r="O3969"/>
      <c r="R3969"/>
      <c r="W3969" s="4"/>
      <c r="X3969" s="4"/>
      <c r="Y3969" s="4"/>
    </row>
    <row r="3970" spans="5:25">
      <c r="E3970"/>
      <c r="G3970"/>
      <c r="H3970"/>
      <c r="I3970"/>
      <c r="K3970"/>
      <c r="O3970"/>
      <c r="R3970"/>
      <c r="W3970" s="4"/>
      <c r="X3970" s="4"/>
      <c r="Y3970" s="4"/>
    </row>
    <row r="3971" spans="5:25">
      <c r="E3971"/>
      <c r="G3971"/>
      <c r="H3971"/>
      <c r="I3971"/>
      <c r="K3971"/>
      <c r="O3971"/>
      <c r="R3971"/>
      <c r="W3971" s="4"/>
      <c r="X3971" s="4"/>
      <c r="Y3971" s="4"/>
    </row>
    <row r="3972" spans="5:25">
      <c r="E3972"/>
      <c r="G3972"/>
      <c r="H3972"/>
      <c r="I3972"/>
      <c r="K3972"/>
      <c r="O3972"/>
      <c r="R3972"/>
      <c r="W3972" s="4"/>
      <c r="X3972" s="4"/>
      <c r="Y3972" s="4"/>
    </row>
    <row r="3973" spans="5:25">
      <c r="E3973"/>
      <c r="G3973"/>
      <c r="H3973"/>
      <c r="I3973"/>
      <c r="K3973"/>
      <c r="O3973"/>
      <c r="R3973"/>
      <c r="W3973" s="4"/>
      <c r="X3973" s="4"/>
      <c r="Y3973" s="4"/>
    </row>
    <row r="3974" spans="5:25">
      <c r="E3974"/>
      <c r="G3974"/>
      <c r="H3974"/>
      <c r="I3974"/>
      <c r="K3974"/>
      <c r="O3974"/>
      <c r="R3974"/>
      <c r="W3974" s="4"/>
      <c r="X3974" s="4"/>
      <c r="Y3974" s="4"/>
    </row>
    <row r="3975" spans="5:25">
      <c r="E3975"/>
      <c r="G3975"/>
      <c r="H3975"/>
      <c r="I3975"/>
      <c r="K3975"/>
      <c r="O3975"/>
      <c r="R3975"/>
      <c r="W3975" s="4"/>
      <c r="X3975" s="4"/>
      <c r="Y3975" s="4"/>
    </row>
    <row r="3976" spans="5:25">
      <c r="E3976"/>
      <c r="G3976"/>
      <c r="H3976"/>
      <c r="I3976"/>
      <c r="K3976"/>
      <c r="O3976"/>
      <c r="R3976"/>
      <c r="W3976" s="4"/>
      <c r="X3976" s="4"/>
      <c r="Y3976" s="4"/>
    </row>
    <row r="3977" spans="5:25">
      <c r="E3977"/>
      <c r="G3977"/>
      <c r="H3977"/>
      <c r="I3977"/>
      <c r="K3977"/>
      <c r="O3977"/>
      <c r="R3977"/>
      <c r="W3977" s="4"/>
      <c r="X3977" s="4"/>
      <c r="Y3977" s="4"/>
    </row>
    <row r="3978" spans="5:25">
      <c r="E3978"/>
      <c r="G3978"/>
      <c r="H3978"/>
      <c r="I3978"/>
      <c r="K3978"/>
      <c r="O3978"/>
      <c r="R3978"/>
      <c r="W3978" s="4"/>
      <c r="X3978" s="4"/>
      <c r="Y3978" s="4"/>
    </row>
    <row r="3979" spans="5:25">
      <c r="E3979"/>
      <c r="G3979"/>
      <c r="H3979"/>
      <c r="I3979"/>
      <c r="K3979"/>
      <c r="O3979"/>
      <c r="R3979"/>
      <c r="W3979" s="4"/>
      <c r="X3979" s="4"/>
      <c r="Y3979" s="4"/>
    </row>
    <row r="3980" spans="5:25">
      <c r="E3980"/>
      <c r="G3980"/>
      <c r="H3980"/>
      <c r="I3980"/>
      <c r="K3980"/>
      <c r="O3980"/>
      <c r="R3980"/>
      <c r="W3980" s="4"/>
      <c r="X3980" s="4"/>
      <c r="Y3980" s="4"/>
    </row>
    <row r="3981" spans="5:25">
      <c r="E3981"/>
      <c r="G3981"/>
      <c r="H3981"/>
      <c r="I3981"/>
      <c r="K3981"/>
      <c r="O3981"/>
      <c r="R3981"/>
      <c r="W3981" s="4"/>
      <c r="X3981" s="4"/>
      <c r="Y3981" s="4"/>
    </row>
    <row r="3982" spans="5:25">
      <c r="E3982"/>
      <c r="G3982"/>
      <c r="H3982"/>
      <c r="I3982"/>
      <c r="K3982"/>
      <c r="O3982"/>
      <c r="R3982"/>
      <c r="W3982" s="4"/>
      <c r="X3982" s="4"/>
      <c r="Y3982" s="4"/>
    </row>
    <row r="3983" spans="5:25">
      <c r="E3983"/>
      <c r="G3983"/>
      <c r="H3983"/>
      <c r="I3983"/>
      <c r="K3983"/>
      <c r="O3983"/>
      <c r="R3983"/>
      <c r="W3983" s="4"/>
      <c r="X3983" s="4"/>
      <c r="Y3983" s="4"/>
    </row>
    <row r="3984" spans="5:25">
      <c r="E3984"/>
      <c r="G3984"/>
      <c r="H3984"/>
      <c r="I3984"/>
      <c r="K3984"/>
      <c r="O3984"/>
      <c r="R3984"/>
      <c r="W3984" s="4"/>
      <c r="X3984" s="4"/>
      <c r="Y3984" s="4"/>
    </row>
    <row r="3985" spans="5:25">
      <c r="E3985"/>
      <c r="G3985"/>
      <c r="H3985"/>
      <c r="I3985"/>
      <c r="K3985"/>
      <c r="O3985"/>
      <c r="R3985"/>
      <c r="W3985" s="4"/>
      <c r="X3985" s="4"/>
      <c r="Y3985" s="4"/>
    </row>
    <row r="3986" spans="5:25">
      <c r="E3986"/>
      <c r="G3986"/>
      <c r="H3986"/>
      <c r="I3986"/>
      <c r="K3986"/>
      <c r="O3986"/>
      <c r="R3986"/>
      <c r="W3986" s="4"/>
      <c r="X3986" s="4"/>
      <c r="Y3986" s="4"/>
    </row>
    <row r="3987" spans="5:25">
      <c r="E3987"/>
      <c r="G3987"/>
      <c r="H3987"/>
      <c r="I3987"/>
      <c r="K3987"/>
      <c r="O3987"/>
      <c r="R3987"/>
      <c r="W3987" s="4"/>
      <c r="X3987" s="4"/>
      <c r="Y3987" s="4"/>
    </row>
    <row r="3988" spans="5:25">
      <c r="E3988"/>
      <c r="G3988"/>
      <c r="H3988"/>
      <c r="I3988"/>
      <c r="K3988"/>
      <c r="O3988"/>
      <c r="R3988"/>
      <c r="W3988" s="4"/>
      <c r="X3988" s="4"/>
      <c r="Y3988" s="4"/>
    </row>
    <row r="3989" spans="5:25">
      <c r="E3989"/>
      <c r="G3989"/>
      <c r="H3989"/>
      <c r="I3989"/>
      <c r="K3989"/>
      <c r="O3989"/>
      <c r="R3989"/>
      <c r="W3989" s="4"/>
      <c r="X3989" s="4"/>
      <c r="Y3989" s="4"/>
    </row>
    <row r="3990" spans="5:25">
      <c r="E3990"/>
      <c r="G3990"/>
      <c r="H3990"/>
      <c r="I3990"/>
      <c r="K3990"/>
      <c r="O3990"/>
      <c r="R3990"/>
      <c r="W3990" s="4"/>
      <c r="X3990" s="4"/>
      <c r="Y3990" s="4"/>
    </row>
    <row r="3991" spans="5:25">
      <c r="E3991"/>
      <c r="G3991"/>
      <c r="H3991"/>
      <c r="I3991"/>
      <c r="K3991"/>
      <c r="O3991"/>
      <c r="R3991"/>
      <c r="W3991" s="4"/>
      <c r="X3991" s="4"/>
      <c r="Y3991" s="4"/>
    </row>
    <row r="3992" spans="5:25">
      <c r="E3992"/>
      <c r="G3992"/>
      <c r="H3992"/>
      <c r="I3992"/>
      <c r="K3992"/>
      <c r="O3992"/>
      <c r="R3992"/>
      <c r="W3992" s="4"/>
      <c r="X3992" s="4"/>
      <c r="Y3992" s="4"/>
    </row>
    <row r="3993" spans="5:25">
      <c r="E3993"/>
      <c r="G3993"/>
      <c r="H3993"/>
      <c r="I3993"/>
      <c r="K3993"/>
      <c r="O3993"/>
      <c r="R3993"/>
      <c r="W3993" s="4"/>
      <c r="X3993" s="4"/>
      <c r="Y3993" s="4"/>
    </row>
    <row r="3994" spans="5:25">
      <c r="E3994"/>
      <c r="G3994"/>
      <c r="H3994"/>
      <c r="I3994"/>
      <c r="K3994"/>
      <c r="O3994"/>
      <c r="R3994"/>
      <c r="W3994" s="4"/>
      <c r="X3994" s="4"/>
      <c r="Y3994" s="4"/>
    </row>
    <row r="3995" spans="5:25">
      <c r="E3995"/>
      <c r="G3995"/>
      <c r="H3995"/>
      <c r="I3995"/>
      <c r="K3995"/>
      <c r="O3995"/>
      <c r="R3995"/>
      <c r="W3995" s="4"/>
      <c r="X3995" s="4"/>
      <c r="Y3995" s="4"/>
    </row>
    <row r="3996" spans="5:25">
      <c r="E3996"/>
      <c r="G3996"/>
      <c r="H3996"/>
      <c r="I3996"/>
      <c r="K3996"/>
      <c r="O3996"/>
      <c r="R3996"/>
      <c r="W3996" s="4"/>
      <c r="X3996" s="4"/>
      <c r="Y3996" s="4"/>
    </row>
    <row r="3997" spans="5:25">
      <c r="E3997"/>
      <c r="G3997"/>
      <c r="H3997"/>
      <c r="I3997"/>
      <c r="K3997"/>
      <c r="O3997"/>
      <c r="R3997"/>
      <c r="W3997" s="4"/>
      <c r="X3997" s="4"/>
      <c r="Y3997" s="4"/>
    </row>
    <row r="3998" spans="5:25">
      <c r="E3998"/>
      <c r="G3998"/>
      <c r="H3998"/>
      <c r="I3998"/>
      <c r="K3998"/>
      <c r="O3998"/>
      <c r="R3998"/>
      <c r="W3998" s="4"/>
      <c r="X3998" s="4"/>
      <c r="Y3998" s="4"/>
    </row>
    <row r="3999" spans="5:25">
      <c r="E3999"/>
      <c r="G3999"/>
      <c r="H3999"/>
      <c r="I3999"/>
      <c r="K3999"/>
      <c r="O3999"/>
      <c r="R3999"/>
      <c r="W3999" s="4"/>
      <c r="X3999" s="4"/>
      <c r="Y3999" s="4"/>
    </row>
    <row r="4000" spans="5:25">
      <c r="E4000"/>
      <c r="G4000"/>
      <c r="H4000"/>
      <c r="I4000"/>
      <c r="K4000"/>
      <c r="O4000"/>
      <c r="R4000"/>
      <c r="W4000" s="4"/>
      <c r="X4000" s="4"/>
      <c r="Y4000" s="4"/>
    </row>
    <row r="4001" spans="5:25">
      <c r="E4001"/>
      <c r="G4001"/>
      <c r="H4001"/>
      <c r="I4001"/>
      <c r="K4001"/>
      <c r="O4001"/>
      <c r="R4001"/>
      <c r="W4001" s="4"/>
      <c r="X4001" s="4"/>
      <c r="Y4001" s="4"/>
    </row>
    <row r="4002" spans="5:25">
      <c r="E4002"/>
      <c r="G4002"/>
      <c r="H4002"/>
      <c r="I4002"/>
      <c r="K4002"/>
      <c r="O4002"/>
      <c r="R4002"/>
      <c r="W4002" s="4"/>
      <c r="X4002" s="4"/>
      <c r="Y4002" s="4"/>
    </row>
    <row r="4003" spans="5:25">
      <c r="E4003"/>
      <c r="G4003"/>
      <c r="H4003"/>
      <c r="I4003"/>
      <c r="K4003"/>
      <c r="O4003"/>
      <c r="R4003"/>
      <c r="W4003" s="4"/>
      <c r="X4003" s="4"/>
      <c r="Y4003" s="4"/>
    </row>
    <row r="4004" spans="5:25">
      <c r="E4004"/>
      <c r="G4004"/>
      <c r="H4004"/>
      <c r="I4004"/>
      <c r="K4004"/>
      <c r="O4004"/>
      <c r="R4004"/>
      <c r="W4004" s="4"/>
      <c r="X4004" s="4"/>
      <c r="Y4004" s="4"/>
    </row>
    <row r="4005" spans="5:25">
      <c r="E4005"/>
      <c r="G4005"/>
      <c r="H4005"/>
      <c r="I4005"/>
      <c r="K4005"/>
      <c r="O4005"/>
      <c r="R4005"/>
      <c r="W4005" s="4"/>
      <c r="X4005" s="4"/>
      <c r="Y4005" s="4"/>
    </row>
    <row r="4006" spans="5:25">
      <c r="E4006"/>
      <c r="G4006"/>
      <c r="H4006"/>
      <c r="I4006"/>
      <c r="K4006"/>
      <c r="O4006"/>
      <c r="R4006"/>
      <c r="W4006" s="4"/>
      <c r="X4006" s="4"/>
      <c r="Y4006" s="4"/>
    </row>
    <row r="4007" spans="5:25">
      <c r="E4007"/>
      <c r="G4007"/>
      <c r="H4007"/>
      <c r="I4007"/>
      <c r="K4007"/>
      <c r="O4007"/>
      <c r="R4007"/>
      <c r="W4007" s="4"/>
      <c r="X4007" s="4"/>
      <c r="Y4007" s="4"/>
    </row>
    <row r="4008" spans="5:25">
      <c r="E4008"/>
      <c r="G4008"/>
      <c r="H4008"/>
      <c r="I4008"/>
      <c r="K4008"/>
      <c r="O4008"/>
      <c r="R4008"/>
      <c r="W4008" s="4"/>
      <c r="X4008" s="4"/>
      <c r="Y4008" s="4"/>
    </row>
    <row r="4009" spans="5:25">
      <c r="E4009"/>
      <c r="G4009"/>
      <c r="H4009"/>
      <c r="I4009"/>
      <c r="K4009"/>
      <c r="O4009"/>
      <c r="R4009"/>
      <c r="W4009" s="4"/>
      <c r="X4009" s="4"/>
      <c r="Y4009" s="4"/>
    </row>
    <row r="4010" spans="5:25">
      <c r="E4010"/>
      <c r="G4010"/>
      <c r="H4010"/>
      <c r="I4010"/>
      <c r="K4010"/>
      <c r="O4010"/>
      <c r="R4010"/>
      <c r="W4010" s="4"/>
      <c r="X4010" s="4"/>
      <c r="Y4010" s="4"/>
    </row>
    <row r="4011" spans="5:25">
      <c r="E4011"/>
      <c r="G4011"/>
      <c r="H4011"/>
      <c r="I4011"/>
      <c r="K4011"/>
      <c r="O4011"/>
      <c r="R4011"/>
      <c r="W4011" s="4"/>
      <c r="X4011" s="4"/>
      <c r="Y4011" s="4"/>
    </row>
    <row r="4012" spans="5:25">
      <c r="E4012"/>
      <c r="G4012"/>
      <c r="H4012"/>
      <c r="I4012"/>
      <c r="K4012"/>
      <c r="O4012"/>
      <c r="R4012"/>
      <c r="W4012" s="4"/>
      <c r="X4012" s="4"/>
      <c r="Y4012" s="4"/>
    </row>
    <row r="4013" spans="5:25">
      <c r="E4013"/>
      <c r="G4013"/>
      <c r="H4013"/>
      <c r="I4013"/>
      <c r="K4013"/>
      <c r="O4013"/>
      <c r="R4013"/>
      <c r="W4013" s="4"/>
      <c r="X4013" s="4"/>
      <c r="Y4013" s="4"/>
    </row>
    <row r="4014" spans="5:25">
      <c r="E4014"/>
      <c r="G4014"/>
      <c r="H4014"/>
      <c r="I4014"/>
      <c r="K4014"/>
      <c r="O4014"/>
      <c r="R4014"/>
      <c r="W4014" s="4"/>
      <c r="X4014" s="4"/>
      <c r="Y4014" s="4"/>
    </row>
    <row r="4015" spans="5:25">
      <c r="E4015"/>
      <c r="G4015"/>
      <c r="H4015"/>
      <c r="I4015"/>
      <c r="K4015"/>
      <c r="O4015"/>
      <c r="R4015"/>
      <c r="W4015" s="4"/>
      <c r="X4015" s="4"/>
      <c r="Y4015" s="4"/>
    </row>
    <row r="4016" spans="5:25">
      <c r="E4016"/>
      <c r="G4016"/>
      <c r="H4016"/>
      <c r="I4016"/>
      <c r="K4016"/>
      <c r="O4016"/>
      <c r="R4016"/>
      <c r="W4016" s="4"/>
      <c r="X4016" s="4"/>
      <c r="Y4016" s="4"/>
    </row>
    <row r="4017" spans="5:25">
      <c r="E4017"/>
      <c r="G4017"/>
      <c r="H4017"/>
      <c r="I4017"/>
      <c r="K4017"/>
      <c r="O4017"/>
      <c r="R4017"/>
      <c r="W4017" s="4"/>
      <c r="X4017" s="4"/>
      <c r="Y4017" s="4"/>
    </row>
    <row r="4018" spans="5:25">
      <c r="E4018"/>
      <c r="G4018"/>
      <c r="H4018"/>
      <c r="I4018"/>
      <c r="K4018"/>
      <c r="O4018"/>
      <c r="R4018"/>
      <c r="W4018" s="4"/>
      <c r="X4018" s="4"/>
      <c r="Y4018" s="4"/>
    </row>
    <row r="4019" spans="5:25">
      <c r="E4019"/>
      <c r="G4019"/>
      <c r="H4019"/>
      <c r="I4019"/>
      <c r="K4019"/>
      <c r="O4019"/>
      <c r="R4019"/>
      <c r="W4019" s="4"/>
      <c r="X4019" s="4"/>
      <c r="Y4019" s="4"/>
    </row>
    <row r="4020" spans="5:25">
      <c r="E4020"/>
      <c r="G4020"/>
      <c r="H4020"/>
      <c r="I4020"/>
      <c r="K4020"/>
      <c r="O4020"/>
      <c r="R4020"/>
      <c r="W4020" s="4"/>
      <c r="X4020" s="4"/>
      <c r="Y4020" s="4"/>
    </row>
    <row r="4021" spans="5:25">
      <c r="E4021"/>
      <c r="G4021"/>
      <c r="H4021"/>
      <c r="I4021"/>
      <c r="K4021"/>
      <c r="O4021"/>
      <c r="R4021"/>
      <c r="W4021" s="4"/>
      <c r="X4021" s="4"/>
      <c r="Y4021" s="4"/>
    </row>
    <row r="4022" spans="5:25">
      <c r="E4022"/>
      <c r="G4022"/>
      <c r="H4022"/>
      <c r="I4022"/>
      <c r="K4022"/>
      <c r="O4022"/>
      <c r="R4022"/>
      <c r="W4022" s="4"/>
      <c r="X4022" s="4"/>
      <c r="Y4022" s="4"/>
    </row>
    <row r="4023" spans="5:25">
      <c r="E4023"/>
      <c r="G4023"/>
      <c r="H4023"/>
      <c r="I4023"/>
      <c r="K4023"/>
      <c r="O4023"/>
      <c r="R4023"/>
      <c r="W4023" s="4"/>
      <c r="X4023" s="4"/>
      <c r="Y4023" s="4"/>
    </row>
    <row r="4024" spans="5:25">
      <c r="E4024"/>
      <c r="G4024"/>
      <c r="H4024"/>
      <c r="I4024"/>
      <c r="K4024"/>
      <c r="O4024"/>
      <c r="R4024"/>
      <c r="W4024" s="4"/>
      <c r="X4024" s="4"/>
      <c r="Y4024" s="4"/>
    </row>
    <row r="4025" spans="5:25">
      <c r="E4025"/>
      <c r="G4025"/>
      <c r="H4025"/>
      <c r="I4025"/>
      <c r="K4025"/>
      <c r="O4025"/>
      <c r="R4025"/>
      <c r="W4025" s="4"/>
      <c r="X4025" s="4"/>
      <c r="Y4025" s="4"/>
    </row>
    <row r="4026" spans="5:25">
      <c r="E4026"/>
      <c r="G4026"/>
      <c r="H4026"/>
      <c r="I4026"/>
      <c r="K4026"/>
      <c r="O4026"/>
      <c r="R4026"/>
      <c r="W4026" s="4"/>
      <c r="X4026" s="4"/>
      <c r="Y4026" s="4"/>
    </row>
    <row r="4027" spans="5:25">
      <c r="E4027"/>
      <c r="G4027"/>
      <c r="H4027"/>
      <c r="I4027"/>
      <c r="K4027"/>
      <c r="O4027"/>
      <c r="R4027"/>
      <c r="W4027" s="4"/>
      <c r="X4027" s="4"/>
      <c r="Y4027" s="4"/>
    </row>
    <row r="4028" spans="5:25">
      <c r="E4028"/>
      <c r="G4028"/>
      <c r="H4028"/>
      <c r="I4028"/>
      <c r="K4028"/>
      <c r="O4028"/>
      <c r="R4028"/>
      <c r="W4028" s="4"/>
      <c r="X4028" s="4"/>
      <c r="Y4028" s="4"/>
    </row>
    <row r="4029" spans="5:25">
      <c r="E4029"/>
      <c r="G4029"/>
      <c r="H4029"/>
      <c r="I4029"/>
      <c r="K4029"/>
      <c r="O4029"/>
      <c r="R4029"/>
      <c r="W4029" s="4"/>
      <c r="X4029" s="4"/>
      <c r="Y4029" s="4"/>
    </row>
    <row r="4030" spans="5:25">
      <c r="E4030"/>
      <c r="G4030"/>
      <c r="H4030"/>
      <c r="I4030"/>
      <c r="K4030"/>
      <c r="O4030"/>
      <c r="R4030"/>
      <c r="W4030" s="4"/>
      <c r="X4030" s="4"/>
      <c r="Y4030" s="4"/>
    </row>
    <row r="4031" spans="5:25">
      <c r="E4031"/>
      <c r="G4031"/>
      <c r="H4031"/>
      <c r="I4031"/>
      <c r="K4031"/>
      <c r="O4031"/>
      <c r="R4031"/>
      <c r="W4031" s="4"/>
      <c r="X4031" s="4"/>
      <c r="Y4031" s="4"/>
    </row>
    <row r="4032" spans="5:25">
      <c r="E4032"/>
      <c r="G4032"/>
      <c r="H4032"/>
      <c r="I4032"/>
      <c r="K4032"/>
      <c r="O4032"/>
      <c r="R4032"/>
      <c r="W4032" s="4"/>
      <c r="X4032" s="4"/>
      <c r="Y4032" s="4"/>
    </row>
    <row r="4033" spans="5:25">
      <c r="E4033"/>
      <c r="G4033"/>
      <c r="H4033"/>
      <c r="I4033"/>
      <c r="K4033"/>
      <c r="O4033"/>
      <c r="R4033"/>
      <c r="W4033" s="4"/>
      <c r="X4033" s="4"/>
      <c r="Y4033" s="4"/>
    </row>
    <row r="4034" spans="5:25">
      <c r="E4034"/>
      <c r="G4034"/>
      <c r="H4034"/>
      <c r="I4034"/>
      <c r="K4034"/>
      <c r="O4034"/>
      <c r="R4034"/>
      <c r="W4034" s="4"/>
      <c r="X4034" s="4"/>
      <c r="Y4034" s="4"/>
    </row>
    <row r="4035" spans="5:25">
      <c r="E4035"/>
      <c r="G4035"/>
      <c r="H4035"/>
      <c r="I4035"/>
      <c r="K4035"/>
      <c r="O4035"/>
      <c r="R4035"/>
      <c r="W4035" s="4"/>
      <c r="X4035" s="4"/>
      <c r="Y4035" s="4"/>
    </row>
    <row r="4036" spans="5:25">
      <c r="E4036"/>
      <c r="G4036"/>
      <c r="H4036"/>
      <c r="I4036"/>
      <c r="K4036"/>
      <c r="O4036"/>
      <c r="R4036"/>
      <c r="W4036" s="4"/>
      <c r="X4036" s="4"/>
      <c r="Y4036" s="4"/>
    </row>
    <row r="4037" spans="5:25">
      <c r="E4037"/>
      <c r="G4037"/>
      <c r="H4037"/>
      <c r="I4037"/>
      <c r="K4037"/>
      <c r="O4037"/>
      <c r="R4037"/>
      <c r="W4037" s="4"/>
      <c r="X4037" s="4"/>
      <c r="Y4037" s="4"/>
    </row>
    <row r="4038" spans="5:25">
      <c r="E4038"/>
      <c r="G4038"/>
      <c r="H4038"/>
      <c r="I4038"/>
      <c r="K4038"/>
      <c r="O4038"/>
      <c r="R4038"/>
      <c r="W4038" s="4"/>
      <c r="X4038" s="4"/>
      <c r="Y4038" s="4"/>
    </row>
    <row r="4039" spans="5:25">
      <c r="E4039"/>
      <c r="G4039"/>
      <c r="H4039"/>
      <c r="I4039"/>
      <c r="K4039"/>
      <c r="O4039"/>
      <c r="R4039"/>
      <c r="W4039" s="4"/>
      <c r="X4039" s="4"/>
      <c r="Y4039" s="4"/>
    </row>
    <row r="4040" spans="5:25">
      <c r="E4040"/>
      <c r="G4040"/>
      <c r="H4040"/>
      <c r="I4040"/>
      <c r="K4040"/>
      <c r="O4040"/>
      <c r="R4040"/>
      <c r="W4040" s="4"/>
      <c r="X4040" s="4"/>
      <c r="Y4040" s="4"/>
    </row>
    <row r="4041" spans="5:25">
      <c r="E4041"/>
      <c r="G4041"/>
      <c r="H4041"/>
      <c r="I4041"/>
      <c r="K4041"/>
      <c r="O4041"/>
      <c r="R4041"/>
      <c r="W4041" s="4"/>
      <c r="X4041" s="4"/>
      <c r="Y4041" s="4"/>
    </row>
    <row r="4042" spans="5:25">
      <c r="E4042"/>
      <c r="G4042"/>
      <c r="H4042"/>
      <c r="I4042"/>
      <c r="K4042"/>
      <c r="O4042"/>
      <c r="R4042"/>
      <c r="W4042" s="4"/>
      <c r="X4042" s="4"/>
      <c r="Y4042" s="4"/>
    </row>
    <row r="4043" spans="5:25">
      <c r="E4043"/>
      <c r="G4043"/>
      <c r="H4043"/>
      <c r="I4043"/>
      <c r="K4043"/>
      <c r="O4043"/>
      <c r="R4043"/>
      <c r="W4043" s="4"/>
      <c r="X4043" s="4"/>
      <c r="Y4043" s="4"/>
    </row>
    <row r="4044" spans="5:25">
      <c r="E4044"/>
      <c r="G4044"/>
      <c r="H4044"/>
      <c r="I4044"/>
      <c r="K4044"/>
      <c r="O4044"/>
      <c r="R4044"/>
      <c r="W4044" s="4"/>
      <c r="X4044" s="4"/>
      <c r="Y4044" s="4"/>
    </row>
    <row r="4045" spans="5:25">
      <c r="E4045"/>
      <c r="G4045"/>
      <c r="H4045"/>
      <c r="I4045"/>
      <c r="K4045"/>
      <c r="O4045"/>
      <c r="R4045"/>
      <c r="W4045" s="4"/>
      <c r="X4045" s="4"/>
      <c r="Y4045" s="4"/>
    </row>
    <row r="4046" spans="5:25">
      <c r="E4046"/>
      <c r="G4046"/>
      <c r="H4046"/>
      <c r="I4046"/>
      <c r="K4046"/>
      <c r="O4046"/>
      <c r="R4046"/>
      <c r="W4046" s="4"/>
      <c r="X4046" s="4"/>
      <c r="Y4046" s="4"/>
    </row>
    <row r="4047" spans="5:25">
      <c r="E4047"/>
      <c r="G4047"/>
      <c r="H4047"/>
      <c r="I4047"/>
      <c r="K4047"/>
      <c r="O4047"/>
      <c r="R4047"/>
      <c r="W4047" s="4"/>
      <c r="X4047" s="4"/>
      <c r="Y4047" s="4"/>
    </row>
    <row r="4048" spans="5:25">
      <c r="E4048"/>
      <c r="G4048"/>
      <c r="H4048"/>
      <c r="I4048"/>
      <c r="K4048"/>
      <c r="O4048"/>
      <c r="R4048"/>
      <c r="W4048" s="4"/>
      <c r="X4048" s="4"/>
      <c r="Y4048" s="4"/>
    </row>
    <row r="4049" spans="5:25">
      <c r="E4049"/>
      <c r="G4049"/>
      <c r="H4049"/>
      <c r="I4049"/>
      <c r="K4049"/>
      <c r="O4049"/>
      <c r="R4049"/>
      <c r="W4049" s="4"/>
      <c r="X4049" s="4"/>
      <c r="Y4049" s="4"/>
    </row>
    <row r="4050" spans="5:25">
      <c r="E4050"/>
      <c r="G4050"/>
      <c r="H4050"/>
      <c r="I4050"/>
      <c r="K4050"/>
      <c r="O4050"/>
      <c r="R4050"/>
      <c r="W4050" s="4"/>
      <c r="X4050" s="4"/>
      <c r="Y4050" s="4"/>
    </row>
    <row r="4051" spans="5:25">
      <c r="E4051"/>
      <c r="G4051"/>
      <c r="H4051"/>
      <c r="I4051"/>
      <c r="K4051"/>
      <c r="O4051"/>
      <c r="R4051"/>
      <c r="W4051" s="4"/>
      <c r="X4051" s="4"/>
      <c r="Y4051" s="4"/>
    </row>
    <row r="4052" spans="5:25">
      <c r="E4052"/>
      <c r="G4052"/>
      <c r="H4052"/>
      <c r="I4052"/>
      <c r="K4052"/>
      <c r="O4052"/>
      <c r="R4052"/>
      <c r="W4052" s="4"/>
      <c r="X4052" s="4"/>
      <c r="Y4052" s="4"/>
    </row>
    <row r="4053" spans="5:25">
      <c r="E4053"/>
      <c r="G4053"/>
      <c r="H4053"/>
      <c r="I4053"/>
      <c r="K4053"/>
      <c r="O4053"/>
      <c r="R4053"/>
      <c r="W4053" s="4"/>
      <c r="X4053" s="4"/>
      <c r="Y4053" s="4"/>
    </row>
    <row r="4054" spans="5:25">
      <c r="E4054"/>
      <c r="G4054"/>
      <c r="H4054"/>
      <c r="I4054"/>
      <c r="K4054"/>
      <c r="O4054"/>
      <c r="R4054"/>
      <c r="W4054" s="4"/>
      <c r="X4054" s="4"/>
      <c r="Y4054" s="4"/>
    </row>
    <row r="4055" spans="5:25">
      <c r="E4055"/>
      <c r="G4055"/>
      <c r="H4055"/>
      <c r="I4055"/>
      <c r="K4055"/>
      <c r="O4055"/>
      <c r="R4055"/>
      <c r="W4055" s="4"/>
      <c r="X4055" s="4"/>
      <c r="Y4055" s="4"/>
    </row>
    <row r="4056" spans="5:25">
      <c r="E4056"/>
      <c r="G4056"/>
      <c r="H4056"/>
      <c r="I4056"/>
      <c r="K4056"/>
      <c r="O4056"/>
      <c r="R4056"/>
      <c r="W4056" s="4"/>
      <c r="X4056" s="4"/>
      <c r="Y4056" s="4"/>
    </row>
    <row r="4057" spans="5:25">
      <c r="E4057"/>
      <c r="G4057"/>
      <c r="H4057"/>
      <c r="I4057"/>
      <c r="K4057"/>
      <c r="O4057"/>
      <c r="R4057"/>
      <c r="W4057" s="4"/>
      <c r="X4057" s="4"/>
      <c r="Y4057" s="4"/>
    </row>
    <row r="4058" spans="5:25">
      <c r="E4058"/>
      <c r="G4058"/>
      <c r="H4058"/>
      <c r="I4058"/>
      <c r="K4058"/>
      <c r="O4058"/>
      <c r="R4058"/>
      <c r="W4058" s="4"/>
      <c r="X4058" s="4"/>
      <c r="Y4058" s="4"/>
    </row>
    <row r="4059" spans="5:25">
      <c r="E4059"/>
      <c r="G4059"/>
      <c r="H4059"/>
      <c r="I4059"/>
      <c r="K4059"/>
      <c r="O4059"/>
      <c r="R4059"/>
      <c r="W4059" s="4"/>
      <c r="X4059" s="4"/>
      <c r="Y4059" s="4"/>
    </row>
    <row r="4060" spans="5:25">
      <c r="E4060"/>
      <c r="G4060"/>
      <c r="H4060"/>
      <c r="I4060"/>
      <c r="K4060"/>
      <c r="O4060"/>
      <c r="R4060"/>
      <c r="W4060" s="4"/>
      <c r="X4060" s="4"/>
      <c r="Y4060" s="4"/>
    </row>
    <row r="4061" spans="5:25">
      <c r="E4061"/>
      <c r="G4061"/>
      <c r="H4061"/>
      <c r="I4061"/>
      <c r="K4061"/>
      <c r="O4061"/>
      <c r="R4061"/>
      <c r="W4061" s="4"/>
      <c r="X4061" s="4"/>
      <c r="Y4061" s="4"/>
    </row>
    <row r="4062" spans="5:25">
      <c r="E4062"/>
      <c r="G4062"/>
      <c r="H4062"/>
      <c r="I4062"/>
      <c r="K4062"/>
      <c r="O4062"/>
      <c r="R4062"/>
      <c r="W4062" s="4"/>
      <c r="X4062" s="4"/>
      <c r="Y4062" s="4"/>
    </row>
    <row r="4063" spans="5:25">
      <c r="E4063"/>
      <c r="G4063"/>
      <c r="H4063"/>
      <c r="I4063"/>
      <c r="K4063"/>
      <c r="O4063"/>
      <c r="R4063"/>
      <c r="W4063" s="4"/>
      <c r="X4063" s="4"/>
      <c r="Y4063" s="4"/>
    </row>
    <row r="4064" spans="5:25">
      <c r="E4064"/>
      <c r="G4064"/>
      <c r="H4064"/>
      <c r="I4064"/>
      <c r="K4064"/>
      <c r="O4064"/>
      <c r="R4064"/>
      <c r="W4064" s="4"/>
      <c r="X4064" s="4"/>
      <c r="Y4064" s="4"/>
    </row>
    <row r="4065" spans="5:25">
      <c r="E4065"/>
      <c r="G4065"/>
      <c r="H4065"/>
      <c r="I4065"/>
      <c r="K4065"/>
      <c r="O4065"/>
      <c r="R4065"/>
      <c r="W4065" s="4"/>
      <c r="X4065" s="4"/>
      <c r="Y4065" s="4"/>
    </row>
    <row r="4066" spans="5:25">
      <c r="E4066"/>
      <c r="G4066"/>
      <c r="H4066"/>
      <c r="I4066"/>
      <c r="K4066"/>
      <c r="O4066"/>
      <c r="R4066"/>
      <c r="W4066" s="4"/>
      <c r="X4066" s="4"/>
      <c r="Y4066" s="4"/>
    </row>
    <row r="4067" spans="5:25">
      <c r="E4067"/>
      <c r="G4067"/>
      <c r="H4067"/>
      <c r="I4067"/>
      <c r="K4067"/>
      <c r="O4067"/>
      <c r="R4067"/>
      <c r="W4067" s="4"/>
      <c r="X4067" s="4"/>
      <c r="Y4067" s="4"/>
    </row>
    <row r="4068" spans="5:25">
      <c r="E4068"/>
      <c r="G4068"/>
      <c r="H4068"/>
      <c r="I4068"/>
      <c r="K4068"/>
      <c r="O4068"/>
      <c r="R4068"/>
      <c r="W4068" s="4"/>
      <c r="X4068" s="4"/>
      <c r="Y4068" s="4"/>
    </row>
    <row r="4069" spans="5:25">
      <c r="E4069"/>
      <c r="G4069"/>
      <c r="H4069"/>
      <c r="I4069"/>
      <c r="K4069"/>
      <c r="O4069"/>
      <c r="R4069"/>
      <c r="W4069" s="4"/>
      <c r="X4069" s="4"/>
      <c r="Y4069" s="4"/>
    </row>
    <row r="4070" spans="5:25">
      <c r="E4070"/>
      <c r="G4070"/>
      <c r="H4070"/>
      <c r="I4070"/>
      <c r="K4070"/>
      <c r="O4070"/>
      <c r="R4070"/>
      <c r="W4070" s="4"/>
      <c r="X4070" s="4"/>
      <c r="Y4070" s="4"/>
    </row>
    <row r="4071" spans="5:25">
      <c r="E4071"/>
      <c r="G4071"/>
      <c r="H4071"/>
      <c r="I4071"/>
      <c r="K4071"/>
      <c r="O4071"/>
      <c r="R4071"/>
      <c r="W4071" s="4"/>
      <c r="X4071" s="4"/>
      <c r="Y4071" s="4"/>
    </row>
    <row r="4072" spans="5:25">
      <c r="E4072"/>
      <c r="G4072"/>
      <c r="H4072"/>
      <c r="I4072"/>
      <c r="K4072"/>
      <c r="O4072"/>
      <c r="R4072"/>
      <c r="W4072" s="4"/>
      <c r="X4072" s="4"/>
      <c r="Y4072" s="4"/>
    </row>
    <row r="4073" spans="5:25">
      <c r="E4073"/>
      <c r="G4073"/>
      <c r="H4073"/>
      <c r="I4073"/>
      <c r="K4073"/>
      <c r="O4073"/>
      <c r="R4073"/>
      <c r="W4073" s="4"/>
      <c r="X4073" s="4"/>
      <c r="Y4073" s="4"/>
    </row>
    <row r="4074" spans="5:25">
      <c r="E4074"/>
      <c r="G4074"/>
      <c r="H4074"/>
      <c r="I4074"/>
      <c r="K4074"/>
      <c r="O4074"/>
      <c r="R4074"/>
      <c r="W4074" s="4"/>
      <c r="X4074" s="4"/>
      <c r="Y4074" s="4"/>
    </row>
    <row r="4075" spans="5:25">
      <c r="E4075"/>
      <c r="G4075"/>
      <c r="H4075"/>
      <c r="I4075"/>
      <c r="K4075"/>
      <c r="O4075"/>
      <c r="R4075"/>
      <c r="W4075" s="4"/>
      <c r="X4075" s="4"/>
      <c r="Y4075" s="4"/>
    </row>
    <row r="4076" spans="5:25">
      <c r="E4076"/>
      <c r="G4076"/>
      <c r="H4076"/>
      <c r="I4076"/>
      <c r="K4076"/>
      <c r="O4076"/>
      <c r="R4076"/>
      <c r="W4076" s="4"/>
      <c r="X4076" s="4"/>
      <c r="Y4076" s="4"/>
    </row>
    <row r="4077" spans="5:25">
      <c r="E4077"/>
      <c r="G4077"/>
      <c r="H4077"/>
      <c r="I4077"/>
      <c r="K4077"/>
      <c r="O4077"/>
      <c r="R4077"/>
      <c r="W4077" s="4"/>
      <c r="X4077" s="4"/>
      <c r="Y4077" s="4"/>
    </row>
    <row r="4078" spans="5:25">
      <c r="E4078"/>
      <c r="G4078"/>
      <c r="H4078"/>
      <c r="I4078"/>
      <c r="K4078"/>
      <c r="O4078"/>
      <c r="R4078"/>
      <c r="W4078" s="4"/>
      <c r="X4078" s="4"/>
      <c r="Y4078" s="4"/>
    </row>
    <row r="4079" spans="5:25">
      <c r="E4079"/>
      <c r="G4079"/>
      <c r="H4079"/>
      <c r="I4079"/>
      <c r="K4079"/>
      <c r="O4079"/>
      <c r="R4079"/>
      <c r="W4079" s="4"/>
      <c r="X4079" s="4"/>
      <c r="Y4079" s="4"/>
    </row>
    <row r="4080" spans="5:25">
      <c r="E4080"/>
      <c r="G4080"/>
      <c r="H4080"/>
      <c r="I4080"/>
      <c r="K4080"/>
      <c r="O4080"/>
      <c r="R4080"/>
      <c r="W4080" s="4"/>
      <c r="X4080" s="4"/>
      <c r="Y4080" s="4"/>
    </row>
    <row r="4081" spans="5:25">
      <c r="E4081"/>
      <c r="G4081"/>
      <c r="H4081"/>
      <c r="I4081"/>
      <c r="K4081"/>
      <c r="O4081"/>
      <c r="R4081"/>
      <c r="W4081" s="4"/>
      <c r="X4081" s="4"/>
      <c r="Y4081" s="4"/>
    </row>
    <row r="4082" spans="5:25">
      <c r="E4082"/>
      <c r="G4082"/>
      <c r="H4082"/>
      <c r="I4082"/>
      <c r="K4082"/>
      <c r="O4082"/>
      <c r="R4082"/>
      <c r="W4082" s="4"/>
      <c r="X4082" s="4"/>
      <c r="Y4082" s="4"/>
    </row>
    <row r="4083" spans="5:25">
      <c r="E4083"/>
      <c r="G4083"/>
      <c r="H4083"/>
      <c r="I4083"/>
      <c r="K4083"/>
      <c r="O4083"/>
      <c r="R4083"/>
      <c r="W4083" s="4"/>
      <c r="X4083" s="4"/>
      <c r="Y4083" s="4"/>
    </row>
    <row r="4084" spans="5:25">
      <c r="E4084"/>
      <c r="G4084"/>
      <c r="H4084"/>
      <c r="I4084"/>
      <c r="K4084"/>
      <c r="O4084"/>
      <c r="R4084"/>
      <c r="W4084" s="4"/>
      <c r="X4084" s="4"/>
      <c r="Y4084" s="4"/>
    </row>
    <row r="4085" spans="5:25">
      <c r="E4085"/>
      <c r="G4085"/>
      <c r="H4085"/>
      <c r="I4085"/>
      <c r="K4085"/>
      <c r="O4085"/>
      <c r="R4085"/>
      <c r="W4085" s="4"/>
      <c r="X4085" s="4"/>
      <c r="Y4085" s="4"/>
    </row>
    <row r="4086" spans="5:25">
      <c r="E4086"/>
      <c r="G4086"/>
      <c r="H4086"/>
      <c r="I4086"/>
      <c r="K4086"/>
      <c r="O4086"/>
      <c r="R4086"/>
      <c r="W4086" s="4"/>
      <c r="X4086" s="4"/>
      <c r="Y4086" s="4"/>
    </row>
    <row r="4087" spans="5:25">
      <c r="E4087"/>
      <c r="G4087"/>
      <c r="H4087"/>
      <c r="I4087"/>
      <c r="K4087"/>
      <c r="O4087"/>
      <c r="R4087"/>
      <c r="W4087" s="4"/>
      <c r="X4087" s="4"/>
      <c r="Y4087" s="4"/>
    </row>
    <row r="4088" spans="5:25">
      <c r="E4088"/>
      <c r="G4088"/>
      <c r="H4088"/>
      <c r="I4088"/>
      <c r="K4088"/>
      <c r="O4088"/>
      <c r="R4088"/>
      <c r="W4088" s="4"/>
      <c r="X4088" s="4"/>
      <c r="Y4088" s="4"/>
    </row>
    <row r="4089" spans="5:25">
      <c r="E4089"/>
      <c r="G4089"/>
      <c r="H4089"/>
      <c r="I4089"/>
      <c r="K4089"/>
      <c r="O4089"/>
      <c r="R4089"/>
      <c r="W4089" s="4"/>
      <c r="X4089" s="4"/>
      <c r="Y4089" s="4"/>
    </row>
    <row r="4090" spans="5:25">
      <c r="E4090"/>
      <c r="G4090"/>
      <c r="H4090"/>
      <c r="I4090"/>
      <c r="K4090"/>
      <c r="O4090"/>
      <c r="R4090"/>
      <c r="W4090" s="4"/>
      <c r="X4090" s="4"/>
      <c r="Y4090" s="4"/>
    </row>
    <row r="4091" spans="5:25">
      <c r="E4091"/>
      <c r="G4091"/>
      <c r="H4091"/>
      <c r="I4091"/>
      <c r="K4091"/>
      <c r="O4091"/>
      <c r="R4091"/>
      <c r="W4091" s="4"/>
      <c r="X4091" s="4"/>
      <c r="Y4091" s="4"/>
    </row>
    <row r="4092" spans="5:25">
      <c r="E4092"/>
      <c r="G4092"/>
      <c r="H4092"/>
      <c r="I4092"/>
      <c r="K4092"/>
      <c r="O4092"/>
      <c r="R4092"/>
      <c r="W4092" s="4"/>
      <c r="X4092" s="4"/>
      <c r="Y4092" s="4"/>
    </row>
    <row r="4093" spans="5:25">
      <c r="E4093"/>
      <c r="G4093"/>
      <c r="H4093"/>
      <c r="I4093"/>
      <c r="K4093"/>
      <c r="O4093"/>
      <c r="R4093"/>
      <c r="W4093" s="4"/>
      <c r="X4093" s="4"/>
      <c r="Y4093" s="4"/>
    </row>
    <row r="4094" spans="5:25">
      <c r="E4094"/>
      <c r="G4094"/>
      <c r="H4094"/>
      <c r="I4094"/>
      <c r="K4094"/>
      <c r="O4094"/>
      <c r="R4094"/>
      <c r="W4094" s="4"/>
      <c r="X4094" s="4"/>
      <c r="Y4094" s="4"/>
    </row>
    <row r="4095" spans="5:25">
      <c r="E4095"/>
      <c r="G4095"/>
      <c r="H4095"/>
      <c r="I4095"/>
      <c r="K4095"/>
      <c r="O4095"/>
      <c r="R4095"/>
      <c r="W4095" s="4"/>
      <c r="X4095" s="4"/>
      <c r="Y4095" s="4"/>
    </row>
    <row r="4096" spans="5:25">
      <c r="E4096"/>
      <c r="G4096"/>
      <c r="H4096"/>
      <c r="I4096"/>
      <c r="K4096"/>
      <c r="O4096"/>
      <c r="R4096"/>
      <c r="W4096" s="4"/>
      <c r="X4096" s="4"/>
      <c r="Y4096" s="4"/>
    </row>
    <row r="4097" spans="5:25">
      <c r="E4097"/>
      <c r="G4097"/>
      <c r="H4097"/>
      <c r="I4097"/>
      <c r="K4097"/>
      <c r="O4097"/>
      <c r="R4097"/>
      <c r="W4097" s="4"/>
      <c r="X4097" s="4"/>
      <c r="Y4097" s="4"/>
    </row>
    <row r="4098" spans="5:25">
      <c r="E4098"/>
      <c r="G4098"/>
      <c r="H4098"/>
      <c r="I4098"/>
      <c r="K4098"/>
      <c r="O4098"/>
      <c r="R4098"/>
      <c r="W4098" s="4"/>
      <c r="X4098" s="4"/>
      <c r="Y4098" s="4"/>
    </row>
    <row r="4099" spans="5:25">
      <c r="E4099"/>
      <c r="G4099"/>
      <c r="H4099"/>
      <c r="I4099"/>
      <c r="K4099"/>
      <c r="O4099"/>
      <c r="R4099"/>
      <c r="W4099" s="4"/>
      <c r="X4099" s="4"/>
      <c r="Y4099" s="4"/>
    </row>
    <row r="4100" spans="5:25">
      <c r="E4100"/>
      <c r="G4100"/>
      <c r="H4100"/>
      <c r="I4100"/>
      <c r="K4100"/>
      <c r="O4100"/>
      <c r="R4100"/>
      <c r="W4100" s="4"/>
      <c r="X4100" s="4"/>
      <c r="Y4100" s="4"/>
    </row>
    <row r="4101" spans="5:25">
      <c r="E4101"/>
      <c r="G4101"/>
      <c r="H4101"/>
      <c r="I4101"/>
      <c r="K4101"/>
      <c r="O4101"/>
      <c r="R4101"/>
      <c r="W4101" s="4"/>
      <c r="X4101" s="4"/>
      <c r="Y4101" s="4"/>
    </row>
    <row r="4102" spans="5:25">
      <c r="E4102"/>
      <c r="G4102"/>
      <c r="H4102"/>
      <c r="I4102"/>
      <c r="K4102"/>
      <c r="O4102"/>
      <c r="R4102"/>
      <c r="W4102" s="4"/>
      <c r="X4102" s="4"/>
      <c r="Y4102" s="4"/>
    </row>
    <row r="4103" spans="5:25">
      <c r="E4103"/>
      <c r="G4103"/>
      <c r="H4103"/>
      <c r="I4103"/>
      <c r="K4103"/>
      <c r="O4103"/>
      <c r="R4103"/>
      <c r="W4103" s="4"/>
      <c r="X4103" s="4"/>
      <c r="Y4103" s="4"/>
    </row>
    <row r="4104" spans="5:25">
      <c r="E4104"/>
      <c r="G4104"/>
      <c r="H4104"/>
      <c r="I4104"/>
      <c r="K4104"/>
      <c r="O4104"/>
      <c r="R4104"/>
      <c r="W4104" s="4"/>
      <c r="X4104" s="4"/>
      <c r="Y4104" s="4"/>
    </row>
    <row r="4105" spans="5:25">
      <c r="E4105"/>
      <c r="G4105"/>
      <c r="H4105"/>
      <c r="I4105"/>
      <c r="K4105"/>
      <c r="O4105"/>
      <c r="R4105"/>
      <c r="W4105" s="4"/>
      <c r="X4105" s="4"/>
      <c r="Y4105" s="4"/>
    </row>
    <row r="4106" spans="5:25">
      <c r="E4106"/>
      <c r="G4106"/>
      <c r="H4106"/>
      <c r="I4106"/>
      <c r="K4106"/>
      <c r="O4106"/>
      <c r="R4106"/>
      <c r="W4106" s="4"/>
      <c r="X4106" s="4"/>
      <c r="Y4106" s="4"/>
    </row>
    <row r="4107" spans="5:25">
      <c r="E4107"/>
      <c r="G4107"/>
      <c r="H4107"/>
      <c r="I4107"/>
      <c r="K4107"/>
      <c r="O4107"/>
      <c r="R4107"/>
      <c r="W4107" s="4"/>
      <c r="X4107" s="4"/>
      <c r="Y4107" s="4"/>
    </row>
    <row r="4108" spans="5:25">
      <c r="E4108"/>
      <c r="G4108"/>
      <c r="H4108"/>
      <c r="I4108"/>
      <c r="K4108"/>
      <c r="O4108"/>
      <c r="R4108"/>
      <c r="W4108" s="4"/>
      <c r="X4108" s="4"/>
      <c r="Y4108" s="4"/>
    </row>
    <row r="4109" spans="5:25">
      <c r="E4109"/>
      <c r="G4109"/>
      <c r="H4109"/>
      <c r="I4109"/>
      <c r="K4109"/>
      <c r="O4109"/>
      <c r="R4109"/>
      <c r="W4109" s="4"/>
      <c r="X4109" s="4"/>
      <c r="Y4109" s="4"/>
    </row>
    <row r="4110" spans="5:25">
      <c r="E4110"/>
      <c r="G4110"/>
      <c r="H4110"/>
      <c r="I4110"/>
      <c r="K4110"/>
      <c r="O4110"/>
      <c r="R4110"/>
      <c r="W4110" s="4"/>
      <c r="X4110" s="4"/>
      <c r="Y4110" s="4"/>
    </row>
    <row r="4111" spans="5:25">
      <c r="E4111"/>
      <c r="G4111"/>
      <c r="H4111"/>
      <c r="I4111"/>
      <c r="K4111"/>
      <c r="O4111"/>
      <c r="R4111"/>
      <c r="W4111" s="4"/>
      <c r="X4111" s="4"/>
      <c r="Y4111" s="4"/>
    </row>
    <row r="4112" spans="5:25">
      <c r="E4112"/>
      <c r="G4112"/>
      <c r="H4112"/>
      <c r="I4112"/>
      <c r="K4112"/>
      <c r="O4112"/>
      <c r="R4112"/>
      <c r="W4112" s="4"/>
      <c r="X4112" s="4"/>
      <c r="Y4112" s="4"/>
    </row>
    <row r="4113" spans="5:25">
      <c r="E4113"/>
      <c r="G4113"/>
      <c r="H4113"/>
      <c r="I4113"/>
      <c r="K4113"/>
      <c r="O4113"/>
      <c r="R4113"/>
      <c r="W4113" s="4"/>
      <c r="X4113" s="4"/>
      <c r="Y4113" s="4"/>
    </row>
    <row r="4114" spans="5:25">
      <c r="E4114"/>
      <c r="G4114"/>
      <c r="H4114"/>
      <c r="I4114"/>
      <c r="K4114"/>
      <c r="O4114"/>
      <c r="R4114"/>
      <c r="W4114" s="4"/>
      <c r="X4114" s="4"/>
      <c r="Y4114" s="4"/>
    </row>
    <row r="4115" spans="5:25">
      <c r="E4115"/>
      <c r="G4115"/>
      <c r="H4115"/>
      <c r="I4115"/>
      <c r="K4115"/>
      <c r="O4115"/>
      <c r="R4115"/>
      <c r="W4115" s="4"/>
      <c r="X4115" s="4"/>
      <c r="Y4115" s="4"/>
    </row>
    <row r="4116" spans="5:25">
      <c r="E4116"/>
      <c r="G4116"/>
      <c r="H4116"/>
      <c r="I4116"/>
      <c r="K4116"/>
      <c r="O4116"/>
      <c r="R4116"/>
      <c r="W4116" s="4"/>
      <c r="X4116" s="4"/>
      <c r="Y4116" s="4"/>
    </row>
    <row r="4117" spans="5:25">
      <c r="E4117"/>
      <c r="G4117"/>
      <c r="H4117"/>
      <c r="I4117"/>
      <c r="K4117"/>
      <c r="O4117"/>
      <c r="R4117"/>
      <c r="W4117" s="4"/>
      <c r="X4117" s="4"/>
      <c r="Y4117" s="4"/>
    </row>
    <row r="4118" spans="5:25">
      <c r="E4118"/>
      <c r="G4118"/>
      <c r="H4118"/>
      <c r="I4118"/>
      <c r="K4118"/>
      <c r="O4118"/>
      <c r="R4118"/>
      <c r="W4118" s="4"/>
      <c r="X4118" s="4"/>
      <c r="Y4118" s="4"/>
    </row>
    <row r="4119" spans="5:25">
      <c r="E4119"/>
      <c r="G4119"/>
      <c r="H4119"/>
      <c r="I4119"/>
      <c r="K4119"/>
      <c r="O4119"/>
      <c r="R4119"/>
      <c r="W4119" s="4"/>
      <c r="X4119" s="4"/>
      <c r="Y4119" s="4"/>
    </row>
    <row r="4120" spans="5:25">
      <c r="E4120"/>
      <c r="G4120"/>
      <c r="H4120"/>
      <c r="I4120"/>
      <c r="K4120"/>
      <c r="O4120"/>
      <c r="R4120"/>
      <c r="W4120" s="4"/>
      <c r="X4120" s="4"/>
      <c r="Y4120" s="4"/>
    </row>
    <row r="4121" spans="5:25">
      <c r="E4121"/>
      <c r="G4121"/>
      <c r="H4121"/>
      <c r="I4121"/>
      <c r="K4121"/>
      <c r="O4121"/>
      <c r="R4121"/>
      <c r="W4121" s="4"/>
      <c r="X4121" s="4"/>
      <c r="Y4121" s="4"/>
    </row>
    <row r="4122" spans="5:25">
      <c r="E4122"/>
      <c r="G4122"/>
      <c r="H4122"/>
      <c r="I4122"/>
      <c r="K4122"/>
      <c r="O4122"/>
      <c r="R4122"/>
      <c r="W4122" s="4"/>
      <c r="X4122" s="4"/>
      <c r="Y4122" s="4"/>
    </row>
    <row r="4123" spans="5:25">
      <c r="E4123"/>
      <c r="G4123"/>
      <c r="H4123"/>
      <c r="I4123"/>
      <c r="K4123"/>
      <c r="O4123"/>
      <c r="R4123"/>
      <c r="W4123" s="4"/>
      <c r="X4123" s="4"/>
      <c r="Y4123" s="4"/>
    </row>
    <row r="4124" spans="5:25">
      <c r="E4124"/>
      <c r="G4124"/>
      <c r="H4124"/>
      <c r="I4124"/>
      <c r="K4124"/>
      <c r="O4124"/>
      <c r="R4124"/>
      <c r="W4124" s="4"/>
      <c r="X4124" s="4"/>
      <c r="Y4124" s="4"/>
    </row>
    <row r="4125" spans="5:25">
      <c r="E4125"/>
      <c r="G4125"/>
      <c r="H4125"/>
      <c r="I4125"/>
      <c r="K4125"/>
      <c r="O4125"/>
      <c r="R4125"/>
      <c r="W4125" s="4"/>
      <c r="X4125" s="4"/>
      <c r="Y4125" s="4"/>
    </row>
    <row r="4126" spans="5:25">
      <c r="E4126"/>
      <c r="G4126"/>
      <c r="H4126"/>
      <c r="I4126"/>
      <c r="K4126"/>
      <c r="O4126"/>
      <c r="R4126"/>
      <c r="W4126" s="4"/>
      <c r="X4126" s="4"/>
      <c r="Y4126" s="4"/>
    </row>
    <row r="4127" spans="5:25">
      <c r="E4127"/>
      <c r="G4127"/>
      <c r="H4127"/>
      <c r="I4127"/>
      <c r="K4127"/>
      <c r="O4127"/>
      <c r="R4127"/>
      <c r="W4127" s="4"/>
      <c r="X4127" s="4"/>
      <c r="Y4127" s="4"/>
    </row>
    <row r="4128" spans="5:25">
      <c r="E4128"/>
      <c r="G4128"/>
      <c r="H4128"/>
      <c r="I4128"/>
      <c r="K4128"/>
      <c r="O4128"/>
      <c r="R4128"/>
      <c r="W4128" s="4"/>
      <c r="X4128" s="4"/>
      <c r="Y4128" s="4"/>
    </row>
    <row r="4129" spans="5:25">
      <c r="E4129"/>
      <c r="G4129"/>
      <c r="H4129"/>
      <c r="I4129"/>
      <c r="K4129"/>
      <c r="O4129"/>
      <c r="R4129"/>
      <c r="W4129" s="4"/>
      <c r="X4129" s="4"/>
      <c r="Y4129" s="4"/>
    </row>
    <row r="4130" spans="5:25">
      <c r="E4130"/>
      <c r="G4130"/>
      <c r="H4130"/>
      <c r="I4130"/>
      <c r="K4130"/>
      <c r="O4130"/>
      <c r="R4130"/>
      <c r="W4130" s="4"/>
      <c r="X4130" s="4"/>
      <c r="Y4130" s="4"/>
    </row>
    <row r="4131" spans="5:25">
      <c r="E4131"/>
      <c r="G4131"/>
      <c r="H4131"/>
      <c r="I4131"/>
      <c r="K4131"/>
      <c r="O4131"/>
      <c r="R4131"/>
      <c r="W4131" s="4"/>
      <c r="X4131" s="4"/>
      <c r="Y4131" s="4"/>
    </row>
    <row r="4132" spans="5:25">
      <c r="E4132"/>
      <c r="G4132"/>
      <c r="H4132"/>
      <c r="I4132"/>
      <c r="K4132"/>
      <c r="O4132"/>
      <c r="R4132"/>
      <c r="W4132" s="4"/>
      <c r="X4132" s="4"/>
      <c r="Y4132" s="4"/>
    </row>
    <row r="4133" spans="5:25">
      <c r="E4133"/>
      <c r="G4133"/>
      <c r="H4133"/>
      <c r="I4133"/>
      <c r="K4133"/>
      <c r="O4133"/>
      <c r="R4133"/>
      <c r="W4133" s="4"/>
      <c r="X4133" s="4"/>
      <c r="Y4133" s="4"/>
    </row>
    <row r="4134" spans="5:25">
      <c r="E4134"/>
      <c r="G4134"/>
      <c r="H4134"/>
      <c r="I4134"/>
      <c r="K4134"/>
      <c r="O4134"/>
      <c r="R4134"/>
      <c r="W4134" s="4"/>
      <c r="X4134" s="4"/>
      <c r="Y4134" s="4"/>
    </row>
    <row r="4135" spans="5:25">
      <c r="E4135"/>
      <c r="G4135"/>
      <c r="H4135"/>
      <c r="I4135"/>
      <c r="K4135"/>
      <c r="O4135"/>
      <c r="R4135"/>
      <c r="W4135" s="4"/>
      <c r="X4135" s="4"/>
      <c r="Y4135" s="4"/>
    </row>
    <row r="4136" spans="5:25">
      <c r="E4136"/>
      <c r="G4136"/>
      <c r="H4136"/>
      <c r="I4136"/>
      <c r="K4136"/>
      <c r="O4136"/>
      <c r="R4136"/>
      <c r="W4136" s="4"/>
      <c r="X4136" s="4"/>
      <c r="Y4136" s="4"/>
    </row>
    <row r="4137" spans="5:25">
      <c r="E4137"/>
      <c r="G4137"/>
      <c r="H4137"/>
      <c r="I4137"/>
      <c r="K4137"/>
      <c r="O4137"/>
      <c r="R4137"/>
      <c r="W4137" s="4"/>
      <c r="X4137" s="4"/>
      <c r="Y4137" s="4"/>
    </row>
    <row r="4138" spans="5:25">
      <c r="E4138"/>
      <c r="G4138"/>
      <c r="H4138"/>
      <c r="I4138"/>
      <c r="K4138"/>
      <c r="O4138"/>
      <c r="R4138"/>
      <c r="W4138" s="4"/>
      <c r="X4138" s="4"/>
      <c r="Y4138" s="4"/>
    </row>
    <row r="4139" spans="5:25">
      <c r="E4139"/>
      <c r="G4139"/>
      <c r="H4139"/>
      <c r="I4139"/>
      <c r="K4139"/>
      <c r="O4139"/>
      <c r="R4139"/>
      <c r="W4139" s="4"/>
      <c r="X4139" s="4"/>
      <c r="Y4139" s="4"/>
    </row>
    <row r="4140" spans="5:25">
      <c r="E4140"/>
      <c r="G4140"/>
      <c r="H4140"/>
      <c r="I4140"/>
      <c r="K4140"/>
      <c r="O4140"/>
      <c r="R4140"/>
      <c r="W4140" s="4"/>
      <c r="X4140" s="4"/>
      <c r="Y4140" s="4"/>
    </row>
    <row r="4141" spans="5:25">
      <c r="E4141"/>
      <c r="G4141"/>
      <c r="H4141"/>
      <c r="I4141"/>
      <c r="K4141"/>
      <c r="O4141"/>
      <c r="R4141"/>
      <c r="W4141" s="4"/>
      <c r="X4141" s="4"/>
      <c r="Y4141" s="4"/>
    </row>
    <row r="4142" spans="5:25">
      <c r="E4142"/>
      <c r="G4142"/>
      <c r="H4142"/>
      <c r="I4142"/>
      <c r="K4142"/>
      <c r="O4142"/>
      <c r="R4142"/>
      <c r="W4142" s="4"/>
      <c r="X4142" s="4"/>
      <c r="Y4142" s="4"/>
    </row>
    <row r="4143" spans="5:25">
      <c r="E4143"/>
      <c r="G4143"/>
      <c r="H4143"/>
      <c r="I4143"/>
      <c r="K4143"/>
      <c r="O4143"/>
      <c r="R4143"/>
      <c r="W4143" s="4"/>
      <c r="X4143" s="4"/>
      <c r="Y4143" s="4"/>
    </row>
    <row r="4144" spans="5:25">
      <c r="E4144"/>
      <c r="G4144"/>
      <c r="H4144"/>
      <c r="I4144"/>
      <c r="K4144"/>
      <c r="O4144"/>
      <c r="R4144"/>
      <c r="W4144" s="4"/>
      <c r="X4144" s="4"/>
      <c r="Y4144" s="4"/>
    </row>
    <row r="4145" spans="5:25">
      <c r="E4145"/>
      <c r="G4145"/>
      <c r="H4145"/>
      <c r="I4145"/>
      <c r="K4145"/>
      <c r="O4145"/>
      <c r="R4145"/>
      <c r="W4145" s="4"/>
      <c r="X4145" s="4"/>
      <c r="Y4145" s="4"/>
    </row>
    <row r="4146" spans="5:25">
      <c r="E4146"/>
      <c r="G4146"/>
      <c r="H4146"/>
      <c r="I4146"/>
      <c r="K4146"/>
      <c r="O4146"/>
      <c r="R4146"/>
      <c r="W4146" s="4"/>
      <c r="X4146" s="4"/>
      <c r="Y4146" s="4"/>
    </row>
    <row r="4147" spans="5:25">
      <c r="E4147"/>
      <c r="G4147"/>
      <c r="H4147"/>
      <c r="I4147"/>
      <c r="K4147"/>
      <c r="O4147"/>
      <c r="R4147"/>
      <c r="W4147" s="4"/>
      <c r="X4147" s="4"/>
      <c r="Y4147" s="4"/>
    </row>
    <row r="4148" spans="5:25">
      <c r="E4148"/>
      <c r="G4148"/>
      <c r="H4148"/>
      <c r="I4148"/>
      <c r="K4148"/>
      <c r="O4148"/>
      <c r="R4148"/>
      <c r="W4148" s="4"/>
      <c r="X4148" s="4"/>
      <c r="Y4148" s="4"/>
    </row>
    <row r="4149" spans="5:25">
      <c r="E4149"/>
      <c r="G4149"/>
      <c r="H4149"/>
      <c r="I4149"/>
      <c r="K4149"/>
      <c r="O4149"/>
      <c r="R4149"/>
      <c r="W4149" s="4"/>
      <c r="X4149" s="4"/>
      <c r="Y4149" s="4"/>
    </row>
    <row r="4150" spans="5:25">
      <c r="E4150"/>
      <c r="G4150"/>
      <c r="H4150"/>
      <c r="I4150"/>
      <c r="K4150"/>
      <c r="O4150"/>
      <c r="R4150"/>
      <c r="W4150" s="4"/>
      <c r="X4150" s="4"/>
      <c r="Y4150" s="4"/>
    </row>
    <row r="4151" spans="5:25">
      <c r="E4151"/>
      <c r="G4151"/>
      <c r="H4151"/>
      <c r="I4151"/>
      <c r="K4151"/>
      <c r="O4151"/>
      <c r="R4151"/>
      <c r="W4151" s="4"/>
      <c r="X4151" s="4"/>
      <c r="Y4151" s="4"/>
    </row>
    <row r="4152" spans="5:25">
      <c r="E4152"/>
      <c r="G4152"/>
      <c r="H4152"/>
      <c r="I4152"/>
      <c r="K4152"/>
      <c r="O4152"/>
      <c r="R4152"/>
      <c r="W4152" s="4"/>
      <c r="X4152" s="4"/>
      <c r="Y4152" s="4"/>
    </row>
    <row r="4153" spans="5:25">
      <c r="E4153"/>
      <c r="G4153"/>
      <c r="H4153"/>
      <c r="I4153"/>
      <c r="K4153"/>
      <c r="O4153"/>
      <c r="R4153"/>
      <c r="W4153" s="4"/>
      <c r="X4153" s="4"/>
      <c r="Y4153" s="4"/>
    </row>
    <row r="4154" spans="5:25">
      <c r="E4154"/>
      <c r="G4154"/>
      <c r="H4154"/>
      <c r="I4154"/>
      <c r="K4154"/>
      <c r="O4154"/>
      <c r="R4154"/>
      <c r="W4154" s="4"/>
      <c r="X4154" s="4"/>
      <c r="Y4154" s="4"/>
    </row>
    <row r="4155" spans="5:25">
      <c r="E4155"/>
      <c r="G4155"/>
      <c r="H4155"/>
      <c r="I4155"/>
      <c r="K4155"/>
      <c r="O4155"/>
      <c r="R4155"/>
      <c r="W4155" s="4"/>
      <c r="X4155" s="4"/>
      <c r="Y4155" s="4"/>
    </row>
    <row r="4156" spans="5:25">
      <c r="E4156"/>
      <c r="G4156"/>
      <c r="H4156"/>
      <c r="I4156"/>
      <c r="K4156"/>
      <c r="O4156"/>
      <c r="R4156"/>
      <c r="W4156" s="4"/>
      <c r="X4156" s="4"/>
      <c r="Y4156" s="4"/>
    </row>
    <row r="4157" spans="5:25">
      <c r="E4157"/>
      <c r="G4157"/>
      <c r="H4157"/>
      <c r="I4157"/>
      <c r="K4157"/>
      <c r="O4157"/>
      <c r="R4157"/>
      <c r="W4157" s="4"/>
      <c r="X4157" s="4"/>
      <c r="Y4157" s="4"/>
    </row>
    <row r="4158" spans="5:25">
      <c r="E4158"/>
      <c r="G4158"/>
      <c r="H4158"/>
      <c r="I4158"/>
      <c r="K4158"/>
      <c r="O4158"/>
      <c r="R4158"/>
      <c r="W4158" s="4"/>
      <c r="X4158" s="4"/>
      <c r="Y4158" s="4"/>
    </row>
    <row r="4159" spans="5:25">
      <c r="E4159"/>
      <c r="G4159"/>
      <c r="H4159"/>
      <c r="I4159"/>
      <c r="K4159"/>
      <c r="O4159"/>
      <c r="R4159"/>
      <c r="W4159" s="4"/>
      <c r="X4159" s="4"/>
      <c r="Y4159" s="4"/>
    </row>
    <row r="4160" spans="5:25">
      <c r="E4160"/>
      <c r="G4160"/>
      <c r="H4160"/>
      <c r="I4160"/>
      <c r="K4160"/>
      <c r="O4160"/>
      <c r="R4160"/>
      <c r="W4160" s="4"/>
      <c r="X4160" s="4"/>
      <c r="Y4160" s="4"/>
    </row>
    <row r="4161" spans="5:25">
      <c r="E4161"/>
      <c r="G4161"/>
      <c r="H4161"/>
      <c r="I4161"/>
      <c r="K4161"/>
      <c r="O4161"/>
      <c r="R4161"/>
      <c r="W4161" s="4"/>
      <c r="X4161" s="4"/>
      <c r="Y4161" s="4"/>
    </row>
    <row r="4162" spans="5:25">
      <c r="E4162"/>
      <c r="G4162"/>
      <c r="H4162"/>
      <c r="I4162"/>
      <c r="K4162"/>
      <c r="O4162"/>
      <c r="R4162"/>
      <c r="W4162" s="4"/>
      <c r="X4162" s="4"/>
      <c r="Y4162" s="4"/>
    </row>
    <row r="4163" spans="5:25">
      <c r="E4163"/>
      <c r="G4163"/>
      <c r="H4163"/>
      <c r="I4163"/>
      <c r="K4163"/>
      <c r="O4163"/>
      <c r="R4163"/>
      <c r="W4163" s="4"/>
      <c r="X4163" s="4"/>
      <c r="Y4163" s="4"/>
    </row>
    <row r="4164" spans="5:25">
      <c r="E4164"/>
      <c r="G4164"/>
      <c r="H4164"/>
      <c r="I4164"/>
      <c r="K4164"/>
      <c r="O4164"/>
      <c r="R4164"/>
      <c r="W4164" s="4"/>
      <c r="X4164" s="4"/>
      <c r="Y4164" s="4"/>
    </row>
    <row r="4165" spans="5:25">
      <c r="E4165"/>
      <c r="G4165"/>
      <c r="H4165"/>
      <c r="I4165"/>
      <c r="K4165"/>
      <c r="O4165"/>
      <c r="R4165"/>
      <c r="W4165" s="4"/>
      <c r="X4165" s="4"/>
      <c r="Y4165" s="4"/>
    </row>
    <row r="4166" spans="5:25">
      <c r="E4166"/>
      <c r="G4166"/>
      <c r="H4166"/>
      <c r="I4166"/>
      <c r="K4166"/>
      <c r="O4166"/>
      <c r="R4166"/>
      <c r="W4166" s="4"/>
      <c r="X4166" s="4"/>
      <c r="Y4166" s="4"/>
    </row>
    <row r="4167" spans="5:25">
      <c r="E4167"/>
      <c r="G4167"/>
      <c r="H4167"/>
      <c r="I4167"/>
      <c r="K4167"/>
      <c r="O4167"/>
      <c r="R4167"/>
      <c r="W4167" s="4"/>
      <c r="X4167" s="4"/>
      <c r="Y4167" s="4"/>
    </row>
    <row r="4168" spans="5:25">
      <c r="E4168"/>
      <c r="G4168"/>
      <c r="H4168"/>
      <c r="I4168"/>
      <c r="K4168"/>
      <c r="O4168"/>
      <c r="R4168"/>
      <c r="W4168" s="4"/>
      <c r="X4168" s="4"/>
      <c r="Y4168" s="4"/>
    </row>
    <row r="4169" spans="5:25">
      <c r="E4169"/>
      <c r="G4169"/>
      <c r="H4169"/>
      <c r="I4169"/>
      <c r="K4169"/>
      <c r="O4169"/>
      <c r="R4169"/>
      <c r="W4169" s="4"/>
      <c r="X4169" s="4"/>
      <c r="Y4169" s="4"/>
    </row>
    <row r="4170" spans="5:25">
      <c r="E4170"/>
      <c r="G4170"/>
      <c r="H4170"/>
      <c r="I4170"/>
      <c r="K4170"/>
      <c r="O4170"/>
      <c r="R4170"/>
      <c r="W4170" s="4"/>
      <c r="X4170" s="4"/>
      <c r="Y4170" s="4"/>
    </row>
    <row r="4171" spans="5:25">
      <c r="E4171"/>
      <c r="G4171"/>
      <c r="H4171"/>
      <c r="I4171"/>
      <c r="K4171"/>
      <c r="O4171"/>
      <c r="R4171"/>
      <c r="W4171" s="4"/>
      <c r="X4171" s="4"/>
      <c r="Y4171" s="4"/>
    </row>
    <row r="4172" spans="5:25">
      <c r="E4172"/>
      <c r="G4172"/>
      <c r="H4172"/>
      <c r="I4172"/>
      <c r="K4172"/>
      <c r="O4172"/>
      <c r="R4172"/>
      <c r="W4172" s="4"/>
      <c r="X4172" s="4"/>
      <c r="Y4172" s="4"/>
    </row>
    <row r="4173" spans="5:25">
      <c r="E4173"/>
      <c r="G4173"/>
      <c r="H4173"/>
      <c r="I4173"/>
      <c r="K4173"/>
      <c r="O4173"/>
      <c r="R4173"/>
      <c r="W4173" s="4"/>
      <c r="X4173" s="4"/>
      <c r="Y4173" s="4"/>
    </row>
    <row r="4174" spans="5:25">
      <c r="E4174"/>
      <c r="G4174"/>
      <c r="H4174"/>
      <c r="I4174"/>
      <c r="K4174"/>
      <c r="O4174"/>
      <c r="R4174"/>
      <c r="W4174" s="4"/>
      <c r="X4174" s="4"/>
      <c r="Y4174" s="4"/>
    </row>
    <row r="4175" spans="5:25">
      <c r="E4175"/>
      <c r="G4175"/>
      <c r="H4175"/>
      <c r="I4175"/>
      <c r="K4175"/>
      <c r="O4175"/>
      <c r="R4175"/>
      <c r="W4175" s="4"/>
      <c r="X4175" s="4"/>
      <c r="Y4175" s="4"/>
    </row>
    <row r="4176" spans="5:25">
      <c r="E4176"/>
      <c r="G4176"/>
      <c r="H4176"/>
      <c r="I4176"/>
      <c r="K4176"/>
      <c r="O4176"/>
      <c r="R4176"/>
      <c r="W4176" s="4"/>
      <c r="X4176" s="4"/>
      <c r="Y4176" s="4"/>
    </row>
    <row r="4177" spans="5:25">
      <c r="E4177"/>
      <c r="G4177"/>
      <c r="H4177"/>
      <c r="I4177"/>
      <c r="K4177"/>
      <c r="O4177"/>
      <c r="R4177"/>
      <c r="W4177" s="4"/>
      <c r="X4177" s="4"/>
      <c r="Y4177" s="4"/>
    </row>
    <row r="4178" spans="5:25">
      <c r="E4178"/>
      <c r="G4178"/>
      <c r="H4178"/>
      <c r="I4178"/>
      <c r="K4178"/>
      <c r="O4178"/>
      <c r="R4178"/>
      <c r="W4178" s="4"/>
      <c r="X4178" s="4"/>
      <c r="Y4178" s="4"/>
    </row>
    <row r="4179" spans="5:25">
      <c r="E4179"/>
      <c r="G4179"/>
      <c r="H4179"/>
      <c r="I4179"/>
      <c r="K4179"/>
      <c r="O4179"/>
      <c r="R4179"/>
      <c r="W4179" s="4"/>
      <c r="X4179" s="4"/>
      <c r="Y4179" s="4"/>
    </row>
    <row r="4180" spans="5:25">
      <c r="E4180"/>
      <c r="G4180"/>
      <c r="H4180"/>
      <c r="I4180"/>
      <c r="K4180"/>
      <c r="O4180"/>
      <c r="R4180"/>
      <c r="W4180" s="4"/>
      <c r="X4180" s="4"/>
      <c r="Y4180" s="4"/>
    </row>
    <row r="4181" spans="5:25">
      <c r="E4181"/>
      <c r="G4181"/>
      <c r="H4181"/>
      <c r="I4181"/>
      <c r="K4181"/>
      <c r="O4181"/>
      <c r="R4181"/>
      <c r="W4181" s="4"/>
      <c r="X4181" s="4"/>
      <c r="Y4181" s="4"/>
    </row>
    <row r="4182" spans="5:25">
      <c r="E4182"/>
      <c r="G4182"/>
      <c r="H4182"/>
      <c r="I4182"/>
      <c r="K4182"/>
      <c r="O4182"/>
      <c r="R4182"/>
      <c r="W4182" s="4"/>
      <c r="X4182" s="4"/>
      <c r="Y4182" s="4"/>
    </row>
    <row r="4183" spans="5:25">
      <c r="E4183"/>
      <c r="G4183"/>
      <c r="H4183"/>
      <c r="I4183"/>
      <c r="K4183"/>
      <c r="O4183"/>
      <c r="R4183"/>
      <c r="W4183" s="4"/>
      <c r="X4183" s="4"/>
      <c r="Y4183" s="4"/>
    </row>
    <row r="4184" spans="5:25">
      <c r="E4184"/>
      <c r="G4184"/>
      <c r="H4184"/>
      <c r="I4184"/>
      <c r="K4184"/>
      <c r="O4184"/>
      <c r="R4184"/>
      <c r="W4184" s="4"/>
      <c r="X4184" s="4"/>
      <c r="Y4184" s="4"/>
    </row>
    <row r="4185" spans="5:25">
      <c r="E4185"/>
      <c r="G4185"/>
      <c r="H4185"/>
      <c r="I4185"/>
      <c r="K4185"/>
      <c r="O4185"/>
      <c r="R4185"/>
      <c r="W4185" s="4"/>
      <c r="X4185" s="4"/>
      <c r="Y4185" s="4"/>
    </row>
    <row r="4186" spans="5:25">
      <c r="E4186"/>
      <c r="G4186"/>
      <c r="H4186"/>
      <c r="I4186"/>
      <c r="K4186"/>
      <c r="O4186"/>
      <c r="R4186"/>
      <c r="W4186" s="4"/>
      <c r="X4186" s="4"/>
      <c r="Y4186" s="4"/>
    </row>
    <row r="4187" spans="5:25">
      <c r="E4187"/>
      <c r="G4187"/>
      <c r="H4187"/>
      <c r="I4187"/>
      <c r="K4187"/>
      <c r="O4187"/>
      <c r="R4187"/>
      <c r="W4187" s="4"/>
      <c r="X4187" s="4"/>
      <c r="Y4187" s="4"/>
    </row>
    <row r="4188" spans="5:25">
      <c r="E4188"/>
      <c r="G4188"/>
      <c r="H4188"/>
      <c r="I4188"/>
      <c r="K4188"/>
      <c r="O4188"/>
      <c r="R4188"/>
      <c r="W4188" s="4"/>
      <c r="X4188" s="4"/>
      <c r="Y4188" s="4"/>
    </row>
    <row r="4189" spans="5:25">
      <c r="E4189"/>
      <c r="G4189"/>
      <c r="H4189"/>
      <c r="I4189"/>
      <c r="K4189"/>
      <c r="O4189"/>
      <c r="R4189"/>
      <c r="W4189" s="4"/>
      <c r="X4189" s="4"/>
      <c r="Y4189" s="4"/>
    </row>
    <row r="4190" spans="5:25">
      <c r="E4190"/>
      <c r="G4190"/>
      <c r="H4190"/>
      <c r="I4190"/>
      <c r="K4190"/>
      <c r="O4190"/>
      <c r="R4190"/>
      <c r="W4190" s="4"/>
      <c r="X4190" s="4"/>
      <c r="Y4190" s="4"/>
    </row>
    <row r="4191" spans="5:25">
      <c r="E4191"/>
      <c r="G4191"/>
      <c r="H4191"/>
      <c r="I4191"/>
      <c r="K4191"/>
      <c r="O4191"/>
      <c r="R4191"/>
      <c r="W4191" s="4"/>
      <c r="X4191" s="4"/>
      <c r="Y4191" s="4"/>
    </row>
    <row r="4192" spans="5:25">
      <c r="E4192"/>
      <c r="G4192"/>
      <c r="H4192"/>
      <c r="I4192"/>
      <c r="K4192"/>
      <c r="O4192"/>
      <c r="R4192"/>
      <c r="W4192" s="4"/>
      <c r="X4192" s="4"/>
      <c r="Y4192" s="4"/>
    </row>
    <row r="4193" spans="5:25">
      <c r="E4193"/>
      <c r="G4193"/>
      <c r="H4193"/>
      <c r="I4193"/>
      <c r="K4193"/>
      <c r="O4193"/>
      <c r="R4193"/>
      <c r="W4193" s="4"/>
      <c r="X4193" s="4"/>
      <c r="Y4193" s="4"/>
    </row>
    <row r="4194" spans="5:25">
      <c r="E4194"/>
      <c r="G4194"/>
      <c r="H4194"/>
      <c r="I4194"/>
      <c r="K4194"/>
      <c r="O4194"/>
      <c r="R4194"/>
      <c r="W4194" s="4"/>
      <c r="X4194" s="4"/>
      <c r="Y4194" s="4"/>
    </row>
    <row r="4195" spans="5:25">
      <c r="E4195"/>
      <c r="G4195"/>
      <c r="H4195"/>
      <c r="I4195"/>
      <c r="K4195"/>
      <c r="O4195"/>
      <c r="R4195"/>
      <c r="W4195" s="4"/>
      <c r="X4195" s="4"/>
      <c r="Y4195" s="4"/>
    </row>
    <row r="4196" spans="5:25">
      <c r="E4196"/>
      <c r="G4196"/>
      <c r="H4196"/>
      <c r="I4196"/>
      <c r="K4196"/>
      <c r="O4196"/>
      <c r="R4196"/>
      <c r="W4196" s="4"/>
      <c r="X4196" s="4"/>
      <c r="Y4196" s="4"/>
    </row>
    <row r="4197" spans="5:25">
      <c r="E4197"/>
      <c r="G4197"/>
      <c r="H4197"/>
      <c r="I4197"/>
      <c r="K4197"/>
      <c r="O4197"/>
      <c r="R4197"/>
      <c r="W4197" s="4"/>
      <c r="X4197" s="4"/>
      <c r="Y4197" s="4"/>
    </row>
    <row r="4198" spans="5:25">
      <c r="E4198"/>
      <c r="G4198"/>
      <c r="H4198"/>
      <c r="I4198"/>
      <c r="K4198"/>
      <c r="O4198"/>
      <c r="R4198"/>
      <c r="W4198" s="4"/>
      <c r="X4198" s="4"/>
      <c r="Y4198" s="4"/>
    </row>
    <row r="4199" spans="5:25">
      <c r="E4199"/>
      <c r="G4199"/>
      <c r="H4199"/>
      <c r="I4199"/>
      <c r="K4199"/>
      <c r="O4199"/>
      <c r="R4199"/>
      <c r="W4199" s="4"/>
      <c r="X4199" s="4"/>
      <c r="Y4199" s="4"/>
    </row>
    <row r="4200" spans="5:25">
      <c r="E4200"/>
      <c r="G4200"/>
      <c r="H4200"/>
      <c r="I4200"/>
      <c r="K4200"/>
      <c r="O4200"/>
      <c r="R4200"/>
      <c r="W4200" s="4"/>
      <c r="X4200" s="4"/>
      <c r="Y4200" s="4"/>
    </row>
    <row r="4201" spans="5:25">
      <c r="E4201"/>
      <c r="G4201"/>
      <c r="H4201"/>
      <c r="I4201"/>
      <c r="K4201"/>
      <c r="O4201"/>
      <c r="R4201"/>
      <c r="W4201" s="4"/>
      <c r="X4201" s="4"/>
      <c r="Y4201" s="4"/>
    </row>
    <row r="4202" spans="5:25">
      <c r="E4202"/>
      <c r="G4202"/>
      <c r="H4202"/>
      <c r="I4202"/>
      <c r="K4202"/>
      <c r="O4202"/>
      <c r="R4202"/>
      <c r="W4202" s="4"/>
      <c r="X4202" s="4"/>
      <c r="Y4202" s="4"/>
    </row>
    <row r="4203" spans="5:25">
      <c r="E4203"/>
      <c r="G4203"/>
      <c r="H4203"/>
      <c r="I4203"/>
      <c r="K4203"/>
      <c r="O4203"/>
      <c r="R4203"/>
      <c r="W4203" s="4"/>
      <c r="X4203" s="4"/>
      <c r="Y4203" s="4"/>
    </row>
    <row r="4204" spans="5:25">
      <c r="E4204"/>
      <c r="G4204"/>
      <c r="H4204"/>
      <c r="I4204"/>
      <c r="K4204"/>
      <c r="O4204"/>
      <c r="R4204"/>
      <c r="W4204" s="4"/>
      <c r="X4204" s="4"/>
      <c r="Y4204" s="4"/>
    </row>
    <row r="4205" spans="5:25">
      <c r="E4205"/>
      <c r="G4205"/>
      <c r="H4205"/>
      <c r="I4205"/>
      <c r="K4205"/>
      <c r="O4205"/>
      <c r="R4205"/>
      <c r="W4205" s="4"/>
      <c r="X4205" s="4"/>
      <c r="Y4205" s="4"/>
    </row>
    <row r="4206" spans="5:25">
      <c r="E4206"/>
      <c r="G4206"/>
      <c r="H4206"/>
      <c r="I4206"/>
      <c r="K4206"/>
      <c r="O4206"/>
      <c r="R4206"/>
      <c r="W4206" s="4"/>
      <c r="X4206" s="4"/>
      <c r="Y4206" s="4"/>
    </row>
    <row r="4207" spans="5:25">
      <c r="E4207"/>
      <c r="G4207"/>
      <c r="H4207"/>
      <c r="I4207"/>
      <c r="K4207"/>
      <c r="O4207"/>
      <c r="R4207"/>
      <c r="W4207" s="4"/>
      <c r="X4207" s="4"/>
      <c r="Y4207" s="4"/>
    </row>
    <row r="4208" spans="5:25">
      <c r="E4208"/>
      <c r="G4208"/>
      <c r="H4208"/>
      <c r="I4208"/>
      <c r="K4208"/>
      <c r="O4208"/>
      <c r="R4208"/>
      <c r="W4208" s="4"/>
      <c r="X4208" s="4"/>
      <c r="Y4208" s="4"/>
    </row>
    <row r="4209" spans="5:25">
      <c r="E4209"/>
      <c r="G4209"/>
      <c r="H4209"/>
      <c r="I4209"/>
      <c r="K4209"/>
      <c r="O4209"/>
      <c r="R4209"/>
      <c r="W4209" s="4"/>
      <c r="X4209" s="4"/>
      <c r="Y4209" s="4"/>
    </row>
    <row r="4210" spans="5:25">
      <c r="E4210"/>
      <c r="G4210"/>
      <c r="H4210"/>
      <c r="I4210"/>
      <c r="K4210"/>
      <c r="O4210"/>
      <c r="R4210"/>
      <c r="W4210" s="4"/>
      <c r="X4210" s="4"/>
      <c r="Y4210" s="4"/>
    </row>
    <row r="4211" spans="5:25">
      <c r="E4211"/>
      <c r="G4211"/>
      <c r="H4211"/>
      <c r="I4211"/>
      <c r="K4211"/>
      <c r="O4211"/>
      <c r="R4211"/>
      <c r="W4211" s="4"/>
      <c r="X4211" s="4"/>
      <c r="Y4211" s="4"/>
    </row>
    <row r="4212" spans="5:25">
      <c r="E4212"/>
      <c r="G4212"/>
      <c r="H4212"/>
      <c r="I4212"/>
      <c r="K4212"/>
      <c r="O4212"/>
      <c r="R4212"/>
      <c r="W4212" s="4"/>
      <c r="X4212" s="4"/>
      <c r="Y4212" s="4"/>
    </row>
    <row r="4213" spans="5:25">
      <c r="E4213"/>
      <c r="G4213"/>
      <c r="H4213"/>
      <c r="I4213"/>
      <c r="K4213"/>
      <c r="O4213"/>
      <c r="R4213"/>
      <c r="W4213" s="4"/>
      <c r="X4213" s="4"/>
      <c r="Y4213" s="4"/>
    </row>
    <row r="4214" spans="5:25">
      <c r="E4214"/>
      <c r="G4214"/>
      <c r="H4214"/>
      <c r="I4214"/>
      <c r="K4214"/>
      <c r="O4214"/>
      <c r="R4214"/>
      <c r="W4214" s="4"/>
      <c r="X4214" s="4"/>
      <c r="Y4214" s="4"/>
    </row>
    <row r="4215" spans="5:25">
      <c r="E4215"/>
      <c r="G4215"/>
      <c r="H4215"/>
      <c r="I4215"/>
      <c r="K4215"/>
      <c r="O4215"/>
      <c r="R4215"/>
      <c r="W4215" s="4"/>
      <c r="X4215" s="4"/>
      <c r="Y4215" s="4"/>
    </row>
    <row r="4216" spans="5:25">
      <c r="E4216"/>
      <c r="G4216"/>
      <c r="H4216"/>
      <c r="I4216"/>
      <c r="K4216"/>
      <c r="O4216"/>
      <c r="R4216"/>
      <c r="W4216" s="4"/>
      <c r="X4216" s="4"/>
      <c r="Y4216" s="4"/>
    </row>
    <row r="4217" spans="5:25">
      <c r="E4217"/>
      <c r="G4217"/>
      <c r="H4217"/>
      <c r="I4217"/>
      <c r="K4217"/>
      <c r="O4217"/>
      <c r="R4217"/>
      <c r="W4217" s="4"/>
      <c r="X4217" s="4"/>
      <c r="Y4217" s="4"/>
    </row>
    <row r="4218" spans="5:25">
      <c r="E4218"/>
      <c r="G4218"/>
      <c r="H4218"/>
      <c r="I4218"/>
      <c r="K4218"/>
      <c r="O4218"/>
      <c r="R4218"/>
      <c r="W4218" s="4"/>
      <c r="X4218" s="4"/>
      <c r="Y4218" s="4"/>
    </row>
    <row r="4219" spans="5:25">
      <c r="E4219"/>
      <c r="G4219"/>
      <c r="H4219"/>
      <c r="I4219"/>
      <c r="K4219"/>
      <c r="O4219"/>
      <c r="R4219"/>
      <c r="W4219" s="4"/>
      <c r="X4219" s="4"/>
      <c r="Y4219" s="4"/>
    </row>
    <row r="4220" spans="5:25">
      <c r="E4220"/>
      <c r="G4220"/>
      <c r="H4220"/>
      <c r="I4220"/>
      <c r="K4220"/>
      <c r="O4220"/>
      <c r="R4220"/>
      <c r="W4220" s="4"/>
      <c r="X4220" s="4"/>
      <c r="Y4220" s="4"/>
    </row>
    <row r="4221" spans="5:25">
      <c r="E4221"/>
      <c r="G4221"/>
      <c r="H4221"/>
      <c r="I4221"/>
      <c r="K4221"/>
      <c r="O4221"/>
      <c r="R4221"/>
      <c r="W4221" s="4"/>
      <c r="X4221" s="4"/>
      <c r="Y4221" s="4"/>
    </row>
    <row r="4222" spans="5:25">
      <c r="E4222"/>
      <c r="G4222"/>
      <c r="H4222"/>
      <c r="I4222"/>
      <c r="K4222"/>
      <c r="O4222"/>
      <c r="R4222"/>
      <c r="W4222" s="4"/>
      <c r="X4222" s="4"/>
      <c r="Y4222" s="4"/>
    </row>
    <row r="4223" spans="5:25">
      <c r="E4223"/>
      <c r="G4223"/>
      <c r="H4223"/>
      <c r="I4223"/>
      <c r="K4223"/>
      <c r="O4223"/>
      <c r="R4223"/>
      <c r="W4223" s="4"/>
      <c r="X4223" s="4"/>
      <c r="Y4223" s="4"/>
    </row>
    <row r="4224" spans="5:25">
      <c r="E4224"/>
      <c r="G4224"/>
      <c r="H4224"/>
      <c r="I4224"/>
      <c r="K4224"/>
      <c r="O4224"/>
      <c r="R4224"/>
      <c r="W4224" s="4"/>
      <c r="X4224" s="4"/>
      <c r="Y4224" s="4"/>
    </row>
    <row r="4225" spans="5:25">
      <c r="E4225"/>
      <c r="G4225"/>
      <c r="H4225"/>
      <c r="I4225"/>
      <c r="K4225"/>
      <c r="O4225"/>
      <c r="R4225"/>
      <c r="W4225" s="4"/>
      <c r="X4225" s="4"/>
      <c r="Y4225" s="4"/>
    </row>
    <row r="4226" spans="5:25">
      <c r="E4226"/>
      <c r="G4226"/>
      <c r="H4226"/>
      <c r="I4226"/>
      <c r="K4226"/>
      <c r="O4226"/>
      <c r="R4226"/>
      <c r="W4226" s="4"/>
      <c r="X4226" s="4"/>
      <c r="Y4226" s="4"/>
    </row>
    <row r="4227" spans="5:25">
      <c r="E4227"/>
      <c r="G4227"/>
      <c r="H4227"/>
      <c r="I4227"/>
      <c r="K4227"/>
      <c r="O4227"/>
      <c r="R4227"/>
      <c r="W4227" s="4"/>
      <c r="X4227" s="4"/>
      <c r="Y4227" s="4"/>
    </row>
    <row r="4228" spans="5:25">
      <c r="E4228"/>
      <c r="G4228"/>
      <c r="H4228"/>
      <c r="I4228"/>
      <c r="K4228"/>
      <c r="O4228"/>
      <c r="R4228"/>
      <c r="W4228" s="4"/>
      <c r="X4228" s="4"/>
      <c r="Y4228" s="4"/>
    </row>
    <row r="4229" spans="5:25">
      <c r="E4229"/>
      <c r="G4229"/>
      <c r="H4229"/>
      <c r="I4229"/>
      <c r="K4229"/>
      <c r="O4229"/>
      <c r="R4229"/>
      <c r="W4229" s="4"/>
      <c r="X4229" s="4"/>
      <c r="Y4229" s="4"/>
    </row>
    <row r="4230" spans="5:25">
      <c r="E4230"/>
      <c r="G4230"/>
      <c r="H4230"/>
      <c r="I4230"/>
      <c r="K4230"/>
      <c r="O4230"/>
      <c r="R4230"/>
      <c r="W4230" s="4"/>
      <c r="X4230" s="4"/>
      <c r="Y4230" s="4"/>
    </row>
    <row r="4231" spans="5:25">
      <c r="E4231"/>
      <c r="G4231"/>
      <c r="H4231"/>
      <c r="I4231"/>
      <c r="K4231"/>
      <c r="O4231"/>
      <c r="R4231"/>
      <c r="W4231" s="4"/>
      <c r="X4231" s="4"/>
      <c r="Y4231" s="4"/>
    </row>
    <row r="4232" spans="5:25">
      <c r="E4232"/>
      <c r="G4232"/>
      <c r="H4232"/>
      <c r="I4232"/>
      <c r="K4232"/>
      <c r="O4232"/>
      <c r="R4232"/>
      <c r="W4232" s="4"/>
      <c r="X4232" s="4"/>
      <c r="Y4232" s="4"/>
    </row>
    <row r="4233" spans="5:25">
      <c r="E4233"/>
      <c r="G4233"/>
      <c r="H4233"/>
      <c r="I4233"/>
      <c r="K4233"/>
      <c r="O4233"/>
      <c r="R4233"/>
      <c r="W4233" s="4"/>
      <c r="X4233" s="4"/>
      <c r="Y4233" s="4"/>
    </row>
    <row r="4234" spans="5:25">
      <c r="E4234"/>
      <c r="G4234"/>
      <c r="H4234"/>
      <c r="I4234"/>
      <c r="K4234"/>
      <c r="O4234"/>
      <c r="R4234"/>
      <c r="W4234" s="4"/>
      <c r="X4234" s="4"/>
      <c r="Y4234" s="4"/>
    </row>
    <row r="4235" spans="5:25">
      <c r="E4235"/>
      <c r="G4235"/>
      <c r="H4235"/>
      <c r="I4235"/>
      <c r="K4235"/>
      <c r="O4235"/>
      <c r="R4235"/>
      <c r="W4235" s="4"/>
      <c r="X4235" s="4"/>
      <c r="Y4235" s="4"/>
    </row>
    <row r="4236" spans="5:25">
      <c r="E4236"/>
      <c r="G4236"/>
      <c r="H4236"/>
      <c r="I4236"/>
      <c r="K4236"/>
      <c r="O4236"/>
      <c r="R4236"/>
      <c r="W4236" s="4"/>
      <c r="X4236" s="4"/>
      <c r="Y4236" s="4"/>
    </row>
    <row r="4237" spans="5:25">
      <c r="E4237"/>
      <c r="G4237"/>
      <c r="H4237"/>
      <c r="I4237"/>
      <c r="K4237"/>
      <c r="O4237"/>
      <c r="R4237"/>
      <c r="W4237" s="4"/>
      <c r="X4237" s="4"/>
      <c r="Y4237" s="4"/>
    </row>
    <row r="4238" spans="5:25">
      <c r="E4238"/>
      <c r="G4238"/>
      <c r="H4238"/>
      <c r="I4238"/>
      <c r="K4238"/>
      <c r="O4238"/>
      <c r="R4238"/>
      <c r="W4238" s="4"/>
      <c r="X4238" s="4"/>
      <c r="Y4238" s="4"/>
    </row>
    <row r="4239" spans="5:25">
      <c r="E4239"/>
      <c r="G4239"/>
      <c r="H4239"/>
      <c r="I4239"/>
      <c r="K4239"/>
      <c r="O4239"/>
      <c r="R4239"/>
      <c r="W4239" s="4"/>
      <c r="X4239" s="4"/>
      <c r="Y4239" s="4"/>
    </row>
    <row r="4240" spans="5:25">
      <c r="E4240"/>
      <c r="G4240"/>
      <c r="H4240"/>
      <c r="I4240"/>
      <c r="K4240"/>
      <c r="O4240"/>
      <c r="R4240"/>
      <c r="W4240" s="4"/>
      <c r="X4240" s="4"/>
      <c r="Y4240" s="4"/>
    </row>
    <row r="4241" spans="5:25">
      <c r="E4241"/>
      <c r="G4241"/>
      <c r="H4241"/>
      <c r="I4241"/>
      <c r="K4241"/>
      <c r="O4241"/>
      <c r="R4241"/>
      <c r="W4241" s="4"/>
      <c r="X4241" s="4"/>
      <c r="Y4241" s="4"/>
    </row>
    <row r="4242" spans="5:25">
      <c r="E4242"/>
      <c r="G4242"/>
      <c r="H4242"/>
      <c r="I4242"/>
      <c r="K4242"/>
      <c r="O4242"/>
      <c r="R4242"/>
      <c r="W4242" s="4"/>
      <c r="X4242" s="4"/>
      <c r="Y4242" s="4"/>
    </row>
    <row r="4243" spans="5:25">
      <c r="E4243"/>
      <c r="G4243"/>
      <c r="H4243"/>
      <c r="I4243"/>
      <c r="K4243"/>
      <c r="O4243"/>
      <c r="R4243"/>
      <c r="W4243" s="4"/>
      <c r="X4243" s="4"/>
      <c r="Y4243" s="4"/>
    </row>
    <row r="4244" spans="5:25">
      <c r="E4244"/>
      <c r="G4244"/>
      <c r="H4244"/>
      <c r="I4244"/>
      <c r="K4244"/>
      <c r="O4244"/>
      <c r="R4244"/>
      <c r="W4244" s="4"/>
      <c r="X4244" s="4"/>
      <c r="Y4244" s="4"/>
    </row>
    <row r="4245" spans="5:25">
      <c r="E4245"/>
      <c r="G4245"/>
      <c r="H4245"/>
      <c r="I4245"/>
      <c r="K4245"/>
      <c r="O4245"/>
      <c r="R4245"/>
      <c r="W4245" s="4"/>
      <c r="X4245" s="4"/>
      <c r="Y4245" s="4"/>
    </row>
    <row r="4246" spans="5:25">
      <c r="E4246"/>
      <c r="G4246"/>
      <c r="H4246"/>
      <c r="I4246"/>
      <c r="K4246"/>
      <c r="O4246"/>
      <c r="R4246"/>
      <c r="W4246" s="4"/>
      <c r="X4246" s="4"/>
      <c r="Y4246" s="4"/>
    </row>
    <row r="4247" spans="5:25">
      <c r="E4247"/>
      <c r="G4247"/>
      <c r="H4247"/>
      <c r="I4247"/>
      <c r="K4247"/>
      <c r="O4247"/>
      <c r="R4247"/>
      <c r="W4247" s="4"/>
      <c r="X4247" s="4"/>
      <c r="Y4247" s="4"/>
    </row>
    <row r="4248" spans="5:25">
      <c r="E4248"/>
      <c r="G4248"/>
      <c r="H4248"/>
      <c r="I4248"/>
      <c r="K4248"/>
      <c r="O4248"/>
      <c r="R4248"/>
      <c r="W4248" s="4"/>
      <c r="X4248" s="4"/>
      <c r="Y4248" s="4"/>
    </row>
    <row r="4249" spans="5:25">
      <c r="E4249"/>
      <c r="G4249"/>
      <c r="H4249"/>
      <c r="I4249"/>
      <c r="K4249"/>
      <c r="O4249"/>
      <c r="R4249"/>
      <c r="W4249" s="4"/>
      <c r="X4249" s="4"/>
      <c r="Y4249" s="4"/>
    </row>
    <row r="4250" spans="5:25">
      <c r="E4250"/>
      <c r="G4250"/>
      <c r="H4250"/>
      <c r="I4250"/>
      <c r="K4250"/>
      <c r="O4250"/>
      <c r="R4250"/>
      <c r="W4250" s="4"/>
      <c r="X4250" s="4"/>
      <c r="Y4250" s="4"/>
    </row>
    <row r="4251" spans="5:25">
      <c r="E4251"/>
      <c r="G4251"/>
      <c r="H4251"/>
      <c r="I4251"/>
      <c r="K4251"/>
      <c r="O4251"/>
      <c r="R4251"/>
      <c r="W4251" s="4"/>
      <c r="X4251" s="4"/>
      <c r="Y4251" s="4"/>
    </row>
    <row r="4252" spans="5:25">
      <c r="E4252"/>
      <c r="G4252"/>
      <c r="H4252"/>
      <c r="I4252"/>
      <c r="K4252"/>
      <c r="O4252"/>
      <c r="R4252"/>
      <c r="W4252" s="4"/>
      <c r="X4252" s="4"/>
      <c r="Y4252" s="4"/>
    </row>
    <row r="4253" spans="5:25">
      <c r="E4253"/>
      <c r="G4253"/>
      <c r="H4253"/>
      <c r="I4253"/>
      <c r="K4253"/>
      <c r="O4253"/>
      <c r="R4253"/>
      <c r="W4253" s="4"/>
      <c r="X4253" s="4"/>
      <c r="Y4253" s="4"/>
    </row>
    <row r="4254" spans="5:25">
      <c r="E4254"/>
      <c r="G4254"/>
      <c r="H4254"/>
      <c r="I4254"/>
      <c r="K4254"/>
      <c r="O4254"/>
      <c r="R4254"/>
      <c r="W4254" s="4"/>
      <c r="X4254" s="4"/>
      <c r="Y4254" s="4"/>
    </row>
    <row r="4255" spans="5:25">
      <c r="E4255"/>
      <c r="G4255"/>
      <c r="H4255"/>
      <c r="I4255"/>
      <c r="K4255"/>
      <c r="O4255"/>
      <c r="R4255"/>
      <c r="W4255" s="4"/>
      <c r="X4255" s="4"/>
      <c r="Y4255" s="4"/>
    </row>
    <row r="4256" spans="5:25">
      <c r="E4256"/>
      <c r="G4256"/>
      <c r="H4256"/>
      <c r="I4256"/>
      <c r="K4256"/>
      <c r="O4256"/>
      <c r="R4256"/>
      <c r="W4256" s="4"/>
      <c r="X4256" s="4"/>
      <c r="Y4256" s="4"/>
    </row>
    <row r="4257" spans="5:25">
      <c r="E4257"/>
      <c r="G4257"/>
      <c r="H4257"/>
      <c r="I4257"/>
      <c r="K4257"/>
      <c r="O4257"/>
      <c r="R4257"/>
      <c r="W4257" s="4"/>
      <c r="X4257" s="4"/>
      <c r="Y4257" s="4"/>
    </row>
    <row r="4258" spans="5:25">
      <c r="E4258"/>
      <c r="G4258"/>
      <c r="H4258"/>
      <c r="I4258"/>
      <c r="K4258"/>
      <c r="O4258"/>
      <c r="R4258"/>
      <c r="W4258" s="4"/>
      <c r="X4258" s="4"/>
      <c r="Y4258" s="4"/>
    </row>
    <row r="4259" spans="5:25">
      <c r="E4259"/>
      <c r="G4259"/>
      <c r="H4259"/>
      <c r="I4259"/>
      <c r="K4259"/>
      <c r="O4259"/>
      <c r="R4259"/>
      <c r="W4259" s="4"/>
      <c r="X4259" s="4"/>
      <c r="Y4259" s="4"/>
    </row>
    <row r="4260" spans="5:25">
      <c r="E4260"/>
      <c r="G4260"/>
      <c r="H4260"/>
      <c r="I4260"/>
      <c r="K4260"/>
      <c r="O4260"/>
      <c r="R4260"/>
      <c r="W4260" s="4"/>
      <c r="X4260" s="4"/>
      <c r="Y4260" s="4"/>
    </row>
    <row r="4261" spans="5:25">
      <c r="E4261"/>
      <c r="G4261"/>
      <c r="H4261"/>
      <c r="I4261"/>
      <c r="K4261"/>
      <c r="O4261"/>
      <c r="R4261"/>
      <c r="W4261" s="4"/>
      <c r="X4261" s="4"/>
      <c r="Y4261" s="4"/>
    </row>
    <row r="4262" spans="5:25">
      <c r="E4262"/>
      <c r="G4262"/>
      <c r="H4262"/>
      <c r="I4262"/>
      <c r="K4262"/>
      <c r="O4262"/>
      <c r="R4262"/>
      <c r="W4262" s="4"/>
      <c r="X4262" s="4"/>
      <c r="Y4262" s="4"/>
    </row>
    <row r="4263" spans="5:25">
      <c r="E4263"/>
      <c r="G4263"/>
      <c r="H4263"/>
      <c r="I4263"/>
      <c r="K4263"/>
      <c r="O4263"/>
      <c r="R4263"/>
      <c r="W4263" s="4"/>
      <c r="X4263" s="4"/>
      <c r="Y4263" s="4"/>
    </row>
    <row r="4264" spans="5:25">
      <c r="E4264"/>
      <c r="G4264"/>
      <c r="H4264"/>
      <c r="I4264"/>
      <c r="K4264"/>
      <c r="O4264"/>
      <c r="R4264"/>
      <c r="W4264" s="4"/>
      <c r="X4264" s="4"/>
      <c r="Y4264" s="4"/>
    </row>
    <row r="4265" spans="5:25">
      <c r="E4265"/>
      <c r="G4265"/>
      <c r="H4265"/>
      <c r="I4265"/>
      <c r="K4265"/>
      <c r="O4265"/>
      <c r="R4265"/>
      <c r="W4265" s="4"/>
      <c r="X4265" s="4"/>
      <c r="Y4265" s="4"/>
    </row>
    <row r="4266" spans="5:25">
      <c r="E4266"/>
      <c r="G4266"/>
      <c r="H4266"/>
      <c r="I4266"/>
      <c r="K4266"/>
      <c r="O4266"/>
      <c r="R4266"/>
      <c r="W4266" s="4"/>
      <c r="X4266" s="4"/>
      <c r="Y4266" s="4"/>
    </row>
    <row r="4267" spans="5:25">
      <c r="E4267"/>
      <c r="G4267"/>
      <c r="H4267"/>
      <c r="I4267"/>
      <c r="K4267"/>
      <c r="O4267"/>
      <c r="R4267"/>
      <c r="W4267" s="4"/>
      <c r="X4267" s="4"/>
      <c r="Y4267" s="4"/>
    </row>
    <row r="4268" spans="5:25">
      <c r="E4268"/>
      <c r="G4268"/>
      <c r="H4268"/>
      <c r="I4268"/>
      <c r="K4268"/>
      <c r="O4268"/>
      <c r="R4268"/>
      <c r="W4268" s="4"/>
      <c r="X4268" s="4"/>
      <c r="Y4268" s="4"/>
    </row>
    <row r="4269" spans="5:25">
      <c r="E4269"/>
      <c r="G4269"/>
      <c r="H4269"/>
      <c r="I4269"/>
      <c r="K4269"/>
      <c r="O4269"/>
      <c r="R4269"/>
      <c r="W4269" s="4"/>
      <c r="X4269" s="4"/>
      <c r="Y4269" s="4"/>
    </row>
    <row r="4270" spans="5:25">
      <c r="E4270"/>
      <c r="G4270"/>
      <c r="H4270"/>
      <c r="I4270"/>
      <c r="K4270"/>
      <c r="O4270"/>
      <c r="R4270"/>
      <c r="W4270" s="4"/>
      <c r="X4270" s="4"/>
      <c r="Y4270" s="4"/>
    </row>
    <row r="4271" spans="5:25">
      <c r="E4271"/>
      <c r="G4271"/>
      <c r="H4271"/>
      <c r="I4271"/>
      <c r="K4271"/>
      <c r="O4271"/>
      <c r="R4271"/>
      <c r="W4271" s="4"/>
      <c r="X4271" s="4"/>
      <c r="Y4271" s="4"/>
    </row>
    <row r="4272" spans="5:25">
      <c r="E4272"/>
      <c r="G4272"/>
      <c r="H4272"/>
      <c r="I4272"/>
      <c r="K4272"/>
      <c r="O4272"/>
      <c r="R4272"/>
      <c r="W4272" s="4"/>
      <c r="X4272" s="4"/>
      <c r="Y4272" s="4"/>
    </row>
    <row r="4273" spans="5:25">
      <c r="E4273"/>
      <c r="G4273"/>
      <c r="H4273"/>
      <c r="I4273"/>
      <c r="K4273"/>
      <c r="O4273"/>
      <c r="R4273"/>
      <c r="W4273" s="4"/>
      <c r="X4273" s="4"/>
      <c r="Y4273" s="4"/>
    </row>
    <row r="4274" spans="5:25">
      <c r="E4274"/>
      <c r="G4274"/>
      <c r="H4274"/>
      <c r="I4274"/>
      <c r="K4274"/>
      <c r="O4274"/>
      <c r="R4274"/>
      <c r="W4274" s="4"/>
      <c r="X4274" s="4"/>
      <c r="Y4274" s="4"/>
    </row>
    <row r="4275" spans="5:25">
      <c r="E4275"/>
      <c r="G4275"/>
      <c r="H4275"/>
      <c r="I4275"/>
      <c r="K4275"/>
      <c r="O4275"/>
      <c r="R4275"/>
      <c r="W4275" s="4"/>
      <c r="X4275" s="4"/>
      <c r="Y4275" s="4"/>
    </row>
    <row r="4276" spans="5:25">
      <c r="E4276"/>
      <c r="G4276"/>
      <c r="H4276"/>
      <c r="I4276"/>
      <c r="K4276"/>
      <c r="O4276"/>
      <c r="R4276"/>
      <c r="W4276" s="4"/>
      <c r="X4276" s="4"/>
      <c r="Y4276" s="4"/>
    </row>
    <row r="4277" spans="5:25">
      <c r="E4277"/>
      <c r="G4277"/>
      <c r="H4277"/>
      <c r="I4277"/>
      <c r="K4277"/>
      <c r="O4277"/>
      <c r="R4277"/>
      <c r="W4277" s="4"/>
      <c r="X4277" s="4"/>
      <c r="Y4277" s="4"/>
    </row>
    <row r="4278" spans="5:25">
      <c r="E4278"/>
      <c r="G4278"/>
      <c r="H4278"/>
      <c r="I4278"/>
      <c r="K4278"/>
      <c r="O4278"/>
      <c r="R4278"/>
      <c r="W4278" s="4"/>
      <c r="X4278" s="4"/>
      <c r="Y4278" s="4"/>
    </row>
    <row r="4279" spans="5:25">
      <c r="E4279"/>
      <c r="G4279"/>
      <c r="H4279"/>
      <c r="I4279"/>
      <c r="K4279"/>
      <c r="O4279"/>
      <c r="R4279"/>
      <c r="W4279" s="4"/>
      <c r="X4279" s="4"/>
      <c r="Y4279" s="4"/>
    </row>
    <row r="4280" spans="5:25">
      <c r="E4280"/>
      <c r="G4280"/>
      <c r="H4280"/>
      <c r="I4280"/>
      <c r="K4280"/>
      <c r="O4280"/>
      <c r="R4280"/>
      <c r="W4280" s="4"/>
      <c r="X4280" s="4"/>
      <c r="Y4280" s="4"/>
    </row>
    <row r="4281" spans="5:25">
      <c r="E4281"/>
      <c r="G4281"/>
      <c r="H4281"/>
      <c r="I4281"/>
      <c r="K4281"/>
      <c r="O4281"/>
      <c r="R4281"/>
      <c r="W4281" s="4"/>
      <c r="X4281" s="4"/>
      <c r="Y4281" s="4"/>
    </row>
    <row r="4282" spans="5:25">
      <c r="E4282"/>
      <c r="G4282"/>
      <c r="H4282"/>
      <c r="I4282"/>
      <c r="K4282"/>
      <c r="O4282"/>
      <c r="R4282"/>
      <c r="W4282" s="4"/>
      <c r="X4282" s="4"/>
      <c r="Y4282" s="4"/>
    </row>
    <row r="4283" spans="5:25">
      <c r="E4283"/>
      <c r="G4283"/>
      <c r="H4283"/>
      <c r="I4283"/>
      <c r="K4283"/>
      <c r="O4283"/>
      <c r="R4283"/>
      <c r="W4283" s="4"/>
      <c r="X4283" s="4"/>
      <c r="Y4283" s="4"/>
    </row>
    <row r="4284" spans="5:25">
      <c r="E4284"/>
      <c r="G4284"/>
      <c r="H4284"/>
      <c r="I4284"/>
      <c r="K4284"/>
      <c r="O4284"/>
      <c r="R4284"/>
      <c r="W4284" s="4"/>
      <c r="X4284" s="4"/>
      <c r="Y4284" s="4"/>
    </row>
    <row r="4285" spans="5:25">
      <c r="E4285"/>
      <c r="G4285"/>
      <c r="H4285"/>
      <c r="I4285"/>
      <c r="K4285"/>
      <c r="O4285"/>
      <c r="R4285"/>
      <c r="W4285" s="4"/>
      <c r="X4285" s="4"/>
      <c r="Y4285" s="4"/>
    </row>
    <row r="4286" spans="5:25">
      <c r="E4286"/>
      <c r="G4286"/>
      <c r="H4286"/>
      <c r="I4286"/>
      <c r="K4286"/>
      <c r="O4286"/>
      <c r="R4286"/>
      <c r="W4286" s="4"/>
      <c r="X4286" s="4"/>
      <c r="Y4286" s="4"/>
    </row>
    <row r="4287" spans="5:25">
      <c r="E4287"/>
      <c r="G4287"/>
      <c r="H4287"/>
      <c r="I4287"/>
      <c r="K4287"/>
      <c r="O4287"/>
      <c r="R4287"/>
      <c r="W4287" s="4"/>
      <c r="X4287" s="4"/>
      <c r="Y4287" s="4"/>
    </row>
    <row r="4288" spans="5:25">
      <c r="E4288"/>
      <c r="G4288"/>
      <c r="H4288"/>
      <c r="I4288"/>
      <c r="K4288"/>
      <c r="O4288"/>
      <c r="R4288"/>
      <c r="W4288" s="4"/>
      <c r="X4288" s="4"/>
      <c r="Y4288" s="4"/>
    </row>
    <row r="4289" spans="5:25">
      <c r="E4289"/>
      <c r="G4289"/>
      <c r="H4289"/>
      <c r="I4289"/>
      <c r="K4289"/>
      <c r="O4289"/>
      <c r="R4289"/>
      <c r="W4289" s="4"/>
      <c r="X4289" s="4"/>
      <c r="Y4289" s="4"/>
    </row>
    <row r="4290" spans="5:25">
      <c r="E4290"/>
      <c r="G4290"/>
      <c r="H4290"/>
      <c r="I4290"/>
      <c r="K4290"/>
      <c r="O4290"/>
      <c r="R4290"/>
      <c r="W4290" s="4"/>
      <c r="X4290" s="4"/>
      <c r="Y4290" s="4"/>
    </row>
    <row r="4291" spans="5:25">
      <c r="E4291"/>
      <c r="G4291"/>
      <c r="H4291"/>
      <c r="I4291"/>
      <c r="K4291"/>
      <c r="O4291"/>
      <c r="R4291"/>
      <c r="W4291" s="4"/>
      <c r="X4291" s="4"/>
      <c r="Y4291" s="4"/>
    </row>
    <row r="4292" spans="5:25">
      <c r="E4292"/>
      <c r="G4292"/>
      <c r="H4292"/>
      <c r="I4292"/>
      <c r="K4292"/>
      <c r="O4292"/>
      <c r="R4292"/>
      <c r="W4292" s="4"/>
      <c r="X4292" s="4"/>
      <c r="Y4292" s="4"/>
    </row>
    <row r="4293" spans="5:25">
      <c r="E4293"/>
      <c r="G4293"/>
      <c r="H4293"/>
      <c r="I4293"/>
      <c r="K4293"/>
      <c r="O4293"/>
      <c r="R4293"/>
      <c r="W4293" s="4"/>
      <c r="X4293" s="4"/>
      <c r="Y4293" s="4"/>
    </row>
    <row r="4294" spans="5:25">
      <c r="E4294"/>
      <c r="G4294"/>
      <c r="H4294"/>
      <c r="I4294"/>
      <c r="K4294"/>
      <c r="O4294"/>
      <c r="R4294"/>
      <c r="W4294" s="4"/>
      <c r="X4294" s="4"/>
      <c r="Y4294" s="4"/>
    </row>
    <row r="4295" spans="5:25">
      <c r="E4295"/>
      <c r="G4295"/>
      <c r="H4295"/>
      <c r="I4295"/>
      <c r="K4295"/>
      <c r="O4295"/>
      <c r="R4295"/>
      <c r="W4295" s="4"/>
      <c r="X4295" s="4"/>
      <c r="Y4295" s="4"/>
    </row>
    <row r="4296" spans="5:25">
      <c r="E4296"/>
      <c r="G4296"/>
      <c r="H4296"/>
      <c r="I4296"/>
      <c r="K4296"/>
      <c r="O4296"/>
      <c r="R4296"/>
      <c r="W4296" s="4"/>
      <c r="X4296" s="4"/>
      <c r="Y4296" s="4"/>
    </row>
    <row r="4297" spans="5:25">
      <c r="E4297"/>
      <c r="G4297"/>
      <c r="H4297"/>
      <c r="I4297"/>
      <c r="K4297"/>
      <c r="O4297"/>
      <c r="R4297"/>
      <c r="W4297" s="4"/>
      <c r="X4297" s="4"/>
      <c r="Y4297" s="4"/>
    </row>
    <row r="4298" spans="5:25">
      <c r="E4298"/>
      <c r="G4298"/>
      <c r="H4298"/>
      <c r="I4298"/>
      <c r="K4298"/>
      <c r="O4298"/>
      <c r="R4298"/>
      <c r="W4298" s="4"/>
      <c r="X4298" s="4"/>
      <c r="Y4298" s="4"/>
    </row>
    <row r="4299" spans="5:25">
      <c r="E4299"/>
      <c r="G4299"/>
      <c r="H4299"/>
      <c r="I4299"/>
      <c r="K4299"/>
      <c r="O4299"/>
      <c r="R4299"/>
      <c r="W4299" s="4"/>
      <c r="X4299" s="4"/>
      <c r="Y4299" s="4"/>
    </row>
    <row r="4300" spans="5:25">
      <c r="E4300"/>
      <c r="G4300"/>
      <c r="H4300"/>
      <c r="I4300"/>
      <c r="K4300"/>
      <c r="O4300"/>
      <c r="R4300"/>
      <c r="W4300" s="4"/>
      <c r="X4300" s="4"/>
      <c r="Y4300" s="4"/>
    </row>
    <row r="4301" spans="5:25">
      <c r="E4301"/>
      <c r="G4301"/>
      <c r="H4301"/>
      <c r="I4301"/>
      <c r="K4301"/>
      <c r="O4301"/>
      <c r="R4301"/>
      <c r="W4301" s="4"/>
      <c r="X4301" s="4"/>
      <c r="Y4301" s="4"/>
    </row>
    <row r="4302" spans="5:25">
      <c r="E4302"/>
      <c r="G4302"/>
      <c r="H4302"/>
      <c r="I4302"/>
      <c r="K4302"/>
      <c r="O4302"/>
      <c r="R4302"/>
      <c r="W4302" s="4"/>
      <c r="X4302" s="4"/>
      <c r="Y4302" s="4"/>
    </row>
    <row r="4303" spans="5:25">
      <c r="E4303"/>
      <c r="G4303"/>
      <c r="H4303"/>
      <c r="I4303"/>
      <c r="K4303"/>
      <c r="O4303"/>
      <c r="R4303"/>
      <c r="W4303" s="4"/>
      <c r="X4303" s="4"/>
      <c r="Y4303" s="4"/>
    </row>
    <row r="4304" spans="5:25">
      <c r="E4304"/>
      <c r="G4304"/>
      <c r="H4304"/>
      <c r="I4304"/>
      <c r="K4304"/>
      <c r="O4304"/>
      <c r="R4304"/>
      <c r="W4304" s="4"/>
      <c r="X4304" s="4"/>
      <c r="Y4304" s="4"/>
    </row>
    <row r="4305" spans="5:25">
      <c r="E4305"/>
      <c r="G4305"/>
      <c r="H4305"/>
      <c r="I4305"/>
      <c r="K4305"/>
      <c r="O4305"/>
      <c r="R4305"/>
      <c r="W4305" s="4"/>
      <c r="X4305" s="4"/>
      <c r="Y4305" s="4"/>
    </row>
    <row r="4306" spans="5:25">
      <c r="E4306"/>
      <c r="G4306"/>
      <c r="H4306"/>
      <c r="I4306"/>
      <c r="K4306"/>
      <c r="O4306"/>
      <c r="R4306"/>
      <c r="W4306" s="4"/>
      <c r="X4306" s="4"/>
      <c r="Y4306" s="4"/>
    </row>
    <row r="4307" spans="5:25">
      <c r="E4307"/>
      <c r="G4307"/>
      <c r="H4307"/>
      <c r="I4307"/>
      <c r="K4307"/>
      <c r="O4307"/>
      <c r="R4307"/>
      <c r="W4307" s="4"/>
      <c r="X4307" s="4"/>
      <c r="Y4307" s="4"/>
    </row>
    <row r="4308" spans="5:25">
      <c r="E4308"/>
      <c r="G4308"/>
      <c r="H4308"/>
      <c r="I4308"/>
      <c r="K4308"/>
      <c r="O4308"/>
      <c r="R4308"/>
      <c r="W4308" s="4"/>
      <c r="X4308" s="4"/>
      <c r="Y4308" s="4"/>
    </row>
    <row r="4309" spans="5:25">
      <c r="E4309"/>
      <c r="G4309"/>
      <c r="H4309"/>
      <c r="I4309"/>
      <c r="K4309"/>
      <c r="O4309"/>
      <c r="R4309"/>
      <c r="W4309" s="4"/>
      <c r="X4309" s="4"/>
      <c r="Y4309" s="4"/>
    </row>
    <row r="4310" spans="5:25">
      <c r="E4310"/>
      <c r="G4310"/>
      <c r="H4310"/>
      <c r="I4310"/>
      <c r="K4310"/>
      <c r="O4310"/>
      <c r="R4310"/>
      <c r="W4310" s="4"/>
      <c r="X4310" s="4"/>
      <c r="Y4310" s="4"/>
    </row>
    <row r="4311" spans="5:25">
      <c r="E4311"/>
      <c r="G4311"/>
      <c r="H4311"/>
      <c r="I4311"/>
      <c r="K4311"/>
      <c r="O4311"/>
      <c r="R4311"/>
      <c r="W4311" s="4"/>
      <c r="X4311" s="4"/>
      <c r="Y4311" s="4"/>
    </row>
    <row r="4312" spans="5:25">
      <c r="E4312"/>
      <c r="G4312"/>
      <c r="H4312"/>
      <c r="I4312"/>
      <c r="K4312"/>
      <c r="O4312"/>
      <c r="R4312"/>
      <c r="W4312" s="4"/>
      <c r="X4312" s="4"/>
      <c r="Y4312" s="4"/>
    </row>
    <row r="4313" spans="5:25">
      <c r="E4313"/>
      <c r="G4313"/>
      <c r="H4313"/>
      <c r="I4313"/>
      <c r="K4313"/>
      <c r="O4313"/>
      <c r="R4313"/>
      <c r="W4313" s="4"/>
      <c r="X4313" s="4"/>
      <c r="Y4313" s="4"/>
    </row>
    <row r="4314" spans="5:25">
      <c r="E4314"/>
      <c r="G4314"/>
      <c r="H4314"/>
      <c r="I4314"/>
      <c r="K4314"/>
      <c r="O4314"/>
      <c r="R4314"/>
      <c r="W4314" s="4"/>
      <c r="X4314" s="4"/>
      <c r="Y4314" s="4"/>
    </row>
    <row r="4315" spans="5:25">
      <c r="E4315"/>
      <c r="G4315"/>
      <c r="H4315"/>
      <c r="I4315"/>
      <c r="K4315"/>
      <c r="O4315"/>
      <c r="R4315"/>
      <c r="W4315" s="4"/>
      <c r="X4315" s="4"/>
      <c r="Y4315" s="4"/>
    </row>
    <row r="4316" spans="5:25">
      <c r="E4316"/>
      <c r="G4316"/>
      <c r="H4316"/>
      <c r="I4316"/>
      <c r="K4316"/>
      <c r="O4316"/>
      <c r="R4316"/>
      <c r="W4316" s="4"/>
      <c r="X4316" s="4"/>
      <c r="Y4316" s="4"/>
    </row>
    <row r="4317" spans="5:25">
      <c r="E4317"/>
      <c r="G4317"/>
      <c r="H4317"/>
      <c r="I4317"/>
      <c r="K4317"/>
      <c r="O4317"/>
      <c r="R4317"/>
      <c r="W4317" s="4"/>
      <c r="X4317" s="4"/>
      <c r="Y4317" s="4"/>
    </row>
    <row r="4318" spans="5:25">
      <c r="E4318"/>
      <c r="G4318"/>
      <c r="H4318"/>
      <c r="I4318"/>
      <c r="K4318"/>
      <c r="O4318"/>
      <c r="R4318"/>
      <c r="W4318" s="4"/>
      <c r="X4318" s="4"/>
      <c r="Y4318" s="4"/>
    </row>
    <row r="4319" spans="5:25">
      <c r="E4319"/>
      <c r="G4319"/>
      <c r="H4319"/>
      <c r="I4319"/>
      <c r="K4319"/>
      <c r="O4319"/>
      <c r="R4319"/>
      <c r="W4319" s="4"/>
      <c r="X4319" s="4"/>
      <c r="Y4319" s="4"/>
    </row>
    <row r="4320" spans="5:25">
      <c r="E4320"/>
      <c r="G4320"/>
      <c r="H4320"/>
      <c r="I4320"/>
      <c r="K4320"/>
      <c r="O4320"/>
      <c r="R4320"/>
      <c r="W4320" s="4"/>
      <c r="X4320" s="4"/>
      <c r="Y4320" s="4"/>
    </row>
    <row r="4321" spans="5:25">
      <c r="E4321"/>
      <c r="G4321"/>
      <c r="H4321"/>
      <c r="I4321"/>
      <c r="K4321"/>
      <c r="O4321"/>
      <c r="R4321"/>
      <c r="W4321" s="4"/>
      <c r="X4321" s="4"/>
      <c r="Y4321" s="4"/>
    </row>
    <row r="4322" spans="5:25">
      <c r="E4322"/>
      <c r="G4322"/>
      <c r="H4322"/>
      <c r="I4322"/>
      <c r="K4322"/>
      <c r="O4322"/>
      <c r="R4322"/>
      <c r="W4322" s="4"/>
      <c r="X4322" s="4"/>
      <c r="Y4322" s="4"/>
    </row>
    <row r="4323" spans="5:25">
      <c r="E4323"/>
      <c r="G4323"/>
      <c r="H4323"/>
      <c r="I4323"/>
      <c r="K4323"/>
      <c r="O4323"/>
      <c r="R4323"/>
      <c r="W4323" s="4"/>
      <c r="X4323" s="4"/>
      <c r="Y4323" s="4"/>
    </row>
    <row r="4324" spans="5:25">
      <c r="E4324"/>
      <c r="G4324"/>
      <c r="H4324"/>
      <c r="I4324"/>
      <c r="K4324"/>
      <c r="O4324"/>
      <c r="R4324"/>
      <c r="W4324" s="4"/>
      <c r="X4324" s="4"/>
      <c r="Y4324" s="4"/>
    </row>
    <row r="4325" spans="5:25">
      <c r="E4325"/>
      <c r="G4325"/>
      <c r="H4325"/>
      <c r="I4325"/>
      <c r="K4325"/>
      <c r="O4325"/>
      <c r="R4325"/>
      <c r="W4325" s="4"/>
      <c r="X4325" s="4"/>
      <c r="Y4325" s="4"/>
    </row>
    <row r="4326" spans="5:25">
      <c r="E4326"/>
      <c r="G4326"/>
      <c r="H4326"/>
      <c r="I4326"/>
      <c r="K4326"/>
      <c r="O4326"/>
      <c r="R4326"/>
      <c r="W4326" s="4"/>
      <c r="X4326" s="4"/>
      <c r="Y4326" s="4"/>
    </row>
    <row r="4327" spans="5:25">
      <c r="E4327"/>
      <c r="G4327"/>
      <c r="H4327"/>
      <c r="I4327"/>
      <c r="K4327"/>
      <c r="O4327"/>
      <c r="R4327"/>
      <c r="W4327" s="4"/>
      <c r="X4327" s="4"/>
      <c r="Y4327" s="4"/>
    </row>
    <row r="4328" spans="5:25">
      <c r="E4328"/>
      <c r="G4328"/>
      <c r="H4328"/>
      <c r="I4328"/>
      <c r="K4328"/>
      <c r="O4328"/>
      <c r="R4328"/>
      <c r="W4328" s="4"/>
      <c r="X4328" s="4"/>
      <c r="Y4328" s="4"/>
    </row>
    <row r="4329" spans="5:25">
      <c r="E4329"/>
      <c r="G4329"/>
      <c r="H4329"/>
      <c r="I4329"/>
      <c r="K4329"/>
      <c r="O4329"/>
      <c r="R4329"/>
      <c r="W4329" s="4"/>
      <c r="X4329" s="4"/>
      <c r="Y4329" s="4"/>
    </row>
    <row r="4330" spans="5:25">
      <c r="E4330"/>
      <c r="G4330"/>
      <c r="H4330"/>
      <c r="I4330"/>
      <c r="K4330"/>
      <c r="O4330"/>
      <c r="R4330"/>
      <c r="W4330" s="4"/>
      <c r="X4330" s="4"/>
      <c r="Y4330" s="4"/>
    </row>
    <row r="4331" spans="5:25">
      <c r="E4331"/>
      <c r="G4331"/>
      <c r="H4331"/>
      <c r="I4331"/>
      <c r="K4331"/>
      <c r="O4331"/>
      <c r="R4331"/>
      <c r="W4331" s="4"/>
      <c r="X4331" s="4"/>
      <c r="Y4331" s="4"/>
    </row>
    <row r="4332" spans="5:25">
      <c r="E4332"/>
      <c r="G4332"/>
      <c r="H4332"/>
      <c r="I4332"/>
      <c r="K4332"/>
      <c r="O4332"/>
      <c r="R4332"/>
      <c r="W4332" s="4"/>
      <c r="X4332" s="4"/>
      <c r="Y4332" s="4"/>
    </row>
    <row r="4333" spans="5:25">
      <c r="E4333"/>
      <c r="G4333"/>
      <c r="H4333"/>
      <c r="I4333"/>
      <c r="K4333"/>
      <c r="O4333"/>
      <c r="R4333"/>
      <c r="W4333" s="4"/>
      <c r="X4333" s="4"/>
      <c r="Y4333" s="4"/>
    </row>
    <row r="4334" spans="5:25">
      <c r="E4334"/>
      <c r="G4334"/>
      <c r="H4334"/>
      <c r="I4334"/>
      <c r="K4334"/>
      <c r="O4334"/>
      <c r="R4334"/>
      <c r="W4334" s="4"/>
      <c r="X4334" s="4"/>
      <c r="Y4334" s="4"/>
    </row>
    <row r="4335" spans="5:25">
      <c r="E4335"/>
      <c r="G4335"/>
      <c r="H4335"/>
      <c r="I4335"/>
      <c r="K4335"/>
      <c r="O4335"/>
      <c r="R4335"/>
      <c r="W4335" s="4"/>
      <c r="X4335" s="4"/>
      <c r="Y4335" s="4"/>
    </row>
    <row r="4336" spans="5:25">
      <c r="E4336"/>
      <c r="G4336"/>
      <c r="H4336"/>
      <c r="I4336"/>
      <c r="K4336"/>
      <c r="O4336"/>
      <c r="R4336"/>
      <c r="W4336" s="4"/>
      <c r="X4336" s="4"/>
      <c r="Y4336" s="4"/>
    </row>
    <row r="4337" spans="5:25">
      <c r="E4337"/>
      <c r="G4337"/>
      <c r="H4337"/>
      <c r="I4337"/>
      <c r="K4337"/>
      <c r="O4337"/>
      <c r="R4337"/>
      <c r="W4337" s="4"/>
      <c r="X4337" s="4"/>
      <c r="Y4337" s="4"/>
    </row>
    <row r="4338" spans="5:25">
      <c r="E4338"/>
      <c r="G4338"/>
      <c r="H4338"/>
      <c r="I4338"/>
      <c r="K4338"/>
      <c r="O4338"/>
      <c r="R4338"/>
      <c r="W4338" s="4"/>
      <c r="X4338" s="4"/>
      <c r="Y4338" s="4"/>
    </row>
    <row r="4339" spans="5:25">
      <c r="E4339"/>
      <c r="G4339"/>
      <c r="H4339"/>
      <c r="I4339"/>
      <c r="K4339"/>
      <c r="O4339"/>
      <c r="R4339"/>
      <c r="W4339" s="4"/>
      <c r="X4339" s="4"/>
      <c r="Y4339" s="4"/>
    </row>
    <row r="4340" spans="5:25">
      <c r="E4340"/>
      <c r="G4340"/>
      <c r="H4340"/>
      <c r="I4340"/>
      <c r="K4340"/>
      <c r="O4340"/>
      <c r="R4340"/>
      <c r="W4340" s="4"/>
      <c r="X4340" s="4"/>
      <c r="Y4340" s="4"/>
    </row>
    <row r="4341" spans="5:25">
      <c r="E4341"/>
      <c r="G4341"/>
      <c r="H4341"/>
      <c r="I4341"/>
      <c r="K4341"/>
      <c r="O4341"/>
      <c r="R4341"/>
      <c r="W4341" s="4"/>
      <c r="X4341" s="4"/>
      <c r="Y4341" s="4"/>
    </row>
    <row r="4342" spans="5:25">
      <c r="E4342"/>
      <c r="G4342"/>
      <c r="H4342"/>
      <c r="I4342"/>
      <c r="K4342"/>
      <c r="O4342"/>
      <c r="R4342"/>
      <c r="W4342" s="4"/>
      <c r="X4342" s="4"/>
      <c r="Y4342" s="4"/>
    </row>
    <row r="4343" spans="5:25">
      <c r="E4343"/>
      <c r="G4343"/>
      <c r="H4343"/>
      <c r="I4343"/>
      <c r="K4343"/>
      <c r="O4343"/>
      <c r="R4343"/>
      <c r="W4343" s="4"/>
      <c r="X4343" s="4"/>
      <c r="Y4343" s="4"/>
    </row>
    <row r="4344" spans="5:25">
      <c r="E4344"/>
      <c r="G4344"/>
      <c r="H4344"/>
      <c r="I4344"/>
      <c r="K4344"/>
      <c r="O4344"/>
      <c r="R4344"/>
      <c r="W4344" s="4"/>
      <c r="X4344" s="4"/>
      <c r="Y4344" s="4"/>
    </row>
    <row r="4345" spans="5:25">
      <c r="E4345"/>
      <c r="G4345"/>
      <c r="H4345"/>
      <c r="I4345"/>
      <c r="K4345"/>
      <c r="O4345"/>
      <c r="R4345"/>
      <c r="W4345" s="4"/>
      <c r="X4345" s="4"/>
      <c r="Y4345" s="4"/>
    </row>
    <row r="4346" spans="5:25">
      <c r="E4346"/>
      <c r="G4346"/>
      <c r="H4346"/>
      <c r="I4346"/>
      <c r="K4346"/>
      <c r="O4346"/>
      <c r="R4346"/>
      <c r="W4346" s="4"/>
      <c r="X4346" s="4"/>
      <c r="Y4346" s="4"/>
    </row>
    <row r="4347" spans="5:25">
      <c r="E4347"/>
      <c r="G4347"/>
      <c r="H4347"/>
      <c r="I4347"/>
      <c r="K4347"/>
      <c r="O4347"/>
      <c r="R4347"/>
      <c r="W4347" s="4"/>
      <c r="X4347" s="4"/>
      <c r="Y4347" s="4"/>
    </row>
    <row r="4348" spans="5:25">
      <c r="E4348"/>
      <c r="G4348"/>
      <c r="H4348"/>
      <c r="I4348"/>
      <c r="K4348"/>
      <c r="O4348"/>
      <c r="R4348"/>
      <c r="W4348" s="4"/>
      <c r="X4348" s="4"/>
      <c r="Y4348" s="4"/>
    </row>
    <row r="4349" spans="5:25">
      <c r="E4349"/>
      <c r="G4349"/>
      <c r="H4349"/>
      <c r="I4349"/>
      <c r="K4349"/>
      <c r="O4349"/>
      <c r="R4349"/>
      <c r="W4349" s="4"/>
      <c r="X4349" s="4"/>
      <c r="Y4349" s="4"/>
    </row>
    <row r="4350" spans="5:25">
      <c r="E4350"/>
      <c r="G4350"/>
      <c r="H4350"/>
      <c r="I4350"/>
      <c r="K4350"/>
      <c r="O4350"/>
      <c r="R4350"/>
      <c r="W4350" s="4"/>
      <c r="X4350" s="4"/>
      <c r="Y4350" s="4"/>
    </row>
    <row r="4351" spans="5:25">
      <c r="E4351"/>
      <c r="G4351"/>
      <c r="H4351"/>
      <c r="I4351"/>
      <c r="K4351"/>
      <c r="O4351"/>
      <c r="R4351"/>
      <c r="W4351" s="4"/>
      <c r="X4351" s="4"/>
      <c r="Y4351" s="4"/>
    </row>
    <row r="4352" spans="5:25">
      <c r="E4352"/>
      <c r="G4352"/>
      <c r="H4352"/>
      <c r="I4352"/>
      <c r="K4352"/>
      <c r="O4352"/>
      <c r="R4352"/>
      <c r="W4352" s="4"/>
      <c r="X4352" s="4"/>
      <c r="Y4352" s="4"/>
    </row>
    <row r="4353" spans="5:25">
      <c r="E4353"/>
      <c r="G4353"/>
      <c r="H4353"/>
      <c r="I4353"/>
      <c r="K4353"/>
      <c r="O4353"/>
      <c r="R4353"/>
      <c r="W4353" s="4"/>
      <c r="X4353" s="4"/>
      <c r="Y4353" s="4"/>
    </row>
    <row r="4354" spans="5:25">
      <c r="E4354"/>
      <c r="G4354"/>
      <c r="H4354"/>
      <c r="I4354"/>
      <c r="K4354"/>
      <c r="O4354"/>
      <c r="R4354"/>
      <c r="W4354" s="4"/>
      <c r="X4354" s="4"/>
      <c r="Y4354" s="4"/>
    </row>
    <row r="4355" spans="5:25">
      <c r="E4355"/>
      <c r="G4355"/>
      <c r="H4355"/>
      <c r="I4355"/>
      <c r="K4355"/>
      <c r="O4355"/>
      <c r="R4355"/>
      <c r="W4355" s="4"/>
      <c r="X4355" s="4"/>
      <c r="Y4355" s="4"/>
    </row>
    <row r="4356" spans="5:25">
      <c r="E4356"/>
      <c r="G4356"/>
      <c r="H4356"/>
      <c r="I4356"/>
      <c r="K4356"/>
      <c r="O4356"/>
      <c r="R4356"/>
      <c r="W4356" s="4"/>
      <c r="X4356" s="4"/>
      <c r="Y4356" s="4"/>
    </row>
    <row r="4357" spans="5:25">
      <c r="E4357"/>
      <c r="G4357"/>
      <c r="H4357"/>
      <c r="I4357"/>
      <c r="K4357"/>
      <c r="O4357"/>
      <c r="R4357"/>
      <c r="W4357" s="4"/>
      <c r="X4357" s="4"/>
      <c r="Y4357" s="4"/>
    </row>
    <row r="4358" spans="5:25">
      <c r="E4358"/>
      <c r="G4358"/>
      <c r="H4358"/>
      <c r="I4358"/>
      <c r="K4358"/>
      <c r="O4358"/>
      <c r="R4358"/>
      <c r="W4358" s="4"/>
      <c r="X4358" s="4"/>
      <c r="Y4358" s="4"/>
    </row>
    <row r="4359" spans="5:25">
      <c r="E4359"/>
      <c r="G4359"/>
      <c r="H4359"/>
      <c r="I4359"/>
      <c r="K4359"/>
      <c r="O4359"/>
      <c r="R4359"/>
      <c r="W4359" s="4"/>
      <c r="X4359" s="4"/>
      <c r="Y4359" s="4"/>
    </row>
    <row r="4360" spans="5:25">
      <c r="E4360"/>
      <c r="G4360"/>
      <c r="H4360"/>
      <c r="I4360"/>
      <c r="K4360"/>
      <c r="O4360"/>
      <c r="R4360"/>
      <c r="W4360" s="4"/>
      <c r="X4360" s="4"/>
      <c r="Y4360" s="4"/>
    </row>
    <row r="4361" spans="5:25">
      <c r="E4361"/>
      <c r="G4361"/>
      <c r="H4361"/>
      <c r="I4361"/>
      <c r="K4361"/>
      <c r="O4361"/>
      <c r="R4361"/>
      <c r="W4361" s="4"/>
      <c r="X4361" s="4"/>
      <c r="Y4361" s="4"/>
    </row>
    <row r="4362" spans="5:25">
      <c r="E4362"/>
      <c r="G4362"/>
      <c r="H4362"/>
      <c r="I4362"/>
      <c r="K4362"/>
      <c r="O4362"/>
      <c r="R4362"/>
      <c r="W4362" s="4"/>
      <c r="X4362" s="4"/>
      <c r="Y4362" s="4"/>
    </row>
    <row r="4363" spans="5:25">
      <c r="E4363"/>
      <c r="G4363"/>
      <c r="H4363"/>
      <c r="I4363"/>
      <c r="K4363"/>
      <c r="O4363"/>
      <c r="R4363"/>
      <c r="W4363" s="4"/>
      <c r="X4363" s="4"/>
      <c r="Y4363" s="4"/>
    </row>
    <row r="4364" spans="5:25">
      <c r="E4364"/>
      <c r="G4364"/>
      <c r="H4364"/>
      <c r="I4364"/>
      <c r="K4364"/>
      <c r="O4364"/>
      <c r="R4364"/>
      <c r="W4364" s="4"/>
      <c r="X4364" s="4"/>
      <c r="Y4364" s="4"/>
    </row>
    <row r="4365" spans="5:25">
      <c r="E4365"/>
      <c r="G4365"/>
      <c r="H4365"/>
      <c r="I4365"/>
      <c r="K4365"/>
      <c r="O4365"/>
      <c r="R4365"/>
      <c r="W4365" s="4"/>
      <c r="X4365" s="4"/>
      <c r="Y4365" s="4"/>
    </row>
    <row r="4366" spans="5:25">
      <c r="E4366"/>
      <c r="G4366"/>
      <c r="H4366"/>
      <c r="I4366"/>
      <c r="K4366"/>
      <c r="O4366"/>
      <c r="R4366"/>
      <c r="W4366" s="4"/>
      <c r="X4366" s="4"/>
      <c r="Y4366" s="4"/>
    </row>
    <row r="4367" spans="5:25">
      <c r="E4367"/>
      <c r="G4367"/>
      <c r="H4367"/>
      <c r="I4367"/>
      <c r="K4367"/>
      <c r="O4367"/>
      <c r="R4367"/>
      <c r="W4367" s="4"/>
      <c r="X4367" s="4"/>
      <c r="Y4367" s="4"/>
    </row>
    <row r="4368" spans="5:25">
      <c r="E4368"/>
      <c r="G4368"/>
      <c r="H4368"/>
      <c r="I4368"/>
      <c r="K4368"/>
      <c r="O4368"/>
      <c r="R4368"/>
      <c r="W4368" s="4"/>
      <c r="X4368" s="4"/>
      <c r="Y4368" s="4"/>
    </row>
    <row r="4369" spans="5:25">
      <c r="E4369"/>
      <c r="G4369"/>
      <c r="H4369"/>
      <c r="I4369"/>
      <c r="K4369"/>
      <c r="O4369"/>
      <c r="R4369"/>
      <c r="W4369" s="4"/>
      <c r="X4369" s="4"/>
      <c r="Y4369" s="4"/>
    </row>
    <row r="4370" spans="5:25">
      <c r="E4370"/>
      <c r="G4370"/>
      <c r="H4370"/>
      <c r="I4370"/>
      <c r="K4370"/>
      <c r="O4370"/>
      <c r="R4370"/>
      <c r="W4370" s="4"/>
      <c r="X4370" s="4"/>
      <c r="Y4370" s="4"/>
    </row>
    <row r="4371" spans="5:25">
      <c r="E4371"/>
      <c r="G4371"/>
      <c r="H4371"/>
      <c r="I4371"/>
      <c r="K4371"/>
      <c r="O4371"/>
      <c r="R4371"/>
      <c r="W4371" s="4"/>
      <c r="X4371" s="4"/>
      <c r="Y4371" s="4"/>
    </row>
    <row r="4372" spans="5:25">
      <c r="E4372"/>
      <c r="G4372"/>
      <c r="H4372"/>
      <c r="I4372"/>
      <c r="K4372"/>
      <c r="O4372"/>
      <c r="R4372"/>
      <c r="W4372" s="4"/>
      <c r="X4372" s="4"/>
      <c r="Y4372" s="4"/>
    </row>
    <row r="4373" spans="5:25">
      <c r="E4373"/>
      <c r="G4373"/>
      <c r="H4373"/>
      <c r="I4373"/>
      <c r="K4373"/>
      <c r="O4373"/>
      <c r="R4373"/>
      <c r="W4373" s="4"/>
      <c r="X4373" s="4"/>
      <c r="Y4373" s="4"/>
    </row>
    <row r="4374" spans="5:25">
      <c r="E4374"/>
      <c r="G4374"/>
      <c r="H4374"/>
      <c r="I4374"/>
      <c r="K4374"/>
      <c r="O4374"/>
      <c r="R4374"/>
      <c r="W4374" s="4"/>
      <c r="X4374" s="4"/>
      <c r="Y4374" s="4"/>
    </row>
    <row r="4375" spans="5:25">
      <c r="E4375"/>
      <c r="G4375"/>
      <c r="H4375"/>
      <c r="I4375"/>
      <c r="K4375"/>
      <c r="O4375"/>
      <c r="R4375"/>
      <c r="W4375" s="4"/>
      <c r="X4375" s="4"/>
      <c r="Y4375" s="4"/>
    </row>
    <row r="4376" spans="5:25">
      <c r="E4376"/>
      <c r="G4376"/>
      <c r="H4376"/>
      <c r="I4376"/>
      <c r="K4376"/>
      <c r="O4376"/>
      <c r="R4376"/>
      <c r="W4376" s="4"/>
      <c r="X4376" s="4"/>
      <c r="Y4376" s="4"/>
    </row>
    <row r="4377" spans="5:25">
      <c r="E4377"/>
      <c r="G4377"/>
      <c r="H4377"/>
      <c r="I4377"/>
      <c r="K4377"/>
      <c r="O4377"/>
      <c r="R4377"/>
      <c r="W4377" s="4"/>
      <c r="X4377" s="4"/>
      <c r="Y4377" s="4"/>
    </row>
    <row r="4378" spans="5:25">
      <c r="E4378"/>
      <c r="G4378"/>
      <c r="H4378"/>
      <c r="I4378"/>
      <c r="K4378"/>
      <c r="O4378"/>
      <c r="R4378"/>
      <c r="W4378" s="4"/>
      <c r="X4378" s="4"/>
      <c r="Y4378" s="4"/>
    </row>
    <row r="4379" spans="5:25">
      <c r="E4379"/>
      <c r="G4379"/>
      <c r="H4379"/>
      <c r="I4379"/>
      <c r="K4379"/>
      <c r="O4379"/>
      <c r="R4379"/>
      <c r="W4379" s="4"/>
      <c r="X4379" s="4"/>
      <c r="Y4379" s="4"/>
    </row>
    <row r="4380" spans="5:25">
      <c r="E4380"/>
      <c r="G4380"/>
      <c r="H4380"/>
      <c r="I4380"/>
      <c r="K4380"/>
      <c r="O4380"/>
      <c r="R4380"/>
      <c r="W4380" s="4"/>
      <c r="X4380" s="4"/>
      <c r="Y4380" s="4"/>
    </row>
    <row r="4381" spans="5:25">
      <c r="E4381"/>
      <c r="G4381"/>
      <c r="H4381"/>
      <c r="I4381"/>
      <c r="K4381"/>
      <c r="O4381"/>
      <c r="R4381"/>
      <c r="W4381" s="4"/>
      <c r="X4381" s="4"/>
      <c r="Y4381" s="4"/>
    </row>
    <row r="4382" spans="5:25">
      <c r="E4382"/>
      <c r="G4382"/>
      <c r="H4382"/>
      <c r="I4382"/>
      <c r="K4382"/>
      <c r="O4382"/>
      <c r="R4382"/>
      <c r="W4382" s="4"/>
      <c r="X4382" s="4"/>
      <c r="Y4382" s="4"/>
    </row>
    <row r="4383" spans="5:25">
      <c r="E4383"/>
      <c r="G4383"/>
      <c r="H4383"/>
      <c r="I4383"/>
      <c r="K4383"/>
      <c r="O4383"/>
      <c r="R4383"/>
      <c r="W4383" s="4"/>
      <c r="X4383" s="4"/>
      <c r="Y4383" s="4"/>
    </row>
    <row r="4384" spans="5:25">
      <c r="E4384"/>
      <c r="G4384"/>
      <c r="H4384"/>
      <c r="I4384"/>
      <c r="K4384"/>
      <c r="O4384"/>
      <c r="R4384"/>
      <c r="W4384" s="4"/>
      <c r="X4384" s="4"/>
      <c r="Y4384" s="4"/>
    </row>
    <row r="4385" spans="5:25">
      <c r="E4385"/>
      <c r="G4385"/>
      <c r="H4385"/>
      <c r="I4385"/>
      <c r="K4385"/>
      <c r="O4385"/>
      <c r="R4385"/>
      <c r="W4385" s="4"/>
      <c r="X4385" s="4"/>
      <c r="Y4385" s="4"/>
    </row>
    <row r="4386" spans="5:25">
      <c r="E4386"/>
      <c r="G4386"/>
      <c r="H4386"/>
      <c r="I4386"/>
      <c r="K4386"/>
      <c r="O4386"/>
      <c r="R4386"/>
      <c r="W4386" s="4"/>
      <c r="X4386" s="4"/>
      <c r="Y4386" s="4"/>
    </row>
    <row r="4387" spans="5:25">
      <c r="E4387"/>
      <c r="G4387"/>
      <c r="H4387"/>
      <c r="I4387"/>
      <c r="K4387"/>
      <c r="O4387"/>
      <c r="R4387"/>
      <c r="W4387" s="4"/>
      <c r="X4387" s="4"/>
      <c r="Y4387" s="4"/>
    </row>
    <row r="4388" spans="5:25">
      <c r="E4388"/>
      <c r="G4388"/>
      <c r="H4388"/>
      <c r="I4388"/>
      <c r="K4388"/>
      <c r="O4388"/>
      <c r="R4388"/>
      <c r="W4388" s="4"/>
      <c r="X4388" s="4"/>
      <c r="Y4388" s="4"/>
    </row>
    <row r="4389" spans="5:25">
      <c r="E4389"/>
      <c r="G4389"/>
      <c r="H4389"/>
      <c r="I4389"/>
      <c r="K4389"/>
      <c r="O4389"/>
      <c r="R4389"/>
      <c r="W4389" s="4"/>
      <c r="X4389" s="4"/>
      <c r="Y4389" s="4"/>
    </row>
    <row r="4390" spans="5:25">
      <c r="E4390"/>
      <c r="G4390"/>
      <c r="H4390"/>
      <c r="I4390"/>
      <c r="K4390"/>
      <c r="O4390"/>
      <c r="R4390"/>
      <c r="W4390" s="4"/>
      <c r="X4390" s="4"/>
      <c r="Y4390" s="4"/>
    </row>
    <row r="4391" spans="5:25">
      <c r="E4391"/>
      <c r="G4391"/>
      <c r="H4391"/>
      <c r="I4391"/>
      <c r="K4391"/>
      <c r="O4391"/>
      <c r="R4391"/>
      <c r="W4391" s="4"/>
      <c r="X4391" s="4"/>
      <c r="Y4391" s="4"/>
    </row>
    <row r="4392" spans="5:25">
      <c r="E4392"/>
      <c r="G4392"/>
      <c r="H4392"/>
      <c r="I4392"/>
      <c r="K4392"/>
      <c r="O4392"/>
      <c r="R4392"/>
      <c r="W4392" s="4"/>
      <c r="X4392" s="4"/>
      <c r="Y4392" s="4"/>
    </row>
    <row r="4393" spans="5:25">
      <c r="E4393"/>
      <c r="G4393"/>
      <c r="H4393"/>
      <c r="I4393"/>
      <c r="K4393"/>
      <c r="O4393"/>
      <c r="R4393"/>
      <c r="W4393" s="4"/>
      <c r="X4393" s="4"/>
      <c r="Y4393" s="4"/>
    </row>
    <row r="4394" spans="5:25">
      <c r="E4394"/>
      <c r="G4394"/>
      <c r="H4394"/>
      <c r="I4394"/>
      <c r="K4394"/>
      <c r="O4394"/>
      <c r="R4394"/>
      <c r="W4394" s="4"/>
      <c r="X4394" s="4"/>
      <c r="Y4394" s="4"/>
    </row>
    <row r="4395" spans="5:25">
      <c r="E4395"/>
      <c r="G4395"/>
      <c r="H4395"/>
      <c r="I4395"/>
      <c r="K4395"/>
      <c r="O4395"/>
      <c r="R4395"/>
      <c r="W4395" s="4"/>
      <c r="X4395" s="4"/>
      <c r="Y4395" s="4"/>
    </row>
    <row r="4396" spans="5:25">
      <c r="E4396"/>
      <c r="G4396"/>
      <c r="H4396"/>
      <c r="I4396"/>
      <c r="K4396"/>
      <c r="O4396"/>
      <c r="R4396"/>
      <c r="W4396" s="4"/>
      <c r="X4396" s="4"/>
      <c r="Y4396" s="4"/>
    </row>
    <row r="4397" spans="5:25">
      <c r="E4397"/>
      <c r="G4397"/>
      <c r="H4397"/>
      <c r="I4397"/>
      <c r="K4397"/>
      <c r="O4397"/>
      <c r="R4397"/>
      <c r="W4397" s="4"/>
      <c r="X4397" s="4"/>
      <c r="Y4397" s="4"/>
    </row>
    <row r="4398" spans="5:25">
      <c r="E4398"/>
      <c r="G4398"/>
      <c r="H4398"/>
      <c r="I4398"/>
      <c r="K4398"/>
      <c r="O4398"/>
      <c r="R4398"/>
      <c r="W4398" s="4"/>
      <c r="X4398" s="4"/>
      <c r="Y4398" s="4"/>
    </row>
    <row r="4399" spans="5:25">
      <c r="E4399"/>
      <c r="G4399"/>
      <c r="H4399"/>
      <c r="I4399"/>
      <c r="K4399"/>
      <c r="O4399"/>
      <c r="R4399"/>
      <c r="W4399" s="4"/>
      <c r="X4399" s="4"/>
      <c r="Y4399" s="4"/>
    </row>
    <row r="4400" spans="5:25">
      <c r="E4400"/>
      <c r="G4400"/>
      <c r="H4400"/>
      <c r="I4400"/>
      <c r="K4400"/>
      <c r="O4400"/>
      <c r="R4400"/>
      <c r="W4400" s="4"/>
      <c r="X4400" s="4"/>
      <c r="Y4400" s="4"/>
    </row>
    <row r="4401" spans="5:25">
      <c r="E4401"/>
      <c r="G4401"/>
      <c r="H4401"/>
      <c r="I4401"/>
      <c r="K4401"/>
      <c r="O4401"/>
      <c r="R4401"/>
      <c r="W4401" s="4"/>
      <c r="X4401" s="4"/>
      <c r="Y4401" s="4"/>
    </row>
    <row r="4402" spans="5:25">
      <c r="E4402"/>
      <c r="G4402"/>
      <c r="H4402"/>
      <c r="I4402"/>
      <c r="K4402"/>
      <c r="O4402"/>
      <c r="R4402"/>
      <c r="W4402" s="4"/>
      <c r="X4402" s="4"/>
      <c r="Y4402" s="4"/>
    </row>
    <row r="4403" spans="5:25">
      <c r="E4403"/>
      <c r="G4403"/>
      <c r="H4403"/>
      <c r="I4403"/>
      <c r="K4403"/>
      <c r="O4403"/>
      <c r="R4403"/>
      <c r="W4403" s="4"/>
      <c r="X4403" s="4"/>
      <c r="Y4403" s="4"/>
    </row>
    <row r="4404" spans="5:25">
      <c r="E4404"/>
      <c r="G4404"/>
      <c r="H4404"/>
      <c r="I4404"/>
      <c r="K4404"/>
      <c r="O4404"/>
      <c r="R4404"/>
      <c r="W4404" s="4"/>
      <c r="X4404" s="4"/>
      <c r="Y4404" s="4"/>
    </row>
    <row r="4405" spans="5:25">
      <c r="E4405"/>
      <c r="G4405"/>
      <c r="H4405"/>
      <c r="I4405"/>
      <c r="K4405"/>
      <c r="O4405"/>
      <c r="R4405"/>
      <c r="W4405" s="4"/>
      <c r="X4405" s="4"/>
      <c r="Y4405" s="4"/>
    </row>
    <row r="4406" spans="5:25">
      <c r="E4406"/>
      <c r="G4406"/>
      <c r="H4406"/>
      <c r="I4406"/>
      <c r="K4406"/>
      <c r="O4406"/>
      <c r="R4406"/>
      <c r="W4406" s="4"/>
      <c r="X4406" s="4"/>
      <c r="Y4406" s="4"/>
    </row>
    <row r="4407" spans="5:25">
      <c r="E4407"/>
      <c r="G4407"/>
      <c r="H4407"/>
      <c r="I4407"/>
      <c r="K4407"/>
      <c r="O4407"/>
      <c r="R4407"/>
      <c r="W4407" s="4"/>
      <c r="X4407" s="4"/>
      <c r="Y4407" s="4"/>
    </row>
    <row r="4408" spans="5:25">
      <c r="E4408"/>
      <c r="G4408"/>
      <c r="H4408"/>
      <c r="I4408"/>
      <c r="K4408"/>
      <c r="O4408"/>
      <c r="R4408"/>
      <c r="W4408" s="4"/>
      <c r="X4408" s="4"/>
      <c r="Y4408" s="4"/>
    </row>
    <row r="4409" spans="5:25">
      <c r="E4409"/>
      <c r="G4409"/>
      <c r="H4409"/>
      <c r="I4409"/>
      <c r="K4409"/>
      <c r="O4409"/>
      <c r="R4409"/>
      <c r="W4409" s="4"/>
      <c r="X4409" s="4"/>
      <c r="Y4409" s="4"/>
    </row>
    <row r="4410" spans="5:25">
      <c r="E4410"/>
      <c r="G4410"/>
      <c r="H4410"/>
      <c r="I4410"/>
      <c r="K4410"/>
      <c r="O4410"/>
      <c r="R4410"/>
      <c r="W4410" s="4"/>
      <c r="X4410" s="4"/>
      <c r="Y4410" s="4"/>
    </row>
    <row r="4411" spans="5:25">
      <c r="E4411"/>
      <c r="G4411"/>
      <c r="H4411"/>
      <c r="I4411"/>
      <c r="K4411"/>
      <c r="O4411"/>
      <c r="R4411"/>
      <c r="W4411" s="4"/>
      <c r="X4411" s="4"/>
      <c r="Y4411" s="4"/>
    </row>
    <row r="4412" spans="5:25">
      <c r="E4412"/>
      <c r="G4412"/>
      <c r="H4412"/>
      <c r="I4412"/>
      <c r="K4412"/>
      <c r="O4412"/>
      <c r="R4412"/>
      <c r="W4412" s="4"/>
      <c r="X4412" s="4"/>
      <c r="Y4412" s="4"/>
    </row>
    <row r="4413" spans="5:25">
      <c r="E4413"/>
      <c r="G4413"/>
      <c r="H4413"/>
      <c r="I4413"/>
      <c r="K4413"/>
      <c r="O4413"/>
      <c r="R4413"/>
      <c r="W4413" s="4"/>
      <c r="X4413" s="4"/>
      <c r="Y4413" s="4"/>
    </row>
    <row r="4414" spans="5:25">
      <c r="E4414"/>
      <c r="G4414"/>
      <c r="H4414"/>
      <c r="I4414"/>
      <c r="K4414"/>
      <c r="O4414"/>
      <c r="R4414"/>
      <c r="W4414" s="4"/>
      <c r="X4414" s="4"/>
      <c r="Y4414" s="4"/>
    </row>
    <row r="4415" spans="5:25">
      <c r="E4415"/>
      <c r="G4415"/>
      <c r="H4415"/>
      <c r="I4415"/>
      <c r="K4415"/>
      <c r="O4415"/>
      <c r="R4415"/>
      <c r="W4415" s="4"/>
      <c r="X4415" s="4"/>
      <c r="Y4415" s="4"/>
    </row>
    <row r="4416" spans="5:25">
      <c r="E4416"/>
      <c r="G4416"/>
      <c r="H4416"/>
      <c r="I4416"/>
      <c r="K4416"/>
      <c r="O4416"/>
      <c r="R4416"/>
      <c r="W4416" s="4"/>
      <c r="X4416" s="4"/>
      <c r="Y4416" s="4"/>
    </row>
    <row r="4417" spans="5:25">
      <c r="E4417"/>
      <c r="G4417"/>
      <c r="H4417"/>
      <c r="I4417"/>
      <c r="K4417"/>
      <c r="O4417"/>
      <c r="R4417"/>
      <c r="W4417" s="4"/>
      <c r="X4417" s="4"/>
      <c r="Y4417" s="4"/>
    </row>
    <row r="4418" spans="5:25">
      <c r="E4418"/>
      <c r="G4418"/>
      <c r="H4418"/>
      <c r="I4418"/>
      <c r="K4418"/>
      <c r="O4418"/>
      <c r="R4418"/>
      <c r="W4418" s="4"/>
      <c r="X4418" s="4"/>
      <c r="Y4418" s="4"/>
    </row>
    <row r="4419" spans="5:25">
      <c r="E4419"/>
      <c r="G4419"/>
      <c r="H4419"/>
      <c r="I4419"/>
      <c r="K4419"/>
      <c r="O4419"/>
      <c r="R4419"/>
      <c r="W4419" s="4"/>
      <c r="X4419" s="4"/>
      <c r="Y4419" s="4"/>
    </row>
    <row r="4420" spans="5:25">
      <c r="E4420"/>
      <c r="G4420"/>
      <c r="H4420"/>
      <c r="I4420"/>
      <c r="K4420"/>
      <c r="O4420"/>
      <c r="R4420"/>
      <c r="W4420" s="4"/>
      <c r="X4420" s="4"/>
      <c r="Y4420" s="4"/>
    </row>
    <row r="4421" spans="5:25">
      <c r="E4421"/>
      <c r="G4421"/>
      <c r="H4421"/>
      <c r="I4421"/>
      <c r="K4421"/>
      <c r="O4421"/>
      <c r="R4421"/>
      <c r="W4421" s="4"/>
      <c r="X4421" s="4"/>
      <c r="Y4421" s="4"/>
    </row>
    <row r="4422" spans="5:25">
      <c r="E4422"/>
      <c r="G4422"/>
      <c r="H4422"/>
      <c r="I4422"/>
      <c r="K4422"/>
      <c r="O4422"/>
      <c r="R4422"/>
      <c r="W4422" s="4"/>
      <c r="X4422" s="4"/>
      <c r="Y4422" s="4"/>
    </row>
    <row r="4423" spans="5:25">
      <c r="E4423"/>
      <c r="G4423"/>
      <c r="H4423"/>
      <c r="I4423"/>
      <c r="K4423"/>
      <c r="O4423"/>
      <c r="R4423"/>
      <c r="W4423" s="4"/>
      <c r="X4423" s="4"/>
      <c r="Y4423" s="4"/>
    </row>
    <row r="4424" spans="5:25">
      <c r="E4424"/>
      <c r="G4424"/>
      <c r="H4424"/>
      <c r="I4424"/>
      <c r="K4424"/>
      <c r="O4424"/>
      <c r="R4424"/>
      <c r="W4424" s="4"/>
      <c r="X4424" s="4"/>
      <c r="Y4424" s="4"/>
    </row>
    <row r="4425" spans="5:25">
      <c r="E4425"/>
      <c r="G4425"/>
      <c r="H4425"/>
      <c r="I4425"/>
      <c r="K4425"/>
      <c r="O4425"/>
      <c r="R4425"/>
      <c r="W4425" s="4"/>
      <c r="X4425" s="4"/>
      <c r="Y4425" s="4"/>
    </row>
    <row r="4426" spans="5:25">
      <c r="E4426"/>
      <c r="G4426"/>
      <c r="H4426"/>
      <c r="I4426"/>
      <c r="K4426"/>
      <c r="O4426"/>
      <c r="R4426"/>
      <c r="W4426" s="4"/>
      <c r="X4426" s="4"/>
      <c r="Y4426" s="4"/>
    </row>
    <row r="4427" spans="5:25">
      <c r="E4427"/>
      <c r="G4427"/>
      <c r="H4427"/>
      <c r="I4427"/>
      <c r="K4427"/>
      <c r="O4427"/>
      <c r="R4427"/>
      <c r="W4427" s="4"/>
      <c r="X4427" s="4"/>
      <c r="Y4427" s="4"/>
    </row>
    <row r="4428" spans="5:25">
      <c r="E4428"/>
      <c r="G4428"/>
      <c r="H4428"/>
      <c r="I4428"/>
      <c r="K4428"/>
      <c r="O4428"/>
      <c r="R4428"/>
      <c r="W4428" s="4"/>
      <c r="X4428" s="4"/>
      <c r="Y4428" s="4"/>
    </row>
    <row r="4429" spans="5:25">
      <c r="E4429"/>
      <c r="G4429"/>
      <c r="H4429"/>
      <c r="I4429"/>
      <c r="K4429"/>
      <c r="O4429"/>
      <c r="R4429"/>
      <c r="W4429" s="4"/>
      <c r="X4429" s="4"/>
      <c r="Y4429" s="4"/>
    </row>
    <row r="4430" spans="5:25">
      <c r="E4430"/>
      <c r="G4430"/>
      <c r="H4430"/>
      <c r="I4430"/>
      <c r="K4430"/>
      <c r="O4430"/>
      <c r="R4430"/>
      <c r="W4430" s="4"/>
      <c r="X4430" s="4"/>
      <c r="Y4430" s="4"/>
    </row>
    <row r="4431" spans="5:25">
      <c r="E4431"/>
      <c r="G4431"/>
      <c r="H4431"/>
      <c r="I4431"/>
      <c r="K4431"/>
      <c r="O4431"/>
      <c r="R4431"/>
      <c r="W4431" s="4"/>
      <c r="X4431" s="4"/>
      <c r="Y4431" s="4"/>
    </row>
    <row r="4432" spans="5:25">
      <c r="E4432"/>
      <c r="G4432"/>
      <c r="H4432"/>
      <c r="I4432"/>
      <c r="K4432"/>
      <c r="O4432"/>
      <c r="R4432"/>
      <c r="W4432" s="4"/>
      <c r="X4432" s="4"/>
      <c r="Y4432" s="4"/>
    </row>
    <row r="4433" spans="5:25">
      <c r="E4433"/>
      <c r="G4433"/>
      <c r="H4433"/>
      <c r="I4433"/>
      <c r="K4433"/>
      <c r="O4433"/>
      <c r="R4433"/>
      <c r="W4433" s="4"/>
      <c r="X4433" s="4"/>
      <c r="Y4433" s="4"/>
    </row>
    <row r="4434" spans="5:25">
      <c r="E4434"/>
      <c r="G4434"/>
      <c r="H4434"/>
      <c r="I4434"/>
      <c r="K4434"/>
      <c r="O4434"/>
      <c r="R4434"/>
      <c r="W4434" s="4"/>
      <c r="X4434" s="4"/>
      <c r="Y4434" s="4"/>
    </row>
    <row r="4435" spans="5:25">
      <c r="E4435"/>
      <c r="G4435"/>
      <c r="H4435"/>
      <c r="I4435"/>
      <c r="K4435"/>
      <c r="O4435"/>
      <c r="R4435"/>
      <c r="W4435" s="4"/>
      <c r="X4435" s="4"/>
      <c r="Y4435" s="4"/>
    </row>
    <row r="4436" spans="5:25">
      <c r="E4436"/>
      <c r="G4436"/>
      <c r="H4436"/>
      <c r="I4436"/>
      <c r="K4436"/>
      <c r="O4436"/>
      <c r="R4436"/>
      <c r="W4436" s="4"/>
      <c r="X4436" s="4"/>
      <c r="Y4436" s="4"/>
    </row>
    <row r="4437" spans="5:25">
      <c r="E4437"/>
      <c r="G4437"/>
      <c r="H4437"/>
      <c r="I4437"/>
      <c r="K4437"/>
      <c r="O4437"/>
      <c r="R4437"/>
      <c r="W4437" s="4"/>
      <c r="X4437" s="4"/>
      <c r="Y4437" s="4"/>
    </row>
    <row r="4438" spans="5:25">
      <c r="E4438"/>
      <c r="G4438"/>
      <c r="H4438"/>
      <c r="I4438"/>
      <c r="K4438"/>
      <c r="O4438"/>
      <c r="R4438"/>
      <c r="W4438" s="4"/>
      <c r="X4438" s="4"/>
      <c r="Y4438" s="4"/>
    </row>
    <row r="4439" spans="5:25">
      <c r="E4439"/>
      <c r="G4439"/>
      <c r="H4439"/>
      <c r="I4439"/>
      <c r="K4439"/>
      <c r="O4439"/>
      <c r="R4439"/>
      <c r="W4439" s="4"/>
      <c r="X4439" s="4"/>
      <c r="Y4439" s="4"/>
    </row>
    <row r="4440" spans="5:25">
      <c r="E4440"/>
      <c r="G4440"/>
      <c r="H4440"/>
      <c r="I4440"/>
      <c r="K4440"/>
      <c r="O4440"/>
      <c r="R4440"/>
      <c r="W4440" s="4"/>
      <c r="X4440" s="4"/>
      <c r="Y4440" s="4"/>
    </row>
    <row r="4441" spans="5:25">
      <c r="E4441"/>
      <c r="G4441"/>
      <c r="H4441"/>
      <c r="I4441"/>
      <c r="K4441"/>
      <c r="O4441"/>
      <c r="R4441"/>
      <c r="W4441" s="4"/>
      <c r="X4441" s="4"/>
      <c r="Y4441" s="4"/>
    </row>
    <row r="4442" spans="5:25">
      <c r="E4442"/>
      <c r="G4442"/>
      <c r="H4442"/>
      <c r="I4442"/>
      <c r="K4442"/>
      <c r="O4442"/>
      <c r="R4442"/>
      <c r="W4442" s="4"/>
      <c r="X4442" s="4"/>
      <c r="Y4442" s="4"/>
    </row>
    <row r="4443" spans="5:25">
      <c r="E4443"/>
      <c r="G4443"/>
      <c r="H4443"/>
      <c r="I4443"/>
      <c r="K4443"/>
      <c r="O4443"/>
      <c r="R4443"/>
      <c r="W4443" s="4"/>
      <c r="X4443" s="4"/>
      <c r="Y4443" s="4"/>
    </row>
    <row r="4444" spans="5:25">
      <c r="E4444"/>
      <c r="G4444"/>
      <c r="H4444"/>
      <c r="I4444"/>
      <c r="K4444"/>
      <c r="O4444"/>
      <c r="R4444"/>
      <c r="W4444" s="4"/>
      <c r="X4444" s="4"/>
      <c r="Y4444" s="4"/>
    </row>
    <row r="4445" spans="5:25">
      <c r="E4445"/>
      <c r="G4445"/>
      <c r="H4445"/>
      <c r="I4445"/>
      <c r="K4445"/>
      <c r="O4445"/>
      <c r="R4445"/>
      <c r="W4445" s="4"/>
      <c r="X4445" s="4"/>
      <c r="Y4445" s="4"/>
    </row>
    <row r="4446" spans="5:25">
      <c r="E4446"/>
      <c r="G4446"/>
      <c r="H4446"/>
      <c r="I4446"/>
      <c r="K4446"/>
      <c r="O4446"/>
      <c r="R4446"/>
      <c r="W4446" s="4"/>
      <c r="X4446" s="4"/>
      <c r="Y4446" s="4"/>
    </row>
    <row r="4447" spans="5:25">
      <c r="E4447"/>
      <c r="G4447"/>
      <c r="H4447"/>
      <c r="I4447"/>
      <c r="K4447"/>
      <c r="O4447"/>
      <c r="R4447"/>
      <c r="W4447" s="4"/>
      <c r="X4447" s="4"/>
      <c r="Y4447" s="4"/>
    </row>
    <row r="4448" spans="5:25">
      <c r="E4448"/>
      <c r="G4448"/>
      <c r="H4448"/>
      <c r="I4448"/>
      <c r="K4448"/>
      <c r="O4448"/>
      <c r="R4448"/>
      <c r="W4448" s="4"/>
      <c r="X4448" s="4"/>
      <c r="Y4448" s="4"/>
    </row>
    <row r="4449" spans="5:25">
      <c r="E4449"/>
      <c r="G4449"/>
      <c r="H4449"/>
      <c r="I4449"/>
      <c r="K4449"/>
      <c r="O4449"/>
      <c r="R4449"/>
      <c r="W4449" s="4"/>
      <c r="X4449" s="4"/>
      <c r="Y4449" s="4"/>
    </row>
    <row r="4450" spans="5:25">
      <c r="E4450"/>
      <c r="G4450"/>
      <c r="H4450"/>
      <c r="I4450"/>
      <c r="K4450"/>
      <c r="O4450"/>
      <c r="R4450"/>
      <c r="W4450" s="4"/>
      <c r="X4450" s="4"/>
      <c r="Y4450" s="4"/>
    </row>
    <row r="4451" spans="5:25">
      <c r="E4451"/>
      <c r="G4451"/>
      <c r="H4451"/>
      <c r="I4451"/>
      <c r="K4451"/>
      <c r="O4451"/>
      <c r="R4451"/>
      <c r="W4451" s="4"/>
      <c r="X4451" s="4"/>
      <c r="Y4451" s="4"/>
    </row>
    <row r="4452" spans="5:25">
      <c r="E4452"/>
      <c r="G4452"/>
      <c r="H4452"/>
      <c r="I4452"/>
      <c r="K4452"/>
      <c r="O4452"/>
      <c r="R4452"/>
      <c r="W4452" s="4"/>
      <c r="X4452" s="4"/>
      <c r="Y4452" s="4"/>
    </row>
    <row r="4453" spans="5:25">
      <c r="E4453"/>
      <c r="G4453"/>
      <c r="H4453"/>
      <c r="I4453"/>
      <c r="K4453"/>
      <c r="O4453"/>
      <c r="R4453"/>
      <c r="W4453" s="4"/>
      <c r="X4453" s="4"/>
      <c r="Y4453" s="4"/>
    </row>
    <row r="4454" spans="5:25">
      <c r="E4454"/>
      <c r="G4454"/>
      <c r="H4454"/>
      <c r="I4454"/>
      <c r="K4454"/>
      <c r="O4454"/>
      <c r="R4454"/>
      <c r="W4454" s="4"/>
      <c r="X4454" s="4"/>
      <c r="Y4454" s="4"/>
    </row>
    <row r="4455" spans="5:25">
      <c r="E4455"/>
      <c r="G4455"/>
      <c r="H4455"/>
      <c r="I4455"/>
      <c r="K4455"/>
      <c r="O4455"/>
      <c r="R4455"/>
      <c r="W4455" s="4"/>
      <c r="X4455" s="4"/>
      <c r="Y4455" s="4"/>
    </row>
    <row r="4456" spans="5:25">
      <c r="E4456"/>
      <c r="G4456"/>
      <c r="H4456"/>
      <c r="I4456"/>
      <c r="K4456"/>
      <c r="O4456"/>
      <c r="R4456"/>
      <c r="W4456" s="4"/>
      <c r="X4456" s="4"/>
      <c r="Y4456" s="4"/>
    </row>
    <row r="4457" spans="5:25">
      <c r="E4457"/>
      <c r="G4457"/>
      <c r="H4457"/>
      <c r="I4457"/>
      <c r="K4457"/>
      <c r="O4457"/>
      <c r="R4457"/>
      <c r="W4457" s="4"/>
      <c r="X4457" s="4"/>
      <c r="Y4457" s="4"/>
    </row>
    <row r="4458" spans="5:25">
      <c r="E4458"/>
      <c r="G4458"/>
      <c r="H4458"/>
      <c r="I4458"/>
      <c r="K4458"/>
      <c r="O4458"/>
      <c r="R4458"/>
      <c r="W4458" s="4"/>
      <c r="X4458" s="4"/>
      <c r="Y4458" s="4"/>
    </row>
    <row r="4459" spans="5:25">
      <c r="E4459"/>
      <c r="G4459"/>
      <c r="H4459"/>
      <c r="I4459"/>
      <c r="K4459"/>
      <c r="O4459"/>
      <c r="R4459"/>
      <c r="W4459" s="4"/>
      <c r="X4459" s="4"/>
      <c r="Y4459" s="4"/>
    </row>
    <row r="4460" spans="5:25">
      <c r="E4460"/>
      <c r="G4460"/>
      <c r="H4460"/>
      <c r="I4460"/>
      <c r="K4460"/>
      <c r="O4460"/>
      <c r="R4460"/>
      <c r="W4460" s="4"/>
      <c r="X4460" s="4"/>
      <c r="Y4460" s="4"/>
    </row>
    <row r="4461" spans="5:25">
      <c r="E4461"/>
      <c r="G4461"/>
      <c r="H4461"/>
      <c r="I4461"/>
      <c r="K4461"/>
      <c r="O4461"/>
      <c r="R4461"/>
      <c r="W4461" s="4"/>
      <c r="X4461" s="4"/>
      <c r="Y4461" s="4"/>
    </row>
    <row r="4462" spans="5:25">
      <c r="E4462"/>
      <c r="G4462"/>
      <c r="H4462"/>
      <c r="I4462"/>
      <c r="K4462"/>
      <c r="O4462"/>
      <c r="R4462"/>
      <c r="W4462" s="4"/>
      <c r="X4462" s="4"/>
      <c r="Y4462" s="4"/>
    </row>
    <row r="4463" spans="5:25">
      <c r="E4463"/>
      <c r="G4463"/>
      <c r="H4463"/>
      <c r="I4463"/>
      <c r="K4463"/>
      <c r="O4463"/>
      <c r="R4463"/>
      <c r="W4463" s="4"/>
      <c r="X4463" s="4"/>
      <c r="Y4463" s="4"/>
    </row>
    <row r="4464" spans="5:25">
      <c r="E4464"/>
      <c r="G4464"/>
      <c r="H4464"/>
      <c r="I4464"/>
      <c r="K4464"/>
      <c r="O4464"/>
      <c r="R4464"/>
      <c r="W4464" s="4"/>
      <c r="X4464" s="4"/>
      <c r="Y4464" s="4"/>
    </row>
    <row r="4465" spans="5:25">
      <c r="E4465"/>
      <c r="G4465"/>
      <c r="H4465"/>
      <c r="I4465"/>
      <c r="K4465"/>
      <c r="O4465"/>
      <c r="R4465"/>
      <c r="W4465" s="4"/>
      <c r="X4465" s="4"/>
      <c r="Y4465" s="4"/>
    </row>
    <row r="4466" spans="5:25">
      <c r="E4466"/>
      <c r="G4466"/>
      <c r="H4466"/>
      <c r="I4466"/>
      <c r="K4466"/>
      <c r="O4466"/>
      <c r="R4466"/>
      <c r="W4466" s="4"/>
      <c r="X4466" s="4"/>
      <c r="Y4466" s="4"/>
    </row>
    <row r="4467" spans="5:25">
      <c r="E4467"/>
      <c r="G4467"/>
      <c r="H4467"/>
      <c r="I4467"/>
      <c r="K4467"/>
      <c r="O4467"/>
      <c r="R4467"/>
      <c r="W4467" s="4"/>
      <c r="X4467" s="4"/>
      <c r="Y4467" s="4"/>
    </row>
    <row r="4468" spans="5:25">
      <c r="E4468"/>
      <c r="G4468"/>
      <c r="H4468"/>
      <c r="I4468"/>
      <c r="K4468"/>
      <c r="O4468"/>
      <c r="R4468"/>
      <c r="W4468" s="4"/>
      <c r="X4468" s="4"/>
      <c r="Y4468" s="4"/>
    </row>
    <row r="4469" spans="5:25">
      <c r="E4469"/>
      <c r="G4469"/>
      <c r="H4469"/>
      <c r="I4469"/>
      <c r="K4469"/>
      <c r="O4469"/>
      <c r="R4469"/>
      <c r="W4469" s="4"/>
      <c r="X4469" s="4"/>
      <c r="Y4469" s="4"/>
    </row>
    <row r="4470" spans="5:25">
      <c r="E4470"/>
      <c r="G4470"/>
      <c r="H4470"/>
      <c r="I4470"/>
      <c r="K4470"/>
      <c r="O4470"/>
      <c r="R4470"/>
      <c r="W4470" s="4"/>
      <c r="X4470" s="4"/>
      <c r="Y4470" s="4"/>
    </row>
    <row r="4471" spans="5:25">
      <c r="E4471"/>
      <c r="G4471"/>
      <c r="H4471"/>
      <c r="I4471"/>
      <c r="K4471"/>
      <c r="O4471"/>
      <c r="R4471"/>
      <c r="W4471" s="4"/>
      <c r="X4471" s="4"/>
      <c r="Y4471" s="4"/>
    </row>
    <row r="4472" spans="5:25">
      <c r="E4472"/>
      <c r="G4472"/>
      <c r="H4472"/>
      <c r="I4472"/>
      <c r="K4472"/>
      <c r="O4472"/>
      <c r="R4472"/>
      <c r="W4472" s="4"/>
      <c r="X4472" s="4"/>
      <c r="Y4472" s="4"/>
    </row>
    <row r="4473" spans="5:25">
      <c r="E4473"/>
      <c r="G4473"/>
      <c r="H4473"/>
      <c r="I4473"/>
      <c r="K4473"/>
      <c r="O4473"/>
      <c r="R4473"/>
      <c r="W4473" s="4"/>
      <c r="X4473" s="4"/>
      <c r="Y4473" s="4"/>
    </row>
    <row r="4474" spans="5:25">
      <c r="E4474"/>
      <c r="G4474"/>
      <c r="H4474"/>
      <c r="I4474"/>
      <c r="K4474"/>
      <c r="O4474"/>
      <c r="R4474"/>
      <c r="W4474" s="4"/>
      <c r="X4474" s="4"/>
      <c r="Y4474" s="4"/>
    </row>
    <row r="4475" spans="5:25">
      <c r="E4475"/>
      <c r="G4475"/>
      <c r="H4475"/>
      <c r="I4475"/>
      <c r="K4475"/>
      <c r="O4475"/>
      <c r="R4475"/>
      <c r="W4475" s="4"/>
      <c r="X4475" s="4"/>
      <c r="Y4475" s="4"/>
    </row>
    <row r="4476" spans="5:25">
      <c r="E4476"/>
      <c r="G4476"/>
      <c r="H4476"/>
      <c r="I4476"/>
      <c r="K4476"/>
      <c r="O4476"/>
      <c r="R4476"/>
      <c r="W4476" s="4"/>
      <c r="X4476" s="4"/>
      <c r="Y4476" s="4"/>
    </row>
    <row r="4477" spans="5:25">
      <c r="E4477"/>
      <c r="G4477"/>
      <c r="H4477"/>
      <c r="I4477"/>
      <c r="K4477"/>
      <c r="O4477"/>
      <c r="R4477"/>
      <c r="W4477" s="4"/>
      <c r="X4477" s="4"/>
      <c r="Y4477" s="4"/>
    </row>
    <row r="4478" spans="5:25">
      <c r="E4478"/>
      <c r="G4478"/>
      <c r="H4478"/>
      <c r="I4478"/>
      <c r="K4478"/>
      <c r="O4478"/>
      <c r="R4478"/>
      <c r="W4478" s="4"/>
      <c r="X4478" s="4"/>
      <c r="Y4478" s="4"/>
    </row>
    <row r="4479" spans="5:25">
      <c r="E4479"/>
      <c r="G4479"/>
      <c r="H4479"/>
      <c r="I4479"/>
      <c r="K4479"/>
      <c r="O4479"/>
      <c r="R4479"/>
      <c r="W4479" s="4"/>
      <c r="X4479" s="4"/>
      <c r="Y4479" s="4"/>
    </row>
    <row r="4480" spans="5:25">
      <c r="E4480"/>
      <c r="G4480"/>
      <c r="H4480"/>
      <c r="I4480"/>
      <c r="K4480"/>
      <c r="O4480"/>
      <c r="R4480"/>
      <c r="W4480" s="4"/>
      <c r="X4480" s="4"/>
      <c r="Y4480" s="4"/>
    </row>
    <row r="4481" spans="5:25">
      <c r="E4481"/>
      <c r="G4481"/>
      <c r="H4481"/>
      <c r="I4481"/>
      <c r="K4481"/>
      <c r="O4481"/>
      <c r="R4481"/>
      <c r="W4481" s="4"/>
      <c r="X4481" s="4"/>
      <c r="Y4481" s="4"/>
    </row>
    <row r="4482" spans="5:25">
      <c r="E4482"/>
      <c r="G4482"/>
      <c r="H4482"/>
      <c r="I4482"/>
      <c r="K4482"/>
      <c r="O4482"/>
      <c r="R4482"/>
      <c r="W4482" s="4"/>
      <c r="X4482" s="4"/>
      <c r="Y4482" s="4"/>
    </row>
    <row r="4483" spans="5:25">
      <c r="E4483"/>
      <c r="G4483"/>
      <c r="H4483"/>
      <c r="I4483"/>
      <c r="K4483"/>
      <c r="O4483"/>
      <c r="R4483"/>
      <c r="W4483" s="4"/>
      <c r="X4483" s="4"/>
      <c r="Y4483" s="4"/>
    </row>
    <row r="4484" spans="5:25">
      <c r="E4484"/>
      <c r="G4484"/>
      <c r="H4484"/>
      <c r="I4484"/>
      <c r="K4484"/>
      <c r="O4484"/>
      <c r="R4484"/>
      <c r="W4484" s="4"/>
      <c r="X4484" s="4"/>
      <c r="Y4484" s="4"/>
    </row>
    <row r="4485" spans="5:25">
      <c r="E4485"/>
      <c r="G4485"/>
      <c r="H4485"/>
      <c r="I4485"/>
      <c r="K4485"/>
      <c r="O4485"/>
      <c r="R4485"/>
      <c r="W4485" s="4"/>
      <c r="X4485" s="4"/>
      <c r="Y4485" s="4"/>
    </row>
    <row r="4486" spans="5:25">
      <c r="E4486"/>
      <c r="G4486"/>
      <c r="H4486"/>
      <c r="I4486"/>
      <c r="K4486"/>
      <c r="O4486"/>
      <c r="R4486"/>
      <c r="W4486" s="4"/>
      <c r="X4486" s="4"/>
      <c r="Y4486" s="4"/>
    </row>
    <row r="4487" spans="5:25">
      <c r="E4487"/>
      <c r="G4487"/>
      <c r="H4487"/>
      <c r="I4487"/>
      <c r="K4487"/>
      <c r="O4487"/>
      <c r="R4487"/>
      <c r="W4487" s="4"/>
      <c r="X4487" s="4"/>
      <c r="Y4487" s="4"/>
    </row>
    <row r="4488" spans="5:25">
      <c r="E4488"/>
      <c r="G4488"/>
      <c r="H4488"/>
      <c r="I4488"/>
      <c r="K4488"/>
      <c r="O4488"/>
      <c r="R4488"/>
      <c r="W4488" s="4"/>
      <c r="X4488" s="4"/>
      <c r="Y4488" s="4"/>
    </row>
    <row r="4489" spans="5:25">
      <c r="E4489"/>
      <c r="G4489"/>
      <c r="H4489"/>
      <c r="I4489"/>
      <c r="K4489"/>
      <c r="O4489"/>
      <c r="R4489"/>
      <c r="W4489" s="4"/>
      <c r="X4489" s="4"/>
      <c r="Y4489" s="4"/>
    </row>
    <row r="4490" spans="5:25">
      <c r="E4490"/>
      <c r="G4490"/>
      <c r="H4490"/>
      <c r="I4490"/>
      <c r="K4490"/>
      <c r="O4490"/>
      <c r="R4490"/>
      <c r="W4490" s="4"/>
      <c r="X4490" s="4"/>
      <c r="Y4490" s="4"/>
    </row>
    <row r="4491" spans="5:25">
      <c r="E4491"/>
      <c r="G4491"/>
      <c r="H4491"/>
      <c r="I4491"/>
      <c r="K4491"/>
      <c r="O4491"/>
      <c r="R4491"/>
      <c r="W4491" s="4"/>
      <c r="X4491" s="4"/>
      <c r="Y4491" s="4"/>
    </row>
    <row r="4492" spans="5:25">
      <c r="E4492"/>
      <c r="G4492"/>
      <c r="H4492"/>
      <c r="I4492"/>
      <c r="K4492"/>
      <c r="O4492"/>
      <c r="R4492"/>
      <c r="W4492" s="4"/>
      <c r="X4492" s="4"/>
      <c r="Y4492" s="4"/>
    </row>
    <row r="4493" spans="5:25">
      <c r="E4493"/>
      <c r="G4493"/>
      <c r="H4493"/>
      <c r="I4493"/>
      <c r="K4493"/>
      <c r="O4493"/>
      <c r="R4493"/>
      <c r="W4493" s="4"/>
      <c r="X4493" s="4"/>
      <c r="Y4493" s="4"/>
    </row>
    <row r="4494" spans="5:25">
      <c r="E4494"/>
      <c r="G4494"/>
      <c r="H4494"/>
      <c r="I4494"/>
      <c r="K4494"/>
      <c r="O4494"/>
      <c r="R4494"/>
      <c r="W4494" s="4"/>
      <c r="X4494" s="4"/>
      <c r="Y4494" s="4"/>
    </row>
    <row r="4495" spans="5:25">
      <c r="E4495"/>
      <c r="G4495"/>
      <c r="H4495"/>
      <c r="I4495"/>
      <c r="K4495"/>
      <c r="O4495"/>
      <c r="R4495"/>
      <c r="W4495" s="4"/>
      <c r="X4495" s="4"/>
      <c r="Y4495" s="4"/>
    </row>
    <row r="4496" spans="5:25">
      <c r="E4496"/>
      <c r="G4496"/>
      <c r="H4496"/>
      <c r="I4496"/>
      <c r="K4496"/>
      <c r="O4496"/>
      <c r="R4496"/>
      <c r="W4496" s="4"/>
      <c r="X4496" s="4"/>
      <c r="Y4496" s="4"/>
    </row>
    <row r="4497" spans="5:25">
      <c r="E4497"/>
      <c r="G4497"/>
      <c r="H4497"/>
      <c r="I4497"/>
      <c r="K4497"/>
      <c r="O4497"/>
      <c r="R4497"/>
      <c r="W4497" s="4"/>
      <c r="X4497" s="4"/>
      <c r="Y4497" s="4"/>
    </row>
    <row r="4498" spans="5:25">
      <c r="E4498"/>
      <c r="G4498"/>
      <c r="H4498"/>
      <c r="I4498"/>
      <c r="K4498"/>
      <c r="O4498"/>
      <c r="R4498"/>
      <c r="W4498" s="4"/>
      <c r="X4498" s="4"/>
      <c r="Y4498" s="4"/>
    </row>
    <row r="4499" spans="5:25">
      <c r="E4499"/>
      <c r="G4499"/>
      <c r="H4499"/>
      <c r="I4499"/>
      <c r="K4499"/>
      <c r="O4499"/>
      <c r="R4499"/>
      <c r="W4499" s="4"/>
      <c r="X4499" s="4"/>
      <c r="Y4499" s="4"/>
    </row>
    <row r="4500" spans="5:25">
      <c r="E4500"/>
      <c r="G4500"/>
      <c r="H4500"/>
      <c r="I4500"/>
      <c r="K4500"/>
      <c r="O4500"/>
      <c r="R4500"/>
      <c r="W4500" s="4"/>
      <c r="X4500" s="4"/>
      <c r="Y4500" s="4"/>
    </row>
    <row r="4501" spans="5:25">
      <c r="E4501"/>
      <c r="G4501"/>
      <c r="H4501"/>
      <c r="I4501"/>
      <c r="K4501"/>
      <c r="O4501"/>
      <c r="R4501"/>
      <c r="W4501" s="4"/>
      <c r="X4501" s="4"/>
      <c r="Y4501" s="4"/>
    </row>
    <row r="4502" spans="5:25">
      <c r="E4502"/>
      <c r="G4502"/>
      <c r="H4502"/>
      <c r="I4502"/>
      <c r="K4502"/>
      <c r="O4502"/>
      <c r="R4502"/>
      <c r="W4502" s="4"/>
      <c r="X4502" s="4"/>
      <c r="Y4502" s="4"/>
    </row>
    <row r="4503" spans="5:25">
      <c r="E4503"/>
      <c r="G4503"/>
      <c r="H4503"/>
      <c r="I4503"/>
      <c r="K4503"/>
      <c r="O4503"/>
      <c r="R4503"/>
      <c r="W4503" s="4"/>
      <c r="X4503" s="4"/>
      <c r="Y4503" s="4"/>
    </row>
    <row r="4504" spans="5:25">
      <c r="E4504"/>
      <c r="G4504"/>
      <c r="H4504"/>
      <c r="I4504"/>
      <c r="K4504"/>
      <c r="O4504"/>
      <c r="R4504"/>
      <c r="W4504" s="4"/>
      <c r="X4504" s="4"/>
      <c r="Y4504" s="4"/>
    </row>
    <row r="4505" spans="5:25">
      <c r="E4505"/>
      <c r="G4505"/>
      <c r="H4505"/>
      <c r="I4505"/>
      <c r="K4505"/>
      <c r="O4505"/>
      <c r="R4505"/>
      <c r="W4505" s="4"/>
      <c r="X4505" s="4"/>
      <c r="Y4505" s="4"/>
    </row>
    <row r="4506" spans="5:25">
      <c r="E4506"/>
      <c r="G4506"/>
      <c r="H4506"/>
      <c r="I4506"/>
      <c r="K4506"/>
      <c r="O4506"/>
      <c r="R4506"/>
      <c r="W4506" s="4"/>
      <c r="X4506" s="4"/>
      <c r="Y4506" s="4"/>
    </row>
    <row r="4507" spans="5:25">
      <c r="E4507"/>
      <c r="G4507"/>
      <c r="H4507"/>
      <c r="I4507"/>
      <c r="K4507"/>
      <c r="O4507"/>
      <c r="R4507"/>
      <c r="W4507" s="4"/>
      <c r="X4507" s="4"/>
      <c r="Y4507" s="4"/>
    </row>
    <row r="4508" spans="5:25">
      <c r="E4508"/>
      <c r="G4508"/>
      <c r="H4508"/>
      <c r="I4508"/>
      <c r="K4508"/>
      <c r="O4508"/>
      <c r="R4508"/>
      <c r="W4508" s="4"/>
      <c r="X4508" s="4"/>
      <c r="Y4508" s="4"/>
    </row>
    <row r="4509" spans="5:25">
      <c r="E4509"/>
      <c r="G4509"/>
      <c r="H4509"/>
      <c r="I4509"/>
      <c r="K4509"/>
      <c r="O4509"/>
      <c r="R4509"/>
      <c r="W4509" s="4"/>
      <c r="X4509" s="4"/>
      <c r="Y4509" s="4"/>
    </row>
    <row r="4510" spans="5:25">
      <c r="E4510"/>
      <c r="G4510"/>
      <c r="H4510"/>
      <c r="I4510"/>
      <c r="K4510"/>
      <c r="O4510"/>
      <c r="R4510"/>
      <c r="W4510" s="4"/>
      <c r="X4510" s="4"/>
      <c r="Y4510" s="4"/>
    </row>
    <row r="4511" spans="5:25">
      <c r="E4511"/>
      <c r="G4511"/>
      <c r="H4511"/>
      <c r="I4511"/>
      <c r="K4511"/>
      <c r="O4511"/>
      <c r="R4511"/>
      <c r="W4511" s="4"/>
      <c r="X4511" s="4"/>
      <c r="Y4511" s="4"/>
    </row>
    <row r="4512" spans="5:25">
      <c r="E4512"/>
      <c r="G4512"/>
      <c r="H4512"/>
      <c r="I4512"/>
      <c r="K4512"/>
      <c r="O4512"/>
      <c r="R4512"/>
      <c r="W4512" s="4"/>
      <c r="X4512" s="4"/>
      <c r="Y4512" s="4"/>
    </row>
    <row r="4513" spans="5:25">
      <c r="E4513"/>
      <c r="G4513"/>
      <c r="H4513"/>
      <c r="I4513"/>
      <c r="K4513"/>
      <c r="O4513"/>
      <c r="R4513"/>
      <c r="W4513" s="4"/>
      <c r="X4513" s="4"/>
      <c r="Y4513" s="4"/>
    </row>
    <row r="4514" spans="5:25">
      <c r="E4514"/>
      <c r="G4514"/>
      <c r="H4514"/>
      <c r="I4514"/>
      <c r="K4514"/>
      <c r="O4514"/>
      <c r="R4514"/>
      <c r="W4514" s="4"/>
      <c r="X4514" s="4"/>
      <c r="Y4514" s="4"/>
    </row>
    <row r="4515" spans="5:25">
      <c r="E4515"/>
      <c r="G4515"/>
      <c r="H4515"/>
      <c r="I4515"/>
      <c r="K4515"/>
      <c r="O4515"/>
      <c r="R4515"/>
      <c r="W4515" s="4"/>
      <c r="X4515" s="4"/>
      <c r="Y4515" s="4"/>
    </row>
    <row r="4516" spans="5:25">
      <c r="E4516"/>
      <c r="G4516"/>
      <c r="H4516"/>
      <c r="I4516"/>
      <c r="K4516"/>
      <c r="O4516"/>
      <c r="R4516"/>
      <c r="W4516" s="4"/>
      <c r="X4516" s="4"/>
      <c r="Y4516" s="4"/>
    </row>
    <row r="4517" spans="5:25">
      <c r="E4517"/>
      <c r="G4517"/>
      <c r="H4517"/>
      <c r="I4517"/>
      <c r="K4517"/>
      <c r="O4517"/>
      <c r="R4517"/>
      <c r="W4517" s="4"/>
      <c r="X4517" s="4"/>
      <c r="Y4517" s="4"/>
    </row>
    <row r="4518" spans="5:25">
      <c r="E4518"/>
      <c r="G4518"/>
      <c r="H4518"/>
      <c r="I4518"/>
      <c r="K4518"/>
      <c r="O4518"/>
      <c r="R4518"/>
      <c r="W4518" s="4"/>
      <c r="X4518" s="4"/>
      <c r="Y4518" s="4"/>
    </row>
    <row r="4519" spans="5:25">
      <c r="E4519"/>
      <c r="G4519"/>
      <c r="H4519"/>
      <c r="I4519"/>
      <c r="K4519"/>
      <c r="O4519"/>
      <c r="R4519"/>
      <c r="W4519" s="4"/>
      <c r="X4519" s="4"/>
      <c r="Y4519" s="4"/>
    </row>
    <row r="4520" spans="5:25">
      <c r="E4520"/>
      <c r="G4520"/>
      <c r="H4520"/>
      <c r="I4520"/>
      <c r="K4520"/>
      <c r="O4520"/>
      <c r="R4520"/>
      <c r="W4520" s="4"/>
      <c r="X4520" s="4"/>
      <c r="Y4520" s="4"/>
    </row>
    <row r="4521" spans="5:25">
      <c r="E4521"/>
      <c r="G4521"/>
      <c r="H4521"/>
      <c r="I4521"/>
      <c r="K4521"/>
      <c r="O4521"/>
      <c r="R4521"/>
      <c r="W4521" s="4"/>
      <c r="X4521" s="4"/>
      <c r="Y4521" s="4"/>
    </row>
    <row r="4522" spans="5:25">
      <c r="E4522"/>
      <c r="G4522"/>
      <c r="H4522"/>
      <c r="I4522"/>
      <c r="K4522"/>
      <c r="O4522"/>
      <c r="R4522"/>
      <c r="W4522" s="4"/>
      <c r="X4522" s="4"/>
      <c r="Y4522" s="4"/>
    </row>
    <row r="4523" spans="5:25">
      <c r="E4523"/>
      <c r="G4523"/>
      <c r="H4523"/>
      <c r="I4523"/>
      <c r="K4523"/>
      <c r="O4523"/>
      <c r="R4523"/>
      <c r="W4523" s="4"/>
      <c r="X4523" s="4"/>
      <c r="Y4523" s="4"/>
    </row>
    <row r="4524" spans="5:25">
      <c r="E4524"/>
      <c r="G4524"/>
      <c r="H4524"/>
      <c r="I4524"/>
      <c r="K4524"/>
      <c r="O4524"/>
      <c r="R4524"/>
      <c r="W4524" s="4"/>
      <c r="X4524" s="4"/>
      <c r="Y4524" s="4"/>
    </row>
    <row r="4525" spans="5:25">
      <c r="E4525"/>
      <c r="G4525"/>
      <c r="H4525"/>
      <c r="I4525"/>
      <c r="K4525"/>
      <c r="O4525"/>
      <c r="R4525"/>
      <c r="W4525" s="4"/>
      <c r="X4525" s="4"/>
      <c r="Y4525" s="4"/>
    </row>
    <row r="4526" spans="5:25">
      <c r="E4526"/>
      <c r="G4526"/>
      <c r="H4526"/>
      <c r="I4526"/>
      <c r="K4526"/>
      <c r="O4526"/>
      <c r="R4526"/>
      <c r="W4526" s="4"/>
      <c r="X4526" s="4"/>
      <c r="Y4526" s="4"/>
    </row>
    <row r="4527" spans="5:25">
      <c r="E4527"/>
      <c r="G4527"/>
      <c r="H4527"/>
      <c r="I4527"/>
      <c r="K4527"/>
      <c r="O4527"/>
      <c r="R4527"/>
      <c r="W4527" s="4"/>
      <c r="X4527" s="4"/>
      <c r="Y4527" s="4"/>
    </row>
    <row r="4528" spans="5:25">
      <c r="E4528"/>
      <c r="G4528"/>
      <c r="H4528"/>
      <c r="I4528"/>
      <c r="K4528"/>
      <c r="O4528"/>
      <c r="R4528"/>
      <c r="W4528" s="4"/>
      <c r="X4528" s="4"/>
      <c r="Y4528" s="4"/>
    </row>
    <row r="4529" spans="5:25">
      <c r="E4529"/>
      <c r="G4529"/>
      <c r="H4529"/>
      <c r="I4529"/>
      <c r="K4529"/>
      <c r="O4529"/>
      <c r="R4529"/>
      <c r="W4529" s="4"/>
      <c r="X4529" s="4"/>
      <c r="Y4529" s="4"/>
    </row>
    <row r="4530" spans="5:25">
      <c r="E4530"/>
      <c r="G4530"/>
      <c r="H4530"/>
      <c r="I4530"/>
      <c r="K4530"/>
      <c r="O4530"/>
      <c r="R4530"/>
      <c r="W4530" s="4"/>
      <c r="X4530" s="4"/>
      <c r="Y4530" s="4"/>
    </row>
    <row r="4531" spans="5:25">
      <c r="E4531"/>
      <c r="G4531"/>
      <c r="H4531"/>
      <c r="I4531"/>
      <c r="K4531"/>
      <c r="O4531"/>
      <c r="R4531"/>
      <c r="W4531" s="4"/>
      <c r="X4531" s="4"/>
      <c r="Y4531" s="4"/>
    </row>
    <row r="4532" spans="5:25">
      <c r="E4532"/>
      <c r="G4532"/>
      <c r="H4532"/>
      <c r="I4532"/>
      <c r="K4532"/>
      <c r="O4532"/>
      <c r="R4532"/>
      <c r="W4532" s="4"/>
      <c r="X4532" s="4"/>
      <c r="Y4532" s="4"/>
    </row>
    <row r="4533" spans="5:25">
      <c r="E4533"/>
      <c r="G4533"/>
      <c r="H4533"/>
      <c r="I4533"/>
      <c r="K4533"/>
      <c r="O4533"/>
      <c r="R4533"/>
      <c r="W4533" s="4"/>
      <c r="X4533" s="4"/>
      <c r="Y4533" s="4"/>
    </row>
    <row r="4534" spans="5:25">
      <c r="E4534"/>
      <c r="G4534"/>
      <c r="H4534"/>
      <c r="I4534"/>
      <c r="K4534"/>
      <c r="O4534"/>
      <c r="R4534"/>
      <c r="W4534" s="4"/>
      <c r="X4534" s="4"/>
      <c r="Y4534" s="4"/>
    </row>
    <row r="4535" spans="5:25">
      <c r="E4535"/>
      <c r="G4535"/>
      <c r="H4535"/>
      <c r="I4535"/>
      <c r="K4535"/>
      <c r="O4535"/>
      <c r="R4535"/>
      <c r="W4535" s="4"/>
      <c r="X4535" s="4"/>
      <c r="Y4535" s="4"/>
    </row>
    <row r="4536" spans="5:25">
      <c r="E4536"/>
      <c r="G4536"/>
      <c r="H4536"/>
      <c r="I4536"/>
      <c r="K4536"/>
      <c r="O4536"/>
      <c r="R4536"/>
      <c r="W4536" s="4"/>
      <c r="X4536" s="4"/>
      <c r="Y4536" s="4"/>
    </row>
    <row r="4537" spans="5:25">
      <c r="E4537"/>
      <c r="G4537"/>
      <c r="H4537"/>
      <c r="I4537"/>
      <c r="K4537"/>
      <c r="O4537"/>
      <c r="R4537"/>
      <c r="W4537" s="4"/>
      <c r="X4537" s="4"/>
      <c r="Y4537" s="4"/>
    </row>
    <row r="4538" spans="5:25">
      <c r="E4538"/>
      <c r="G4538"/>
      <c r="H4538"/>
      <c r="I4538"/>
      <c r="K4538"/>
      <c r="O4538"/>
      <c r="R4538"/>
      <c r="W4538" s="4"/>
      <c r="X4538" s="4"/>
      <c r="Y4538" s="4"/>
    </row>
    <row r="4539" spans="5:25">
      <c r="E4539"/>
      <c r="G4539"/>
      <c r="H4539"/>
      <c r="I4539"/>
      <c r="K4539"/>
      <c r="O4539"/>
      <c r="R4539"/>
      <c r="W4539" s="4"/>
      <c r="X4539" s="4"/>
      <c r="Y4539" s="4"/>
    </row>
    <row r="4540" spans="5:25">
      <c r="E4540"/>
      <c r="G4540"/>
      <c r="H4540"/>
      <c r="I4540"/>
      <c r="K4540"/>
      <c r="O4540"/>
      <c r="R4540"/>
      <c r="W4540" s="4"/>
      <c r="X4540" s="4"/>
      <c r="Y4540" s="4"/>
    </row>
    <row r="4541" spans="5:25">
      <c r="E4541"/>
      <c r="G4541"/>
      <c r="H4541"/>
      <c r="I4541"/>
      <c r="K4541"/>
      <c r="O4541"/>
      <c r="R4541"/>
      <c r="W4541" s="4"/>
      <c r="X4541" s="4"/>
      <c r="Y4541" s="4"/>
    </row>
    <row r="4542" spans="5:25">
      <c r="E4542"/>
      <c r="G4542"/>
      <c r="H4542"/>
      <c r="I4542"/>
      <c r="K4542"/>
      <c r="O4542"/>
      <c r="R4542"/>
      <c r="W4542" s="4"/>
      <c r="X4542" s="4"/>
      <c r="Y4542" s="4"/>
    </row>
    <row r="4543" spans="5:25">
      <c r="E4543"/>
      <c r="G4543"/>
      <c r="H4543"/>
      <c r="I4543"/>
      <c r="K4543"/>
      <c r="O4543"/>
      <c r="R4543"/>
      <c r="W4543" s="4"/>
      <c r="X4543" s="4"/>
      <c r="Y4543" s="4"/>
    </row>
    <row r="4544" spans="5:25">
      <c r="E4544"/>
      <c r="G4544"/>
      <c r="H4544"/>
      <c r="I4544"/>
      <c r="K4544"/>
      <c r="O4544"/>
      <c r="R4544"/>
      <c r="W4544" s="4"/>
      <c r="X4544" s="4"/>
      <c r="Y4544" s="4"/>
    </row>
    <row r="4545" spans="5:25">
      <c r="E4545"/>
      <c r="G4545"/>
      <c r="H4545"/>
      <c r="I4545"/>
      <c r="K4545"/>
      <c r="O4545"/>
      <c r="R4545"/>
      <c r="W4545" s="4"/>
      <c r="X4545" s="4"/>
      <c r="Y4545" s="4"/>
    </row>
    <row r="4546" spans="5:25">
      <c r="E4546"/>
      <c r="G4546"/>
      <c r="H4546"/>
      <c r="I4546"/>
      <c r="K4546"/>
      <c r="O4546"/>
      <c r="R4546"/>
      <c r="W4546" s="4"/>
      <c r="X4546" s="4"/>
      <c r="Y4546" s="4"/>
    </row>
    <row r="4547" spans="5:25">
      <c r="E4547"/>
      <c r="G4547"/>
      <c r="H4547"/>
      <c r="I4547"/>
      <c r="K4547"/>
      <c r="O4547"/>
      <c r="R4547"/>
      <c r="W4547" s="4"/>
      <c r="X4547" s="4"/>
      <c r="Y4547" s="4"/>
    </row>
    <row r="4548" spans="5:25">
      <c r="E4548"/>
      <c r="G4548"/>
      <c r="H4548"/>
      <c r="I4548"/>
      <c r="K4548"/>
      <c r="O4548"/>
      <c r="R4548"/>
      <c r="W4548" s="4"/>
      <c r="X4548" s="4"/>
      <c r="Y4548" s="4"/>
    </row>
    <row r="4549" spans="5:25">
      <c r="E4549"/>
      <c r="G4549"/>
      <c r="H4549"/>
      <c r="I4549"/>
      <c r="K4549"/>
      <c r="O4549"/>
      <c r="R4549"/>
      <c r="W4549" s="4"/>
      <c r="X4549" s="4"/>
      <c r="Y4549" s="4"/>
    </row>
    <row r="4550" spans="5:25">
      <c r="E4550"/>
      <c r="G4550"/>
      <c r="H4550"/>
      <c r="I4550"/>
      <c r="K4550"/>
      <c r="O4550"/>
      <c r="R4550"/>
      <c r="W4550" s="4"/>
      <c r="X4550" s="4"/>
      <c r="Y4550" s="4"/>
    </row>
    <row r="4551" spans="5:25">
      <c r="E4551"/>
      <c r="G4551"/>
      <c r="H4551"/>
      <c r="I4551"/>
      <c r="K4551"/>
      <c r="O4551"/>
      <c r="R4551"/>
      <c r="W4551" s="4"/>
      <c r="X4551" s="4"/>
      <c r="Y4551" s="4"/>
    </row>
    <row r="4552" spans="5:25">
      <c r="E4552"/>
      <c r="G4552"/>
      <c r="H4552"/>
      <c r="I4552"/>
      <c r="K4552"/>
      <c r="O4552"/>
      <c r="R4552"/>
      <c r="W4552" s="4"/>
      <c r="X4552" s="4"/>
      <c r="Y4552" s="4"/>
    </row>
    <row r="4553" spans="5:25">
      <c r="E4553"/>
      <c r="G4553"/>
      <c r="H4553"/>
      <c r="I4553"/>
      <c r="K4553"/>
      <c r="O4553"/>
      <c r="R4553"/>
      <c r="W4553" s="4"/>
      <c r="X4553" s="4"/>
      <c r="Y4553" s="4"/>
    </row>
    <row r="4554" spans="5:25">
      <c r="E4554"/>
      <c r="G4554"/>
      <c r="H4554"/>
      <c r="I4554"/>
      <c r="K4554"/>
      <c r="O4554"/>
      <c r="R4554"/>
      <c r="W4554" s="4"/>
      <c r="X4554" s="4"/>
      <c r="Y4554" s="4"/>
    </row>
    <row r="4555" spans="5:25">
      <c r="E4555"/>
      <c r="G4555"/>
      <c r="H4555"/>
      <c r="I4555"/>
      <c r="K4555"/>
      <c r="O4555"/>
      <c r="R4555"/>
      <c r="W4555" s="4"/>
      <c r="X4555" s="4"/>
      <c r="Y4555" s="4"/>
    </row>
    <row r="4556" spans="5:25">
      <c r="E4556"/>
      <c r="G4556"/>
      <c r="H4556"/>
      <c r="I4556"/>
      <c r="K4556"/>
      <c r="O4556"/>
      <c r="R4556"/>
      <c r="W4556" s="4"/>
      <c r="X4556" s="4"/>
      <c r="Y4556" s="4"/>
    </row>
    <row r="4557" spans="5:25">
      <c r="E4557"/>
      <c r="G4557"/>
      <c r="H4557"/>
      <c r="I4557"/>
      <c r="K4557"/>
      <c r="O4557"/>
      <c r="R4557"/>
      <c r="W4557" s="4"/>
      <c r="X4557" s="4"/>
      <c r="Y4557" s="4"/>
    </row>
    <row r="4558" spans="5:25">
      <c r="E4558"/>
      <c r="G4558"/>
      <c r="H4558"/>
      <c r="I4558"/>
      <c r="K4558"/>
      <c r="O4558"/>
      <c r="R4558"/>
      <c r="W4558" s="4"/>
      <c r="X4558" s="4"/>
      <c r="Y4558" s="4"/>
    </row>
    <row r="4559" spans="5:25">
      <c r="E4559"/>
      <c r="G4559"/>
      <c r="H4559"/>
      <c r="I4559"/>
      <c r="K4559"/>
      <c r="O4559"/>
      <c r="R4559"/>
      <c r="W4559" s="4"/>
      <c r="X4559" s="4"/>
      <c r="Y4559" s="4"/>
    </row>
    <row r="4560" spans="5:25">
      <c r="E4560"/>
      <c r="G4560"/>
      <c r="H4560"/>
      <c r="I4560"/>
      <c r="K4560"/>
      <c r="O4560"/>
      <c r="R4560"/>
      <c r="W4560" s="4"/>
      <c r="X4560" s="4"/>
      <c r="Y4560" s="4"/>
    </row>
    <row r="4561" spans="5:25">
      <c r="E4561"/>
      <c r="G4561"/>
      <c r="H4561"/>
      <c r="I4561"/>
      <c r="K4561"/>
      <c r="O4561"/>
      <c r="R4561"/>
      <c r="W4561" s="4"/>
      <c r="X4561" s="4"/>
      <c r="Y4561" s="4"/>
    </row>
    <row r="4562" spans="5:25">
      <c r="E4562"/>
      <c r="G4562"/>
      <c r="H4562"/>
      <c r="I4562"/>
      <c r="K4562"/>
      <c r="O4562"/>
      <c r="R4562"/>
      <c r="W4562" s="4"/>
      <c r="X4562" s="4"/>
      <c r="Y4562" s="4"/>
    </row>
    <row r="4563" spans="5:25">
      <c r="E4563"/>
      <c r="G4563"/>
      <c r="H4563"/>
      <c r="I4563"/>
      <c r="K4563"/>
      <c r="O4563"/>
      <c r="R4563"/>
      <c r="W4563" s="4"/>
      <c r="X4563" s="4"/>
      <c r="Y4563" s="4"/>
    </row>
    <row r="4564" spans="5:25">
      <c r="E4564"/>
      <c r="G4564"/>
      <c r="H4564"/>
      <c r="I4564"/>
      <c r="K4564"/>
      <c r="O4564"/>
      <c r="R4564"/>
      <c r="W4564" s="4"/>
      <c r="X4564" s="4"/>
      <c r="Y4564" s="4"/>
    </row>
    <row r="4565" spans="5:25">
      <c r="E4565"/>
      <c r="G4565"/>
      <c r="H4565"/>
      <c r="I4565"/>
      <c r="K4565"/>
      <c r="O4565"/>
      <c r="R4565"/>
      <c r="W4565" s="4"/>
      <c r="X4565" s="4"/>
      <c r="Y4565" s="4"/>
    </row>
    <row r="4566" spans="5:25">
      <c r="E4566"/>
      <c r="G4566"/>
      <c r="H4566"/>
      <c r="I4566"/>
      <c r="K4566"/>
      <c r="O4566"/>
      <c r="R4566"/>
      <c r="W4566" s="4"/>
      <c r="X4566" s="4"/>
      <c r="Y4566" s="4"/>
    </row>
    <row r="4567" spans="5:25">
      <c r="E4567"/>
      <c r="G4567"/>
      <c r="H4567"/>
      <c r="I4567"/>
      <c r="K4567"/>
      <c r="O4567"/>
      <c r="R4567"/>
      <c r="W4567" s="4"/>
      <c r="X4567" s="4"/>
      <c r="Y4567" s="4"/>
    </row>
    <row r="4568" spans="5:25">
      <c r="E4568"/>
      <c r="G4568"/>
      <c r="H4568"/>
      <c r="I4568"/>
      <c r="K4568"/>
      <c r="O4568"/>
      <c r="R4568"/>
      <c r="W4568" s="4"/>
      <c r="X4568" s="4"/>
      <c r="Y4568" s="4"/>
    </row>
    <row r="4569" spans="5:25">
      <c r="E4569"/>
      <c r="G4569"/>
      <c r="H4569"/>
      <c r="I4569"/>
      <c r="K4569"/>
      <c r="O4569"/>
      <c r="R4569"/>
      <c r="W4569" s="4"/>
      <c r="X4569" s="4"/>
      <c r="Y4569" s="4"/>
    </row>
    <row r="4570" spans="5:25">
      <c r="E4570"/>
      <c r="G4570"/>
      <c r="H4570"/>
      <c r="I4570"/>
      <c r="K4570"/>
      <c r="O4570"/>
      <c r="R4570"/>
      <c r="W4570" s="4"/>
      <c r="X4570" s="4"/>
      <c r="Y4570" s="4"/>
    </row>
    <row r="4571" spans="5:25">
      <c r="E4571"/>
      <c r="G4571"/>
      <c r="H4571"/>
      <c r="I4571"/>
      <c r="K4571"/>
      <c r="O4571"/>
      <c r="R4571"/>
      <c r="W4571" s="4"/>
      <c r="X4571" s="4"/>
      <c r="Y4571" s="4"/>
    </row>
    <row r="4572" spans="5:25">
      <c r="E4572"/>
      <c r="G4572"/>
      <c r="H4572"/>
      <c r="I4572"/>
      <c r="K4572"/>
      <c r="O4572"/>
      <c r="R4572"/>
      <c r="W4572" s="4"/>
      <c r="X4572" s="4"/>
      <c r="Y4572" s="4"/>
    </row>
    <row r="4573" spans="5:25">
      <c r="E4573"/>
      <c r="G4573"/>
      <c r="H4573"/>
      <c r="I4573"/>
      <c r="K4573"/>
      <c r="O4573"/>
      <c r="R4573"/>
      <c r="W4573" s="4"/>
      <c r="X4573" s="4"/>
      <c r="Y4573" s="4"/>
    </row>
    <row r="4574" spans="5:25">
      <c r="E4574"/>
      <c r="G4574"/>
      <c r="H4574"/>
      <c r="I4574"/>
      <c r="K4574"/>
      <c r="O4574"/>
      <c r="R4574"/>
      <c r="W4574" s="4"/>
      <c r="X4574" s="4"/>
      <c r="Y4574" s="4"/>
    </row>
    <row r="4575" spans="5:25">
      <c r="E4575"/>
      <c r="G4575"/>
      <c r="H4575"/>
      <c r="I4575"/>
      <c r="K4575"/>
      <c r="O4575"/>
      <c r="R4575"/>
      <c r="W4575" s="4"/>
      <c r="X4575" s="4"/>
      <c r="Y4575" s="4"/>
    </row>
    <row r="4576" spans="5:25">
      <c r="E4576"/>
      <c r="G4576"/>
      <c r="H4576"/>
      <c r="I4576"/>
      <c r="K4576"/>
      <c r="O4576"/>
      <c r="R4576"/>
      <c r="W4576" s="4"/>
      <c r="X4576" s="4"/>
      <c r="Y4576" s="4"/>
    </row>
    <row r="4577" spans="5:25">
      <c r="E4577"/>
      <c r="G4577"/>
      <c r="H4577"/>
      <c r="I4577"/>
      <c r="K4577"/>
      <c r="O4577"/>
      <c r="R4577"/>
      <c r="W4577" s="4"/>
      <c r="X4577" s="4"/>
      <c r="Y4577" s="4"/>
    </row>
    <row r="4578" spans="5:25">
      <c r="E4578"/>
      <c r="G4578"/>
      <c r="H4578"/>
      <c r="I4578"/>
      <c r="K4578"/>
      <c r="O4578"/>
      <c r="R4578"/>
      <c r="W4578" s="4"/>
      <c r="X4578" s="4"/>
      <c r="Y4578" s="4"/>
    </row>
    <row r="4579" spans="5:25">
      <c r="E4579"/>
      <c r="G4579"/>
      <c r="H4579"/>
      <c r="I4579"/>
      <c r="K4579"/>
      <c r="O4579"/>
      <c r="R4579"/>
      <c r="W4579" s="4"/>
      <c r="X4579" s="4"/>
      <c r="Y4579" s="4"/>
    </row>
    <row r="4580" spans="5:25">
      <c r="E4580"/>
      <c r="G4580"/>
      <c r="H4580"/>
      <c r="I4580"/>
      <c r="K4580"/>
      <c r="O4580"/>
      <c r="R4580"/>
      <c r="W4580" s="4"/>
      <c r="X4580" s="4"/>
      <c r="Y4580" s="4"/>
    </row>
    <row r="4581" spans="5:25">
      <c r="E4581"/>
      <c r="G4581"/>
      <c r="H4581"/>
      <c r="I4581"/>
      <c r="K4581"/>
      <c r="O4581"/>
      <c r="R4581"/>
      <c r="W4581" s="4"/>
      <c r="X4581" s="4"/>
      <c r="Y4581" s="4"/>
    </row>
    <row r="4582" spans="5:25">
      <c r="E4582"/>
      <c r="G4582"/>
      <c r="H4582"/>
      <c r="I4582"/>
      <c r="K4582"/>
      <c r="O4582"/>
      <c r="R4582"/>
      <c r="W4582" s="4"/>
      <c r="X4582" s="4"/>
      <c r="Y4582" s="4"/>
    </row>
    <row r="4583" spans="5:25">
      <c r="E4583"/>
      <c r="G4583"/>
      <c r="H4583"/>
      <c r="I4583"/>
      <c r="K4583"/>
      <c r="O4583"/>
      <c r="R4583"/>
      <c r="W4583" s="4"/>
      <c r="X4583" s="4"/>
      <c r="Y4583" s="4"/>
    </row>
    <row r="4584" spans="5:25">
      <c r="E4584"/>
      <c r="G4584"/>
      <c r="H4584"/>
      <c r="I4584"/>
      <c r="K4584"/>
      <c r="O4584"/>
      <c r="R4584"/>
      <c r="W4584" s="4"/>
      <c r="X4584" s="4"/>
      <c r="Y4584" s="4"/>
    </row>
    <row r="4585" spans="5:25">
      <c r="E4585"/>
      <c r="G4585"/>
      <c r="H4585"/>
      <c r="I4585"/>
      <c r="K4585"/>
      <c r="O4585"/>
      <c r="R4585"/>
      <c r="W4585" s="4"/>
      <c r="X4585" s="4"/>
      <c r="Y4585" s="4"/>
    </row>
    <row r="4586" spans="5:25">
      <c r="E4586"/>
      <c r="G4586"/>
      <c r="H4586"/>
      <c r="I4586"/>
      <c r="K4586"/>
      <c r="O4586"/>
      <c r="R4586"/>
      <c r="W4586" s="4"/>
      <c r="X4586" s="4"/>
      <c r="Y4586" s="4"/>
    </row>
    <row r="4587" spans="5:25">
      <c r="E4587"/>
      <c r="G4587"/>
      <c r="H4587"/>
      <c r="I4587"/>
      <c r="K4587"/>
      <c r="O4587"/>
      <c r="R4587"/>
      <c r="W4587" s="4"/>
      <c r="X4587" s="4"/>
      <c r="Y4587" s="4"/>
    </row>
    <row r="4588" spans="5:25">
      <c r="E4588"/>
      <c r="G4588"/>
      <c r="H4588"/>
      <c r="I4588"/>
      <c r="K4588"/>
      <c r="O4588"/>
      <c r="R4588"/>
      <c r="W4588" s="4"/>
      <c r="X4588" s="4"/>
      <c r="Y4588" s="4"/>
    </row>
    <row r="4589" spans="5:25">
      <c r="E4589"/>
      <c r="G4589"/>
      <c r="H4589"/>
      <c r="I4589"/>
      <c r="K4589"/>
      <c r="O4589"/>
      <c r="R4589"/>
      <c r="W4589" s="4"/>
      <c r="X4589" s="4"/>
      <c r="Y4589" s="4"/>
    </row>
    <row r="4590" spans="5:25">
      <c r="E4590"/>
      <c r="G4590"/>
      <c r="H4590"/>
      <c r="I4590"/>
      <c r="K4590"/>
      <c r="O4590"/>
      <c r="R4590"/>
      <c r="W4590" s="4"/>
      <c r="X4590" s="4"/>
      <c r="Y4590" s="4"/>
    </row>
    <row r="4591" spans="5:25">
      <c r="E4591"/>
      <c r="G4591"/>
      <c r="H4591"/>
      <c r="I4591"/>
      <c r="K4591"/>
      <c r="O4591"/>
      <c r="R4591"/>
      <c r="W4591" s="4"/>
      <c r="X4591" s="4"/>
      <c r="Y4591" s="4"/>
    </row>
    <row r="4592" spans="5:25">
      <c r="E4592"/>
      <c r="G4592"/>
      <c r="H4592"/>
      <c r="I4592"/>
      <c r="K4592"/>
      <c r="O4592"/>
      <c r="R4592"/>
      <c r="W4592" s="4"/>
      <c r="X4592" s="4"/>
      <c r="Y4592" s="4"/>
    </row>
    <row r="4593" spans="5:25">
      <c r="E4593"/>
      <c r="G4593"/>
      <c r="H4593"/>
      <c r="I4593"/>
      <c r="K4593"/>
      <c r="O4593"/>
      <c r="R4593"/>
      <c r="W4593" s="4"/>
      <c r="X4593" s="4"/>
      <c r="Y4593" s="4"/>
    </row>
    <row r="4594" spans="5:25">
      <c r="E4594"/>
      <c r="G4594"/>
      <c r="H4594"/>
      <c r="I4594"/>
      <c r="K4594"/>
      <c r="O4594"/>
      <c r="R4594"/>
      <c r="W4594" s="4"/>
      <c r="X4594" s="4"/>
      <c r="Y4594" s="4"/>
    </row>
    <row r="4595" spans="5:25">
      <c r="E4595"/>
      <c r="G4595"/>
      <c r="H4595"/>
      <c r="I4595"/>
      <c r="K4595"/>
      <c r="O4595"/>
      <c r="R4595"/>
      <c r="W4595" s="4"/>
      <c r="X4595" s="4"/>
      <c r="Y4595" s="4"/>
    </row>
    <row r="4596" spans="5:25">
      <c r="E4596"/>
      <c r="G4596"/>
      <c r="H4596"/>
      <c r="I4596"/>
      <c r="K4596"/>
      <c r="O4596"/>
      <c r="R4596"/>
      <c r="W4596" s="4"/>
      <c r="X4596" s="4"/>
      <c r="Y4596" s="4"/>
    </row>
    <row r="4597" spans="5:25">
      <c r="E4597"/>
      <c r="G4597"/>
      <c r="H4597"/>
      <c r="I4597"/>
      <c r="K4597"/>
      <c r="O4597"/>
      <c r="R4597"/>
      <c r="W4597" s="4"/>
      <c r="X4597" s="4"/>
      <c r="Y4597" s="4"/>
    </row>
    <row r="4598" spans="5:25">
      <c r="E4598"/>
      <c r="G4598"/>
      <c r="H4598"/>
      <c r="I4598"/>
      <c r="K4598"/>
      <c r="O4598"/>
      <c r="R4598"/>
      <c r="W4598" s="4"/>
      <c r="X4598" s="4"/>
      <c r="Y4598" s="4"/>
    </row>
    <row r="4599" spans="5:25">
      <c r="E4599"/>
      <c r="G4599"/>
      <c r="H4599"/>
      <c r="I4599"/>
      <c r="K4599"/>
      <c r="O4599"/>
      <c r="R4599"/>
      <c r="W4599" s="4"/>
      <c r="X4599" s="4"/>
      <c r="Y4599" s="4"/>
    </row>
    <row r="4600" spans="5:25">
      <c r="E4600"/>
      <c r="G4600"/>
      <c r="H4600"/>
      <c r="I4600"/>
      <c r="K4600"/>
      <c r="O4600"/>
      <c r="R4600"/>
      <c r="W4600" s="4"/>
      <c r="X4600" s="4"/>
      <c r="Y4600" s="4"/>
    </row>
    <row r="4601" spans="5:25">
      <c r="E4601"/>
      <c r="G4601"/>
      <c r="H4601"/>
      <c r="I4601"/>
      <c r="K4601"/>
      <c r="O4601"/>
      <c r="R4601"/>
      <c r="W4601" s="4"/>
      <c r="X4601" s="4"/>
      <c r="Y4601" s="4"/>
    </row>
    <row r="4602" spans="5:25">
      <c r="E4602"/>
      <c r="G4602"/>
      <c r="H4602"/>
      <c r="I4602"/>
      <c r="K4602"/>
      <c r="O4602"/>
      <c r="R4602"/>
      <c r="W4602" s="4"/>
      <c r="X4602" s="4"/>
      <c r="Y4602" s="4"/>
    </row>
    <row r="4603" spans="5:25">
      <c r="E4603"/>
      <c r="G4603"/>
      <c r="H4603"/>
      <c r="I4603"/>
      <c r="K4603"/>
      <c r="O4603"/>
      <c r="R4603"/>
      <c r="W4603" s="4"/>
      <c r="X4603" s="4"/>
      <c r="Y4603" s="4"/>
    </row>
    <row r="4604" spans="5:25">
      <c r="E4604"/>
      <c r="G4604"/>
      <c r="H4604"/>
      <c r="I4604"/>
      <c r="K4604"/>
      <c r="O4604"/>
      <c r="R4604"/>
      <c r="W4604" s="4"/>
      <c r="X4604" s="4"/>
      <c r="Y4604" s="4"/>
    </row>
    <row r="4605" spans="5:25">
      <c r="E4605"/>
      <c r="G4605"/>
      <c r="H4605"/>
      <c r="I4605"/>
      <c r="K4605"/>
      <c r="O4605"/>
      <c r="R4605"/>
      <c r="W4605" s="4"/>
      <c r="X4605" s="4"/>
      <c r="Y4605" s="4"/>
    </row>
    <row r="4606" spans="5:25">
      <c r="E4606"/>
      <c r="G4606"/>
      <c r="H4606"/>
      <c r="I4606"/>
      <c r="K4606"/>
      <c r="O4606"/>
      <c r="R4606"/>
      <c r="W4606" s="4"/>
      <c r="X4606" s="4"/>
      <c r="Y4606" s="4"/>
    </row>
    <row r="4607" spans="5:25">
      <c r="E4607"/>
      <c r="G4607"/>
      <c r="H4607"/>
      <c r="I4607"/>
      <c r="K4607"/>
      <c r="O4607"/>
      <c r="R4607"/>
      <c r="W4607" s="4"/>
      <c r="X4607" s="4"/>
      <c r="Y4607" s="4"/>
    </row>
    <row r="4608" spans="5:25">
      <c r="E4608"/>
      <c r="G4608"/>
      <c r="H4608"/>
      <c r="I4608"/>
      <c r="K4608"/>
      <c r="O4608"/>
      <c r="R4608"/>
      <c r="W4608" s="4"/>
      <c r="X4608" s="4"/>
      <c r="Y4608" s="4"/>
    </row>
    <row r="4609" spans="5:25">
      <c r="E4609"/>
      <c r="G4609"/>
      <c r="H4609"/>
      <c r="I4609"/>
      <c r="K4609"/>
      <c r="O4609"/>
      <c r="R4609"/>
      <c r="W4609" s="4"/>
      <c r="X4609" s="4"/>
      <c r="Y4609" s="4"/>
    </row>
    <row r="4610" spans="5:25">
      <c r="E4610"/>
      <c r="G4610"/>
      <c r="H4610"/>
      <c r="I4610"/>
      <c r="K4610"/>
      <c r="O4610"/>
      <c r="R4610"/>
      <c r="W4610" s="4"/>
      <c r="X4610" s="4"/>
      <c r="Y4610" s="4"/>
    </row>
    <row r="4611" spans="5:25">
      <c r="E4611"/>
      <c r="G4611"/>
      <c r="H4611"/>
      <c r="I4611"/>
      <c r="K4611"/>
      <c r="O4611"/>
      <c r="R4611"/>
      <c r="W4611" s="4"/>
      <c r="X4611" s="4"/>
      <c r="Y4611" s="4"/>
    </row>
    <row r="4612" spans="5:25">
      <c r="E4612"/>
      <c r="G4612"/>
      <c r="H4612"/>
      <c r="I4612"/>
      <c r="K4612"/>
      <c r="O4612"/>
      <c r="R4612"/>
      <c r="W4612" s="4"/>
      <c r="X4612" s="4"/>
      <c r="Y4612" s="4"/>
    </row>
    <row r="4613" spans="5:25">
      <c r="E4613"/>
      <c r="G4613"/>
      <c r="H4613"/>
      <c r="I4613"/>
      <c r="K4613"/>
      <c r="O4613"/>
      <c r="R4613"/>
      <c r="W4613" s="4"/>
      <c r="X4613" s="4"/>
      <c r="Y4613" s="4"/>
    </row>
    <row r="4614" spans="5:25">
      <c r="E4614"/>
      <c r="G4614"/>
      <c r="H4614"/>
      <c r="I4614"/>
      <c r="K4614"/>
      <c r="O4614"/>
      <c r="R4614"/>
      <c r="W4614" s="4"/>
      <c r="X4614" s="4"/>
      <c r="Y4614" s="4"/>
    </row>
    <row r="4615" spans="5:25">
      <c r="E4615"/>
      <c r="G4615"/>
      <c r="H4615"/>
      <c r="I4615"/>
      <c r="K4615"/>
      <c r="O4615"/>
      <c r="R4615"/>
      <c r="W4615" s="4"/>
      <c r="X4615" s="4"/>
      <c r="Y4615" s="4"/>
    </row>
    <row r="4616" spans="5:25">
      <c r="E4616"/>
      <c r="G4616"/>
      <c r="H4616"/>
      <c r="I4616"/>
      <c r="K4616"/>
      <c r="O4616"/>
      <c r="R4616"/>
      <c r="W4616" s="4"/>
      <c r="X4616" s="4"/>
      <c r="Y4616" s="4"/>
    </row>
    <row r="4617" spans="5:25">
      <c r="E4617"/>
      <c r="G4617"/>
      <c r="H4617"/>
      <c r="I4617"/>
      <c r="K4617"/>
      <c r="O4617"/>
      <c r="R4617"/>
      <c r="W4617" s="4"/>
      <c r="X4617" s="4"/>
      <c r="Y4617" s="4"/>
    </row>
    <row r="4618" spans="5:25">
      <c r="E4618"/>
      <c r="G4618"/>
      <c r="H4618"/>
      <c r="I4618"/>
      <c r="K4618"/>
      <c r="O4618"/>
      <c r="R4618"/>
      <c r="W4618" s="4"/>
      <c r="X4618" s="4"/>
      <c r="Y4618" s="4"/>
    </row>
    <row r="4619" spans="5:25">
      <c r="E4619"/>
      <c r="G4619"/>
      <c r="H4619"/>
      <c r="I4619"/>
      <c r="K4619"/>
      <c r="O4619"/>
      <c r="R4619"/>
      <c r="W4619" s="4"/>
      <c r="X4619" s="4"/>
      <c r="Y4619" s="4"/>
    </row>
    <row r="4620" spans="5:25">
      <c r="E4620"/>
      <c r="G4620"/>
      <c r="H4620"/>
      <c r="I4620"/>
      <c r="K4620"/>
      <c r="O4620"/>
      <c r="R4620"/>
      <c r="W4620" s="4"/>
      <c r="X4620" s="4"/>
      <c r="Y4620" s="4"/>
    </row>
    <row r="4621" spans="5:25">
      <c r="E4621"/>
      <c r="G4621"/>
      <c r="H4621"/>
      <c r="I4621"/>
      <c r="K4621"/>
      <c r="O4621"/>
      <c r="R4621"/>
      <c r="W4621" s="4"/>
      <c r="X4621" s="4"/>
      <c r="Y4621" s="4"/>
    </row>
    <row r="4622" spans="5:25">
      <c r="E4622"/>
      <c r="G4622"/>
      <c r="H4622"/>
      <c r="I4622"/>
      <c r="K4622"/>
      <c r="O4622"/>
      <c r="R4622"/>
      <c r="W4622" s="4"/>
      <c r="X4622" s="4"/>
      <c r="Y4622" s="4"/>
    </row>
    <row r="4623" spans="5:25">
      <c r="E4623"/>
      <c r="G4623"/>
      <c r="H4623"/>
      <c r="I4623"/>
      <c r="K4623"/>
      <c r="O4623"/>
      <c r="R4623"/>
      <c r="W4623" s="4"/>
      <c r="X4623" s="4"/>
      <c r="Y4623" s="4"/>
    </row>
    <row r="4624" spans="5:25">
      <c r="E4624"/>
      <c r="G4624"/>
      <c r="H4624"/>
      <c r="I4624"/>
      <c r="K4624"/>
      <c r="O4624"/>
      <c r="R4624"/>
      <c r="W4624" s="4"/>
      <c r="X4624" s="4"/>
      <c r="Y4624" s="4"/>
    </row>
    <row r="4625" spans="5:25">
      <c r="E4625"/>
      <c r="G4625"/>
      <c r="H4625"/>
      <c r="I4625"/>
      <c r="K4625"/>
      <c r="O4625"/>
      <c r="R4625"/>
      <c r="W4625" s="4"/>
      <c r="X4625" s="4"/>
      <c r="Y4625" s="4"/>
    </row>
    <row r="4626" spans="5:25">
      <c r="E4626"/>
      <c r="G4626"/>
      <c r="H4626"/>
      <c r="I4626"/>
      <c r="K4626"/>
      <c r="O4626"/>
      <c r="R4626"/>
      <c r="W4626" s="4"/>
      <c r="X4626" s="4"/>
      <c r="Y4626" s="4"/>
    </row>
    <row r="4627" spans="5:25">
      <c r="E4627"/>
      <c r="G4627"/>
      <c r="H4627"/>
      <c r="I4627"/>
      <c r="K4627"/>
      <c r="O4627"/>
      <c r="R4627"/>
      <c r="W4627" s="4"/>
      <c r="X4627" s="4"/>
      <c r="Y4627" s="4"/>
    </row>
    <row r="4628" spans="5:25">
      <c r="E4628"/>
      <c r="G4628"/>
      <c r="H4628"/>
      <c r="I4628"/>
      <c r="K4628"/>
      <c r="O4628"/>
      <c r="R4628"/>
      <c r="W4628" s="4"/>
      <c r="X4628" s="4"/>
      <c r="Y4628" s="4"/>
    </row>
    <row r="4629" spans="5:25">
      <c r="E4629"/>
      <c r="G4629"/>
      <c r="H4629"/>
      <c r="I4629"/>
      <c r="K4629"/>
      <c r="O4629"/>
      <c r="R4629"/>
      <c r="W4629" s="4"/>
      <c r="X4629" s="4"/>
      <c r="Y4629" s="4"/>
    </row>
    <row r="4630" spans="5:25">
      <c r="E4630"/>
      <c r="G4630"/>
      <c r="H4630"/>
      <c r="I4630"/>
      <c r="K4630"/>
      <c r="O4630"/>
      <c r="R4630"/>
      <c r="W4630" s="4"/>
      <c r="X4630" s="4"/>
      <c r="Y4630" s="4"/>
    </row>
    <row r="4631" spans="5:25">
      <c r="E4631"/>
      <c r="G4631"/>
      <c r="H4631"/>
      <c r="I4631"/>
      <c r="K4631"/>
      <c r="O4631"/>
      <c r="R4631"/>
      <c r="W4631" s="4"/>
      <c r="X4631" s="4"/>
      <c r="Y4631" s="4"/>
    </row>
    <row r="4632" spans="5:25">
      <c r="E4632"/>
      <c r="G4632"/>
      <c r="H4632"/>
      <c r="I4632"/>
      <c r="K4632"/>
      <c r="O4632"/>
      <c r="R4632"/>
      <c r="W4632" s="4"/>
      <c r="X4632" s="4"/>
      <c r="Y4632" s="4"/>
    </row>
    <row r="4633" spans="5:25">
      <c r="E4633"/>
      <c r="G4633"/>
      <c r="H4633"/>
      <c r="I4633"/>
      <c r="K4633"/>
      <c r="O4633"/>
      <c r="R4633"/>
      <c r="W4633" s="4"/>
      <c r="X4633" s="4"/>
      <c r="Y4633" s="4"/>
    </row>
    <row r="4634" spans="5:25">
      <c r="E4634"/>
      <c r="G4634"/>
      <c r="H4634"/>
      <c r="I4634"/>
      <c r="K4634"/>
      <c r="O4634"/>
      <c r="R4634"/>
      <c r="W4634" s="4"/>
      <c r="X4634" s="4"/>
      <c r="Y4634" s="4"/>
    </row>
    <row r="4635" spans="5:25">
      <c r="E4635"/>
      <c r="G4635"/>
      <c r="H4635"/>
      <c r="I4635"/>
      <c r="K4635"/>
      <c r="O4635"/>
      <c r="R4635"/>
      <c r="W4635" s="4"/>
      <c r="X4635" s="4"/>
      <c r="Y4635" s="4"/>
    </row>
    <row r="4636" spans="5:25">
      <c r="E4636"/>
      <c r="G4636"/>
      <c r="H4636"/>
      <c r="I4636"/>
      <c r="K4636"/>
      <c r="O4636"/>
      <c r="R4636"/>
      <c r="W4636" s="4"/>
      <c r="X4636" s="4"/>
      <c r="Y4636" s="4"/>
    </row>
    <row r="4637" spans="5:25">
      <c r="E4637"/>
      <c r="G4637"/>
      <c r="H4637"/>
      <c r="I4637"/>
      <c r="K4637"/>
      <c r="O4637"/>
      <c r="R4637"/>
      <c r="W4637" s="4"/>
      <c r="X4637" s="4"/>
      <c r="Y4637" s="4"/>
    </row>
    <row r="4638" spans="5:25">
      <c r="E4638"/>
      <c r="G4638"/>
      <c r="H4638"/>
      <c r="I4638"/>
      <c r="K4638"/>
      <c r="O4638"/>
      <c r="R4638"/>
      <c r="W4638" s="4"/>
      <c r="X4638" s="4"/>
      <c r="Y4638" s="4"/>
    </row>
    <row r="4639" spans="5:25">
      <c r="E4639"/>
      <c r="G4639"/>
      <c r="H4639"/>
      <c r="I4639"/>
      <c r="K4639"/>
      <c r="O4639"/>
      <c r="R4639"/>
      <c r="W4639" s="4"/>
      <c r="X4639" s="4"/>
      <c r="Y4639" s="4"/>
    </row>
    <row r="4640" spans="5:25">
      <c r="E4640"/>
      <c r="G4640"/>
      <c r="H4640"/>
      <c r="I4640"/>
      <c r="K4640"/>
      <c r="O4640"/>
      <c r="R4640"/>
      <c r="W4640" s="4"/>
      <c r="X4640" s="4"/>
      <c r="Y4640" s="4"/>
    </row>
    <row r="4641" spans="5:25">
      <c r="E4641"/>
      <c r="G4641"/>
      <c r="H4641"/>
      <c r="I4641"/>
      <c r="K4641"/>
      <c r="O4641"/>
      <c r="R4641"/>
      <c r="W4641" s="4"/>
      <c r="X4641" s="4"/>
      <c r="Y4641" s="4"/>
    </row>
    <row r="4642" spans="5:25">
      <c r="E4642"/>
      <c r="G4642"/>
      <c r="H4642"/>
      <c r="I4642"/>
      <c r="K4642"/>
      <c r="O4642"/>
      <c r="R4642"/>
      <c r="W4642" s="4"/>
      <c r="X4642" s="4"/>
      <c r="Y4642" s="4"/>
    </row>
    <row r="4643" spans="5:25">
      <c r="E4643"/>
      <c r="G4643"/>
      <c r="H4643"/>
      <c r="I4643"/>
      <c r="K4643"/>
      <c r="O4643"/>
      <c r="R4643"/>
      <c r="W4643" s="4"/>
      <c r="X4643" s="4"/>
      <c r="Y4643" s="4"/>
    </row>
    <row r="4644" spans="5:25">
      <c r="E4644"/>
      <c r="G4644"/>
      <c r="H4644"/>
      <c r="I4644"/>
      <c r="K4644"/>
      <c r="O4644"/>
      <c r="R4644"/>
      <c r="W4644" s="4"/>
      <c r="X4644" s="4"/>
      <c r="Y4644" s="4"/>
    </row>
    <row r="4645" spans="5:25">
      <c r="E4645"/>
      <c r="G4645"/>
      <c r="H4645"/>
      <c r="I4645"/>
      <c r="K4645"/>
      <c r="O4645"/>
      <c r="R4645"/>
      <c r="W4645" s="4"/>
      <c r="X4645" s="4"/>
      <c r="Y4645" s="4"/>
    </row>
    <row r="4646" spans="5:25">
      <c r="E4646"/>
      <c r="G4646"/>
      <c r="H4646"/>
      <c r="I4646"/>
      <c r="K4646"/>
      <c r="O4646"/>
      <c r="R4646"/>
      <c r="W4646" s="4"/>
      <c r="X4646" s="4"/>
      <c r="Y4646" s="4"/>
    </row>
    <row r="4647" spans="5:25">
      <c r="E4647"/>
      <c r="G4647"/>
      <c r="H4647"/>
      <c r="I4647"/>
      <c r="K4647"/>
      <c r="O4647"/>
      <c r="R4647"/>
      <c r="W4647" s="4"/>
      <c r="X4647" s="4"/>
      <c r="Y4647" s="4"/>
    </row>
    <row r="4648" spans="5:25">
      <c r="E4648"/>
      <c r="G4648"/>
      <c r="H4648"/>
      <c r="I4648"/>
      <c r="K4648"/>
      <c r="O4648"/>
      <c r="R4648"/>
      <c r="W4648" s="4"/>
      <c r="X4648" s="4"/>
      <c r="Y4648" s="4"/>
    </row>
    <row r="4649" spans="5:25">
      <c r="E4649"/>
      <c r="G4649"/>
      <c r="H4649"/>
      <c r="I4649"/>
      <c r="K4649"/>
      <c r="O4649"/>
      <c r="R4649"/>
      <c r="W4649" s="4"/>
      <c r="X4649" s="4"/>
      <c r="Y4649" s="4"/>
    </row>
    <row r="4650" spans="5:25">
      <c r="E4650"/>
      <c r="G4650"/>
      <c r="H4650"/>
      <c r="I4650"/>
      <c r="K4650"/>
      <c r="O4650"/>
      <c r="R4650"/>
      <c r="W4650" s="4"/>
      <c r="X4650" s="4"/>
      <c r="Y4650" s="4"/>
    </row>
    <row r="4651" spans="5:25">
      <c r="E4651"/>
      <c r="G4651"/>
      <c r="H4651"/>
      <c r="I4651"/>
      <c r="K4651"/>
      <c r="O4651"/>
      <c r="R4651"/>
      <c r="W4651" s="4"/>
      <c r="X4651" s="4"/>
      <c r="Y4651" s="4"/>
    </row>
    <row r="4652" spans="5:25">
      <c r="E4652"/>
      <c r="G4652"/>
      <c r="H4652"/>
      <c r="I4652"/>
      <c r="K4652"/>
      <c r="O4652"/>
      <c r="R4652"/>
      <c r="W4652" s="4"/>
      <c r="X4652" s="4"/>
      <c r="Y4652" s="4"/>
    </row>
    <row r="4653" spans="5:25">
      <c r="E4653"/>
      <c r="G4653"/>
      <c r="H4653"/>
      <c r="I4653"/>
      <c r="K4653"/>
      <c r="O4653"/>
      <c r="R4653"/>
      <c r="W4653" s="4"/>
      <c r="X4653" s="4"/>
      <c r="Y4653" s="4"/>
    </row>
    <row r="4654" spans="5:25">
      <c r="E4654"/>
      <c r="G4654"/>
      <c r="H4654"/>
      <c r="I4654"/>
      <c r="K4654"/>
      <c r="O4654"/>
      <c r="R4654"/>
      <c r="W4654" s="4"/>
      <c r="X4654" s="4"/>
      <c r="Y4654" s="4"/>
    </row>
    <row r="4655" spans="5:25">
      <c r="E4655"/>
      <c r="G4655"/>
      <c r="H4655"/>
      <c r="I4655"/>
      <c r="K4655"/>
      <c r="O4655"/>
      <c r="R4655"/>
      <c r="W4655" s="4"/>
      <c r="X4655" s="4"/>
      <c r="Y4655" s="4"/>
    </row>
    <row r="4656" spans="5:25">
      <c r="E4656"/>
      <c r="G4656"/>
      <c r="H4656"/>
      <c r="I4656"/>
      <c r="K4656"/>
      <c r="O4656"/>
      <c r="R4656"/>
      <c r="W4656" s="4"/>
      <c r="X4656" s="4"/>
      <c r="Y4656" s="4"/>
    </row>
    <row r="4657" spans="5:25">
      <c r="E4657"/>
      <c r="G4657"/>
      <c r="H4657"/>
      <c r="I4657"/>
      <c r="K4657"/>
      <c r="O4657"/>
      <c r="R4657"/>
      <c r="W4657" s="4"/>
      <c r="X4657" s="4"/>
      <c r="Y4657" s="4"/>
    </row>
    <row r="4658" spans="5:25">
      <c r="E4658"/>
      <c r="G4658"/>
      <c r="H4658"/>
      <c r="I4658"/>
      <c r="K4658"/>
      <c r="O4658"/>
      <c r="R4658"/>
      <c r="W4658" s="4"/>
      <c r="X4658" s="4"/>
      <c r="Y4658" s="4"/>
    </row>
    <row r="4659" spans="5:25">
      <c r="E4659"/>
      <c r="G4659"/>
      <c r="H4659"/>
      <c r="I4659"/>
      <c r="K4659"/>
      <c r="O4659"/>
      <c r="R4659"/>
      <c r="W4659" s="4"/>
      <c r="X4659" s="4"/>
      <c r="Y4659" s="4"/>
    </row>
    <row r="4660" spans="5:25">
      <c r="E4660"/>
      <c r="G4660"/>
      <c r="H4660"/>
      <c r="I4660"/>
      <c r="K4660"/>
      <c r="O4660"/>
      <c r="R4660"/>
      <c r="W4660" s="4"/>
      <c r="X4660" s="4"/>
      <c r="Y4660" s="4"/>
    </row>
    <row r="4661" spans="5:25">
      <c r="E4661"/>
      <c r="G4661"/>
      <c r="H4661"/>
      <c r="I4661"/>
      <c r="K4661"/>
      <c r="O4661"/>
      <c r="R4661"/>
      <c r="W4661" s="4"/>
      <c r="X4661" s="4"/>
      <c r="Y4661" s="4"/>
    </row>
    <row r="4662" spans="5:25">
      <c r="E4662"/>
      <c r="G4662"/>
      <c r="H4662"/>
      <c r="I4662"/>
      <c r="K4662"/>
      <c r="O4662"/>
      <c r="R4662"/>
      <c r="W4662" s="4"/>
      <c r="X4662" s="4"/>
      <c r="Y4662" s="4"/>
    </row>
    <row r="4663" spans="5:25">
      <c r="E4663"/>
      <c r="G4663"/>
      <c r="H4663"/>
      <c r="I4663"/>
      <c r="K4663"/>
      <c r="O4663"/>
      <c r="R4663"/>
      <c r="W4663" s="4"/>
      <c r="X4663" s="4"/>
      <c r="Y4663" s="4"/>
    </row>
    <row r="4664" spans="5:25">
      <c r="E4664"/>
      <c r="G4664"/>
      <c r="H4664"/>
      <c r="I4664"/>
      <c r="K4664"/>
      <c r="O4664"/>
      <c r="R4664"/>
      <c r="W4664" s="4"/>
      <c r="X4664" s="4"/>
      <c r="Y4664" s="4"/>
    </row>
    <row r="4665" spans="5:25">
      <c r="E4665"/>
      <c r="G4665"/>
      <c r="H4665"/>
      <c r="I4665"/>
      <c r="K4665"/>
      <c r="O4665"/>
      <c r="R4665"/>
      <c r="W4665" s="4"/>
      <c r="X4665" s="4"/>
      <c r="Y4665" s="4"/>
    </row>
    <row r="4666" spans="5:25">
      <c r="E4666"/>
      <c r="G4666"/>
      <c r="H4666"/>
      <c r="I4666"/>
      <c r="K4666"/>
      <c r="O4666"/>
      <c r="R4666"/>
      <c r="W4666" s="4"/>
      <c r="X4666" s="4"/>
      <c r="Y4666" s="4"/>
    </row>
    <row r="4667" spans="5:25">
      <c r="E4667"/>
      <c r="G4667"/>
      <c r="H4667"/>
      <c r="I4667"/>
      <c r="K4667"/>
      <c r="O4667"/>
      <c r="R4667"/>
      <c r="W4667" s="4"/>
      <c r="X4667" s="4"/>
      <c r="Y4667" s="4"/>
    </row>
    <row r="4668" spans="5:25">
      <c r="E4668"/>
      <c r="G4668"/>
      <c r="H4668"/>
      <c r="I4668"/>
      <c r="K4668"/>
      <c r="O4668"/>
      <c r="R4668"/>
      <c r="W4668" s="4"/>
      <c r="X4668" s="4"/>
      <c r="Y4668" s="4"/>
    </row>
    <row r="4669" spans="5:25">
      <c r="E4669"/>
      <c r="G4669"/>
      <c r="H4669"/>
      <c r="I4669"/>
      <c r="K4669"/>
      <c r="O4669"/>
      <c r="R4669"/>
      <c r="W4669" s="4"/>
      <c r="X4669" s="4"/>
      <c r="Y4669" s="4"/>
    </row>
    <row r="4670" spans="5:25">
      <c r="E4670"/>
      <c r="G4670"/>
      <c r="H4670"/>
      <c r="I4670"/>
      <c r="K4670"/>
      <c r="O4670"/>
      <c r="R4670"/>
      <c r="W4670" s="4"/>
      <c r="X4670" s="4"/>
      <c r="Y4670" s="4"/>
    </row>
    <row r="4671" spans="5:25">
      <c r="E4671"/>
      <c r="G4671"/>
      <c r="H4671"/>
      <c r="I4671"/>
      <c r="K4671"/>
      <c r="O4671"/>
      <c r="R4671"/>
      <c r="W4671" s="4"/>
      <c r="X4671" s="4"/>
      <c r="Y4671" s="4"/>
    </row>
    <row r="4672" spans="5:25">
      <c r="E4672"/>
      <c r="G4672"/>
      <c r="H4672"/>
      <c r="I4672"/>
      <c r="K4672"/>
      <c r="O4672"/>
      <c r="R4672"/>
      <c r="W4672" s="4"/>
      <c r="X4672" s="4"/>
      <c r="Y4672" s="4"/>
    </row>
    <row r="4673" spans="5:25">
      <c r="E4673"/>
      <c r="G4673"/>
      <c r="H4673"/>
      <c r="I4673"/>
      <c r="K4673"/>
      <c r="O4673"/>
      <c r="R4673"/>
      <c r="W4673" s="4"/>
      <c r="X4673" s="4"/>
      <c r="Y4673" s="4"/>
    </row>
    <row r="4674" spans="5:25">
      <c r="E4674"/>
      <c r="G4674"/>
      <c r="H4674"/>
      <c r="I4674"/>
      <c r="K4674"/>
      <c r="O4674"/>
      <c r="R4674"/>
      <c r="W4674" s="4"/>
      <c r="X4674" s="4"/>
      <c r="Y4674" s="4"/>
    </row>
    <row r="4675" spans="5:25">
      <c r="E4675"/>
      <c r="G4675"/>
      <c r="H4675"/>
      <c r="I4675"/>
      <c r="K4675"/>
      <c r="O4675"/>
      <c r="R4675"/>
      <c r="W4675" s="4"/>
      <c r="X4675" s="4"/>
      <c r="Y4675" s="4"/>
    </row>
    <row r="4676" spans="5:25">
      <c r="E4676"/>
      <c r="G4676"/>
      <c r="H4676"/>
      <c r="I4676"/>
      <c r="K4676"/>
      <c r="O4676"/>
      <c r="R4676"/>
      <c r="W4676" s="4"/>
      <c r="X4676" s="4"/>
      <c r="Y4676" s="4"/>
    </row>
    <row r="4677" spans="5:25">
      <c r="E4677"/>
      <c r="G4677"/>
      <c r="H4677"/>
      <c r="I4677"/>
      <c r="K4677"/>
      <c r="O4677"/>
      <c r="R4677"/>
      <c r="W4677" s="4"/>
      <c r="X4677" s="4"/>
      <c r="Y4677" s="4"/>
    </row>
    <row r="4678" spans="5:25">
      <c r="E4678"/>
      <c r="G4678"/>
      <c r="H4678"/>
      <c r="I4678"/>
      <c r="K4678"/>
      <c r="O4678"/>
      <c r="R4678"/>
      <c r="W4678" s="4"/>
      <c r="X4678" s="4"/>
      <c r="Y4678" s="4"/>
    </row>
    <row r="4679" spans="5:25">
      <c r="E4679"/>
      <c r="G4679"/>
      <c r="H4679"/>
      <c r="I4679"/>
      <c r="K4679"/>
      <c r="O4679"/>
      <c r="R4679"/>
      <c r="W4679" s="4"/>
      <c r="X4679" s="4"/>
      <c r="Y4679" s="4"/>
    </row>
    <row r="4680" spans="5:25">
      <c r="E4680"/>
      <c r="G4680"/>
      <c r="H4680"/>
      <c r="I4680"/>
      <c r="K4680"/>
      <c r="O4680"/>
      <c r="R4680"/>
      <c r="W4680" s="4"/>
      <c r="X4680" s="4"/>
      <c r="Y4680" s="4"/>
    </row>
    <row r="4681" spans="5:25">
      <c r="E4681"/>
      <c r="G4681"/>
      <c r="H4681"/>
      <c r="I4681"/>
      <c r="K4681"/>
      <c r="O4681"/>
      <c r="R4681"/>
      <c r="W4681" s="4"/>
      <c r="X4681" s="4"/>
      <c r="Y4681" s="4"/>
    </row>
    <row r="4682" spans="5:25">
      <c r="E4682"/>
      <c r="G4682"/>
      <c r="H4682"/>
      <c r="I4682"/>
      <c r="K4682"/>
      <c r="O4682"/>
      <c r="R4682"/>
      <c r="W4682" s="4"/>
      <c r="X4682" s="4"/>
      <c r="Y4682" s="4"/>
    </row>
    <row r="4683" spans="5:25">
      <c r="E4683"/>
      <c r="G4683"/>
      <c r="H4683"/>
      <c r="I4683"/>
      <c r="K4683"/>
      <c r="O4683"/>
      <c r="R4683"/>
      <c r="W4683" s="4"/>
      <c r="X4683" s="4"/>
      <c r="Y4683" s="4"/>
    </row>
    <row r="4684" spans="5:25">
      <c r="E4684"/>
      <c r="G4684"/>
      <c r="H4684"/>
      <c r="I4684"/>
      <c r="K4684"/>
      <c r="O4684"/>
      <c r="R4684"/>
      <c r="W4684" s="4"/>
      <c r="X4684" s="4"/>
      <c r="Y4684" s="4"/>
    </row>
    <row r="4685" spans="5:25">
      <c r="E4685"/>
      <c r="G4685"/>
      <c r="H4685"/>
      <c r="I4685"/>
      <c r="K4685"/>
      <c r="O4685"/>
      <c r="R4685"/>
      <c r="W4685" s="4"/>
      <c r="X4685" s="4"/>
      <c r="Y4685" s="4"/>
    </row>
    <row r="4686" spans="5:25">
      <c r="E4686"/>
      <c r="G4686"/>
      <c r="H4686"/>
      <c r="I4686"/>
      <c r="K4686"/>
      <c r="O4686"/>
      <c r="R4686"/>
      <c r="W4686" s="4"/>
      <c r="X4686" s="4"/>
      <c r="Y4686" s="4"/>
    </row>
    <row r="4687" spans="5:25">
      <c r="E4687"/>
      <c r="G4687"/>
      <c r="H4687"/>
      <c r="I4687"/>
      <c r="K4687"/>
      <c r="O4687"/>
      <c r="R4687"/>
      <c r="W4687" s="4"/>
      <c r="X4687" s="4"/>
      <c r="Y4687" s="4"/>
    </row>
    <row r="4688" spans="5:25">
      <c r="E4688"/>
      <c r="G4688"/>
      <c r="H4688"/>
      <c r="I4688"/>
      <c r="K4688"/>
      <c r="O4688"/>
      <c r="R4688"/>
      <c r="W4688" s="4"/>
      <c r="X4688" s="4"/>
      <c r="Y4688" s="4"/>
    </row>
    <row r="4689" spans="5:25">
      <c r="E4689"/>
      <c r="G4689"/>
      <c r="H4689"/>
      <c r="I4689"/>
      <c r="K4689"/>
      <c r="O4689"/>
      <c r="R4689"/>
      <c r="W4689" s="4"/>
      <c r="X4689" s="4"/>
      <c r="Y4689" s="4"/>
    </row>
    <row r="4690" spans="5:25">
      <c r="E4690"/>
      <c r="G4690"/>
      <c r="H4690"/>
      <c r="I4690"/>
      <c r="K4690"/>
      <c r="O4690"/>
      <c r="R4690"/>
      <c r="W4690" s="4"/>
      <c r="X4690" s="4"/>
      <c r="Y4690" s="4"/>
    </row>
    <row r="4691" spans="5:25">
      <c r="E4691"/>
      <c r="G4691"/>
      <c r="H4691"/>
      <c r="I4691"/>
      <c r="K4691"/>
      <c r="O4691"/>
      <c r="R4691"/>
      <c r="W4691" s="4"/>
      <c r="X4691" s="4"/>
      <c r="Y4691" s="4"/>
    </row>
    <row r="4692" spans="5:25">
      <c r="E4692"/>
      <c r="G4692"/>
      <c r="H4692"/>
      <c r="I4692"/>
      <c r="K4692"/>
      <c r="O4692"/>
      <c r="R4692"/>
      <c r="W4692" s="4"/>
      <c r="X4692" s="4"/>
      <c r="Y4692" s="4"/>
    </row>
    <row r="4693" spans="5:25">
      <c r="E4693"/>
      <c r="G4693"/>
      <c r="H4693"/>
      <c r="I4693"/>
      <c r="K4693"/>
      <c r="O4693"/>
      <c r="R4693"/>
      <c r="W4693" s="4"/>
      <c r="X4693" s="4"/>
      <c r="Y4693" s="4"/>
    </row>
    <row r="4694" spans="5:25">
      <c r="E4694"/>
      <c r="G4694"/>
      <c r="H4694"/>
      <c r="I4694"/>
      <c r="K4694"/>
      <c r="O4694"/>
      <c r="R4694"/>
      <c r="W4694" s="4"/>
      <c r="X4694" s="4"/>
      <c r="Y4694" s="4"/>
    </row>
    <row r="4695" spans="5:25">
      <c r="E4695"/>
      <c r="G4695"/>
      <c r="H4695"/>
      <c r="I4695"/>
      <c r="K4695"/>
      <c r="O4695"/>
      <c r="R4695"/>
      <c r="W4695" s="4"/>
      <c r="X4695" s="4"/>
      <c r="Y4695" s="4"/>
    </row>
    <row r="4696" spans="5:25">
      <c r="E4696"/>
      <c r="G4696"/>
      <c r="H4696"/>
      <c r="I4696"/>
      <c r="K4696"/>
      <c r="O4696"/>
      <c r="R4696"/>
      <c r="W4696" s="4"/>
      <c r="X4696" s="4"/>
      <c r="Y4696" s="4"/>
    </row>
    <row r="4697" spans="5:25">
      <c r="E4697"/>
      <c r="G4697"/>
      <c r="H4697"/>
      <c r="I4697"/>
      <c r="K4697"/>
      <c r="O4697"/>
      <c r="R4697"/>
      <c r="W4697" s="4"/>
      <c r="X4697" s="4"/>
      <c r="Y4697" s="4"/>
    </row>
    <row r="4698" spans="5:25">
      <c r="E4698"/>
      <c r="G4698"/>
      <c r="H4698"/>
      <c r="I4698"/>
      <c r="K4698"/>
      <c r="O4698"/>
      <c r="R4698"/>
      <c r="W4698" s="4"/>
      <c r="X4698" s="4"/>
      <c r="Y4698" s="4"/>
    </row>
    <row r="4699" spans="5:25">
      <c r="E4699"/>
      <c r="G4699"/>
      <c r="H4699"/>
      <c r="I4699"/>
      <c r="K4699"/>
      <c r="O4699"/>
      <c r="R4699"/>
      <c r="W4699" s="4"/>
      <c r="X4699" s="4"/>
      <c r="Y4699" s="4"/>
    </row>
    <row r="4700" spans="5:25">
      <c r="E4700"/>
      <c r="G4700"/>
      <c r="H4700"/>
      <c r="I4700"/>
      <c r="K4700"/>
      <c r="O4700"/>
      <c r="R4700"/>
      <c r="W4700" s="4"/>
      <c r="X4700" s="4"/>
      <c r="Y4700" s="4"/>
    </row>
    <row r="4701" spans="5:25">
      <c r="E4701"/>
      <c r="G4701"/>
      <c r="H4701"/>
      <c r="I4701"/>
      <c r="K4701"/>
      <c r="O4701"/>
      <c r="R4701"/>
      <c r="W4701" s="4"/>
      <c r="X4701" s="4"/>
      <c r="Y4701" s="4"/>
    </row>
    <row r="4702" spans="5:25">
      <c r="E4702"/>
      <c r="G4702"/>
      <c r="H4702"/>
      <c r="I4702"/>
      <c r="K4702"/>
      <c r="O4702"/>
      <c r="R4702"/>
      <c r="W4702" s="4"/>
      <c r="X4702" s="4"/>
      <c r="Y4702" s="4"/>
    </row>
    <row r="4703" spans="5:25">
      <c r="E4703"/>
      <c r="G4703"/>
      <c r="H4703"/>
      <c r="I4703"/>
      <c r="K4703"/>
      <c r="O4703"/>
      <c r="R4703"/>
      <c r="W4703" s="4"/>
      <c r="X4703" s="4"/>
      <c r="Y4703" s="4"/>
    </row>
    <row r="4704" spans="5:25">
      <c r="E4704"/>
      <c r="G4704"/>
      <c r="H4704"/>
      <c r="I4704"/>
      <c r="K4704"/>
      <c r="O4704"/>
      <c r="R4704"/>
      <c r="W4704" s="4"/>
      <c r="X4704" s="4"/>
      <c r="Y4704" s="4"/>
    </row>
    <row r="4705" spans="5:25">
      <c r="E4705"/>
      <c r="G4705"/>
      <c r="H4705"/>
      <c r="I4705"/>
      <c r="K4705"/>
      <c r="O4705"/>
      <c r="R4705"/>
      <c r="W4705" s="4"/>
      <c r="X4705" s="4"/>
      <c r="Y4705" s="4"/>
    </row>
    <row r="4706" spans="5:25">
      <c r="E4706"/>
      <c r="G4706"/>
      <c r="H4706"/>
      <c r="I4706"/>
      <c r="K4706"/>
      <c r="O4706"/>
      <c r="R4706"/>
      <c r="W4706" s="4"/>
      <c r="X4706" s="4"/>
      <c r="Y4706" s="4"/>
    </row>
    <row r="4707" spans="5:25">
      <c r="E4707"/>
      <c r="G4707"/>
      <c r="H4707"/>
      <c r="I4707"/>
      <c r="K4707"/>
      <c r="O4707"/>
      <c r="R4707"/>
      <c r="W4707" s="4"/>
      <c r="X4707" s="4"/>
      <c r="Y4707" s="4"/>
    </row>
    <row r="4708" spans="5:25">
      <c r="E4708"/>
      <c r="G4708"/>
      <c r="H4708"/>
      <c r="I4708"/>
      <c r="K4708"/>
      <c r="O4708"/>
      <c r="R4708"/>
      <c r="W4708" s="4"/>
      <c r="X4708" s="4"/>
      <c r="Y4708" s="4"/>
    </row>
    <row r="4709" spans="5:25">
      <c r="E4709"/>
      <c r="G4709"/>
      <c r="H4709"/>
      <c r="I4709"/>
      <c r="K4709"/>
      <c r="O4709"/>
      <c r="R4709"/>
      <c r="W4709" s="4"/>
      <c r="X4709" s="4"/>
      <c r="Y4709" s="4"/>
    </row>
    <row r="4710" spans="5:25">
      <c r="E4710"/>
      <c r="G4710"/>
      <c r="H4710"/>
      <c r="I4710"/>
      <c r="K4710"/>
      <c r="O4710"/>
      <c r="R4710"/>
      <c r="W4710" s="4"/>
      <c r="X4710" s="4"/>
      <c r="Y4710" s="4"/>
    </row>
    <row r="4711" spans="5:25">
      <c r="E4711"/>
      <c r="G4711"/>
      <c r="H4711"/>
      <c r="I4711"/>
      <c r="K4711"/>
      <c r="O4711"/>
      <c r="R4711"/>
      <c r="W4711" s="4"/>
      <c r="X4711" s="4"/>
      <c r="Y4711" s="4"/>
    </row>
    <row r="4712" spans="5:25">
      <c r="E4712"/>
      <c r="G4712"/>
      <c r="H4712"/>
      <c r="I4712"/>
      <c r="K4712"/>
      <c r="O4712"/>
      <c r="R4712"/>
      <c r="W4712" s="4"/>
      <c r="X4712" s="4"/>
      <c r="Y4712" s="4"/>
    </row>
    <row r="4713" spans="5:25">
      <c r="E4713"/>
      <c r="G4713"/>
      <c r="H4713"/>
      <c r="I4713"/>
      <c r="K4713"/>
      <c r="O4713"/>
      <c r="R4713"/>
      <c r="W4713" s="4"/>
      <c r="X4713" s="4"/>
      <c r="Y4713" s="4"/>
    </row>
    <row r="4714" spans="5:25">
      <c r="E4714"/>
      <c r="G4714"/>
      <c r="H4714"/>
      <c r="I4714"/>
      <c r="K4714"/>
      <c r="O4714"/>
      <c r="R4714"/>
      <c r="W4714" s="4"/>
      <c r="X4714" s="4"/>
      <c r="Y4714" s="4"/>
    </row>
    <row r="4715" spans="5:25">
      <c r="E4715"/>
      <c r="G4715"/>
      <c r="H4715"/>
      <c r="I4715"/>
      <c r="K4715"/>
      <c r="O4715"/>
      <c r="R4715"/>
      <c r="W4715" s="4"/>
      <c r="X4715" s="4"/>
      <c r="Y4715" s="4"/>
    </row>
    <row r="4716" spans="5:25">
      <c r="E4716"/>
      <c r="G4716"/>
      <c r="H4716"/>
      <c r="I4716"/>
      <c r="K4716"/>
      <c r="O4716"/>
      <c r="R4716"/>
      <c r="W4716" s="4"/>
      <c r="X4716" s="4"/>
      <c r="Y4716" s="4"/>
    </row>
    <row r="4717" spans="5:25">
      <c r="E4717"/>
      <c r="G4717"/>
      <c r="H4717"/>
      <c r="I4717"/>
      <c r="K4717"/>
      <c r="O4717"/>
      <c r="R4717"/>
      <c r="W4717" s="4"/>
      <c r="X4717" s="4"/>
      <c r="Y4717" s="4"/>
    </row>
    <row r="4718" spans="5:25">
      <c r="E4718"/>
      <c r="G4718"/>
      <c r="H4718"/>
      <c r="I4718"/>
      <c r="K4718"/>
      <c r="O4718"/>
      <c r="R4718"/>
      <c r="W4718" s="4"/>
      <c r="X4718" s="4"/>
      <c r="Y4718" s="4"/>
    </row>
    <row r="4719" spans="5:25">
      <c r="E4719"/>
      <c r="G4719"/>
      <c r="H4719"/>
      <c r="I4719"/>
      <c r="K4719"/>
      <c r="O4719"/>
      <c r="R4719"/>
      <c r="W4719" s="4"/>
      <c r="X4719" s="4"/>
      <c r="Y4719" s="4"/>
    </row>
    <row r="4720" spans="5:25">
      <c r="E4720"/>
      <c r="G4720"/>
      <c r="H4720"/>
      <c r="I4720"/>
      <c r="K4720"/>
      <c r="O4720"/>
      <c r="R4720"/>
      <c r="W4720" s="4"/>
      <c r="X4720" s="4"/>
      <c r="Y4720" s="4"/>
    </row>
    <row r="4721" spans="5:25">
      <c r="E4721"/>
      <c r="G4721"/>
      <c r="H4721"/>
      <c r="I4721"/>
      <c r="K4721"/>
      <c r="O4721"/>
      <c r="R4721"/>
      <c r="W4721" s="4"/>
      <c r="X4721" s="4"/>
      <c r="Y4721" s="4"/>
    </row>
    <row r="4722" spans="5:25">
      <c r="E4722"/>
      <c r="G4722"/>
      <c r="H4722"/>
      <c r="I4722"/>
      <c r="K4722"/>
      <c r="O4722"/>
      <c r="R4722"/>
      <c r="W4722" s="4"/>
      <c r="X4722" s="4"/>
      <c r="Y4722" s="4"/>
    </row>
    <row r="4723" spans="5:25">
      <c r="E4723"/>
      <c r="G4723"/>
      <c r="H4723"/>
      <c r="I4723"/>
      <c r="K4723"/>
      <c r="O4723"/>
      <c r="R4723"/>
      <c r="W4723" s="4"/>
      <c r="X4723" s="4"/>
      <c r="Y4723" s="4"/>
    </row>
    <row r="4724" spans="5:25">
      <c r="E4724"/>
      <c r="G4724"/>
      <c r="H4724"/>
      <c r="I4724"/>
      <c r="K4724"/>
      <c r="O4724"/>
      <c r="R4724"/>
      <c r="W4724" s="4"/>
      <c r="X4724" s="4"/>
      <c r="Y4724" s="4"/>
    </row>
    <row r="4725" spans="5:25">
      <c r="E4725"/>
      <c r="G4725"/>
      <c r="H4725"/>
      <c r="I4725"/>
      <c r="K4725"/>
      <c r="O4725"/>
      <c r="R4725"/>
      <c r="W4725" s="4"/>
      <c r="X4725" s="4"/>
      <c r="Y4725" s="4"/>
    </row>
    <row r="4726" spans="5:25">
      <c r="E4726"/>
      <c r="G4726"/>
      <c r="H4726"/>
      <c r="I4726"/>
      <c r="K4726"/>
      <c r="O4726"/>
      <c r="R4726"/>
      <c r="W4726" s="4"/>
      <c r="X4726" s="4"/>
      <c r="Y4726" s="4"/>
    </row>
    <row r="4727" spans="5:25">
      <c r="E4727"/>
      <c r="G4727"/>
      <c r="H4727"/>
      <c r="I4727"/>
      <c r="K4727"/>
      <c r="O4727"/>
      <c r="R4727"/>
      <c r="W4727" s="4"/>
      <c r="X4727" s="4"/>
      <c r="Y4727" s="4"/>
    </row>
    <row r="4728" spans="5:25">
      <c r="E4728"/>
      <c r="G4728"/>
      <c r="H4728"/>
      <c r="I4728"/>
      <c r="K4728"/>
      <c r="O4728"/>
      <c r="R4728"/>
      <c r="W4728" s="4"/>
      <c r="X4728" s="4"/>
      <c r="Y4728" s="4"/>
    </row>
    <row r="4729" spans="5:25">
      <c r="E4729"/>
      <c r="G4729"/>
      <c r="H4729"/>
      <c r="I4729"/>
      <c r="K4729"/>
      <c r="O4729"/>
      <c r="R4729"/>
      <c r="W4729" s="4"/>
      <c r="X4729" s="4"/>
      <c r="Y4729" s="4"/>
    </row>
    <row r="4730" spans="5:25">
      <c r="E4730"/>
      <c r="G4730"/>
      <c r="H4730"/>
      <c r="I4730"/>
      <c r="K4730"/>
      <c r="O4730"/>
      <c r="R4730"/>
      <c r="W4730" s="4"/>
      <c r="X4730" s="4"/>
      <c r="Y4730" s="4"/>
    </row>
    <row r="4731" spans="5:25">
      <c r="E4731"/>
      <c r="G4731"/>
      <c r="H4731"/>
      <c r="I4731"/>
      <c r="K4731"/>
      <c r="O4731"/>
      <c r="R4731"/>
      <c r="W4731" s="4"/>
      <c r="X4731" s="4"/>
      <c r="Y4731" s="4"/>
    </row>
    <row r="4732" spans="5:25">
      <c r="E4732"/>
      <c r="G4732"/>
      <c r="H4732"/>
      <c r="I4732"/>
      <c r="K4732"/>
      <c r="O4732"/>
      <c r="R4732"/>
      <c r="W4732" s="4"/>
      <c r="X4732" s="4"/>
      <c r="Y4732" s="4"/>
    </row>
    <row r="4733" spans="5:25">
      <c r="E4733"/>
      <c r="G4733"/>
      <c r="H4733"/>
      <c r="I4733"/>
      <c r="K4733"/>
      <c r="O4733"/>
      <c r="R4733"/>
      <c r="W4733" s="4"/>
      <c r="X4733" s="4"/>
      <c r="Y4733" s="4"/>
    </row>
    <row r="4734" spans="5:25">
      <c r="E4734"/>
      <c r="G4734"/>
      <c r="H4734"/>
      <c r="I4734"/>
      <c r="K4734"/>
      <c r="O4734"/>
      <c r="R4734"/>
      <c r="W4734" s="4"/>
      <c r="X4734" s="4"/>
      <c r="Y4734" s="4"/>
    </row>
    <row r="4735" spans="5:25">
      <c r="E4735"/>
      <c r="G4735"/>
      <c r="H4735"/>
      <c r="I4735"/>
      <c r="K4735"/>
      <c r="O4735"/>
      <c r="R4735"/>
      <c r="W4735" s="4"/>
      <c r="X4735" s="4"/>
      <c r="Y4735" s="4"/>
    </row>
    <row r="4736" spans="5:25">
      <c r="E4736"/>
      <c r="G4736"/>
      <c r="H4736"/>
      <c r="I4736"/>
      <c r="K4736"/>
      <c r="O4736"/>
      <c r="R4736"/>
      <c r="W4736" s="4"/>
      <c r="X4736" s="4"/>
      <c r="Y4736" s="4"/>
    </row>
    <row r="4737" spans="5:25">
      <c r="E4737"/>
      <c r="G4737"/>
      <c r="H4737"/>
      <c r="I4737"/>
      <c r="K4737"/>
      <c r="O4737"/>
      <c r="R4737"/>
      <c r="W4737" s="4"/>
      <c r="X4737" s="4"/>
      <c r="Y4737" s="4"/>
    </row>
    <row r="4738" spans="5:25">
      <c r="E4738"/>
      <c r="G4738"/>
      <c r="H4738"/>
      <c r="I4738"/>
      <c r="K4738"/>
      <c r="O4738"/>
      <c r="R4738"/>
      <c r="W4738" s="4"/>
      <c r="X4738" s="4"/>
      <c r="Y4738" s="4"/>
    </row>
    <row r="4739" spans="5:25">
      <c r="E4739"/>
      <c r="G4739"/>
      <c r="H4739"/>
      <c r="I4739"/>
      <c r="K4739"/>
      <c r="O4739"/>
      <c r="R4739"/>
      <c r="W4739" s="4"/>
      <c r="X4739" s="4"/>
      <c r="Y4739" s="4"/>
    </row>
    <row r="4740" spans="5:25">
      <c r="E4740"/>
      <c r="G4740"/>
      <c r="H4740"/>
      <c r="I4740"/>
      <c r="K4740"/>
      <c r="O4740"/>
      <c r="R4740"/>
      <c r="W4740" s="4"/>
      <c r="X4740" s="4"/>
      <c r="Y4740" s="4"/>
    </row>
    <row r="4741" spans="5:25">
      <c r="E4741"/>
      <c r="G4741"/>
      <c r="H4741"/>
      <c r="I4741"/>
      <c r="K4741"/>
      <c r="O4741"/>
      <c r="R4741"/>
      <c r="W4741" s="4"/>
      <c r="X4741" s="4"/>
      <c r="Y4741" s="4"/>
    </row>
    <row r="4742" spans="5:25">
      <c r="E4742"/>
      <c r="G4742"/>
      <c r="H4742"/>
      <c r="I4742"/>
      <c r="K4742"/>
      <c r="O4742"/>
      <c r="R4742"/>
      <c r="W4742" s="4"/>
      <c r="X4742" s="4"/>
      <c r="Y4742" s="4"/>
    </row>
    <row r="4743" spans="5:25">
      <c r="E4743"/>
      <c r="G4743"/>
      <c r="H4743"/>
      <c r="I4743"/>
      <c r="K4743"/>
      <c r="O4743"/>
      <c r="R4743"/>
      <c r="W4743" s="4"/>
      <c r="X4743" s="4"/>
      <c r="Y4743" s="4"/>
    </row>
    <row r="4744" spans="5:25">
      <c r="E4744"/>
      <c r="G4744"/>
      <c r="H4744"/>
      <c r="I4744"/>
      <c r="K4744"/>
      <c r="O4744"/>
      <c r="R4744"/>
      <c r="W4744" s="4"/>
      <c r="X4744" s="4"/>
      <c r="Y4744" s="4"/>
    </row>
    <row r="4745" spans="5:25">
      <c r="E4745"/>
      <c r="G4745"/>
      <c r="H4745"/>
      <c r="I4745"/>
      <c r="K4745"/>
      <c r="O4745"/>
      <c r="R4745"/>
      <c r="W4745" s="4"/>
      <c r="X4745" s="4"/>
      <c r="Y4745" s="4"/>
    </row>
    <row r="4746" spans="5:25">
      <c r="E4746"/>
      <c r="G4746"/>
      <c r="H4746"/>
      <c r="I4746"/>
      <c r="K4746"/>
      <c r="O4746"/>
      <c r="R4746"/>
      <c r="W4746" s="4"/>
      <c r="X4746" s="4"/>
      <c r="Y4746" s="4"/>
    </row>
    <row r="4747" spans="5:25">
      <c r="E4747"/>
      <c r="G4747"/>
      <c r="H4747"/>
      <c r="I4747"/>
      <c r="K4747"/>
      <c r="O4747"/>
      <c r="R4747"/>
      <c r="W4747" s="4"/>
      <c r="X4747" s="4"/>
      <c r="Y4747" s="4"/>
    </row>
    <row r="4748" spans="5:25">
      <c r="E4748"/>
      <c r="G4748"/>
      <c r="H4748"/>
      <c r="I4748"/>
      <c r="K4748"/>
      <c r="O4748"/>
      <c r="R4748"/>
      <c r="W4748" s="4"/>
      <c r="X4748" s="4"/>
      <c r="Y4748" s="4"/>
    </row>
    <row r="4749" spans="5:25">
      <c r="E4749"/>
      <c r="G4749"/>
      <c r="H4749"/>
      <c r="I4749"/>
      <c r="K4749"/>
      <c r="O4749"/>
      <c r="R4749"/>
      <c r="W4749" s="4"/>
      <c r="X4749" s="4"/>
      <c r="Y4749" s="4"/>
    </row>
    <row r="4750" spans="5:25">
      <c r="E4750"/>
      <c r="G4750"/>
      <c r="H4750"/>
      <c r="I4750"/>
      <c r="K4750"/>
      <c r="O4750"/>
      <c r="R4750"/>
      <c r="W4750" s="4"/>
      <c r="X4750" s="4"/>
      <c r="Y4750" s="4"/>
    </row>
    <row r="4751" spans="5:25">
      <c r="E4751"/>
      <c r="G4751"/>
      <c r="H4751"/>
      <c r="I4751"/>
      <c r="K4751"/>
      <c r="O4751"/>
      <c r="R4751"/>
      <c r="W4751" s="4"/>
      <c r="X4751" s="4"/>
      <c r="Y4751" s="4"/>
    </row>
    <row r="4752" spans="5:25">
      <c r="E4752"/>
      <c r="G4752"/>
      <c r="H4752"/>
      <c r="I4752"/>
      <c r="K4752"/>
      <c r="O4752"/>
      <c r="R4752"/>
      <c r="W4752" s="4"/>
      <c r="X4752" s="4"/>
      <c r="Y4752" s="4"/>
    </row>
    <row r="4753" spans="5:25">
      <c r="E4753"/>
      <c r="G4753"/>
      <c r="H4753"/>
      <c r="I4753"/>
      <c r="K4753"/>
      <c r="O4753"/>
      <c r="R4753"/>
      <c r="W4753" s="4"/>
      <c r="X4753" s="4"/>
      <c r="Y4753" s="4"/>
    </row>
    <row r="4754" spans="5:25">
      <c r="E4754"/>
      <c r="G4754"/>
      <c r="H4754"/>
      <c r="I4754"/>
      <c r="K4754"/>
      <c r="O4754"/>
      <c r="R4754"/>
      <c r="W4754" s="4"/>
      <c r="X4754" s="4"/>
      <c r="Y4754" s="4"/>
    </row>
    <row r="4755" spans="5:25">
      <c r="E4755"/>
      <c r="G4755"/>
      <c r="H4755"/>
      <c r="I4755"/>
      <c r="K4755"/>
      <c r="O4755"/>
      <c r="R4755"/>
      <c r="W4755" s="4"/>
      <c r="X4755" s="4"/>
      <c r="Y4755" s="4"/>
    </row>
    <row r="4756" spans="5:25">
      <c r="E4756"/>
      <c r="G4756"/>
      <c r="H4756"/>
      <c r="I4756"/>
      <c r="K4756"/>
      <c r="O4756"/>
      <c r="R4756"/>
      <c r="W4756" s="4"/>
      <c r="X4756" s="4"/>
      <c r="Y4756" s="4"/>
    </row>
    <row r="4757" spans="5:25">
      <c r="E4757"/>
      <c r="G4757"/>
      <c r="H4757"/>
      <c r="I4757"/>
      <c r="K4757"/>
      <c r="O4757"/>
      <c r="R4757"/>
      <c r="W4757" s="4"/>
      <c r="X4757" s="4"/>
      <c r="Y4757" s="4"/>
    </row>
    <row r="4758" spans="5:25">
      <c r="E4758"/>
      <c r="G4758"/>
      <c r="H4758"/>
      <c r="I4758"/>
      <c r="K4758"/>
      <c r="O4758"/>
      <c r="R4758"/>
      <c r="W4758" s="4"/>
      <c r="X4758" s="4"/>
      <c r="Y4758" s="4"/>
    </row>
    <row r="4759" spans="5:25">
      <c r="E4759"/>
      <c r="G4759"/>
      <c r="H4759"/>
      <c r="I4759"/>
      <c r="K4759"/>
      <c r="O4759"/>
      <c r="R4759"/>
      <c r="W4759" s="4"/>
      <c r="X4759" s="4"/>
      <c r="Y4759" s="4"/>
    </row>
    <row r="4760" spans="5:25">
      <c r="E4760"/>
      <c r="G4760"/>
      <c r="H4760"/>
      <c r="I4760"/>
      <c r="K4760"/>
      <c r="O4760"/>
      <c r="R4760"/>
      <c r="W4760" s="4"/>
      <c r="X4760" s="4"/>
      <c r="Y4760" s="4"/>
    </row>
    <row r="4761" spans="5:25">
      <c r="E4761"/>
      <c r="G4761"/>
      <c r="H4761"/>
      <c r="I4761"/>
      <c r="K4761"/>
      <c r="O4761"/>
      <c r="R4761"/>
      <c r="W4761" s="4"/>
      <c r="X4761" s="4"/>
      <c r="Y4761" s="4"/>
    </row>
    <row r="4762" spans="5:25">
      <c r="E4762"/>
      <c r="G4762"/>
      <c r="H4762"/>
      <c r="I4762"/>
      <c r="K4762"/>
      <c r="O4762"/>
      <c r="R4762"/>
      <c r="W4762" s="4"/>
      <c r="X4762" s="4"/>
      <c r="Y4762" s="4"/>
    </row>
    <row r="4763" spans="5:25">
      <c r="E4763"/>
      <c r="G4763"/>
      <c r="H4763"/>
      <c r="I4763"/>
      <c r="K4763"/>
      <c r="O4763"/>
      <c r="R4763"/>
      <c r="W4763" s="4"/>
      <c r="X4763" s="4"/>
      <c r="Y4763" s="4"/>
    </row>
    <row r="4764" spans="5:25">
      <c r="E4764"/>
      <c r="G4764"/>
      <c r="H4764"/>
      <c r="I4764"/>
      <c r="K4764"/>
      <c r="O4764"/>
      <c r="R4764"/>
      <c r="W4764" s="4"/>
      <c r="X4764" s="4"/>
      <c r="Y4764" s="4"/>
    </row>
    <row r="4765" spans="5:25">
      <c r="E4765"/>
      <c r="G4765"/>
      <c r="H4765"/>
      <c r="I4765"/>
      <c r="K4765"/>
      <c r="O4765"/>
      <c r="R4765"/>
      <c r="W4765" s="4"/>
      <c r="X4765" s="4"/>
      <c r="Y4765" s="4"/>
    </row>
    <row r="4766" spans="5:25">
      <c r="E4766"/>
      <c r="G4766"/>
      <c r="H4766"/>
      <c r="I4766"/>
      <c r="K4766"/>
      <c r="O4766"/>
      <c r="R4766"/>
      <c r="W4766" s="4"/>
      <c r="X4766" s="4"/>
      <c r="Y4766" s="4"/>
    </row>
    <row r="4767" spans="5:25">
      <c r="E4767"/>
      <c r="G4767"/>
      <c r="H4767"/>
      <c r="I4767"/>
      <c r="K4767"/>
      <c r="O4767"/>
      <c r="R4767"/>
      <c r="W4767" s="4"/>
      <c r="X4767" s="4"/>
      <c r="Y4767" s="4"/>
    </row>
    <row r="4768" spans="5:25">
      <c r="E4768"/>
      <c r="G4768"/>
      <c r="H4768"/>
      <c r="I4768"/>
      <c r="K4768"/>
      <c r="O4768"/>
      <c r="R4768"/>
      <c r="W4768" s="4"/>
      <c r="X4768" s="4"/>
      <c r="Y4768" s="4"/>
    </row>
    <row r="4769" spans="5:25">
      <c r="E4769"/>
      <c r="G4769"/>
      <c r="H4769"/>
      <c r="I4769"/>
      <c r="K4769"/>
      <c r="O4769"/>
      <c r="R4769"/>
      <c r="W4769" s="4"/>
      <c r="X4769" s="4"/>
      <c r="Y4769" s="4"/>
    </row>
    <row r="4770" spans="5:25">
      <c r="E4770"/>
      <c r="G4770"/>
      <c r="H4770"/>
      <c r="I4770"/>
      <c r="K4770"/>
      <c r="O4770"/>
      <c r="R4770"/>
      <c r="W4770" s="4"/>
      <c r="X4770" s="4"/>
      <c r="Y4770" s="4"/>
    </row>
    <row r="4771" spans="5:25">
      <c r="E4771"/>
      <c r="G4771"/>
      <c r="H4771"/>
      <c r="I4771"/>
      <c r="K4771"/>
      <c r="O4771"/>
      <c r="R4771"/>
      <c r="W4771" s="4"/>
      <c r="X4771" s="4"/>
      <c r="Y4771" s="4"/>
    </row>
    <row r="4772" spans="5:25">
      <c r="E4772"/>
      <c r="G4772"/>
      <c r="H4772"/>
      <c r="I4772"/>
      <c r="K4772"/>
      <c r="O4772"/>
      <c r="R4772"/>
      <c r="W4772" s="4"/>
      <c r="X4772" s="4"/>
      <c r="Y4772" s="4"/>
    </row>
    <row r="4773" spans="5:25">
      <c r="E4773"/>
      <c r="G4773"/>
      <c r="H4773"/>
      <c r="I4773"/>
      <c r="K4773"/>
      <c r="O4773"/>
      <c r="R4773"/>
      <c r="W4773" s="4"/>
      <c r="X4773" s="4"/>
      <c r="Y4773" s="4"/>
    </row>
    <row r="4774" spans="5:25">
      <c r="E4774"/>
      <c r="G4774"/>
      <c r="H4774"/>
      <c r="I4774"/>
      <c r="K4774"/>
      <c r="O4774"/>
      <c r="R4774"/>
      <c r="W4774" s="4"/>
      <c r="X4774" s="4"/>
      <c r="Y4774" s="4"/>
    </row>
    <row r="4775" spans="5:25">
      <c r="E4775"/>
      <c r="G4775"/>
      <c r="H4775"/>
      <c r="I4775"/>
      <c r="K4775"/>
      <c r="O4775"/>
      <c r="R4775"/>
      <c r="W4775" s="4"/>
      <c r="X4775" s="4"/>
      <c r="Y4775" s="4"/>
    </row>
    <row r="4776" spans="5:25">
      <c r="E4776"/>
      <c r="G4776"/>
      <c r="H4776"/>
      <c r="I4776"/>
      <c r="K4776"/>
      <c r="O4776"/>
      <c r="R4776"/>
      <c r="W4776" s="4"/>
      <c r="X4776" s="4"/>
      <c r="Y4776" s="4"/>
    </row>
    <row r="4777" spans="5:25">
      <c r="E4777"/>
      <c r="G4777"/>
      <c r="H4777"/>
      <c r="I4777"/>
      <c r="K4777"/>
      <c r="O4777"/>
      <c r="R4777"/>
      <c r="W4777" s="4"/>
      <c r="X4777" s="4"/>
      <c r="Y4777" s="4"/>
    </row>
    <row r="4778" spans="5:25">
      <c r="E4778"/>
      <c r="G4778"/>
      <c r="H4778"/>
      <c r="I4778"/>
      <c r="K4778"/>
      <c r="O4778"/>
      <c r="R4778"/>
      <c r="W4778" s="4"/>
      <c r="X4778" s="4"/>
      <c r="Y4778" s="4"/>
    </row>
    <row r="4779" spans="5:25">
      <c r="E4779"/>
      <c r="G4779"/>
      <c r="H4779"/>
      <c r="I4779"/>
      <c r="K4779"/>
      <c r="O4779"/>
      <c r="R4779"/>
      <c r="W4779" s="4"/>
      <c r="X4779" s="4"/>
      <c r="Y4779" s="4"/>
    </row>
    <row r="4780" spans="5:25">
      <c r="E4780"/>
      <c r="G4780"/>
      <c r="H4780"/>
      <c r="I4780"/>
      <c r="K4780"/>
      <c r="O4780"/>
      <c r="R4780"/>
      <c r="W4780" s="4"/>
      <c r="X4780" s="4"/>
      <c r="Y4780" s="4"/>
    </row>
    <row r="4781" spans="5:25">
      <c r="E4781"/>
      <c r="G4781"/>
      <c r="H4781"/>
      <c r="I4781"/>
      <c r="K4781"/>
      <c r="O4781"/>
      <c r="R4781"/>
      <c r="W4781" s="4"/>
      <c r="X4781" s="4"/>
      <c r="Y4781" s="4"/>
    </row>
    <row r="4782" spans="5:25">
      <c r="E4782"/>
      <c r="G4782"/>
      <c r="H4782"/>
      <c r="I4782"/>
      <c r="K4782"/>
      <c r="O4782"/>
      <c r="R4782"/>
      <c r="W4782" s="4"/>
      <c r="X4782" s="4"/>
      <c r="Y4782" s="4"/>
    </row>
    <row r="4783" spans="5:25">
      <c r="E4783"/>
      <c r="G4783"/>
      <c r="H4783"/>
      <c r="I4783"/>
      <c r="K4783"/>
      <c r="O4783"/>
      <c r="R4783"/>
      <c r="W4783" s="4"/>
      <c r="X4783" s="4"/>
      <c r="Y4783" s="4"/>
    </row>
    <row r="4784" spans="5:25">
      <c r="E4784"/>
      <c r="G4784"/>
      <c r="H4784"/>
      <c r="I4784"/>
      <c r="K4784"/>
      <c r="O4784"/>
      <c r="R4784"/>
      <c r="W4784" s="4"/>
      <c r="X4784" s="4"/>
      <c r="Y4784" s="4"/>
    </row>
    <row r="4785" spans="5:25">
      <c r="E4785"/>
      <c r="G4785"/>
      <c r="H4785"/>
      <c r="I4785"/>
      <c r="K4785"/>
      <c r="O4785"/>
      <c r="R4785"/>
      <c r="W4785" s="4"/>
      <c r="X4785" s="4"/>
      <c r="Y4785" s="4"/>
    </row>
    <row r="4786" spans="5:25">
      <c r="E4786"/>
      <c r="G4786"/>
      <c r="H4786"/>
      <c r="I4786"/>
      <c r="K4786"/>
      <c r="O4786"/>
      <c r="R4786"/>
      <c r="W4786" s="4"/>
      <c r="X4786" s="4"/>
      <c r="Y4786" s="4"/>
    </row>
    <row r="4787" spans="5:25">
      <c r="E4787"/>
      <c r="G4787"/>
      <c r="H4787"/>
      <c r="I4787"/>
      <c r="K4787"/>
      <c r="O4787"/>
      <c r="R4787"/>
      <c r="W4787" s="4"/>
      <c r="X4787" s="4"/>
      <c r="Y4787" s="4"/>
    </row>
    <row r="4788" spans="5:25">
      <c r="E4788"/>
      <c r="G4788"/>
      <c r="H4788"/>
      <c r="I4788"/>
      <c r="K4788"/>
      <c r="O4788"/>
      <c r="R4788"/>
      <c r="W4788" s="4"/>
      <c r="X4788" s="4"/>
      <c r="Y4788" s="4"/>
    </row>
    <row r="4789" spans="5:25">
      <c r="E4789"/>
      <c r="G4789"/>
      <c r="H4789"/>
      <c r="I4789"/>
      <c r="K4789"/>
      <c r="O4789"/>
      <c r="R4789"/>
      <c r="W4789" s="4"/>
      <c r="X4789" s="4"/>
      <c r="Y4789" s="4"/>
    </row>
    <row r="4790" spans="5:25">
      <c r="E4790"/>
      <c r="G4790"/>
      <c r="H4790"/>
      <c r="I4790"/>
      <c r="K4790"/>
      <c r="O4790"/>
      <c r="R4790"/>
      <c r="W4790" s="4"/>
      <c r="X4790" s="4"/>
      <c r="Y4790" s="4"/>
    </row>
    <row r="4791" spans="5:25">
      <c r="E4791"/>
      <c r="G4791"/>
      <c r="H4791"/>
      <c r="I4791"/>
      <c r="K4791"/>
      <c r="O4791"/>
      <c r="R4791"/>
      <c r="W4791" s="4"/>
      <c r="X4791" s="4"/>
      <c r="Y4791" s="4"/>
    </row>
    <row r="4792" spans="5:25">
      <c r="E4792"/>
      <c r="G4792"/>
      <c r="H4792"/>
      <c r="I4792"/>
      <c r="K4792"/>
      <c r="O4792"/>
      <c r="R4792"/>
      <c r="W4792" s="4"/>
      <c r="X4792" s="4"/>
      <c r="Y4792" s="4"/>
    </row>
    <row r="4793" spans="5:25">
      <c r="E4793"/>
      <c r="G4793"/>
      <c r="H4793"/>
      <c r="I4793"/>
      <c r="K4793"/>
      <c r="O4793"/>
      <c r="R4793"/>
      <c r="W4793" s="4"/>
      <c r="X4793" s="4"/>
      <c r="Y4793" s="4"/>
    </row>
    <row r="4794" spans="5:25">
      <c r="E4794"/>
      <c r="G4794"/>
      <c r="H4794"/>
      <c r="I4794"/>
      <c r="K4794"/>
      <c r="O4794"/>
      <c r="R4794"/>
      <c r="W4794" s="4"/>
      <c r="X4794" s="4"/>
      <c r="Y4794" s="4"/>
    </row>
    <row r="4795" spans="5:25">
      <c r="E4795"/>
      <c r="G4795"/>
      <c r="H4795"/>
      <c r="I4795"/>
      <c r="K4795"/>
      <c r="O4795"/>
      <c r="R4795"/>
      <c r="W4795" s="4"/>
      <c r="X4795" s="4"/>
      <c r="Y4795" s="4"/>
    </row>
    <row r="4796" spans="5:25">
      <c r="E4796"/>
      <c r="G4796"/>
      <c r="H4796"/>
      <c r="I4796"/>
      <c r="K4796"/>
      <c r="O4796"/>
      <c r="R4796"/>
      <c r="W4796" s="4"/>
      <c r="X4796" s="4"/>
      <c r="Y4796" s="4"/>
    </row>
    <row r="4797" spans="5:25">
      <c r="E4797"/>
      <c r="G4797"/>
      <c r="H4797"/>
      <c r="I4797"/>
      <c r="K4797"/>
      <c r="O4797"/>
      <c r="R4797"/>
      <c r="W4797" s="4"/>
      <c r="X4797" s="4"/>
      <c r="Y4797" s="4"/>
    </row>
    <row r="4798" spans="5:25">
      <c r="E4798"/>
      <c r="G4798"/>
      <c r="H4798"/>
      <c r="I4798"/>
      <c r="K4798"/>
      <c r="O4798"/>
      <c r="R4798"/>
      <c r="W4798" s="4"/>
      <c r="X4798" s="4"/>
      <c r="Y4798" s="4"/>
    </row>
    <row r="4799" spans="5:25">
      <c r="E4799"/>
      <c r="G4799"/>
      <c r="H4799"/>
      <c r="I4799"/>
      <c r="K4799"/>
      <c r="O4799"/>
      <c r="R4799"/>
      <c r="W4799" s="4"/>
      <c r="X4799" s="4"/>
      <c r="Y4799" s="4"/>
    </row>
    <row r="4800" spans="5:25">
      <c r="E4800"/>
      <c r="G4800"/>
      <c r="H4800"/>
      <c r="I4800"/>
      <c r="K4800"/>
      <c r="O4800"/>
      <c r="R4800"/>
      <c r="W4800" s="4"/>
      <c r="X4800" s="4"/>
      <c r="Y4800" s="4"/>
    </row>
    <row r="4801" spans="5:25">
      <c r="E4801"/>
      <c r="G4801"/>
      <c r="H4801"/>
      <c r="I4801"/>
      <c r="K4801"/>
      <c r="O4801"/>
      <c r="R4801"/>
      <c r="W4801" s="4"/>
      <c r="X4801" s="4"/>
      <c r="Y4801" s="4"/>
    </row>
    <row r="4802" spans="5:25">
      <c r="E4802"/>
      <c r="G4802"/>
      <c r="H4802"/>
      <c r="I4802"/>
      <c r="K4802"/>
      <c r="O4802"/>
      <c r="R4802"/>
      <c r="W4802" s="4"/>
      <c r="X4802" s="4"/>
      <c r="Y4802" s="4"/>
    </row>
    <row r="4803" spans="5:25">
      <c r="E4803"/>
      <c r="G4803"/>
      <c r="H4803"/>
      <c r="I4803"/>
      <c r="K4803"/>
      <c r="O4803"/>
      <c r="R4803"/>
      <c r="W4803" s="4"/>
      <c r="X4803" s="4"/>
      <c r="Y4803" s="4"/>
    </row>
    <row r="4804" spans="5:25">
      <c r="E4804"/>
      <c r="G4804"/>
      <c r="H4804"/>
      <c r="I4804"/>
      <c r="K4804"/>
      <c r="O4804"/>
      <c r="R4804"/>
      <c r="W4804" s="4"/>
      <c r="X4804" s="4"/>
      <c r="Y4804" s="4"/>
    </row>
    <row r="4805" spans="5:25">
      <c r="E4805"/>
      <c r="G4805"/>
      <c r="H4805"/>
      <c r="I4805"/>
      <c r="K4805"/>
      <c r="O4805"/>
      <c r="R4805"/>
      <c r="W4805" s="4"/>
      <c r="X4805" s="4"/>
      <c r="Y4805" s="4"/>
    </row>
    <row r="4806" spans="5:25">
      <c r="E4806"/>
      <c r="G4806"/>
      <c r="H4806"/>
      <c r="I4806"/>
      <c r="K4806"/>
      <c r="O4806"/>
      <c r="R4806"/>
      <c r="W4806" s="4"/>
      <c r="X4806" s="4"/>
      <c r="Y4806" s="4"/>
    </row>
    <row r="4807" spans="5:25">
      <c r="E4807"/>
      <c r="G4807"/>
      <c r="H4807"/>
      <c r="I4807"/>
      <c r="K4807"/>
      <c r="O4807"/>
      <c r="R4807"/>
      <c r="W4807" s="4"/>
      <c r="X4807" s="4"/>
      <c r="Y4807" s="4"/>
    </row>
    <row r="4808" spans="5:25">
      <c r="E4808"/>
      <c r="G4808"/>
      <c r="H4808"/>
      <c r="I4808"/>
      <c r="K4808"/>
      <c r="O4808"/>
      <c r="R4808"/>
      <c r="W4808" s="4"/>
      <c r="X4808" s="4"/>
      <c r="Y4808" s="4"/>
    </row>
    <row r="4809" spans="5:25">
      <c r="E4809"/>
      <c r="G4809"/>
      <c r="H4809"/>
      <c r="I4809"/>
      <c r="K4809"/>
      <c r="O4809"/>
      <c r="R4809"/>
      <c r="W4809" s="4"/>
      <c r="X4809" s="4"/>
      <c r="Y4809" s="4"/>
    </row>
    <row r="4810" spans="5:25">
      <c r="E4810"/>
      <c r="G4810"/>
      <c r="H4810"/>
      <c r="I4810"/>
      <c r="K4810"/>
      <c r="O4810"/>
      <c r="R4810"/>
      <c r="W4810" s="4"/>
      <c r="X4810" s="4"/>
      <c r="Y4810" s="4"/>
    </row>
    <row r="4811" spans="5:25">
      <c r="E4811"/>
      <c r="G4811"/>
      <c r="H4811"/>
      <c r="I4811"/>
      <c r="K4811"/>
      <c r="O4811"/>
      <c r="R4811"/>
      <c r="W4811" s="4"/>
      <c r="X4811" s="4"/>
      <c r="Y4811" s="4"/>
    </row>
    <row r="4812" spans="5:25">
      <c r="E4812"/>
      <c r="G4812"/>
      <c r="H4812"/>
      <c r="I4812"/>
      <c r="K4812"/>
      <c r="O4812"/>
      <c r="R4812"/>
      <c r="W4812" s="4"/>
      <c r="X4812" s="4"/>
      <c r="Y4812" s="4"/>
    </row>
    <row r="4813" spans="5:25">
      <c r="E4813"/>
      <c r="G4813"/>
      <c r="H4813"/>
      <c r="I4813"/>
      <c r="K4813"/>
      <c r="O4813"/>
      <c r="R4813"/>
      <c r="W4813" s="4"/>
      <c r="X4813" s="4"/>
      <c r="Y4813" s="4"/>
    </row>
    <row r="4814" spans="5:25">
      <c r="E4814"/>
      <c r="G4814"/>
      <c r="H4814"/>
      <c r="I4814"/>
      <c r="K4814"/>
      <c r="O4814"/>
      <c r="R4814"/>
      <c r="W4814" s="4"/>
      <c r="X4814" s="4"/>
      <c r="Y4814" s="4"/>
    </row>
    <row r="4815" spans="5:25">
      <c r="E4815"/>
      <c r="G4815"/>
      <c r="H4815"/>
      <c r="I4815"/>
      <c r="K4815"/>
      <c r="O4815"/>
      <c r="R4815"/>
      <c r="W4815" s="4"/>
      <c r="X4815" s="4"/>
      <c r="Y4815" s="4"/>
    </row>
    <row r="4816" spans="5:25">
      <c r="E4816"/>
      <c r="G4816"/>
      <c r="H4816"/>
      <c r="I4816"/>
      <c r="K4816"/>
      <c r="O4816"/>
      <c r="R4816"/>
      <c r="W4816" s="4"/>
      <c r="X4816" s="4"/>
      <c r="Y4816" s="4"/>
    </row>
    <row r="4817" spans="5:25">
      <c r="E4817"/>
      <c r="G4817"/>
      <c r="H4817"/>
      <c r="I4817"/>
      <c r="K4817"/>
      <c r="O4817"/>
      <c r="R4817"/>
      <c r="W4817" s="4"/>
      <c r="X4817" s="4"/>
      <c r="Y4817" s="4"/>
    </row>
    <row r="4818" spans="5:25">
      <c r="E4818"/>
      <c r="G4818"/>
      <c r="H4818"/>
      <c r="I4818"/>
      <c r="K4818"/>
      <c r="O4818"/>
      <c r="R4818"/>
      <c r="W4818" s="4"/>
      <c r="X4818" s="4"/>
      <c r="Y4818" s="4"/>
    </row>
    <row r="4819" spans="5:25">
      <c r="E4819"/>
      <c r="G4819"/>
      <c r="H4819"/>
      <c r="I4819"/>
      <c r="K4819"/>
      <c r="O4819"/>
      <c r="R4819"/>
      <c r="W4819" s="4"/>
      <c r="X4819" s="4"/>
      <c r="Y4819" s="4"/>
    </row>
    <row r="4820" spans="5:25">
      <c r="E4820"/>
      <c r="G4820"/>
      <c r="H4820"/>
      <c r="I4820"/>
      <c r="K4820"/>
      <c r="O4820"/>
      <c r="R4820"/>
      <c r="W4820" s="4"/>
      <c r="X4820" s="4"/>
      <c r="Y4820" s="4"/>
    </row>
    <row r="4821" spans="5:25">
      <c r="E4821"/>
      <c r="G4821"/>
      <c r="H4821"/>
      <c r="I4821"/>
      <c r="K4821"/>
      <c r="O4821"/>
      <c r="R4821"/>
      <c r="W4821" s="4"/>
      <c r="X4821" s="4"/>
      <c r="Y4821" s="4"/>
    </row>
    <row r="4822" spans="5:25">
      <c r="E4822"/>
      <c r="G4822"/>
      <c r="H4822"/>
      <c r="I4822"/>
      <c r="K4822"/>
      <c r="O4822"/>
      <c r="R4822"/>
      <c r="W4822" s="4"/>
      <c r="X4822" s="4"/>
      <c r="Y4822" s="4"/>
    </row>
    <row r="4823" spans="5:25">
      <c r="E4823"/>
      <c r="G4823"/>
      <c r="H4823"/>
      <c r="I4823"/>
      <c r="K4823"/>
      <c r="O4823"/>
      <c r="R4823"/>
      <c r="W4823" s="4"/>
      <c r="X4823" s="4"/>
      <c r="Y4823" s="4"/>
    </row>
    <row r="4824" spans="5:25">
      <c r="E4824"/>
      <c r="G4824"/>
      <c r="H4824"/>
      <c r="I4824"/>
      <c r="K4824"/>
      <c r="O4824"/>
      <c r="R4824"/>
      <c r="W4824" s="4"/>
      <c r="X4824" s="4"/>
      <c r="Y4824" s="4"/>
    </row>
    <row r="4825" spans="5:25">
      <c r="E4825"/>
      <c r="G4825"/>
      <c r="H4825"/>
      <c r="I4825"/>
      <c r="K4825"/>
      <c r="O4825"/>
      <c r="R4825"/>
      <c r="W4825" s="4"/>
      <c r="X4825" s="4"/>
      <c r="Y4825" s="4"/>
    </row>
    <row r="4826" spans="5:25">
      <c r="E4826"/>
      <c r="G4826"/>
      <c r="H4826"/>
      <c r="I4826"/>
      <c r="K4826"/>
      <c r="O4826"/>
      <c r="R4826"/>
      <c r="W4826" s="4"/>
      <c r="X4826" s="4"/>
      <c r="Y4826" s="4"/>
    </row>
    <row r="4827" spans="5:25">
      <c r="E4827"/>
      <c r="G4827"/>
      <c r="H4827"/>
      <c r="I4827"/>
      <c r="K4827"/>
      <c r="O4827"/>
      <c r="R4827"/>
      <c r="W4827" s="4"/>
      <c r="X4827" s="4"/>
      <c r="Y4827" s="4"/>
    </row>
    <row r="4828" spans="5:25">
      <c r="E4828"/>
      <c r="G4828"/>
      <c r="H4828"/>
      <c r="I4828"/>
      <c r="K4828"/>
      <c r="O4828"/>
      <c r="R4828"/>
      <c r="W4828" s="4"/>
      <c r="X4828" s="4"/>
      <c r="Y4828" s="4"/>
    </row>
    <row r="4829" spans="5:25">
      <c r="E4829"/>
      <c r="G4829"/>
      <c r="H4829"/>
      <c r="I4829"/>
      <c r="K4829"/>
      <c r="O4829"/>
      <c r="R4829"/>
      <c r="W4829" s="4"/>
      <c r="X4829" s="4"/>
      <c r="Y4829" s="4"/>
    </row>
    <row r="4830" spans="5:25">
      <c r="E4830"/>
      <c r="G4830"/>
      <c r="H4830"/>
      <c r="I4830"/>
      <c r="K4830"/>
      <c r="O4830"/>
      <c r="R4830"/>
      <c r="W4830" s="4"/>
      <c r="X4830" s="4"/>
      <c r="Y4830" s="4"/>
    </row>
    <row r="4831" spans="5:25">
      <c r="E4831"/>
      <c r="G4831"/>
      <c r="H4831"/>
      <c r="I4831"/>
      <c r="K4831"/>
      <c r="O4831"/>
      <c r="R4831"/>
      <c r="W4831" s="4"/>
      <c r="X4831" s="4"/>
      <c r="Y4831" s="4"/>
    </row>
    <row r="4832" spans="5:25">
      <c r="E4832"/>
      <c r="G4832"/>
      <c r="H4832"/>
      <c r="I4832"/>
      <c r="K4832"/>
      <c r="O4832"/>
      <c r="R4832"/>
      <c r="W4832" s="4"/>
      <c r="X4832" s="4"/>
      <c r="Y4832" s="4"/>
    </row>
    <row r="4833" spans="5:25">
      <c r="E4833"/>
      <c r="G4833"/>
      <c r="H4833"/>
      <c r="I4833"/>
      <c r="K4833"/>
      <c r="O4833"/>
      <c r="R4833"/>
      <c r="W4833" s="4"/>
      <c r="X4833" s="4"/>
      <c r="Y4833" s="4"/>
    </row>
    <row r="4834" spans="5:25">
      <c r="E4834"/>
      <c r="G4834"/>
      <c r="H4834"/>
      <c r="I4834"/>
      <c r="K4834"/>
      <c r="O4834"/>
      <c r="R4834"/>
      <c r="W4834" s="4"/>
      <c r="X4834" s="4"/>
      <c r="Y4834" s="4"/>
    </row>
    <row r="4835" spans="5:25">
      <c r="E4835"/>
      <c r="G4835"/>
      <c r="H4835"/>
      <c r="I4835"/>
      <c r="K4835"/>
      <c r="O4835"/>
      <c r="R4835"/>
      <c r="W4835" s="4"/>
      <c r="X4835" s="4"/>
      <c r="Y4835" s="4"/>
    </row>
    <row r="4836" spans="5:25">
      <c r="E4836"/>
      <c r="G4836"/>
      <c r="H4836"/>
      <c r="I4836"/>
      <c r="K4836"/>
      <c r="O4836"/>
      <c r="R4836"/>
      <c r="W4836" s="4"/>
      <c r="X4836" s="4"/>
      <c r="Y4836" s="4"/>
    </row>
    <row r="4837" spans="5:25">
      <c r="E4837"/>
      <c r="G4837"/>
      <c r="H4837"/>
      <c r="I4837"/>
      <c r="K4837"/>
      <c r="O4837"/>
      <c r="R4837"/>
      <c r="W4837" s="4"/>
      <c r="X4837" s="4"/>
      <c r="Y4837" s="4"/>
    </row>
    <row r="4838" spans="5:25">
      <c r="E4838"/>
      <c r="G4838"/>
      <c r="H4838"/>
      <c r="I4838"/>
      <c r="K4838"/>
      <c r="O4838"/>
      <c r="R4838"/>
      <c r="W4838" s="4"/>
      <c r="X4838" s="4"/>
      <c r="Y4838" s="4"/>
    </row>
    <row r="4839" spans="5:25">
      <c r="E4839"/>
      <c r="G4839"/>
      <c r="H4839"/>
      <c r="I4839"/>
      <c r="K4839"/>
      <c r="O4839"/>
      <c r="R4839"/>
      <c r="W4839" s="4"/>
      <c r="X4839" s="4"/>
      <c r="Y4839" s="4"/>
    </row>
    <row r="4840" spans="5:25">
      <c r="E4840"/>
      <c r="G4840"/>
      <c r="H4840"/>
      <c r="I4840"/>
      <c r="K4840"/>
      <c r="O4840"/>
      <c r="R4840"/>
      <c r="W4840" s="4"/>
      <c r="X4840" s="4"/>
      <c r="Y4840" s="4"/>
    </row>
    <row r="4841" spans="5:25">
      <c r="E4841"/>
      <c r="G4841"/>
      <c r="H4841"/>
      <c r="I4841"/>
      <c r="K4841"/>
      <c r="O4841"/>
      <c r="R4841"/>
      <c r="W4841" s="4"/>
      <c r="X4841" s="4"/>
      <c r="Y4841" s="4"/>
    </row>
    <row r="4842" spans="5:25">
      <c r="E4842"/>
      <c r="G4842"/>
      <c r="H4842"/>
      <c r="I4842"/>
      <c r="K4842"/>
      <c r="O4842"/>
      <c r="R4842"/>
      <c r="W4842" s="4"/>
      <c r="X4842" s="4"/>
      <c r="Y4842" s="4"/>
    </row>
    <row r="4843" spans="5:25">
      <c r="E4843"/>
      <c r="G4843"/>
      <c r="H4843"/>
      <c r="I4843"/>
      <c r="K4843"/>
      <c r="O4843"/>
      <c r="R4843"/>
      <c r="W4843" s="4"/>
      <c r="X4843" s="4"/>
      <c r="Y4843" s="4"/>
    </row>
    <row r="4844" spans="5:25">
      <c r="E4844"/>
      <c r="G4844"/>
      <c r="H4844"/>
      <c r="I4844"/>
      <c r="K4844"/>
      <c r="O4844"/>
      <c r="R4844"/>
      <c r="W4844" s="4"/>
      <c r="X4844" s="4"/>
      <c r="Y4844" s="4"/>
    </row>
    <row r="4845" spans="5:25">
      <c r="E4845"/>
      <c r="G4845"/>
      <c r="H4845"/>
      <c r="I4845"/>
      <c r="K4845"/>
      <c r="O4845"/>
      <c r="R4845"/>
      <c r="W4845" s="4"/>
      <c r="X4845" s="4"/>
      <c r="Y4845" s="4"/>
    </row>
    <row r="4846" spans="5:25">
      <c r="E4846"/>
      <c r="G4846"/>
      <c r="H4846"/>
      <c r="I4846"/>
      <c r="K4846"/>
      <c r="O4846"/>
      <c r="R4846"/>
      <c r="W4846" s="4"/>
      <c r="X4846" s="4"/>
      <c r="Y4846" s="4"/>
    </row>
    <row r="4847" spans="5:25">
      <c r="E4847"/>
      <c r="G4847"/>
      <c r="H4847"/>
      <c r="I4847"/>
      <c r="K4847"/>
      <c r="O4847"/>
      <c r="R4847"/>
      <c r="W4847" s="4"/>
      <c r="X4847" s="4"/>
      <c r="Y4847" s="4"/>
    </row>
    <row r="4848" spans="5:25">
      <c r="E4848"/>
      <c r="G4848"/>
      <c r="H4848"/>
      <c r="I4848"/>
      <c r="K4848"/>
      <c r="O4848"/>
      <c r="R4848"/>
      <c r="W4848" s="4"/>
      <c r="X4848" s="4"/>
      <c r="Y4848" s="4"/>
    </row>
    <row r="4849" spans="5:25">
      <c r="E4849"/>
      <c r="G4849"/>
      <c r="H4849"/>
      <c r="I4849"/>
      <c r="K4849"/>
      <c r="O4849"/>
      <c r="R4849"/>
      <c r="W4849" s="4"/>
      <c r="X4849" s="4"/>
      <c r="Y4849" s="4"/>
    </row>
    <row r="4850" spans="5:25">
      <c r="E4850"/>
      <c r="G4850"/>
      <c r="H4850"/>
      <c r="I4850"/>
      <c r="K4850"/>
      <c r="O4850"/>
      <c r="R4850"/>
      <c r="W4850" s="4"/>
      <c r="X4850" s="4"/>
      <c r="Y4850" s="4"/>
    </row>
    <row r="4851" spans="5:25">
      <c r="E4851"/>
      <c r="G4851"/>
      <c r="H4851"/>
      <c r="I4851"/>
      <c r="K4851"/>
      <c r="O4851"/>
      <c r="R4851"/>
      <c r="W4851" s="4"/>
      <c r="X4851" s="4"/>
      <c r="Y4851" s="4"/>
    </row>
    <row r="4852" spans="5:25">
      <c r="E4852"/>
      <c r="G4852"/>
      <c r="H4852"/>
      <c r="I4852"/>
      <c r="K4852"/>
      <c r="O4852"/>
      <c r="R4852"/>
      <c r="W4852" s="4"/>
      <c r="X4852" s="4"/>
      <c r="Y4852" s="4"/>
    </row>
    <row r="4853" spans="5:25">
      <c r="E4853"/>
      <c r="G4853"/>
      <c r="H4853"/>
      <c r="I4853"/>
      <c r="K4853"/>
      <c r="O4853"/>
      <c r="R4853"/>
      <c r="W4853" s="4"/>
      <c r="X4853" s="4"/>
      <c r="Y4853" s="4"/>
    </row>
    <row r="4854" spans="5:25">
      <c r="E4854"/>
      <c r="G4854"/>
      <c r="H4854"/>
      <c r="I4854"/>
      <c r="K4854"/>
      <c r="O4854"/>
      <c r="R4854"/>
      <c r="W4854" s="4"/>
      <c r="X4854" s="4"/>
      <c r="Y4854" s="4"/>
    </row>
    <row r="4855" spans="5:25">
      <c r="E4855"/>
      <c r="G4855"/>
      <c r="H4855"/>
      <c r="I4855"/>
      <c r="K4855"/>
      <c r="O4855"/>
      <c r="R4855"/>
      <c r="W4855" s="4"/>
      <c r="X4855" s="4"/>
      <c r="Y4855" s="4"/>
    </row>
    <row r="4856" spans="5:25">
      <c r="E4856"/>
      <c r="G4856"/>
      <c r="H4856"/>
      <c r="I4856"/>
      <c r="K4856"/>
      <c r="O4856"/>
      <c r="R4856"/>
      <c r="W4856" s="4"/>
      <c r="X4856" s="4"/>
      <c r="Y4856" s="4"/>
    </row>
    <row r="4857" spans="5:25">
      <c r="E4857"/>
      <c r="G4857"/>
      <c r="H4857"/>
      <c r="I4857"/>
      <c r="K4857"/>
      <c r="O4857"/>
      <c r="R4857"/>
      <c r="W4857" s="4"/>
      <c r="X4857" s="4"/>
      <c r="Y4857" s="4"/>
    </row>
    <row r="4858" spans="5:25">
      <c r="E4858"/>
      <c r="G4858"/>
      <c r="H4858"/>
      <c r="I4858"/>
      <c r="K4858"/>
      <c r="O4858"/>
      <c r="R4858"/>
      <c r="W4858" s="4"/>
      <c r="X4858" s="4"/>
      <c r="Y4858" s="4"/>
    </row>
    <row r="4859" spans="5:25">
      <c r="E4859"/>
      <c r="G4859"/>
      <c r="H4859"/>
      <c r="I4859"/>
      <c r="K4859"/>
      <c r="O4859"/>
      <c r="R4859"/>
      <c r="W4859" s="4"/>
      <c r="X4859" s="4"/>
      <c r="Y4859" s="4"/>
    </row>
    <row r="4860" spans="5:25">
      <c r="E4860"/>
      <c r="G4860"/>
      <c r="H4860"/>
      <c r="I4860"/>
      <c r="K4860"/>
      <c r="O4860"/>
      <c r="R4860"/>
      <c r="W4860" s="4"/>
      <c r="X4860" s="4"/>
      <c r="Y4860" s="4"/>
    </row>
    <row r="4861" spans="5:25">
      <c r="E4861"/>
      <c r="G4861"/>
      <c r="H4861"/>
      <c r="I4861"/>
      <c r="K4861"/>
      <c r="O4861"/>
      <c r="R4861"/>
      <c r="W4861" s="4"/>
      <c r="X4861" s="4"/>
      <c r="Y4861" s="4"/>
    </row>
    <row r="4862" spans="5:25">
      <c r="E4862"/>
      <c r="G4862"/>
      <c r="H4862"/>
      <c r="I4862"/>
      <c r="K4862"/>
      <c r="O4862"/>
      <c r="R4862"/>
      <c r="W4862" s="4"/>
      <c r="X4862" s="4"/>
      <c r="Y4862" s="4"/>
    </row>
    <row r="4863" spans="5:25">
      <c r="E4863"/>
      <c r="G4863"/>
      <c r="H4863"/>
      <c r="I4863"/>
      <c r="K4863"/>
      <c r="O4863"/>
      <c r="R4863"/>
      <c r="W4863" s="4"/>
      <c r="X4863" s="4"/>
      <c r="Y4863" s="4"/>
    </row>
    <row r="4864" spans="5:25">
      <c r="E4864"/>
      <c r="G4864"/>
      <c r="H4864"/>
      <c r="I4864"/>
      <c r="K4864"/>
      <c r="O4864"/>
      <c r="R4864"/>
      <c r="W4864" s="4"/>
      <c r="X4864" s="4"/>
      <c r="Y4864" s="4"/>
    </row>
    <row r="4865" spans="5:25">
      <c r="E4865"/>
      <c r="G4865"/>
      <c r="H4865"/>
      <c r="I4865"/>
      <c r="K4865"/>
      <c r="O4865"/>
      <c r="R4865"/>
      <c r="W4865" s="4"/>
      <c r="X4865" s="4"/>
      <c r="Y4865" s="4"/>
    </row>
    <row r="4866" spans="5:25">
      <c r="E4866"/>
      <c r="G4866"/>
      <c r="H4866"/>
      <c r="I4866"/>
      <c r="K4866"/>
      <c r="O4866"/>
      <c r="R4866"/>
      <c r="W4866" s="4"/>
      <c r="X4866" s="4"/>
      <c r="Y4866" s="4"/>
    </row>
    <row r="4867" spans="5:25">
      <c r="E4867"/>
      <c r="G4867"/>
      <c r="H4867"/>
      <c r="I4867"/>
      <c r="K4867"/>
      <c r="O4867"/>
      <c r="R4867"/>
      <c r="W4867" s="4"/>
      <c r="X4867" s="4"/>
      <c r="Y4867" s="4"/>
    </row>
    <row r="4868" spans="5:25">
      <c r="E4868"/>
      <c r="G4868"/>
      <c r="H4868"/>
      <c r="I4868"/>
      <c r="K4868"/>
      <c r="O4868"/>
      <c r="R4868"/>
      <c r="W4868" s="4"/>
      <c r="X4868" s="4"/>
      <c r="Y4868" s="4"/>
    </row>
    <row r="4869" spans="5:25">
      <c r="E4869"/>
      <c r="G4869"/>
      <c r="H4869"/>
      <c r="I4869"/>
      <c r="K4869"/>
      <c r="O4869"/>
      <c r="R4869"/>
      <c r="W4869" s="4"/>
      <c r="X4869" s="4"/>
      <c r="Y4869" s="4"/>
    </row>
    <row r="4870" spans="5:25">
      <c r="E4870"/>
      <c r="G4870"/>
      <c r="H4870"/>
      <c r="I4870"/>
      <c r="K4870"/>
      <c r="O4870"/>
      <c r="R4870"/>
      <c r="W4870" s="4"/>
      <c r="X4870" s="4"/>
      <c r="Y4870" s="4"/>
    </row>
    <row r="4871" spans="5:25">
      <c r="E4871"/>
      <c r="G4871"/>
      <c r="H4871"/>
      <c r="I4871"/>
      <c r="K4871"/>
      <c r="O4871"/>
      <c r="R4871"/>
      <c r="W4871" s="4"/>
      <c r="X4871" s="4"/>
      <c r="Y4871" s="4"/>
    </row>
    <row r="4872" spans="5:25">
      <c r="E4872"/>
      <c r="G4872"/>
      <c r="H4872"/>
      <c r="I4872"/>
      <c r="K4872"/>
      <c r="O4872"/>
      <c r="R4872"/>
      <c r="W4872" s="4"/>
      <c r="X4872" s="4"/>
      <c r="Y4872" s="4"/>
    </row>
    <row r="4873" spans="5:25">
      <c r="E4873"/>
      <c r="G4873"/>
      <c r="H4873"/>
      <c r="I4873"/>
      <c r="K4873"/>
      <c r="O4873"/>
      <c r="R4873"/>
      <c r="W4873" s="4"/>
      <c r="X4873" s="4"/>
      <c r="Y4873" s="4"/>
    </row>
    <row r="4874" spans="5:25">
      <c r="E4874"/>
      <c r="G4874"/>
      <c r="H4874"/>
      <c r="I4874"/>
      <c r="K4874"/>
      <c r="O4874"/>
      <c r="R4874"/>
      <c r="W4874" s="4"/>
      <c r="X4874" s="4"/>
      <c r="Y4874" s="4"/>
    </row>
    <row r="4875" spans="5:25">
      <c r="E4875"/>
      <c r="G4875"/>
      <c r="H4875"/>
      <c r="I4875"/>
      <c r="K4875"/>
      <c r="O4875"/>
      <c r="R4875"/>
      <c r="W4875" s="4"/>
      <c r="X4875" s="4"/>
      <c r="Y4875" s="4"/>
    </row>
    <row r="4876" spans="5:25">
      <c r="E4876"/>
      <c r="G4876"/>
      <c r="H4876"/>
      <c r="I4876"/>
      <c r="K4876"/>
      <c r="O4876"/>
      <c r="R4876"/>
      <c r="W4876" s="4"/>
      <c r="X4876" s="4"/>
      <c r="Y4876" s="4"/>
    </row>
    <row r="4877" spans="5:25">
      <c r="E4877"/>
      <c r="G4877"/>
      <c r="H4877"/>
      <c r="I4877"/>
      <c r="K4877"/>
      <c r="O4877"/>
      <c r="R4877"/>
      <c r="W4877" s="4"/>
      <c r="X4877" s="4"/>
      <c r="Y4877" s="4"/>
    </row>
    <row r="4878" spans="5:25">
      <c r="E4878"/>
      <c r="G4878"/>
      <c r="H4878"/>
      <c r="I4878"/>
      <c r="K4878"/>
      <c r="O4878"/>
      <c r="R4878"/>
      <c r="W4878" s="4"/>
      <c r="X4878" s="4"/>
      <c r="Y4878" s="4"/>
    </row>
    <row r="4879" spans="5:25">
      <c r="E4879"/>
      <c r="G4879"/>
      <c r="H4879"/>
      <c r="I4879"/>
      <c r="K4879"/>
      <c r="O4879"/>
      <c r="R4879"/>
      <c r="W4879" s="4"/>
      <c r="X4879" s="4"/>
      <c r="Y4879" s="4"/>
    </row>
    <row r="4880" spans="5:25">
      <c r="E4880"/>
      <c r="G4880"/>
      <c r="H4880"/>
      <c r="I4880"/>
      <c r="K4880"/>
      <c r="O4880"/>
      <c r="R4880"/>
      <c r="W4880" s="4"/>
      <c r="X4880" s="4"/>
      <c r="Y4880" s="4"/>
    </row>
    <row r="4881" spans="5:25">
      <c r="E4881"/>
      <c r="G4881"/>
      <c r="H4881"/>
      <c r="I4881"/>
      <c r="K4881"/>
      <c r="O4881"/>
      <c r="R4881"/>
      <c r="W4881" s="4"/>
      <c r="X4881" s="4"/>
      <c r="Y4881" s="4"/>
    </row>
    <row r="4882" spans="5:25">
      <c r="E4882"/>
      <c r="G4882"/>
      <c r="H4882"/>
      <c r="I4882"/>
      <c r="K4882"/>
      <c r="O4882"/>
      <c r="R4882"/>
      <c r="W4882" s="4"/>
      <c r="X4882" s="4"/>
      <c r="Y4882" s="4"/>
    </row>
    <row r="4883" spans="5:25">
      <c r="E4883"/>
      <c r="G4883"/>
      <c r="H4883"/>
      <c r="I4883"/>
      <c r="K4883"/>
      <c r="O4883"/>
      <c r="R4883"/>
      <c r="W4883" s="4"/>
      <c r="X4883" s="4"/>
      <c r="Y4883" s="4"/>
    </row>
    <row r="4884" spans="5:25">
      <c r="E4884"/>
      <c r="G4884"/>
      <c r="H4884"/>
      <c r="I4884"/>
      <c r="K4884"/>
      <c r="O4884"/>
      <c r="R4884"/>
      <c r="W4884" s="4"/>
      <c r="X4884" s="4"/>
      <c r="Y4884" s="4"/>
    </row>
    <row r="4885" spans="5:25">
      <c r="E4885"/>
      <c r="G4885"/>
      <c r="H4885"/>
      <c r="I4885"/>
      <c r="K4885"/>
      <c r="O4885"/>
      <c r="R4885"/>
      <c r="W4885" s="4"/>
      <c r="X4885" s="4"/>
      <c r="Y4885" s="4"/>
    </row>
    <row r="4886" spans="5:25">
      <c r="E4886"/>
      <c r="G4886"/>
      <c r="H4886"/>
      <c r="I4886"/>
      <c r="K4886"/>
      <c r="O4886"/>
      <c r="R4886"/>
      <c r="W4886" s="4"/>
      <c r="X4886" s="4"/>
      <c r="Y4886" s="4"/>
    </row>
    <row r="4887" spans="5:25">
      <c r="E4887"/>
      <c r="G4887"/>
      <c r="H4887"/>
      <c r="I4887"/>
      <c r="K4887"/>
      <c r="O4887"/>
      <c r="R4887"/>
      <c r="W4887" s="4"/>
      <c r="X4887" s="4"/>
      <c r="Y4887" s="4"/>
    </row>
    <row r="4888" spans="5:25">
      <c r="E4888"/>
      <c r="G4888"/>
      <c r="H4888"/>
      <c r="I4888"/>
      <c r="K4888"/>
      <c r="O4888"/>
      <c r="R4888"/>
      <c r="W4888" s="4"/>
      <c r="X4888" s="4"/>
      <c r="Y4888" s="4"/>
    </row>
    <row r="4889" spans="5:25">
      <c r="E4889"/>
      <c r="G4889"/>
      <c r="H4889"/>
      <c r="I4889"/>
      <c r="K4889"/>
      <c r="O4889"/>
      <c r="R4889"/>
      <c r="W4889" s="4"/>
      <c r="X4889" s="4"/>
      <c r="Y4889" s="4"/>
    </row>
    <row r="4890" spans="5:25">
      <c r="E4890"/>
      <c r="G4890"/>
      <c r="H4890"/>
      <c r="I4890"/>
      <c r="K4890"/>
      <c r="O4890"/>
      <c r="R4890"/>
      <c r="W4890" s="4"/>
      <c r="X4890" s="4"/>
      <c r="Y4890" s="4"/>
    </row>
    <row r="4891" spans="5:25">
      <c r="E4891"/>
      <c r="G4891"/>
      <c r="H4891"/>
      <c r="I4891"/>
      <c r="K4891"/>
      <c r="O4891"/>
      <c r="R4891"/>
      <c r="W4891" s="4"/>
      <c r="X4891" s="4"/>
      <c r="Y4891" s="4"/>
    </row>
    <row r="4892" spans="5:25">
      <c r="E4892"/>
      <c r="G4892"/>
      <c r="H4892"/>
      <c r="I4892"/>
      <c r="K4892"/>
      <c r="O4892"/>
      <c r="R4892"/>
      <c r="W4892" s="4"/>
      <c r="X4892" s="4"/>
      <c r="Y4892" s="4"/>
    </row>
    <row r="4893" spans="5:25">
      <c r="E4893"/>
      <c r="G4893"/>
      <c r="H4893"/>
      <c r="I4893"/>
      <c r="K4893"/>
      <c r="O4893"/>
      <c r="R4893"/>
      <c r="W4893" s="4"/>
      <c r="X4893" s="4"/>
      <c r="Y4893" s="4"/>
    </row>
    <row r="4894" spans="5:25">
      <c r="E4894"/>
      <c r="G4894"/>
      <c r="H4894"/>
      <c r="I4894"/>
      <c r="K4894"/>
      <c r="O4894"/>
      <c r="R4894"/>
      <c r="W4894" s="4"/>
      <c r="X4894" s="4"/>
      <c r="Y4894" s="4"/>
    </row>
    <row r="4895" spans="5:25">
      <c r="E4895"/>
      <c r="G4895"/>
      <c r="H4895"/>
      <c r="I4895"/>
      <c r="K4895"/>
      <c r="O4895"/>
      <c r="R4895"/>
      <c r="W4895" s="4"/>
      <c r="X4895" s="4"/>
      <c r="Y4895" s="4"/>
    </row>
    <row r="4896" spans="5:25">
      <c r="E4896"/>
      <c r="G4896"/>
      <c r="H4896"/>
      <c r="I4896"/>
      <c r="K4896"/>
      <c r="O4896"/>
      <c r="R4896"/>
      <c r="W4896" s="4"/>
      <c r="X4896" s="4"/>
      <c r="Y4896" s="4"/>
    </row>
    <row r="4897" spans="5:25">
      <c r="E4897"/>
      <c r="G4897"/>
      <c r="H4897"/>
      <c r="I4897"/>
      <c r="K4897"/>
      <c r="O4897"/>
      <c r="R4897"/>
      <c r="W4897" s="4"/>
      <c r="X4897" s="4"/>
      <c r="Y4897" s="4"/>
    </row>
    <row r="4898" spans="5:25">
      <c r="E4898"/>
      <c r="G4898"/>
      <c r="H4898"/>
      <c r="I4898"/>
      <c r="K4898"/>
      <c r="O4898"/>
      <c r="R4898"/>
      <c r="W4898" s="4"/>
      <c r="X4898" s="4"/>
      <c r="Y4898" s="4"/>
    </row>
    <row r="4899" spans="5:25">
      <c r="E4899"/>
      <c r="G4899"/>
      <c r="H4899"/>
      <c r="I4899"/>
      <c r="K4899"/>
      <c r="O4899"/>
      <c r="R4899"/>
      <c r="W4899" s="4"/>
      <c r="X4899" s="4"/>
      <c r="Y4899" s="4"/>
    </row>
    <row r="4900" spans="5:25">
      <c r="E4900"/>
      <c r="G4900"/>
      <c r="H4900"/>
      <c r="I4900"/>
      <c r="K4900"/>
      <c r="O4900"/>
      <c r="R4900"/>
      <c r="W4900" s="4"/>
      <c r="X4900" s="4"/>
      <c r="Y4900" s="4"/>
    </row>
    <row r="4901" spans="5:25">
      <c r="E4901"/>
      <c r="G4901"/>
      <c r="H4901"/>
      <c r="I4901"/>
      <c r="K4901"/>
      <c r="O4901"/>
      <c r="R4901"/>
      <c r="W4901" s="4"/>
      <c r="X4901" s="4"/>
      <c r="Y4901" s="4"/>
    </row>
    <row r="4902" spans="5:25">
      <c r="E4902"/>
      <c r="G4902"/>
      <c r="H4902"/>
      <c r="I4902"/>
      <c r="K4902"/>
      <c r="O4902"/>
      <c r="R4902"/>
      <c r="W4902" s="4"/>
      <c r="X4902" s="4"/>
      <c r="Y4902" s="4"/>
    </row>
    <row r="4903" spans="5:25">
      <c r="E4903"/>
      <c r="G4903"/>
      <c r="H4903"/>
      <c r="I4903"/>
      <c r="K4903"/>
      <c r="O4903"/>
      <c r="R4903"/>
      <c r="W4903" s="4"/>
      <c r="X4903" s="4"/>
      <c r="Y4903" s="4"/>
    </row>
    <row r="4904" spans="5:25">
      <c r="E4904"/>
      <c r="G4904"/>
      <c r="H4904"/>
      <c r="I4904"/>
      <c r="K4904"/>
      <c r="O4904"/>
      <c r="R4904"/>
      <c r="W4904" s="4"/>
      <c r="X4904" s="4"/>
      <c r="Y4904" s="4"/>
    </row>
    <row r="4905" spans="5:25">
      <c r="E4905"/>
      <c r="G4905"/>
      <c r="H4905"/>
      <c r="I4905"/>
      <c r="K4905"/>
      <c r="O4905"/>
      <c r="R4905"/>
      <c r="W4905" s="4"/>
      <c r="X4905" s="4"/>
      <c r="Y4905" s="4"/>
    </row>
    <row r="4906" spans="5:25">
      <c r="E4906"/>
      <c r="G4906"/>
      <c r="H4906"/>
      <c r="I4906"/>
      <c r="K4906"/>
      <c r="O4906"/>
      <c r="R4906"/>
      <c r="W4906" s="4"/>
      <c r="X4906" s="4"/>
      <c r="Y4906" s="4"/>
    </row>
    <row r="4907" spans="5:25">
      <c r="E4907"/>
      <c r="G4907"/>
      <c r="H4907"/>
      <c r="I4907"/>
      <c r="K4907"/>
      <c r="O4907"/>
      <c r="R4907"/>
      <c r="W4907" s="4"/>
      <c r="X4907" s="4"/>
      <c r="Y4907" s="4"/>
    </row>
    <row r="4908" spans="5:25">
      <c r="E4908"/>
      <c r="G4908"/>
      <c r="H4908"/>
      <c r="I4908"/>
      <c r="K4908"/>
      <c r="O4908"/>
      <c r="R4908"/>
      <c r="W4908" s="4"/>
      <c r="X4908" s="4"/>
      <c r="Y4908" s="4"/>
    </row>
    <row r="4909" spans="5:25">
      <c r="E4909"/>
      <c r="G4909"/>
      <c r="H4909"/>
      <c r="I4909"/>
      <c r="K4909"/>
      <c r="O4909"/>
      <c r="R4909"/>
      <c r="W4909" s="4"/>
      <c r="X4909" s="4"/>
      <c r="Y4909" s="4"/>
    </row>
    <row r="4910" spans="5:25">
      <c r="E4910"/>
      <c r="G4910"/>
      <c r="H4910"/>
      <c r="I4910"/>
      <c r="K4910"/>
      <c r="O4910"/>
      <c r="R4910"/>
      <c r="W4910" s="4"/>
      <c r="X4910" s="4"/>
      <c r="Y4910" s="4"/>
    </row>
    <row r="4911" spans="5:25">
      <c r="E4911"/>
      <c r="G4911"/>
      <c r="H4911"/>
      <c r="I4911"/>
      <c r="K4911"/>
      <c r="O4911"/>
      <c r="R4911"/>
      <c r="W4911" s="4"/>
      <c r="X4911" s="4"/>
      <c r="Y4911" s="4"/>
    </row>
    <row r="4912" spans="5:25">
      <c r="E4912"/>
      <c r="G4912"/>
      <c r="H4912"/>
      <c r="I4912"/>
      <c r="K4912"/>
      <c r="O4912"/>
      <c r="R4912"/>
      <c r="W4912" s="4"/>
      <c r="X4912" s="4"/>
      <c r="Y4912" s="4"/>
    </row>
    <row r="4913" spans="5:25">
      <c r="E4913"/>
      <c r="G4913"/>
      <c r="H4913"/>
      <c r="I4913"/>
      <c r="K4913"/>
      <c r="O4913"/>
      <c r="R4913"/>
      <c r="W4913" s="4"/>
      <c r="X4913" s="4"/>
      <c r="Y4913" s="4"/>
    </row>
    <row r="4914" spans="5:25">
      <c r="E4914"/>
      <c r="G4914"/>
      <c r="H4914"/>
      <c r="I4914"/>
      <c r="K4914"/>
      <c r="O4914"/>
      <c r="R4914"/>
      <c r="W4914" s="4"/>
      <c r="X4914" s="4"/>
      <c r="Y4914" s="4"/>
    </row>
    <row r="4915" spans="5:25">
      <c r="E4915"/>
      <c r="G4915"/>
      <c r="H4915"/>
      <c r="I4915"/>
      <c r="K4915"/>
      <c r="O4915"/>
      <c r="R4915"/>
      <c r="W4915" s="4"/>
      <c r="X4915" s="4"/>
      <c r="Y4915" s="4"/>
    </row>
    <row r="4916" spans="5:25">
      <c r="E4916"/>
      <c r="G4916"/>
      <c r="H4916"/>
      <c r="I4916"/>
      <c r="K4916"/>
      <c r="O4916"/>
      <c r="R4916"/>
      <c r="W4916" s="4"/>
      <c r="X4916" s="4"/>
      <c r="Y4916" s="4"/>
    </row>
    <row r="4917" spans="5:25">
      <c r="E4917"/>
      <c r="G4917"/>
      <c r="H4917"/>
      <c r="I4917"/>
      <c r="K4917"/>
      <c r="O4917"/>
      <c r="R4917"/>
      <c r="W4917" s="4"/>
      <c r="X4917" s="4"/>
      <c r="Y4917" s="4"/>
    </row>
    <row r="4918" spans="5:25">
      <c r="E4918"/>
      <c r="G4918"/>
      <c r="H4918"/>
      <c r="I4918"/>
      <c r="K4918"/>
      <c r="O4918"/>
      <c r="R4918"/>
      <c r="W4918" s="4"/>
      <c r="X4918" s="4"/>
      <c r="Y4918" s="4"/>
    </row>
    <row r="4919" spans="5:25">
      <c r="E4919"/>
      <c r="G4919"/>
      <c r="H4919"/>
      <c r="I4919"/>
      <c r="K4919"/>
      <c r="O4919"/>
      <c r="R4919"/>
      <c r="W4919" s="4"/>
      <c r="X4919" s="4"/>
      <c r="Y4919" s="4"/>
    </row>
    <row r="4920" spans="5:25">
      <c r="E4920"/>
      <c r="G4920"/>
      <c r="H4920"/>
      <c r="I4920"/>
      <c r="K4920"/>
      <c r="O4920"/>
      <c r="R4920"/>
      <c r="W4920" s="4"/>
      <c r="X4920" s="4"/>
      <c r="Y4920" s="4"/>
    </row>
    <row r="4921" spans="5:25">
      <c r="E4921"/>
      <c r="G4921"/>
      <c r="H4921"/>
      <c r="I4921"/>
      <c r="K4921"/>
      <c r="O4921"/>
      <c r="R4921"/>
      <c r="W4921" s="4"/>
      <c r="X4921" s="4"/>
      <c r="Y4921" s="4"/>
    </row>
    <row r="4922" spans="5:25">
      <c r="E4922"/>
      <c r="G4922"/>
      <c r="H4922"/>
      <c r="I4922"/>
      <c r="K4922"/>
      <c r="O4922"/>
      <c r="R4922"/>
      <c r="W4922" s="4"/>
      <c r="X4922" s="4"/>
      <c r="Y4922" s="4"/>
    </row>
    <row r="4923" spans="5:25">
      <c r="E4923"/>
      <c r="G4923"/>
      <c r="H4923"/>
      <c r="I4923"/>
      <c r="K4923"/>
      <c r="O4923"/>
      <c r="R4923"/>
      <c r="W4923" s="4"/>
      <c r="X4923" s="4"/>
      <c r="Y4923" s="4"/>
    </row>
    <row r="4924" spans="5:25">
      <c r="E4924"/>
      <c r="G4924"/>
      <c r="H4924"/>
      <c r="I4924"/>
      <c r="K4924"/>
      <c r="O4924"/>
      <c r="R4924"/>
      <c r="W4924" s="4"/>
      <c r="X4924" s="4"/>
      <c r="Y4924" s="4"/>
    </row>
    <row r="4925" spans="5:25">
      <c r="E4925"/>
      <c r="G4925"/>
      <c r="H4925"/>
      <c r="I4925"/>
      <c r="K4925"/>
      <c r="O4925"/>
      <c r="R4925"/>
      <c r="W4925" s="4"/>
      <c r="X4925" s="4"/>
      <c r="Y4925" s="4"/>
    </row>
    <row r="4926" spans="5:25">
      <c r="E4926"/>
      <c r="G4926"/>
      <c r="H4926"/>
      <c r="I4926"/>
      <c r="K4926"/>
      <c r="O4926"/>
      <c r="R4926"/>
      <c r="W4926" s="4"/>
      <c r="X4926" s="4"/>
      <c r="Y4926" s="4"/>
    </row>
    <row r="4927" spans="5:25">
      <c r="E4927"/>
      <c r="G4927"/>
      <c r="H4927"/>
      <c r="I4927"/>
      <c r="K4927"/>
      <c r="O4927"/>
      <c r="R4927"/>
      <c r="W4927" s="4"/>
      <c r="X4927" s="4"/>
      <c r="Y4927" s="4"/>
    </row>
    <row r="4928" spans="5:25">
      <c r="E4928"/>
      <c r="G4928"/>
      <c r="H4928"/>
      <c r="I4928"/>
      <c r="K4928"/>
      <c r="O4928"/>
      <c r="R4928"/>
      <c r="W4928" s="4"/>
      <c r="X4928" s="4"/>
      <c r="Y4928" s="4"/>
    </row>
    <row r="4929" spans="5:25">
      <c r="E4929"/>
      <c r="G4929"/>
      <c r="H4929"/>
      <c r="I4929"/>
      <c r="K4929"/>
      <c r="O4929"/>
      <c r="R4929"/>
      <c r="W4929" s="4"/>
      <c r="X4929" s="4"/>
      <c r="Y4929" s="4"/>
    </row>
    <row r="4930" spans="5:25">
      <c r="E4930"/>
      <c r="G4930"/>
      <c r="H4930"/>
      <c r="I4930"/>
      <c r="K4930"/>
      <c r="O4930"/>
      <c r="R4930"/>
      <c r="W4930" s="4"/>
      <c r="X4930" s="4"/>
      <c r="Y4930" s="4"/>
    </row>
    <row r="4931" spans="5:25">
      <c r="E4931"/>
      <c r="G4931"/>
      <c r="H4931"/>
      <c r="I4931"/>
      <c r="K4931"/>
      <c r="O4931"/>
      <c r="R4931"/>
      <c r="W4931" s="4"/>
      <c r="X4931" s="4"/>
      <c r="Y4931" s="4"/>
    </row>
    <row r="4932" spans="5:25">
      <c r="E4932"/>
      <c r="G4932"/>
      <c r="H4932"/>
      <c r="I4932"/>
      <c r="K4932"/>
      <c r="O4932"/>
      <c r="R4932"/>
      <c r="W4932" s="4"/>
      <c r="X4932" s="4"/>
      <c r="Y4932" s="4"/>
    </row>
    <row r="4933" spans="5:25">
      <c r="E4933"/>
      <c r="G4933"/>
      <c r="H4933"/>
      <c r="I4933"/>
      <c r="K4933"/>
      <c r="O4933"/>
      <c r="R4933"/>
      <c r="W4933" s="4"/>
      <c r="X4933" s="4"/>
      <c r="Y4933" s="4"/>
    </row>
    <row r="4934" spans="5:25">
      <c r="E4934"/>
      <c r="G4934"/>
      <c r="H4934"/>
      <c r="I4934"/>
      <c r="K4934"/>
      <c r="O4934"/>
      <c r="R4934"/>
      <c r="W4934" s="4"/>
      <c r="X4934" s="4"/>
      <c r="Y4934" s="4"/>
    </row>
    <row r="4935" spans="5:25">
      <c r="E4935"/>
      <c r="G4935"/>
      <c r="H4935"/>
      <c r="I4935"/>
      <c r="K4935"/>
      <c r="O4935"/>
      <c r="R4935"/>
      <c r="W4935" s="4"/>
      <c r="X4935" s="4"/>
      <c r="Y4935" s="4"/>
    </row>
    <row r="4936" spans="5:25">
      <c r="E4936"/>
      <c r="G4936"/>
      <c r="H4936"/>
      <c r="I4936"/>
      <c r="K4936"/>
      <c r="O4936"/>
      <c r="R4936"/>
      <c r="W4936" s="4"/>
      <c r="X4936" s="4"/>
      <c r="Y4936" s="4"/>
    </row>
    <row r="4937" spans="5:25">
      <c r="E4937"/>
      <c r="G4937"/>
      <c r="H4937"/>
      <c r="I4937"/>
      <c r="K4937"/>
      <c r="O4937"/>
      <c r="R4937"/>
      <c r="W4937" s="4"/>
      <c r="X4937" s="4"/>
      <c r="Y4937" s="4"/>
    </row>
    <row r="4938" spans="5:25">
      <c r="E4938"/>
      <c r="G4938"/>
      <c r="H4938"/>
      <c r="I4938"/>
      <c r="K4938"/>
      <c r="O4938"/>
      <c r="R4938"/>
      <c r="W4938" s="4"/>
      <c r="X4938" s="4"/>
      <c r="Y4938" s="4"/>
    </row>
    <row r="4939" spans="5:25">
      <c r="E4939"/>
      <c r="G4939"/>
      <c r="H4939"/>
      <c r="I4939"/>
      <c r="K4939"/>
      <c r="O4939"/>
      <c r="R4939"/>
      <c r="W4939" s="4"/>
      <c r="X4939" s="4"/>
      <c r="Y4939" s="4"/>
    </row>
    <row r="4940" spans="5:25">
      <c r="E4940"/>
      <c r="G4940"/>
      <c r="H4940"/>
      <c r="I4940"/>
      <c r="K4940"/>
      <c r="O4940"/>
      <c r="R4940"/>
      <c r="W4940" s="4"/>
      <c r="X4940" s="4"/>
      <c r="Y4940" s="4"/>
    </row>
    <row r="4941" spans="5:25">
      <c r="E4941"/>
      <c r="G4941"/>
      <c r="H4941"/>
      <c r="I4941"/>
      <c r="K4941"/>
      <c r="O4941"/>
      <c r="R4941"/>
      <c r="W4941" s="4"/>
      <c r="X4941" s="4"/>
      <c r="Y4941" s="4"/>
    </row>
    <row r="4942" spans="5:25">
      <c r="E4942"/>
      <c r="G4942"/>
      <c r="H4942"/>
      <c r="I4942"/>
      <c r="K4942"/>
      <c r="O4942"/>
      <c r="R4942"/>
      <c r="W4942" s="4"/>
      <c r="X4942" s="4"/>
      <c r="Y4942" s="4"/>
    </row>
    <row r="4943" spans="5:25">
      <c r="E4943"/>
      <c r="G4943"/>
      <c r="H4943"/>
      <c r="I4943"/>
      <c r="K4943"/>
      <c r="O4943"/>
      <c r="R4943"/>
      <c r="W4943" s="4"/>
      <c r="X4943" s="4"/>
      <c r="Y4943" s="4"/>
    </row>
    <row r="4944" spans="5:25">
      <c r="E4944"/>
      <c r="G4944"/>
      <c r="H4944"/>
      <c r="I4944"/>
      <c r="K4944"/>
      <c r="O4944"/>
      <c r="R4944"/>
      <c r="W4944" s="4"/>
      <c r="X4944" s="4"/>
      <c r="Y4944" s="4"/>
    </row>
    <row r="4945" spans="5:25">
      <c r="E4945"/>
      <c r="G4945"/>
      <c r="H4945"/>
      <c r="I4945"/>
      <c r="K4945"/>
      <c r="O4945"/>
      <c r="R4945"/>
      <c r="W4945" s="4"/>
      <c r="X4945" s="4"/>
      <c r="Y4945" s="4"/>
    </row>
    <row r="4946" spans="5:25">
      <c r="E4946"/>
      <c r="G4946"/>
      <c r="H4946"/>
      <c r="I4946"/>
      <c r="K4946"/>
      <c r="O4946"/>
      <c r="R4946"/>
      <c r="W4946" s="4"/>
      <c r="X4946" s="4"/>
      <c r="Y4946" s="4"/>
    </row>
    <row r="4947" spans="5:25">
      <c r="E4947"/>
      <c r="G4947"/>
      <c r="H4947"/>
      <c r="I4947"/>
      <c r="K4947"/>
      <c r="O4947"/>
      <c r="R4947"/>
      <c r="W4947" s="4"/>
      <c r="X4947" s="4"/>
      <c r="Y4947" s="4"/>
    </row>
    <row r="4948" spans="5:25">
      <c r="E4948"/>
      <c r="G4948"/>
      <c r="H4948"/>
      <c r="I4948"/>
      <c r="K4948"/>
      <c r="O4948"/>
      <c r="R4948"/>
      <c r="W4948" s="4"/>
      <c r="X4948" s="4"/>
      <c r="Y4948" s="4"/>
    </row>
    <row r="4949" spans="5:25">
      <c r="E4949"/>
      <c r="G4949"/>
      <c r="H4949"/>
      <c r="I4949"/>
      <c r="K4949"/>
      <c r="O4949"/>
      <c r="R4949"/>
      <c r="W4949" s="4"/>
      <c r="X4949" s="4"/>
      <c r="Y4949" s="4"/>
    </row>
    <row r="4950" spans="5:25">
      <c r="E4950"/>
      <c r="G4950"/>
      <c r="H4950"/>
      <c r="I4950"/>
      <c r="K4950"/>
      <c r="O4950"/>
      <c r="R4950"/>
      <c r="W4950" s="4"/>
      <c r="X4950" s="4"/>
      <c r="Y4950" s="4"/>
    </row>
    <row r="4951" spans="5:25">
      <c r="E4951"/>
      <c r="G4951"/>
      <c r="H4951"/>
      <c r="I4951"/>
      <c r="K4951"/>
      <c r="O4951"/>
      <c r="R4951"/>
      <c r="W4951" s="4"/>
      <c r="X4951" s="4"/>
      <c r="Y4951" s="4"/>
    </row>
    <row r="4952" spans="5:25">
      <c r="E4952"/>
      <c r="G4952"/>
      <c r="H4952"/>
      <c r="I4952"/>
      <c r="K4952"/>
      <c r="O4952"/>
      <c r="R4952"/>
      <c r="W4952" s="4"/>
      <c r="X4952" s="4"/>
      <c r="Y4952" s="4"/>
    </row>
    <row r="4953" spans="5:25">
      <c r="E4953"/>
      <c r="G4953"/>
      <c r="H4953"/>
      <c r="I4953"/>
      <c r="K4953"/>
      <c r="O4953"/>
      <c r="R4953"/>
      <c r="W4953" s="4"/>
      <c r="X4953" s="4"/>
      <c r="Y4953" s="4"/>
    </row>
    <row r="4954" spans="5:25">
      <c r="E4954"/>
      <c r="G4954"/>
      <c r="H4954"/>
      <c r="I4954"/>
      <c r="K4954"/>
      <c r="O4954"/>
      <c r="R4954"/>
      <c r="W4954" s="4"/>
      <c r="X4954" s="4"/>
      <c r="Y4954" s="4"/>
    </row>
    <row r="4955" spans="5:25">
      <c r="E4955"/>
      <c r="G4955"/>
      <c r="H4955"/>
      <c r="I4955"/>
      <c r="K4955"/>
      <c r="O4955"/>
      <c r="R4955"/>
      <c r="W4955" s="4"/>
      <c r="X4955" s="4"/>
      <c r="Y4955" s="4"/>
    </row>
    <row r="4956" spans="5:25">
      <c r="E4956"/>
      <c r="G4956"/>
      <c r="H4956"/>
      <c r="I4956"/>
      <c r="K4956"/>
      <c r="O4956"/>
      <c r="R4956"/>
      <c r="W4956" s="4"/>
      <c r="X4956" s="4"/>
      <c r="Y4956" s="4"/>
    </row>
    <row r="4957" spans="5:25">
      <c r="E4957"/>
      <c r="G4957"/>
      <c r="H4957"/>
      <c r="I4957"/>
      <c r="K4957"/>
      <c r="O4957"/>
      <c r="R4957"/>
      <c r="W4957" s="4"/>
      <c r="X4957" s="4"/>
      <c r="Y4957" s="4"/>
    </row>
    <row r="4958" spans="5:25">
      <c r="E4958"/>
      <c r="G4958"/>
      <c r="H4958"/>
      <c r="I4958"/>
      <c r="K4958"/>
      <c r="O4958"/>
      <c r="R4958"/>
      <c r="W4958" s="4"/>
      <c r="X4958" s="4"/>
      <c r="Y4958" s="4"/>
    </row>
    <row r="4959" spans="5:25">
      <c r="E4959"/>
      <c r="G4959"/>
      <c r="H4959"/>
      <c r="I4959"/>
      <c r="K4959"/>
      <c r="O4959"/>
      <c r="R4959"/>
      <c r="W4959" s="4"/>
      <c r="X4959" s="4"/>
      <c r="Y4959" s="4"/>
    </row>
    <row r="4960" spans="5:25">
      <c r="E4960"/>
      <c r="G4960"/>
      <c r="H4960"/>
      <c r="I4960"/>
      <c r="K4960"/>
      <c r="O4960"/>
      <c r="R4960"/>
      <c r="W4960" s="4"/>
      <c r="X4960" s="4"/>
      <c r="Y4960" s="4"/>
    </row>
    <row r="4961" spans="5:25">
      <c r="E4961"/>
      <c r="G4961"/>
      <c r="H4961"/>
      <c r="I4961"/>
      <c r="K4961"/>
      <c r="O4961"/>
      <c r="R4961"/>
      <c r="W4961" s="4"/>
      <c r="X4961" s="4"/>
      <c r="Y4961" s="4"/>
    </row>
    <row r="4962" spans="5:25">
      <c r="E4962"/>
      <c r="G4962"/>
      <c r="H4962"/>
      <c r="I4962"/>
      <c r="K4962"/>
      <c r="O4962"/>
      <c r="R4962"/>
      <c r="W4962" s="4"/>
      <c r="X4962" s="4"/>
      <c r="Y4962" s="4"/>
    </row>
    <row r="4963" spans="5:25">
      <c r="E4963"/>
      <c r="G4963"/>
      <c r="H4963"/>
      <c r="I4963"/>
      <c r="K4963"/>
      <c r="O4963"/>
      <c r="R4963"/>
      <c r="W4963" s="4"/>
      <c r="X4963" s="4"/>
      <c r="Y4963" s="4"/>
    </row>
    <row r="4964" spans="5:25">
      <c r="E4964"/>
      <c r="G4964"/>
      <c r="H4964"/>
      <c r="I4964"/>
      <c r="K4964"/>
      <c r="O4964"/>
      <c r="R4964"/>
      <c r="W4964" s="4"/>
      <c r="X4964" s="4"/>
      <c r="Y4964" s="4"/>
    </row>
    <row r="4965" spans="5:25">
      <c r="E4965"/>
      <c r="G4965"/>
      <c r="H4965"/>
      <c r="I4965"/>
      <c r="K4965"/>
      <c r="O4965"/>
      <c r="R4965"/>
      <c r="W4965" s="4"/>
      <c r="X4965" s="4"/>
      <c r="Y4965" s="4"/>
    </row>
    <row r="4966" spans="5:25">
      <c r="E4966"/>
      <c r="G4966"/>
      <c r="H4966"/>
      <c r="I4966"/>
      <c r="K4966"/>
      <c r="O4966"/>
      <c r="R4966"/>
      <c r="W4966" s="4"/>
      <c r="X4966" s="4"/>
      <c r="Y4966" s="4"/>
    </row>
    <row r="4967" spans="5:25">
      <c r="E4967"/>
      <c r="G4967"/>
      <c r="H4967"/>
      <c r="I4967"/>
      <c r="K4967"/>
      <c r="O4967"/>
      <c r="R4967"/>
      <c r="W4967" s="4"/>
      <c r="X4967" s="4"/>
      <c r="Y4967" s="4"/>
    </row>
    <row r="4968" spans="5:25">
      <c r="E4968"/>
      <c r="G4968"/>
      <c r="H4968"/>
      <c r="I4968"/>
      <c r="K4968"/>
      <c r="O4968"/>
      <c r="R4968"/>
      <c r="W4968" s="4"/>
      <c r="X4968" s="4"/>
      <c r="Y4968" s="4"/>
    </row>
    <row r="4969" spans="5:25">
      <c r="E4969"/>
      <c r="G4969"/>
      <c r="H4969"/>
      <c r="I4969"/>
      <c r="K4969"/>
      <c r="O4969"/>
      <c r="R4969"/>
      <c r="W4969" s="4"/>
      <c r="X4969" s="4"/>
      <c r="Y4969" s="4"/>
    </row>
    <row r="4970" spans="5:25">
      <c r="E4970"/>
      <c r="G4970"/>
      <c r="H4970"/>
      <c r="I4970"/>
      <c r="K4970"/>
      <c r="O4970"/>
      <c r="R4970"/>
      <c r="W4970" s="4"/>
      <c r="X4970" s="4"/>
      <c r="Y4970" s="4"/>
    </row>
    <row r="4971" spans="5:25">
      <c r="E4971"/>
      <c r="G4971"/>
      <c r="H4971"/>
      <c r="I4971"/>
      <c r="K4971"/>
      <c r="O4971"/>
      <c r="R4971"/>
      <c r="W4971" s="4"/>
      <c r="X4971" s="4"/>
      <c r="Y4971" s="4"/>
    </row>
    <row r="4972" spans="5:25">
      <c r="E4972"/>
      <c r="G4972"/>
      <c r="H4972"/>
      <c r="I4972"/>
      <c r="K4972"/>
      <c r="O4972"/>
      <c r="R4972"/>
      <c r="W4972" s="4"/>
      <c r="X4972" s="4"/>
      <c r="Y4972" s="4"/>
    </row>
    <row r="4973" spans="5:25">
      <c r="E4973"/>
      <c r="G4973"/>
      <c r="H4973"/>
      <c r="I4973"/>
      <c r="K4973"/>
      <c r="O4973"/>
      <c r="R4973"/>
      <c r="W4973" s="4"/>
      <c r="X4973" s="4"/>
      <c r="Y4973" s="4"/>
    </row>
    <row r="4974" spans="5:25">
      <c r="E4974"/>
      <c r="G4974"/>
      <c r="H4974"/>
      <c r="I4974"/>
      <c r="K4974"/>
      <c r="O4974"/>
      <c r="R4974"/>
      <c r="W4974" s="4"/>
      <c r="X4974" s="4"/>
      <c r="Y4974" s="4"/>
    </row>
    <row r="4975" spans="5:25">
      <c r="E4975"/>
      <c r="G4975"/>
      <c r="H4975"/>
      <c r="I4975"/>
      <c r="K4975"/>
      <c r="O4975"/>
      <c r="R4975"/>
      <c r="W4975" s="4"/>
      <c r="X4975" s="4"/>
      <c r="Y4975" s="4"/>
    </row>
    <row r="4976" spans="5:25">
      <c r="E4976"/>
      <c r="G4976"/>
      <c r="H4976"/>
      <c r="I4976"/>
      <c r="K4976"/>
      <c r="O4976"/>
      <c r="R4976"/>
      <c r="W4976" s="4"/>
      <c r="X4976" s="4"/>
      <c r="Y4976" s="4"/>
    </row>
    <row r="4977" spans="5:25">
      <c r="E4977"/>
      <c r="G4977"/>
      <c r="H4977"/>
      <c r="I4977"/>
      <c r="K4977"/>
      <c r="O4977"/>
      <c r="R4977"/>
      <c r="W4977" s="4"/>
      <c r="X4977" s="4"/>
      <c r="Y4977" s="4"/>
    </row>
    <row r="4978" spans="5:25">
      <c r="E4978"/>
      <c r="G4978"/>
      <c r="H4978"/>
      <c r="I4978"/>
      <c r="K4978"/>
      <c r="O4978"/>
      <c r="R4978"/>
      <c r="W4978" s="4"/>
      <c r="X4978" s="4"/>
      <c r="Y4978" s="4"/>
    </row>
    <row r="4979" spans="5:25">
      <c r="E4979"/>
      <c r="G4979"/>
      <c r="H4979"/>
      <c r="I4979"/>
      <c r="K4979"/>
      <c r="O4979"/>
      <c r="R4979"/>
      <c r="W4979" s="4"/>
      <c r="X4979" s="4"/>
      <c r="Y4979" s="4"/>
    </row>
    <row r="4980" spans="5:25">
      <c r="E4980"/>
      <c r="G4980"/>
      <c r="H4980"/>
      <c r="I4980"/>
      <c r="K4980"/>
      <c r="O4980"/>
      <c r="R4980"/>
      <c r="W4980" s="4"/>
      <c r="X4980" s="4"/>
      <c r="Y4980" s="4"/>
    </row>
    <row r="4981" spans="5:25">
      <c r="E4981"/>
      <c r="G4981"/>
      <c r="H4981"/>
      <c r="I4981"/>
      <c r="K4981"/>
      <c r="O4981"/>
      <c r="R4981"/>
      <c r="W4981" s="4"/>
      <c r="X4981" s="4"/>
      <c r="Y4981" s="4"/>
    </row>
    <row r="4982" spans="5:25">
      <c r="E4982"/>
      <c r="G4982"/>
      <c r="H4982"/>
      <c r="I4982"/>
      <c r="K4982"/>
      <c r="O4982"/>
      <c r="R4982"/>
      <c r="W4982" s="4"/>
      <c r="X4982" s="4"/>
      <c r="Y4982" s="4"/>
    </row>
    <row r="4983" spans="5:25">
      <c r="E4983"/>
      <c r="G4983"/>
      <c r="H4983"/>
      <c r="I4983"/>
      <c r="K4983"/>
      <c r="O4983"/>
      <c r="R4983"/>
      <c r="W4983" s="4"/>
      <c r="X4983" s="4"/>
      <c r="Y4983" s="4"/>
    </row>
    <row r="4984" spans="5:25">
      <c r="E4984"/>
      <c r="G4984"/>
      <c r="H4984"/>
      <c r="I4984"/>
      <c r="K4984"/>
      <c r="O4984"/>
      <c r="R4984"/>
      <c r="W4984" s="4"/>
      <c r="X4984" s="4"/>
      <c r="Y4984" s="4"/>
    </row>
    <row r="4985" spans="5:25">
      <c r="E4985"/>
      <c r="G4985"/>
      <c r="H4985"/>
      <c r="I4985"/>
      <c r="K4985"/>
      <c r="O4985"/>
      <c r="R4985"/>
      <c r="W4985" s="4"/>
      <c r="X4985" s="4"/>
      <c r="Y4985" s="4"/>
    </row>
    <row r="4986" spans="5:25">
      <c r="E4986"/>
      <c r="G4986"/>
      <c r="H4986"/>
      <c r="I4986"/>
      <c r="K4986"/>
      <c r="O4986"/>
      <c r="R4986"/>
      <c r="W4986" s="4"/>
      <c r="X4986" s="4"/>
      <c r="Y4986" s="4"/>
    </row>
    <row r="4987" spans="5:25">
      <c r="E4987"/>
      <c r="G4987"/>
      <c r="H4987"/>
      <c r="I4987"/>
      <c r="K4987"/>
      <c r="O4987"/>
      <c r="R4987"/>
      <c r="W4987" s="4"/>
      <c r="X4987" s="4"/>
      <c r="Y4987" s="4"/>
    </row>
    <row r="4988" spans="5:25">
      <c r="E4988"/>
      <c r="G4988"/>
      <c r="H4988"/>
      <c r="I4988"/>
      <c r="K4988"/>
      <c r="O4988"/>
      <c r="R4988"/>
      <c r="W4988" s="4"/>
      <c r="X4988" s="4"/>
      <c r="Y4988" s="4"/>
    </row>
    <row r="4989" spans="5:25">
      <c r="E4989"/>
      <c r="G4989"/>
      <c r="H4989"/>
      <c r="I4989"/>
      <c r="K4989"/>
      <c r="O4989"/>
      <c r="R4989"/>
      <c r="W4989" s="4"/>
      <c r="X4989" s="4"/>
      <c r="Y4989" s="4"/>
    </row>
    <row r="4990" spans="5:25">
      <c r="E4990"/>
      <c r="G4990"/>
      <c r="H4990"/>
      <c r="I4990"/>
      <c r="K4990"/>
      <c r="O4990"/>
      <c r="R4990"/>
      <c r="W4990" s="4"/>
      <c r="X4990" s="4"/>
      <c r="Y4990" s="4"/>
    </row>
    <row r="4991" spans="5:25">
      <c r="E4991"/>
      <c r="G4991"/>
      <c r="H4991"/>
      <c r="I4991"/>
      <c r="K4991"/>
      <c r="O4991"/>
      <c r="R4991"/>
      <c r="W4991" s="4"/>
      <c r="X4991" s="4"/>
      <c r="Y4991" s="4"/>
    </row>
    <row r="4992" spans="5:25">
      <c r="E4992"/>
      <c r="G4992"/>
      <c r="H4992"/>
      <c r="I4992"/>
      <c r="K4992"/>
      <c r="O4992"/>
      <c r="R4992"/>
      <c r="W4992" s="4"/>
      <c r="X4992" s="4"/>
      <c r="Y4992" s="4"/>
    </row>
    <row r="4993" spans="5:25">
      <c r="E4993"/>
      <c r="G4993"/>
      <c r="H4993"/>
      <c r="I4993"/>
      <c r="K4993"/>
      <c r="O4993"/>
      <c r="R4993"/>
      <c r="W4993" s="4"/>
      <c r="X4993" s="4"/>
      <c r="Y4993" s="4"/>
    </row>
    <row r="4994" spans="5:25">
      <c r="E4994"/>
      <c r="G4994"/>
      <c r="H4994"/>
      <c r="I4994"/>
      <c r="K4994"/>
      <c r="O4994"/>
      <c r="R4994"/>
      <c r="W4994" s="4"/>
      <c r="X4994" s="4"/>
      <c r="Y4994" s="4"/>
    </row>
    <row r="4995" spans="5:25">
      <c r="E4995"/>
      <c r="G4995"/>
      <c r="H4995"/>
      <c r="I4995"/>
      <c r="K4995"/>
      <c r="O4995"/>
      <c r="R4995"/>
      <c r="W4995" s="4"/>
      <c r="X4995" s="4"/>
      <c r="Y4995" s="4"/>
    </row>
    <row r="4996" spans="5:25">
      <c r="E4996"/>
      <c r="G4996"/>
      <c r="H4996"/>
      <c r="I4996"/>
      <c r="K4996"/>
      <c r="O4996"/>
      <c r="R4996"/>
      <c r="W4996" s="4"/>
      <c r="X4996" s="4"/>
      <c r="Y4996" s="4"/>
    </row>
    <row r="4997" spans="5:25">
      <c r="E4997"/>
      <c r="G4997"/>
      <c r="H4997"/>
      <c r="I4997"/>
      <c r="K4997"/>
      <c r="O4997"/>
      <c r="R4997"/>
      <c r="W4997" s="4"/>
      <c r="X4997" s="4"/>
      <c r="Y4997" s="4"/>
    </row>
    <row r="4998" spans="5:25">
      <c r="E4998"/>
      <c r="G4998"/>
      <c r="H4998"/>
      <c r="I4998"/>
      <c r="K4998"/>
      <c r="O4998"/>
      <c r="R4998"/>
      <c r="W4998" s="4"/>
      <c r="X4998" s="4"/>
      <c r="Y4998" s="4"/>
    </row>
    <row r="4999" spans="5:25">
      <c r="E4999"/>
      <c r="G4999"/>
      <c r="H4999"/>
      <c r="I4999"/>
      <c r="K4999"/>
      <c r="O4999"/>
      <c r="R4999"/>
      <c r="W4999" s="4"/>
      <c r="X4999" s="4"/>
      <c r="Y4999" s="4"/>
    </row>
    <row r="5000" spans="5:25">
      <c r="E5000"/>
      <c r="G5000"/>
      <c r="H5000"/>
      <c r="I5000"/>
      <c r="K5000"/>
      <c r="O5000"/>
      <c r="R5000"/>
      <c r="W5000" s="4"/>
      <c r="X5000" s="4"/>
      <c r="Y5000" s="4"/>
    </row>
    <row r="5001" spans="5:25">
      <c r="E5001"/>
      <c r="G5001"/>
      <c r="H5001"/>
      <c r="I5001"/>
      <c r="K5001"/>
      <c r="O5001"/>
      <c r="R5001"/>
      <c r="W5001" s="4"/>
      <c r="X5001" s="4"/>
      <c r="Y5001" s="4"/>
    </row>
    <row r="5002" spans="5:25">
      <c r="E5002"/>
      <c r="G5002"/>
      <c r="H5002"/>
      <c r="I5002"/>
      <c r="K5002"/>
      <c r="O5002"/>
      <c r="R5002"/>
      <c r="W5002" s="4"/>
      <c r="X5002" s="4"/>
      <c r="Y5002" s="4"/>
    </row>
    <row r="5003" spans="5:25">
      <c r="E5003"/>
      <c r="G5003"/>
      <c r="H5003"/>
      <c r="I5003"/>
      <c r="K5003"/>
      <c r="O5003"/>
      <c r="R5003"/>
      <c r="W5003" s="4"/>
      <c r="X5003" s="4"/>
      <c r="Y5003" s="4"/>
    </row>
    <row r="5004" spans="5:25">
      <c r="E5004"/>
      <c r="G5004"/>
      <c r="H5004"/>
      <c r="I5004"/>
      <c r="K5004"/>
      <c r="O5004"/>
      <c r="R5004"/>
      <c r="W5004" s="4"/>
      <c r="X5004" s="4"/>
      <c r="Y5004" s="4"/>
    </row>
    <row r="5005" spans="5:25">
      <c r="E5005"/>
      <c r="G5005"/>
      <c r="H5005"/>
      <c r="I5005"/>
      <c r="K5005"/>
      <c r="O5005"/>
      <c r="R5005"/>
      <c r="W5005" s="4"/>
      <c r="X5005" s="4"/>
      <c r="Y5005" s="4"/>
    </row>
    <row r="5006" spans="5:25">
      <c r="E5006"/>
      <c r="G5006"/>
      <c r="H5006"/>
      <c r="I5006"/>
      <c r="K5006"/>
      <c r="O5006"/>
      <c r="R5006"/>
      <c r="W5006" s="4"/>
      <c r="X5006" s="4"/>
      <c r="Y5006" s="4"/>
    </row>
    <row r="5007" spans="5:25">
      <c r="E5007"/>
      <c r="G5007"/>
      <c r="H5007"/>
      <c r="I5007"/>
      <c r="K5007"/>
      <c r="O5007"/>
      <c r="R5007"/>
      <c r="W5007" s="4"/>
      <c r="X5007" s="4"/>
      <c r="Y5007" s="4"/>
    </row>
    <row r="5008" spans="5:25">
      <c r="E5008"/>
      <c r="G5008"/>
      <c r="H5008"/>
      <c r="I5008"/>
      <c r="K5008"/>
      <c r="O5008"/>
      <c r="R5008"/>
      <c r="W5008" s="4"/>
      <c r="X5008" s="4"/>
      <c r="Y5008" s="4"/>
    </row>
    <row r="5009" spans="5:25">
      <c r="E5009"/>
      <c r="G5009"/>
      <c r="H5009"/>
      <c r="I5009"/>
      <c r="K5009"/>
      <c r="O5009"/>
      <c r="R5009"/>
      <c r="W5009" s="4"/>
      <c r="X5009" s="4"/>
      <c r="Y5009" s="4"/>
    </row>
    <row r="5010" spans="5:25">
      <c r="E5010"/>
      <c r="G5010"/>
      <c r="H5010"/>
      <c r="I5010"/>
      <c r="K5010"/>
      <c r="O5010"/>
      <c r="R5010"/>
      <c r="W5010" s="4"/>
      <c r="X5010" s="4"/>
      <c r="Y5010" s="4"/>
    </row>
    <row r="5011" spans="5:25">
      <c r="E5011"/>
      <c r="G5011"/>
      <c r="H5011"/>
      <c r="I5011"/>
      <c r="K5011"/>
      <c r="O5011"/>
      <c r="R5011"/>
      <c r="W5011" s="4"/>
      <c r="X5011" s="4"/>
      <c r="Y5011" s="4"/>
    </row>
    <row r="5012" spans="5:25">
      <c r="E5012"/>
      <c r="G5012"/>
      <c r="H5012"/>
      <c r="I5012"/>
      <c r="K5012"/>
      <c r="O5012"/>
      <c r="R5012"/>
      <c r="W5012" s="4"/>
      <c r="X5012" s="4"/>
      <c r="Y5012" s="4"/>
    </row>
    <row r="5013" spans="5:25">
      <c r="E5013"/>
      <c r="G5013"/>
      <c r="H5013"/>
      <c r="I5013"/>
      <c r="K5013"/>
      <c r="O5013"/>
      <c r="R5013"/>
      <c r="W5013" s="4"/>
      <c r="X5013" s="4"/>
      <c r="Y5013" s="4"/>
    </row>
    <row r="5014" spans="5:25">
      <c r="E5014"/>
      <c r="G5014"/>
      <c r="H5014"/>
      <c r="I5014"/>
      <c r="K5014"/>
      <c r="O5014"/>
      <c r="R5014"/>
      <c r="W5014" s="4"/>
      <c r="X5014" s="4"/>
      <c r="Y5014" s="4"/>
    </row>
    <row r="5015" spans="5:25">
      <c r="E5015"/>
      <c r="G5015"/>
      <c r="H5015"/>
      <c r="I5015"/>
      <c r="K5015"/>
      <c r="O5015"/>
      <c r="R5015"/>
      <c r="W5015" s="4"/>
      <c r="X5015" s="4"/>
      <c r="Y5015" s="4"/>
    </row>
    <row r="5016" spans="5:25">
      <c r="E5016"/>
      <c r="G5016"/>
      <c r="H5016"/>
      <c r="I5016"/>
      <c r="K5016"/>
      <c r="O5016"/>
      <c r="R5016"/>
      <c r="W5016" s="4"/>
      <c r="X5016" s="4"/>
      <c r="Y5016" s="4"/>
    </row>
    <row r="5017" spans="5:25">
      <c r="E5017"/>
      <c r="G5017"/>
      <c r="H5017"/>
      <c r="I5017"/>
      <c r="K5017"/>
      <c r="O5017"/>
      <c r="R5017"/>
      <c r="W5017" s="4"/>
      <c r="X5017" s="4"/>
      <c r="Y5017" s="4"/>
    </row>
    <row r="5018" spans="5:25">
      <c r="E5018"/>
      <c r="G5018"/>
      <c r="H5018"/>
      <c r="I5018"/>
      <c r="K5018"/>
      <c r="O5018"/>
      <c r="R5018"/>
      <c r="W5018" s="4"/>
      <c r="X5018" s="4"/>
      <c r="Y5018" s="4"/>
    </row>
    <row r="5019" spans="5:25">
      <c r="E5019"/>
      <c r="G5019"/>
      <c r="H5019"/>
      <c r="I5019"/>
      <c r="K5019"/>
      <c r="O5019"/>
      <c r="R5019"/>
      <c r="W5019" s="4"/>
      <c r="X5019" s="4"/>
      <c r="Y5019" s="4"/>
    </row>
    <row r="5020" spans="5:25">
      <c r="E5020"/>
      <c r="G5020"/>
      <c r="H5020"/>
      <c r="I5020"/>
      <c r="K5020"/>
      <c r="O5020"/>
      <c r="R5020"/>
      <c r="W5020" s="4"/>
      <c r="X5020" s="4"/>
      <c r="Y5020" s="4"/>
    </row>
    <row r="5021" spans="5:25">
      <c r="E5021"/>
      <c r="G5021"/>
      <c r="H5021"/>
      <c r="I5021"/>
      <c r="K5021"/>
      <c r="O5021"/>
      <c r="R5021"/>
      <c r="W5021" s="4"/>
      <c r="X5021" s="4"/>
      <c r="Y5021" s="4"/>
    </row>
    <row r="5022" spans="5:25">
      <c r="E5022"/>
      <c r="G5022"/>
      <c r="H5022"/>
      <c r="I5022"/>
      <c r="K5022"/>
      <c r="O5022"/>
      <c r="R5022"/>
      <c r="W5022" s="4"/>
      <c r="X5022" s="4"/>
      <c r="Y5022" s="4"/>
    </row>
    <row r="5023" spans="5:25">
      <c r="E5023"/>
      <c r="G5023"/>
      <c r="H5023"/>
      <c r="I5023"/>
      <c r="K5023"/>
      <c r="O5023"/>
      <c r="R5023"/>
      <c r="W5023" s="4"/>
      <c r="X5023" s="4"/>
      <c r="Y5023" s="4"/>
    </row>
    <row r="5024" spans="5:25">
      <c r="E5024"/>
      <c r="G5024"/>
      <c r="H5024"/>
      <c r="I5024"/>
      <c r="K5024"/>
      <c r="O5024"/>
      <c r="R5024"/>
      <c r="W5024" s="4"/>
      <c r="X5024" s="4"/>
      <c r="Y5024" s="4"/>
    </row>
    <row r="5025" spans="5:25">
      <c r="E5025"/>
      <c r="G5025"/>
      <c r="H5025"/>
      <c r="I5025"/>
      <c r="K5025"/>
      <c r="O5025"/>
      <c r="R5025"/>
      <c r="W5025" s="4"/>
      <c r="X5025" s="4"/>
      <c r="Y5025" s="4"/>
    </row>
    <row r="5026" spans="5:25">
      <c r="E5026"/>
      <c r="G5026"/>
      <c r="H5026"/>
      <c r="I5026"/>
      <c r="K5026"/>
      <c r="O5026"/>
      <c r="R5026"/>
      <c r="W5026" s="4"/>
      <c r="X5026" s="4"/>
      <c r="Y5026" s="4"/>
    </row>
    <row r="5027" spans="5:25">
      <c r="E5027"/>
      <c r="G5027"/>
      <c r="H5027"/>
      <c r="I5027"/>
      <c r="K5027"/>
      <c r="O5027"/>
      <c r="R5027"/>
      <c r="W5027" s="4"/>
      <c r="X5027" s="4"/>
      <c r="Y5027" s="4"/>
    </row>
    <row r="5028" spans="5:25">
      <c r="E5028"/>
      <c r="G5028"/>
      <c r="H5028"/>
      <c r="I5028"/>
      <c r="K5028"/>
      <c r="O5028"/>
      <c r="R5028"/>
      <c r="W5028" s="4"/>
      <c r="X5028" s="4"/>
      <c r="Y5028" s="4"/>
    </row>
    <row r="5029" spans="5:25">
      <c r="E5029"/>
      <c r="G5029"/>
      <c r="H5029"/>
      <c r="I5029"/>
      <c r="K5029"/>
      <c r="O5029"/>
      <c r="R5029"/>
      <c r="W5029" s="4"/>
      <c r="X5029" s="4"/>
      <c r="Y5029" s="4"/>
    </row>
    <row r="5030" spans="5:25">
      <c r="E5030"/>
      <c r="G5030"/>
      <c r="H5030"/>
      <c r="I5030"/>
      <c r="K5030"/>
      <c r="O5030"/>
      <c r="R5030"/>
      <c r="W5030" s="4"/>
      <c r="X5030" s="4"/>
      <c r="Y5030" s="4"/>
    </row>
    <row r="5031" spans="5:25">
      <c r="E5031"/>
      <c r="G5031"/>
      <c r="H5031"/>
      <c r="I5031"/>
      <c r="K5031"/>
      <c r="O5031"/>
      <c r="R5031"/>
      <c r="W5031" s="4"/>
      <c r="X5031" s="4"/>
      <c r="Y5031" s="4"/>
    </row>
    <row r="5032" spans="5:25">
      <c r="E5032"/>
      <c r="G5032"/>
      <c r="H5032"/>
      <c r="I5032"/>
      <c r="K5032"/>
      <c r="O5032"/>
      <c r="R5032"/>
      <c r="W5032" s="4"/>
      <c r="X5032" s="4"/>
      <c r="Y5032" s="4"/>
    </row>
    <row r="5033" spans="5:25">
      <c r="E5033"/>
      <c r="G5033"/>
      <c r="H5033"/>
      <c r="I5033"/>
      <c r="K5033"/>
      <c r="O5033"/>
      <c r="R5033"/>
      <c r="W5033" s="4"/>
      <c r="X5033" s="4"/>
      <c r="Y5033" s="4"/>
    </row>
    <row r="5034" spans="5:25">
      <c r="E5034"/>
      <c r="G5034"/>
      <c r="H5034"/>
      <c r="I5034"/>
      <c r="K5034"/>
      <c r="O5034"/>
      <c r="R5034"/>
      <c r="W5034" s="4"/>
      <c r="X5034" s="4"/>
      <c r="Y5034" s="4"/>
    </row>
    <row r="5035" spans="5:25">
      <c r="E5035"/>
      <c r="G5035"/>
      <c r="H5035"/>
      <c r="I5035"/>
      <c r="K5035"/>
      <c r="O5035"/>
      <c r="R5035"/>
      <c r="W5035" s="4"/>
      <c r="X5035" s="4"/>
      <c r="Y5035" s="4"/>
    </row>
    <row r="5036" spans="5:25">
      <c r="E5036"/>
      <c r="G5036"/>
      <c r="H5036"/>
      <c r="I5036"/>
      <c r="K5036"/>
      <c r="O5036"/>
      <c r="R5036"/>
      <c r="W5036" s="4"/>
      <c r="X5036" s="4"/>
      <c r="Y5036" s="4"/>
    </row>
    <row r="5037" spans="5:25">
      <c r="E5037"/>
      <c r="G5037"/>
      <c r="H5037"/>
      <c r="I5037"/>
      <c r="K5037"/>
      <c r="O5037"/>
      <c r="R5037"/>
      <c r="W5037" s="4"/>
      <c r="X5037" s="4"/>
      <c r="Y5037" s="4"/>
    </row>
    <row r="5038" spans="5:25">
      <c r="E5038"/>
      <c r="G5038"/>
      <c r="H5038"/>
      <c r="I5038"/>
      <c r="K5038"/>
      <c r="O5038"/>
      <c r="R5038"/>
      <c r="W5038" s="4"/>
      <c r="X5038" s="4"/>
      <c r="Y5038" s="4"/>
    </row>
    <row r="5039" spans="5:25">
      <c r="E5039"/>
      <c r="G5039"/>
      <c r="H5039"/>
      <c r="I5039"/>
      <c r="K5039"/>
      <c r="O5039"/>
      <c r="R5039"/>
      <c r="W5039" s="4"/>
      <c r="X5039" s="4"/>
      <c r="Y5039" s="4"/>
    </row>
    <row r="5040" spans="5:25">
      <c r="E5040"/>
      <c r="G5040"/>
      <c r="H5040"/>
      <c r="I5040"/>
      <c r="K5040"/>
      <c r="O5040"/>
      <c r="R5040"/>
      <c r="W5040" s="4"/>
      <c r="X5040" s="4"/>
      <c r="Y5040" s="4"/>
    </row>
    <row r="5041" spans="5:25">
      <c r="E5041"/>
      <c r="G5041"/>
      <c r="H5041"/>
      <c r="I5041"/>
      <c r="K5041"/>
      <c r="O5041"/>
      <c r="R5041"/>
      <c r="W5041" s="4"/>
      <c r="X5041" s="4"/>
      <c r="Y5041" s="4"/>
    </row>
    <row r="5042" spans="5:25">
      <c r="E5042"/>
      <c r="G5042"/>
      <c r="H5042"/>
      <c r="I5042"/>
      <c r="K5042"/>
      <c r="O5042"/>
      <c r="R5042"/>
      <c r="W5042" s="4"/>
      <c r="X5042" s="4"/>
      <c r="Y5042" s="4"/>
    </row>
    <row r="5043" spans="5:25">
      <c r="E5043"/>
      <c r="G5043"/>
      <c r="H5043"/>
      <c r="I5043"/>
      <c r="K5043"/>
      <c r="O5043"/>
      <c r="R5043"/>
      <c r="W5043" s="4"/>
      <c r="X5043" s="4"/>
      <c r="Y5043" s="4"/>
    </row>
    <row r="5044" spans="5:25">
      <c r="E5044"/>
      <c r="G5044"/>
      <c r="H5044"/>
      <c r="I5044"/>
      <c r="K5044"/>
      <c r="O5044"/>
      <c r="R5044"/>
      <c r="W5044" s="4"/>
      <c r="X5044" s="4"/>
      <c r="Y5044" s="4"/>
    </row>
    <row r="5045" spans="5:25">
      <c r="E5045"/>
      <c r="G5045"/>
      <c r="H5045"/>
      <c r="I5045"/>
      <c r="K5045"/>
      <c r="O5045"/>
      <c r="R5045"/>
      <c r="W5045" s="4"/>
      <c r="X5045" s="4"/>
      <c r="Y5045" s="4"/>
    </row>
    <row r="5046" spans="5:25">
      <c r="E5046"/>
      <c r="G5046"/>
      <c r="H5046"/>
      <c r="I5046"/>
      <c r="K5046"/>
      <c r="O5046"/>
      <c r="R5046"/>
      <c r="W5046" s="4"/>
      <c r="X5046" s="4"/>
      <c r="Y5046" s="4"/>
    </row>
    <row r="5047" spans="5:25">
      <c r="E5047"/>
      <c r="G5047"/>
      <c r="H5047"/>
      <c r="I5047"/>
      <c r="K5047"/>
      <c r="O5047"/>
      <c r="R5047"/>
      <c r="W5047" s="4"/>
      <c r="X5047" s="4"/>
      <c r="Y5047" s="4"/>
    </row>
    <row r="5048" spans="5:25">
      <c r="E5048"/>
      <c r="G5048"/>
      <c r="H5048"/>
      <c r="I5048"/>
      <c r="K5048"/>
      <c r="O5048"/>
      <c r="R5048"/>
      <c r="W5048" s="4"/>
      <c r="X5048" s="4"/>
      <c r="Y5048" s="4"/>
    </row>
    <row r="5049" spans="5:25">
      <c r="E5049"/>
      <c r="G5049"/>
      <c r="H5049"/>
      <c r="I5049"/>
      <c r="K5049"/>
      <c r="O5049"/>
      <c r="R5049"/>
      <c r="W5049" s="4"/>
      <c r="X5049" s="4"/>
      <c r="Y5049" s="4"/>
    </row>
    <row r="5050" spans="5:25">
      <c r="E5050"/>
      <c r="G5050"/>
      <c r="H5050"/>
      <c r="I5050"/>
      <c r="K5050"/>
      <c r="O5050"/>
      <c r="R5050"/>
      <c r="W5050" s="4"/>
      <c r="X5050" s="4"/>
      <c r="Y5050" s="4"/>
    </row>
    <row r="5051" spans="5:25">
      <c r="E5051"/>
      <c r="G5051"/>
      <c r="H5051"/>
      <c r="I5051"/>
      <c r="K5051"/>
      <c r="O5051"/>
      <c r="R5051"/>
      <c r="W5051" s="4"/>
      <c r="X5051" s="4"/>
      <c r="Y5051" s="4"/>
    </row>
    <row r="5052" spans="5:25">
      <c r="E5052"/>
      <c r="G5052"/>
      <c r="H5052"/>
      <c r="I5052"/>
      <c r="K5052"/>
      <c r="O5052"/>
      <c r="R5052"/>
      <c r="W5052" s="4"/>
      <c r="X5052" s="4"/>
      <c r="Y5052" s="4"/>
    </row>
    <row r="5053" spans="5:25">
      <c r="E5053"/>
      <c r="G5053"/>
      <c r="H5053"/>
      <c r="I5053"/>
      <c r="K5053"/>
      <c r="O5053"/>
      <c r="R5053"/>
      <c r="W5053" s="4"/>
      <c r="X5053" s="4"/>
      <c r="Y5053" s="4"/>
    </row>
    <row r="5054" spans="5:25">
      <c r="E5054"/>
      <c r="G5054"/>
      <c r="H5054"/>
      <c r="I5054"/>
      <c r="K5054"/>
      <c r="O5054"/>
      <c r="R5054"/>
      <c r="W5054" s="4"/>
      <c r="X5054" s="4"/>
      <c r="Y5054" s="4"/>
    </row>
    <row r="5055" spans="5:25">
      <c r="E5055"/>
      <c r="G5055"/>
      <c r="H5055"/>
      <c r="I5055"/>
      <c r="K5055"/>
      <c r="O5055"/>
      <c r="R5055"/>
      <c r="W5055" s="4"/>
      <c r="X5055" s="4"/>
      <c r="Y5055" s="4"/>
    </row>
    <row r="5056" spans="5:25">
      <c r="E5056"/>
      <c r="G5056"/>
      <c r="H5056"/>
      <c r="I5056"/>
      <c r="K5056"/>
      <c r="O5056"/>
      <c r="R5056"/>
      <c r="W5056" s="4"/>
      <c r="X5056" s="4"/>
      <c r="Y5056" s="4"/>
    </row>
    <row r="5057" spans="5:25">
      <c r="E5057"/>
      <c r="G5057"/>
      <c r="H5057"/>
      <c r="I5057"/>
      <c r="K5057"/>
      <c r="O5057"/>
      <c r="R5057"/>
      <c r="W5057" s="4"/>
      <c r="X5057" s="4"/>
      <c r="Y5057" s="4"/>
    </row>
    <row r="5058" spans="5:25">
      <c r="E5058"/>
      <c r="G5058"/>
      <c r="H5058"/>
      <c r="I5058"/>
      <c r="K5058"/>
      <c r="O5058"/>
      <c r="R5058"/>
      <c r="W5058" s="4"/>
      <c r="X5058" s="4"/>
      <c r="Y5058" s="4"/>
    </row>
    <row r="5059" spans="5:25">
      <c r="E5059"/>
      <c r="G5059"/>
      <c r="H5059"/>
      <c r="I5059"/>
      <c r="K5059"/>
      <c r="O5059"/>
      <c r="R5059"/>
      <c r="W5059" s="4"/>
      <c r="X5059" s="4"/>
      <c r="Y5059" s="4"/>
    </row>
    <row r="5060" spans="5:25">
      <c r="E5060"/>
      <c r="G5060"/>
      <c r="H5060"/>
      <c r="I5060"/>
      <c r="K5060"/>
      <c r="O5060"/>
      <c r="R5060"/>
      <c r="W5060" s="4"/>
      <c r="X5060" s="4"/>
      <c r="Y5060" s="4"/>
    </row>
    <row r="5061" spans="5:25">
      <c r="E5061"/>
      <c r="G5061"/>
      <c r="H5061"/>
      <c r="I5061"/>
      <c r="K5061"/>
      <c r="O5061"/>
      <c r="R5061"/>
      <c r="W5061" s="4"/>
      <c r="X5061" s="4"/>
      <c r="Y5061" s="4"/>
    </row>
    <row r="5062" spans="5:25">
      <c r="E5062"/>
      <c r="G5062"/>
      <c r="H5062"/>
      <c r="I5062"/>
      <c r="K5062"/>
      <c r="O5062"/>
      <c r="R5062"/>
      <c r="W5062" s="4"/>
      <c r="X5062" s="4"/>
      <c r="Y5062" s="4"/>
    </row>
    <row r="5063" spans="5:25">
      <c r="E5063"/>
      <c r="G5063"/>
      <c r="H5063"/>
      <c r="I5063"/>
      <c r="K5063"/>
      <c r="O5063"/>
      <c r="R5063"/>
      <c r="W5063" s="4"/>
      <c r="X5063" s="4"/>
      <c r="Y5063" s="4"/>
    </row>
    <row r="5064" spans="5:25">
      <c r="E5064"/>
      <c r="G5064"/>
      <c r="H5064"/>
      <c r="I5064"/>
      <c r="K5064"/>
      <c r="O5064"/>
      <c r="R5064"/>
      <c r="W5064" s="4"/>
      <c r="X5064" s="4"/>
      <c r="Y5064" s="4"/>
    </row>
    <row r="5065" spans="5:25">
      <c r="E5065"/>
      <c r="G5065"/>
      <c r="H5065"/>
      <c r="I5065"/>
      <c r="K5065"/>
      <c r="O5065"/>
      <c r="R5065"/>
      <c r="W5065" s="4"/>
      <c r="X5065" s="4"/>
      <c r="Y5065" s="4"/>
    </row>
    <row r="5066" spans="5:25">
      <c r="E5066"/>
      <c r="G5066"/>
      <c r="H5066"/>
      <c r="I5066"/>
      <c r="K5066"/>
      <c r="O5066"/>
      <c r="R5066"/>
      <c r="W5066" s="4"/>
      <c r="X5066" s="4"/>
      <c r="Y5066" s="4"/>
    </row>
    <row r="5067" spans="5:25">
      <c r="E5067"/>
      <c r="G5067"/>
      <c r="H5067"/>
      <c r="I5067"/>
      <c r="K5067"/>
      <c r="O5067"/>
      <c r="R5067"/>
      <c r="W5067" s="4"/>
      <c r="X5067" s="4"/>
      <c r="Y5067" s="4"/>
    </row>
    <row r="5068" spans="5:25">
      <c r="E5068"/>
      <c r="G5068"/>
      <c r="H5068"/>
      <c r="I5068"/>
      <c r="K5068"/>
      <c r="O5068"/>
      <c r="R5068"/>
      <c r="W5068" s="4"/>
      <c r="X5068" s="4"/>
      <c r="Y5068" s="4"/>
    </row>
    <row r="5069" spans="5:25">
      <c r="E5069"/>
      <c r="G5069"/>
      <c r="H5069"/>
      <c r="I5069"/>
      <c r="K5069"/>
      <c r="O5069"/>
      <c r="R5069"/>
      <c r="W5069" s="4"/>
      <c r="X5069" s="4"/>
      <c r="Y5069" s="4"/>
    </row>
    <row r="5070" spans="5:25">
      <c r="E5070"/>
      <c r="G5070"/>
      <c r="H5070"/>
      <c r="I5070"/>
      <c r="K5070"/>
      <c r="O5070"/>
      <c r="R5070"/>
      <c r="W5070" s="4"/>
      <c r="X5070" s="4"/>
      <c r="Y5070" s="4"/>
    </row>
    <row r="5071" spans="5:25">
      <c r="E5071"/>
      <c r="G5071"/>
      <c r="H5071"/>
      <c r="I5071"/>
      <c r="K5071"/>
      <c r="O5071"/>
      <c r="R5071"/>
      <c r="W5071" s="4"/>
      <c r="X5071" s="4"/>
      <c r="Y5071" s="4"/>
    </row>
    <row r="5072" spans="5:25">
      <c r="E5072"/>
      <c r="G5072"/>
      <c r="H5072"/>
      <c r="I5072"/>
      <c r="K5072"/>
      <c r="O5072"/>
      <c r="R5072"/>
      <c r="W5072" s="4"/>
      <c r="X5072" s="4"/>
      <c r="Y5072" s="4"/>
    </row>
    <row r="5073" spans="5:25">
      <c r="E5073"/>
      <c r="G5073"/>
      <c r="H5073"/>
      <c r="I5073"/>
      <c r="K5073"/>
      <c r="O5073"/>
      <c r="R5073"/>
      <c r="W5073" s="4"/>
      <c r="X5073" s="4"/>
      <c r="Y5073" s="4"/>
    </row>
    <row r="5074" spans="5:25">
      <c r="E5074"/>
      <c r="G5074"/>
      <c r="H5074"/>
      <c r="I5074"/>
      <c r="K5074"/>
      <c r="O5074"/>
      <c r="R5074"/>
      <c r="W5074" s="4"/>
      <c r="X5074" s="4"/>
      <c r="Y5074" s="4"/>
    </row>
    <row r="5075" spans="5:25">
      <c r="E5075"/>
      <c r="G5075"/>
      <c r="H5075"/>
      <c r="I5075"/>
      <c r="K5075"/>
      <c r="O5075"/>
      <c r="R5075"/>
      <c r="W5075" s="4"/>
      <c r="X5075" s="4"/>
      <c r="Y5075" s="4"/>
    </row>
    <row r="5076" spans="5:25">
      <c r="E5076"/>
      <c r="G5076"/>
      <c r="H5076"/>
      <c r="I5076"/>
      <c r="K5076"/>
      <c r="O5076"/>
      <c r="R5076"/>
      <c r="W5076" s="4"/>
      <c r="X5076" s="4"/>
      <c r="Y5076" s="4"/>
    </row>
    <row r="5077" spans="5:25">
      <c r="E5077"/>
      <c r="G5077"/>
      <c r="H5077"/>
      <c r="I5077"/>
      <c r="K5077"/>
      <c r="O5077"/>
      <c r="R5077"/>
      <c r="W5077" s="4"/>
      <c r="X5077" s="4"/>
      <c r="Y5077" s="4"/>
    </row>
    <row r="5078" spans="5:25">
      <c r="E5078"/>
      <c r="G5078"/>
      <c r="H5078"/>
      <c r="I5078"/>
      <c r="K5078"/>
      <c r="O5078"/>
      <c r="R5078"/>
      <c r="W5078" s="4"/>
      <c r="X5078" s="4"/>
      <c r="Y5078" s="4"/>
    </row>
    <row r="5079" spans="5:25">
      <c r="E5079"/>
      <c r="G5079"/>
      <c r="H5079"/>
      <c r="I5079"/>
      <c r="K5079"/>
      <c r="O5079"/>
      <c r="R5079"/>
      <c r="W5079" s="4"/>
      <c r="X5079" s="4"/>
      <c r="Y5079" s="4"/>
    </row>
    <row r="5080" spans="5:25">
      <c r="E5080"/>
      <c r="G5080"/>
      <c r="H5080"/>
      <c r="I5080"/>
      <c r="K5080"/>
      <c r="O5080"/>
      <c r="R5080"/>
      <c r="W5080" s="4"/>
      <c r="X5080" s="4"/>
      <c r="Y5080" s="4"/>
    </row>
    <row r="5081" spans="5:25">
      <c r="E5081"/>
      <c r="G5081"/>
      <c r="H5081"/>
      <c r="I5081"/>
      <c r="K5081"/>
      <c r="O5081"/>
      <c r="R5081"/>
      <c r="W5081" s="4"/>
      <c r="X5081" s="4"/>
      <c r="Y5081" s="4"/>
    </row>
    <row r="5082" spans="5:25">
      <c r="E5082"/>
      <c r="G5082"/>
      <c r="H5082"/>
      <c r="I5082"/>
      <c r="K5082"/>
      <c r="O5082"/>
      <c r="R5082"/>
      <c r="W5082" s="4"/>
      <c r="X5082" s="4"/>
      <c r="Y5082" s="4"/>
    </row>
    <row r="5083" spans="5:25">
      <c r="E5083"/>
      <c r="G5083"/>
      <c r="H5083"/>
      <c r="I5083"/>
      <c r="K5083"/>
      <c r="O5083"/>
      <c r="R5083"/>
      <c r="W5083" s="4"/>
      <c r="X5083" s="4"/>
      <c r="Y5083" s="4"/>
    </row>
    <row r="5084" spans="5:25">
      <c r="E5084"/>
      <c r="G5084"/>
      <c r="H5084"/>
      <c r="I5084"/>
      <c r="K5084"/>
      <c r="O5084"/>
      <c r="R5084"/>
      <c r="W5084" s="4"/>
      <c r="X5084" s="4"/>
      <c r="Y5084" s="4"/>
    </row>
    <row r="5085" spans="5:25">
      <c r="E5085"/>
      <c r="G5085"/>
      <c r="H5085"/>
      <c r="I5085"/>
      <c r="K5085"/>
      <c r="O5085"/>
      <c r="R5085"/>
      <c r="W5085" s="4"/>
      <c r="X5085" s="4"/>
      <c r="Y5085" s="4"/>
    </row>
    <row r="5086" spans="5:25">
      <c r="E5086"/>
      <c r="G5086"/>
      <c r="H5086"/>
      <c r="I5086"/>
      <c r="K5086"/>
      <c r="O5086"/>
      <c r="R5086"/>
      <c r="W5086" s="4"/>
      <c r="X5086" s="4"/>
      <c r="Y5086" s="4"/>
    </row>
    <row r="5087" spans="5:25">
      <c r="E5087"/>
      <c r="G5087"/>
      <c r="H5087"/>
      <c r="I5087"/>
      <c r="K5087"/>
      <c r="O5087"/>
      <c r="R5087"/>
      <c r="W5087" s="4"/>
      <c r="X5087" s="4"/>
      <c r="Y5087" s="4"/>
    </row>
    <row r="5088" spans="5:25">
      <c r="E5088"/>
      <c r="G5088"/>
      <c r="H5088"/>
      <c r="I5088"/>
      <c r="K5088"/>
      <c r="O5088"/>
      <c r="R5088"/>
      <c r="W5088" s="4"/>
      <c r="X5088" s="4"/>
      <c r="Y5088" s="4"/>
    </row>
    <row r="5089" spans="5:25">
      <c r="E5089"/>
      <c r="G5089"/>
      <c r="H5089"/>
      <c r="I5089"/>
      <c r="K5089"/>
      <c r="O5089"/>
      <c r="R5089"/>
      <c r="W5089" s="4"/>
      <c r="X5089" s="4"/>
      <c r="Y5089" s="4"/>
    </row>
    <row r="5090" spans="5:25">
      <c r="E5090"/>
      <c r="G5090"/>
      <c r="H5090"/>
      <c r="I5090"/>
      <c r="K5090"/>
      <c r="O5090"/>
      <c r="R5090"/>
      <c r="W5090" s="4"/>
      <c r="X5090" s="4"/>
      <c r="Y5090" s="4"/>
    </row>
    <row r="5091" spans="5:25">
      <c r="E5091"/>
      <c r="G5091"/>
      <c r="H5091"/>
      <c r="I5091"/>
      <c r="K5091"/>
      <c r="O5091"/>
      <c r="R5091"/>
      <c r="W5091" s="4"/>
      <c r="X5091" s="4"/>
      <c r="Y5091" s="4"/>
    </row>
    <row r="5092" spans="5:25">
      <c r="E5092"/>
      <c r="G5092"/>
      <c r="H5092"/>
      <c r="I5092"/>
      <c r="K5092"/>
      <c r="O5092"/>
      <c r="R5092"/>
      <c r="W5092" s="4"/>
      <c r="X5092" s="4"/>
      <c r="Y5092" s="4"/>
    </row>
    <row r="5093" spans="5:25">
      <c r="E5093"/>
      <c r="G5093"/>
      <c r="H5093"/>
      <c r="I5093"/>
      <c r="K5093"/>
      <c r="O5093"/>
      <c r="R5093"/>
      <c r="W5093" s="4"/>
      <c r="X5093" s="4"/>
      <c r="Y5093" s="4"/>
    </row>
    <row r="5094" spans="5:25">
      <c r="E5094"/>
      <c r="G5094"/>
      <c r="H5094"/>
      <c r="I5094"/>
      <c r="K5094"/>
      <c r="O5094"/>
      <c r="R5094"/>
      <c r="W5094" s="4"/>
      <c r="X5094" s="4"/>
      <c r="Y5094" s="4"/>
    </row>
    <row r="5095" spans="5:25">
      <c r="E5095"/>
      <c r="G5095"/>
      <c r="H5095"/>
      <c r="I5095"/>
      <c r="K5095"/>
      <c r="O5095"/>
      <c r="R5095"/>
      <c r="W5095" s="4"/>
      <c r="X5095" s="4"/>
      <c r="Y5095" s="4"/>
    </row>
    <row r="5096" spans="5:25">
      <c r="E5096"/>
      <c r="G5096"/>
      <c r="H5096"/>
      <c r="I5096"/>
      <c r="K5096"/>
      <c r="O5096"/>
      <c r="R5096"/>
      <c r="W5096" s="4"/>
      <c r="X5096" s="4"/>
      <c r="Y5096" s="4"/>
    </row>
    <row r="5097" spans="5:25">
      <c r="E5097"/>
      <c r="G5097"/>
      <c r="H5097"/>
      <c r="I5097"/>
      <c r="K5097"/>
      <c r="O5097"/>
      <c r="R5097"/>
      <c r="W5097" s="4"/>
      <c r="X5097" s="4"/>
      <c r="Y5097" s="4"/>
    </row>
    <row r="5098" spans="5:25">
      <c r="E5098"/>
      <c r="G5098"/>
      <c r="H5098"/>
      <c r="I5098"/>
      <c r="K5098"/>
      <c r="O5098"/>
      <c r="R5098"/>
      <c r="W5098" s="4"/>
      <c r="X5098" s="4"/>
      <c r="Y5098" s="4"/>
    </row>
    <row r="5099" spans="5:25">
      <c r="E5099"/>
      <c r="G5099"/>
      <c r="H5099"/>
      <c r="I5099"/>
      <c r="K5099"/>
      <c r="O5099"/>
      <c r="R5099"/>
      <c r="W5099" s="4"/>
      <c r="X5099" s="4"/>
      <c r="Y5099" s="4"/>
    </row>
    <row r="5100" spans="5:25">
      <c r="E5100"/>
      <c r="G5100"/>
      <c r="H5100"/>
      <c r="I5100"/>
      <c r="K5100"/>
      <c r="O5100"/>
      <c r="R5100"/>
      <c r="W5100" s="4"/>
      <c r="X5100" s="4"/>
      <c r="Y5100" s="4"/>
    </row>
    <row r="5101" spans="5:25">
      <c r="E5101"/>
      <c r="G5101"/>
      <c r="H5101"/>
      <c r="I5101"/>
      <c r="K5101"/>
      <c r="O5101"/>
      <c r="R5101"/>
      <c r="W5101" s="4"/>
      <c r="X5101" s="4"/>
      <c r="Y5101" s="4"/>
    </row>
    <row r="5102" spans="5:25">
      <c r="E5102"/>
      <c r="G5102"/>
      <c r="H5102"/>
      <c r="I5102"/>
      <c r="K5102"/>
      <c r="O5102"/>
      <c r="R5102"/>
      <c r="W5102" s="4"/>
      <c r="X5102" s="4"/>
      <c r="Y5102" s="4"/>
    </row>
    <row r="5103" spans="5:25">
      <c r="E5103"/>
      <c r="G5103"/>
      <c r="H5103"/>
      <c r="I5103"/>
      <c r="K5103"/>
      <c r="O5103"/>
      <c r="R5103"/>
      <c r="W5103" s="4"/>
      <c r="X5103" s="4"/>
      <c r="Y5103" s="4"/>
    </row>
    <row r="5104" spans="5:25">
      <c r="E5104"/>
      <c r="G5104"/>
      <c r="H5104"/>
      <c r="I5104"/>
      <c r="K5104"/>
      <c r="O5104"/>
      <c r="R5104"/>
      <c r="W5104" s="4"/>
      <c r="X5104" s="4"/>
      <c r="Y5104" s="4"/>
    </row>
    <row r="5105" spans="5:25">
      <c r="E5105"/>
      <c r="G5105"/>
      <c r="H5105"/>
      <c r="I5105"/>
      <c r="K5105"/>
      <c r="O5105"/>
      <c r="R5105"/>
      <c r="W5105" s="4"/>
      <c r="X5105" s="4"/>
      <c r="Y5105" s="4"/>
    </row>
    <row r="5106" spans="5:25">
      <c r="E5106"/>
      <c r="G5106"/>
      <c r="H5106"/>
      <c r="I5106"/>
      <c r="K5106"/>
      <c r="O5106"/>
      <c r="R5106"/>
      <c r="W5106" s="4"/>
      <c r="X5106" s="4"/>
      <c r="Y5106" s="4"/>
    </row>
    <row r="5107" spans="5:25">
      <c r="E5107"/>
      <c r="G5107"/>
      <c r="H5107"/>
      <c r="I5107"/>
      <c r="K5107"/>
      <c r="O5107"/>
      <c r="R5107"/>
      <c r="W5107" s="4"/>
      <c r="X5107" s="4"/>
      <c r="Y5107" s="4"/>
    </row>
    <row r="5108" spans="5:25">
      <c r="E5108"/>
      <c r="G5108"/>
      <c r="H5108"/>
      <c r="I5108"/>
      <c r="K5108"/>
      <c r="O5108"/>
      <c r="R5108"/>
      <c r="W5108" s="4"/>
      <c r="X5108" s="4"/>
      <c r="Y5108" s="4"/>
    </row>
    <row r="5109" spans="5:25">
      <c r="E5109"/>
      <c r="G5109"/>
      <c r="H5109"/>
      <c r="I5109"/>
      <c r="K5109"/>
      <c r="O5109"/>
      <c r="R5109"/>
      <c r="W5109" s="4"/>
      <c r="X5109" s="4"/>
      <c r="Y5109" s="4"/>
    </row>
    <row r="5110" spans="5:25">
      <c r="E5110"/>
      <c r="G5110"/>
      <c r="H5110"/>
      <c r="I5110"/>
      <c r="K5110"/>
      <c r="O5110"/>
      <c r="R5110"/>
      <c r="W5110" s="4"/>
      <c r="X5110" s="4"/>
      <c r="Y5110" s="4"/>
    </row>
    <row r="5111" spans="5:25">
      <c r="E5111"/>
      <c r="G5111"/>
      <c r="H5111"/>
      <c r="I5111"/>
      <c r="K5111"/>
      <c r="O5111"/>
      <c r="R5111"/>
      <c r="W5111" s="4"/>
      <c r="X5111" s="4"/>
      <c r="Y5111" s="4"/>
    </row>
    <row r="5112" spans="5:25">
      <c r="E5112"/>
      <c r="G5112"/>
      <c r="H5112"/>
      <c r="I5112"/>
      <c r="K5112"/>
      <c r="O5112"/>
      <c r="R5112"/>
      <c r="W5112" s="4"/>
      <c r="X5112" s="4"/>
      <c r="Y5112" s="4"/>
    </row>
    <row r="5113" spans="5:25">
      <c r="E5113"/>
      <c r="G5113"/>
      <c r="H5113"/>
      <c r="I5113"/>
      <c r="K5113"/>
      <c r="O5113"/>
      <c r="R5113"/>
      <c r="W5113" s="4"/>
      <c r="X5113" s="4"/>
      <c r="Y5113" s="4"/>
    </row>
    <row r="5114" spans="5:25">
      <c r="E5114"/>
      <c r="G5114"/>
      <c r="H5114"/>
      <c r="I5114"/>
      <c r="K5114"/>
      <c r="O5114"/>
      <c r="R5114"/>
      <c r="W5114" s="4"/>
      <c r="X5114" s="4"/>
      <c r="Y5114" s="4"/>
    </row>
    <row r="5115" spans="5:25">
      <c r="E5115"/>
      <c r="G5115"/>
      <c r="H5115"/>
      <c r="I5115"/>
      <c r="K5115"/>
      <c r="O5115"/>
      <c r="R5115"/>
      <c r="W5115" s="4"/>
      <c r="X5115" s="4"/>
      <c r="Y5115" s="4"/>
    </row>
    <row r="5116" spans="5:25">
      <c r="E5116"/>
      <c r="G5116"/>
      <c r="H5116"/>
      <c r="I5116"/>
      <c r="K5116"/>
      <c r="O5116"/>
      <c r="R5116"/>
      <c r="W5116" s="4"/>
      <c r="X5116" s="4"/>
      <c r="Y5116" s="4"/>
    </row>
    <row r="5117" spans="5:25">
      <c r="E5117"/>
      <c r="G5117"/>
      <c r="H5117"/>
      <c r="I5117"/>
      <c r="K5117"/>
      <c r="O5117"/>
      <c r="R5117"/>
      <c r="W5117" s="4"/>
      <c r="X5117" s="4"/>
      <c r="Y5117" s="4"/>
    </row>
    <row r="5118" spans="5:25">
      <c r="E5118"/>
      <c r="G5118"/>
      <c r="H5118"/>
      <c r="I5118"/>
      <c r="K5118"/>
      <c r="O5118"/>
      <c r="R5118"/>
      <c r="W5118" s="4"/>
      <c r="X5118" s="4"/>
      <c r="Y5118" s="4"/>
    </row>
    <row r="5119" spans="5:25">
      <c r="E5119"/>
      <c r="G5119"/>
      <c r="H5119"/>
      <c r="I5119"/>
      <c r="K5119"/>
      <c r="O5119"/>
      <c r="R5119"/>
      <c r="W5119" s="4"/>
      <c r="X5119" s="4"/>
      <c r="Y5119" s="4"/>
    </row>
    <row r="5120" spans="5:25">
      <c r="E5120"/>
      <c r="G5120"/>
      <c r="H5120"/>
      <c r="I5120"/>
      <c r="K5120"/>
      <c r="O5120"/>
      <c r="R5120"/>
      <c r="W5120" s="4"/>
      <c r="X5120" s="4"/>
      <c r="Y5120" s="4"/>
    </row>
    <row r="5121" spans="5:25">
      <c r="E5121"/>
      <c r="G5121"/>
      <c r="H5121"/>
      <c r="I5121"/>
      <c r="K5121"/>
      <c r="O5121"/>
      <c r="R5121"/>
      <c r="W5121" s="4"/>
      <c r="X5121" s="4"/>
      <c r="Y5121" s="4"/>
    </row>
    <row r="5122" spans="5:25">
      <c r="E5122"/>
      <c r="G5122"/>
      <c r="H5122"/>
      <c r="I5122"/>
      <c r="K5122"/>
      <c r="O5122"/>
      <c r="R5122"/>
      <c r="W5122" s="4"/>
      <c r="X5122" s="4"/>
      <c r="Y5122" s="4"/>
    </row>
    <row r="5123" spans="5:25">
      <c r="E5123"/>
      <c r="G5123"/>
      <c r="H5123"/>
      <c r="I5123"/>
      <c r="K5123"/>
      <c r="O5123"/>
      <c r="R5123"/>
      <c r="W5123" s="4"/>
      <c r="X5123" s="4"/>
      <c r="Y5123" s="4"/>
    </row>
    <row r="5124" spans="5:25">
      <c r="E5124"/>
      <c r="G5124"/>
      <c r="H5124"/>
      <c r="I5124"/>
      <c r="K5124"/>
      <c r="O5124"/>
      <c r="R5124"/>
      <c r="W5124" s="4"/>
      <c r="X5124" s="4"/>
      <c r="Y5124" s="4"/>
    </row>
    <row r="5125" spans="5:25">
      <c r="E5125"/>
      <c r="G5125"/>
      <c r="H5125"/>
      <c r="I5125"/>
      <c r="K5125"/>
      <c r="O5125"/>
      <c r="R5125"/>
      <c r="W5125" s="4"/>
      <c r="X5125" s="4"/>
      <c r="Y5125" s="4"/>
    </row>
    <row r="5126" spans="5:25">
      <c r="E5126"/>
      <c r="G5126"/>
      <c r="H5126"/>
      <c r="I5126"/>
      <c r="K5126"/>
      <c r="O5126"/>
      <c r="R5126"/>
      <c r="W5126" s="4"/>
      <c r="X5126" s="4"/>
      <c r="Y5126" s="4"/>
    </row>
    <row r="5127" spans="5:25">
      <c r="E5127"/>
      <c r="G5127"/>
      <c r="H5127"/>
      <c r="I5127"/>
      <c r="K5127"/>
      <c r="O5127"/>
      <c r="R5127"/>
      <c r="W5127" s="4"/>
      <c r="X5127" s="4"/>
      <c r="Y5127" s="4"/>
    </row>
    <row r="5128" spans="5:25">
      <c r="E5128"/>
      <c r="G5128"/>
      <c r="H5128"/>
      <c r="I5128"/>
      <c r="K5128"/>
      <c r="O5128"/>
      <c r="R5128"/>
      <c r="W5128" s="4"/>
      <c r="X5128" s="4"/>
      <c r="Y5128" s="4"/>
    </row>
    <row r="5129" spans="5:25">
      <c r="E5129"/>
      <c r="G5129"/>
      <c r="H5129"/>
      <c r="I5129"/>
      <c r="K5129"/>
      <c r="O5129"/>
      <c r="R5129"/>
      <c r="W5129" s="4"/>
      <c r="X5129" s="4"/>
      <c r="Y5129" s="4"/>
    </row>
    <row r="5130" spans="5:25">
      <c r="E5130"/>
      <c r="G5130"/>
      <c r="H5130"/>
      <c r="I5130"/>
      <c r="K5130"/>
      <c r="O5130"/>
      <c r="R5130"/>
      <c r="W5130" s="4"/>
      <c r="X5130" s="4"/>
      <c r="Y5130" s="4"/>
    </row>
    <row r="5131" spans="5:25">
      <c r="E5131"/>
      <c r="G5131"/>
      <c r="H5131"/>
      <c r="I5131"/>
      <c r="K5131"/>
      <c r="O5131"/>
      <c r="R5131"/>
      <c r="W5131" s="4"/>
      <c r="X5131" s="4"/>
      <c r="Y5131" s="4"/>
    </row>
    <row r="5132" spans="5:25">
      <c r="E5132"/>
      <c r="G5132"/>
      <c r="H5132"/>
      <c r="I5132"/>
      <c r="K5132"/>
      <c r="O5132"/>
      <c r="R5132"/>
      <c r="W5132" s="4"/>
      <c r="X5132" s="4"/>
      <c r="Y5132" s="4"/>
    </row>
    <row r="5133" spans="5:25">
      <c r="E5133"/>
      <c r="G5133"/>
      <c r="H5133"/>
      <c r="I5133"/>
      <c r="K5133"/>
      <c r="O5133"/>
      <c r="R5133"/>
      <c r="W5133" s="4"/>
      <c r="X5133" s="4"/>
      <c r="Y5133" s="4"/>
    </row>
    <row r="5134" spans="5:25">
      <c r="E5134"/>
      <c r="G5134"/>
      <c r="H5134"/>
      <c r="I5134"/>
      <c r="K5134"/>
      <c r="O5134"/>
      <c r="R5134"/>
      <c r="W5134" s="4"/>
      <c r="X5134" s="4"/>
      <c r="Y5134" s="4"/>
    </row>
    <row r="5135" spans="5:25">
      <c r="E5135"/>
      <c r="G5135"/>
      <c r="H5135"/>
      <c r="I5135"/>
      <c r="K5135"/>
      <c r="O5135"/>
      <c r="R5135"/>
      <c r="W5135" s="4"/>
      <c r="X5135" s="4"/>
      <c r="Y5135" s="4"/>
    </row>
    <row r="5136" spans="5:25">
      <c r="E5136"/>
      <c r="G5136"/>
      <c r="H5136"/>
      <c r="I5136"/>
      <c r="K5136"/>
      <c r="O5136"/>
      <c r="R5136"/>
      <c r="W5136" s="4"/>
      <c r="X5136" s="4"/>
      <c r="Y5136" s="4"/>
    </row>
    <row r="5137" spans="5:25">
      <c r="E5137"/>
      <c r="G5137"/>
      <c r="H5137"/>
      <c r="I5137"/>
      <c r="K5137"/>
      <c r="O5137"/>
      <c r="R5137"/>
      <c r="W5137" s="4"/>
      <c r="X5137" s="4"/>
      <c r="Y5137" s="4"/>
    </row>
    <row r="5138" spans="5:25">
      <c r="E5138"/>
      <c r="G5138"/>
      <c r="H5138"/>
      <c r="I5138"/>
      <c r="K5138"/>
      <c r="O5138"/>
      <c r="R5138"/>
      <c r="W5138" s="4"/>
      <c r="X5138" s="4"/>
      <c r="Y5138" s="4"/>
    </row>
    <row r="5139" spans="5:25">
      <c r="E5139"/>
      <c r="G5139"/>
      <c r="H5139"/>
      <c r="I5139"/>
      <c r="K5139"/>
      <c r="O5139"/>
      <c r="R5139"/>
      <c r="W5139" s="4"/>
      <c r="X5139" s="4"/>
      <c r="Y5139" s="4"/>
    </row>
    <row r="5140" spans="5:25">
      <c r="E5140"/>
      <c r="G5140"/>
      <c r="H5140"/>
      <c r="I5140"/>
      <c r="K5140"/>
      <c r="O5140"/>
      <c r="R5140"/>
      <c r="W5140" s="4"/>
      <c r="X5140" s="4"/>
      <c r="Y5140" s="4"/>
    </row>
    <row r="5141" spans="5:25">
      <c r="E5141"/>
      <c r="G5141"/>
      <c r="H5141"/>
      <c r="I5141"/>
      <c r="K5141"/>
      <c r="O5141"/>
      <c r="R5141"/>
      <c r="W5141" s="4"/>
      <c r="X5141" s="4"/>
      <c r="Y5141" s="4"/>
    </row>
    <row r="5142" spans="5:25">
      <c r="E5142"/>
      <c r="G5142"/>
      <c r="H5142"/>
      <c r="I5142"/>
      <c r="K5142"/>
      <c r="O5142"/>
      <c r="R5142"/>
      <c r="W5142" s="4"/>
      <c r="X5142" s="4"/>
      <c r="Y5142" s="4"/>
    </row>
    <row r="5143" spans="5:25">
      <c r="E5143"/>
      <c r="G5143"/>
      <c r="H5143"/>
      <c r="I5143"/>
      <c r="K5143"/>
      <c r="O5143"/>
      <c r="R5143"/>
      <c r="W5143" s="4"/>
      <c r="X5143" s="4"/>
      <c r="Y5143" s="4"/>
    </row>
    <row r="5144" spans="5:25">
      <c r="E5144"/>
      <c r="G5144"/>
      <c r="H5144"/>
      <c r="I5144"/>
      <c r="K5144"/>
      <c r="O5144"/>
      <c r="R5144"/>
      <c r="W5144" s="4"/>
      <c r="X5144" s="4"/>
      <c r="Y5144" s="4"/>
    </row>
    <row r="5145" spans="5:25">
      <c r="E5145"/>
      <c r="G5145"/>
      <c r="H5145"/>
      <c r="I5145"/>
      <c r="K5145"/>
      <c r="O5145"/>
      <c r="R5145"/>
      <c r="W5145" s="4"/>
      <c r="X5145" s="4"/>
      <c r="Y5145" s="4"/>
    </row>
    <row r="5146" spans="5:25">
      <c r="E5146"/>
      <c r="G5146"/>
      <c r="H5146"/>
      <c r="I5146"/>
      <c r="K5146"/>
      <c r="O5146"/>
      <c r="R5146"/>
      <c r="W5146" s="4"/>
      <c r="X5146" s="4"/>
      <c r="Y5146" s="4"/>
    </row>
    <row r="5147" spans="5:25">
      <c r="E5147"/>
      <c r="G5147"/>
      <c r="H5147"/>
      <c r="I5147"/>
      <c r="K5147"/>
      <c r="O5147"/>
      <c r="R5147"/>
      <c r="W5147" s="4"/>
      <c r="X5147" s="4"/>
      <c r="Y5147" s="4"/>
    </row>
    <row r="5148" spans="5:25">
      <c r="E5148"/>
      <c r="G5148"/>
      <c r="H5148"/>
      <c r="I5148"/>
      <c r="K5148"/>
      <c r="O5148"/>
      <c r="R5148"/>
      <c r="W5148" s="4"/>
      <c r="X5148" s="4"/>
      <c r="Y5148" s="4"/>
    </row>
    <row r="5149" spans="5:25">
      <c r="E5149"/>
      <c r="G5149"/>
      <c r="H5149"/>
      <c r="I5149"/>
      <c r="K5149"/>
      <c r="O5149"/>
      <c r="R5149"/>
      <c r="W5149" s="4"/>
      <c r="X5149" s="4"/>
      <c r="Y5149" s="4"/>
    </row>
    <row r="5150" spans="5:25">
      <c r="E5150"/>
      <c r="G5150"/>
      <c r="H5150"/>
      <c r="I5150"/>
      <c r="K5150"/>
      <c r="O5150"/>
      <c r="R5150"/>
      <c r="W5150" s="4"/>
      <c r="X5150" s="4"/>
      <c r="Y5150" s="4"/>
    </row>
    <row r="5151" spans="5:25">
      <c r="E5151"/>
      <c r="G5151"/>
      <c r="H5151"/>
      <c r="I5151"/>
      <c r="K5151"/>
      <c r="O5151"/>
      <c r="R5151"/>
      <c r="W5151" s="4"/>
      <c r="X5151" s="4"/>
      <c r="Y5151" s="4"/>
    </row>
    <row r="5152" spans="5:25">
      <c r="E5152"/>
      <c r="G5152"/>
      <c r="H5152"/>
      <c r="I5152"/>
      <c r="K5152"/>
      <c r="O5152"/>
      <c r="R5152"/>
      <c r="W5152" s="4"/>
      <c r="X5152" s="4"/>
      <c r="Y5152" s="4"/>
    </row>
    <row r="5153" spans="5:25">
      <c r="E5153"/>
      <c r="G5153"/>
      <c r="H5153"/>
      <c r="I5153"/>
      <c r="K5153"/>
      <c r="O5153"/>
      <c r="R5153"/>
      <c r="W5153" s="4"/>
      <c r="X5153" s="4"/>
      <c r="Y5153" s="4"/>
    </row>
    <row r="5154" spans="5:25">
      <c r="E5154"/>
      <c r="G5154"/>
      <c r="H5154"/>
      <c r="I5154"/>
      <c r="K5154"/>
      <c r="O5154"/>
      <c r="R5154"/>
      <c r="W5154" s="4"/>
      <c r="X5154" s="4"/>
      <c r="Y5154" s="4"/>
    </row>
    <row r="5155" spans="5:25">
      <c r="E5155"/>
      <c r="G5155"/>
      <c r="H5155"/>
      <c r="I5155"/>
      <c r="K5155"/>
      <c r="O5155"/>
      <c r="R5155"/>
      <c r="W5155" s="4"/>
      <c r="X5155" s="4"/>
      <c r="Y5155" s="4"/>
    </row>
    <row r="5156" spans="5:25">
      <c r="E5156"/>
      <c r="G5156"/>
      <c r="H5156"/>
      <c r="I5156"/>
      <c r="K5156"/>
      <c r="O5156"/>
      <c r="R5156"/>
      <c r="W5156" s="4"/>
      <c r="X5156" s="4"/>
      <c r="Y5156" s="4"/>
    </row>
    <row r="5157" spans="5:25">
      <c r="E5157"/>
      <c r="G5157"/>
      <c r="H5157"/>
      <c r="I5157"/>
      <c r="K5157"/>
      <c r="O5157"/>
      <c r="R5157"/>
      <c r="W5157" s="4"/>
      <c r="X5157" s="4"/>
      <c r="Y5157" s="4"/>
    </row>
    <row r="5158" spans="5:25">
      <c r="E5158"/>
      <c r="G5158"/>
      <c r="H5158"/>
      <c r="I5158"/>
      <c r="K5158"/>
      <c r="O5158"/>
      <c r="R5158"/>
      <c r="W5158" s="4"/>
      <c r="X5158" s="4"/>
      <c r="Y5158" s="4"/>
    </row>
    <row r="5159" spans="5:25">
      <c r="E5159"/>
      <c r="G5159"/>
      <c r="H5159"/>
      <c r="I5159"/>
      <c r="K5159"/>
      <c r="O5159"/>
      <c r="R5159"/>
      <c r="W5159" s="4"/>
      <c r="X5159" s="4"/>
      <c r="Y5159" s="4"/>
    </row>
    <row r="5160" spans="5:25">
      <c r="E5160"/>
      <c r="G5160"/>
      <c r="H5160"/>
      <c r="I5160"/>
      <c r="K5160"/>
      <c r="O5160"/>
      <c r="R5160"/>
      <c r="W5160" s="4"/>
      <c r="X5160" s="4"/>
      <c r="Y5160" s="4"/>
    </row>
    <row r="5161" spans="5:25">
      <c r="E5161"/>
      <c r="G5161"/>
      <c r="H5161"/>
      <c r="I5161"/>
      <c r="K5161"/>
      <c r="O5161"/>
      <c r="R5161"/>
      <c r="W5161" s="4"/>
      <c r="X5161" s="4"/>
      <c r="Y5161" s="4"/>
    </row>
    <row r="5162" spans="5:25">
      <c r="E5162"/>
      <c r="G5162"/>
      <c r="H5162"/>
      <c r="I5162"/>
      <c r="K5162"/>
      <c r="O5162"/>
      <c r="R5162"/>
      <c r="W5162" s="4"/>
      <c r="X5162" s="4"/>
      <c r="Y5162" s="4"/>
    </row>
    <row r="5163" spans="5:25">
      <c r="E5163"/>
      <c r="G5163"/>
      <c r="H5163"/>
      <c r="I5163"/>
      <c r="K5163"/>
      <c r="O5163"/>
      <c r="R5163"/>
      <c r="W5163" s="4"/>
      <c r="X5163" s="4"/>
      <c r="Y5163" s="4"/>
    </row>
    <row r="5164" spans="5:25">
      <c r="E5164"/>
      <c r="G5164"/>
      <c r="H5164"/>
      <c r="I5164"/>
      <c r="K5164"/>
      <c r="O5164"/>
      <c r="R5164"/>
      <c r="W5164" s="4"/>
      <c r="X5164" s="4"/>
      <c r="Y5164" s="4"/>
    </row>
    <row r="5165" spans="5:25">
      <c r="E5165"/>
      <c r="G5165"/>
      <c r="H5165"/>
      <c r="I5165"/>
      <c r="K5165"/>
      <c r="O5165"/>
      <c r="R5165"/>
      <c r="W5165" s="4"/>
      <c r="X5165" s="4"/>
      <c r="Y5165" s="4"/>
    </row>
    <row r="5166" spans="5:25">
      <c r="E5166"/>
      <c r="G5166"/>
      <c r="H5166"/>
      <c r="I5166"/>
      <c r="K5166"/>
      <c r="O5166"/>
      <c r="R5166"/>
      <c r="W5166" s="4"/>
      <c r="X5166" s="4"/>
      <c r="Y5166" s="4"/>
    </row>
    <row r="5167" spans="5:25">
      <c r="E5167"/>
      <c r="G5167"/>
      <c r="H5167"/>
      <c r="I5167"/>
      <c r="K5167"/>
      <c r="O5167"/>
      <c r="R5167"/>
      <c r="W5167" s="4"/>
      <c r="X5167" s="4"/>
      <c r="Y5167" s="4"/>
    </row>
    <row r="5168" spans="5:25">
      <c r="E5168"/>
      <c r="G5168"/>
      <c r="H5168"/>
      <c r="I5168"/>
      <c r="K5168"/>
      <c r="O5168"/>
      <c r="R5168"/>
      <c r="W5168" s="4"/>
      <c r="X5168" s="4"/>
      <c r="Y5168" s="4"/>
    </row>
    <row r="5169" spans="5:25">
      <c r="E5169"/>
      <c r="G5169"/>
      <c r="H5169"/>
      <c r="I5169"/>
      <c r="K5169"/>
      <c r="O5169"/>
      <c r="R5169"/>
      <c r="W5169" s="4"/>
      <c r="X5169" s="4"/>
      <c r="Y5169" s="4"/>
    </row>
    <row r="5170" spans="5:25">
      <c r="E5170"/>
      <c r="G5170"/>
      <c r="H5170"/>
      <c r="I5170"/>
      <c r="K5170"/>
      <c r="O5170"/>
      <c r="R5170"/>
      <c r="W5170" s="4"/>
      <c r="X5170" s="4"/>
      <c r="Y5170" s="4"/>
    </row>
    <row r="5171" spans="5:25">
      <c r="E5171"/>
      <c r="G5171"/>
      <c r="H5171"/>
      <c r="I5171"/>
      <c r="K5171"/>
      <c r="O5171"/>
      <c r="R5171"/>
      <c r="W5171" s="4"/>
      <c r="X5171" s="4"/>
      <c r="Y5171" s="4"/>
    </row>
    <row r="5172" spans="5:25">
      <c r="E5172"/>
      <c r="G5172"/>
      <c r="H5172"/>
      <c r="I5172"/>
      <c r="K5172"/>
      <c r="O5172"/>
      <c r="R5172"/>
      <c r="W5172" s="4"/>
      <c r="X5172" s="4"/>
      <c r="Y5172" s="4"/>
    </row>
    <row r="5173" spans="5:25">
      <c r="E5173"/>
      <c r="G5173"/>
      <c r="H5173"/>
      <c r="I5173"/>
      <c r="K5173"/>
      <c r="O5173"/>
      <c r="R5173"/>
      <c r="W5173" s="4"/>
      <c r="X5173" s="4"/>
      <c r="Y5173" s="4"/>
    </row>
    <row r="5174" spans="5:25">
      <c r="E5174"/>
      <c r="G5174"/>
      <c r="H5174"/>
      <c r="I5174"/>
      <c r="K5174"/>
      <c r="O5174"/>
      <c r="R5174"/>
      <c r="W5174" s="4"/>
      <c r="X5174" s="4"/>
      <c r="Y5174" s="4"/>
    </row>
    <row r="5175" spans="5:25">
      <c r="E5175"/>
      <c r="G5175"/>
      <c r="H5175"/>
      <c r="I5175"/>
      <c r="K5175"/>
      <c r="O5175"/>
      <c r="R5175"/>
      <c r="W5175" s="4"/>
      <c r="X5175" s="4"/>
      <c r="Y5175" s="4"/>
    </row>
    <row r="5176" spans="5:25">
      <c r="E5176"/>
      <c r="G5176"/>
      <c r="H5176"/>
      <c r="I5176"/>
      <c r="K5176"/>
      <c r="O5176"/>
      <c r="R5176"/>
      <c r="W5176" s="4"/>
      <c r="X5176" s="4"/>
      <c r="Y5176" s="4"/>
    </row>
    <row r="5177" spans="5:25">
      <c r="E5177"/>
      <c r="G5177"/>
      <c r="H5177"/>
      <c r="I5177"/>
      <c r="K5177"/>
      <c r="O5177"/>
      <c r="R5177"/>
      <c r="W5177" s="4"/>
      <c r="X5177" s="4"/>
      <c r="Y5177" s="4"/>
    </row>
    <row r="5178" spans="5:25">
      <c r="E5178"/>
      <c r="G5178"/>
      <c r="H5178"/>
      <c r="I5178"/>
      <c r="K5178"/>
      <c r="O5178"/>
      <c r="R5178"/>
      <c r="W5178" s="4"/>
      <c r="X5178" s="4"/>
      <c r="Y5178" s="4"/>
    </row>
    <row r="5179" spans="5:25">
      <c r="E5179"/>
      <c r="G5179"/>
      <c r="H5179"/>
      <c r="I5179"/>
      <c r="K5179"/>
      <c r="O5179"/>
      <c r="R5179"/>
      <c r="W5179" s="4"/>
      <c r="X5179" s="4"/>
      <c r="Y5179" s="4"/>
    </row>
    <row r="5180" spans="5:25">
      <c r="E5180"/>
      <c r="G5180"/>
      <c r="H5180"/>
      <c r="I5180"/>
      <c r="K5180"/>
      <c r="O5180"/>
      <c r="R5180"/>
      <c r="W5180" s="4"/>
      <c r="X5180" s="4"/>
      <c r="Y5180" s="4"/>
    </row>
    <row r="5181" spans="5:25">
      <c r="E5181"/>
      <c r="G5181"/>
      <c r="H5181"/>
      <c r="I5181"/>
      <c r="K5181"/>
      <c r="O5181"/>
      <c r="R5181"/>
      <c r="W5181" s="4"/>
      <c r="X5181" s="4"/>
      <c r="Y5181" s="4"/>
    </row>
    <row r="5182" spans="5:25">
      <c r="E5182"/>
      <c r="G5182"/>
      <c r="H5182"/>
      <c r="I5182"/>
      <c r="K5182"/>
      <c r="O5182"/>
      <c r="R5182"/>
      <c r="W5182" s="4"/>
      <c r="X5182" s="4"/>
      <c r="Y5182" s="4"/>
    </row>
    <row r="5183" spans="5:25">
      <c r="E5183"/>
      <c r="G5183"/>
      <c r="H5183"/>
      <c r="I5183"/>
      <c r="K5183"/>
      <c r="O5183"/>
      <c r="R5183"/>
      <c r="W5183" s="4"/>
      <c r="X5183" s="4"/>
      <c r="Y5183" s="4"/>
    </row>
    <row r="5184" spans="5:25">
      <c r="E5184"/>
      <c r="G5184"/>
      <c r="H5184"/>
      <c r="I5184"/>
      <c r="K5184"/>
      <c r="O5184"/>
      <c r="R5184"/>
      <c r="W5184" s="4"/>
      <c r="X5184" s="4"/>
      <c r="Y5184" s="4"/>
    </row>
    <row r="5185" spans="5:25">
      <c r="E5185"/>
      <c r="G5185"/>
      <c r="H5185"/>
      <c r="I5185"/>
      <c r="K5185"/>
      <c r="O5185"/>
      <c r="R5185"/>
      <c r="W5185" s="4"/>
      <c r="X5185" s="4"/>
      <c r="Y5185" s="4"/>
    </row>
    <row r="5186" spans="5:25">
      <c r="E5186"/>
      <c r="G5186"/>
      <c r="H5186"/>
      <c r="I5186"/>
      <c r="K5186"/>
      <c r="O5186"/>
      <c r="R5186"/>
      <c r="W5186" s="4"/>
      <c r="X5186" s="4"/>
      <c r="Y5186" s="4"/>
    </row>
    <row r="5187" spans="5:25">
      <c r="E5187"/>
      <c r="G5187"/>
      <c r="H5187"/>
      <c r="I5187"/>
      <c r="K5187"/>
      <c r="O5187"/>
      <c r="R5187"/>
      <c r="W5187" s="4"/>
      <c r="X5187" s="4"/>
      <c r="Y5187" s="4"/>
    </row>
    <row r="5188" spans="5:25">
      <c r="E5188"/>
      <c r="G5188"/>
      <c r="H5188"/>
      <c r="I5188"/>
      <c r="K5188"/>
      <c r="O5188"/>
      <c r="R5188"/>
      <c r="W5188" s="4"/>
      <c r="X5188" s="4"/>
      <c r="Y5188" s="4"/>
    </row>
    <row r="5189" spans="5:25">
      <c r="E5189"/>
      <c r="G5189"/>
      <c r="H5189"/>
      <c r="I5189"/>
      <c r="K5189"/>
      <c r="O5189"/>
      <c r="R5189"/>
      <c r="W5189" s="4"/>
      <c r="X5189" s="4"/>
      <c r="Y5189" s="4"/>
    </row>
    <row r="5190" spans="5:25">
      <c r="E5190"/>
      <c r="G5190"/>
      <c r="H5190"/>
      <c r="I5190"/>
      <c r="K5190"/>
      <c r="O5190"/>
      <c r="R5190"/>
      <c r="W5190" s="4"/>
      <c r="X5190" s="4"/>
      <c r="Y5190" s="4"/>
    </row>
    <row r="5191" spans="5:25">
      <c r="E5191"/>
      <c r="G5191"/>
      <c r="H5191"/>
      <c r="I5191"/>
      <c r="K5191"/>
      <c r="O5191"/>
      <c r="R5191"/>
      <c r="W5191" s="4"/>
      <c r="X5191" s="4"/>
      <c r="Y5191" s="4"/>
    </row>
    <row r="5192" spans="5:25">
      <c r="E5192"/>
      <c r="G5192"/>
      <c r="H5192"/>
      <c r="I5192"/>
      <c r="K5192"/>
      <c r="O5192"/>
      <c r="R5192"/>
      <c r="W5192" s="4"/>
      <c r="X5192" s="4"/>
      <c r="Y5192" s="4"/>
    </row>
    <row r="5193" spans="5:25">
      <c r="E5193"/>
      <c r="G5193"/>
      <c r="H5193"/>
      <c r="I5193"/>
      <c r="K5193"/>
      <c r="O5193"/>
      <c r="R5193"/>
      <c r="W5193" s="4"/>
      <c r="X5193" s="4"/>
      <c r="Y5193" s="4"/>
    </row>
    <row r="5194" spans="5:25">
      <c r="E5194"/>
      <c r="G5194"/>
      <c r="H5194"/>
      <c r="I5194"/>
      <c r="K5194"/>
      <c r="O5194"/>
      <c r="R5194"/>
      <c r="W5194" s="4"/>
      <c r="X5194" s="4"/>
      <c r="Y5194" s="4"/>
    </row>
    <row r="5195" spans="5:25">
      <c r="E5195"/>
      <c r="G5195"/>
      <c r="H5195"/>
      <c r="I5195"/>
      <c r="K5195"/>
      <c r="O5195"/>
      <c r="R5195"/>
      <c r="W5195" s="4"/>
      <c r="X5195" s="4"/>
      <c r="Y5195" s="4"/>
    </row>
    <row r="5196" spans="5:25">
      <c r="E5196"/>
      <c r="G5196"/>
      <c r="H5196"/>
      <c r="I5196"/>
      <c r="K5196"/>
      <c r="O5196"/>
      <c r="R5196"/>
      <c r="W5196" s="4"/>
      <c r="X5196" s="4"/>
      <c r="Y5196" s="4"/>
    </row>
    <row r="5197" spans="5:25">
      <c r="E5197"/>
      <c r="G5197"/>
      <c r="H5197"/>
      <c r="I5197"/>
      <c r="K5197"/>
      <c r="O5197"/>
      <c r="R5197"/>
      <c r="W5197" s="4"/>
      <c r="X5197" s="4"/>
      <c r="Y5197" s="4"/>
    </row>
    <row r="5198" spans="5:25">
      <c r="E5198"/>
      <c r="G5198"/>
      <c r="H5198"/>
      <c r="I5198"/>
      <c r="K5198"/>
      <c r="O5198"/>
      <c r="R5198"/>
      <c r="W5198" s="4"/>
      <c r="X5198" s="4"/>
      <c r="Y5198" s="4"/>
    </row>
    <row r="5199" spans="5:25">
      <c r="E5199"/>
      <c r="G5199"/>
      <c r="H5199"/>
      <c r="I5199"/>
      <c r="K5199"/>
      <c r="O5199"/>
      <c r="R5199"/>
      <c r="W5199" s="4"/>
      <c r="X5199" s="4"/>
      <c r="Y5199" s="4"/>
    </row>
    <row r="5200" spans="5:25">
      <c r="E5200"/>
      <c r="G5200"/>
      <c r="H5200"/>
      <c r="I5200"/>
      <c r="K5200"/>
      <c r="O5200"/>
      <c r="R5200"/>
      <c r="W5200" s="4"/>
      <c r="X5200" s="4"/>
      <c r="Y5200" s="4"/>
    </row>
    <row r="5201" spans="5:25">
      <c r="E5201"/>
      <c r="G5201"/>
      <c r="H5201"/>
      <c r="I5201"/>
      <c r="K5201"/>
      <c r="O5201"/>
      <c r="R5201"/>
      <c r="W5201" s="4"/>
      <c r="X5201" s="4"/>
      <c r="Y5201" s="4"/>
    </row>
    <row r="5202" spans="5:25">
      <c r="E5202"/>
      <c r="G5202"/>
      <c r="H5202"/>
      <c r="I5202"/>
      <c r="K5202"/>
      <c r="O5202"/>
      <c r="R5202"/>
      <c r="W5202" s="4"/>
      <c r="X5202" s="4"/>
      <c r="Y5202" s="4"/>
    </row>
    <row r="5203" spans="5:25">
      <c r="E5203"/>
      <c r="G5203"/>
      <c r="H5203"/>
      <c r="I5203"/>
      <c r="K5203"/>
      <c r="O5203"/>
      <c r="R5203"/>
      <c r="W5203" s="4"/>
      <c r="X5203" s="4"/>
      <c r="Y5203" s="4"/>
    </row>
    <row r="5204" spans="5:25">
      <c r="E5204"/>
      <c r="G5204"/>
      <c r="H5204"/>
      <c r="I5204"/>
      <c r="K5204"/>
      <c r="O5204"/>
      <c r="R5204"/>
      <c r="W5204" s="4"/>
      <c r="X5204" s="4"/>
      <c r="Y5204" s="4"/>
    </row>
    <row r="5205" spans="5:25">
      <c r="E5205"/>
      <c r="G5205"/>
      <c r="H5205"/>
      <c r="I5205"/>
      <c r="K5205"/>
      <c r="O5205"/>
      <c r="R5205"/>
      <c r="W5205" s="4"/>
      <c r="X5205" s="4"/>
      <c r="Y5205" s="4"/>
    </row>
    <row r="5206" spans="5:25">
      <c r="E5206"/>
      <c r="G5206"/>
      <c r="H5206"/>
      <c r="I5206"/>
      <c r="K5206"/>
      <c r="O5206"/>
      <c r="R5206"/>
      <c r="W5206" s="4"/>
      <c r="X5206" s="4"/>
      <c r="Y5206" s="4"/>
    </row>
    <row r="5207" spans="5:25">
      <c r="E5207"/>
      <c r="G5207"/>
      <c r="H5207"/>
      <c r="I5207"/>
      <c r="K5207"/>
      <c r="O5207"/>
      <c r="R5207"/>
      <c r="W5207" s="4"/>
      <c r="X5207" s="4"/>
      <c r="Y5207" s="4"/>
    </row>
    <row r="5208" spans="5:25">
      <c r="E5208"/>
      <c r="G5208"/>
      <c r="H5208"/>
      <c r="I5208"/>
      <c r="K5208"/>
      <c r="O5208"/>
      <c r="R5208"/>
      <c r="W5208" s="4"/>
      <c r="X5208" s="4"/>
      <c r="Y5208" s="4"/>
    </row>
    <row r="5209" spans="5:25">
      <c r="E5209"/>
      <c r="G5209"/>
      <c r="H5209"/>
      <c r="I5209"/>
      <c r="K5209"/>
      <c r="O5209"/>
      <c r="R5209"/>
      <c r="W5209" s="4"/>
      <c r="X5209" s="4"/>
      <c r="Y5209" s="4"/>
    </row>
    <row r="5210" spans="5:25">
      <c r="E5210"/>
      <c r="G5210"/>
      <c r="H5210"/>
      <c r="I5210"/>
      <c r="K5210"/>
      <c r="O5210"/>
      <c r="R5210"/>
      <c r="W5210" s="4"/>
      <c r="X5210" s="4"/>
      <c r="Y5210" s="4"/>
    </row>
    <row r="5211" spans="5:25">
      <c r="E5211"/>
      <c r="G5211"/>
      <c r="H5211"/>
      <c r="I5211"/>
      <c r="K5211"/>
      <c r="O5211"/>
      <c r="R5211"/>
      <c r="W5211" s="4"/>
      <c r="X5211" s="4"/>
      <c r="Y5211" s="4"/>
    </row>
    <row r="5212" spans="5:25">
      <c r="E5212"/>
      <c r="G5212"/>
      <c r="H5212"/>
      <c r="I5212"/>
      <c r="K5212"/>
      <c r="O5212"/>
      <c r="R5212"/>
      <c r="W5212" s="4"/>
      <c r="X5212" s="4"/>
      <c r="Y5212" s="4"/>
    </row>
    <row r="5213" spans="5:25">
      <c r="E5213"/>
      <c r="G5213"/>
      <c r="H5213"/>
      <c r="I5213"/>
      <c r="K5213"/>
      <c r="O5213"/>
      <c r="R5213"/>
      <c r="W5213" s="4"/>
      <c r="X5213" s="4"/>
      <c r="Y5213" s="4"/>
    </row>
    <row r="5214" spans="5:25">
      <c r="E5214"/>
      <c r="G5214"/>
      <c r="H5214"/>
      <c r="I5214"/>
      <c r="K5214"/>
      <c r="O5214"/>
      <c r="R5214"/>
      <c r="W5214" s="4"/>
      <c r="X5214" s="4"/>
      <c r="Y5214" s="4"/>
    </row>
    <row r="5215" spans="5:25">
      <c r="E5215"/>
      <c r="G5215"/>
      <c r="H5215"/>
      <c r="I5215"/>
      <c r="K5215"/>
      <c r="O5215"/>
      <c r="R5215"/>
      <c r="W5215" s="4"/>
      <c r="X5215" s="4"/>
      <c r="Y5215" s="4"/>
    </row>
    <row r="5216" spans="5:25">
      <c r="E5216"/>
      <c r="G5216"/>
      <c r="H5216"/>
      <c r="I5216"/>
      <c r="K5216"/>
      <c r="O5216"/>
      <c r="R5216"/>
      <c r="W5216" s="4"/>
      <c r="X5216" s="4"/>
      <c r="Y5216" s="4"/>
    </row>
    <row r="5217" spans="5:25">
      <c r="E5217"/>
      <c r="G5217"/>
      <c r="H5217"/>
      <c r="I5217"/>
      <c r="K5217"/>
      <c r="O5217"/>
      <c r="R5217"/>
      <c r="W5217" s="4"/>
      <c r="X5217" s="4"/>
      <c r="Y5217" s="4"/>
    </row>
    <row r="5218" spans="5:25">
      <c r="E5218"/>
      <c r="G5218"/>
      <c r="H5218"/>
      <c r="I5218"/>
      <c r="K5218"/>
      <c r="O5218"/>
      <c r="R5218"/>
      <c r="W5218" s="4"/>
      <c r="X5218" s="4"/>
      <c r="Y5218" s="4"/>
    </row>
    <row r="5219" spans="5:25">
      <c r="E5219"/>
      <c r="G5219"/>
      <c r="H5219"/>
      <c r="I5219"/>
      <c r="K5219"/>
      <c r="O5219"/>
      <c r="R5219"/>
      <c r="W5219" s="4"/>
      <c r="X5219" s="4"/>
      <c r="Y5219" s="4"/>
    </row>
    <row r="5220" spans="5:25">
      <c r="E5220"/>
      <c r="G5220"/>
      <c r="H5220"/>
      <c r="I5220"/>
      <c r="K5220"/>
      <c r="O5220"/>
      <c r="R5220"/>
      <c r="W5220" s="4"/>
      <c r="X5220" s="4"/>
      <c r="Y5220" s="4"/>
    </row>
    <row r="5221" spans="5:25">
      <c r="E5221"/>
      <c r="G5221"/>
      <c r="H5221"/>
      <c r="I5221"/>
      <c r="K5221"/>
      <c r="O5221"/>
      <c r="R5221"/>
      <c r="W5221" s="4"/>
      <c r="X5221" s="4"/>
      <c r="Y5221" s="4"/>
    </row>
    <row r="5222" spans="5:25">
      <c r="E5222"/>
      <c r="G5222"/>
      <c r="H5222"/>
      <c r="I5222"/>
      <c r="K5222"/>
      <c r="O5222"/>
      <c r="R5222"/>
      <c r="W5222" s="4"/>
      <c r="X5222" s="4"/>
      <c r="Y5222" s="4"/>
    </row>
    <row r="5223" spans="5:25">
      <c r="E5223"/>
      <c r="G5223"/>
      <c r="H5223"/>
      <c r="I5223"/>
      <c r="K5223"/>
      <c r="O5223"/>
      <c r="R5223"/>
      <c r="W5223" s="4"/>
      <c r="X5223" s="4"/>
      <c r="Y5223" s="4"/>
    </row>
    <row r="5224" spans="5:25">
      <c r="E5224"/>
      <c r="G5224"/>
      <c r="H5224"/>
      <c r="I5224"/>
      <c r="K5224"/>
      <c r="O5224"/>
      <c r="R5224"/>
      <c r="W5224" s="4"/>
      <c r="X5224" s="4"/>
      <c r="Y5224" s="4"/>
    </row>
    <row r="5225" spans="5:25">
      <c r="E5225"/>
      <c r="G5225"/>
      <c r="H5225"/>
      <c r="I5225"/>
      <c r="K5225"/>
      <c r="O5225"/>
      <c r="R5225"/>
      <c r="W5225" s="4"/>
      <c r="X5225" s="4"/>
      <c r="Y5225" s="4"/>
    </row>
    <row r="5226" spans="5:25">
      <c r="E5226"/>
      <c r="G5226"/>
      <c r="H5226"/>
      <c r="I5226"/>
      <c r="K5226"/>
      <c r="O5226"/>
      <c r="R5226"/>
      <c r="W5226" s="4"/>
      <c r="X5226" s="4"/>
      <c r="Y5226" s="4"/>
    </row>
    <row r="5227" spans="5:25">
      <c r="E5227"/>
      <c r="G5227"/>
      <c r="H5227"/>
      <c r="I5227"/>
      <c r="K5227"/>
      <c r="O5227"/>
      <c r="R5227"/>
      <c r="W5227" s="4"/>
      <c r="X5227" s="4"/>
      <c r="Y5227" s="4"/>
    </row>
    <row r="5228" spans="5:25">
      <c r="E5228"/>
      <c r="G5228"/>
      <c r="H5228"/>
      <c r="I5228"/>
      <c r="K5228"/>
      <c r="O5228"/>
      <c r="R5228"/>
      <c r="W5228" s="4"/>
      <c r="X5228" s="4"/>
      <c r="Y5228" s="4"/>
    </row>
    <row r="5229" spans="5:25">
      <c r="E5229"/>
      <c r="G5229"/>
      <c r="H5229"/>
      <c r="I5229"/>
      <c r="K5229"/>
      <c r="O5229"/>
      <c r="R5229"/>
      <c r="W5229" s="4"/>
      <c r="X5229" s="4"/>
      <c r="Y5229" s="4"/>
    </row>
    <row r="5230" spans="5:25">
      <c r="E5230"/>
      <c r="G5230"/>
      <c r="H5230"/>
      <c r="I5230"/>
      <c r="K5230"/>
      <c r="O5230"/>
      <c r="R5230"/>
      <c r="W5230" s="4"/>
      <c r="X5230" s="4"/>
      <c r="Y5230" s="4"/>
    </row>
    <row r="5231" spans="5:25">
      <c r="E5231"/>
      <c r="G5231"/>
      <c r="H5231"/>
      <c r="I5231"/>
      <c r="K5231"/>
      <c r="O5231"/>
      <c r="R5231"/>
      <c r="W5231" s="4"/>
      <c r="X5231" s="4"/>
      <c r="Y5231" s="4"/>
    </row>
    <row r="5232" spans="5:25">
      <c r="E5232"/>
      <c r="G5232"/>
      <c r="H5232"/>
      <c r="I5232"/>
      <c r="K5232"/>
      <c r="O5232"/>
      <c r="R5232"/>
      <c r="W5232" s="4"/>
      <c r="X5232" s="4"/>
      <c r="Y5232" s="4"/>
    </row>
    <row r="5233" spans="5:25">
      <c r="E5233"/>
      <c r="G5233"/>
      <c r="H5233"/>
      <c r="I5233"/>
      <c r="K5233"/>
      <c r="O5233"/>
      <c r="R5233"/>
      <c r="W5233" s="4"/>
      <c r="X5233" s="4"/>
      <c r="Y5233" s="4"/>
    </row>
    <row r="5234" spans="5:25">
      <c r="E5234"/>
      <c r="G5234"/>
      <c r="H5234"/>
      <c r="I5234"/>
      <c r="K5234"/>
      <c r="O5234"/>
      <c r="R5234"/>
      <c r="W5234" s="4"/>
      <c r="X5234" s="4"/>
      <c r="Y5234" s="4"/>
    </row>
    <row r="5235" spans="5:25">
      <c r="E5235"/>
      <c r="G5235"/>
      <c r="H5235"/>
      <c r="I5235"/>
      <c r="K5235"/>
      <c r="O5235"/>
      <c r="R5235"/>
      <c r="W5235" s="4"/>
      <c r="X5235" s="4"/>
      <c r="Y5235" s="4"/>
    </row>
    <row r="5236" spans="5:25">
      <c r="E5236"/>
      <c r="G5236"/>
      <c r="H5236"/>
      <c r="I5236"/>
      <c r="K5236"/>
      <c r="O5236"/>
      <c r="R5236"/>
      <c r="W5236" s="4"/>
      <c r="X5236" s="4"/>
      <c r="Y5236" s="4"/>
    </row>
    <row r="5237" spans="5:25">
      <c r="E5237"/>
      <c r="G5237"/>
      <c r="H5237"/>
      <c r="I5237"/>
      <c r="K5237"/>
      <c r="O5237"/>
      <c r="R5237"/>
      <c r="W5237" s="4"/>
      <c r="X5237" s="4"/>
      <c r="Y5237" s="4"/>
    </row>
    <row r="5238" spans="5:25">
      <c r="E5238"/>
      <c r="G5238"/>
      <c r="H5238"/>
      <c r="I5238"/>
      <c r="K5238"/>
      <c r="O5238"/>
      <c r="R5238"/>
      <c r="W5238" s="4"/>
      <c r="X5238" s="4"/>
      <c r="Y5238" s="4"/>
    </row>
    <row r="5239" spans="5:25">
      <c r="E5239"/>
      <c r="G5239"/>
      <c r="H5239"/>
      <c r="I5239"/>
      <c r="K5239"/>
      <c r="O5239"/>
      <c r="R5239"/>
      <c r="W5239" s="4"/>
      <c r="X5239" s="4"/>
      <c r="Y5239" s="4"/>
    </row>
    <row r="5240" spans="5:25">
      <c r="E5240"/>
      <c r="G5240"/>
      <c r="H5240"/>
      <c r="I5240"/>
      <c r="K5240"/>
      <c r="O5240"/>
      <c r="R5240"/>
      <c r="W5240" s="4"/>
      <c r="X5240" s="4"/>
      <c r="Y5240" s="4"/>
    </row>
    <row r="5241" spans="5:25">
      <c r="E5241"/>
      <c r="G5241"/>
      <c r="H5241"/>
      <c r="I5241"/>
      <c r="K5241"/>
      <c r="O5241"/>
      <c r="R5241"/>
      <c r="W5241" s="4"/>
      <c r="X5241" s="4"/>
      <c r="Y5241" s="4"/>
    </row>
    <row r="5242" spans="5:25">
      <c r="E5242"/>
      <c r="G5242"/>
      <c r="H5242"/>
      <c r="I5242"/>
      <c r="K5242"/>
      <c r="O5242"/>
      <c r="R5242"/>
      <c r="W5242" s="4"/>
      <c r="X5242" s="4"/>
      <c r="Y5242" s="4"/>
    </row>
    <row r="5243" spans="5:25">
      <c r="E5243"/>
      <c r="G5243"/>
      <c r="H5243"/>
      <c r="I5243"/>
      <c r="K5243"/>
      <c r="O5243"/>
      <c r="R5243"/>
      <c r="W5243" s="4"/>
      <c r="X5243" s="4"/>
      <c r="Y5243" s="4"/>
    </row>
    <row r="5244" spans="5:25">
      <c r="E5244"/>
      <c r="G5244"/>
      <c r="H5244"/>
      <c r="I5244"/>
      <c r="K5244"/>
      <c r="O5244"/>
      <c r="R5244"/>
      <c r="W5244" s="4"/>
      <c r="X5244" s="4"/>
      <c r="Y5244" s="4"/>
    </row>
    <row r="5245" spans="5:25">
      <c r="E5245"/>
      <c r="G5245"/>
      <c r="H5245"/>
      <c r="I5245"/>
      <c r="K5245"/>
      <c r="O5245"/>
      <c r="R5245"/>
      <c r="W5245" s="4"/>
      <c r="X5245" s="4"/>
      <c r="Y5245" s="4"/>
    </row>
    <row r="5246" spans="5:25">
      <c r="E5246"/>
      <c r="G5246"/>
      <c r="H5246"/>
      <c r="I5246"/>
      <c r="K5246"/>
      <c r="O5246"/>
      <c r="R5246"/>
      <c r="W5246" s="4"/>
      <c r="X5246" s="4"/>
      <c r="Y5246" s="4"/>
    </row>
    <row r="5247" spans="5:25">
      <c r="E5247"/>
      <c r="G5247"/>
      <c r="H5247"/>
      <c r="I5247"/>
      <c r="K5247"/>
      <c r="O5247"/>
      <c r="R5247"/>
      <c r="W5247" s="4"/>
      <c r="X5247" s="4"/>
      <c r="Y5247" s="4"/>
    </row>
    <row r="5248" spans="5:25">
      <c r="E5248"/>
      <c r="G5248"/>
      <c r="H5248"/>
      <c r="I5248"/>
      <c r="K5248"/>
      <c r="O5248"/>
      <c r="R5248"/>
      <c r="W5248" s="4"/>
      <c r="X5248" s="4"/>
      <c r="Y5248" s="4"/>
    </row>
    <row r="5249" spans="5:25">
      <c r="E5249"/>
      <c r="G5249"/>
      <c r="H5249"/>
      <c r="I5249"/>
      <c r="K5249"/>
      <c r="O5249"/>
      <c r="R5249"/>
      <c r="W5249" s="4"/>
      <c r="X5249" s="4"/>
      <c r="Y5249" s="4"/>
    </row>
    <row r="5250" spans="5:25">
      <c r="E5250"/>
      <c r="G5250"/>
      <c r="H5250"/>
      <c r="I5250"/>
      <c r="K5250"/>
      <c r="O5250"/>
      <c r="R5250"/>
      <c r="W5250" s="4"/>
      <c r="X5250" s="4"/>
      <c r="Y5250" s="4"/>
    </row>
    <row r="5251" spans="5:25">
      <c r="E5251"/>
      <c r="G5251"/>
      <c r="H5251"/>
      <c r="I5251"/>
      <c r="K5251"/>
      <c r="O5251"/>
      <c r="R5251"/>
      <c r="W5251" s="4"/>
      <c r="X5251" s="4"/>
      <c r="Y5251" s="4"/>
    </row>
    <row r="5252" spans="5:25">
      <c r="E5252"/>
      <c r="G5252"/>
      <c r="H5252"/>
      <c r="I5252"/>
      <c r="K5252"/>
      <c r="O5252"/>
      <c r="R5252"/>
      <c r="W5252" s="4"/>
      <c r="X5252" s="4"/>
      <c r="Y5252" s="4"/>
    </row>
    <row r="5253" spans="5:25">
      <c r="E5253"/>
      <c r="G5253"/>
      <c r="H5253"/>
      <c r="I5253"/>
      <c r="K5253"/>
      <c r="O5253"/>
      <c r="R5253"/>
      <c r="W5253" s="4"/>
      <c r="X5253" s="4"/>
      <c r="Y5253" s="4"/>
    </row>
    <row r="5254" spans="5:25">
      <c r="E5254"/>
      <c r="G5254"/>
      <c r="H5254"/>
      <c r="I5254"/>
      <c r="K5254"/>
      <c r="O5254"/>
      <c r="R5254"/>
      <c r="W5254" s="4"/>
      <c r="X5254" s="4"/>
      <c r="Y5254" s="4"/>
    </row>
    <row r="5255" spans="5:25">
      <c r="E5255"/>
      <c r="G5255"/>
      <c r="H5255"/>
      <c r="I5255"/>
      <c r="K5255"/>
      <c r="O5255"/>
      <c r="R5255"/>
      <c r="W5255" s="4"/>
      <c r="X5255" s="4"/>
      <c r="Y5255" s="4"/>
    </row>
    <row r="5256" spans="5:25">
      <c r="E5256"/>
      <c r="G5256"/>
      <c r="H5256"/>
      <c r="I5256"/>
      <c r="K5256"/>
      <c r="O5256"/>
      <c r="R5256"/>
      <c r="W5256" s="4"/>
      <c r="X5256" s="4"/>
      <c r="Y5256" s="4"/>
    </row>
    <row r="5257" spans="5:25">
      <c r="E5257"/>
      <c r="G5257"/>
      <c r="H5257"/>
      <c r="I5257"/>
      <c r="K5257"/>
      <c r="O5257"/>
      <c r="R5257"/>
      <c r="W5257" s="4"/>
      <c r="X5257" s="4"/>
      <c r="Y5257" s="4"/>
    </row>
    <row r="5258" spans="5:25">
      <c r="E5258"/>
      <c r="G5258"/>
      <c r="H5258"/>
      <c r="I5258"/>
      <c r="K5258"/>
      <c r="O5258"/>
      <c r="R5258"/>
      <c r="W5258" s="4"/>
      <c r="X5258" s="4"/>
      <c r="Y5258" s="4"/>
    </row>
    <row r="5259" spans="5:25">
      <c r="E5259"/>
      <c r="G5259"/>
      <c r="H5259"/>
      <c r="I5259"/>
      <c r="K5259"/>
      <c r="O5259"/>
      <c r="R5259"/>
      <c r="W5259" s="4"/>
      <c r="X5259" s="4"/>
      <c r="Y5259" s="4"/>
    </row>
    <row r="5260" spans="5:25">
      <c r="E5260"/>
      <c r="G5260"/>
      <c r="H5260"/>
      <c r="I5260"/>
      <c r="K5260"/>
      <c r="O5260"/>
      <c r="R5260"/>
      <c r="W5260" s="4"/>
      <c r="X5260" s="4"/>
      <c r="Y5260" s="4"/>
    </row>
    <row r="5261" spans="5:25">
      <c r="E5261"/>
      <c r="G5261"/>
      <c r="H5261"/>
      <c r="I5261"/>
      <c r="K5261"/>
      <c r="O5261"/>
      <c r="R5261"/>
      <c r="W5261" s="4"/>
      <c r="X5261" s="4"/>
      <c r="Y5261" s="4"/>
    </row>
    <row r="5262" spans="5:25">
      <c r="E5262"/>
      <c r="G5262"/>
      <c r="H5262"/>
      <c r="I5262"/>
      <c r="K5262"/>
      <c r="O5262"/>
      <c r="R5262"/>
      <c r="W5262" s="4"/>
      <c r="X5262" s="4"/>
      <c r="Y5262" s="4"/>
    </row>
    <row r="5263" spans="5:25">
      <c r="E5263"/>
      <c r="G5263"/>
      <c r="H5263"/>
      <c r="I5263"/>
      <c r="K5263"/>
      <c r="O5263"/>
      <c r="R5263"/>
      <c r="W5263" s="4"/>
      <c r="X5263" s="4"/>
      <c r="Y5263" s="4"/>
    </row>
    <row r="5264" spans="5:25">
      <c r="E5264"/>
      <c r="G5264"/>
      <c r="H5264"/>
      <c r="I5264"/>
      <c r="K5264"/>
      <c r="O5264"/>
      <c r="R5264"/>
      <c r="W5264" s="4"/>
      <c r="X5264" s="4"/>
      <c r="Y5264" s="4"/>
    </row>
    <row r="5265" spans="5:25">
      <c r="E5265"/>
      <c r="G5265"/>
      <c r="H5265"/>
      <c r="I5265"/>
      <c r="K5265"/>
      <c r="O5265"/>
      <c r="R5265"/>
      <c r="W5265" s="4"/>
      <c r="X5265" s="4"/>
      <c r="Y5265" s="4"/>
    </row>
    <row r="5266" spans="5:25">
      <c r="E5266"/>
      <c r="G5266"/>
      <c r="H5266"/>
      <c r="I5266"/>
      <c r="K5266"/>
      <c r="O5266"/>
      <c r="R5266"/>
      <c r="W5266" s="4"/>
      <c r="X5266" s="4"/>
      <c r="Y5266" s="4"/>
    </row>
    <row r="5267" spans="5:25">
      <c r="E5267"/>
      <c r="G5267"/>
      <c r="H5267"/>
      <c r="I5267"/>
      <c r="K5267"/>
      <c r="O5267"/>
      <c r="R5267"/>
      <c r="W5267" s="4"/>
      <c r="X5267" s="4"/>
      <c r="Y5267" s="4"/>
    </row>
    <row r="5268" spans="5:25">
      <c r="E5268"/>
      <c r="G5268"/>
      <c r="H5268"/>
      <c r="I5268"/>
      <c r="K5268"/>
      <c r="O5268"/>
      <c r="R5268"/>
      <c r="W5268" s="4"/>
      <c r="X5268" s="4"/>
      <c r="Y5268" s="4"/>
    </row>
    <row r="5269" spans="5:25">
      <c r="E5269"/>
      <c r="G5269"/>
      <c r="H5269"/>
      <c r="I5269"/>
      <c r="K5269"/>
      <c r="O5269"/>
      <c r="R5269"/>
      <c r="W5269" s="4"/>
      <c r="X5269" s="4"/>
      <c r="Y5269" s="4"/>
    </row>
    <row r="5270" spans="5:25">
      <c r="E5270"/>
      <c r="G5270"/>
      <c r="H5270"/>
      <c r="I5270"/>
      <c r="K5270"/>
      <c r="O5270"/>
      <c r="R5270"/>
      <c r="W5270" s="4"/>
      <c r="X5270" s="4"/>
      <c r="Y5270" s="4"/>
    </row>
    <row r="5271" spans="5:25">
      <c r="E5271"/>
      <c r="G5271"/>
      <c r="H5271"/>
      <c r="I5271"/>
      <c r="K5271"/>
      <c r="O5271"/>
      <c r="R5271"/>
      <c r="W5271" s="4"/>
      <c r="X5271" s="4"/>
      <c r="Y5271" s="4"/>
    </row>
    <row r="5272" spans="5:25">
      <c r="E5272"/>
      <c r="G5272"/>
      <c r="H5272"/>
      <c r="I5272"/>
      <c r="K5272"/>
      <c r="O5272"/>
      <c r="R5272"/>
      <c r="W5272" s="4"/>
      <c r="X5272" s="4"/>
      <c r="Y5272" s="4"/>
    </row>
    <row r="5273" spans="5:25">
      <c r="E5273"/>
      <c r="G5273"/>
      <c r="H5273"/>
      <c r="I5273"/>
      <c r="K5273"/>
      <c r="O5273"/>
      <c r="R5273"/>
      <c r="W5273" s="4"/>
      <c r="X5273" s="4"/>
      <c r="Y5273" s="4"/>
    </row>
    <row r="5274" spans="5:25">
      <c r="E5274"/>
      <c r="G5274"/>
      <c r="H5274"/>
      <c r="I5274"/>
      <c r="K5274"/>
      <c r="O5274"/>
      <c r="R5274"/>
      <c r="W5274" s="4"/>
      <c r="X5274" s="4"/>
      <c r="Y5274" s="4"/>
    </row>
    <row r="5275" spans="5:25">
      <c r="E5275"/>
      <c r="G5275"/>
      <c r="H5275"/>
      <c r="I5275"/>
      <c r="K5275"/>
      <c r="O5275"/>
      <c r="R5275"/>
      <c r="W5275" s="4"/>
      <c r="X5275" s="4"/>
      <c r="Y5275" s="4"/>
    </row>
    <row r="5276" spans="5:25">
      <c r="E5276"/>
      <c r="G5276"/>
      <c r="H5276"/>
      <c r="I5276"/>
      <c r="K5276"/>
      <c r="O5276"/>
      <c r="R5276"/>
      <c r="W5276" s="4"/>
      <c r="X5276" s="4"/>
      <c r="Y5276" s="4"/>
    </row>
    <row r="5277" spans="5:25">
      <c r="E5277"/>
      <c r="G5277"/>
      <c r="H5277"/>
      <c r="I5277"/>
      <c r="K5277"/>
      <c r="O5277"/>
      <c r="R5277"/>
      <c r="W5277" s="4"/>
      <c r="X5277" s="4"/>
      <c r="Y5277" s="4"/>
    </row>
    <row r="5278" spans="5:25">
      <c r="E5278"/>
      <c r="G5278"/>
      <c r="H5278"/>
      <c r="I5278"/>
      <c r="K5278"/>
      <c r="O5278"/>
      <c r="R5278"/>
      <c r="W5278" s="4"/>
      <c r="X5278" s="4"/>
      <c r="Y5278" s="4"/>
    </row>
    <row r="5279" spans="5:25">
      <c r="E5279"/>
      <c r="G5279"/>
      <c r="H5279"/>
      <c r="I5279"/>
      <c r="K5279"/>
      <c r="O5279"/>
      <c r="R5279"/>
      <c r="W5279" s="4"/>
      <c r="X5279" s="4"/>
      <c r="Y5279" s="4"/>
    </row>
    <row r="5280" spans="5:25">
      <c r="E5280"/>
      <c r="G5280"/>
      <c r="H5280"/>
      <c r="I5280"/>
      <c r="K5280"/>
      <c r="O5280"/>
      <c r="R5280"/>
      <c r="W5280" s="4"/>
      <c r="X5280" s="4"/>
      <c r="Y5280" s="4"/>
    </row>
    <row r="5281" spans="5:25">
      <c r="E5281"/>
      <c r="G5281"/>
      <c r="H5281"/>
      <c r="I5281"/>
      <c r="K5281"/>
      <c r="O5281"/>
      <c r="R5281"/>
      <c r="W5281" s="4"/>
      <c r="X5281" s="4"/>
      <c r="Y5281" s="4"/>
    </row>
    <row r="5282" spans="5:25">
      <c r="E5282"/>
      <c r="G5282"/>
      <c r="H5282"/>
      <c r="I5282"/>
      <c r="K5282"/>
      <c r="O5282"/>
      <c r="R5282"/>
      <c r="W5282" s="4"/>
      <c r="X5282" s="4"/>
      <c r="Y5282" s="4"/>
    </row>
    <row r="5283" spans="5:25">
      <c r="E5283"/>
      <c r="G5283"/>
      <c r="H5283"/>
      <c r="I5283"/>
      <c r="K5283"/>
      <c r="O5283"/>
      <c r="R5283"/>
      <c r="W5283" s="4"/>
      <c r="X5283" s="4"/>
      <c r="Y5283" s="4"/>
    </row>
    <row r="5284" spans="5:25">
      <c r="E5284"/>
      <c r="G5284"/>
      <c r="H5284"/>
      <c r="I5284"/>
      <c r="K5284"/>
      <c r="O5284"/>
      <c r="R5284"/>
      <c r="W5284" s="4"/>
      <c r="X5284" s="4"/>
      <c r="Y5284" s="4"/>
    </row>
    <row r="5285" spans="5:25">
      <c r="E5285"/>
      <c r="G5285"/>
      <c r="H5285"/>
      <c r="I5285"/>
      <c r="K5285"/>
      <c r="O5285"/>
      <c r="R5285"/>
      <c r="W5285" s="4"/>
      <c r="X5285" s="4"/>
      <c r="Y5285" s="4"/>
    </row>
    <row r="5286" spans="5:25">
      <c r="E5286"/>
      <c r="G5286"/>
      <c r="H5286"/>
      <c r="I5286"/>
      <c r="K5286"/>
      <c r="O5286"/>
      <c r="R5286"/>
      <c r="W5286" s="4"/>
      <c r="X5286" s="4"/>
      <c r="Y5286" s="4"/>
    </row>
    <row r="5287" spans="5:25">
      <c r="E5287"/>
      <c r="G5287"/>
      <c r="H5287"/>
      <c r="I5287"/>
      <c r="K5287"/>
      <c r="O5287"/>
      <c r="R5287"/>
      <c r="W5287" s="4"/>
      <c r="X5287" s="4"/>
      <c r="Y5287" s="4"/>
    </row>
    <row r="5288" spans="5:25">
      <c r="E5288"/>
      <c r="G5288"/>
      <c r="H5288"/>
      <c r="I5288"/>
      <c r="K5288"/>
      <c r="O5288"/>
      <c r="R5288"/>
      <c r="W5288" s="4"/>
      <c r="X5288" s="4"/>
      <c r="Y5288" s="4"/>
    </row>
    <row r="5289" spans="5:25">
      <c r="E5289"/>
      <c r="G5289"/>
      <c r="H5289"/>
      <c r="I5289"/>
      <c r="K5289"/>
      <c r="O5289"/>
      <c r="R5289"/>
      <c r="W5289" s="4"/>
      <c r="X5289" s="4"/>
      <c r="Y5289" s="4"/>
    </row>
    <row r="5290" spans="5:25">
      <c r="E5290"/>
      <c r="G5290"/>
      <c r="H5290"/>
      <c r="I5290"/>
      <c r="K5290"/>
      <c r="O5290"/>
      <c r="R5290"/>
      <c r="W5290" s="4"/>
      <c r="X5290" s="4"/>
      <c r="Y5290" s="4"/>
    </row>
    <row r="5291" spans="5:25">
      <c r="E5291"/>
      <c r="G5291"/>
      <c r="H5291"/>
      <c r="I5291"/>
      <c r="K5291"/>
      <c r="O5291"/>
      <c r="R5291"/>
      <c r="W5291" s="4"/>
      <c r="X5291" s="4"/>
      <c r="Y5291" s="4"/>
    </row>
    <row r="5292" spans="5:25">
      <c r="E5292"/>
      <c r="G5292"/>
      <c r="H5292"/>
      <c r="I5292"/>
      <c r="K5292"/>
      <c r="O5292"/>
      <c r="R5292"/>
      <c r="W5292" s="4"/>
      <c r="X5292" s="4"/>
      <c r="Y5292" s="4"/>
    </row>
    <row r="5293" spans="5:25">
      <c r="E5293"/>
      <c r="G5293"/>
      <c r="H5293"/>
      <c r="I5293"/>
      <c r="K5293"/>
      <c r="O5293"/>
      <c r="R5293"/>
      <c r="W5293" s="4"/>
      <c r="X5293" s="4"/>
      <c r="Y5293" s="4"/>
    </row>
    <row r="5294" spans="5:25">
      <c r="E5294"/>
      <c r="G5294"/>
      <c r="H5294"/>
      <c r="I5294"/>
      <c r="K5294"/>
      <c r="O5294"/>
      <c r="R5294"/>
      <c r="W5294" s="4"/>
      <c r="X5294" s="4"/>
      <c r="Y5294" s="4"/>
    </row>
    <row r="5295" spans="5:25">
      <c r="E5295"/>
      <c r="G5295"/>
      <c r="H5295"/>
      <c r="I5295"/>
      <c r="K5295"/>
      <c r="O5295"/>
      <c r="R5295"/>
      <c r="W5295" s="4"/>
      <c r="X5295" s="4"/>
      <c r="Y5295" s="4"/>
    </row>
    <row r="5296" spans="5:25">
      <c r="E5296"/>
      <c r="G5296"/>
      <c r="H5296"/>
      <c r="I5296"/>
      <c r="K5296"/>
      <c r="O5296"/>
      <c r="R5296"/>
      <c r="W5296" s="4"/>
      <c r="X5296" s="4"/>
      <c r="Y5296" s="4"/>
    </row>
    <row r="5297" spans="5:25">
      <c r="E5297"/>
      <c r="G5297"/>
      <c r="H5297"/>
      <c r="I5297"/>
      <c r="K5297"/>
      <c r="O5297"/>
      <c r="R5297"/>
      <c r="W5297" s="4"/>
      <c r="X5297" s="4"/>
      <c r="Y5297" s="4"/>
    </row>
    <row r="5298" spans="5:25">
      <c r="E5298"/>
      <c r="G5298"/>
      <c r="H5298"/>
      <c r="I5298"/>
      <c r="K5298"/>
      <c r="O5298"/>
      <c r="R5298"/>
      <c r="W5298" s="4"/>
      <c r="X5298" s="4"/>
      <c r="Y5298" s="4"/>
    </row>
    <row r="5299" spans="5:25">
      <c r="E5299"/>
      <c r="G5299"/>
      <c r="H5299"/>
      <c r="I5299"/>
      <c r="K5299"/>
      <c r="O5299"/>
      <c r="R5299"/>
      <c r="W5299" s="4"/>
      <c r="X5299" s="4"/>
      <c r="Y5299" s="4"/>
    </row>
    <row r="5300" spans="5:25">
      <c r="E5300"/>
      <c r="G5300"/>
      <c r="H5300"/>
      <c r="I5300"/>
      <c r="K5300"/>
      <c r="O5300"/>
      <c r="R5300"/>
      <c r="W5300" s="4"/>
      <c r="X5300" s="4"/>
      <c r="Y5300" s="4"/>
    </row>
    <row r="5301" spans="5:25">
      <c r="E5301"/>
      <c r="G5301"/>
      <c r="H5301"/>
      <c r="I5301"/>
      <c r="K5301"/>
      <c r="O5301"/>
      <c r="R5301"/>
      <c r="W5301" s="4"/>
      <c r="X5301" s="4"/>
      <c r="Y5301" s="4"/>
    </row>
    <row r="5302" spans="5:25">
      <c r="E5302"/>
      <c r="G5302"/>
      <c r="H5302"/>
      <c r="I5302"/>
      <c r="K5302"/>
      <c r="O5302"/>
      <c r="R5302"/>
      <c r="W5302" s="4"/>
      <c r="X5302" s="4"/>
      <c r="Y5302" s="4"/>
    </row>
    <row r="5303" spans="5:25">
      <c r="E5303"/>
      <c r="G5303"/>
      <c r="H5303"/>
      <c r="I5303"/>
      <c r="K5303"/>
      <c r="O5303"/>
      <c r="R5303"/>
      <c r="W5303" s="4"/>
      <c r="X5303" s="4"/>
      <c r="Y5303" s="4"/>
    </row>
    <row r="5304" spans="5:25">
      <c r="E5304"/>
      <c r="G5304"/>
      <c r="H5304"/>
      <c r="I5304"/>
      <c r="K5304"/>
      <c r="O5304"/>
      <c r="R5304"/>
      <c r="W5304" s="4"/>
      <c r="X5304" s="4"/>
      <c r="Y5304" s="4"/>
    </row>
    <row r="5305" spans="5:25">
      <c r="E5305"/>
      <c r="G5305"/>
      <c r="H5305"/>
      <c r="I5305"/>
      <c r="K5305"/>
      <c r="O5305"/>
      <c r="R5305"/>
      <c r="W5305" s="4"/>
      <c r="X5305" s="4"/>
      <c r="Y5305" s="4"/>
    </row>
    <row r="5306" spans="5:25">
      <c r="E5306"/>
      <c r="G5306"/>
      <c r="H5306"/>
      <c r="I5306"/>
      <c r="K5306"/>
      <c r="O5306"/>
      <c r="R5306"/>
      <c r="W5306" s="4"/>
      <c r="X5306" s="4"/>
      <c r="Y5306" s="4"/>
    </row>
    <row r="5307" spans="5:25">
      <c r="E5307"/>
      <c r="G5307"/>
      <c r="H5307"/>
      <c r="I5307"/>
      <c r="K5307"/>
      <c r="O5307"/>
      <c r="R5307"/>
      <c r="W5307" s="4"/>
      <c r="X5307" s="4"/>
      <c r="Y5307" s="4"/>
    </row>
    <row r="5308" spans="5:25">
      <c r="E5308"/>
      <c r="G5308"/>
      <c r="H5308"/>
      <c r="I5308"/>
      <c r="K5308"/>
      <c r="O5308"/>
      <c r="R5308"/>
      <c r="W5308" s="4"/>
      <c r="X5308" s="4"/>
      <c r="Y5308" s="4"/>
    </row>
    <row r="5309" spans="5:25">
      <c r="E5309"/>
      <c r="G5309"/>
      <c r="H5309"/>
      <c r="I5309"/>
      <c r="K5309"/>
      <c r="O5309"/>
      <c r="R5309"/>
      <c r="W5309" s="4"/>
      <c r="X5309" s="4"/>
      <c r="Y5309" s="4"/>
    </row>
    <row r="5310" spans="5:25">
      <c r="E5310"/>
      <c r="G5310"/>
      <c r="H5310"/>
      <c r="I5310"/>
      <c r="K5310"/>
      <c r="O5310"/>
      <c r="R5310"/>
      <c r="W5310" s="4"/>
      <c r="X5310" s="4"/>
      <c r="Y5310" s="4"/>
    </row>
    <row r="5311" spans="5:25">
      <c r="E5311"/>
      <c r="G5311"/>
      <c r="H5311"/>
      <c r="I5311"/>
      <c r="K5311"/>
      <c r="O5311"/>
      <c r="R5311"/>
      <c r="W5311" s="4"/>
      <c r="X5311" s="4"/>
      <c r="Y5311" s="4"/>
    </row>
    <row r="5312" spans="5:25">
      <c r="E5312"/>
      <c r="G5312"/>
      <c r="H5312"/>
      <c r="I5312"/>
      <c r="K5312"/>
      <c r="O5312"/>
      <c r="R5312"/>
      <c r="W5312" s="4"/>
      <c r="X5312" s="4"/>
      <c r="Y5312" s="4"/>
    </row>
    <row r="5313" spans="5:25">
      <c r="E5313"/>
      <c r="G5313"/>
      <c r="H5313"/>
      <c r="I5313"/>
      <c r="K5313"/>
      <c r="O5313"/>
      <c r="R5313"/>
      <c r="W5313" s="4"/>
      <c r="X5313" s="4"/>
      <c r="Y5313" s="4"/>
    </row>
    <row r="5314" spans="5:25">
      <c r="E5314"/>
      <c r="G5314"/>
      <c r="H5314"/>
      <c r="I5314"/>
      <c r="K5314"/>
      <c r="O5314"/>
      <c r="R5314"/>
      <c r="W5314" s="4"/>
      <c r="X5314" s="4"/>
      <c r="Y5314" s="4"/>
    </row>
    <row r="5315" spans="5:25">
      <c r="E5315"/>
      <c r="G5315"/>
      <c r="H5315"/>
      <c r="I5315"/>
      <c r="K5315"/>
      <c r="O5315"/>
      <c r="R5315"/>
      <c r="W5315" s="4"/>
      <c r="X5315" s="4"/>
      <c r="Y5315" s="4"/>
    </row>
    <row r="5316" spans="5:25">
      <c r="E5316"/>
      <c r="G5316"/>
      <c r="H5316"/>
      <c r="I5316"/>
      <c r="K5316"/>
      <c r="O5316"/>
      <c r="R5316"/>
      <c r="W5316" s="4"/>
      <c r="X5316" s="4"/>
      <c r="Y5316" s="4"/>
    </row>
    <row r="5317" spans="5:25">
      <c r="E5317"/>
      <c r="G5317"/>
      <c r="H5317"/>
      <c r="I5317"/>
      <c r="K5317"/>
      <c r="O5317"/>
      <c r="R5317"/>
      <c r="W5317" s="4"/>
      <c r="X5317" s="4"/>
      <c r="Y5317" s="4"/>
    </row>
    <row r="5318" spans="5:25">
      <c r="E5318"/>
      <c r="G5318"/>
      <c r="H5318"/>
      <c r="I5318"/>
      <c r="K5318"/>
      <c r="O5318"/>
      <c r="R5318"/>
      <c r="W5318" s="4"/>
      <c r="X5318" s="4"/>
      <c r="Y5318" s="4"/>
    </row>
    <row r="5319" spans="5:25">
      <c r="E5319"/>
      <c r="G5319"/>
      <c r="H5319"/>
      <c r="I5319"/>
      <c r="K5319"/>
      <c r="O5319"/>
      <c r="R5319"/>
      <c r="W5319" s="4"/>
      <c r="X5319" s="4"/>
      <c r="Y5319" s="4"/>
    </row>
    <row r="5320" spans="5:25">
      <c r="E5320"/>
      <c r="G5320"/>
      <c r="H5320"/>
      <c r="I5320"/>
      <c r="K5320"/>
      <c r="O5320"/>
      <c r="R5320"/>
      <c r="W5320" s="4"/>
      <c r="X5320" s="4"/>
      <c r="Y5320" s="4"/>
    </row>
    <row r="5321" spans="5:25">
      <c r="E5321"/>
      <c r="G5321"/>
      <c r="H5321"/>
      <c r="I5321"/>
      <c r="K5321"/>
      <c r="O5321"/>
      <c r="R5321"/>
      <c r="W5321" s="4"/>
      <c r="X5321" s="4"/>
      <c r="Y5321" s="4"/>
    </row>
    <row r="5322" spans="5:25">
      <c r="E5322"/>
      <c r="G5322"/>
      <c r="H5322"/>
      <c r="I5322"/>
      <c r="K5322"/>
      <c r="O5322"/>
      <c r="R5322"/>
      <c r="W5322" s="4"/>
      <c r="X5322" s="4"/>
      <c r="Y5322" s="4"/>
    </row>
    <row r="5323" spans="5:25">
      <c r="E5323"/>
      <c r="G5323"/>
      <c r="H5323"/>
      <c r="I5323"/>
      <c r="K5323"/>
      <c r="O5323"/>
      <c r="R5323"/>
      <c r="W5323" s="4"/>
      <c r="X5323" s="4"/>
      <c r="Y5323" s="4"/>
    </row>
    <row r="5324" spans="5:25">
      <c r="E5324"/>
      <c r="G5324"/>
      <c r="H5324"/>
      <c r="I5324"/>
      <c r="K5324"/>
      <c r="O5324"/>
      <c r="R5324"/>
      <c r="W5324" s="4"/>
      <c r="X5324" s="4"/>
      <c r="Y5324" s="4"/>
    </row>
    <row r="5325" spans="5:25">
      <c r="E5325"/>
      <c r="G5325"/>
      <c r="H5325"/>
      <c r="I5325"/>
      <c r="K5325"/>
      <c r="O5325"/>
      <c r="R5325"/>
      <c r="W5325" s="4"/>
      <c r="X5325" s="4"/>
      <c r="Y5325" s="4"/>
    </row>
    <row r="5326" spans="5:25">
      <c r="E5326"/>
      <c r="G5326"/>
      <c r="H5326"/>
      <c r="I5326"/>
      <c r="K5326"/>
      <c r="O5326"/>
      <c r="R5326"/>
      <c r="W5326" s="4"/>
      <c r="X5326" s="4"/>
      <c r="Y5326" s="4"/>
    </row>
    <row r="5327" spans="5:25">
      <c r="E5327"/>
      <c r="G5327"/>
      <c r="H5327"/>
      <c r="I5327"/>
      <c r="K5327"/>
      <c r="O5327"/>
      <c r="R5327"/>
      <c r="W5327" s="4"/>
      <c r="X5327" s="4"/>
      <c r="Y5327" s="4"/>
    </row>
    <row r="5328" spans="5:25">
      <c r="E5328"/>
      <c r="G5328"/>
      <c r="H5328"/>
      <c r="I5328"/>
      <c r="K5328"/>
      <c r="O5328"/>
      <c r="R5328"/>
      <c r="W5328" s="4"/>
      <c r="X5328" s="4"/>
      <c r="Y5328" s="4"/>
    </row>
    <row r="5329" spans="5:25">
      <c r="E5329"/>
      <c r="G5329"/>
      <c r="H5329"/>
      <c r="I5329"/>
      <c r="K5329"/>
      <c r="O5329"/>
      <c r="R5329"/>
      <c r="W5329" s="4"/>
      <c r="X5329" s="4"/>
      <c r="Y5329" s="4"/>
    </row>
    <row r="5330" spans="5:25">
      <c r="E5330"/>
      <c r="G5330"/>
      <c r="H5330"/>
      <c r="I5330"/>
      <c r="K5330"/>
      <c r="O5330"/>
      <c r="R5330"/>
      <c r="W5330" s="4"/>
      <c r="X5330" s="4"/>
      <c r="Y5330" s="4"/>
    </row>
    <row r="5331" spans="5:25">
      <c r="E5331"/>
      <c r="G5331"/>
      <c r="H5331"/>
      <c r="I5331"/>
      <c r="K5331"/>
      <c r="O5331"/>
      <c r="R5331"/>
      <c r="W5331" s="4"/>
      <c r="X5331" s="4"/>
      <c r="Y5331" s="4"/>
    </row>
    <row r="5332" spans="5:25">
      <c r="E5332"/>
      <c r="G5332"/>
      <c r="H5332"/>
      <c r="I5332"/>
      <c r="K5332"/>
      <c r="O5332"/>
      <c r="R5332"/>
      <c r="W5332" s="4"/>
      <c r="X5332" s="4"/>
      <c r="Y5332" s="4"/>
    </row>
    <row r="5333" spans="5:25">
      <c r="E5333"/>
      <c r="G5333"/>
      <c r="H5333"/>
      <c r="I5333"/>
      <c r="K5333"/>
      <c r="O5333"/>
      <c r="R5333"/>
      <c r="W5333" s="4"/>
      <c r="X5333" s="4"/>
      <c r="Y5333" s="4"/>
    </row>
    <row r="5334" spans="5:25">
      <c r="E5334"/>
      <c r="G5334"/>
      <c r="H5334"/>
      <c r="I5334"/>
      <c r="K5334"/>
      <c r="O5334"/>
      <c r="R5334"/>
      <c r="W5334" s="4"/>
      <c r="X5334" s="4"/>
      <c r="Y5334" s="4"/>
    </row>
    <row r="5335" spans="5:25">
      <c r="E5335"/>
      <c r="G5335"/>
      <c r="H5335"/>
      <c r="I5335"/>
      <c r="K5335"/>
      <c r="O5335"/>
      <c r="R5335"/>
      <c r="W5335" s="4"/>
      <c r="X5335" s="4"/>
      <c r="Y5335" s="4"/>
    </row>
    <row r="5336" spans="5:25">
      <c r="E5336"/>
      <c r="G5336"/>
      <c r="H5336"/>
      <c r="I5336"/>
      <c r="K5336"/>
      <c r="O5336"/>
      <c r="R5336"/>
      <c r="W5336" s="4"/>
      <c r="X5336" s="4"/>
      <c r="Y5336" s="4"/>
    </row>
    <row r="5337" spans="5:25">
      <c r="E5337"/>
      <c r="G5337"/>
      <c r="H5337"/>
      <c r="I5337"/>
      <c r="K5337"/>
      <c r="O5337"/>
      <c r="R5337"/>
      <c r="W5337" s="4"/>
      <c r="X5337" s="4"/>
      <c r="Y5337" s="4"/>
    </row>
    <row r="5338" spans="5:25">
      <c r="E5338"/>
      <c r="G5338"/>
      <c r="H5338"/>
      <c r="I5338"/>
      <c r="K5338"/>
      <c r="O5338"/>
      <c r="R5338"/>
      <c r="W5338" s="4"/>
      <c r="X5338" s="4"/>
      <c r="Y5338" s="4"/>
    </row>
    <row r="5339" spans="5:25">
      <c r="E5339"/>
      <c r="G5339"/>
      <c r="H5339"/>
      <c r="I5339"/>
      <c r="K5339"/>
      <c r="O5339"/>
      <c r="R5339"/>
      <c r="W5339" s="4"/>
      <c r="X5339" s="4"/>
      <c r="Y5339" s="4"/>
    </row>
    <row r="5340" spans="5:25">
      <c r="E5340"/>
      <c r="G5340"/>
      <c r="H5340"/>
      <c r="I5340"/>
      <c r="K5340"/>
      <c r="O5340"/>
      <c r="R5340"/>
      <c r="W5340" s="4"/>
      <c r="X5340" s="4"/>
      <c r="Y5340" s="4"/>
    </row>
    <row r="5341" spans="5:25">
      <c r="E5341"/>
      <c r="G5341"/>
      <c r="H5341"/>
      <c r="I5341"/>
      <c r="K5341"/>
      <c r="O5341"/>
      <c r="R5341"/>
      <c r="W5341" s="4"/>
      <c r="X5341" s="4"/>
      <c r="Y5341" s="4"/>
    </row>
    <row r="5342" spans="5:25">
      <c r="E5342"/>
      <c r="G5342"/>
      <c r="H5342"/>
      <c r="I5342"/>
      <c r="K5342"/>
      <c r="O5342"/>
      <c r="R5342"/>
      <c r="W5342" s="4"/>
      <c r="X5342" s="4"/>
      <c r="Y5342" s="4"/>
    </row>
    <row r="5343" spans="5:25">
      <c r="E5343"/>
      <c r="G5343"/>
      <c r="H5343"/>
      <c r="I5343"/>
      <c r="K5343"/>
      <c r="O5343"/>
      <c r="R5343"/>
      <c r="W5343" s="4"/>
      <c r="X5343" s="4"/>
      <c r="Y5343" s="4"/>
    </row>
    <row r="5344" spans="5:25">
      <c r="E5344"/>
      <c r="G5344"/>
      <c r="H5344"/>
      <c r="I5344"/>
      <c r="K5344"/>
      <c r="O5344"/>
      <c r="R5344"/>
      <c r="W5344" s="4"/>
      <c r="X5344" s="4"/>
      <c r="Y5344" s="4"/>
    </row>
    <row r="5345" spans="5:25">
      <c r="E5345"/>
      <c r="G5345"/>
      <c r="H5345"/>
      <c r="I5345"/>
      <c r="K5345"/>
      <c r="O5345"/>
      <c r="R5345"/>
      <c r="W5345" s="4"/>
      <c r="X5345" s="4"/>
      <c r="Y5345" s="4"/>
    </row>
    <row r="5346" spans="5:25">
      <c r="E5346"/>
      <c r="G5346"/>
      <c r="H5346"/>
      <c r="I5346"/>
      <c r="K5346"/>
      <c r="O5346"/>
      <c r="R5346"/>
      <c r="W5346" s="4"/>
      <c r="X5346" s="4"/>
      <c r="Y5346" s="4"/>
    </row>
    <row r="5347" spans="5:25">
      <c r="E5347"/>
      <c r="G5347"/>
      <c r="H5347"/>
      <c r="I5347"/>
      <c r="K5347"/>
      <c r="O5347"/>
      <c r="R5347"/>
      <c r="W5347" s="4"/>
      <c r="X5347" s="4"/>
      <c r="Y5347" s="4"/>
    </row>
    <row r="5348" spans="5:25">
      <c r="E5348"/>
      <c r="G5348"/>
      <c r="H5348"/>
      <c r="I5348"/>
      <c r="K5348"/>
      <c r="O5348"/>
      <c r="R5348"/>
      <c r="W5348" s="4"/>
      <c r="X5348" s="4"/>
      <c r="Y5348" s="4"/>
    </row>
    <row r="5349" spans="5:25">
      <c r="E5349"/>
      <c r="G5349"/>
      <c r="H5349"/>
      <c r="I5349"/>
      <c r="K5349"/>
      <c r="O5349"/>
      <c r="R5349"/>
      <c r="W5349" s="4"/>
      <c r="X5349" s="4"/>
      <c r="Y5349" s="4"/>
    </row>
    <row r="5350" spans="5:25">
      <c r="E5350"/>
      <c r="G5350"/>
      <c r="H5350"/>
      <c r="I5350"/>
      <c r="K5350"/>
      <c r="O5350"/>
      <c r="R5350"/>
      <c r="W5350" s="4"/>
      <c r="X5350" s="4"/>
      <c r="Y5350" s="4"/>
    </row>
    <row r="5351" spans="5:25">
      <c r="E5351"/>
      <c r="G5351"/>
      <c r="H5351"/>
      <c r="I5351"/>
      <c r="K5351"/>
      <c r="O5351"/>
      <c r="R5351"/>
      <c r="W5351" s="4"/>
      <c r="X5351" s="4"/>
      <c r="Y5351" s="4"/>
    </row>
    <row r="5352" spans="5:25">
      <c r="E5352"/>
      <c r="G5352"/>
      <c r="H5352"/>
      <c r="I5352"/>
      <c r="K5352"/>
      <c r="O5352"/>
      <c r="R5352"/>
      <c r="W5352" s="4"/>
      <c r="X5352" s="4"/>
      <c r="Y5352" s="4"/>
    </row>
    <row r="5353" spans="5:25">
      <c r="E5353"/>
      <c r="G5353"/>
      <c r="H5353"/>
      <c r="I5353"/>
      <c r="K5353"/>
      <c r="O5353"/>
      <c r="R5353"/>
      <c r="W5353" s="4"/>
      <c r="X5353" s="4"/>
      <c r="Y5353" s="4"/>
    </row>
    <row r="5354" spans="5:25">
      <c r="E5354"/>
      <c r="G5354"/>
      <c r="H5354"/>
      <c r="I5354"/>
      <c r="K5354"/>
      <c r="O5354"/>
      <c r="R5354"/>
      <c r="W5354" s="4"/>
      <c r="X5354" s="4"/>
      <c r="Y5354" s="4"/>
    </row>
    <row r="5355" spans="5:25">
      <c r="E5355"/>
      <c r="G5355"/>
      <c r="H5355"/>
      <c r="I5355"/>
      <c r="K5355"/>
      <c r="O5355"/>
      <c r="R5355"/>
      <c r="W5355" s="4"/>
      <c r="X5355" s="4"/>
      <c r="Y5355" s="4"/>
    </row>
    <row r="5356" spans="5:25">
      <c r="E5356"/>
      <c r="G5356"/>
      <c r="H5356"/>
      <c r="I5356"/>
      <c r="K5356"/>
      <c r="O5356"/>
      <c r="R5356"/>
      <c r="W5356" s="4"/>
      <c r="X5356" s="4"/>
      <c r="Y5356" s="4"/>
    </row>
    <row r="5357" spans="5:25">
      <c r="E5357"/>
      <c r="G5357"/>
      <c r="H5357"/>
      <c r="I5357"/>
      <c r="K5357"/>
      <c r="O5357"/>
      <c r="R5357"/>
      <c r="W5357" s="4"/>
      <c r="X5357" s="4"/>
      <c r="Y5357" s="4"/>
    </row>
    <row r="5358" spans="5:25">
      <c r="E5358"/>
      <c r="G5358"/>
      <c r="H5358"/>
      <c r="I5358"/>
      <c r="K5358"/>
      <c r="O5358"/>
      <c r="R5358"/>
      <c r="W5358" s="4"/>
      <c r="X5358" s="4"/>
      <c r="Y5358" s="4"/>
    </row>
    <row r="5359" spans="5:25">
      <c r="E5359"/>
      <c r="G5359"/>
      <c r="H5359"/>
      <c r="I5359"/>
      <c r="K5359"/>
      <c r="O5359"/>
      <c r="R5359"/>
      <c r="W5359" s="4"/>
      <c r="X5359" s="4"/>
      <c r="Y5359" s="4"/>
    </row>
    <row r="5360" spans="5:25">
      <c r="E5360"/>
      <c r="G5360"/>
      <c r="H5360"/>
      <c r="I5360"/>
      <c r="K5360"/>
      <c r="O5360"/>
      <c r="R5360"/>
      <c r="W5360" s="4"/>
      <c r="X5360" s="4"/>
      <c r="Y5360" s="4"/>
    </row>
    <row r="5361" spans="5:25">
      <c r="E5361"/>
      <c r="G5361"/>
      <c r="H5361"/>
      <c r="I5361"/>
      <c r="K5361"/>
      <c r="O5361"/>
      <c r="R5361"/>
      <c r="W5361" s="4"/>
      <c r="X5361" s="4"/>
      <c r="Y5361" s="4"/>
    </row>
    <row r="5362" spans="5:25">
      <c r="E5362"/>
      <c r="G5362"/>
      <c r="H5362"/>
      <c r="I5362"/>
      <c r="K5362"/>
      <c r="O5362"/>
      <c r="R5362"/>
      <c r="W5362" s="4"/>
      <c r="X5362" s="4"/>
      <c r="Y5362" s="4"/>
    </row>
    <row r="5363" spans="5:25">
      <c r="E5363"/>
      <c r="G5363"/>
      <c r="H5363"/>
      <c r="I5363"/>
      <c r="K5363"/>
      <c r="O5363"/>
      <c r="R5363"/>
      <c r="W5363" s="4"/>
      <c r="X5363" s="4"/>
      <c r="Y5363" s="4"/>
    </row>
    <row r="5364" spans="5:25">
      <c r="E5364"/>
      <c r="G5364"/>
      <c r="H5364"/>
      <c r="I5364"/>
      <c r="K5364"/>
      <c r="O5364"/>
      <c r="R5364"/>
      <c r="W5364" s="4"/>
      <c r="X5364" s="4"/>
      <c r="Y5364" s="4"/>
    </row>
    <row r="5365" spans="5:25">
      <c r="E5365"/>
      <c r="G5365"/>
      <c r="H5365"/>
      <c r="I5365"/>
      <c r="K5365"/>
      <c r="O5365"/>
      <c r="R5365"/>
      <c r="W5365" s="4"/>
      <c r="X5365" s="4"/>
      <c r="Y5365" s="4"/>
    </row>
    <row r="5366" spans="5:25">
      <c r="E5366"/>
      <c r="G5366"/>
      <c r="H5366"/>
      <c r="I5366"/>
      <c r="K5366"/>
      <c r="O5366"/>
      <c r="R5366"/>
      <c r="W5366" s="4"/>
      <c r="X5366" s="4"/>
      <c r="Y5366" s="4"/>
    </row>
    <row r="5367" spans="5:25">
      <c r="E5367"/>
      <c r="G5367"/>
      <c r="H5367"/>
      <c r="I5367"/>
      <c r="K5367"/>
      <c r="O5367"/>
      <c r="R5367"/>
      <c r="W5367" s="4"/>
      <c r="X5367" s="4"/>
      <c r="Y5367" s="4"/>
    </row>
    <row r="5368" spans="5:25">
      <c r="E5368"/>
      <c r="G5368"/>
      <c r="H5368"/>
      <c r="I5368"/>
      <c r="K5368"/>
      <c r="O5368"/>
      <c r="R5368"/>
      <c r="W5368" s="4"/>
      <c r="X5368" s="4"/>
      <c r="Y5368" s="4"/>
    </row>
    <row r="5369" spans="5:25">
      <c r="E5369"/>
      <c r="G5369"/>
      <c r="H5369"/>
      <c r="I5369"/>
      <c r="K5369"/>
      <c r="O5369"/>
      <c r="R5369"/>
      <c r="W5369" s="4"/>
      <c r="X5369" s="4"/>
      <c r="Y5369" s="4"/>
    </row>
    <row r="5370" spans="5:25">
      <c r="E5370"/>
      <c r="G5370"/>
      <c r="H5370"/>
      <c r="I5370"/>
      <c r="K5370"/>
      <c r="O5370"/>
      <c r="R5370"/>
      <c r="W5370" s="4"/>
      <c r="X5370" s="4"/>
      <c r="Y5370" s="4"/>
    </row>
    <row r="5371" spans="5:25">
      <c r="E5371"/>
      <c r="G5371"/>
      <c r="H5371"/>
      <c r="I5371"/>
      <c r="K5371"/>
      <c r="O5371"/>
      <c r="R5371"/>
      <c r="W5371" s="4"/>
      <c r="X5371" s="4"/>
      <c r="Y5371" s="4"/>
    </row>
    <row r="5372" spans="5:25">
      <c r="E5372"/>
      <c r="G5372"/>
      <c r="H5372"/>
      <c r="I5372"/>
      <c r="K5372"/>
      <c r="O5372"/>
      <c r="R5372"/>
      <c r="W5372" s="4"/>
      <c r="X5372" s="4"/>
      <c r="Y5372" s="4"/>
    </row>
    <row r="5373" spans="5:25">
      <c r="E5373"/>
      <c r="G5373"/>
      <c r="H5373"/>
      <c r="I5373"/>
      <c r="K5373"/>
      <c r="O5373"/>
      <c r="R5373"/>
      <c r="W5373" s="4"/>
      <c r="X5373" s="4"/>
      <c r="Y5373" s="4"/>
    </row>
    <row r="5374" spans="5:25">
      <c r="E5374"/>
      <c r="G5374"/>
      <c r="H5374"/>
      <c r="I5374"/>
      <c r="K5374"/>
      <c r="O5374"/>
      <c r="R5374"/>
      <c r="W5374" s="4"/>
      <c r="X5374" s="4"/>
      <c r="Y5374" s="4"/>
    </row>
    <row r="5375" spans="5:25">
      <c r="E5375"/>
      <c r="G5375"/>
      <c r="H5375"/>
      <c r="I5375"/>
      <c r="K5375"/>
      <c r="O5375"/>
      <c r="R5375"/>
      <c r="W5375" s="4"/>
      <c r="X5375" s="4"/>
      <c r="Y5375" s="4"/>
    </row>
    <row r="5376" spans="5:25">
      <c r="E5376"/>
      <c r="G5376"/>
      <c r="H5376"/>
      <c r="I5376"/>
      <c r="K5376"/>
      <c r="O5376"/>
      <c r="R5376"/>
      <c r="W5376" s="4"/>
      <c r="X5376" s="4"/>
      <c r="Y5376" s="4"/>
    </row>
    <row r="5377" spans="5:25">
      <c r="E5377"/>
      <c r="G5377"/>
      <c r="H5377"/>
      <c r="I5377"/>
      <c r="K5377"/>
      <c r="O5377"/>
      <c r="R5377"/>
      <c r="W5377" s="4"/>
      <c r="X5377" s="4"/>
      <c r="Y5377" s="4"/>
    </row>
    <row r="5378" spans="5:25">
      <c r="E5378"/>
      <c r="G5378"/>
      <c r="H5378"/>
      <c r="I5378"/>
      <c r="K5378"/>
      <c r="O5378"/>
      <c r="R5378"/>
      <c r="W5378" s="4"/>
      <c r="X5378" s="4"/>
      <c r="Y5378" s="4"/>
    </row>
    <row r="5379" spans="5:25">
      <c r="E5379"/>
      <c r="G5379"/>
      <c r="H5379"/>
      <c r="I5379"/>
      <c r="K5379"/>
      <c r="O5379"/>
      <c r="R5379"/>
      <c r="W5379" s="4"/>
      <c r="X5379" s="4"/>
      <c r="Y5379" s="4"/>
    </row>
    <row r="5380" spans="5:25">
      <c r="E5380"/>
      <c r="G5380"/>
      <c r="H5380"/>
      <c r="I5380"/>
      <c r="K5380"/>
      <c r="O5380"/>
      <c r="R5380"/>
      <c r="W5380" s="4"/>
      <c r="X5380" s="4"/>
      <c r="Y5380" s="4"/>
    </row>
    <row r="5381" spans="5:25">
      <c r="E5381"/>
      <c r="G5381"/>
      <c r="H5381"/>
      <c r="I5381"/>
      <c r="K5381"/>
      <c r="O5381"/>
      <c r="R5381"/>
      <c r="W5381" s="4"/>
      <c r="X5381" s="4"/>
      <c r="Y5381" s="4"/>
    </row>
    <row r="5382" spans="5:25">
      <c r="E5382"/>
      <c r="G5382"/>
      <c r="H5382"/>
      <c r="I5382"/>
      <c r="K5382"/>
      <c r="O5382"/>
      <c r="R5382"/>
      <c r="W5382" s="4"/>
      <c r="X5382" s="4"/>
      <c r="Y5382" s="4"/>
    </row>
    <row r="5383" spans="5:25">
      <c r="E5383"/>
      <c r="G5383"/>
      <c r="H5383"/>
      <c r="I5383"/>
      <c r="K5383"/>
      <c r="O5383"/>
      <c r="R5383"/>
      <c r="W5383" s="4"/>
      <c r="X5383" s="4"/>
      <c r="Y5383" s="4"/>
    </row>
    <row r="5384" spans="5:25">
      <c r="E5384"/>
      <c r="G5384"/>
      <c r="H5384"/>
      <c r="I5384"/>
      <c r="K5384"/>
      <c r="O5384"/>
      <c r="R5384"/>
      <c r="W5384" s="4"/>
      <c r="X5384" s="4"/>
      <c r="Y5384" s="4"/>
    </row>
    <row r="5385" spans="5:25">
      <c r="E5385"/>
      <c r="G5385"/>
      <c r="H5385"/>
      <c r="I5385"/>
      <c r="K5385"/>
      <c r="O5385"/>
      <c r="R5385"/>
      <c r="W5385" s="4"/>
      <c r="X5385" s="4"/>
      <c r="Y5385" s="4"/>
    </row>
    <row r="5386" spans="5:25">
      <c r="E5386"/>
      <c r="G5386"/>
      <c r="H5386"/>
      <c r="I5386"/>
      <c r="K5386"/>
      <c r="O5386"/>
      <c r="R5386"/>
      <c r="W5386" s="4"/>
      <c r="X5386" s="4"/>
      <c r="Y5386" s="4"/>
    </row>
    <row r="5387" spans="5:25">
      <c r="E5387"/>
      <c r="G5387"/>
      <c r="H5387"/>
      <c r="I5387"/>
      <c r="K5387"/>
      <c r="O5387"/>
      <c r="R5387"/>
      <c r="W5387" s="4"/>
      <c r="X5387" s="4"/>
      <c r="Y5387" s="4"/>
    </row>
    <row r="5388" spans="5:25">
      <c r="E5388"/>
      <c r="G5388"/>
      <c r="H5388"/>
      <c r="I5388"/>
      <c r="K5388"/>
      <c r="O5388"/>
      <c r="R5388"/>
      <c r="W5388" s="4"/>
      <c r="X5388" s="4"/>
      <c r="Y5388" s="4"/>
    </row>
    <row r="5389" spans="5:25">
      <c r="E5389"/>
      <c r="G5389"/>
      <c r="H5389"/>
      <c r="I5389"/>
      <c r="K5389"/>
      <c r="O5389"/>
      <c r="R5389"/>
      <c r="W5389" s="4"/>
      <c r="X5389" s="4"/>
      <c r="Y5389" s="4"/>
    </row>
    <row r="5390" spans="5:25">
      <c r="E5390"/>
      <c r="G5390"/>
      <c r="H5390"/>
      <c r="I5390"/>
      <c r="K5390"/>
      <c r="O5390"/>
      <c r="R5390"/>
      <c r="W5390" s="4"/>
      <c r="X5390" s="4"/>
      <c r="Y5390" s="4"/>
    </row>
    <row r="5391" spans="5:25">
      <c r="E5391"/>
      <c r="G5391"/>
      <c r="H5391"/>
      <c r="I5391"/>
      <c r="K5391"/>
      <c r="O5391"/>
      <c r="R5391"/>
      <c r="W5391" s="4"/>
      <c r="X5391" s="4"/>
      <c r="Y5391" s="4"/>
    </row>
    <row r="5392" spans="5:25">
      <c r="E5392"/>
      <c r="G5392"/>
      <c r="H5392"/>
      <c r="I5392"/>
      <c r="K5392"/>
      <c r="O5392"/>
      <c r="R5392"/>
      <c r="W5392" s="4"/>
      <c r="X5392" s="4"/>
      <c r="Y5392" s="4"/>
    </row>
    <row r="5393" spans="5:25">
      <c r="E5393"/>
      <c r="G5393"/>
      <c r="H5393"/>
      <c r="I5393"/>
      <c r="K5393"/>
      <c r="O5393"/>
      <c r="R5393"/>
      <c r="W5393" s="4"/>
      <c r="X5393" s="4"/>
      <c r="Y5393" s="4"/>
    </row>
    <row r="5394" spans="5:25">
      <c r="E5394"/>
      <c r="G5394"/>
      <c r="H5394"/>
      <c r="I5394"/>
      <c r="K5394"/>
      <c r="O5394"/>
      <c r="R5394"/>
      <c r="W5394" s="4"/>
      <c r="X5394" s="4"/>
      <c r="Y5394" s="4"/>
    </row>
    <row r="5395" spans="5:25">
      <c r="E5395"/>
      <c r="G5395"/>
      <c r="H5395"/>
      <c r="I5395"/>
      <c r="K5395"/>
      <c r="O5395"/>
      <c r="R5395"/>
      <c r="W5395" s="4"/>
      <c r="X5395" s="4"/>
      <c r="Y5395" s="4"/>
    </row>
    <row r="5396" spans="5:25">
      <c r="E5396"/>
      <c r="G5396"/>
      <c r="H5396"/>
      <c r="I5396"/>
      <c r="K5396"/>
      <c r="O5396"/>
      <c r="R5396"/>
      <c r="W5396" s="4"/>
      <c r="X5396" s="4"/>
      <c r="Y5396" s="4"/>
    </row>
    <row r="5397" spans="5:25">
      <c r="E5397"/>
      <c r="G5397"/>
      <c r="H5397"/>
      <c r="I5397"/>
      <c r="K5397"/>
      <c r="O5397"/>
      <c r="R5397"/>
      <c r="W5397" s="4"/>
      <c r="X5397" s="4"/>
      <c r="Y5397" s="4"/>
    </row>
    <row r="5398" spans="5:25">
      <c r="E5398"/>
      <c r="G5398"/>
      <c r="H5398"/>
      <c r="I5398"/>
      <c r="K5398"/>
      <c r="O5398"/>
      <c r="R5398"/>
      <c r="W5398" s="4"/>
      <c r="X5398" s="4"/>
      <c r="Y5398" s="4"/>
    </row>
    <row r="5399" spans="5:25">
      <c r="E5399"/>
      <c r="G5399"/>
      <c r="H5399"/>
      <c r="I5399"/>
      <c r="K5399"/>
      <c r="O5399"/>
      <c r="R5399"/>
      <c r="W5399" s="4"/>
      <c r="X5399" s="4"/>
      <c r="Y5399" s="4"/>
    </row>
    <row r="5400" spans="5:25">
      <c r="E5400"/>
      <c r="G5400"/>
      <c r="H5400"/>
      <c r="I5400"/>
      <c r="K5400"/>
      <c r="O5400"/>
      <c r="R5400"/>
      <c r="W5400" s="4"/>
      <c r="X5400" s="4"/>
      <c r="Y5400" s="4"/>
    </row>
    <row r="5401" spans="5:25">
      <c r="E5401"/>
      <c r="G5401"/>
      <c r="H5401"/>
      <c r="I5401"/>
      <c r="K5401"/>
      <c r="O5401"/>
      <c r="R5401"/>
      <c r="W5401" s="4"/>
      <c r="X5401" s="4"/>
      <c r="Y5401" s="4"/>
    </row>
    <row r="5402" spans="5:25">
      <c r="E5402"/>
      <c r="G5402"/>
      <c r="H5402"/>
      <c r="I5402"/>
      <c r="K5402"/>
      <c r="O5402"/>
      <c r="R5402"/>
      <c r="W5402" s="4"/>
      <c r="X5402" s="4"/>
      <c r="Y5402" s="4"/>
    </row>
    <row r="5403" spans="5:25">
      <c r="E5403"/>
      <c r="G5403"/>
      <c r="H5403"/>
      <c r="I5403"/>
      <c r="K5403"/>
      <c r="O5403"/>
      <c r="R5403"/>
      <c r="W5403" s="4"/>
      <c r="X5403" s="4"/>
      <c r="Y5403" s="4"/>
    </row>
    <row r="5404" spans="5:25">
      <c r="E5404"/>
      <c r="G5404"/>
      <c r="H5404"/>
      <c r="I5404"/>
      <c r="K5404"/>
      <c r="O5404"/>
      <c r="R5404"/>
      <c r="W5404" s="4"/>
      <c r="X5404" s="4"/>
      <c r="Y5404" s="4"/>
    </row>
    <row r="5405" spans="5:25">
      <c r="E5405"/>
      <c r="G5405"/>
      <c r="H5405"/>
      <c r="I5405"/>
      <c r="K5405"/>
      <c r="O5405"/>
      <c r="R5405"/>
      <c r="W5405" s="4"/>
      <c r="X5405" s="4"/>
      <c r="Y5405" s="4"/>
    </row>
    <row r="5406" spans="5:25">
      <c r="E5406"/>
      <c r="G5406"/>
      <c r="H5406"/>
      <c r="I5406"/>
      <c r="K5406"/>
      <c r="O5406"/>
      <c r="R5406"/>
      <c r="W5406" s="4"/>
      <c r="X5406" s="4"/>
      <c r="Y5406" s="4"/>
    </row>
    <row r="5407" spans="5:25">
      <c r="E5407"/>
      <c r="G5407"/>
      <c r="H5407"/>
      <c r="I5407"/>
      <c r="K5407"/>
      <c r="O5407"/>
      <c r="R5407"/>
      <c r="W5407" s="4"/>
      <c r="X5407" s="4"/>
      <c r="Y5407" s="4"/>
    </row>
    <row r="5408" spans="5:25">
      <c r="E5408"/>
      <c r="G5408"/>
      <c r="H5408"/>
      <c r="I5408"/>
      <c r="K5408"/>
      <c r="O5408"/>
      <c r="R5408"/>
      <c r="W5408" s="4"/>
      <c r="X5408" s="4"/>
      <c r="Y5408" s="4"/>
    </row>
    <row r="5409" spans="5:25">
      <c r="E5409"/>
      <c r="G5409"/>
      <c r="H5409"/>
      <c r="I5409"/>
      <c r="K5409"/>
      <c r="O5409"/>
      <c r="R5409"/>
      <c r="W5409" s="4"/>
      <c r="X5409" s="4"/>
      <c r="Y5409" s="4"/>
    </row>
    <row r="5410" spans="5:25">
      <c r="E5410"/>
      <c r="G5410"/>
      <c r="H5410"/>
      <c r="I5410"/>
      <c r="K5410"/>
      <c r="O5410"/>
      <c r="R5410"/>
      <c r="W5410" s="4"/>
      <c r="X5410" s="4"/>
      <c r="Y5410" s="4"/>
    </row>
    <row r="5411" spans="5:25">
      <c r="E5411"/>
      <c r="G5411"/>
      <c r="H5411"/>
      <c r="I5411"/>
      <c r="K5411"/>
      <c r="O5411"/>
      <c r="R5411"/>
      <c r="W5411" s="4"/>
      <c r="X5411" s="4"/>
      <c r="Y5411" s="4"/>
    </row>
    <row r="5412" spans="5:25">
      <c r="E5412"/>
      <c r="G5412"/>
      <c r="H5412"/>
      <c r="I5412"/>
      <c r="K5412"/>
      <c r="O5412"/>
      <c r="R5412"/>
      <c r="W5412" s="4"/>
      <c r="X5412" s="4"/>
      <c r="Y5412" s="4"/>
    </row>
    <row r="5413" spans="5:25">
      <c r="E5413"/>
      <c r="G5413"/>
      <c r="H5413"/>
      <c r="I5413"/>
      <c r="K5413"/>
      <c r="O5413"/>
      <c r="R5413"/>
      <c r="W5413" s="4"/>
      <c r="X5413" s="4"/>
      <c r="Y5413" s="4"/>
    </row>
    <row r="5414" spans="5:25">
      <c r="E5414"/>
      <c r="G5414"/>
      <c r="H5414"/>
      <c r="I5414"/>
      <c r="K5414"/>
      <c r="O5414"/>
      <c r="R5414"/>
      <c r="W5414" s="4"/>
      <c r="X5414" s="4"/>
      <c r="Y5414" s="4"/>
    </row>
    <row r="5415" spans="5:25">
      <c r="E5415"/>
      <c r="G5415"/>
      <c r="H5415"/>
      <c r="I5415"/>
      <c r="K5415"/>
      <c r="O5415"/>
      <c r="R5415"/>
      <c r="W5415" s="4"/>
      <c r="X5415" s="4"/>
      <c r="Y5415" s="4"/>
    </row>
    <row r="5416" spans="5:25">
      <c r="E5416"/>
      <c r="G5416"/>
      <c r="H5416"/>
      <c r="I5416"/>
      <c r="K5416"/>
      <c r="O5416"/>
      <c r="R5416"/>
      <c r="W5416" s="4"/>
      <c r="X5416" s="4"/>
      <c r="Y5416" s="4"/>
    </row>
    <row r="5417" spans="5:25">
      <c r="E5417"/>
      <c r="G5417"/>
      <c r="H5417"/>
      <c r="I5417"/>
      <c r="K5417"/>
      <c r="O5417"/>
      <c r="R5417"/>
      <c r="W5417" s="4"/>
      <c r="X5417" s="4"/>
      <c r="Y5417" s="4"/>
    </row>
    <row r="5418" spans="5:25">
      <c r="E5418"/>
      <c r="G5418"/>
      <c r="H5418"/>
      <c r="I5418"/>
      <c r="K5418"/>
      <c r="O5418"/>
      <c r="R5418"/>
      <c r="W5418" s="4"/>
      <c r="X5418" s="4"/>
      <c r="Y5418" s="4"/>
    </row>
    <row r="5419" spans="5:25">
      <c r="E5419"/>
      <c r="G5419"/>
      <c r="H5419"/>
      <c r="I5419"/>
      <c r="K5419"/>
      <c r="O5419"/>
      <c r="R5419"/>
      <c r="W5419" s="4"/>
      <c r="X5419" s="4"/>
      <c r="Y5419" s="4"/>
    </row>
    <row r="5420" spans="5:25">
      <c r="E5420"/>
      <c r="G5420"/>
      <c r="H5420"/>
      <c r="I5420"/>
      <c r="K5420"/>
      <c r="O5420"/>
      <c r="R5420"/>
      <c r="W5420" s="4"/>
      <c r="X5420" s="4"/>
      <c r="Y5420" s="4"/>
    </row>
    <row r="5421" spans="5:25">
      <c r="E5421"/>
      <c r="G5421"/>
      <c r="H5421"/>
      <c r="I5421"/>
      <c r="K5421"/>
      <c r="O5421"/>
      <c r="R5421"/>
      <c r="W5421" s="4"/>
      <c r="X5421" s="4"/>
      <c r="Y5421" s="4"/>
    </row>
    <row r="5422" spans="5:25">
      <c r="E5422"/>
      <c r="G5422"/>
      <c r="H5422"/>
      <c r="I5422"/>
      <c r="K5422"/>
      <c r="O5422"/>
      <c r="R5422"/>
      <c r="W5422" s="4"/>
      <c r="X5422" s="4"/>
      <c r="Y5422" s="4"/>
    </row>
    <row r="5423" spans="5:25">
      <c r="E5423"/>
      <c r="G5423"/>
      <c r="H5423"/>
      <c r="I5423"/>
      <c r="K5423"/>
      <c r="O5423"/>
      <c r="R5423"/>
      <c r="W5423" s="4"/>
      <c r="X5423" s="4"/>
      <c r="Y5423" s="4"/>
    </row>
    <row r="5424" spans="5:25">
      <c r="E5424"/>
      <c r="G5424"/>
      <c r="H5424"/>
      <c r="I5424"/>
      <c r="K5424"/>
      <c r="O5424"/>
      <c r="R5424"/>
      <c r="W5424" s="4"/>
      <c r="X5424" s="4"/>
      <c r="Y5424" s="4"/>
    </row>
    <row r="5425" spans="5:25">
      <c r="E5425"/>
      <c r="G5425"/>
      <c r="H5425"/>
      <c r="I5425"/>
      <c r="K5425"/>
      <c r="O5425"/>
      <c r="R5425"/>
      <c r="W5425" s="4"/>
      <c r="X5425" s="4"/>
      <c r="Y5425" s="4"/>
    </row>
    <row r="5426" spans="5:25">
      <c r="E5426"/>
      <c r="G5426"/>
      <c r="H5426"/>
      <c r="I5426"/>
      <c r="K5426"/>
      <c r="O5426"/>
      <c r="R5426"/>
      <c r="W5426" s="4"/>
      <c r="X5426" s="4"/>
      <c r="Y5426" s="4"/>
    </row>
    <row r="5427" spans="5:25">
      <c r="E5427"/>
      <c r="G5427"/>
      <c r="H5427"/>
      <c r="I5427"/>
      <c r="K5427"/>
      <c r="O5427"/>
      <c r="R5427"/>
      <c r="W5427" s="4"/>
      <c r="X5427" s="4"/>
      <c r="Y5427" s="4"/>
    </row>
    <row r="5428" spans="5:25">
      <c r="E5428"/>
      <c r="G5428"/>
      <c r="H5428"/>
      <c r="I5428"/>
      <c r="K5428"/>
      <c r="O5428"/>
      <c r="R5428"/>
      <c r="W5428" s="4"/>
      <c r="X5428" s="4"/>
      <c r="Y5428" s="4"/>
    </row>
    <row r="5429" spans="5:25">
      <c r="E5429"/>
      <c r="G5429"/>
      <c r="H5429"/>
      <c r="I5429"/>
      <c r="K5429"/>
      <c r="O5429"/>
      <c r="R5429"/>
      <c r="W5429" s="4"/>
      <c r="X5429" s="4"/>
      <c r="Y5429" s="4"/>
    </row>
    <row r="5430" spans="5:25">
      <c r="E5430"/>
      <c r="G5430"/>
      <c r="H5430"/>
      <c r="I5430"/>
      <c r="K5430"/>
      <c r="O5430"/>
      <c r="R5430"/>
      <c r="W5430" s="4"/>
      <c r="X5430" s="4"/>
      <c r="Y5430" s="4"/>
    </row>
    <row r="5431" spans="5:25">
      <c r="E5431"/>
      <c r="G5431"/>
      <c r="H5431"/>
      <c r="I5431"/>
      <c r="K5431"/>
      <c r="O5431"/>
      <c r="R5431"/>
      <c r="W5431" s="4"/>
      <c r="X5431" s="4"/>
      <c r="Y5431" s="4"/>
    </row>
    <row r="5432" spans="5:25">
      <c r="E5432"/>
      <c r="G5432"/>
      <c r="H5432"/>
      <c r="I5432"/>
      <c r="K5432"/>
      <c r="O5432"/>
      <c r="R5432"/>
      <c r="W5432" s="4"/>
      <c r="X5432" s="4"/>
      <c r="Y5432" s="4"/>
    </row>
    <row r="5433" spans="5:25">
      <c r="E5433"/>
      <c r="G5433"/>
      <c r="H5433"/>
      <c r="I5433"/>
      <c r="K5433"/>
      <c r="O5433"/>
      <c r="R5433"/>
      <c r="W5433" s="4"/>
      <c r="X5433" s="4"/>
      <c r="Y5433" s="4"/>
    </row>
    <row r="5434" spans="5:25">
      <c r="E5434"/>
      <c r="G5434"/>
      <c r="H5434"/>
      <c r="I5434"/>
      <c r="K5434"/>
      <c r="O5434"/>
      <c r="R5434"/>
      <c r="W5434" s="4"/>
      <c r="X5434" s="4"/>
      <c r="Y5434" s="4"/>
    </row>
    <row r="5435" spans="5:25">
      <c r="E5435"/>
      <c r="G5435"/>
      <c r="H5435"/>
      <c r="I5435"/>
      <c r="K5435"/>
      <c r="O5435"/>
      <c r="R5435"/>
      <c r="W5435" s="4"/>
      <c r="X5435" s="4"/>
      <c r="Y5435" s="4"/>
    </row>
    <row r="5436" spans="5:25">
      <c r="E5436"/>
      <c r="G5436"/>
      <c r="H5436"/>
      <c r="I5436"/>
      <c r="K5436"/>
      <c r="O5436"/>
      <c r="R5436"/>
      <c r="W5436" s="4"/>
      <c r="X5436" s="4"/>
      <c r="Y5436" s="4"/>
    </row>
    <row r="5437" spans="5:25">
      <c r="E5437"/>
      <c r="G5437"/>
      <c r="H5437"/>
      <c r="I5437"/>
      <c r="K5437"/>
      <c r="O5437"/>
      <c r="R5437"/>
      <c r="W5437" s="4"/>
      <c r="X5437" s="4"/>
      <c r="Y5437" s="4"/>
    </row>
    <row r="5438" spans="5:25">
      <c r="E5438"/>
      <c r="G5438"/>
      <c r="H5438"/>
      <c r="I5438"/>
      <c r="K5438"/>
      <c r="O5438"/>
      <c r="R5438"/>
      <c r="W5438" s="4"/>
      <c r="X5438" s="4"/>
      <c r="Y5438" s="4"/>
    </row>
    <row r="5439" spans="5:25">
      <c r="E5439"/>
      <c r="G5439"/>
      <c r="H5439"/>
      <c r="I5439"/>
      <c r="K5439"/>
      <c r="O5439"/>
      <c r="R5439"/>
      <c r="W5439" s="4"/>
      <c r="X5439" s="4"/>
      <c r="Y5439" s="4"/>
    </row>
    <row r="5440" spans="5:25">
      <c r="E5440"/>
      <c r="G5440"/>
      <c r="H5440"/>
      <c r="I5440"/>
      <c r="K5440"/>
      <c r="O5440"/>
      <c r="R5440"/>
      <c r="W5440" s="4"/>
      <c r="X5440" s="4"/>
      <c r="Y5440" s="4"/>
    </row>
    <row r="5441" spans="5:25">
      <c r="E5441"/>
      <c r="G5441"/>
      <c r="H5441"/>
      <c r="I5441"/>
      <c r="K5441"/>
      <c r="O5441"/>
      <c r="R5441"/>
      <c r="W5441" s="4"/>
      <c r="X5441" s="4"/>
      <c r="Y5441" s="4"/>
    </row>
    <row r="5442" spans="5:25">
      <c r="E5442"/>
      <c r="G5442"/>
      <c r="H5442"/>
      <c r="I5442"/>
      <c r="K5442"/>
      <c r="O5442"/>
      <c r="R5442"/>
      <c r="W5442" s="4"/>
      <c r="X5442" s="4"/>
      <c r="Y5442" s="4"/>
    </row>
    <row r="5443" spans="5:25">
      <c r="E5443"/>
      <c r="G5443"/>
      <c r="H5443"/>
      <c r="I5443"/>
      <c r="K5443"/>
      <c r="O5443"/>
      <c r="R5443"/>
      <c r="W5443" s="4"/>
      <c r="X5443" s="4"/>
      <c r="Y5443" s="4"/>
    </row>
    <row r="5444" spans="5:25">
      <c r="E5444"/>
      <c r="G5444"/>
      <c r="H5444"/>
      <c r="I5444"/>
      <c r="K5444"/>
      <c r="O5444"/>
      <c r="R5444"/>
      <c r="W5444" s="4"/>
      <c r="X5444" s="4"/>
      <c r="Y5444" s="4"/>
    </row>
    <row r="5445" spans="5:25">
      <c r="E5445"/>
      <c r="G5445"/>
      <c r="H5445"/>
      <c r="I5445"/>
      <c r="K5445"/>
      <c r="O5445"/>
      <c r="R5445"/>
      <c r="W5445" s="4"/>
      <c r="X5445" s="4"/>
      <c r="Y5445" s="4"/>
    </row>
    <row r="5446" spans="5:25">
      <c r="E5446"/>
      <c r="G5446"/>
      <c r="H5446"/>
      <c r="I5446"/>
      <c r="K5446"/>
      <c r="O5446"/>
      <c r="R5446"/>
      <c r="W5446" s="4"/>
      <c r="X5446" s="4"/>
      <c r="Y5446" s="4"/>
    </row>
    <row r="5447" spans="5:25">
      <c r="E5447"/>
      <c r="G5447"/>
      <c r="H5447"/>
      <c r="I5447"/>
      <c r="K5447"/>
      <c r="O5447"/>
      <c r="R5447"/>
      <c r="W5447" s="4"/>
      <c r="X5447" s="4"/>
      <c r="Y5447" s="4"/>
    </row>
    <row r="5448" spans="5:25">
      <c r="E5448"/>
      <c r="G5448"/>
      <c r="H5448"/>
      <c r="I5448"/>
      <c r="K5448"/>
      <c r="O5448"/>
      <c r="R5448"/>
      <c r="W5448" s="4"/>
      <c r="X5448" s="4"/>
      <c r="Y5448" s="4"/>
    </row>
    <row r="5449" spans="5:25">
      <c r="E5449"/>
      <c r="G5449"/>
      <c r="H5449"/>
      <c r="I5449"/>
      <c r="K5449"/>
      <c r="O5449"/>
      <c r="R5449"/>
      <c r="W5449" s="4"/>
      <c r="X5449" s="4"/>
      <c r="Y5449" s="4"/>
    </row>
    <row r="5450" spans="5:25">
      <c r="E5450"/>
      <c r="G5450"/>
      <c r="H5450"/>
      <c r="I5450"/>
      <c r="K5450"/>
      <c r="O5450"/>
      <c r="R5450"/>
      <c r="W5450" s="4"/>
      <c r="X5450" s="4"/>
      <c r="Y5450" s="4"/>
    </row>
    <row r="5451" spans="5:25">
      <c r="E5451"/>
      <c r="G5451"/>
      <c r="H5451"/>
      <c r="I5451"/>
      <c r="K5451"/>
      <c r="O5451"/>
      <c r="R5451"/>
      <c r="W5451" s="4"/>
      <c r="X5451" s="4"/>
      <c r="Y5451" s="4"/>
    </row>
    <row r="5452" spans="5:25">
      <c r="E5452"/>
      <c r="G5452"/>
      <c r="H5452"/>
      <c r="I5452"/>
      <c r="K5452"/>
      <c r="O5452"/>
      <c r="R5452"/>
      <c r="W5452" s="4"/>
      <c r="X5452" s="4"/>
      <c r="Y5452" s="4"/>
    </row>
    <row r="5453" spans="5:25">
      <c r="E5453"/>
      <c r="G5453"/>
      <c r="H5453"/>
      <c r="I5453"/>
      <c r="K5453"/>
      <c r="O5453"/>
      <c r="R5453"/>
      <c r="W5453" s="4"/>
      <c r="X5453" s="4"/>
      <c r="Y5453" s="4"/>
    </row>
    <row r="5454" spans="5:25">
      <c r="E5454"/>
      <c r="G5454"/>
      <c r="H5454"/>
      <c r="I5454"/>
      <c r="K5454"/>
      <c r="O5454"/>
      <c r="R5454"/>
      <c r="W5454" s="4"/>
      <c r="X5454" s="4"/>
      <c r="Y5454" s="4"/>
    </row>
    <row r="5455" spans="5:25">
      <c r="E5455"/>
      <c r="G5455"/>
      <c r="H5455"/>
      <c r="I5455"/>
      <c r="K5455"/>
      <c r="O5455"/>
      <c r="R5455"/>
      <c r="W5455" s="4"/>
      <c r="X5455" s="4"/>
      <c r="Y5455" s="4"/>
    </row>
    <row r="5456" spans="5:25">
      <c r="E5456"/>
      <c r="G5456"/>
      <c r="H5456"/>
      <c r="I5456"/>
      <c r="K5456"/>
      <c r="O5456"/>
      <c r="R5456"/>
      <c r="W5456" s="4"/>
      <c r="X5456" s="4"/>
      <c r="Y5456" s="4"/>
    </row>
    <row r="5457" spans="5:25">
      <c r="E5457"/>
      <c r="G5457"/>
      <c r="H5457"/>
      <c r="I5457"/>
      <c r="K5457"/>
      <c r="O5457"/>
      <c r="R5457"/>
      <c r="W5457" s="4"/>
      <c r="X5457" s="4"/>
      <c r="Y5457" s="4"/>
    </row>
    <row r="5458" spans="5:25">
      <c r="E5458"/>
      <c r="G5458"/>
      <c r="H5458"/>
      <c r="I5458"/>
      <c r="K5458"/>
      <c r="O5458"/>
      <c r="R5458"/>
      <c r="W5458" s="4"/>
      <c r="X5458" s="4"/>
      <c r="Y5458" s="4"/>
    </row>
    <row r="5459" spans="5:25">
      <c r="E5459"/>
      <c r="G5459"/>
      <c r="H5459"/>
      <c r="I5459"/>
      <c r="K5459"/>
      <c r="O5459"/>
      <c r="R5459"/>
      <c r="W5459" s="4"/>
      <c r="X5459" s="4"/>
      <c r="Y5459" s="4"/>
    </row>
    <row r="5460" spans="5:25">
      <c r="E5460"/>
      <c r="G5460"/>
      <c r="H5460"/>
      <c r="I5460"/>
      <c r="K5460"/>
      <c r="O5460"/>
      <c r="R5460"/>
      <c r="W5460" s="4"/>
      <c r="X5460" s="4"/>
      <c r="Y5460" s="4"/>
    </row>
    <row r="5461" spans="5:25">
      <c r="E5461"/>
      <c r="G5461"/>
      <c r="H5461"/>
      <c r="I5461"/>
      <c r="K5461"/>
      <c r="O5461"/>
      <c r="R5461"/>
      <c r="W5461" s="4"/>
      <c r="X5461" s="4"/>
      <c r="Y5461" s="4"/>
    </row>
    <row r="5462" spans="5:25">
      <c r="E5462"/>
      <c r="G5462"/>
      <c r="H5462"/>
      <c r="I5462"/>
      <c r="K5462"/>
      <c r="O5462"/>
      <c r="R5462"/>
      <c r="W5462" s="4"/>
      <c r="X5462" s="4"/>
      <c r="Y5462" s="4"/>
    </row>
    <row r="5463" spans="5:25">
      <c r="E5463"/>
      <c r="G5463"/>
      <c r="H5463"/>
      <c r="I5463"/>
      <c r="K5463"/>
      <c r="O5463"/>
      <c r="R5463"/>
      <c r="W5463" s="4"/>
      <c r="X5463" s="4"/>
      <c r="Y5463" s="4"/>
    </row>
    <row r="5464" spans="5:25">
      <c r="E5464"/>
      <c r="G5464"/>
      <c r="H5464"/>
      <c r="I5464"/>
      <c r="K5464"/>
      <c r="O5464"/>
      <c r="R5464"/>
      <c r="W5464" s="4"/>
      <c r="X5464" s="4"/>
      <c r="Y5464" s="4"/>
    </row>
    <row r="5465" spans="5:25">
      <c r="E5465"/>
      <c r="G5465"/>
      <c r="H5465"/>
      <c r="I5465"/>
      <c r="K5465"/>
      <c r="O5465"/>
      <c r="R5465"/>
      <c r="W5465" s="4"/>
      <c r="X5465" s="4"/>
      <c r="Y5465" s="4"/>
    </row>
    <row r="5466" spans="5:25">
      <c r="E5466"/>
      <c r="G5466"/>
      <c r="H5466"/>
      <c r="I5466"/>
      <c r="K5466"/>
      <c r="O5466"/>
      <c r="R5466"/>
      <c r="W5466" s="4"/>
      <c r="X5466" s="4"/>
      <c r="Y5466" s="4"/>
    </row>
    <row r="5467" spans="5:25">
      <c r="E5467"/>
      <c r="G5467"/>
      <c r="H5467"/>
      <c r="I5467"/>
      <c r="K5467"/>
      <c r="O5467"/>
      <c r="R5467"/>
      <c r="W5467" s="4"/>
      <c r="X5467" s="4"/>
      <c r="Y5467" s="4"/>
    </row>
    <row r="5468" spans="5:25">
      <c r="E5468"/>
      <c r="G5468"/>
      <c r="H5468"/>
      <c r="I5468"/>
      <c r="K5468"/>
      <c r="O5468"/>
      <c r="R5468"/>
      <c r="W5468" s="4"/>
      <c r="X5468" s="4"/>
      <c r="Y5468" s="4"/>
    </row>
    <row r="5469" spans="5:25">
      <c r="E5469"/>
      <c r="G5469"/>
      <c r="H5469"/>
      <c r="I5469"/>
      <c r="K5469"/>
      <c r="O5469"/>
      <c r="R5469"/>
      <c r="W5469" s="4"/>
      <c r="X5469" s="4"/>
      <c r="Y5469" s="4"/>
    </row>
    <row r="5470" spans="5:25">
      <c r="E5470"/>
      <c r="G5470"/>
      <c r="H5470"/>
      <c r="I5470"/>
      <c r="K5470"/>
      <c r="O5470"/>
      <c r="R5470"/>
      <c r="W5470" s="4"/>
      <c r="X5470" s="4"/>
      <c r="Y5470" s="4"/>
    </row>
    <row r="5471" spans="5:25">
      <c r="E5471"/>
      <c r="G5471"/>
      <c r="H5471"/>
      <c r="I5471"/>
      <c r="K5471"/>
      <c r="O5471"/>
      <c r="R5471"/>
      <c r="W5471" s="4"/>
      <c r="X5471" s="4"/>
      <c r="Y5471" s="4"/>
    </row>
    <row r="5472" spans="5:25">
      <c r="E5472"/>
      <c r="G5472"/>
      <c r="H5472"/>
      <c r="I5472"/>
      <c r="K5472"/>
      <c r="O5472"/>
      <c r="R5472"/>
      <c r="W5472" s="4"/>
      <c r="X5472" s="4"/>
      <c r="Y5472" s="4"/>
    </row>
    <row r="5473" spans="5:25">
      <c r="E5473"/>
      <c r="G5473"/>
      <c r="H5473"/>
      <c r="I5473"/>
      <c r="K5473"/>
      <c r="O5473"/>
      <c r="R5473"/>
      <c r="W5473" s="4"/>
      <c r="X5473" s="4"/>
      <c r="Y5473" s="4"/>
    </row>
    <row r="5474" spans="5:25">
      <c r="E5474"/>
      <c r="G5474"/>
      <c r="H5474"/>
      <c r="I5474"/>
      <c r="K5474"/>
      <c r="O5474"/>
      <c r="R5474"/>
      <c r="W5474" s="4"/>
      <c r="X5474" s="4"/>
      <c r="Y5474" s="4"/>
    </row>
    <row r="5475" spans="5:25">
      <c r="E5475"/>
      <c r="G5475"/>
      <c r="H5475"/>
      <c r="I5475"/>
      <c r="K5475"/>
      <c r="O5475"/>
      <c r="R5475"/>
      <c r="W5475" s="4"/>
      <c r="X5475" s="4"/>
      <c r="Y5475" s="4"/>
    </row>
    <row r="5476" spans="5:25">
      <c r="E5476"/>
      <c r="G5476"/>
      <c r="H5476"/>
      <c r="I5476"/>
      <c r="K5476"/>
      <c r="O5476"/>
      <c r="R5476"/>
      <c r="W5476" s="4"/>
      <c r="X5476" s="4"/>
      <c r="Y5476" s="4"/>
    </row>
    <row r="5477" spans="5:25">
      <c r="E5477"/>
      <c r="G5477"/>
      <c r="H5477"/>
      <c r="I5477"/>
      <c r="K5477"/>
      <c r="O5477"/>
      <c r="R5477"/>
      <c r="W5477" s="4"/>
      <c r="X5477" s="4"/>
      <c r="Y5477" s="4"/>
    </row>
    <row r="5478" spans="5:25">
      <c r="E5478"/>
      <c r="G5478"/>
      <c r="H5478"/>
      <c r="I5478"/>
      <c r="K5478"/>
      <c r="O5478"/>
      <c r="R5478"/>
      <c r="W5478" s="4"/>
      <c r="X5478" s="4"/>
      <c r="Y5478" s="4"/>
    </row>
    <row r="5479" spans="5:25">
      <c r="E5479"/>
      <c r="G5479"/>
      <c r="H5479"/>
      <c r="I5479"/>
      <c r="K5479"/>
      <c r="O5479"/>
      <c r="R5479"/>
      <c r="W5479" s="4"/>
      <c r="X5479" s="4"/>
      <c r="Y5479" s="4"/>
    </row>
    <row r="5480" spans="5:25">
      <c r="E5480"/>
      <c r="G5480"/>
      <c r="H5480"/>
      <c r="I5480"/>
      <c r="K5480"/>
      <c r="O5480"/>
      <c r="R5480"/>
      <c r="W5480" s="4"/>
      <c r="X5480" s="4"/>
      <c r="Y5480" s="4"/>
    </row>
    <row r="5481" spans="5:25">
      <c r="E5481"/>
      <c r="G5481"/>
      <c r="H5481"/>
      <c r="I5481"/>
      <c r="K5481"/>
      <c r="O5481"/>
      <c r="R5481"/>
      <c r="W5481" s="4"/>
      <c r="X5481" s="4"/>
      <c r="Y5481" s="4"/>
    </row>
    <row r="5482" spans="5:25">
      <c r="E5482"/>
      <c r="G5482"/>
      <c r="H5482"/>
      <c r="I5482"/>
      <c r="K5482"/>
      <c r="O5482"/>
      <c r="R5482"/>
      <c r="W5482" s="4"/>
      <c r="X5482" s="4"/>
      <c r="Y5482" s="4"/>
    </row>
    <row r="5483" spans="5:25">
      <c r="E5483"/>
      <c r="G5483"/>
      <c r="H5483"/>
      <c r="I5483"/>
      <c r="K5483"/>
      <c r="O5483"/>
      <c r="R5483"/>
      <c r="W5483" s="4"/>
      <c r="X5483" s="4"/>
      <c r="Y5483" s="4"/>
    </row>
    <row r="5484" spans="5:25">
      <c r="E5484"/>
      <c r="G5484"/>
      <c r="H5484"/>
      <c r="I5484"/>
      <c r="K5484"/>
      <c r="O5484"/>
      <c r="R5484"/>
      <c r="W5484" s="4"/>
      <c r="X5484" s="4"/>
      <c r="Y5484" s="4"/>
    </row>
    <row r="5485" spans="5:25">
      <c r="E5485"/>
      <c r="G5485"/>
      <c r="H5485"/>
      <c r="I5485"/>
      <c r="K5485"/>
      <c r="O5485"/>
      <c r="R5485"/>
      <c r="W5485" s="4"/>
      <c r="X5485" s="4"/>
      <c r="Y5485" s="4"/>
    </row>
    <row r="5486" spans="5:25">
      <c r="E5486"/>
      <c r="G5486"/>
      <c r="H5486"/>
      <c r="I5486"/>
      <c r="K5486"/>
      <c r="O5486"/>
      <c r="R5486"/>
      <c r="W5486" s="4"/>
      <c r="X5486" s="4"/>
      <c r="Y5486" s="4"/>
    </row>
    <row r="5487" spans="5:25">
      <c r="E5487"/>
      <c r="G5487"/>
      <c r="H5487"/>
      <c r="I5487"/>
      <c r="K5487"/>
      <c r="O5487"/>
      <c r="R5487"/>
      <c r="W5487" s="4"/>
      <c r="X5487" s="4"/>
      <c r="Y5487" s="4"/>
    </row>
    <row r="5488" spans="5:25">
      <c r="E5488"/>
      <c r="G5488"/>
      <c r="H5488"/>
      <c r="I5488"/>
      <c r="K5488"/>
      <c r="O5488"/>
      <c r="R5488"/>
      <c r="W5488" s="4"/>
      <c r="X5488" s="4"/>
      <c r="Y5488" s="4"/>
    </row>
    <row r="5489" spans="5:25">
      <c r="E5489"/>
      <c r="G5489"/>
      <c r="H5489"/>
      <c r="I5489"/>
      <c r="K5489"/>
      <c r="O5489"/>
      <c r="R5489"/>
      <c r="W5489" s="4"/>
      <c r="X5489" s="4"/>
      <c r="Y5489" s="4"/>
    </row>
    <row r="5490" spans="5:25">
      <c r="E5490"/>
      <c r="G5490"/>
      <c r="H5490"/>
      <c r="I5490"/>
      <c r="K5490"/>
      <c r="O5490"/>
      <c r="R5490"/>
      <c r="W5490" s="4"/>
      <c r="X5490" s="4"/>
      <c r="Y5490" s="4"/>
    </row>
    <row r="5491" spans="5:25">
      <c r="E5491"/>
      <c r="G5491"/>
      <c r="H5491"/>
      <c r="I5491"/>
      <c r="K5491"/>
      <c r="O5491"/>
      <c r="R5491"/>
      <c r="W5491" s="4"/>
      <c r="X5491" s="4"/>
      <c r="Y5491" s="4"/>
    </row>
    <row r="5492" spans="5:25">
      <c r="E5492"/>
      <c r="G5492"/>
      <c r="H5492"/>
      <c r="I5492"/>
      <c r="K5492"/>
      <c r="O5492"/>
      <c r="R5492"/>
      <c r="W5492" s="4"/>
      <c r="X5492" s="4"/>
      <c r="Y5492" s="4"/>
    </row>
    <row r="5493" spans="5:25">
      <c r="E5493"/>
      <c r="G5493"/>
      <c r="H5493"/>
      <c r="I5493"/>
      <c r="K5493"/>
      <c r="O5493"/>
      <c r="R5493"/>
      <c r="W5493" s="4"/>
      <c r="X5493" s="4"/>
      <c r="Y5493" s="4"/>
    </row>
    <row r="5494" spans="5:25">
      <c r="E5494"/>
      <c r="G5494"/>
      <c r="H5494"/>
      <c r="I5494"/>
      <c r="K5494"/>
      <c r="O5494"/>
      <c r="R5494"/>
      <c r="W5494" s="4"/>
      <c r="X5494" s="4"/>
      <c r="Y5494" s="4"/>
    </row>
    <row r="5495" spans="5:25">
      <c r="E5495"/>
      <c r="G5495"/>
      <c r="H5495"/>
      <c r="I5495"/>
      <c r="K5495"/>
      <c r="O5495"/>
      <c r="R5495"/>
      <c r="W5495" s="4"/>
      <c r="X5495" s="4"/>
      <c r="Y5495" s="4"/>
    </row>
    <row r="5496" spans="5:25">
      <c r="E5496"/>
      <c r="G5496"/>
      <c r="H5496"/>
      <c r="I5496"/>
      <c r="K5496"/>
      <c r="O5496"/>
      <c r="R5496"/>
      <c r="W5496" s="4"/>
      <c r="X5496" s="4"/>
      <c r="Y5496" s="4"/>
    </row>
    <row r="5497" spans="5:25">
      <c r="E5497"/>
      <c r="G5497"/>
      <c r="H5497"/>
      <c r="I5497"/>
      <c r="K5497"/>
      <c r="O5497"/>
      <c r="R5497"/>
      <c r="W5497" s="4"/>
      <c r="X5497" s="4"/>
      <c r="Y5497" s="4"/>
    </row>
    <row r="5498" spans="5:25">
      <c r="E5498"/>
      <c r="G5498"/>
      <c r="H5498"/>
      <c r="I5498"/>
      <c r="K5498"/>
      <c r="O5498"/>
      <c r="R5498"/>
      <c r="W5498" s="4"/>
      <c r="X5498" s="4"/>
      <c r="Y5498" s="4"/>
    </row>
    <row r="5499" spans="5:25">
      <c r="E5499"/>
      <c r="G5499"/>
      <c r="H5499"/>
      <c r="I5499"/>
      <c r="K5499"/>
      <c r="O5499"/>
      <c r="R5499"/>
      <c r="W5499" s="4"/>
      <c r="X5499" s="4"/>
      <c r="Y5499" s="4"/>
    </row>
    <row r="5500" spans="5:25">
      <c r="E5500"/>
      <c r="G5500"/>
      <c r="H5500"/>
      <c r="I5500"/>
      <c r="K5500"/>
      <c r="O5500"/>
      <c r="R5500"/>
      <c r="W5500" s="4"/>
      <c r="X5500" s="4"/>
      <c r="Y5500" s="4"/>
    </row>
    <row r="5501" spans="5:25">
      <c r="E5501"/>
      <c r="G5501"/>
      <c r="H5501"/>
      <c r="I5501"/>
      <c r="K5501"/>
      <c r="O5501"/>
      <c r="R5501"/>
      <c r="W5501" s="4"/>
      <c r="X5501" s="4"/>
      <c r="Y5501" s="4"/>
    </row>
    <row r="5502" spans="5:25">
      <c r="E5502"/>
      <c r="G5502"/>
      <c r="H5502"/>
      <c r="I5502"/>
      <c r="K5502"/>
      <c r="O5502"/>
      <c r="R5502"/>
      <c r="W5502" s="4"/>
      <c r="X5502" s="4"/>
      <c r="Y5502" s="4"/>
    </row>
    <row r="5503" spans="5:25">
      <c r="E5503"/>
      <c r="G5503"/>
      <c r="H5503"/>
      <c r="I5503"/>
      <c r="K5503"/>
      <c r="O5503"/>
      <c r="R5503"/>
      <c r="W5503" s="4"/>
      <c r="X5503" s="4"/>
      <c r="Y5503" s="4"/>
    </row>
    <row r="5504" spans="5:25">
      <c r="E5504"/>
      <c r="G5504"/>
      <c r="H5504"/>
      <c r="I5504"/>
      <c r="K5504"/>
      <c r="O5504"/>
      <c r="R5504"/>
      <c r="W5504" s="4"/>
      <c r="X5504" s="4"/>
      <c r="Y5504" s="4"/>
    </row>
    <row r="5505" spans="5:25">
      <c r="E5505"/>
      <c r="G5505"/>
      <c r="H5505"/>
      <c r="I5505"/>
      <c r="K5505"/>
      <c r="O5505"/>
      <c r="R5505"/>
      <c r="W5505" s="4"/>
      <c r="X5505" s="4"/>
      <c r="Y5505" s="4"/>
    </row>
    <row r="5506" spans="5:25">
      <c r="E5506"/>
      <c r="G5506"/>
      <c r="H5506"/>
      <c r="I5506"/>
      <c r="K5506"/>
      <c r="O5506"/>
      <c r="R5506"/>
      <c r="W5506" s="4"/>
      <c r="X5506" s="4"/>
      <c r="Y5506" s="4"/>
    </row>
    <row r="5507" spans="5:25">
      <c r="E5507"/>
      <c r="G5507"/>
      <c r="H5507"/>
      <c r="I5507"/>
      <c r="K5507"/>
      <c r="O5507"/>
      <c r="R5507"/>
      <c r="W5507" s="4"/>
      <c r="X5507" s="4"/>
      <c r="Y5507" s="4"/>
    </row>
    <row r="5508" spans="5:25">
      <c r="E5508"/>
      <c r="G5508"/>
      <c r="H5508"/>
      <c r="I5508"/>
      <c r="K5508"/>
      <c r="O5508"/>
      <c r="R5508"/>
      <c r="W5508" s="4"/>
      <c r="X5508" s="4"/>
      <c r="Y5508" s="4"/>
    </row>
    <row r="5509" spans="5:25">
      <c r="E5509"/>
      <c r="G5509"/>
      <c r="H5509"/>
      <c r="I5509"/>
      <c r="K5509"/>
      <c r="O5509"/>
      <c r="R5509"/>
      <c r="W5509" s="4"/>
      <c r="X5509" s="4"/>
      <c r="Y5509" s="4"/>
    </row>
    <row r="5510" spans="5:25">
      <c r="E5510"/>
      <c r="G5510"/>
      <c r="H5510"/>
      <c r="I5510"/>
      <c r="K5510"/>
      <c r="O5510"/>
      <c r="R5510"/>
      <c r="W5510" s="4"/>
      <c r="X5510" s="4"/>
      <c r="Y5510" s="4"/>
    </row>
    <row r="5511" spans="5:25">
      <c r="E5511"/>
      <c r="G5511"/>
      <c r="H5511"/>
      <c r="I5511"/>
      <c r="K5511"/>
      <c r="O5511"/>
      <c r="R5511"/>
      <c r="W5511" s="4"/>
      <c r="X5511" s="4"/>
      <c r="Y5511" s="4"/>
    </row>
    <row r="5512" spans="5:25">
      <c r="E5512"/>
      <c r="G5512"/>
      <c r="H5512"/>
      <c r="I5512"/>
      <c r="K5512"/>
      <c r="O5512"/>
      <c r="R5512"/>
      <c r="W5512" s="4"/>
      <c r="X5512" s="4"/>
      <c r="Y5512" s="4"/>
    </row>
    <row r="5513" spans="5:25">
      <c r="E5513"/>
      <c r="G5513"/>
      <c r="H5513"/>
      <c r="I5513"/>
      <c r="K5513"/>
      <c r="O5513"/>
      <c r="R5513"/>
      <c r="W5513" s="4"/>
      <c r="X5513" s="4"/>
      <c r="Y5513" s="4"/>
    </row>
    <row r="5514" spans="5:25">
      <c r="E5514"/>
      <c r="G5514"/>
      <c r="H5514"/>
      <c r="I5514"/>
      <c r="K5514"/>
      <c r="O5514"/>
      <c r="R5514"/>
      <c r="W5514" s="4"/>
      <c r="X5514" s="4"/>
      <c r="Y5514" s="4"/>
    </row>
    <row r="5515" spans="5:25">
      <c r="E5515"/>
      <c r="G5515"/>
      <c r="H5515"/>
      <c r="I5515"/>
      <c r="K5515"/>
      <c r="O5515"/>
      <c r="R5515"/>
      <c r="W5515" s="4"/>
      <c r="X5515" s="4"/>
      <c r="Y5515" s="4"/>
    </row>
    <row r="5516" spans="5:25">
      <c r="E5516"/>
      <c r="G5516"/>
      <c r="H5516"/>
      <c r="I5516"/>
      <c r="K5516"/>
      <c r="O5516"/>
      <c r="R5516"/>
      <c r="W5516" s="4"/>
      <c r="X5516" s="4"/>
      <c r="Y5516" s="4"/>
    </row>
    <row r="5517" spans="5:25">
      <c r="E5517"/>
      <c r="G5517"/>
      <c r="H5517"/>
      <c r="I5517"/>
      <c r="K5517"/>
      <c r="O5517"/>
      <c r="R5517"/>
      <c r="W5517" s="4"/>
      <c r="X5517" s="4"/>
      <c r="Y5517" s="4"/>
    </row>
    <row r="5518" spans="5:25">
      <c r="E5518"/>
      <c r="G5518"/>
      <c r="H5518"/>
      <c r="I5518"/>
      <c r="K5518"/>
      <c r="O5518"/>
      <c r="R5518"/>
      <c r="W5518" s="4"/>
      <c r="X5518" s="4"/>
      <c r="Y5518" s="4"/>
    </row>
    <row r="5519" spans="5:25">
      <c r="E5519"/>
      <c r="G5519"/>
      <c r="H5519"/>
      <c r="I5519"/>
      <c r="K5519"/>
      <c r="O5519"/>
      <c r="R5519"/>
      <c r="W5519" s="4"/>
      <c r="X5519" s="4"/>
      <c r="Y5519" s="4"/>
    </row>
    <row r="5520" spans="5:25">
      <c r="E5520"/>
      <c r="G5520"/>
      <c r="H5520"/>
      <c r="I5520"/>
      <c r="K5520"/>
      <c r="O5520"/>
      <c r="R5520"/>
      <c r="W5520" s="4"/>
      <c r="X5520" s="4"/>
      <c r="Y5520" s="4"/>
    </row>
    <row r="5521" spans="5:25">
      <c r="E5521"/>
      <c r="G5521"/>
      <c r="H5521"/>
      <c r="I5521"/>
      <c r="K5521"/>
      <c r="O5521"/>
      <c r="R5521"/>
      <c r="W5521" s="4"/>
      <c r="X5521" s="4"/>
      <c r="Y5521" s="4"/>
    </row>
    <row r="5522" spans="5:25">
      <c r="E5522"/>
      <c r="G5522"/>
      <c r="H5522"/>
      <c r="I5522"/>
      <c r="K5522"/>
      <c r="O5522"/>
      <c r="R5522"/>
      <c r="W5522" s="4"/>
      <c r="X5522" s="4"/>
      <c r="Y5522" s="4"/>
    </row>
    <row r="5523" spans="5:25">
      <c r="E5523"/>
      <c r="G5523"/>
      <c r="H5523"/>
      <c r="I5523"/>
      <c r="K5523"/>
      <c r="O5523"/>
      <c r="R5523"/>
      <c r="W5523" s="4"/>
      <c r="X5523" s="4"/>
      <c r="Y5523" s="4"/>
    </row>
    <row r="5524" spans="5:25">
      <c r="E5524"/>
      <c r="G5524"/>
      <c r="H5524"/>
      <c r="I5524"/>
      <c r="K5524"/>
      <c r="O5524"/>
      <c r="R5524"/>
      <c r="W5524" s="4"/>
      <c r="X5524" s="4"/>
      <c r="Y5524" s="4"/>
    </row>
    <row r="5525" spans="5:25">
      <c r="E5525"/>
      <c r="G5525"/>
      <c r="H5525"/>
      <c r="I5525"/>
      <c r="K5525"/>
      <c r="O5525"/>
      <c r="R5525"/>
      <c r="W5525" s="4"/>
      <c r="X5525" s="4"/>
      <c r="Y5525" s="4"/>
    </row>
    <row r="5526" spans="5:25">
      <c r="E5526"/>
      <c r="G5526"/>
      <c r="H5526"/>
      <c r="I5526"/>
      <c r="K5526"/>
      <c r="O5526"/>
      <c r="R5526"/>
      <c r="W5526" s="4"/>
      <c r="X5526" s="4"/>
      <c r="Y5526" s="4"/>
    </row>
    <row r="5527" spans="5:25">
      <c r="E5527"/>
      <c r="G5527"/>
      <c r="H5527"/>
      <c r="I5527"/>
      <c r="K5527"/>
      <c r="O5527"/>
      <c r="R5527"/>
      <c r="W5527" s="4"/>
      <c r="X5527" s="4"/>
      <c r="Y5527" s="4"/>
    </row>
    <row r="5528" spans="5:25">
      <c r="E5528"/>
      <c r="G5528"/>
      <c r="H5528"/>
      <c r="I5528"/>
      <c r="K5528"/>
      <c r="O5528"/>
      <c r="R5528"/>
      <c r="W5528" s="4"/>
      <c r="X5528" s="4"/>
      <c r="Y5528" s="4"/>
    </row>
    <row r="5529" spans="5:25">
      <c r="E5529"/>
      <c r="G5529"/>
      <c r="H5529"/>
      <c r="I5529"/>
      <c r="K5529"/>
      <c r="O5529"/>
      <c r="R5529"/>
      <c r="W5529" s="4"/>
      <c r="X5529" s="4"/>
      <c r="Y5529" s="4"/>
    </row>
    <row r="5530" spans="5:25">
      <c r="E5530"/>
      <c r="G5530"/>
      <c r="H5530"/>
      <c r="I5530"/>
      <c r="K5530"/>
      <c r="O5530"/>
      <c r="R5530"/>
      <c r="W5530" s="4"/>
      <c r="X5530" s="4"/>
      <c r="Y5530" s="4"/>
    </row>
    <row r="5531" spans="5:25">
      <c r="E5531"/>
      <c r="G5531"/>
      <c r="H5531"/>
      <c r="I5531"/>
      <c r="K5531"/>
      <c r="O5531"/>
      <c r="R5531"/>
      <c r="W5531" s="4"/>
      <c r="X5531" s="4"/>
      <c r="Y5531" s="4"/>
    </row>
    <row r="5532" spans="5:25">
      <c r="E5532"/>
      <c r="G5532"/>
      <c r="H5532"/>
      <c r="I5532"/>
      <c r="K5532"/>
      <c r="O5532"/>
      <c r="R5532"/>
      <c r="W5532" s="4"/>
      <c r="X5532" s="4"/>
      <c r="Y5532" s="4"/>
    </row>
    <row r="5533" spans="5:25">
      <c r="E5533"/>
      <c r="G5533"/>
      <c r="H5533"/>
      <c r="I5533"/>
      <c r="K5533"/>
      <c r="O5533"/>
      <c r="R5533"/>
      <c r="W5533" s="4"/>
      <c r="X5533" s="4"/>
      <c r="Y5533" s="4"/>
    </row>
    <row r="5534" spans="5:25">
      <c r="E5534"/>
      <c r="G5534"/>
      <c r="H5534"/>
      <c r="I5534"/>
      <c r="K5534"/>
      <c r="O5534"/>
      <c r="R5534"/>
      <c r="W5534" s="4"/>
      <c r="X5534" s="4"/>
      <c r="Y5534" s="4"/>
    </row>
    <row r="5535" spans="5:25">
      <c r="E5535"/>
      <c r="G5535"/>
      <c r="H5535"/>
      <c r="I5535"/>
      <c r="K5535"/>
      <c r="O5535"/>
      <c r="R5535"/>
      <c r="W5535" s="4"/>
      <c r="X5535" s="4"/>
      <c r="Y5535" s="4"/>
    </row>
    <row r="5536" spans="5:25">
      <c r="E5536"/>
      <c r="G5536"/>
      <c r="H5536"/>
      <c r="I5536"/>
      <c r="K5536"/>
      <c r="O5536"/>
      <c r="R5536"/>
      <c r="W5536" s="4"/>
      <c r="X5536" s="4"/>
      <c r="Y5536" s="4"/>
    </row>
    <row r="5537" spans="5:25">
      <c r="E5537"/>
      <c r="G5537"/>
      <c r="H5537"/>
      <c r="I5537"/>
      <c r="K5537"/>
      <c r="O5537"/>
      <c r="R5537"/>
      <c r="W5537" s="4"/>
      <c r="X5537" s="4"/>
      <c r="Y5537" s="4"/>
    </row>
    <row r="5538" spans="5:25">
      <c r="E5538"/>
      <c r="G5538"/>
      <c r="H5538"/>
      <c r="I5538"/>
      <c r="K5538"/>
      <c r="O5538"/>
      <c r="R5538"/>
      <c r="W5538" s="4"/>
      <c r="X5538" s="4"/>
      <c r="Y5538" s="4"/>
    </row>
    <row r="5539" spans="5:25">
      <c r="E5539"/>
      <c r="G5539"/>
      <c r="H5539"/>
      <c r="I5539"/>
      <c r="K5539"/>
      <c r="O5539"/>
      <c r="R5539"/>
      <c r="W5539" s="4"/>
      <c r="X5539" s="4"/>
      <c r="Y5539" s="4"/>
    </row>
    <row r="5540" spans="5:25">
      <c r="E5540"/>
      <c r="G5540"/>
      <c r="H5540"/>
      <c r="I5540"/>
      <c r="K5540"/>
      <c r="O5540"/>
      <c r="R5540"/>
      <c r="W5540" s="4"/>
      <c r="X5540" s="4"/>
      <c r="Y5540" s="4"/>
    </row>
    <row r="5541" spans="5:25">
      <c r="E5541"/>
      <c r="G5541"/>
      <c r="H5541"/>
      <c r="I5541"/>
      <c r="K5541"/>
      <c r="O5541"/>
      <c r="R5541"/>
      <c r="W5541" s="4"/>
      <c r="X5541" s="4"/>
      <c r="Y5541" s="4"/>
    </row>
    <row r="5542" spans="5:25">
      <c r="E5542"/>
      <c r="G5542"/>
      <c r="H5542"/>
      <c r="I5542"/>
      <c r="K5542"/>
      <c r="O5542"/>
      <c r="R5542"/>
      <c r="W5542" s="4"/>
      <c r="X5542" s="4"/>
      <c r="Y5542" s="4"/>
    </row>
    <row r="5543" spans="5:25">
      <c r="E5543"/>
      <c r="G5543"/>
      <c r="H5543"/>
      <c r="I5543"/>
      <c r="K5543"/>
      <c r="O5543"/>
      <c r="R5543"/>
      <c r="W5543" s="4"/>
      <c r="X5543" s="4"/>
      <c r="Y5543" s="4"/>
    </row>
    <row r="5544" spans="5:25">
      <c r="E5544"/>
      <c r="G5544"/>
      <c r="H5544"/>
      <c r="I5544"/>
      <c r="K5544"/>
      <c r="O5544"/>
      <c r="R5544"/>
      <c r="W5544" s="4"/>
      <c r="X5544" s="4"/>
      <c r="Y5544" s="4"/>
    </row>
    <row r="5545" spans="5:25">
      <c r="E5545"/>
      <c r="G5545"/>
      <c r="H5545"/>
      <c r="I5545"/>
      <c r="K5545"/>
      <c r="O5545"/>
      <c r="R5545"/>
      <c r="W5545" s="4"/>
      <c r="X5545" s="4"/>
      <c r="Y5545" s="4"/>
    </row>
    <row r="5546" spans="5:25">
      <c r="E5546"/>
      <c r="G5546"/>
      <c r="H5546"/>
      <c r="I5546"/>
      <c r="K5546"/>
      <c r="O5546"/>
      <c r="R5546"/>
      <c r="W5546" s="4"/>
      <c r="X5546" s="4"/>
      <c r="Y5546" s="4"/>
    </row>
    <row r="5547" spans="5:25">
      <c r="E5547"/>
      <c r="G5547"/>
      <c r="H5547"/>
      <c r="I5547"/>
      <c r="K5547"/>
      <c r="O5547"/>
      <c r="R5547"/>
      <c r="W5547" s="4"/>
      <c r="X5547" s="4"/>
      <c r="Y5547" s="4"/>
    </row>
    <row r="5548" spans="5:25">
      <c r="E5548"/>
      <c r="G5548"/>
      <c r="H5548"/>
      <c r="I5548"/>
      <c r="K5548"/>
      <c r="O5548"/>
      <c r="R5548"/>
      <c r="W5548" s="4"/>
      <c r="X5548" s="4"/>
      <c r="Y5548" s="4"/>
    </row>
    <row r="5549" spans="5:25">
      <c r="E5549"/>
      <c r="G5549"/>
      <c r="H5549"/>
      <c r="I5549"/>
      <c r="K5549"/>
      <c r="O5549"/>
      <c r="R5549"/>
      <c r="W5549" s="4"/>
      <c r="X5549" s="4"/>
      <c r="Y5549" s="4"/>
    </row>
    <row r="5550" spans="5:25">
      <c r="E5550"/>
      <c r="G5550"/>
      <c r="H5550"/>
      <c r="I5550"/>
      <c r="K5550"/>
      <c r="O5550"/>
      <c r="R5550"/>
      <c r="W5550" s="4"/>
      <c r="X5550" s="4"/>
      <c r="Y5550" s="4"/>
    </row>
    <row r="5551" spans="5:25">
      <c r="E5551"/>
      <c r="G5551"/>
      <c r="H5551"/>
      <c r="I5551"/>
      <c r="K5551"/>
      <c r="O5551"/>
      <c r="R5551"/>
      <c r="W5551" s="4"/>
      <c r="X5551" s="4"/>
      <c r="Y5551" s="4"/>
    </row>
    <row r="5552" spans="5:25">
      <c r="E5552"/>
      <c r="G5552"/>
      <c r="H5552"/>
      <c r="I5552"/>
      <c r="K5552"/>
      <c r="O5552"/>
      <c r="R5552"/>
      <c r="W5552" s="4"/>
      <c r="X5552" s="4"/>
      <c r="Y5552" s="4"/>
    </row>
    <row r="5553" spans="5:25">
      <c r="E5553"/>
      <c r="G5553"/>
      <c r="H5553"/>
      <c r="I5553"/>
      <c r="K5553"/>
      <c r="O5553"/>
      <c r="R5553"/>
      <c r="W5553" s="4"/>
      <c r="X5553" s="4"/>
      <c r="Y5553" s="4"/>
    </row>
    <row r="5554" spans="5:25">
      <c r="E5554"/>
      <c r="G5554"/>
      <c r="H5554"/>
      <c r="I5554"/>
      <c r="K5554"/>
      <c r="O5554"/>
      <c r="R5554"/>
      <c r="W5554" s="4"/>
      <c r="X5554" s="4"/>
      <c r="Y5554" s="4"/>
    </row>
    <row r="5555" spans="5:25">
      <c r="E5555"/>
      <c r="G5555"/>
      <c r="H5555"/>
      <c r="I5555"/>
      <c r="K5555"/>
      <c r="O5555"/>
      <c r="R5555"/>
      <c r="W5555" s="4"/>
      <c r="X5555" s="4"/>
      <c r="Y5555" s="4"/>
    </row>
    <row r="5556" spans="5:25">
      <c r="E5556"/>
      <c r="G5556"/>
      <c r="H5556"/>
      <c r="I5556"/>
      <c r="K5556"/>
      <c r="O5556"/>
      <c r="R5556"/>
      <c r="W5556" s="4"/>
      <c r="X5556" s="4"/>
      <c r="Y5556" s="4"/>
    </row>
    <row r="5557" spans="5:25">
      <c r="E5557"/>
      <c r="G5557"/>
      <c r="H5557"/>
      <c r="I5557"/>
      <c r="K5557"/>
      <c r="O5557"/>
      <c r="R5557"/>
      <c r="W5557" s="4"/>
      <c r="X5557" s="4"/>
      <c r="Y5557" s="4"/>
    </row>
    <row r="5558" spans="5:25">
      <c r="E5558"/>
      <c r="G5558"/>
      <c r="H5558"/>
      <c r="I5558"/>
      <c r="K5558"/>
      <c r="O5558"/>
      <c r="R5558"/>
      <c r="W5558" s="4"/>
      <c r="X5558" s="4"/>
      <c r="Y5558" s="4"/>
    </row>
    <row r="5559" spans="5:25">
      <c r="E5559"/>
      <c r="G5559"/>
      <c r="H5559"/>
      <c r="I5559"/>
      <c r="K5559"/>
      <c r="O5559"/>
      <c r="R5559"/>
      <c r="W5559" s="4"/>
      <c r="X5559" s="4"/>
      <c r="Y5559" s="4"/>
    </row>
    <row r="5560" spans="5:25">
      <c r="E5560"/>
      <c r="G5560"/>
      <c r="H5560"/>
      <c r="I5560"/>
      <c r="K5560"/>
      <c r="O5560"/>
      <c r="R5560"/>
      <c r="W5560" s="4"/>
      <c r="X5560" s="4"/>
      <c r="Y5560" s="4"/>
    </row>
    <row r="5561" spans="5:25">
      <c r="E5561"/>
      <c r="G5561"/>
      <c r="H5561"/>
      <c r="I5561"/>
      <c r="K5561"/>
      <c r="O5561"/>
      <c r="R5561"/>
      <c r="W5561" s="4"/>
      <c r="X5561" s="4"/>
      <c r="Y5561" s="4"/>
    </row>
    <row r="5562" spans="5:25">
      <c r="E5562"/>
      <c r="G5562"/>
      <c r="H5562"/>
      <c r="I5562"/>
      <c r="K5562"/>
      <c r="O5562"/>
      <c r="R5562"/>
      <c r="W5562" s="4"/>
      <c r="X5562" s="4"/>
      <c r="Y5562" s="4"/>
    </row>
    <row r="5563" spans="5:25">
      <c r="E5563"/>
      <c r="G5563"/>
      <c r="H5563"/>
      <c r="I5563"/>
      <c r="K5563"/>
      <c r="O5563"/>
      <c r="R5563"/>
      <c r="W5563" s="4"/>
      <c r="X5563" s="4"/>
      <c r="Y5563" s="4"/>
    </row>
    <row r="5564" spans="5:25">
      <c r="E5564"/>
      <c r="G5564"/>
      <c r="H5564"/>
      <c r="I5564"/>
      <c r="K5564"/>
      <c r="O5564"/>
      <c r="R5564"/>
      <c r="W5564" s="4"/>
      <c r="X5564" s="4"/>
      <c r="Y5564" s="4"/>
    </row>
    <row r="5565" spans="5:25">
      <c r="E5565"/>
      <c r="G5565"/>
      <c r="H5565"/>
      <c r="I5565"/>
      <c r="K5565"/>
      <c r="O5565"/>
      <c r="R5565"/>
      <c r="W5565" s="4"/>
      <c r="X5565" s="4"/>
      <c r="Y5565" s="4"/>
    </row>
    <row r="5566" spans="5:25">
      <c r="E5566"/>
      <c r="G5566"/>
      <c r="H5566"/>
      <c r="I5566"/>
      <c r="K5566"/>
      <c r="O5566"/>
      <c r="R5566"/>
      <c r="W5566" s="4"/>
      <c r="X5566" s="4"/>
      <c r="Y5566" s="4"/>
    </row>
    <row r="5567" spans="5:25">
      <c r="E5567"/>
      <c r="G5567"/>
      <c r="H5567"/>
      <c r="I5567"/>
      <c r="K5567"/>
      <c r="O5567"/>
      <c r="R5567"/>
      <c r="W5567" s="4"/>
      <c r="X5567" s="4"/>
      <c r="Y5567" s="4"/>
    </row>
    <row r="5568" spans="5:25">
      <c r="E5568"/>
      <c r="G5568"/>
      <c r="H5568"/>
      <c r="I5568"/>
      <c r="K5568"/>
      <c r="O5568"/>
      <c r="R5568"/>
      <c r="W5568" s="4"/>
      <c r="X5568" s="4"/>
      <c r="Y5568" s="4"/>
    </row>
    <row r="5569" spans="5:25">
      <c r="E5569"/>
      <c r="G5569"/>
      <c r="H5569"/>
      <c r="I5569"/>
      <c r="K5569"/>
      <c r="O5569"/>
      <c r="R5569"/>
      <c r="W5569" s="4"/>
      <c r="X5569" s="4"/>
      <c r="Y5569" s="4"/>
    </row>
    <row r="5570" spans="5:25">
      <c r="E5570"/>
      <c r="G5570"/>
      <c r="H5570"/>
      <c r="I5570"/>
      <c r="K5570"/>
      <c r="O5570"/>
      <c r="R5570"/>
      <c r="W5570" s="4"/>
      <c r="X5570" s="4"/>
      <c r="Y5570" s="4"/>
    </row>
    <row r="5571" spans="5:25">
      <c r="E5571"/>
      <c r="G5571"/>
      <c r="H5571"/>
      <c r="I5571"/>
      <c r="K5571"/>
      <c r="O5571"/>
      <c r="R5571"/>
      <c r="W5571" s="4"/>
      <c r="X5571" s="4"/>
      <c r="Y5571" s="4"/>
    </row>
    <row r="5572" spans="5:25">
      <c r="E5572"/>
      <c r="G5572"/>
      <c r="H5572"/>
      <c r="I5572"/>
      <c r="K5572"/>
      <c r="O5572"/>
      <c r="R5572"/>
      <c r="W5572" s="4"/>
      <c r="X5572" s="4"/>
      <c r="Y5572" s="4"/>
    </row>
    <row r="5573" spans="5:25">
      <c r="E5573"/>
      <c r="G5573"/>
      <c r="H5573"/>
      <c r="I5573"/>
      <c r="K5573"/>
      <c r="O5573"/>
      <c r="R5573"/>
      <c r="W5573" s="4"/>
      <c r="X5573" s="4"/>
      <c r="Y5573" s="4"/>
    </row>
    <row r="5574" spans="5:25">
      <c r="E5574"/>
      <c r="G5574"/>
      <c r="H5574"/>
      <c r="I5574"/>
      <c r="K5574"/>
      <c r="O5574"/>
      <c r="R5574"/>
      <c r="W5574" s="4"/>
      <c r="X5574" s="4"/>
      <c r="Y5574" s="4"/>
    </row>
    <row r="5575" spans="5:25">
      <c r="E5575"/>
      <c r="G5575"/>
      <c r="H5575"/>
      <c r="I5575"/>
      <c r="K5575"/>
      <c r="O5575"/>
      <c r="R5575"/>
      <c r="W5575" s="4"/>
      <c r="X5575" s="4"/>
      <c r="Y5575" s="4"/>
    </row>
    <row r="5576" spans="5:25">
      <c r="E5576"/>
      <c r="G5576"/>
      <c r="H5576"/>
      <c r="I5576"/>
      <c r="K5576"/>
      <c r="O5576"/>
      <c r="R5576"/>
      <c r="W5576" s="4"/>
      <c r="X5576" s="4"/>
      <c r="Y5576" s="4"/>
    </row>
    <row r="5577" spans="5:25">
      <c r="E5577"/>
      <c r="G5577"/>
      <c r="H5577"/>
      <c r="I5577"/>
      <c r="K5577"/>
      <c r="O5577"/>
      <c r="R5577"/>
      <c r="W5577" s="4"/>
      <c r="X5577" s="4"/>
      <c r="Y5577" s="4"/>
    </row>
    <row r="5578" spans="5:25">
      <c r="E5578"/>
      <c r="G5578"/>
      <c r="H5578"/>
      <c r="I5578"/>
      <c r="K5578"/>
      <c r="O5578"/>
      <c r="R5578"/>
      <c r="W5578" s="4"/>
      <c r="X5578" s="4"/>
      <c r="Y5578" s="4"/>
    </row>
    <row r="5579" spans="5:25">
      <c r="E5579"/>
      <c r="G5579"/>
      <c r="H5579"/>
      <c r="I5579"/>
      <c r="K5579"/>
      <c r="O5579"/>
      <c r="R5579"/>
      <c r="W5579" s="4"/>
      <c r="X5579" s="4"/>
      <c r="Y5579" s="4"/>
    </row>
    <row r="5580" spans="5:25">
      <c r="E5580"/>
      <c r="G5580"/>
      <c r="H5580"/>
      <c r="I5580"/>
      <c r="K5580"/>
      <c r="O5580"/>
      <c r="R5580"/>
      <c r="W5580" s="4"/>
      <c r="X5580" s="4"/>
      <c r="Y5580" s="4"/>
    </row>
    <row r="5581" spans="5:25">
      <c r="E5581"/>
      <c r="G5581"/>
      <c r="H5581"/>
      <c r="I5581"/>
      <c r="K5581"/>
      <c r="O5581"/>
      <c r="R5581"/>
      <c r="W5581" s="4"/>
      <c r="X5581" s="4"/>
      <c r="Y5581" s="4"/>
    </row>
    <row r="5582" spans="5:25">
      <c r="E5582"/>
      <c r="G5582"/>
      <c r="H5582"/>
      <c r="I5582"/>
      <c r="K5582"/>
      <c r="O5582"/>
      <c r="R5582"/>
      <c r="W5582" s="4"/>
      <c r="X5582" s="4"/>
      <c r="Y5582" s="4"/>
    </row>
    <row r="5583" spans="5:25">
      <c r="E5583"/>
      <c r="G5583"/>
      <c r="H5583"/>
      <c r="I5583"/>
      <c r="K5583"/>
      <c r="O5583"/>
      <c r="R5583"/>
      <c r="W5583" s="4"/>
      <c r="X5583" s="4"/>
      <c r="Y5583" s="4"/>
    </row>
    <row r="5584" spans="5:25">
      <c r="E5584"/>
      <c r="G5584"/>
      <c r="H5584"/>
      <c r="I5584"/>
      <c r="K5584"/>
      <c r="O5584"/>
      <c r="R5584"/>
      <c r="W5584" s="4"/>
      <c r="X5584" s="4"/>
      <c r="Y5584" s="4"/>
    </row>
    <row r="5585" spans="5:25">
      <c r="E5585"/>
      <c r="G5585"/>
      <c r="H5585"/>
      <c r="I5585"/>
      <c r="K5585"/>
      <c r="O5585"/>
      <c r="R5585"/>
      <c r="W5585" s="4"/>
      <c r="X5585" s="4"/>
      <c r="Y5585" s="4"/>
    </row>
    <row r="5586" spans="5:25">
      <c r="E5586"/>
      <c r="G5586"/>
      <c r="H5586"/>
      <c r="I5586"/>
      <c r="K5586"/>
      <c r="O5586"/>
      <c r="R5586"/>
      <c r="W5586" s="4"/>
      <c r="X5586" s="4"/>
      <c r="Y5586" s="4"/>
    </row>
    <row r="5587" spans="5:25">
      <c r="E5587"/>
      <c r="G5587"/>
      <c r="H5587"/>
      <c r="I5587"/>
      <c r="K5587"/>
      <c r="O5587"/>
      <c r="R5587"/>
      <c r="W5587" s="4"/>
      <c r="X5587" s="4"/>
      <c r="Y5587" s="4"/>
    </row>
    <row r="5588" spans="5:25">
      <c r="E5588"/>
      <c r="G5588"/>
      <c r="H5588"/>
      <c r="I5588"/>
      <c r="K5588"/>
      <c r="O5588"/>
      <c r="R5588"/>
      <c r="W5588" s="4"/>
      <c r="X5588" s="4"/>
      <c r="Y5588" s="4"/>
    </row>
    <row r="5589" spans="5:25">
      <c r="E5589"/>
      <c r="G5589"/>
      <c r="H5589"/>
      <c r="I5589"/>
      <c r="K5589"/>
      <c r="O5589"/>
      <c r="R5589"/>
      <c r="W5589" s="4"/>
      <c r="X5589" s="4"/>
      <c r="Y5589" s="4"/>
    </row>
    <row r="5590" spans="5:25">
      <c r="E5590"/>
      <c r="G5590"/>
      <c r="H5590"/>
      <c r="I5590"/>
      <c r="K5590"/>
      <c r="O5590"/>
      <c r="R5590"/>
      <c r="W5590" s="4"/>
      <c r="X5590" s="4"/>
      <c r="Y5590" s="4"/>
    </row>
    <row r="5591" spans="5:25">
      <c r="E5591"/>
      <c r="G5591"/>
      <c r="H5591"/>
      <c r="I5591"/>
      <c r="K5591"/>
      <c r="O5591"/>
      <c r="R5591"/>
      <c r="W5591" s="4"/>
      <c r="X5591" s="4"/>
      <c r="Y5591" s="4"/>
    </row>
    <row r="5592" spans="5:25">
      <c r="E5592"/>
      <c r="G5592"/>
      <c r="H5592"/>
      <c r="I5592"/>
      <c r="K5592"/>
      <c r="O5592"/>
      <c r="R5592"/>
      <c r="W5592" s="4"/>
      <c r="X5592" s="4"/>
      <c r="Y5592" s="4"/>
    </row>
    <row r="5593" spans="5:25">
      <c r="E5593"/>
      <c r="G5593"/>
      <c r="H5593"/>
      <c r="I5593"/>
      <c r="K5593"/>
      <c r="O5593"/>
      <c r="R5593"/>
      <c r="W5593" s="4"/>
      <c r="X5593" s="4"/>
      <c r="Y5593" s="4"/>
    </row>
    <row r="5594" spans="5:25">
      <c r="E5594"/>
      <c r="G5594"/>
      <c r="H5594"/>
      <c r="I5594"/>
      <c r="K5594"/>
      <c r="O5594"/>
      <c r="R5594"/>
      <c r="W5594" s="4"/>
      <c r="X5594" s="4"/>
      <c r="Y5594" s="4"/>
    </row>
    <row r="5595" spans="5:25">
      <c r="E5595"/>
      <c r="G5595"/>
      <c r="H5595"/>
      <c r="I5595"/>
      <c r="K5595"/>
      <c r="O5595"/>
      <c r="R5595"/>
      <c r="W5595" s="4"/>
      <c r="X5595" s="4"/>
      <c r="Y5595" s="4"/>
    </row>
    <row r="5596" spans="5:25">
      <c r="E5596"/>
      <c r="G5596"/>
      <c r="H5596"/>
      <c r="I5596"/>
      <c r="K5596"/>
      <c r="O5596"/>
      <c r="R5596"/>
      <c r="W5596" s="4"/>
      <c r="X5596" s="4"/>
      <c r="Y5596" s="4"/>
    </row>
    <row r="5597" spans="5:25">
      <c r="E5597"/>
      <c r="G5597"/>
      <c r="H5597"/>
      <c r="I5597"/>
      <c r="K5597"/>
      <c r="O5597"/>
      <c r="R5597"/>
      <c r="W5597" s="4"/>
      <c r="X5597" s="4"/>
      <c r="Y5597" s="4"/>
    </row>
    <row r="5598" spans="5:25">
      <c r="E5598"/>
      <c r="G5598"/>
      <c r="H5598"/>
      <c r="I5598"/>
      <c r="K5598"/>
      <c r="O5598"/>
      <c r="R5598"/>
      <c r="W5598" s="4"/>
      <c r="X5598" s="4"/>
      <c r="Y5598" s="4"/>
    </row>
    <row r="5599" spans="5:25">
      <c r="E5599"/>
      <c r="G5599"/>
      <c r="H5599"/>
      <c r="I5599"/>
      <c r="K5599"/>
      <c r="O5599"/>
      <c r="R5599"/>
      <c r="W5599" s="4"/>
      <c r="X5599" s="4"/>
      <c r="Y5599" s="4"/>
    </row>
    <row r="5600" spans="5:25">
      <c r="E5600"/>
      <c r="G5600"/>
      <c r="H5600"/>
      <c r="I5600"/>
      <c r="K5600"/>
      <c r="O5600"/>
      <c r="R5600"/>
      <c r="W5600" s="4"/>
      <c r="X5600" s="4"/>
      <c r="Y5600" s="4"/>
    </row>
    <row r="5601" spans="5:25">
      <c r="E5601"/>
      <c r="G5601"/>
      <c r="H5601"/>
      <c r="I5601"/>
      <c r="K5601"/>
      <c r="O5601"/>
      <c r="R5601"/>
      <c r="W5601" s="4"/>
      <c r="X5601" s="4"/>
      <c r="Y5601" s="4"/>
    </row>
    <row r="5602" spans="5:25">
      <c r="E5602"/>
      <c r="G5602"/>
      <c r="H5602"/>
      <c r="I5602"/>
      <c r="K5602"/>
      <c r="O5602"/>
      <c r="R5602"/>
      <c r="W5602" s="4"/>
      <c r="X5602" s="4"/>
      <c r="Y5602" s="4"/>
    </row>
    <row r="5603" spans="5:25">
      <c r="E5603"/>
      <c r="G5603"/>
      <c r="H5603"/>
      <c r="I5603"/>
      <c r="K5603"/>
      <c r="O5603"/>
      <c r="R5603"/>
      <c r="W5603" s="4"/>
      <c r="X5603" s="4"/>
      <c r="Y5603" s="4"/>
    </row>
    <row r="5604" spans="5:25">
      <c r="E5604"/>
      <c r="G5604"/>
      <c r="H5604"/>
      <c r="I5604"/>
      <c r="K5604"/>
      <c r="O5604"/>
      <c r="R5604"/>
      <c r="W5604" s="4"/>
      <c r="X5604" s="4"/>
      <c r="Y5604" s="4"/>
    </row>
    <row r="5605" spans="5:25">
      <c r="E5605"/>
      <c r="G5605"/>
      <c r="H5605"/>
      <c r="I5605"/>
      <c r="K5605"/>
      <c r="O5605"/>
      <c r="R5605"/>
      <c r="W5605" s="4"/>
      <c r="X5605" s="4"/>
      <c r="Y5605" s="4"/>
    </row>
    <row r="5606" spans="5:25">
      <c r="E5606"/>
      <c r="G5606"/>
      <c r="H5606"/>
      <c r="I5606"/>
      <c r="K5606"/>
      <c r="O5606"/>
      <c r="R5606"/>
      <c r="W5606" s="4"/>
      <c r="X5606" s="4"/>
      <c r="Y5606" s="4"/>
    </row>
    <row r="5607" spans="5:25">
      <c r="E5607"/>
      <c r="G5607"/>
      <c r="H5607"/>
      <c r="I5607"/>
      <c r="K5607"/>
      <c r="O5607"/>
      <c r="R5607"/>
      <c r="W5607" s="4"/>
      <c r="X5607" s="4"/>
      <c r="Y5607" s="4"/>
    </row>
    <row r="5608" spans="5:25">
      <c r="E5608"/>
      <c r="G5608"/>
      <c r="H5608"/>
      <c r="I5608"/>
      <c r="K5608"/>
      <c r="O5608"/>
      <c r="R5608"/>
      <c r="W5608" s="4"/>
      <c r="X5608" s="4"/>
      <c r="Y5608" s="4"/>
    </row>
    <row r="5609" spans="5:25">
      <c r="E5609"/>
      <c r="G5609"/>
      <c r="H5609"/>
      <c r="I5609"/>
      <c r="K5609"/>
      <c r="O5609"/>
      <c r="R5609"/>
      <c r="W5609" s="4"/>
      <c r="X5609" s="4"/>
      <c r="Y5609" s="4"/>
    </row>
    <row r="5610" spans="5:25">
      <c r="E5610"/>
      <c r="G5610"/>
      <c r="H5610"/>
      <c r="I5610"/>
      <c r="K5610"/>
      <c r="O5610"/>
      <c r="R5610"/>
      <c r="W5610" s="4"/>
      <c r="X5610" s="4"/>
      <c r="Y5610" s="4"/>
    </row>
    <row r="5611" spans="5:25">
      <c r="E5611"/>
      <c r="G5611"/>
      <c r="H5611"/>
      <c r="I5611"/>
      <c r="K5611"/>
      <c r="O5611"/>
      <c r="R5611"/>
      <c r="W5611" s="4"/>
      <c r="X5611" s="4"/>
      <c r="Y5611" s="4"/>
    </row>
    <row r="5612" spans="5:25">
      <c r="E5612"/>
      <c r="G5612"/>
      <c r="H5612"/>
      <c r="I5612"/>
      <c r="K5612"/>
      <c r="O5612"/>
      <c r="R5612"/>
      <c r="W5612" s="4"/>
      <c r="X5612" s="4"/>
      <c r="Y5612" s="4"/>
    </row>
    <row r="5613" spans="5:25">
      <c r="E5613"/>
      <c r="G5613"/>
      <c r="H5613"/>
      <c r="I5613"/>
      <c r="K5613"/>
      <c r="O5613"/>
      <c r="R5613"/>
      <c r="W5613" s="4"/>
      <c r="X5613" s="4"/>
      <c r="Y5613" s="4"/>
    </row>
    <row r="5614" spans="5:25">
      <c r="E5614"/>
      <c r="G5614"/>
      <c r="H5614"/>
      <c r="I5614"/>
      <c r="K5614"/>
      <c r="O5614"/>
      <c r="R5614"/>
      <c r="W5614" s="4"/>
      <c r="X5614" s="4"/>
      <c r="Y5614" s="4"/>
    </row>
    <row r="5615" spans="5:25">
      <c r="E5615"/>
      <c r="G5615"/>
      <c r="H5615"/>
      <c r="I5615"/>
      <c r="K5615"/>
      <c r="O5615"/>
      <c r="R5615"/>
      <c r="W5615" s="4"/>
      <c r="X5615" s="4"/>
      <c r="Y5615" s="4"/>
    </row>
    <row r="5616" spans="5:25">
      <c r="E5616"/>
      <c r="G5616"/>
      <c r="H5616"/>
      <c r="I5616"/>
      <c r="K5616"/>
      <c r="O5616"/>
      <c r="R5616"/>
      <c r="W5616" s="4"/>
      <c r="X5616" s="4"/>
      <c r="Y5616" s="4"/>
    </row>
    <row r="5617" spans="5:25">
      <c r="E5617"/>
      <c r="G5617"/>
      <c r="H5617"/>
      <c r="I5617"/>
      <c r="K5617"/>
      <c r="O5617"/>
      <c r="R5617"/>
      <c r="W5617" s="4"/>
      <c r="X5617" s="4"/>
      <c r="Y5617" s="4"/>
    </row>
    <row r="5618" spans="5:25">
      <c r="E5618"/>
      <c r="G5618"/>
      <c r="H5618"/>
      <c r="I5618"/>
      <c r="K5618"/>
      <c r="O5618"/>
      <c r="R5618"/>
      <c r="W5618" s="4"/>
      <c r="X5618" s="4"/>
      <c r="Y5618" s="4"/>
    </row>
    <row r="5619" spans="5:25">
      <c r="E5619"/>
      <c r="G5619"/>
      <c r="H5619"/>
      <c r="I5619"/>
      <c r="K5619"/>
      <c r="O5619"/>
      <c r="R5619"/>
      <c r="W5619" s="4"/>
      <c r="X5619" s="4"/>
      <c r="Y5619" s="4"/>
    </row>
    <row r="5620" spans="5:25">
      <c r="E5620"/>
      <c r="G5620"/>
      <c r="H5620"/>
      <c r="I5620"/>
      <c r="K5620"/>
      <c r="O5620"/>
      <c r="R5620"/>
      <c r="W5620" s="4"/>
      <c r="X5620" s="4"/>
      <c r="Y5620" s="4"/>
    </row>
    <row r="5621" spans="5:25">
      <c r="E5621"/>
      <c r="G5621"/>
      <c r="H5621"/>
      <c r="I5621"/>
      <c r="K5621"/>
      <c r="O5621"/>
      <c r="R5621"/>
      <c r="W5621" s="4"/>
      <c r="X5621" s="4"/>
      <c r="Y5621" s="4"/>
    </row>
    <row r="5622" spans="5:25">
      <c r="E5622"/>
      <c r="G5622"/>
      <c r="H5622"/>
      <c r="I5622"/>
      <c r="K5622"/>
      <c r="O5622"/>
      <c r="R5622"/>
      <c r="W5622" s="4"/>
      <c r="X5622" s="4"/>
      <c r="Y5622" s="4"/>
    </row>
    <row r="5623" spans="5:25">
      <c r="E5623"/>
      <c r="G5623"/>
      <c r="H5623"/>
      <c r="I5623"/>
      <c r="K5623"/>
      <c r="O5623"/>
      <c r="R5623"/>
      <c r="W5623" s="4"/>
      <c r="X5623" s="4"/>
      <c r="Y5623" s="4"/>
    </row>
    <row r="5624" spans="5:25">
      <c r="E5624"/>
      <c r="G5624"/>
      <c r="H5624"/>
      <c r="I5624"/>
      <c r="K5624"/>
      <c r="O5624"/>
      <c r="R5624"/>
      <c r="W5624" s="4"/>
      <c r="X5624" s="4"/>
      <c r="Y5624" s="4"/>
    </row>
    <row r="5625" spans="5:25">
      <c r="E5625"/>
      <c r="G5625"/>
      <c r="H5625"/>
      <c r="I5625"/>
      <c r="K5625"/>
      <c r="O5625"/>
      <c r="R5625"/>
      <c r="W5625" s="4"/>
      <c r="X5625" s="4"/>
      <c r="Y5625" s="4"/>
    </row>
    <row r="5626" spans="5:25">
      <c r="E5626"/>
      <c r="G5626"/>
      <c r="H5626"/>
      <c r="I5626"/>
      <c r="K5626"/>
      <c r="O5626"/>
      <c r="R5626"/>
      <c r="W5626" s="4"/>
      <c r="X5626" s="4"/>
      <c r="Y5626" s="4"/>
    </row>
    <row r="5627" spans="5:25">
      <c r="E5627"/>
      <c r="G5627"/>
      <c r="H5627"/>
      <c r="I5627"/>
      <c r="K5627"/>
      <c r="O5627"/>
      <c r="R5627"/>
      <c r="W5627" s="4"/>
      <c r="X5627" s="4"/>
      <c r="Y5627" s="4"/>
    </row>
    <row r="5628" spans="5:25">
      <c r="E5628"/>
      <c r="G5628"/>
      <c r="H5628"/>
      <c r="I5628"/>
      <c r="K5628"/>
      <c r="O5628"/>
      <c r="R5628"/>
      <c r="W5628" s="4"/>
      <c r="X5628" s="4"/>
      <c r="Y5628" s="4"/>
    </row>
    <row r="5629" spans="5:25">
      <c r="E5629"/>
      <c r="G5629"/>
      <c r="H5629"/>
      <c r="I5629"/>
      <c r="K5629"/>
      <c r="O5629"/>
      <c r="R5629"/>
      <c r="W5629" s="4"/>
      <c r="X5629" s="4"/>
      <c r="Y5629" s="4"/>
    </row>
    <row r="5630" spans="5:25">
      <c r="E5630"/>
      <c r="G5630"/>
      <c r="H5630"/>
      <c r="I5630"/>
      <c r="K5630"/>
      <c r="O5630"/>
      <c r="R5630"/>
      <c r="W5630" s="4"/>
      <c r="X5630" s="4"/>
      <c r="Y5630" s="4"/>
    </row>
    <row r="5631" spans="5:25">
      <c r="E5631"/>
      <c r="G5631"/>
      <c r="H5631"/>
      <c r="I5631"/>
      <c r="K5631"/>
      <c r="O5631"/>
      <c r="R5631"/>
      <c r="W5631" s="4"/>
      <c r="X5631" s="4"/>
      <c r="Y5631" s="4"/>
    </row>
    <row r="5632" spans="5:25">
      <c r="E5632"/>
      <c r="G5632"/>
      <c r="H5632"/>
      <c r="I5632"/>
      <c r="K5632"/>
      <c r="O5632"/>
      <c r="R5632"/>
      <c r="W5632" s="4"/>
      <c r="X5632" s="4"/>
      <c r="Y5632" s="4"/>
    </row>
    <row r="5633" spans="5:25">
      <c r="E5633"/>
      <c r="G5633"/>
      <c r="H5633"/>
      <c r="I5633"/>
      <c r="K5633"/>
      <c r="O5633"/>
      <c r="R5633"/>
      <c r="W5633" s="4"/>
      <c r="X5633" s="4"/>
      <c r="Y5633" s="4"/>
    </row>
    <row r="5634" spans="5:25">
      <c r="E5634"/>
      <c r="G5634"/>
      <c r="H5634"/>
      <c r="I5634"/>
      <c r="K5634"/>
      <c r="O5634"/>
      <c r="R5634"/>
      <c r="W5634" s="4"/>
      <c r="X5634" s="4"/>
      <c r="Y5634" s="4"/>
    </row>
    <row r="5635" spans="5:25">
      <c r="E5635"/>
      <c r="G5635"/>
      <c r="H5635"/>
      <c r="I5635"/>
      <c r="K5635"/>
      <c r="O5635"/>
      <c r="R5635"/>
      <c r="W5635" s="4"/>
      <c r="X5635" s="4"/>
      <c r="Y5635" s="4"/>
    </row>
    <row r="5636" spans="5:25">
      <c r="E5636"/>
      <c r="G5636"/>
      <c r="H5636"/>
      <c r="I5636"/>
      <c r="K5636"/>
      <c r="O5636"/>
      <c r="R5636"/>
      <c r="W5636" s="4"/>
      <c r="X5636" s="4"/>
      <c r="Y5636" s="4"/>
    </row>
    <row r="5637" spans="5:25">
      <c r="E5637"/>
      <c r="G5637"/>
      <c r="H5637"/>
      <c r="I5637"/>
      <c r="K5637"/>
      <c r="O5637"/>
      <c r="R5637"/>
      <c r="W5637" s="4"/>
      <c r="X5637" s="4"/>
      <c r="Y5637" s="4"/>
    </row>
    <row r="5638" spans="5:25">
      <c r="E5638"/>
      <c r="G5638"/>
      <c r="H5638"/>
      <c r="I5638"/>
      <c r="K5638"/>
      <c r="O5638"/>
      <c r="R5638"/>
      <c r="W5638" s="4"/>
      <c r="X5638" s="4"/>
      <c r="Y5638" s="4"/>
    </row>
    <row r="5639" spans="5:25">
      <c r="E5639"/>
      <c r="G5639"/>
      <c r="H5639"/>
      <c r="I5639"/>
      <c r="K5639"/>
      <c r="O5639"/>
      <c r="R5639"/>
      <c r="W5639" s="4"/>
      <c r="X5639" s="4"/>
      <c r="Y5639" s="4"/>
    </row>
    <row r="5640" spans="5:25">
      <c r="E5640"/>
      <c r="G5640"/>
      <c r="H5640"/>
      <c r="I5640"/>
      <c r="K5640"/>
      <c r="O5640"/>
      <c r="R5640"/>
      <c r="W5640" s="4"/>
      <c r="X5640" s="4"/>
      <c r="Y5640" s="4"/>
    </row>
    <row r="5641" spans="5:25">
      <c r="E5641"/>
      <c r="G5641"/>
      <c r="H5641"/>
      <c r="I5641"/>
      <c r="K5641"/>
      <c r="O5641"/>
      <c r="R5641"/>
      <c r="W5641" s="4"/>
      <c r="X5641" s="4"/>
      <c r="Y5641" s="4"/>
    </row>
    <row r="5642" spans="5:25">
      <c r="E5642"/>
      <c r="G5642"/>
      <c r="H5642"/>
      <c r="I5642"/>
      <c r="K5642"/>
      <c r="O5642"/>
      <c r="R5642"/>
      <c r="W5642" s="4"/>
      <c r="X5642" s="4"/>
      <c r="Y5642" s="4"/>
    </row>
    <row r="5643" spans="5:25">
      <c r="E5643"/>
      <c r="G5643"/>
      <c r="H5643"/>
      <c r="I5643"/>
      <c r="K5643"/>
      <c r="O5643"/>
      <c r="R5643"/>
      <c r="W5643" s="4"/>
      <c r="X5643" s="4"/>
      <c r="Y5643" s="4"/>
    </row>
    <row r="5644" spans="5:25">
      <c r="E5644"/>
      <c r="G5644"/>
      <c r="H5644"/>
      <c r="I5644"/>
      <c r="K5644"/>
      <c r="O5644"/>
      <c r="R5644"/>
      <c r="W5644" s="4"/>
      <c r="X5644" s="4"/>
      <c r="Y5644" s="4"/>
    </row>
    <row r="5645" spans="5:25">
      <c r="E5645"/>
      <c r="G5645"/>
      <c r="H5645"/>
      <c r="I5645"/>
      <c r="K5645"/>
      <c r="O5645"/>
      <c r="R5645"/>
      <c r="W5645" s="4"/>
      <c r="X5645" s="4"/>
      <c r="Y5645" s="4"/>
    </row>
    <row r="5646" spans="5:25">
      <c r="E5646"/>
      <c r="G5646"/>
      <c r="H5646"/>
      <c r="I5646"/>
      <c r="K5646"/>
      <c r="O5646"/>
      <c r="R5646"/>
      <c r="W5646" s="4"/>
      <c r="X5646" s="4"/>
      <c r="Y5646" s="4"/>
    </row>
    <row r="5647" spans="5:25">
      <c r="E5647"/>
      <c r="G5647"/>
      <c r="H5647"/>
      <c r="I5647"/>
      <c r="K5647"/>
      <c r="O5647"/>
      <c r="R5647"/>
      <c r="W5647" s="4"/>
      <c r="X5647" s="4"/>
      <c r="Y5647" s="4"/>
    </row>
    <row r="5648" spans="5:25">
      <c r="E5648"/>
      <c r="G5648"/>
      <c r="H5648"/>
      <c r="I5648"/>
      <c r="K5648"/>
      <c r="O5648"/>
      <c r="R5648"/>
      <c r="W5648" s="4"/>
      <c r="X5648" s="4"/>
      <c r="Y5648" s="4"/>
    </row>
    <row r="5649" spans="5:25">
      <c r="E5649"/>
      <c r="G5649"/>
      <c r="H5649"/>
      <c r="I5649"/>
      <c r="K5649"/>
      <c r="O5649"/>
      <c r="R5649"/>
      <c r="W5649" s="4"/>
      <c r="X5649" s="4"/>
      <c r="Y5649" s="4"/>
    </row>
    <row r="5650" spans="5:25">
      <c r="E5650"/>
      <c r="G5650"/>
      <c r="H5650"/>
      <c r="I5650"/>
      <c r="K5650"/>
      <c r="O5650"/>
      <c r="R5650"/>
      <c r="W5650" s="4"/>
      <c r="X5650" s="4"/>
      <c r="Y5650" s="4"/>
    </row>
    <row r="5651" spans="5:25">
      <c r="E5651"/>
      <c r="G5651"/>
      <c r="H5651"/>
      <c r="I5651"/>
      <c r="K5651"/>
      <c r="O5651"/>
      <c r="R5651"/>
      <c r="W5651" s="4"/>
      <c r="X5651" s="4"/>
      <c r="Y5651" s="4"/>
    </row>
    <row r="5652" spans="5:25">
      <c r="E5652"/>
      <c r="G5652"/>
      <c r="H5652"/>
      <c r="I5652"/>
      <c r="K5652"/>
      <c r="O5652"/>
      <c r="R5652"/>
      <c r="W5652" s="4"/>
      <c r="X5652" s="4"/>
      <c r="Y5652" s="4"/>
    </row>
    <row r="5653" spans="5:25">
      <c r="E5653"/>
      <c r="G5653"/>
      <c r="H5653"/>
      <c r="I5653"/>
      <c r="K5653"/>
      <c r="O5653"/>
      <c r="R5653"/>
      <c r="W5653" s="4"/>
      <c r="X5653" s="4"/>
      <c r="Y5653" s="4"/>
    </row>
    <row r="5654" spans="5:25">
      <c r="E5654"/>
      <c r="G5654"/>
      <c r="H5654"/>
      <c r="I5654"/>
      <c r="K5654"/>
      <c r="O5654"/>
      <c r="R5654"/>
      <c r="W5654" s="4"/>
      <c r="X5654" s="4"/>
      <c r="Y5654" s="4"/>
    </row>
    <row r="5655" spans="5:25">
      <c r="E5655"/>
      <c r="G5655"/>
      <c r="H5655"/>
      <c r="I5655"/>
      <c r="K5655"/>
      <c r="O5655"/>
      <c r="R5655"/>
      <c r="W5655" s="4"/>
      <c r="X5655" s="4"/>
      <c r="Y5655" s="4"/>
    </row>
    <row r="5656" spans="5:25">
      <c r="E5656"/>
      <c r="G5656"/>
      <c r="H5656"/>
      <c r="I5656"/>
      <c r="K5656"/>
      <c r="O5656"/>
      <c r="R5656"/>
      <c r="W5656" s="4"/>
      <c r="X5656" s="4"/>
      <c r="Y5656" s="4"/>
    </row>
    <row r="5657" spans="5:25">
      <c r="E5657"/>
      <c r="G5657"/>
      <c r="H5657"/>
      <c r="I5657"/>
      <c r="K5657"/>
      <c r="O5657"/>
      <c r="R5657"/>
      <c r="W5657" s="4"/>
      <c r="X5657" s="4"/>
      <c r="Y5657" s="4"/>
    </row>
    <row r="5658" spans="5:25">
      <c r="E5658"/>
      <c r="G5658"/>
      <c r="H5658"/>
      <c r="I5658"/>
      <c r="K5658"/>
      <c r="O5658"/>
      <c r="R5658"/>
      <c r="W5658" s="4"/>
      <c r="X5658" s="4"/>
      <c r="Y5658" s="4"/>
    </row>
    <row r="5659" spans="5:25">
      <c r="E5659"/>
      <c r="G5659"/>
      <c r="H5659"/>
      <c r="I5659"/>
      <c r="K5659"/>
      <c r="O5659"/>
      <c r="R5659"/>
      <c r="W5659" s="4"/>
      <c r="X5659" s="4"/>
      <c r="Y5659" s="4"/>
    </row>
    <row r="5660" spans="5:25">
      <c r="E5660"/>
      <c r="G5660"/>
      <c r="H5660"/>
      <c r="I5660"/>
      <c r="K5660"/>
      <c r="O5660"/>
      <c r="R5660"/>
      <c r="W5660" s="4"/>
      <c r="X5660" s="4"/>
      <c r="Y5660" s="4"/>
    </row>
    <row r="5661" spans="5:25">
      <c r="E5661"/>
      <c r="G5661"/>
      <c r="H5661"/>
      <c r="I5661"/>
      <c r="K5661"/>
      <c r="O5661"/>
      <c r="R5661"/>
      <c r="W5661" s="4"/>
      <c r="X5661" s="4"/>
      <c r="Y5661" s="4"/>
    </row>
    <row r="5662" spans="5:25">
      <c r="E5662"/>
      <c r="G5662"/>
      <c r="H5662"/>
      <c r="I5662"/>
      <c r="K5662"/>
      <c r="O5662"/>
      <c r="R5662"/>
      <c r="W5662" s="4"/>
      <c r="X5662" s="4"/>
      <c r="Y5662" s="4"/>
    </row>
    <row r="5663" spans="5:25">
      <c r="E5663"/>
      <c r="G5663"/>
      <c r="H5663"/>
      <c r="I5663"/>
      <c r="K5663"/>
      <c r="O5663"/>
      <c r="R5663"/>
      <c r="W5663" s="4"/>
      <c r="X5663" s="4"/>
      <c r="Y5663" s="4"/>
    </row>
    <row r="5664" spans="5:25">
      <c r="E5664"/>
      <c r="G5664"/>
      <c r="H5664"/>
      <c r="I5664"/>
      <c r="K5664"/>
      <c r="O5664"/>
      <c r="R5664"/>
      <c r="W5664" s="4"/>
      <c r="X5664" s="4"/>
      <c r="Y5664" s="4"/>
    </row>
    <row r="5665" spans="5:25">
      <c r="E5665"/>
      <c r="G5665"/>
      <c r="H5665"/>
      <c r="I5665"/>
      <c r="K5665"/>
      <c r="O5665"/>
      <c r="R5665"/>
      <c r="W5665" s="4"/>
      <c r="X5665" s="4"/>
      <c r="Y5665" s="4"/>
    </row>
    <row r="5666" spans="5:25">
      <c r="E5666"/>
      <c r="G5666"/>
      <c r="H5666"/>
      <c r="I5666"/>
      <c r="K5666"/>
      <c r="O5666"/>
      <c r="R5666"/>
      <c r="W5666" s="4"/>
      <c r="X5666" s="4"/>
      <c r="Y5666" s="4"/>
    </row>
    <row r="5667" spans="5:25">
      <c r="E5667"/>
      <c r="G5667"/>
      <c r="H5667"/>
      <c r="I5667"/>
      <c r="K5667"/>
      <c r="O5667"/>
      <c r="R5667"/>
      <c r="W5667" s="4"/>
      <c r="X5667" s="4"/>
      <c r="Y5667" s="4"/>
    </row>
    <row r="5668" spans="5:25">
      <c r="E5668"/>
      <c r="G5668"/>
      <c r="H5668"/>
      <c r="I5668"/>
      <c r="K5668"/>
      <c r="O5668"/>
      <c r="R5668"/>
      <c r="W5668" s="4"/>
      <c r="X5668" s="4"/>
      <c r="Y5668" s="4"/>
    </row>
    <row r="5669" spans="5:25">
      <c r="E5669"/>
      <c r="G5669"/>
      <c r="H5669"/>
      <c r="I5669"/>
      <c r="K5669"/>
      <c r="O5669"/>
      <c r="R5669"/>
      <c r="W5669" s="4"/>
      <c r="X5669" s="4"/>
      <c r="Y5669" s="4"/>
    </row>
    <row r="5670" spans="5:25">
      <c r="E5670"/>
      <c r="G5670"/>
      <c r="H5670"/>
      <c r="I5670"/>
      <c r="K5670"/>
      <c r="O5670"/>
      <c r="R5670"/>
      <c r="W5670" s="4"/>
      <c r="X5670" s="4"/>
      <c r="Y5670" s="4"/>
    </row>
    <row r="5671" spans="5:25">
      <c r="E5671"/>
      <c r="G5671"/>
      <c r="H5671"/>
      <c r="I5671"/>
      <c r="K5671"/>
      <c r="O5671"/>
      <c r="R5671"/>
      <c r="W5671" s="4"/>
      <c r="X5671" s="4"/>
      <c r="Y5671" s="4"/>
    </row>
    <row r="5672" spans="5:25">
      <c r="E5672"/>
      <c r="G5672"/>
      <c r="H5672"/>
      <c r="I5672"/>
      <c r="K5672"/>
      <c r="O5672"/>
      <c r="R5672"/>
      <c r="W5672" s="4"/>
      <c r="X5672" s="4"/>
      <c r="Y5672" s="4"/>
    </row>
    <row r="5673" spans="5:25">
      <c r="E5673"/>
      <c r="G5673"/>
      <c r="H5673"/>
      <c r="I5673"/>
      <c r="K5673"/>
      <c r="O5673"/>
      <c r="R5673"/>
      <c r="W5673" s="4"/>
      <c r="X5673" s="4"/>
      <c r="Y5673" s="4"/>
    </row>
    <row r="5674" spans="5:25">
      <c r="E5674"/>
      <c r="G5674"/>
      <c r="H5674"/>
      <c r="I5674"/>
      <c r="K5674"/>
      <c r="O5674"/>
      <c r="R5674"/>
      <c r="W5674" s="4"/>
      <c r="X5674" s="4"/>
      <c r="Y5674" s="4"/>
    </row>
    <row r="5675" spans="5:25">
      <c r="E5675"/>
      <c r="G5675"/>
      <c r="H5675"/>
      <c r="I5675"/>
      <c r="K5675"/>
      <c r="O5675"/>
      <c r="R5675"/>
      <c r="W5675" s="4"/>
      <c r="X5675" s="4"/>
      <c r="Y5675" s="4"/>
    </row>
    <row r="5676" spans="5:25">
      <c r="E5676"/>
      <c r="G5676"/>
      <c r="H5676"/>
      <c r="I5676"/>
      <c r="K5676"/>
      <c r="O5676"/>
      <c r="R5676"/>
      <c r="W5676" s="4"/>
      <c r="X5676" s="4"/>
      <c r="Y5676" s="4"/>
    </row>
    <row r="5677" spans="5:25">
      <c r="E5677"/>
      <c r="G5677"/>
      <c r="H5677"/>
      <c r="I5677"/>
      <c r="K5677"/>
      <c r="O5677"/>
      <c r="R5677"/>
      <c r="W5677" s="4"/>
      <c r="X5677" s="4"/>
      <c r="Y5677" s="4"/>
    </row>
    <row r="5678" spans="5:25">
      <c r="E5678"/>
      <c r="G5678"/>
      <c r="H5678"/>
      <c r="I5678"/>
      <c r="K5678"/>
      <c r="O5678"/>
      <c r="R5678"/>
      <c r="W5678" s="4"/>
      <c r="X5678" s="4"/>
      <c r="Y5678" s="4"/>
    </row>
    <row r="5679" spans="5:25">
      <c r="E5679"/>
      <c r="G5679"/>
      <c r="H5679"/>
      <c r="I5679"/>
      <c r="K5679"/>
      <c r="O5679"/>
      <c r="R5679"/>
      <c r="W5679" s="4"/>
      <c r="X5679" s="4"/>
      <c r="Y5679" s="4"/>
    </row>
    <row r="5680" spans="5:25">
      <c r="E5680"/>
      <c r="G5680"/>
      <c r="H5680"/>
      <c r="I5680"/>
      <c r="K5680"/>
      <c r="O5680"/>
      <c r="R5680"/>
      <c r="W5680" s="4"/>
      <c r="X5680" s="4"/>
      <c r="Y5680" s="4"/>
    </row>
    <row r="5681" spans="5:25">
      <c r="E5681"/>
      <c r="G5681"/>
      <c r="H5681"/>
      <c r="I5681"/>
      <c r="K5681"/>
      <c r="O5681"/>
      <c r="R5681"/>
      <c r="W5681" s="4"/>
      <c r="X5681" s="4"/>
      <c r="Y5681" s="4"/>
    </row>
    <row r="5682" spans="5:25">
      <c r="E5682"/>
      <c r="G5682"/>
      <c r="H5682"/>
      <c r="I5682"/>
      <c r="K5682"/>
      <c r="O5682"/>
      <c r="R5682"/>
      <c r="W5682" s="4"/>
      <c r="X5682" s="4"/>
      <c r="Y5682" s="4"/>
    </row>
    <row r="5683" spans="5:25">
      <c r="E5683"/>
      <c r="G5683"/>
      <c r="H5683"/>
      <c r="I5683"/>
      <c r="K5683"/>
      <c r="O5683"/>
      <c r="R5683"/>
      <c r="W5683" s="4"/>
      <c r="X5683" s="4"/>
      <c r="Y5683" s="4"/>
    </row>
    <row r="5684" spans="5:25">
      <c r="E5684"/>
      <c r="G5684"/>
      <c r="H5684"/>
      <c r="I5684"/>
      <c r="K5684"/>
      <c r="O5684"/>
      <c r="R5684"/>
      <c r="W5684" s="4"/>
      <c r="X5684" s="4"/>
      <c r="Y5684" s="4"/>
    </row>
    <row r="5685" spans="5:25">
      <c r="E5685"/>
      <c r="G5685"/>
      <c r="H5685"/>
      <c r="I5685"/>
      <c r="K5685"/>
      <c r="O5685"/>
      <c r="R5685"/>
      <c r="W5685" s="4"/>
      <c r="X5685" s="4"/>
      <c r="Y5685" s="4"/>
    </row>
    <row r="5686" spans="5:25">
      <c r="E5686"/>
      <c r="G5686"/>
      <c r="H5686"/>
      <c r="I5686"/>
      <c r="K5686"/>
      <c r="O5686"/>
      <c r="R5686"/>
      <c r="W5686" s="4"/>
      <c r="X5686" s="4"/>
      <c r="Y5686" s="4"/>
    </row>
    <row r="5687" spans="5:25">
      <c r="E5687"/>
      <c r="G5687"/>
      <c r="H5687"/>
      <c r="I5687"/>
      <c r="K5687"/>
      <c r="O5687"/>
      <c r="R5687"/>
      <c r="W5687" s="4"/>
      <c r="X5687" s="4"/>
      <c r="Y5687" s="4"/>
    </row>
    <row r="5688" spans="5:25">
      <c r="E5688"/>
      <c r="G5688"/>
      <c r="H5688"/>
      <c r="I5688"/>
      <c r="K5688"/>
      <c r="O5688"/>
      <c r="R5688"/>
      <c r="W5688" s="4"/>
      <c r="X5688" s="4"/>
      <c r="Y5688" s="4"/>
    </row>
    <row r="5689" spans="5:25">
      <c r="E5689"/>
      <c r="G5689"/>
      <c r="H5689"/>
      <c r="I5689"/>
      <c r="K5689"/>
      <c r="O5689"/>
      <c r="R5689"/>
      <c r="W5689" s="4"/>
      <c r="X5689" s="4"/>
      <c r="Y5689" s="4"/>
    </row>
    <row r="5690" spans="5:25">
      <c r="E5690"/>
      <c r="G5690"/>
      <c r="H5690"/>
      <c r="I5690"/>
      <c r="K5690"/>
      <c r="O5690"/>
      <c r="R5690"/>
      <c r="W5690" s="4"/>
      <c r="X5690" s="4"/>
      <c r="Y5690" s="4"/>
    </row>
    <row r="5691" spans="5:25">
      <c r="E5691"/>
      <c r="G5691"/>
      <c r="H5691"/>
      <c r="I5691"/>
      <c r="K5691"/>
      <c r="O5691"/>
      <c r="R5691"/>
      <c r="W5691" s="4"/>
      <c r="X5691" s="4"/>
      <c r="Y5691" s="4"/>
    </row>
    <row r="5692" spans="5:25">
      <c r="E5692"/>
      <c r="G5692"/>
      <c r="H5692"/>
      <c r="I5692"/>
      <c r="K5692"/>
      <c r="O5692"/>
      <c r="R5692"/>
      <c r="W5692" s="4"/>
      <c r="X5692" s="4"/>
      <c r="Y5692" s="4"/>
    </row>
    <row r="5693" spans="5:25">
      <c r="E5693"/>
      <c r="G5693"/>
      <c r="H5693"/>
      <c r="I5693"/>
      <c r="K5693"/>
      <c r="O5693"/>
      <c r="R5693"/>
      <c r="W5693" s="4"/>
      <c r="X5693" s="4"/>
      <c r="Y5693" s="4"/>
    </row>
    <row r="5694" spans="5:25">
      <c r="E5694"/>
      <c r="G5694"/>
      <c r="H5694"/>
      <c r="I5694"/>
      <c r="K5694"/>
      <c r="O5694"/>
      <c r="R5694"/>
      <c r="W5694" s="4"/>
      <c r="X5694" s="4"/>
      <c r="Y5694" s="4"/>
    </row>
    <row r="5695" spans="5:25">
      <c r="E5695"/>
      <c r="G5695"/>
      <c r="H5695"/>
      <c r="I5695"/>
      <c r="K5695"/>
      <c r="O5695"/>
      <c r="R5695"/>
      <c r="W5695" s="4"/>
      <c r="X5695" s="4"/>
      <c r="Y5695" s="4"/>
    </row>
    <row r="5696" spans="5:25">
      <c r="E5696"/>
      <c r="G5696"/>
      <c r="H5696"/>
      <c r="I5696"/>
      <c r="K5696"/>
      <c r="O5696"/>
      <c r="R5696"/>
      <c r="W5696" s="4"/>
      <c r="X5696" s="4"/>
      <c r="Y5696" s="4"/>
    </row>
    <row r="5697" spans="5:25">
      <c r="E5697"/>
      <c r="G5697"/>
      <c r="H5697"/>
      <c r="I5697"/>
      <c r="K5697"/>
      <c r="O5697"/>
      <c r="R5697"/>
      <c r="W5697" s="4"/>
      <c r="X5697" s="4"/>
      <c r="Y5697" s="4"/>
    </row>
    <row r="5698" spans="5:25">
      <c r="E5698"/>
      <c r="G5698"/>
      <c r="H5698"/>
      <c r="I5698"/>
      <c r="K5698"/>
      <c r="O5698"/>
      <c r="R5698"/>
      <c r="W5698" s="4"/>
      <c r="X5698" s="4"/>
      <c r="Y5698" s="4"/>
    </row>
    <row r="5699" spans="5:25">
      <c r="E5699"/>
      <c r="G5699"/>
      <c r="H5699"/>
      <c r="I5699"/>
      <c r="K5699"/>
      <c r="O5699"/>
      <c r="R5699"/>
      <c r="W5699" s="4"/>
      <c r="X5699" s="4"/>
      <c r="Y5699" s="4"/>
    </row>
    <row r="5700" spans="5:25">
      <c r="E5700"/>
      <c r="G5700"/>
      <c r="H5700"/>
      <c r="I5700"/>
      <c r="K5700"/>
      <c r="O5700"/>
      <c r="R5700"/>
      <c r="W5700" s="4"/>
      <c r="X5700" s="4"/>
      <c r="Y5700" s="4"/>
    </row>
    <row r="5701" spans="5:25">
      <c r="E5701"/>
      <c r="G5701"/>
      <c r="H5701"/>
      <c r="I5701"/>
      <c r="K5701"/>
      <c r="O5701"/>
      <c r="R5701"/>
      <c r="W5701" s="4"/>
      <c r="X5701" s="4"/>
      <c r="Y5701" s="4"/>
    </row>
    <row r="5702" spans="5:25">
      <c r="E5702"/>
      <c r="G5702"/>
      <c r="H5702"/>
      <c r="I5702"/>
      <c r="K5702"/>
      <c r="O5702"/>
      <c r="R5702"/>
      <c r="W5702" s="4"/>
      <c r="X5702" s="4"/>
      <c r="Y5702" s="4"/>
    </row>
    <row r="5703" spans="5:25">
      <c r="E5703"/>
      <c r="G5703"/>
      <c r="H5703"/>
      <c r="I5703"/>
      <c r="K5703"/>
      <c r="O5703"/>
      <c r="R5703"/>
      <c r="W5703" s="4"/>
      <c r="X5703" s="4"/>
      <c r="Y5703" s="4"/>
    </row>
    <row r="5704" spans="5:25">
      <c r="E5704"/>
      <c r="G5704"/>
      <c r="H5704"/>
      <c r="I5704"/>
      <c r="K5704"/>
      <c r="O5704"/>
      <c r="R5704"/>
      <c r="W5704" s="4"/>
      <c r="X5704" s="4"/>
      <c r="Y5704" s="4"/>
    </row>
    <row r="5705" spans="5:25">
      <c r="E5705"/>
      <c r="G5705"/>
      <c r="H5705"/>
      <c r="I5705"/>
      <c r="K5705"/>
      <c r="O5705"/>
      <c r="R5705"/>
      <c r="W5705" s="4"/>
      <c r="X5705" s="4"/>
      <c r="Y5705" s="4"/>
    </row>
    <row r="5706" spans="5:25">
      <c r="E5706"/>
      <c r="G5706"/>
      <c r="H5706"/>
      <c r="I5706"/>
      <c r="K5706"/>
      <c r="O5706"/>
      <c r="R5706"/>
      <c r="W5706" s="4"/>
      <c r="X5706" s="4"/>
      <c r="Y5706" s="4"/>
    </row>
    <row r="5707" spans="5:25">
      <c r="E5707"/>
      <c r="G5707"/>
      <c r="H5707"/>
      <c r="I5707"/>
      <c r="K5707"/>
      <c r="O5707"/>
      <c r="R5707"/>
      <c r="W5707" s="4"/>
      <c r="X5707" s="4"/>
      <c r="Y5707" s="4"/>
    </row>
    <row r="5708" spans="5:25">
      <c r="E5708"/>
      <c r="G5708"/>
      <c r="H5708"/>
      <c r="I5708"/>
      <c r="K5708"/>
      <c r="O5708"/>
      <c r="R5708"/>
      <c r="W5708" s="4"/>
      <c r="X5708" s="4"/>
      <c r="Y5708" s="4"/>
    </row>
    <row r="5709" spans="5:25">
      <c r="E5709"/>
      <c r="G5709"/>
      <c r="H5709"/>
      <c r="I5709"/>
      <c r="K5709"/>
      <c r="O5709"/>
      <c r="R5709"/>
      <c r="W5709" s="4"/>
      <c r="X5709" s="4"/>
      <c r="Y5709" s="4"/>
    </row>
    <row r="5710" spans="5:25">
      <c r="E5710"/>
      <c r="G5710"/>
      <c r="H5710"/>
      <c r="I5710"/>
      <c r="K5710"/>
      <c r="O5710"/>
      <c r="R5710"/>
      <c r="W5710" s="4"/>
      <c r="X5710" s="4"/>
      <c r="Y5710" s="4"/>
    </row>
    <row r="5711" spans="5:25">
      <c r="E5711"/>
      <c r="G5711"/>
      <c r="H5711"/>
      <c r="I5711"/>
      <c r="K5711"/>
      <c r="O5711"/>
      <c r="R5711"/>
      <c r="W5711" s="4"/>
      <c r="X5711" s="4"/>
      <c r="Y5711" s="4"/>
    </row>
    <row r="5712" spans="5:25">
      <c r="E5712"/>
      <c r="G5712"/>
      <c r="H5712"/>
      <c r="I5712"/>
      <c r="K5712"/>
      <c r="O5712"/>
      <c r="R5712"/>
      <c r="W5712" s="4"/>
      <c r="X5712" s="4"/>
      <c r="Y5712" s="4"/>
    </row>
    <row r="5713" spans="5:25">
      <c r="E5713"/>
      <c r="G5713"/>
      <c r="H5713"/>
      <c r="I5713"/>
      <c r="K5713"/>
      <c r="O5713"/>
      <c r="R5713"/>
      <c r="W5713" s="4"/>
      <c r="X5713" s="4"/>
      <c r="Y5713" s="4"/>
    </row>
    <row r="5714" spans="5:25">
      <c r="E5714"/>
      <c r="G5714"/>
      <c r="H5714"/>
      <c r="I5714"/>
      <c r="K5714"/>
      <c r="O5714"/>
      <c r="R5714"/>
      <c r="W5714" s="4"/>
      <c r="X5714" s="4"/>
      <c r="Y5714" s="4"/>
    </row>
    <row r="5715" spans="5:25">
      <c r="E5715"/>
      <c r="G5715"/>
      <c r="H5715"/>
      <c r="I5715"/>
      <c r="K5715"/>
      <c r="O5715"/>
      <c r="R5715"/>
      <c r="W5715" s="4"/>
      <c r="X5715" s="4"/>
      <c r="Y5715" s="4"/>
    </row>
    <row r="5716" spans="5:25">
      <c r="E5716"/>
      <c r="G5716"/>
      <c r="H5716"/>
      <c r="I5716"/>
      <c r="K5716"/>
      <c r="O5716"/>
      <c r="R5716"/>
      <c r="W5716" s="4"/>
      <c r="X5716" s="4"/>
      <c r="Y5716" s="4"/>
    </row>
    <row r="5717" spans="5:25">
      <c r="E5717"/>
      <c r="G5717"/>
      <c r="H5717"/>
      <c r="I5717"/>
      <c r="K5717"/>
      <c r="O5717"/>
      <c r="R5717"/>
      <c r="W5717" s="4"/>
      <c r="X5717" s="4"/>
      <c r="Y5717" s="4"/>
    </row>
    <row r="5718" spans="5:25">
      <c r="E5718"/>
      <c r="G5718"/>
      <c r="H5718"/>
      <c r="I5718"/>
      <c r="K5718"/>
      <c r="O5718"/>
      <c r="R5718"/>
      <c r="W5718" s="4"/>
      <c r="X5718" s="4"/>
      <c r="Y5718" s="4"/>
    </row>
    <row r="5719" spans="5:25">
      <c r="E5719"/>
      <c r="G5719"/>
      <c r="H5719"/>
      <c r="I5719"/>
      <c r="K5719"/>
      <c r="O5719"/>
      <c r="R5719"/>
      <c r="W5719" s="4"/>
      <c r="X5719" s="4"/>
      <c r="Y5719" s="4"/>
    </row>
    <row r="5720" spans="5:25">
      <c r="E5720"/>
      <c r="G5720"/>
      <c r="H5720"/>
      <c r="I5720"/>
      <c r="K5720"/>
      <c r="O5720"/>
      <c r="R5720"/>
      <c r="W5720" s="4"/>
      <c r="X5720" s="4"/>
      <c r="Y5720" s="4"/>
    </row>
    <row r="5721" spans="5:25">
      <c r="E5721"/>
      <c r="G5721"/>
      <c r="H5721"/>
      <c r="I5721"/>
      <c r="K5721"/>
      <c r="O5721"/>
      <c r="R5721"/>
      <c r="W5721" s="4"/>
      <c r="X5721" s="4"/>
      <c r="Y5721" s="4"/>
    </row>
    <row r="5722" spans="5:25">
      <c r="E5722"/>
      <c r="G5722"/>
      <c r="H5722"/>
      <c r="I5722"/>
      <c r="K5722"/>
      <c r="O5722"/>
      <c r="R5722"/>
      <c r="W5722" s="4"/>
      <c r="X5722" s="4"/>
      <c r="Y5722" s="4"/>
    </row>
    <row r="5723" spans="5:25">
      <c r="E5723"/>
      <c r="G5723"/>
      <c r="H5723"/>
      <c r="I5723"/>
      <c r="K5723"/>
      <c r="O5723"/>
      <c r="R5723"/>
      <c r="W5723" s="4"/>
      <c r="X5723" s="4"/>
      <c r="Y5723" s="4"/>
    </row>
    <row r="5724" spans="5:25">
      <c r="E5724"/>
      <c r="G5724"/>
      <c r="H5724"/>
      <c r="I5724"/>
      <c r="K5724"/>
      <c r="O5724"/>
      <c r="R5724"/>
      <c r="W5724" s="4"/>
      <c r="X5724" s="4"/>
      <c r="Y5724" s="4"/>
    </row>
    <row r="5725" spans="5:25">
      <c r="E5725"/>
      <c r="G5725"/>
      <c r="H5725"/>
      <c r="I5725"/>
      <c r="K5725"/>
      <c r="O5725"/>
      <c r="R5725"/>
      <c r="W5725" s="4"/>
      <c r="X5725" s="4"/>
      <c r="Y5725" s="4"/>
    </row>
    <row r="5726" spans="5:25">
      <c r="E5726"/>
      <c r="G5726"/>
      <c r="H5726"/>
      <c r="I5726"/>
      <c r="K5726"/>
      <c r="O5726"/>
      <c r="R5726"/>
      <c r="W5726" s="4"/>
      <c r="X5726" s="4"/>
      <c r="Y5726" s="4"/>
    </row>
    <row r="5727" spans="5:25">
      <c r="E5727"/>
      <c r="G5727"/>
      <c r="H5727"/>
      <c r="I5727"/>
      <c r="K5727"/>
      <c r="O5727"/>
      <c r="R5727"/>
      <c r="W5727" s="4"/>
      <c r="X5727" s="4"/>
      <c r="Y5727" s="4"/>
    </row>
    <row r="5728" spans="5:25">
      <c r="E5728"/>
      <c r="G5728"/>
      <c r="H5728"/>
      <c r="I5728"/>
      <c r="K5728"/>
      <c r="O5728"/>
      <c r="R5728"/>
      <c r="W5728" s="4"/>
      <c r="X5728" s="4"/>
      <c r="Y5728" s="4"/>
    </row>
    <row r="5729" spans="5:25">
      <c r="E5729"/>
      <c r="G5729"/>
      <c r="H5729"/>
      <c r="I5729"/>
      <c r="K5729"/>
      <c r="O5729"/>
      <c r="R5729"/>
      <c r="W5729" s="4"/>
      <c r="X5729" s="4"/>
      <c r="Y5729" s="4"/>
    </row>
    <row r="5730" spans="5:25">
      <c r="E5730"/>
      <c r="G5730"/>
      <c r="H5730"/>
      <c r="I5730"/>
      <c r="K5730"/>
      <c r="O5730"/>
      <c r="R5730"/>
      <c r="W5730" s="4"/>
      <c r="X5730" s="4"/>
      <c r="Y5730" s="4"/>
    </row>
    <row r="5731" spans="5:25">
      <c r="E5731"/>
      <c r="G5731"/>
      <c r="H5731"/>
      <c r="I5731"/>
      <c r="K5731"/>
      <c r="O5731"/>
      <c r="R5731"/>
      <c r="W5731" s="4"/>
      <c r="X5731" s="4"/>
      <c r="Y5731" s="4"/>
    </row>
    <row r="5732" spans="5:25">
      <c r="E5732"/>
      <c r="G5732"/>
      <c r="H5732"/>
      <c r="I5732"/>
      <c r="K5732"/>
      <c r="O5732"/>
      <c r="R5732"/>
      <c r="W5732" s="4"/>
      <c r="X5732" s="4"/>
      <c r="Y5732" s="4"/>
    </row>
    <row r="5733" spans="5:25">
      <c r="E5733"/>
      <c r="G5733"/>
      <c r="H5733"/>
      <c r="I5733"/>
      <c r="K5733"/>
      <c r="O5733"/>
      <c r="R5733"/>
      <c r="W5733" s="4"/>
      <c r="X5733" s="4"/>
      <c r="Y5733" s="4"/>
    </row>
    <row r="5734" spans="5:25">
      <c r="E5734"/>
      <c r="G5734"/>
      <c r="H5734"/>
      <c r="I5734"/>
      <c r="K5734"/>
      <c r="O5734"/>
      <c r="R5734"/>
      <c r="W5734" s="4"/>
      <c r="X5734" s="4"/>
      <c r="Y5734" s="4"/>
    </row>
    <row r="5735" spans="5:25">
      <c r="E5735"/>
      <c r="G5735"/>
      <c r="H5735"/>
      <c r="I5735"/>
      <c r="K5735"/>
      <c r="O5735"/>
      <c r="R5735"/>
      <c r="W5735" s="4"/>
      <c r="X5735" s="4"/>
      <c r="Y5735" s="4"/>
    </row>
    <row r="5736" spans="5:25">
      <c r="E5736"/>
      <c r="G5736"/>
      <c r="H5736"/>
      <c r="I5736"/>
      <c r="K5736"/>
      <c r="O5736"/>
      <c r="R5736"/>
      <c r="W5736" s="4"/>
      <c r="X5736" s="4"/>
      <c r="Y5736" s="4"/>
    </row>
    <row r="5737" spans="5:25">
      <c r="E5737"/>
      <c r="G5737"/>
      <c r="H5737"/>
      <c r="I5737"/>
      <c r="K5737"/>
      <c r="O5737"/>
      <c r="R5737"/>
      <c r="W5737" s="4"/>
      <c r="X5737" s="4"/>
      <c r="Y5737" s="4"/>
    </row>
    <row r="5738" spans="5:25">
      <c r="E5738"/>
      <c r="G5738"/>
      <c r="H5738"/>
      <c r="I5738"/>
      <c r="K5738"/>
      <c r="O5738"/>
      <c r="R5738"/>
      <c r="W5738" s="4"/>
      <c r="X5738" s="4"/>
      <c r="Y5738" s="4"/>
    </row>
    <row r="5739" spans="5:25">
      <c r="E5739"/>
      <c r="G5739"/>
      <c r="H5739"/>
      <c r="I5739"/>
      <c r="K5739"/>
      <c r="O5739"/>
      <c r="R5739"/>
      <c r="W5739" s="4"/>
      <c r="X5739" s="4"/>
      <c r="Y5739" s="4"/>
    </row>
    <row r="5740" spans="5:25">
      <c r="E5740"/>
      <c r="G5740"/>
      <c r="H5740"/>
      <c r="I5740"/>
      <c r="K5740"/>
      <c r="O5740"/>
      <c r="R5740"/>
      <c r="W5740" s="4"/>
      <c r="X5740" s="4"/>
      <c r="Y5740" s="4"/>
    </row>
    <row r="5741" spans="5:25">
      <c r="E5741"/>
      <c r="G5741"/>
      <c r="H5741"/>
      <c r="I5741"/>
      <c r="K5741"/>
      <c r="O5741"/>
      <c r="R5741"/>
      <c r="W5741" s="4"/>
      <c r="X5741" s="4"/>
      <c r="Y5741" s="4"/>
    </row>
    <row r="5742" spans="5:25">
      <c r="E5742"/>
      <c r="G5742"/>
      <c r="H5742"/>
      <c r="I5742"/>
      <c r="K5742"/>
      <c r="O5742"/>
      <c r="R5742"/>
      <c r="W5742" s="4"/>
      <c r="X5742" s="4"/>
      <c r="Y5742" s="4"/>
    </row>
    <row r="5743" spans="5:25">
      <c r="E5743"/>
      <c r="G5743"/>
      <c r="H5743"/>
      <c r="I5743"/>
      <c r="K5743"/>
      <c r="O5743"/>
      <c r="R5743"/>
      <c r="W5743" s="4"/>
      <c r="X5743" s="4"/>
      <c r="Y5743" s="4"/>
    </row>
    <row r="5744" spans="5:25">
      <c r="E5744"/>
      <c r="G5744"/>
      <c r="H5744"/>
      <c r="I5744"/>
      <c r="K5744"/>
      <c r="O5744"/>
      <c r="R5744"/>
      <c r="W5744" s="4"/>
      <c r="X5744" s="4"/>
      <c r="Y5744" s="4"/>
    </row>
    <row r="5745" spans="5:25">
      <c r="E5745"/>
      <c r="G5745"/>
      <c r="H5745"/>
      <c r="I5745"/>
      <c r="K5745"/>
      <c r="O5745"/>
      <c r="R5745"/>
      <c r="W5745" s="4"/>
      <c r="X5745" s="4"/>
      <c r="Y5745" s="4"/>
    </row>
    <row r="5746" spans="5:25">
      <c r="E5746"/>
      <c r="G5746"/>
      <c r="H5746"/>
      <c r="I5746"/>
      <c r="K5746"/>
      <c r="O5746"/>
      <c r="R5746"/>
      <c r="W5746" s="4"/>
      <c r="X5746" s="4"/>
      <c r="Y5746" s="4"/>
    </row>
    <row r="5747" spans="5:25">
      <c r="E5747"/>
      <c r="G5747"/>
      <c r="H5747"/>
      <c r="I5747"/>
      <c r="K5747"/>
      <c r="O5747"/>
      <c r="R5747"/>
      <c r="W5747" s="4"/>
      <c r="X5747" s="4"/>
      <c r="Y5747" s="4"/>
    </row>
    <row r="5748" spans="5:25">
      <c r="E5748"/>
      <c r="G5748"/>
      <c r="H5748"/>
      <c r="I5748"/>
      <c r="K5748"/>
      <c r="O5748"/>
      <c r="R5748"/>
      <c r="W5748" s="4"/>
      <c r="X5748" s="4"/>
      <c r="Y5748" s="4"/>
    </row>
    <row r="5749" spans="5:25">
      <c r="E5749"/>
      <c r="G5749"/>
      <c r="H5749"/>
      <c r="I5749"/>
      <c r="K5749"/>
      <c r="O5749"/>
      <c r="R5749"/>
      <c r="W5749" s="4"/>
      <c r="X5749" s="4"/>
      <c r="Y5749" s="4"/>
    </row>
    <row r="5750" spans="5:25">
      <c r="E5750"/>
      <c r="G5750"/>
      <c r="H5750"/>
      <c r="I5750"/>
      <c r="K5750"/>
      <c r="O5750"/>
      <c r="R5750"/>
      <c r="W5750" s="4"/>
      <c r="X5750" s="4"/>
      <c r="Y5750" s="4"/>
    </row>
    <row r="5751" spans="5:25">
      <c r="E5751"/>
      <c r="G5751"/>
      <c r="H5751"/>
      <c r="I5751"/>
      <c r="K5751"/>
      <c r="O5751"/>
      <c r="R5751"/>
      <c r="W5751" s="4"/>
      <c r="X5751" s="4"/>
      <c r="Y5751" s="4"/>
    </row>
    <row r="5752" spans="5:25">
      <c r="E5752"/>
      <c r="G5752"/>
      <c r="H5752"/>
      <c r="I5752"/>
      <c r="K5752"/>
      <c r="O5752"/>
      <c r="R5752"/>
      <c r="W5752" s="4"/>
      <c r="X5752" s="4"/>
      <c r="Y5752" s="4"/>
    </row>
    <row r="5753" spans="5:25">
      <c r="E5753"/>
      <c r="G5753"/>
      <c r="H5753"/>
      <c r="I5753"/>
      <c r="K5753"/>
      <c r="O5753"/>
      <c r="R5753"/>
      <c r="W5753" s="4"/>
      <c r="X5753" s="4"/>
      <c r="Y5753" s="4"/>
    </row>
    <row r="5754" spans="5:25">
      <c r="E5754"/>
      <c r="G5754"/>
      <c r="H5754"/>
      <c r="I5754"/>
      <c r="K5754"/>
      <c r="O5754"/>
      <c r="R5754"/>
      <c r="W5754" s="4"/>
      <c r="X5754" s="4"/>
      <c r="Y5754" s="4"/>
    </row>
    <row r="5755" spans="5:25">
      <c r="E5755"/>
      <c r="G5755"/>
      <c r="H5755"/>
      <c r="I5755"/>
      <c r="K5755"/>
      <c r="O5755"/>
      <c r="R5755"/>
      <c r="W5755" s="4"/>
      <c r="X5755" s="4"/>
      <c r="Y5755" s="4"/>
    </row>
    <row r="5756" spans="5:25">
      <c r="E5756"/>
      <c r="G5756"/>
      <c r="H5756"/>
      <c r="I5756"/>
      <c r="K5756"/>
      <c r="O5756"/>
      <c r="R5756"/>
      <c r="W5756" s="4"/>
      <c r="X5756" s="4"/>
      <c r="Y5756" s="4"/>
    </row>
    <row r="5757" spans="5:25">
      <c r="E5757"/>
      <c r="G5757"/>
      <c r="H5757"/>
      <c r="I5757"/>
      <c r="K5757"/>
      <c r="O5757"/>
      <c r="R5757"/>
      <c r="W5757" s="4"/>
      <c r="X5757" s="4"/>
      <c r="Y5757" s="4"/>
    </row>
    <row r="5758" spans="5:25">
      <c r="E5758"/>
      <c r="G5758"/>
      <c r="H5758"/>
      <c r="I5758"/>
      <c r="K5758"/>
      <c r="O5758"/>
      <c r="R5758"/>
      <c r="W5758" s="4"/>
      <c r="X5758" s="4"/>
      <c r="Y5758" s="4"/>
    </row>
    <row r="5759" spans="5:25">
      <c r="E5759"/>
      <c r="G5759"/>
      <c r="H5759"/>
      <c r="I5759"/>
      <c r="K5759"/>
      <c r="O5759"/>
      <c r="R5759"/>
      <c r="W5759" s="4"/>
      <c r="X5759" s="4"/>
      <c r="Y5759" s="4"/>
    </row>
    <row r="5760" spans="5:25">
      <c r="E5760"/>
      <c r="G5760"/>
      <c r="H5760"/>
      <c r="I5760"/>
      <c r="K5760"/>
      <c r="O5760"/>
      <c r="R5760"/>
      <c r="W5760" s="4"/>
      <c r="X5760" s="4"/>
      <c r="Y5760" s="4"/>
    </row>
    <row r="5761" spans="5:25">
      <c r="E5761"/>
      <c r="G5761"/>
      <c r="H5761"/>
      <c r="I5761"/>
      <c r="K5761"/>
      <c r="O5761"/>
      <c r="R5761"/>
      <c r="W5761" s="4"/>
      <c r="X5761" s="4"/>
      <c r="Y5761" s="4"/>
    </row>
    <row r="5762" spans="5:25">
      <c r="E5762"/>
      <c r="G5762"/>
      <c r="H5762"/>
      <c r="I5762"/>
      <c r="K5762"/>
      <c r="O5762"/>
      <c r="R5762"/>
      <c r="W5762" s="4"/>
      <c r="X5762" s="4"/>
      <c r="Y5762" s="4"/>
    </row>
    <row r="5763" spans="5:25">
      <c r="E5763"/>
      <c r="G5763"/>
      <c r="H5763"/>
      <c r="I5763"/>
      <c r="K5763"/>
      <c r="O5763"/>
      <c r="R5763"/>
      <c r="W5763" s="4"/>
      <c r="X5763" s="4"/>
      <c r="Y5763" s="4"/>
    </row>
    <row r="5764" spans="5:25">
      <c r="E5764"/>
      <c r="G5764"/>
      <c r="H5764"/>
      <c r="I5764"/>
      <c r="K5764"/>
      <c r="O5764"/>
      <c r="R5764"/>
      <c r="W5764" s="4"/>
      <c r="X5764" s="4"/>
      <c r="Y5764" s="4"/>
    </row>
    <row r="5765" spans="5:25">
      <c r="E5765"/>
      <c r="G5765"/>
      <c r="H5765"/>
      <c r="I5765"/>
      <c r="K5765"/>
      <c r="O5765"/>
      <c r="R5765"/>
      <c r="W5765" s="4"/>
      <c r="X5765" s="4"/>
      <c r="Y5765" s="4"/>
    </row>
    <row r="5766" spans="5:25">
      <c r="E5766"/>
      <c r="G5766"/>
      <c r="H5766"/>
      <c r="I5766"/>
      <c r="K5766"/>
      <c r="O5766"/>
      <c r="R5766"/>
      <c r="W5766" s="4"/>
      <c r="X5766" s="4"/>
      <c r="Y5766" s="4"/>
    </row>
    <row r="5767" spans="5:25">
      <c r="E5767"/>
      <c r="G5767"/>
      <c r="H5767"/>
      <c r="I5767"/>
      <c r="K5767"/>
      <c r="O5767"/>
      <c r="R5767"/>
      <c r="W5767" s="4"/>
      <c r="X5767" s="4"/>
      <c r="Y5767" s="4"/>
    </row>
    <row r="5768" spans="5:25">
      <c r="E5768"/>
      <c r="G5768"/>
      <c r="H5768"/>
      <c r="I5768"/>
      <c r="K5768"/>
      <c r="O5768"/>
      <c r="R5768"/>
      <c r="W5768" s="4"/>
      <c r="X5768" s="4"/>
      <c r="Y5768" s="4"/>
    </row>
    <row r="5769" spans="5:25">
      <c r="E5769"/>
      <c r="G5769"/>
      <c r="H5769"/>
      <c r="I5769"/>
      <c r="K5769"/>
      <c r="O5769"/>
      <c r="R5769"/>
      <c r="W5769" s="4"/>
      <c r="X5769" s="4"/>
      <c r="Y5769" s="4"/>
    </row>
    <row r="5770" spans="5:25">
      <c r="E5770"/>
      <c r="G5770"/>
      <c r="H5770"/>
      <c r="I5770"/>
      <c r="K5770"/>
      <c r="O5770"/>
      <c r="R5770"/>
      <c r="W5770" s="4"/>
      <c r="X5770" s="4"/>
      <c r="Y5770" s="4"/>
    </row>
    <row r="5771" spans="5:25">
      <c r="E5771"/>
      <c r="G5771"/>
      <c r="H5771"/>
      <c r="I5771"/>
      <c r="K5771"/>
      <c r="O5771"/>
      <c r="R5771"/>
      <c r="W5771" s="4"/>
      <c r="X5771" s="4"/>
      <c r="Y5771" s="4"/>
    </row>
    <row r="5772" spans="5:25">
      <c r="E5772"/>
      <c r="G5772"/>
      <c r="H5772"/>
      <c r="I5772"/>
      <c r="K5772"/>
      <c r="O5772"/>
      <c r="R5772"/>
      <c r="W5772" s="4"/>
      <c r="X5772" s="4"/>
      <c r="Y5772" s="4"/>
    </row>
    <row r="5773" spans="5:25">
      <c r="E5773"/>
      <c r="G5773"/>
      <c r="H5773"/>
      <c r="I5773"/>
      <c r="K5773"/>
      <c r="O5773"/>
      <c r="R5773"/>
      <c r="W5773" s="4"/>
      <c r="X5773" s="4"/>
      <c r="Y5773" s="4"/>
    </row>
    <row r="5774" spans="5:25">
      <c r="E5774"/>
      <c r="G5774"/>
      <c r="H5774"/>
      <c r="I5774"/>
      <c r="K5774"/>
      <c r="O5774"/>
      <c r="R5774"/>
      <c r="W5774" s="4"/>
      <c r="X5774" s="4"/>
      <c r="Y5774" s="4"/>
    </row>
    <row r="5775" spans="5:25">
      <c r="E5775"/>
      <c r="G5775"/>
      <c r="H5775"/>
      <c r="I5775"/>
      <c r="K5775"/>
      <c r="O5775"/>
      <c r="R5775"/>
      <c r="W5775" s="4"/>
      <c r="X5775" s="4"/>
      <c r="Y5775" s="4"/>
    </row>
    <row r="5776" spans="5:25">
      <c r="E5776"/>
      <c r="G5776"/>
      <c r="H5776"/>
      <c r="I5776"/>
      <c r="K5776"/>
      <c r="O5776"/>
      <c r="R5776"/>
      <c r="W5776" s="4"/>
      <c r="X5776" s="4"/>
      <c r="Y5776" s="4"/>
    </row>
    <row r="5777" spans="5:25">
      <c r="E5777"/>
      <c r="G5777"/>
      <c r="H5777"/>
      <c r="I5777"/>
      <c r="K5777"/>
      <c r="O5777"/>
      <c r="R5777"/>
      <c r="W5777" s="4"/>
      <c r="X5777" s="4"/>
      <c r="Y5777" s="4"/>
    </row>
    <row r="5778" spans="5:25">
      <c r="E5778"/>
      <c r="G5778"/>
      <c r="H5778"/>
      <c r="I5778"/>
      <c r="K5778"/>
      <c r="O5778"/>
      <c r="R5778"/>
      <c r="W5778" s="4"/>
      <c r="X5778" s="4"/>
      <c r="Y5778" s="4"/>
    </row>
    <row r="5779" spans="5:25">
      <c r="E5779"/>
      <c r="G5779"/>
      <c r="H5779"/>
      <c r="I5779"/>
      <c r="K5779"/>
      <c r="O5779"/>
      <c r="R5779"/>
      <c r="W5779" s="4"/>
      <c r="X5779" s="4"/>
      <c r="Y5779" s="4"/>
    </row>
    <row r="5780" spans="5:25">
      <c r="E5780"/>
      <c r="G5780"/>
      <c r="H5780"/>
      <c r="I5780"/>
      <c r="K5780"/>
      <c r="O5780"/>
      <c r="R5780"/>
      <c r="W5780" s="4"/>
      <c r="X5780" s="4"/>
      <c r="Y5780" s="4"/>
    </row>
    <row r="5781" spans="5:25">
      <c r="E5781"/>
      <c r="G5781"/>
      <c r="H5781"/>
      <c r="I5781"/>
      <c r="K5781"/>
      <c r="O5781"/>
      <c r="R5781"/>
      <c r="W5781" s="4"/>
      <c r="X5781" s="4"/>
      <c r="Y5781" s="4"/>
    </row>
    <row r="5782" spans="5:25">
      <c r="E5782"/>
      <c r="G5782"/>
      <c r="H5782"/>
      <c r="I5782"/>
      <c r="K5782"/>
      <c r="O5782"/>
      <c r="R5782"/>
      <c r="W5782" s="4"/>
      <c r="X5782" s="4"/>
      <c r="Y5782" s="4"/>
    </row>
    <row r="5783" spans="5:25">
      <c r="E5783"/>
      <c r="G5783"/>
      <c r="H5783"/>
      <c r="I5783"/>
      <c r="K5783"/>
      <c r="O5783"/>
      <c r="R5783"/>
      <c r="W5783" s="4"/>
      <c r="X5783" s="4"/>
      <c r="Y5783" s="4"/>
    </row>
    <row r="5784" spans="5:25">
      <c r="E5784"/>
      <c r="G5784"/>
      <c r="H5784"/>
      <c r="I5784"/>
      <c r="K5784"/>
      <c r="O5784"/>
      <c r="R5784"/>
      <c r="W5784" s="4"/>
      <c r="X5784" s="4"/>
      <c r="Y5784" s="4"/>
    </row>
    <row r="5785" spans="5:25">
      <c r="E5785"/>
      <c r="G5785"/>
      <c r="H5785"/>
      <c r="I5785"/>
      <c r="K5785"/>
      <c r="O5785"/>
      <c r="R5785"/>
      <c r="W5785" s="4"/>
      <c r="X5785" s="4"/>
      <c r="Y5785" s="4"/>
    </row>
    <row r="5786" spans="5:25">
      <c r="E5786"/>
      <c r="G5786"/>
      <c r="H5786"/>
      <c r="I5786"/>
      <c r="K5786"/>
      <c r="O5786"/>
      <c r="R5786"/>
      <c r="W5786" s="4"/>
      <c r="X5786" s="4"/>
      <c r="Y5786" s="4"/>
    </row>
    <row r="5787" spans="5:25">
      <c r="E5787"/>
      <c r="G5787"/>
      <c r="H5787"/>
      <c r="I5787"/>
      <c r="K5787"/>
      <c r="O5787"/>
      <c r="R5787"/>
      <c r="W5787" s="4"/>
      <c r="X5787" s="4"/>
      <c r="Y5787" s="4"/>
    </row>
    <row r="5788" spans="5:25">
      <c r="E5788"/>
      <c r="G5788"/>
      <c r="H5788"/>
      <c r="I5788"/>
      <c r="K5788"/>
      <c r="O5788"/>
      <c r="R5788"/>
      <c r="W5788" s="4"/>
      <c r="X5788" s="4"/>
      <c r="Y5788" s="4"/>
    </row>
    <row r="5789" spans="5:25">
      <c r="E5789"/>
      <c r="G5789"/>
      <c r="H5789"/>
      <c r="I5789"/>
      <c r="K5789"/>
      <c r="O5789"/>
      <c r="R5789"/>
      <c r="W5789" s="4"/>
      <c r="X5789" s="4"/>
      <c r="Y5789" s="4"/>
    </row>
    <row r="5790" spans="5:25">
      <c r="E5790"/>
      <c r="G5790"/>
      <c r="H5790"/>
      <c r="I5790"/>
      <c r="K5790"/>
      <c r="O5790"/>
      <c r="R5790"/>
      <c r="W5790" s="4"/>
      <c r="X5790" s="4"/>
      <c r="Y5790" s="4"/>
    </row>
    <row r="5791" spans="5:25">
      <c r="E5791"/>
      <c r="G5791"/>
      <c r="H5791"/>
      <c r="I5791"/>
      <c r="K5791"/>
      <c r="O5791"/>
      <c r="R5791"/>
      <c r="W5791" s="4"/>
      <c r="X5791" s="4"/>
      <c r="Y5791" s="4"/>
    </row>
    <row r="5792" spans="5:25">
      <c r="E5792"/>
      <c r="G5792"/>
      <c r="H5792"/>
      <c r="I5792"/>
      <c r="K5792"/>
      <c r="O5792"/>
      <c r="R5792"/>
      <c r="W5792" s="4"/>
      <c r="X5792" s="4"/>
      <c r="Y5792" s="4"/>
    </row>
    <row r="5793" spans="5:25">
      <c r="E5793"/>
      <c r="G5793"/>
      <c r="H5793"/>
      <c r="I5793"/>
      <c r="K5793"/>
      <c r="O5793"/>
      <c r="R5793"/>
      <c r="W5793" s="4"/>
      <c r="X5793" s="4"/>
      <c r="Y5793" s="4"/>
    </row>
    <row r="5794" spans="5:25">
      <c r="E5794"/>
      <c r="G5794"/>
      <c r="H5794"/>
      <c r="I5794"/>
      <c r="K5794"/>
      <c r="O5794"/>
      <c r="R5794"/>
      <c r="W5794" s="4"/>
      <c r="X5794" s="4"/>
      <c r="Y5794" s="4"/>
    </row>
    <row r="5795" spans="5:25">
      <c r="E5795"/>
      <c r="G5795"/>
      <c r="H5795"/>
      <c r="I5795"/>
      <c r="K5795"/>
      <c r="O5795"/>
      <c r="R5795"/>
      <c r="W5795" s="4"/>
      <c r="X5795" s="4"/>
      <c r="Y5795" s="4"/>
    </row>
    <row r="5796" spans="5:25">
      <c r="E5796"/>
      <c r="G5796"/>
      <c r="H5796"/>
      <c r="I5796"/>
      <c r="K5796"/>
      <c r="O5796"/>
      <c r="R5796"/>
      <c r="W5796" s="4"/>
      <c r="X5796" s="4"/>
      <c r="Y5796" s="4"/>
    </row>
    <row r="5797" spans="5:25">
      <c r="E5797"/>
      <c r="G5797"/>
      <c r="H5797"/>
      <c r="I5797"/>
      <c r="K5797"/>
      <c r="O5797"/>
      <c r="R5797"/>
      <c r="W5797" s="4"/>
      <c r="X5797" s="4"/>
      <c r="Y5797" s="4"/>
    </row>
    <row r="5798" spans="5:25">
      <c r="E5798"/>
      <c r="G5798"/>
      <c r="H5798"/>
      <c r="I5798"/>
      <c r="K5798"/>
      <c r="O5798"/>
      <c r="R5798"/>
      <c r="W5798" s="4"/>
      <c r="X5798" s="4"/>
      <c r="Y5798" s="4"/>
    </row>
    <row r="5799" spans="5:25">
      <c r="E5799"/>
      <c r="G5799"/>
      <c r="H5799"/>
      <c r="I5799"/>
      <c r="K5799"/>
      <c r="O5799"/>
      <c r="R5799"/>
      <c r="W5799" s="4"/>
      <c r="X5799" s="4"/>
      <c r="Y5799" s="4"/>
    </row>
    <row r="5800" spans="5:25">
      <c r="E5800"/>
      <c r="G5800"/>
      <c r="H5800"/>
      <c r="I5800"/>
      <c r="K5800"/>
      <c r="O5800"/>
      <c r="R5800"/>
      <c r="W5800" s="4"/>
      <c r="X5800" s="4"/>
      <c r="Y5800" s="4"/>
    </row>
    <row r="5801" spans="5:25">
      <c r="E5801"/>
      <c r="G5801"/>
      <c r="H5801"/>
      <c r="I5801"/>
      <c r="K5801"/>
      <c r="O5801"/>
      <c r="R5801"/>
      <c r="W5801" s="4"/>
      <c r="X5801" s="4"/>
      <c r="Y5801" s="4"/>
    </row>
    <row r="5802" spans="5:25">
      <c r="E5802"/>
      <c r="G5802"/>
      <c r="H5802"/>
      <c r="I5802"/>
      <c r="K5802"/>
      <c r="O5802"/>
      <c r="R5802"/>
      <c r="W5802" s="4"/>
      <c r="X5802" s="4"/>
      <c r="Y5802" s="4"/>
    </row>
    <row r="5803" spans="5:25">
      <c r="E5803"/>
      <c r="G5803"/>
      <c r="H5803"/>
      <c r="I5803"/>
      <c r="K5803"/>
      <c r="O5803"/>
      <c r="R5803"/>
      <c r="W5803" s="4"/>
      <c r="X5803" s="4"/>
      <c r="Y5803" s="4"/>
    </row>
    <row r="5804" spans="5:25">
      <c r="E5804"/>
      <c r="G5804"/>
      <c r="H5804"/>
      <c r="I5804"/>
      <c r="K5804"/>
      <c r="O5804"/>
      <c r="R5804"/>
      <c r="W5804" s="4"/>
      <c r="X5804" s="4"/>
      <c r="Y5804" s="4"/>
    </row>
    <row r="5805" spans="5:25">
      <c r="E5805"/>
      <c r="G5805"/>
      <c r="H5805"/>
      <c r="I5805"/>
      <c r="K5805"/>
      <c r="O5805"/>
      <c r="R5805"/>
      <c r="W5805" s="4"/>
      <c r="X5805" s="4"/>
      <c r="Y5805" s="4"/>
    </row>
    <row r="5806" spans="5:25">
      <c r="E5806"/>
      <c r="G5806"/>
      <c r="H5806"/>
      <c r="I5806"/>
      <c r="K5806"/>
      <c r="O5806"/>
      <c r="R5806"/>
      <c r="W5806" s="4"/>
      <c r="X5806" s="4"/>
      <c r="Y5806" s="4"/>
    </row>
    <row r="5807" spans="5:25">
      <c r="E5807"/>
      <c r="G5807"/>
      <c r="H5807"/>
      <c r="I5807"/>
      <c r="K5807"/>
      <c r="O5807"/>
      <c r="R5807"/>
      <c r="W5807" s="4"/>
      <c r="X5807" s="4"/>
      <c r="Y5807" s="4"/>
    </row>
    <row r="5808" spans="5:25">
      <c r="E5808"/>
      <c r="G5808"/>
      <c r="H5808"/>
      <c r="I5808"/>
      <c r="K5808"/>
      <c r="O5808"/>
      <c r="R5808"/>
      <c r="W5808" s="4"/>
      <c r="X5808" s="4"/>
      <c r="Y5808" s="4"/>
    </row>
    <row r="5809" spans="5:25">
      <c r="E5809"/>
      <c r="G5809"/>
      <c r="H5809"/>
      <c r="I5809"/>
      <c r="K5809"/>
      <c r="O5809"/>
      <c r="R5809"/>
      <c r="W5809" s="4"/>
      <c r="X5809" s="4"/>
      <c r="Y5809" s="4"/>
    </row>
    <row r="5810" spans="5:25">
      <c r="E5810"/>
      <c r="G5810"/>
      <c r="H5810"/>
      <c r="I5810"/>
      <c r="K5810"/>
      <c r="O5810"/>
      <c r="R5810"/>
      <c r="W5810" s="4"/>
      <c r="X5810" s="4"/>
      <c r="Y5810" s="4"/>
    </row>
    <row r="5811" spans="5:25">
      <c r="E5811"/>
      <c r="G5811"/>
      <c r="H5811"/>
      <c r="I5811"/>
      <c r="K5811"/>
      <c r="O5811"/>
      <c r="R5811"/>
      <c r="W5811" s="4"/>
      <c r="X5811" s="4"/>
      <c r="Y5811" s="4"/>
    </row>
    <row r="5812" spans="5:25">
      <c r="E5812"/>
      <c r="G5812"/>
      <c r="H5812"/>
      <c r="I5812"/>
      <c r="K5812"/>
      <c r="O5812"/>
      <c r="R5812"/>
      <c r="W5812" s="4"/>
      <c r="X5812" s="4"/>
      <c r="Y5812" s="4"/>
    </row>
    <row r="5813" spans="5:25">
      <c r="E5813"/>
      <c r="G5813"/>
      <c r="H5813"/>
      <c r="I5813"/>
      <c r="K5813"/>
      <c r="O5813"/>
      <c r="R5813"/>
      <c r="W5813" s="4"/>
      <c r="X5813" s="4"/>
      <c r="Y5813" s="4"/>
    </row>
    <row r="5814" spans="5:25">
      <c r="E5814"/>
      <c r="G5814"/>
      <c r="H5814"/>
      <c r="I5814"/>
      <c r="K5814"/>
      <c r="O5814"/>
      <c r="R5814"/>
      <c r="W5814" s="4"/>
      <c r="X5814" s="4"/>
      <c r="Y5814" s="4"/>
    </row>
    <row r="5815" spans="5:25">
      <c r="E5815"/>
      <c r="G5815"/>
      <c r="H5815"/>
      <c r="I5815"/>
      <c r="K5815"/>
      <c r="O5815"/>
      <c r="R5815"/>
      <c r="W5815" s="4"/>
      <c r="X5815" s="4"/>
      <c r="Y5815" s="4"/>
    </row>
    <row r="5816" spans="5:25">
      <c r="E5816"/>
      <c r="G5816"/>
      <c r="H5816"/>
      <c r="I5816"/>
      <c r="K5816"/>
      <c r="O5816"/>
      <c r="R5816"/>
      <c r="W5816" s="4"/>
      <c r="X5816" s="4"/>
      <c r="Y5816" s="4"/>
    </row>
    <row r="5817" spans="5:25">
      <c r="E5817"/>
      <c r="G5817"/>
      <c r="H5817"/>
      <c r="I5817"/>
      <c r="K5817"/>
      <c r="O5817"/>
      <c r="R5817"/>
      <c r="W5817" s="4"/>
      <c r="X5817" s="4"/>
      <c r="Y5817" s="4"/>
    </row>
    <row r="5818" spans="5:25">
      <c r="E5818"/>
      <c r="G5818"/>
      <c r="H5818"/>
      <c r="I5818"/>
      <c r="K5818"/>
      <c r="O5818"/>
      <c r="R5818"/>
      <c r="W5818" s="4"/>
      <c r="X5818" s="4"/>
      <c r="Y5818" s="4"/>
    </row>
    <row r="5819" spans="5:25">
      <c r="E5819"/>
      <c r="G5819"/>
      <c r="H5819"/>
      <c r="I5819"/>
      <c r="K5819"/>
      <c r="O5819"/>
      <c r="R5819"/>
      <c r="W5819" s="4"/>
      <c r="X5819" s="4"/>
      <c r="Y5819" s="4"/>
    </row>
    <row r="5820" spans="5:25">
      <c r="E5820"/>
      <c r="G5820"/>
      <c r="H5820"/>
      <c r="I5820"/>
      <c r="K5820"/>
      <c r="O5820"/>
      <c r="R5820"/>
      <c r="W5820" s="4"/>
      <c r="X5820" s="4"/>
      <c r="Y5820" s="4"/>
    </row>
    <row r="5821" spans="5:25">
      <c r="E5821"/>
      <c r="G5821"/>
      <c r="H5821"/>
      <c r="I5821"/>
      <c r="K5821"/>
      <c r="O5821"/>
      <c r="R5821"/>
      <c r="W5821" s="4"/>
      <c r="X5821" s="4"/>
      <c r="Y5821" s="4"/>
    </row>
    <row r="5822" spans="5:25">
      <c r="E5822"/>
      <c r="G5822"/>
      <c r="H5822"/>
      <c r="I5822"/>
      <c r="K5822"/>
      <c r="O5822"/>
      <c r="R5822"/>
      <c r="W5822" s="4"/>
      <c r="X5822" s="4"/>
      <c r="Y5822" s="4"/>
    </row>
    <row r="5823" spans="5:25">
      <c r="E5823"/>
      <c r="G5823"/>
      <c r="H5823"/>
      <c r="I5823"/>
      <c r="K5823"/>
      <c r="O5823"/>
      <c r="R5823"/>
      <c r="W5823" s="4"/>
      <c r="X5823" s="4"/>
      <c r="Y5823" s="4"/>
    </row>
    <row r="5824" spans="5:25">
      <c r="E5824"/>
      <c r="G5824"/>
      <c r="H5824"/>
      <c r="I5824"/>
      <c r="K5824"/>
      <c r="O5824"/>
      <c r="R5824"/>
      <c r="W5824" s="4"/>
      <c r="X5824" s="4"/>
      <c r="Y5824" s="4"/>
    </row>
    <row r="5825" spans="5:25">
      <c r="E5825"/>
      <c r="G5825"/>
      <c r="H5825"/>
      <c r="I5825"/>
      <c r="K5825"/>
      <c r="O5825"/>
      <c r="R5825"/>
      <c r="W5825" s="4"/>
      <c r="X5825" s="4"/>
      <c r="Y5825" s="4"/>
    </row>
    <row r="5826" spans="5:25">
      <c r="E5826"/>
      <c r="G5826"/>
      <c r="H5826"/>
      <c r="I5826"/>
      <c r="K5826"/>
      <c r="O5826"/>
      <c r="R5826"/>
      <c r="W5826" s="4"/>
      <c r="X5826" s="4"/>
      <c r="Y5826" s="4"/>
    </row>
    <row r="5827" spans="5:25">
      <c r="E5827"/>
      <c r="G5827"/>
      <c r="H5827"/>
      <c r="I5827"/>
      <c r="K5827"/>
      <c r="O5827"/>
      <c r="R5827"/>
      <c r="W5827" s="4"/>
      <c r="X5827" s="4"/>
      <c r="Y5827" s="4"/>
    </row>
    <row r="5828" spans="5:25">
      <c r="E5828"/>
      <c r="G5828"/>
      <c r="H5828"/>
      <c r="I5828"/>
      <c r="K5828"/>
      <c r="O5828"/>
      <c r="R5828"/>
      <c r="W5828" s="4"/>
      <c r="X5828" s="4"/>
      <c r="Y5828" s="4"/>
    </row>
    <row r="5829" spans="5:25">
      <c r="E5829"/>
      <c r="G5829"/>
      <c r="H5829"/>
      <c r="I5829"/>
      <c r="K5829"/>
      <c r="O5829"/>
      <c r="R5829"/>
      <c r="W5829" s="4"/>
      <c r="X5829" s="4"/>
      <c r="Y5829" s="4"/>
    </row>
    <row r="5830" spans="5:25">
      <c r="E5830"/>
      <c r="G5830"/>
      <c r="H5830"/>
      <c r="I5830"/>
      <c r="K5830"/>
      <c r="O5830"/>
      <c r="R5830"/>
      <c r="W5830" s="4"/>
      <c r="X5830" s="4"/>
      <c r="Y5830" s="4"/>
    </row>
    <row r="5831" spans="5:25">
      <c r="E5831"/>
      <c r="G5831"/>
      <c r="H5831"/>
      <c r="I5831"/>
      <c r="K5831"/>
      <c r="O5831"/>
      <c r="R5831"/>
      <c r="W5831" s="4"/>
      <c r="X5831" s="4"/>
      <c r="Y5831" s="4"/>
    </row>
    <row r="5832" spans="5:25">
      <c r="E5832"/>
      <c r="G5832"/>
      <c r="H5832"/>
      <c r="I5832"/>
      <c r="K5832"/>
      <c r="O5832"/>
      <c r="R5832"/>
      <c r="W5832" s="4"/>
      <c r="X5832" s="4"/>
      <c r="Y5832" s="4"/>
    </row>
    <row r="5833" spans="5:25">
      <c r="E5833"/>
      <c r="G5833"/>
      <c r="H5833"/>
      <c r="I5833"/>
      <c r="K5833"/>
      <c r="O5833"/>
      <c r="R5833"/>
      <c r="W5833" s="4"/>
      <c r="X5833" s="4"/>
      <c r="Y5833" s="4"/>
    </row>
    <row r="5834" spans="5:25">
      <c r="E5834"/>
      <c r="G5834"/>
      <c r="H5834"/>
      <c r="I5834"/>
      <c r="K5834"/>
      <c r="O5834"/>
      <c r="R5834"/>
      <c r="W5834" s="4"/>
      <c r="X5834" s="4"/>
      <c r="Y5834" s="4"/>
    </row>
    <row r="5835" spans="5:25">
      <c r="E5835"/>
      <c r="G5835"/>
      <c r="H5835"/>
      <c r="I5835"/>
      <c r="K5835"/>
      <c r="O5835"/>
      <c r="R5835"/>
      <c r="W5835" s="4"/>
      <c r="X5835" s="4"/>
      <c r="Y5835" s="4"/>
    </row>
    <row r="5836" spans="5:25">
      <c r="E5836"/>
      <c r="G5836"/>
      <c r="H5836"/>
      <c r="I5836"/>
      <c r="K5836"/>
      <c r="O5836"/>
      <c r="R5836"/>
      <c r="W5836" s="4"/>
      <c r="X5836" s="4"/>
      <c r="Y5836" s="4"/>
    </row>
    <row r="5837" spans="5:25">
      <c r="E5837"/>
      <c r="G5837"/>
      <c r="H5837"/>
      <c r="I5837"/>
      <c r="K5837"/>
      <c r="O5837"/>
      <c r="R5837"/>
      <c r="W5837" s="4"/>
      <c r="X5837" s="4"/>
      <c r="Y5837" s="4"/>
    </row>
    <row r="5838" spans="5:25">
      <c r="E5838"/>
      <c r="G5838"/>
      <c r="H5838"/>
      <c r="I5838"/>
      <c r="K5838"/>
      <c r="O5838"/>
      <c r="R5838"/>
      <c r="W5838" s="4"/>
      <c r="X5838" s="4"/>
      <c r="Y5838" s="4"/>
    </row>
    <row r="5839" spans="5:25">
      <c r="E5839"/>
      <c r="G5839"/>
      <c r="H5839"/>
      <c r="I5839"/>
      <c r="K5839"/>
      <c r="O5839"/>
      <c r="R5839"/>
      <c r="W5839" s="4"/>
      <c r="X5839" s="4"/>
      <c r="Y5839" s="4"/>
    </row>
    <row r="5840" spans="5:25">
      <c r="E5840"/>
      <c r="G5840"/>
      <c r="H5840"/>
      <c r="I5840"/>
      <c r="K5840"/>
      <c r="O5840"/>
      <c r="R5840"/>
      <c r="W5840" s="4"/>
      <c r="X5840" s="4"/>
      <c r="Y5840" s="4"/>
    </row>
    <row r="5841" spans="5:25">
      <c r="E5841"/>
      <c r="G5841"/>
      <c r="H5841"/>
      <c r="I5841"/>
      <c r="K5841"/>
      <c r="O5841"/>
      <c r="R5841"/>
      <c r="W5841" s="4"/>
      <c r="X5841" s="4"/>
      <c r="Y5841" s="4"/>
    </row>
    <row r="5842" spans="5:25">
      <c r="E5842"/>
      <c r="G5842"/>
      <c r="H5842"/>
      <c r="I5842"/>
      <c r="K5842"/>
      <c r="O5842"/>
      <c r="R5842"/>
      <c r="W5842" s="4"/>
      <c r="X5842" s="4"/>
      <c r="Y5842" s="4"/>
    </row>
    <row r="5843" spans="5:25">
      <c r="E5843"/>
      <c r="G5843"/>
      <c r="H5843"/>
      <c r="I5843"/>
      <c r="K5843"/>
      <c r="O5843"/>
      <c r="R5843"/>
      <c r="W5843" s="4"/>
      <c r="X5843" s="4"/>
      <c r="Y5843" s="4"/>
    </row>
    <row r="5844" spans="5:25">
      <c r="E5844"/>
      <c r="G5844"/>
      <c r="H5844"/>
      <c r="I5844"/>
      <c r="K5844"/>
      <c r="O5844"/>
      <c r="R5844"/>
      <c r="W5844" s="4"/>
      <c r="X5844" s="4"/>
      <c r="Y5844" s="4"/>
    </row>
    <row r="5845" spans="5:25">
      <c r="E5845"/>
      <c r="G5845"/>
      <c r="H5845"/>
      <c r="I5845"/>
      <c r="K5845"/>
      <c r="O5845"/>
      <c r="R5845"/>
      <c r="W5845" s="4"/>
      <c r="X5845" s="4"/>
      <c r="Y5845" s="4"/>
    </row>
    <row r="5846" spans="5:25">
      <c r="E5846"/>
      <c r="G5846"/>
      <c r="H5846"/>
      <c r="I5846"/>
      <c r="K5846"/>
      <c r="O5846"/>
      <c r="R5846"/>
      <c r="W5846" s="4"/>
      <c r="X5846" s="4"/>
      <c r="Y5846" s="4"/>
    </row>
    <row r="5847" spans="5:25">
      <c r="E5847"/>
      <c r="G5847"/>
      <c r="H5847"/>
      <c r="I5847"/>
      <c r="K5847"/>
      <c r="O5847"/>
      <c r="R5847"/>
      <c r="W5847" s="4"/>
      <c r="X5847" s="4"/>
      <c r="Y5847" s="4"/>
    </row>
    <row r="5848" spans="5:25">
      <c r="E5848"/>
      <c r="G5848"/>
      <c r="H5848"/>
      <c r="I5848"/>
      <c r="K5848"/>
      <c r="O5848"/>
      <c r="R5848"/>
      <c r="W5848" s="4"/>
      <c r="X5848" s="4"/>
      <c r="Y5848" s="4"/>
    </row>
    <row r="5849" spans="5:25">
      <c r="E5849"/>
      <c r="G5849"/>
      <c r="H5849"/>
      <c r="I5849"/>
      <c r="K5849"/>
      <c r="O5849"/>
      <c r="R5849"/>
      <c r="W5849" s="4"/>
      <c r="X5849" s="4"/>
      <c r="Y5849" s="4"/>
    </row>
    <row r="5850" spans="5:25">
      <c r="E5850"/>
      <c r="G5850"/>
      <c r="H5850"/>
      <c r="I5850"/>
      <c r="K5850"/>
      <c r="O5850"/>
      <c r="R5850"/>
      <c r="W5850" s="4"/>
      <c r="X5850" s="4"/>
      <c r="Y5850" s="4"/>
    </row>
    <row r="5851" spans="5:25">
      <c r="E5851"/>
      <c r="G5851"/>
      <c r="H5851"/>
      <c r="I5851"/>
      <c r="K5851"/>
      <c r="O5851"/>
      <c r="R5851"/>
      <c r="W5851" s="4"/>
      <c r="X5851" s="4"/>
      <c r="Y5851" s="4"/>
    </row>
    <row r="5852" spans="5:25">
      <c r="E5852"/>
      <c r="G5852"/>
      <c r="H5852"/>
      <c r="I5852"/>
      <c r="K5852"/>
      <c r="O5852"/>
      <c r="R5852"/>
      <c r="W5852" s="4"/>
      <c r="X5852" s="4"/>
      <c r="Y5852" s="4"/>
    </row>
    <row r="5853" spans="5:25">
      <c r="E5853"/>
      <c r="G5853"/>
      <c r="H5853"/>
      <c r="I5853"/>
      <c r="K5853"/>
      <c r="O5853"/>
      <c r="R5853"/>
      <c r="W5853" s="4"/>
      <c r="X5853" s="4"/>
      <c r="Y5853" s="4"/>
    </row>
    <row r="5854" spans="5:25">
      <c r="E5854"/>
      <c r="G5854"/>
      <c r="H5854"/>
      <c r="I5854"/>
      <c r="K5854"/>
      <c r="O5854"/>
      <c r="R5854"/>
      <c r="W5854" s="4"/>
      <c r="X5854" s="4"/>
      <c r="Y5854" s="4"/>
    </row>
    <row r="5855" spans="5:25">
      <c r="E5855"/>
      <c r="G5855"/>
      <c r="H5855"/>
      <c r="I5855"/>
      <c r="K5855"/>
      <c r="O5855"/>
      <c r="R5855"/>
      <c r="W5855" s="4"/>
      <c r="X5855" s="4"/>
      <c r="Y5855" s="4"/>
    </row>
    <row r="5856" spans="5:25">
      <c r="E5856"/>
      <c r="G5856"/>
      <c r="H5856"/>
      <c r="I5856"/>
      <c r="K5856"/>
      <c r="O5856"/>
      <c r="R5856"/>
      <c r="W5856" s="4"/>
      <c r="X5856" s="4"/>
      <c r="Y5856" s="4"/>
    </row>
    <row r="5857" spans="5:25">
      <c r="E5857"/>
      <c r="G5857"/>
      <c r="H5857"/>
      <c r="I5857"/>
      <c r="K5857"/>
      <c r="O5857"/>
      <c r="R5857"/>
      <c r="W5857" s="4"/>
      <c r="X5857" s="4"/>
      <c r="Y5857" s="4"/>
    </row>
    <row r="5858" spans="5:25">
      <c r="E5858"/>
      <c r="G5858"/>
      <c r="H5858"/>
      <c r="I5858"/>
      <c r="K5858"/>
      <c r="O5858"/>
      <c r="R5858"/>
      <c r="W5858" s="4"/>
      <c r="X5858" s="4"/>
      <c r="Y5858" s="4"/>
    </row>
    <row r="5859" spans="5:25">
      <c r="E5859"/>
      <c r="G5859"/>
      <c r="H5859"/>
      <c r="I5859"/>
      <c r="K5859"/>
      <c r="O5859"/>
      <c r="R5859"/>
      <c r="W5859" s="4"/>
      <c r="X5859" s="4"/>
      <c r="Y5859" s="4"/>
    </row>
    <row r="5860" spans="5:25">
      <c r="E5860"/>
      <c r="G5860"/>
      <c r="H5860"/>
      <c r="I5860"/>
      <c r="K5860"/>
      <c r="O5860"/>
      <c r="R5860"/>
      <c r="W5860" s="4"/>
      <c r="X5860" s="4"/>
      <c r="Y5860" s="4"/>
    </row>
    <row r="5861" spans="5:25">
      <c r="E5861"/>
      <c r="G5861"/>
      <c r="H5861"/>
      <c r="I5861"/>
      <c r="K5861"/>
      <c r="O5861"/>
      <c r="R5861"/>
      <c r="W5861" s="4"/>
      <c r="X5861" s="4"/>
      <c r="Y5861" s="4"/>
    </row>
    <row r="5862" spans="5:25">
      <c r="E5862"/>
      <c r="G5862"/>
      <c r="H5862"/>
      <c r="I5862"/>
      <c r="K5862"/>
      <c r="O5862"/>
      <c r="R5862"/>
      <c r="W5862" s="4"/>
      <c r="X5862" s="4"/>
      <c r="Y5862" s="4"/>
    </row>
    <row r="5863" spans="5:25">
      <c r="E5863"/>
      <c r="G5863"/>
      <c r="H5863"/>
      <c r="I5863"/>
      <c r="K5863"/>
      <c r="O5863"/>
      <c r="R5863"/>
      <c r="W5863" s="4"/>
      <c r="X5863" s="4"/>
      <c r="Y5863" s="4"/>
    </row>
    <row r="5864" spans="5:25">
      <c r="E5864"/>
      <c r="G5864"/>
      <c r="H5864"/>
      <c r="I5864"/>
      <c r="K5864"/>
      <c r="O5864"/>
      <c r="R5864"/>
      <c r="W5864" s="4"/>
      <c r="X5864" s="4"/>
      <c r="Y5864" s="4"/>
    </row>
    <row r="5865" spans="5:25">
      <c r="E5865"/>
      <c r="G5865"/>
      <c r="H5865"/>
      <c r="I5865"/>
      <c r="K5865"/>
      <c r="O5865"/>
      <c r="R5865"/>
      <c r="W5865" s="4"/>
      <c r="X5865" s="4"/>
      <c r="Y5865" s="4"/>
    </row>
    <row r="5866" spans="5:25">
      <c r="E5866"/>
      <c r="G5866"/>
      <c r="H5866"/>
      <c r="I5866"/>
      <c r="K5866"/>
      <c r="O5866"/>
      <c r="R5866"/>
      <c r="W5866" s="4"/>
      <c r="X5866" s="4"/>
      <c r="Y5866" s="4"/>
    </row>
    <row r="5867" spans="5:25">
      <c r="E5867"/>
      <c r="G5867"/>
      <c r="H5867"/>
      <c r="I5867"/>
      <c r="K5867"/>
      <c r="O5867"/>
      <c r="R5867"/>
      <c r="W5867" s="4"/>
      <c r="X5867" s="4"/>
      <c r="Y5867" s="4"/>
    </row>
    <row r="5868" spans="5:25">
      <c r="E5868"/>
      <c r="G5868"/>
      <c r="H5868"/>
      <c r="I5868"/>
      <c r="K5868"/>
      <c r="O5868"/>
      <c r="R5868"/>
      <c r="W5868" s="4"/>
      <c r="X5868" s="4"/>
      <c r="Y5868" s="4"/>
    </row>
    <row r="5869" spans="5:25">
      <c r="E5869"/>
      <c r="G5869"/>
      <c r="H5869"/>
      <c r="I5869"/>
      <c r="K5869"/>
      <c r="O5869"/>
      <c r="R5869"/>
      <c r="W5869" s="4"/>
      <c r="X5869" s="4"/>
      <c r="Y5869" s="4"/>
    </row>
    <row r="5870" spans="5:25">
      <c r="E5870"/>
      <c r="G5870"/>
      <c r="H5870"/>
      <c r="I5870"/>
      <c r="K5870"/>
      <c r="O5870"/>
      <c r="R5870"/>
      <c r="W5870" s="4"/>
      <c r="X5870" s="4"/>
      <c r="Y5870" s="4"/>
    </row>
    <row r="5871" spans="5:25">
      <c r="E5871"/>
      <c r="G5871"/>
      <c r="H5871"/>
      <c r="I5871"/>
      <c r="K5871"/>
      <c r="O5871"/>
      <c r="R5871"/>
      <c r="W5871" s="4"/>
      <c r="X5871" s="4"/>
      <c r="Y5871" s="4"/>
    </row>
    <row r="5872" spans="5:25">
      <c r="E5872"/>
      <c r="G5872"/>
      <c r="H5872"/>
      <c r="I5872"/>
      <c r="K5872"/>
      <c r="O5872"/>
      <c r="R5872"/>
      <c r="W5872" s="4"/>
      <c r="X5872" s="4"/>
      <c r="Y5872" s="4"/>
    </row>
    <row r="5873" spans="5:25">
      <c r="E5873"/>
      <c r="G5873"/>
      <c r="H5873"/>
      <c r="I5873"/>
      <c r="K5873"/>
      <c r="O5873"/>
      <c r="R5873"/>
      <c r="W5873" s="4"/>
      <c r="X5873" s="4"/>
      <c r="Y5873" s="4"/>
    </row>
    <row r="5874" spans="5:25">
      <c r="E5874"/>
      <c r="G5874"/>
      <c r="H5874"/>
      <c r="I5874"/>
      <c r="K5874"/>
      <c r="O5874"/>
      <c r="R5874"/>
      <c r="W5874" s="4"/>
      <c r="X5874" s="4"/>
      <c r="Y5874" s="4"/>
    </row>
    <row r="5875" spans="5:25">
      <c r="E5875"/>
      <c r="G5875"/>
      <c r="H5875"/>
      <c r="I5875"/>
      <c r="K5875"/>
      <c r="O5875"/>
      <c r="R5875"/>
      <c r="W5875" s="4"/>
      <c r="X5875" s="4"/>
      <c r="Y5875" s="4"/>
    </row>
    <row r="5876" spans="5:25">
      <c r="E5876"/>
      <c r="G5876"/>
      <c r="H5876"/>
      <c r="I5876"/>
      <c r="K5876"/>
      <c r="O5876"/>
      <c r="R5876"/>
      <c r="W5876" s="4"/>
      <c r="X5876" s="4"/>
      <c r="Y5876" s="4"/>
    </row>
    <row r="5877" spans="5:25">
      <c r="E5877"/>
      <c r="G5877"/>
      <c r="H5877"/>
      <c r="I5877"/>
      <c r="K5877"/>
      <c r="O5877"/>
      <c r="R5877"/>
      <c r="W5877" s="4"/>
      <c r="X5877" s="4"/>
      <c r="Y5877" s="4"/>
    </row>
    <row r="5878" spans="5:25">
      <c r="E5878"/>
      <c r="G5878"/>
      <c r="H5878"/>
      <c r="I5878"/>
      <c r="K5878"/>
      <c r="O5878"/>
      <c r="R5878"/>
      <c r="W5878" s="4"/>
      <c r="X5878" s="4"/>
      <c r="Y5878" s="4"/>
    </row>
    <row r="5879" spans="5:25">
      <c r="E5879"/>
      <c r="G5879"/>
      <c r="H5879"/>
      <c r="I5879"/>
      <c r="K5879"/>
      <c r="O5879"/>
      <c r="R5879"/>
      <c r="W5879" s="4"/>
      <c r="X5879" s="4"/>
      <c r="Y5879" s="4"/>
    </row>
    <row r="5880" spans="5:25">
      <c r="E5880"/>
      <c r="G5880"/>
      <c r="H5880"/>
      <c r="I5880"/>
      <c r="K5880"/>
      <c r="O5880"/>
      <c r="R5880"/>
      <c r="W5880" s="4"/>
      <c r="X5880" s="4"/>
      <c r="Y5880" s="4"/>
    </row>
    <row r="5881" spans="5:25">
      <c r="E5881"/>
      <c r="G5881"/>
      <c r="H5881"/>
      <c r="I5881"/>
      <c r="K5881"/>
      <c r="O5881"/>
      <c r="R5881"/>
      <c r="W5881" s="4"/>
      <c r="X5881" s="4"/>
      <c r="Y5881" s="4"/>
    </row>
    <row r="5882" spans="5:25">
      <c r="E5882"/>
      <c r="G5882"/>
      <c r="H5882"/>
      <c r="I5882"/>
      <c r="K5882"/>
      <c r="O5882"/>
      <c r="R5882"/>
      <c r="W5882" s="4"/>
      <c r="X5882" s="4"/>
      <c r="Y5882" s="4"/>
    </row>
    <row r="5883" spans="5:25">
      <c r="E5883"/>
      <c r="G5883"/>
      <c r="H5883"/>
      <c r="I5883"/>
      <c r="K5883"/>
      <c r="O5883"/>
      <c r="R5883"/>
      <c r="W5883" s="4"/>
      <c r="X5883" s="4"/>
      <c r="Y5883" s="4"/>
    </row>
    <row r="5884" spans="5:25">
      <c r="E5884"/>
      <c r="G5884"/>
      <c r="H5884"/>
      <c r="I5884"/>
      <c r="K5884"/>
      <c r="O5884"/>
      <c r="R5884"/>
      <c r="W5884" s="4"/>
      <c r="X5884" s="4"/>
      <c r="Y5884" s="4"/>
    </row>
    <row r="5885" spans="5:25">
      <c r="E5885"/>
      <c r="G5885"/>
      <c r="H5885"/>
      <c r="I5885"/>
      <c r="K5885"/>
      <c r="O5885"/>
      <c r="R5885"/>
      <c r="W5885" s="4"/>
      <c r="X5885" s="4"/>
      <c r="Y5885" s="4"/>
    </row>
    <row r="5886" spans="5:25">
      <c r="E5886"/>
      <c r="G5886"/>
      <c r="H5886"/>
      <c r="I5886"/>
      <c r="K5886"/>
      <c r="O5886"/>
      <c r="R5886"/>
      <c r="W5886" s="4"/>
      <c r="X5886" s="4"/>
      <c r="Y5886" s="4"/>
    </row>
    <row r="5887" spans="5:25">
      <c r="E5887"/>
      <c r="G5887"/>
      <c r="H5887"/>
      <c r="I5887"/>
      <c r="K5887"/>
      <c r="O5887"/>
      <c r="R5887"/>
      <c r="W5887" s="4"/>
      <c r="X5887" s="4"/>
      <c r="Y5887" s="4"/>
    </row>
    <row r="5888" spans="5:25">
      <c r="E5888"/>
      <c r="G5888"/>
      <c r="H5888"/>
      <c r="I5888"/>
      <c r="K5888"/>
      <c r="O5888"/>
      <c r="R5888"/>
      <c r="W5888" s="4"/>
      <c r="X5888" s="4"/>
      <c r="Y5888" s="4"/>
    </row>
    <row r="5889" spans="5:25">
      <c r="E5889"/>
      <c r="G5889"/>
      <c r="H5889"/>
      <c r="I5889"/>
      <c r="K5889"/>
      <c r="O5889"/>
      <c r="R5889"/>
      <c r="W5889" s="4"/>
      <c r="X5889" s="4"/>
      <c r="Y5889" s="4"/>
    </row>
    <row r="5890" spans="5:25">
      <c r="E5890"/>
      <c r="G5890"/>
      <c r="H5890"/>
      <c r="I5890"/>
      <c r="K5890"/>
      <c r="O5890"/>
      <c r="R5890"/>
      <c r="W5890" s="4"/>
      <c r="X5890" s="4"/>
      <c r="Y5890" s="4"/>
    </row>
    <row r="5891" spans="5:25">
      <c r="E5891"/>
      <c r="G5891"/>
      <c r="H5891"/>
      <c r="I5891"/>
      <c r="K5891"/>
      <c r="O5891"/>
      <c r="R5891"/>
      <c r="W5891" s="4"/>
      <c r="X5891" s="4"/>
      <c r="Y5891" s="4"/>
    </row>
    <row r="5892" spans="5:25">
      <c r="E5892"/>
      <c r="G5892"/>
      <c r="H5892"/>
      <c r="I5892"/>
      <c r="K5892"/>
      <c r="O5892"/>
      <c r="R5892"/>
      <c r="W5892" s="4"/>
      <c r="X5892" s="4"/>
      <c r="Y5892" s="4"/>
    </row>
    <row r="5893" spans="5:25">
      <c r="E5893"/>
      <c r="G5893"/>
      <c r="H5893"/>
      <c r="I5893"/>
      <c r="K5893"/>
      <c r="O5893"/>
      <c r="R5893"/>
      <c r="W5893" s="4"/>
      <c r="X5893" s="4"/>
      <c r="Y5893" s="4"/>
    </row>
    <row r="5894" spans="5:25">
      <c r="E5894"/>
      <c r="G5894"/>
      <c r="H5894"/>
      <c r="I5894"/>
      <c r="K5894"/>
      <c r="O5894"/>
      <c r="R5894"/>
      <c r="W5894" s="4"/>
      <c r="X5894" s="4"/>
      <c r="Y5894" s="4"/>
    </row>
    <row r="5895" spans="5:25">
      <c r="E5895"/>
      <c r="G5895"/>
      <c r="H5895"/>
      <c r="I5895"/>
      <c r="K5895"/>
      <c r="O5895"/>
      <c r="R5895"/>
      <c r="W5895" s="4"/>
      <c r="X5895" s="4"/>
      <c r="Y5895" s="4"/>
    </row>
    <row r="5896" spans="5:25">
      <c r="E5896"/>
      <c r="G5896"/>
      <c r="H5896"/>
      <c r="I5896"/>
      <c r="K5896"/>
      <c r="O5896"/>
      <c r="R5896"/>
      <c r="W5896" s="4"/>
      <c r="X5896" s="4"/>
      <c r="Y5896" s="4"/>
    </row>
    <row r="5897" spans="5:25">
      <c r="E5897"/>
      <c r="G5897"/>
      <c r="H5897"/>
      <c r="I5897"/>
      <c r="K5897"/>
      <c r="O5897"/>
      <c r="R5897"/>
      <c r="W5897" s="4"/>
      <c r="X5897" s="4"/>
      <c r="Y5897" s="4"/>
    </row>
    <row r="5898" spans="5:25">
      <c r="E5898"/>
      <c r="G5898"/>
      <c r="H5898"/>
      <c r="I5898"/>
      <c r="K5898"/>
      <c r="O5898"/>
      <c r="R5898"/>
      <c r="W5898" s="4"/>
      <c r="X5898" s="4"/>
      <c r="Y5898" s="4"/>
    </row>
    <row r="5899" spans="5:25">
      <c r="E5899"/>
      <c r="G5899"/>
      <c r="H5899"/>
      <c r="I5899"/>
      <c r="K5899"/>
      <c r="O5899"/>
      <c r="R5899"/>
      <c r="W5899" s="4"/>
      <c r="X5899" s="4"/>
      <c r="Y5899" s="4"/>
    </row>
    <row r="5900" spans="5:25">
      <c r="E5900"/>
      <c r="G5900"/>
      <c r="H5900"/>
      <c r="I5900"/>
      <c r="K5900"/>
      <c r="O5900"/>
      <c r="R5900"/>
      <c r="W5900" s="4"/>
      <c r="X5900" s="4"/>
      <c r="Y5900" s="4"/>
    </row>
    <row r="5901" spans="5:25">
      <c r="E5901"/>
      <c r="G5901"/>
      <c r="H5901"/>
      <c r="I5901"/>
      <c r="K5901"/>
      <c r="O5901"/>
      <c r="R5901"/>
      <c r="W5901" s="4"/>
      <c r="X5901" s="4"/>
      <c r="Y5901" s="4"/>
    </row>
    <row r="5902" spans="5:25">
      <c r="E5902"/>
      <c r="G5902"/>
      <c r="H5902"/>
      <c r="I5902"/>
      <c r="K5902"/>
      <c r="O5902"/>
      <c r="R5902"/>
      <c r="W5902" s="4"/>
      <c r="X5902" s="4"/>
      <c r="Y5902" s="4"/>
    </row>
    <row r="5903" spans="5:25">
      <c r="E5903"/>
      <c r="G5903"/>
      <c r="H5903"/>
      <c r="I5903"/>
      <c r="K5903"/>
      <c r="O5903"/>
      <c r="R5903"/>
      <c r="W5903" s="4"/>
      <c r="X5903" s="4"/>
      <c r="Y5903" s="4"/>
    </row>
    <row r="5904" spans="5:25">
      <c r="E5904"/>
      <c r="G5904"/>
      <c r="H5904"/>
      <c r="I5904"/>
      <c r="K5904"/>
      <c r="O5904"/>
      <c r="R5904"/>
      <c r="W5904" s="4"/>
      <c r="X5904" s="4"/>
      <c r="Y5904" s="4"/>
    </row>
    <row r="5905" spans="5:25">
      <c r="E5905"/>
      <c r="G5905"/>
      <c r="H5905"/>
      <c r="I5905"/>
      <c r="K5905"/>
      <c r="O5905"/>
      <c r="R5905"/>
      <c r="W5905" s="4"/>
      <c r="X5905" s="4"/>
      <c r="Y5905" s="4"/>
    </row>
    <row r="5906" spans="5:25">
      <c r="E5906"/>
      <c r="G5906"/>
      <c r="H5906"/>
      <c r="I5906"/>
      <c r="K5906"/>
      <c r="O5906"/>
      <c r="R5906"/>
      <c r="W5906" s="4"/>
      <c r="X5906" s="4"/>
      <c r="Y5906" s="4"/>
    </row>
    <row r="5907" spans="5:25">
      <c r="E5907"/>
      <c r="G5907"/>
      <c r="H5907"/>
      <c r="I5907"/>
      <c r="K5907"/>
      <c r="O5907"/>
      <c r="R5907"/>
      <c r="W5907" s="4"/>
      <c r="X5907" s="4"/>
      <c r="Y5907" s="4"/>
    </row>
    <row r="5908" spans="5:25">
      <c r="E5908"/>
      <c r="G5908"/>
      <c r="H5908"/>
      <c r="I5908"/>
      <c r="K5908"/>
      <c r="O5908"/>
      <c r="R5908"/>
      <c r="W5908" s="4"/>
      <c r="X5908" s="4"/>
      <c r="Y5908" s="4"/>
    </row>
    <row r="5909" spans="5:25">
      <c r="E5909"/>
      <c r="G5909"/>
      <c r="H5909"/>
      <c r="I5909"/>
      <c r="K5909"/>
      <c r="O5909"/>
      <c r="R5909"/>
      <c r="W5909" s="4"/>
      <c r="X5909" s="4"/>
      <c r="Y5909" s="4"/>
    </row>
    <row r="5910" spans="5:25">
      <c r="E5910"/>
      <c r="G5910"/>
      <c r="H5910"/>
      <c r="I5910"/>
      <c r="K5910"/>
      <c r="O5910"/>
      <c r="R5910"/>
      <c r="W5910" s="4"/>
      <c r="X5910" s="4"/>
      <c r="Y5910" s="4"/>
    </row>
    <row r="5911" spans="5:25">
      <c r="E5911"/>
      <c r="G5911"/>
      <c r="H5911"/>
      <c r="I5911"/>
      <c r="K5911"/>
      <c r="O5911"/>
      <c r="R5911"/>
      <c r="W5911" s="4"/>
      <c r="X5911" s="4"/>
      <c r="Y5911" s="4"/>
    </row>
    <row r="5912" spans="5:25">
      <c r="E5912"/>
      <c r="G5912"/>
      <c r="H5912"/>
      <c r="I5912"/>
      <c r="K5912"/>
      <c r="O5912"/>
      <c r="R5912"/>
      <c r="W5912" s="4"/>
      <c r="X5912" s="4"/>
      <c r="Y5912" s="4"/>
    </row>
    <row r="5913" spans="5:25">
      <c r="E5913"/>
      <c r="G5913"/>
      <c r="H5913"/>
      <c r="I5913"/>
      <c r="K5913"/>
      <c r="O5913"/>
      <c r="R5913"/>
      <c r="W5913" s="4"/>
      <c r="X5913" s="4"/>
      <c r="Y5913" s="4"/>
    </row>
    <row r="5914" spans="5:25">
      <c r="E5914"/>
      <c r="G5914"/>
      <c r="H5914"/>
      <c r="I5914"/>
      <c r="K5914"/>
      <c r="O5914"/>
      <c r="R5914"/>
      <c r="W5914" s="4"/>
      <c r="X5914" s="4"/>
      <c r="Y5914" s="4"/>
    </row>
    <row r="5915" spans="5:25">
      <c r="E5915"/>
      <c r="G5915"/>
      <c r="H5915"/>
      <c r="I5915"/>
      <c r="K5915"/>
      <c r="O5915"/>
      <c r="R5915"/>
      <c r="W5915" s="4"/>
      <c r="X5915" s="4"/>
      <c r="Y5915" s="4"/>
    </row>
    <row r="5916" spans="5:25">
      <c r="E5916"/>
      <c r="G5916"/>
      <c r="H5916"/>
      <c r="I5916"/>
      <c r="K5916"/>
      <c r="O5916"/>
      <c r="R5916"/>
      <c r="W5916" s="4"/>
      <c r="X5916" s="4"/>
      <c r="Y5916" s="4"/>
    </row>
    <row r="5917" spans="5:25">
      <c r="E5917"/>
      <c r="G5917"/>
      <c r="H5917"/>
      <c r="I5917"/>
      <c r="K5917"/>
      <c r="O5917"/>
      <c r="R5917"/>
      <c r="W5917" s="4"/>
      <c r="X5917" s="4"/>
      <c r="Y5917" s="4"/>
    </row>
    <row r="5918" spans="5:25">
      <c r="E5918"/>
      <c r="G5918"/>
      <c r="H5918"/>
      <c r="I5918"/>
      <c r="K5918"/>
      <c r="O5918"/>
      <c r="R5918"/>
      <c r="W5918" s="4"/>
      <c r="X5918" s="4"/>
      <c r="Y5918" s="4"/>
    </row>
    <row r="5919" spans="5:25">
      <c r="E5919"/>
      <c r="G5919"/>
      <c r="H5919"/>
      <c r="I5919"/>
      <c r="K5919"/>
      <c r="O5919"/>
      <c r="R5919"/>
      <c r="W5919" s="4"/>
      <c r="X5919" s="4"/>
      <c r="Y5919" s="4"/>
    </row>
    <row r="5920" spans="5:25">
      <c r="E5920"/>
      <c r="G5920"/>
      <c r="H5920"/>
      <c r="I5920"/>
      <c r="K5920"/>
      <c r="O5920"/>
      <c r="R5920"/>
      <c r="W5920" s="4"/>
      <c r="X5920" s="4"/>
      <c r="Y5920" s="4"/>
    </row>
    <row r="5921" spans="5:25">
      <c r="E5921"/>
      <c r="G5921"/>
      <c r="H5921"/>
      <c r="I5921"/>
      <c r="K5921"/>
      <c r="O5921"/>
      <c r="R5921"/>
      <c r="W5921" s="4"/>
      <c r="X5921" s="4"/>
      <c r="Y5921" s="4"/>
    </row>
    <row r="5922" spans="5:25">
      <c r="E5922"/>
      <c r="G5922"/>
      <c r="H5922"/>
      <c r="I5922"/>
      <c r="K5922"/>
      <c r="O5922"/>
      <c r="R5922"/>
      <c r="W5922" s="4"/>
      <c r="X5922" s="4"/>
      <c r="Y5922" s="4"/>
    </row>
    <row r="5923" spans="5:25">
      <c r="E5923"/>
      <c r="G5923"/>
      <c r="H5923"/>
      <c r="I5923"/>
      <c r="K5923"/>
      <c r="O5923"/>
      <c r="R5923"/>
      <c r="W5923" s="4"/>
      <c r="X5923" s="4"/>
      <c r="Y5923" s="4"/>
    </row>
    <row r="5924" spans="5:25">
      <c r="E5924"/>
      <c r="G5924"/>
      <c r="H5924"/>
      <c r="I5924"/>
      <c r="K5924"/>
      <c r="O5924"/>
      <c r="R5924"/>
      <c r="W5924" s="4"/>
      <c r="X5924" s="4"/>
      <c r="Y5924" s="4"/>
    </row>
    <row r="5925" spans="5:25">
      <c r="E5925"/>
      <c r="G5925"/>
      <c r="H5925"/>
      <c r="I5925"/>
      <c r="K5925"/>
      <c r="O5925"/>
      <c r="R5925"/>
      <c r="W5925" s="4"/>
      <c r="X5925" s="4"/>
      <c r="Y5925" s="4"/>
    </row>
    <row r="5926" spans="5:25">
      <c r="E5926"/>
      <c r="G5926"/>
      <c r="H5926"/>
      <c r="I5926"/>
      <c r="K5926"/>
      <c r="O5926"/>
      <c r="R5926"/>
      <c r="W5926" s="4"/>
      <c r="X5926" s="4"/>
      <c r="Y5926" s="4"/>
    </row>
    <row r="5927" spans="5:25">
      <c r="E5927"/>
      <c r="G5927"/>
      <c r="H5927"/>
      <c r="I5927"/>
      <c r="K5927"/>
      <c r="O5927"/>
      <c r="R5927"/>
      <c r="W5927" s="4"/>
      <c r="X5927" s="4"/>
      <c r="Y5927" s="4"/>
    </row>
    <row r="5928" spans="5:25">
      <c r="E5928"/>
      <c r="G5928"/>
      <c r="H5928"/>
      <c r="I5928"/>
      <c r="K5928"/>
      <c r="O5928"/>
      <c r="R5928"/>
      <c r="W5928" s="4"/>
      <c r="X5928" s="4"/>
      <c r="Y5928" s="4"/>
    </row>
    <row r="5929" spans="5:25">
      <c r="E5929"/>
      <c r="G5929"/>
      <c r="H5929"/>
      <c r="I5929"/>
      <c r="K5929"/>
      <c r="O5929"/>
      <c r="R5929"/>
      <c r="W5929" s="4"/>
      <c r="X5929" s="4"/>
      <c r="Y5929" s="4"/>
    </row>
    <row r="5930" spans="5:25">
      <c r="E5930"/>
      <c r="G5930"/>
      <c r="H5930"/>
      <c r="I5930"/>
      <c r="K5930"/>
      <c r="O5930"/>
      <c r="R5930"/>
      <c r="W5930" s="4"/>
      <c r="X5930" s="4"/>
      <c r="Y5930" s="4"/>
    </row>
    <row r="5931" spans="5:25">
      <c r="E5931"/>
      <c r="G5931"/>
      <c r="H5931"/>
      <c r="I5931"/>
      <c r="K5931"/>
      <c r="O5931"/>
      <c r="R5931"/>
      <c r="W5931" s="4"/>
      <c r="X5931" s="4"/>
      <c r="Y5931" s="4"/>
    </row>
    <row r="5932" spans="5:25">
      <c r="E5932"/>
      <c r="G5932"/>
      <c r="H5932"/>
      <c r="I5932"/>
      <c r="K5932"/>
      <c r="O5932"/>
      <c r="R5932"/>
      <c r="W5932" s="4"/>
      <c r="X5932" s="4"/>
      <c r="Y5932" s="4"/>
    </row>
    <row r="5933" spans="5:25">
      <c r="E5933"/>
      <c r="G5933"/>
      <c r="H5933"/>
      <c r="I5933"/>
      <c r="K5933"/>
      <c r="O5933"/>
      <c r="R5933"/>
      <c r="W5933" s="4"/>
      <c r="X5933" s="4"/>
      <c r="Y5933" s="4"/>
    </row>
    <row r="5934" spans="5:25">
      <c r="E5934"/>
      <c r="G5934"/>
      <c r="H5934"/>
      <c r="I5934"/>
      <c r="K5934"/>
      <c r="O5934"/>
      <c r="R5934"/>
      <c r="W5934" s="4"/>
      <c r="X5934" s="4"/>
      <c r="Y5934" s="4"/>
    </row>
    <row r="5935" spans="5:25">
      <c r="E5935"/>
      <c r="G5935"/>
      <c r="H5935"/>
      <c r="I5935"/>
      <c r="K5935"/>
      <c r="O5935"/>
      <c r="R5935"/>
      <c r="W5935" s="4"/>
      <c r="X5935" s="4"/>
      <c r="Y5935" s="4"/>
    </row>
    <row r="5936" spans="5:25">
      <c r="E5936"/>
      <c r="G5936"/>
      <c r="H5936"/>
      <c r="I5936"/>
      <c r="K5936"/>
      <c r="O5936"/>
      <c r="R5936"/>
      <c r="W5936" s="4"/>
      <c r="X5936" s="4"/>
      <c r="Y5936" s="4"/>
    </row>
    <row r="5937" spans="5:25">
      <c r="E5937"/>
      <c r="G5937"/>
      <c r="H5937"/>
      <c r="I5937"/>
      <c r="K5937"/>
      <c r="O5937"/>
      <c r="R5937"/>
      <c r="W5937" s="4"/>
      <c r="X5937" s="4"/>
      <c r="Y5937" s="4"/>
    </row>
    <row r="5938" spans="5:25">
      <c r="E5938"/>
      <c r="G5938"/>
      <c r="H5938"/>
      <c r="I5938"/>
      <c r="K5938"/>
      <c r="O5938"/>
      <c r="R5938"/>
      <c r="W5938" s="4"/>
      <c r="X5938" s="4"/>
      <c r="Y5938" s="4"/>
    </row>
    <row r="5939" spans="5:25">
      <c r="E5939"/>
      <c r="G5939"/>
      <c r="H5939"/>
      <c r="I5939"/>
      <c r="K5939"/>
      <c r="O5939"/>
      <c r="R5939"/>
      <c r="W5939" s="4"/>
      <c r="X5939" s="4"/>
      <c r="Y5939" s="4"/>
    </row>
    <row r="5940" spans="5:25">
      <c r="E5940"/>
      <c r="G5940"/>
      <c r="H5940"/>
      <c r="I5940"/>
      <c r="K5940"/>
      <c r="O5940"/>
      <c r="R5940"/>
      <c r="W5940" s="4"/>
      <c r="X5940" s="4"/>
      <c r="Y5940" s="4"/>
    </row>
    <row r="5941" spans="5:25">
      <c r="E5941"/>
      <c r="G5941"/>
      <c r="H5941"/>
      <c r="I5941"/>
      <c r="K5941"/>
      <c r="O5941"/>
      <c r="R5941"/>
      <c r="W5941" s="4"/>
      <c r="X5941" s="4"/>
      <c r="Y5941" s="4"/>
    </row>
    <row r="5942" spans="5:25">
      <c r="E5942"/>
      <c r="G5942"/>
      <c r="H5942"/>
      <c r="I5942"/>
      <c r="K5942"/>
      <c r="O5942"/>
      <c r="R5942"/>
      <c r="W5942" s="4"/>
      <c r="X5942" s="4"/>
      <c r="Y5942" s="4"/>
    </row>
    <row r="5943" spans="5:25">
      <c r="E5943"/>
      <c r="G5943"/>
      <c r="H5943"/>
      <c r="I5943"/>
      <c r="K5943"/>
      <c r="O5943"/>
      <c r="R5943"/>
      <c r="W5943" s="4"/>
      <c r="X5943" s="4"/>
      <c r="Y5943" s="4"/>
    </row>
    <row r="5944" spans="5:25">
      <c r="E5944"/>
      <c r="G5944"/>
      <c r="H5944"/>
      <c r="I5944"/>
      <c r="K5944"/>
      <c r="O5944"/>
      <c r="R5944"/>
      <c r="W5944" s="4"/>
      <c r="X5944" s="4"/>
      <c r="Y5944" s="4"/>
    </row>
    <row r="5945" spans="5:25">
      <c r="E5945"/>
      <c r="G5945"/>
      <c r="H5945"/>
      <c r="I5945"/>
      <c r="K5945"/>
      <c r="O5945"/>
      <c r="R5945"/>
      <c r="W5945" s="4"/>
      <c r="X5945" s="4"/>
      <c r="Y5945" s="4"/>
    </row>
    <row r="5946" spans="5:25">
      <c r="E5946"/>
      <c r="G5946"/>
      <c r="H5946"/>
      <c r="I5946"/>
      <c r="K5946"/>
      <c r="O5946"/>
      <c r="R5946"/>
      <c r="W5946" s="4"/>
      <c r="X5946" s="4"/>
      <c r="Y5946" s="4"/>
    </row>
    <row r="5947" spans="5:25">
      <c r="E5947"/>
      <c r="G5947"/>
      <c r="H5947"/>
      <c r="I5947"/>
      <c r="K5947"/>
      <c r="O5947"/>
      <c r="R5947"/>
      <c r="W5947" s="4"/>
      <c r="X5947" s="4"/>
      <c r="Y5947" s="4"/>
    </row>
    <row r="5948" spans="5:25">
      <c r="E5948"/>
      <c r="G5948"/>
      <c r="H5948"/>
      <c r="I5948"/>
      <c r="K5948"/>
      <c r="O5948"/>
      <c r="R5948"/>
      <c r="W5948" s="4"/>
      <c r="X5948" s="4"/>
      <c r="Y5948" s="4"/>
    </row>
    <row r="5949" spans="5:25">
      <c r="E5949"/>
      <c r="G5949"/>
      <c r="H5949"/>
      <c r="I5949"/>
      <c r="K5949"/>
      <c r="O5949"/>
      <c r="R5949"/>
      <c r="W5949" s="4"/>
      <c r="X5949" s="4"/>
      <c r="Y5949" s="4"/>
    </row>
    <row r="5950" spans="5:25">
      <c r="E5950"/>
      <c r="G5950"/>
      <c r="H5950"/>
      <c r="I5950"/>
      <c r="K5950"/>
      <c r="O5950"/>
      <c r="R5950"/>
      <c r="W5950" s="4"/>
      <c r="X5950" s="4"/>
      <c r="Y5950" s="4"/>
    </row>
    <row r="5951" spans="5:25">
      <c r="E5951"/>
      <c r="G5951"/>
      <c r="H5951"/>
      <c r="I5951"/>
      <c r="K5951"/>
      <c r="O5951"/>
      <c r="R5951"/>
      <c r="W5951" s="4"/>
      <c r="X5951" s="4"/>
      <c r="Y5951" s="4"/>
    </row>
    <row r="5952" spans="5:25">
      <c r="E5952"/>
      <c r="G5952"/>
      <c r="H5952"/>
      <c r="I5952"/>
      <c r="K5952"/>
      <c r="O5952"/>
      <c r="R5952"/>
      <c r="W5952" s="4"/>
      <c r="X5952" s="4"/>
      <c r="Y5952" s="4"/>
    </row>
    <row r="5953" spans="5:25">
      <c r="E5953"/>
      <c r="G5953"/>
      <c r="H5953"/>
      <c r="I5953"/>
      <c r="K5953"/>
      <c r="O5953"/>
      <c r="R5953"/>
      <c r="W5953" s="4"/>
      <c r="X5953" s="4"/>
      <c r="Y5953" s="4"/>
    </row>
    <row r="5954" spans="5:25">
      <c r="E5954"/>
      <c r="G5954"/>
      <c r="H5954"/>
      <c r="I5954"/>
      <c r="K5954"/>
      <c r="O5954"/>
      <c r="R5954"/>
      <c r="W5954" s="4"/>
      <c r="X5954" s="4"/>
      <c r="Y5954" s="4"/>
    </row>
    <row r="5955" spans="5:25">
      <c r="E5955"/>
      <c r="G5955"/>
      <c r="H5955"/>
      <c r="I5955"/>
      <c r="K5955"/>
      <c r="O5955"/>
      <c r="R5955"/>
      <c r="W5955" s="4"/>
      <c r="X5955" s="4"/>
      <c r="Y5955" s="4"/>
    </row>
    <row r="5956" spans="5:25">
      <c r="E5956"/>
      <c r="G5956"/>
      <c r="H5956"/>
      <c r="I5956"/>
      <c r="K5956"/>
      <c r="O5956"/>
      <c r="R5956"/>
      <c r="W5956" s="4"/>
      <c r="X5956" s="4"/>
      <c r="Y5956" s="4"/>
    </row>
    <row r="5957" spans="5:25">
      <c r="E5957"/>
      <c r="G5957"/>
      <c r="H5957"/>
      <c r="I5957"/>
      <c r="K5957"/>
      <c r="O5957"/>
      <c r="R5957"/>
      <c r="W5957" s="4"/>
      <c r="X5957" s="4"/>
      <c r="Y5957" s="4"/>
    </row>
    <row r="5958" spans="5:25">
      <c r="E5958"/>
      <c r="G5958"/>
      <c r="H5958"/>
      <c r="I5958"/>
      <c r="K5958"/>
      <c r="O5958"/>
      <c r="R5958"/>
      <c r="W5958" s="4"/>
      <c r="X5958" s="4"/>
      <c r="Y5958" s="4"/>
    </row>
    <row r="5959" spans="5:25">
      <c r="E5959"/>
      <c r="G5959"/>
      <c r="H5959"/>
      <c r="I5959"/>
      <c r="K5959"/>
      <c r="O5959"/>
      <c r="R5959"/>
      <c r="W5959" s="4"/>
      <c r="X5959" s="4"/>
      <c r="Y5959" s="4"/>
    </row>
    <row r="5960" spans="5:25">
      <c r="E5960"/>
      <c r="G5960"/>
      <c r="H5960"/>
      <c r="I5960"/>
      <c r="K5960"/>
      <c r="O5960"/>
      <c r="R5960"/>
      <c r="W5960" s="4"/>
      <c r="X5960" s="4"/>
      <c r="Y5960" s="4"/>
    </row>
    <row r="5961" spans="5:25">
      <c r="E5961"/>
      <c r="G5961"/>
      <c r="H5961"/>
      <c r="I5961"/>
      <c r="K5961"/>
      <c r="O5961"/>
      <c r="R5961"/>
      <c r="W5961" s="4"/>
      <c r="X5961" s="4"/>
      <c r="Y5961" s="4"/>
    </row>
    <row r="5962" spans="5:25">
      <c r="E5962"/>
      <c r="G5962"/>
      <c r="H5962"/>
      <c r="I5962"/>
      <c r="K5962"/>
      <c r="O5962"/>
      <c r="R5962"/>
      <c r="W5962" s="4"/>
      <c r="X5962" s="4"/>
      <c r="Y5962" s="4"/>
    </row>
    <row r="5963" spans="5:25">
      <c r="E5963"/>
      <c r="G5963"/>
      <c r="H5963"/>
      <c r="I5963"/>
      <c r="K5963"/>
      <c r="O5963"/>
      <c r="R5963"/>
      <c r="W5963" s="4"/>
      <c r="X5963" s="4"/>
      <c r="Y5963" s="4"/>
    </row>
    <row r="5964" spans="5:25">
      <c r="E5964"/>
      <c r="G5964"/>
      <c r="H5964"/>
      <c r="I5964"/>
      <c r="K5964"/>
      <c r="O5964"/>
      <c r="R5964"/>
      <c r="W5964" s="4"/>
      <c r="X5964" s="4"/>
      <c r="Y5964" s="4"/>
    </row>
    <row r="5965" spans="5:25">
      <c r="E5965"/>
      <c r="G5965"/>
      <c r="H5965"/>
      <c r="I5965"/>
      <c r="K5965"/>
      <c r="O5965"/>
      <c r="R5965"/>
      <c r="W5965" s="4"/>
      <c r="X5965" s="4"/>
      <c r="Y5965" s="4"/>
    </row>
    <row r="5966" spans="5:25">
      <c r="E5966"/>
      <c r="G5966"/>
      <c r="H5966"/>
      <c r="I5966"/>
      <c r="K5966"/>
      <c r="O5966"/>
      <c r="R5966"/>
      <c r="W5966" s="4"/>
      <c r="X5966" s="4"/>
      <c r="Y5966" s="4"/>
    </row>
    <row r="5967" spans="5:25">
      <c r="E5967"/>
      <c r="G5967"/>
      <c r="H5967"/>
      <c r="I5967"/>
      <c r="K5967"/>
      <c r="O5967"/>
      <c r="R5967"/>
      <c r="W5967" s="4"/>
      <c r="X5967" s="4"/>
      <c r="Y5967" s="4"/>
    </row>
    <row r="5968" spans="5:25">
      <c r="E5968"/>
      <c r="G5968"/>
      <c r="H5968"/>
      <c r="I5968"/>
      <c r="K5968"/>
      <c r="O5968"/>
      <c r="R5968"/>
      <c r="W5968" s="4"/>
      <c r="X5968" s="4"/>
      <c r="Y5968" s="4"/>
    </row>
    <row r="5969" spans="5:25">
      <c r="E5969"/>
      <c r="G5969"/>
      <c r="H5969"/>
      <c r="I5969"/>
      <c r="K5969"/>
      <c r="O5969"/>
      <c r="R5969"/>
      <c r="W5969" s="4"/>
      <c r="X5969" s="4"/>
      <c r="Y5969" s="4"/>
    </row>
    <row r="5970" spans="5:25">
      <c r="E5970"/>
      <c r="G5970"/>
      <c r="H5970"/>
      <c r="I5970"/>
      <c r="K5970"/>
      <c r="O5970"/>
      <c r="R5970"/>
      <c r="W5970" s="4"/>
      <c r="X5970" s="4"/>
      <c r="Y5970" s="4"/>
    </row>
    <row r="5971" spans="5:25">
      <c r="E5971"/>
      <c r="G5971"/>
      <c r="H5971"/>
      <c r="I5971"/>
      <c r="K5971"/>
      <c r="O5971"/>
      <c r="R5971"/>
      <c r="W5971" s="4"/>
      <c r="X5971" s="4"/>
      <c r="Y5971" s="4"/>
    </row>
    <row r="5972" spans="5:25">
      <c r="E5972"/>
      <c r="G5972"/>
      <c r="H5972"/>
      <c r="I5972"/>
      <c r="K5972"/>
      <c r="O5972"/>
      <c r="R5972"/>
      <c r="W5972" s="4"/>
      <c r="X5972" s="4"/>
      <c r="Y5972" s="4"/>
    </row>
    <row r="5973" spans="5:25">
      <c r="E5973"/>
      <c r="G5973"/>
      <c r="H5973"/>
      <c r="I5973"/>
      <c r="K5973"/>
      <c r="O5973"/>
      <c r="R5973"/>
      <c r="W5973" s="4"/>
      <c r="X5973" s="4"/>
      <c r="Y5973" s="4"/>
    </row>
    <row r="5974" spans="5:25">
      <c r="E5974"/>
      <c r="G5974"/>
      <c r="H5974"/>
      <c r="I5974"/>
      <c r="K5974"/>
      <c r="O5974"/>
      <c r="R5974"/>
      <c r="W5974" s="4"/>
      <c r="X5974" s="4"/>
      <c r="Y5974" s="4"/>
    </row>
    <row r="5975" spans="5:25">
      <c r="E5975"/>
      <c r="G5975"/>
      <c r="H5975"/>
      <c r="I5975"/>
      <c r="K5975"/>
      <c r="O5975"/>
      <c r="R5975"/>
      <c r="W5975" s="4"/>
      <c r="X5975" s="4"/>
      <c r="Y5975" s="4"/>
    </row>
    <row r="5976" spans="5:25">
      <c r="E5976"/>
      <c r="G5976"/>
      <c r="H5976"/>
      <c r="I5976"/>
      <c r="K5976"/>
      <c r="O5976"/>
      <c r="R5976"/>
      <c r="W5976" s="4"/>
      <c r="X5976" s="4"/>
      <c r="Y5976" s="4"/>
    </row>
    <row r="5977" spans="5:25">
      <c r="E5977"/>
      <c r="G5977"/>
      <c r="H5977"/>
      <c r="I5977"/>
      <c r="K5977"/>
      <c r="O5977"/>
      <c r="R5977"/>
      <c r="W5977" s="4"/>
      <c r="X5977" s="4"/>
      <c r="Y5977" s="4"/>
    </row>
    <row r="5978" spans="5:25">
      <c r="E5978"/>
      <c r="G5978"/>
      <c r="H5978"/>
      <c r="I5978"/>
      <c r="K5978"/>
      <c r="O5978"/>
      <c r="R5978"/>
      <c r="W5978" s="4"/>
      <c r="X5978" s="4"/>
      <c r="Y5978" s="4"/>
    </row>
    <row r="5979" spans="5:25">
      <c r="E5979"/>
      <c r="G5979"/>
      <c r="H5979"/>
      <c r="I5979"/>
      <c r="K5979"/>
      <c r="O5979"/>
      <c r="R5979"/>
      <c r="W5979" s="4"/>
      <c r="X5979" s="4"/>
      <c r="Y5979" s="4"/>
    </row>
    <row r="5980" spans="5:25">
      <c r="E5980"/>
      <c r="G5980"/>
      <c r="H5980"/>
      <c r="I5980"/>
      <c r="K5980"/>
      <c r="O5980"/>
      <c r="R5980"/>
      <c r="W5980" s="4"/>
      <c r="X5980" s="4"/>
      <c r="Y5980" s="4"/>
    </row>
    <row r="5981" spans="5:25">
      <c r="E5981"/>
      <c r="G5981"/>
      <c r="H5981"/>
      <c r="I5981"/>
      <c r="K5981"/>
      <c r="O5981"/>
      <c r="R5981"/>
      <c r="W5981" s="4"/>
      <c r="X5981" s="4"/>
      <c r="Y5981" s="4"/>
    </row>
    <row r="5982" spans="5:25">
      <c r="E5982"/>
      <c r="G5982"/>
      <c r="H5982"/>
      <c r="I5982"/>
      <c r="K5982"/>
      <c r="O5982"/>
      <c r="R5982"/>
      <c r="W5982" s="4"/>
      <c r="X5982" s="4"/>
      <c r="Y5982" s="4"/>
    </row>
    <row r="5983" spans="5:25">
      <c r="E5983"/>
      <c r="G5983"/>
      <c r="H5983"/>
      <c r="I5983"/>
      <c r="K5983"/>
      <c r="O5983"/>
      <c r="R5983"/>
      <c r="W5983" s="4"/>
      <c r="X5983" s="4"/>
      <c r="Y5983" s="4"/>
    </row>
    <row r="5984" spans="5:25">
      <c r="E5984"/>
      <c r="G5984"/>
      <c r="H5984"/>
      <c r="I5984"/>
      <c r="K5984"/>
      <c r="O5984"/>
      <c r="R5984"/>
      <c r="W5984" s="4"/>
      <c r="X5984" s="4"/>
      <c r="Y5984" s="4"/>
    </row>
    <row r="5985" spans="5:25">
      <c r="E5985"/>
      <c r="G5985"/>
      <c r="H5985"/>
      <c r="I5985"/>
      <c r="K5985"/>
      <c r="O5985"/>
      <c r="R5985"/>
      <c r="W5985" s="4"/>
      <c r="X5985" s="4"/>
      <c r="Y5985" s="4"/>
    </row>
    <row r="5986" spans="5:25">
      <c r="E5986"/>
      <c r="G5986"/>
      <c r="H5986"/>
      <c r="I5986"/>
      <c r="K5986"/>
      <c r="O5986"/>
      <c r="R5986"/>
      <c r="W5986" s="4"/>
      <c r="X5986" s="4"/>
      <c r="Y5986" s="4"/>
    </row>
    <row r="5987" spans="5:25">
      <c r="E5987"/>
      <c r="G5987"/>
      <c r="H5987"/>
      <c r="I5987"/>
      <c r="K5987"/>
      <c r="O5987"/>
      <c r="R5987"/>
      <c r="W5987" s="4"/>
      <c r="X5987" s="4"/>
      <c r="Y5987" s="4"/>
    </row>
    <row r="5988" spans="5:25">
      <c r="E5988"/>
      <c r="G5988"/>
      <c r="H5988"/>
      <c r="I5988"/>
      <c r="K5988"/>
      <c r="O5988"/>
      <c r="R5988"/>
      <c r="W5988" s="4"/>
      <c r="X5988" s="4"/>
      <c r="Y5988" s="4"/>
    </row>
    <row r="5989" spans="5:25">
      <c r="E5989"/>
      <c r="G5989"/>
      <c r="H5989"/>
      <c r="I5989"/>
      <c r="K5989"/>
      <c r="O5989"/>
      <c r="R5989"/>
      <c r="W5989" s="4"/>
      <c r="X5989" s="4"/>
      <c r="Y5989" s="4"/>
    </row>
    <row r="5990" spans="5:25">
      <c r="E5990"/>
      <c r="G5990"/>
      <c r="H5990"/>
      <c r="I5990"/>
      <c r="K5990"/>
      <c r="O5990"/>
      <c r="R5990"/>
      <c r="W5990" s="4"/>
      <c r="X5990" s="4"/>
      <c r="Y5990" s="4"/>
    </row>
    <row r="5991" spans="5:25">
      <c r="E5991"/>
      <c r="G5991"/>
      <c r="H5991"/>
      <c r="I5991"/>
      <c r="K5991"/>
      <c r="O5991"/>
      <c r="R5991"/>
      <c r="W5991" s="4"/>
      <c r="X5991" s="4"/>
      <c r="Y5991" s="4"/>
    </row>
    <row r="5992" spans="5:25">
      <c r="E5992"/>
      <c r="G5992"/>
      <c r="H5992"/>
      <c r="I5992"/>
      <c r="K5992"/>
      <c r="O5992"/>
      <c r="R5992"/>
      <c r="W5992" s="4"/>
      <c r="X5992" s="4"/>
      <c r="Y5992" s="4"/>
    </row>
    <row r="5993" spans="5:25">
      <c r="E5993"/>
      <c r="G5993"/>
      <c r="H5993"/>
      <c r="I5993"/>
      <c r="K5993"/>
      <c r="O5993"/>
      <c r="R5993"/>
      <c r="W5993" s="4"/>
      <c r="X5993" s="4"/>
      <c r="Y5993" s="4"/>
    </row>
    <row r="5994" spans="5:25">
      <c r="E5994"/>
      <c r="G5994"/>
      <c r="H5994"/>
      <c r="I5994"/>
      <c r="K5994"/>
      <c r="O5994"/>
      <c r="R5994"/>
      <c r="W5994" s="4"/>
      <c r="X5994" s="4"/>
      <c r="Y5994" s="4"/>
    </row>
    <row r="5995" spans="5:25">
      <c r="E5995"/>
      <c r="G5995"/>
      <c r="H5995"/>
      <c r="I5995"/>
      <c r="K5995"/>
      <c r="O5995"/>
      <c r="R5995"/>
      <c r="W5995" s="4"/>
      <c r="X5995" s="4"/>
      <c r="Y5995" s="4"/>
    </row>
    <row r="5996" spans="5:25">
      <c r="E5996"/>
      <c r="G5996"/>
      <c r="H5996"/>
      <c r="I5996"/>
      <c r="K5996"/>
      <c r="O5996"/>
      <c r="R5996"/>
      <c r="W5996" s="4"/>
      <c r="X5996" s="4"/>
      <c r="Y5996" s="4"/>
    </row>
    <row r="5997" spans="5:25">
      <c r="E5997"/>
      <c r="G5997"/>
      <c r="H5997"/>
      <c r="I5997"/>
      <c r="K5997"/>
      <c r="O5997"/>
      <c r="R5997"/>
      <c r="W5997" s="4"/>
      <c r="X5997" s="4"/>
      <c r="Y5997" s="4"/>
    </row>
    <row r="5998" spans="5:25">
      <c r="E5998"/>
      <c r="G5998"/>
      <c r="H5998"/>
      <c r="I5998"/>
      <c r="K5998"/>
      <c r="O5998"/>
      <c r="R5998"/>
      <c r="W5998" s="4"/>
      <c r="X5998" s="4"/>
      <c r="Y5998" s="4"/>
    </row>
    <row r="5999" spans="5:25">
      <c r="E5999"/>
      <c r="G5999"/>
      <c r="H5999"/>
      <c r="I5999"/>
      <c r="K5999"/>
      <c r="O5999"/>
      <c r="R5999"/>
      <c r="W5999" s="4"/>
      <c r="X5999" s="4"/>
      <c r="Y5999" s="4"/>
    </row>
    <row r="6000" spans="5:25">
      <c r="E6000"/>
      <c r="G6000"/>
      <c r="H6000"/>
      <c r="I6000"/>
      <c r="K6000"/>
      <c r="O6000"/>
      <c r="R6000"/>
      <c r="W6000" s="4"/>
      <c r="X6000" s="4"/>
      <c r="Y6000" s="4"/>
    </row>
    <row r="6001" spans="5:25">
      <c r="E6001"/>
      <c r="G6001"/>
      <c r="H6001"/>
      <c r="I6001"/>
      <c r="K6001"/>
      <c r="O6001"/>
      <c r="R6001"/>
      <c r="W6001" s="4"/>
      <c r="X6001" s="4"/>
      <c r="Y6001" s="4"/>
    </row>
    <row r="6002" spans="5:25">
      <c r="E6002"/>
      <c r="G6002"/>
      <c r="H6002"/>
      <c r="I6002"/>
      <c r="K6002"/>
      <c r="O6002"/>
      <c r="R6002"/>
      <c r="W6002" s="4"/>
      <c r="X6002" s="4"/>
      <c r="Y6002" s="4"/>
    </row>
    <row r="6003" spans="5:25">
      <c r="E6003"/>
      <c r="G6003"/>
      <c r="H6003"/>
      <c r="I6003"/>
      <c r="K6003"/>
      <c r="O6003"/>
      <c r="R6003"/>
      <c r="W6003" s="4"/>
      <c r="X6003" s="4"/>
      <c r="Y6003" s="4"/>
    </row>
    <row r="6004" spans="5:25">
      <c r="E6004"/>
      <c r="G6004"/>
      <c r="H6004"/>
      <c r="I6004"/>
      <c r="K6004"/>
      <c r="O6004"/>
      <c r="R6004"/>
      <c r="W6004" s="4"/>
      <c r="X6004" s="4"/>
      <c r="Y6004" s="4"/>
    </row>
    <row r="6005" spans="5:25">
      <c r="E6005"/>
      <c r="G6005"/>
      <c r="H6005"/>
      <c r="I6005"/>
      <c r="K6005"/>
      <c r="O6005"/>
      <c r="R6005"/>
      <c r="W6005" s="4"/>
      <c r="X6005" s="4"/>
      <c r="Y6005" s="4"/>
    </row>
    <row r="6006" spans="5:25">
      <c r="E6006"/>
      <c r="G6006"/>
      <c r="H6006"/>
      <c r="I6006"/>
      <c r="K6006"/>
      <c r="O6006"/>
      <c r="R6006"/>
      <c r="W6006" s="4"/>
      <c r="X6006" s="4"/>
      <c r="Y6006" s="4"/>
    </row>
    <row r="6007" spans="5:25">
      <c r="E6007"/>
      <c r="G6007"/>
      <c r="H6007"/>
      <c r="I6007"/>
      <c r="K6007"/>
      <c r="O6007"/>
      <c r="R6007"/>
      <c r="W6007" s="4"/>
      <c r="X6007" s="4"/>
      <c r="Y6007" s="4"/>
    </row>
    <row r="6008" spans="5:25">
      <c r="E6008"/>
      <c r="G6008"/>
      <c r="H6008"/>
      <c r="I6008"/>
      <c r="K6008"/>
      <c r="O6008"/>
      <c r="R6008"/>
      <c r="W6008" s="4"/>
      <c r="X6008" s="4"/>
      <c r="Y6008" s="4"/>
    </row>
    <row r="6009" spans="5:25">
      <c r="E6009"/>
      <c r="G6009"/>
      <c r="H6009"/>
      <c r="I6009"/>
      <c r="K6009"/>
      <c r="O6009"/>
      <c r="R6009"/>
      <c r="W6009" s="4"/>
      <c r="X6009" s="4"/>
      <c r="Y6009" s="4"/>
    </row>
    <row r="6010" spans="5:25">
      <c r="E6010"/>
      <c r="G6010"/>
      <c r="H6010"/>
      <c r="I6010"/>
      <c r="K6010"/>
      <c r="O6010"/>
      <c r="R6010"/>
      <c r="W6010" s="4"/>
      <c r="X6010" s="4"/>
      <c r="Y6010" s="4"/>
    </row>
    <row r="6011" spans="5:25">
      <c r="E6011"/>
      <c r="G6011"/>
      <c r="H6011"/>
      <c r="I6011"/>
      <c r="K6011"/>
      <c r="O6011"/>
      <c r="R6011"/>
      <c r="W6011" s="4"/>
      <c r="X6011" s="4"/>
      <c r="Y6011" s="4"/>
    </row>
    <row r="6012" spans="5:25">
      <c r="E6012"/>
      <c r="G6012"/>
      <c r="H6012"/>
      <c r="I6012"/>
      <c r="K6012"/>
      <c r="O6012"/>
      <c r="R6012"/>
      <c r="W6012" s="4"/>
      <c r="X6012" s="4"/>
      <c r="Y6012" s="4"/>
    </row>
    <row r="6013" spans="5:25">
      <c r="E6013"/>
      <c r="G6013"/>
      <c r="H6013"/>
      <c r="I6013"/>
      <c r="K6013"/>
      <c r="O6013"/>
      <c r="R6013"/>
      <c r="W6013" s="4"/>
      <c r="X6013" s="4"/>
      <c r="Y6013" s="4"/>
    </row>
    <row r="6014" spans="5:25">
      <c r="E6014"/>
      <c r="G6014"/>
      <c r="H6014"/>
      <c r="I6014"/>
      <c r="K6014"/>
      <c r="O6014"/>
      <c r="R6014"/>
      <c r="W6014" s="4"/>
      <c r="X6014" s="4"/>
      <c r="Y6014" s="4"/>
    </row>
    <row r="6015" spans="5:25">
      <c r="E6015"/>
      <c r="G6015"/>
      <c r="H6015"/>
      <c r="I6015"/>
      <c r="K6015"/>
      <c r="O6015"/>
      <c r="R6015"/>
      <c r="W6015" s="4"/>
      <c r="X6015" s="4"/>
      <c r="Y6015" s="4"/>
    </row>
    <row r="6016" spans="5:25">
      <c r="E6016"/>
      <c r="G6016"/>
      <c r="H6016"/>
      <c r="I6016"/>
      <c r="K6016"/>
      <c r="O6016"/>
      <c r="R6016"/>
      <c r="W6016" s="4"/>
      <c r="X6016" s="4"/>
      <c r="Y6016" s="4"/>
    </row>
    <row r="6017" spans="5:25">
      <c r="E6017"/>
      <c r="G6017"/>
      <c r="H6017"/>
      <c r="I6017"/>
      <c r="K6017"/>
      <c r="O6017"/>
      <c r="R6017"/>
      <c r="W6017" s="4"/>
      <c r="X6017" s="4"/>
      <c r="Y6017" s="4"/>
    </row>
    <row r="6018" spans="5:25">
      <c r="E6018"/>
      <c r="G6018"/>
      <c r="H6018"/>
      <c r="I6018"/>
      <c r="K6018"/>
      <c r="O6018"/>
      <c r="R6018"/>
      <c r="W6018" s="4"/>
      <c r="X6018" s="4"/>
      <c r="Y6018" s="4"/>
    </row>
    <row r="6019" spans="5:25">
      <c r="E6019"/>
      <c r="G6019"/>
      <c r="H6019"/>
      <c r="I6019"/>
      <c r="K6019"/>
      <c r="O6019"/>
      <c r="R6019"/>
      <c r="W6019" s="4"/>
      <c r="X6019" s="4"/>
      <c r="Y6019" s="4"/>
    </row>
    <row r="6020" spans="5:25">
      <c r="E6020"/>
      <c r="G6020"/>
      <c r="H6020"/>
      <c r="I6020"/>
      <c r="K6020"/>
      <c r="O6020"/>
      <c r="R6020"/>
      <c r="W6020" s="4"/>
      <c r="X6020" s="4"/>
      <c r="Y6020" s="4"/>
    </row>
    <row r="6021" spans="5:25">
      <c r="E6021"/>
      <c r="G6021"/>
      <c r="H6021"/>
      <c r="I6021"/>
      <c r="K6021"/>
      <c r="O6021"/>
      <c r="R6021"/>
      <c r="W6021" s="4"/>
      <c r="X6021" s="4"/>
      <c r="Y6021" s="4"/>
    </row>
    <row r="6022" spans="5:25">
      <c r="E6022"/>
      <c r="G6022"/>
      <c r="H6022"/>
      <c r="I6022"/>
      <c r="K6022"/>
      <c r="O6022"/>
      <c r="R6022"/>
      <c r="W6022" s="4"/>
      <c r="X6022" s="4"/>
      <c r="Y6022" s="4"/>
    </row>
    <row r="6023" spans="5:25">
      <c r="E6023"/>
      <c r="G6023"/>
      <c r="H6023"/>
      <c r="I6023"/>
      <c r="K6023"/>
      <c r="O6023"/>
      <c r="R6023"/>
      <c r="W6023" s="4"/>
      <c r="X6023" s="4"/>
      <c r="Y6023" s="4"/>
    </row>
    <row r="6024" spans="5:25">
      <c r="E6024"/>
      <c r="G6024"/>
      <c r="H6024"/>
      <c r="I6024"/>
      <c r="K6024"/>
      <c r="O6024"/>
      <c r="R6024"/>
      <c r="W6024" s="4"/>
      <c r="X6024" s="4"/>
      <c r="Y6024" s="4"/>
    </row>
    <row r="6025" spans="5:25">
      <c r="E6025"/>
      <c r="G6025"/>
      <c r="H6025"/>
      <c r="I6025"/>
      <c r="K6025"/>
      <c r="O6025"/>
      <c r="R6025"/>
      <c r="W6025" s="4"/>
      <c r="X6025" s="4"/>
      <c r="Y6025" s="4"/>
    </row>
    <row r="6026" spans="5:25">
      <c r="E6026"/>
      <c r="G6026"/>
      <c r="H6026"/>
      <c r="I6026"/>
      <c r="K6026"/>
      <c r="O6026"/>
      <c r="R6026"/>
      <c r="W6026" s="4"/>
      <c r="X6026" s="4"/>
      <c r="Y6026" s="4"/>
    </row>
    <row r="6027" spans="5:25">
      <c r="E6027"/>
      <c r="G6027"/>
      <c r="H6027"/>
      <c r="I6027"/>
      <c r="K6027"/>
      <c r="O6027"/>
      <c r="R6027"/>
      <c r="W6027" s="4"/>
      <c r="X6027" s="4"/>
      <c r="Y6027" s="4"/>
    </row>
    <row r="6028" spans="5:25">
      <c r="E6028"/>
      <c r="G6028"/>
      <c r="H6028"/>
      <c r="I6028"/>
      <c r="K6028"/>
      <c r="O6028"/>
      <c r="R6028"/>
      <c r="W6028" s="4"/>
      <c r="X6028" s="4"/>
      <c r="Y6028" s="4"/>
    </row>
    <row r="6029" spans="5:25">
      <c r="E6029"/>
      <c r="G6029"/>
      <c r="H6029"/>
      <c r="I6029"/>
      <c r="K6029"/>
      <c r="O6029"/>
      <c r="R6029"/>
      <c r="W6029" s="4"/>
      <c r="X6029" s="4"/>
      <c r="Y6029" s="4"/>
    </row>
    <row r="6030" spans="5:25">
      <c r="E6030"/>
      <c r="G6030"/>
      <c r="H6030"/>
      <c r="I6030"/>
      <c r="K6030"/>
      <c r="O6030"/>
      <c r="R6030"/>
      <c r="W6030" s="4"/>
      <c r="X6030" s="4"/>
      <c r="Y6030" s="4"/>
    </row>
    <row r="6031" spans="5:25">
      <c r="E6031"/>
      <c r="G6031"/>
      <c r="H6031"/>
      <c r="I6031"/>
      <c r="K6031"/>
      <c r="O6031"/>
      <c r="R6031"/>
      <c r="W6031" s="4"/>
      <c r="X6031" s="4"/>
      <c r="Y6031" s="4"/>
    </row>
    <row r="6032" spans="5:25">
      <c r="E6032"/>
      <c r="G6032"/>
      <c r="H6032"/>
      <c r="I6032"/>
      <c r="K6032"/>
      <c r="O6032"/>
      <c r="R6032"/>
      <c r="W6032" s="4"/>
      <c r="X6032" s="4"/>
      <c r="Y6032" s="4"/>
    </row>
    <row r="6033" spans="5:25">
      <c r="E6033"/>
      <c r="G6033"/>
      <c r="H6033"/>
      <c r="I6033"/>
      <c r="K6033"/>
      <c r="O6033"/>
      <c r="R6033"/>
      <c r="W6033" s="4"/>
      <c r="X6033" s="4"/>
      <c r="Y6033" s="4"/>
    </row>
    <row r="6034" spans="5:25">
      <c r="E6034"/>
      <c r="G6034"/>
      <c r="H6034"/>
      <c r="I6034"/>
      <c r="K6034"/>
      <c r="O6034"/>
      <c r="R6034"/>
      <c r="W6034" s="4"/>
      <c r="X6034" s="4"/>
      <c r="Y6034" s="4"/>
    </row>
    <row r="6035" spans="5:25">
      <c r="E6035"/>
      <c r="G6035"/>
      <c r="H6035"/>
      <c r="I6035"/>
      <c r="K6035"/>
      <c r="O6035"/>
      <c r="R6035"/>
      <c r="W6035" s="4"/>
      <c r="X6035" s="4"/>
      <c r="Y6035" s="4"/>
    </row>
    <row r="6036" spans="5:25">
      <c r="E6036"/>
      <c r="G6036"/>
      <c r="H6036"/>
      <c r="I6036"/>
      <c r="K6036"/>
      <c r="O6036"/>
      <c r="R6036"/>
      <c r="W6036" s="4"/>
      <c r="X6036" s="4"/>
      <c r="Y6036" s="4"/>
    </row>
    <row r="6037" spans="5:25">
      <c r="E6037"/>
      <c r="G6037"/>
      <c r="H6037"/>
      <c r="I6037"/>
      <c r="K6037"/>
      <c r="O6037"/>
      <c r="R6037"/>
      <c r="W6037" s="4"/>
      <c r="X6037" s="4"/>
      <c r="Y6037" s="4"/>
    </row>
    <row r="6038" spans="5:25">
      <c r="E6038"/>
      <c r="G6038"/>
      <c r="H6038"/>
      <c r="I6038"/>
      <c r="K6038"/>
      <c r="O6038"/>
      <c r="R6038"/>
      <c r="W6038" s="4"/>
      <c r="X6038" s="4"/>
      <c r="Y6038" s="4"/>
    </row>
    <row r="6039" spans="5:25">
      <c r="E6039"/>
      <c r="G6039"/>
      <c r="H6039"/>
      <c r="I6039"/>
      <c r="K6039"/>
      <c r="O6039"/>
      <c r="R6039"/>
      <c r="W6039" s="4"/>
      <c r="X6039" s="4"/>
      <c r="Y6039" s="4"/>
    </row>
    <row r="6040" spans="5:25">
      <c r="E6040"/>
      <c r="G6040"/>
      <c r="H6040"/>
      <c r="I6040"/>
      <c r="K6040"/>
      <c r="O6040"/>
      <c r="R6040"/>
      <c r="W6040" s="4"/>
      <c r="X6040" s="4"/>
      <c r="Y6040" s="4"/>
    </row>
    <row r="6041" spans="5:25">
      <c r="E6041"/>
      <c r="G6041"/>
      <c r="H6041"/>
      <c r="I6041"/>
      <c r="K6041"/>
      <c r="O6041"/>
      <c r="R6041"/>
      <c r="W6041" s="4"/>
      <c r="X6041" s="4"/>
      <c r="Y6041" s="4"/>
    </row>
    <row r="6042" spans="5:25">
      <c r="E6042"/>
      <c r="G6042"/>
      <c r="H6042"/>
      <c r="I6042"/>
      <c r="K6042"/>
      <c r="O6042"/>
      <c r="R6042"/>
      <c r="W6042" s="4"/>
      <c r="X6042" s="4"/>
      <c r="Y6042" s="4"/>
    </row>
    <row r="6043" spans="5:25">
      <c r="E6043"/>
      <c r="G6043"/>
      <c r="H6043"/>
      <c r="I6043"/>
      <c r="K6043"/>
      <c r="O6043"/>
      <c r="R6043"/>
      <c r="W6043" s="4"/>
      <c r="X6043" s="4"/>
      <c r="Y6043" s="4"/>
    </row>
    <row r="6044" spans="5:25">
      <c r="E6044"/>
      <c r="G6044"/>
      <c r="H6044"/>
      <c r="I6044"/>
      <c r="K6044"/>
      <c r="O6044"/>
      <c r="R6044"/>
      <c r="W6044" s="4"/>
      <c r="X6044" s="4"/>
      <c r="Y6044" s="4"/>
    </row>
    <row r="6045" spans="5:25">
      <c r="E6045"/>
      <c r="G6045"/>
      <c r="H6045"/>
      <c r="I6045"/>
      <c r="K6045"/>
      <c r="O6045"/>
      <c r="R6045"/>
      <c r="W6045" s="4"/>
      <c r="X6045" s="4"/>
      <c r="Y6045" s="4"/>
    </row>
    <row r="6046" spans="5:25">
      <c r="E6046"/>
      <c r="G6046"/>
      <c r="H6046"/>
      <c r="I6046"/>
      <c r="K6046"/>
      <c r="O6046"/>
      <c r="R6046"/>
      <c r="W6046" s="4"/>
      <c r="X6046" s="4"/>
      <c r="Y6046" s="4"/>
    </row>
    <row r="6047" spans="5:25">
      <c r="E6047"/>
      <c r="G6047"/>
      <c r="H6047"/>
      <c r="I6047"/>
      <c r="K6047"/>
      <c r="O6047"/>
      <c r="R6047"/>
      <c r="W6047" s="4"/>
      <c r="X6047" s="4"/>
      <c r="Y6047" s="4"/>
    </row>
    <row r="6048" spans="5:25">
      <c r="E6048"/>
      <c r="G6048"/>
      <c r="H6048"/>
      <c r="I6048"/>
      <c r="K6048"/>
      <c r="O6048"/>
      <c r="R6048"/>
      <c r="W6048" s="4"/>
      <c r="X6048" s="4"/>
      <c r="Y6048" s="4"/>
    </row>
    <row r="6049" spans="5:25">
      <c r="E6049"/>
      <c r="G6049"/>
      <c r="H6049"/>
      <c r="I6049"/>
      <c r="K6049"/>
      <c r="O6049"/>
      <c r="R6049"/>
      <c r="W6049" s="4"/>
      <c r="X6049" s="4"/>
      <c r="Y6049" s="4"/>
    </row>
    <row r="6050" spans="5:25">
      <c r="E6050"/>
      <c r="G6050"/>
      <c r="H6050"/>
      <c r="I6050"/>
      <c r="K6050"/>
      <c r="O6050"/>
      <c r="R6050"/>
      <c r="W6050" s="4"/>
      <c r="X6050" s="4"/>
      <c r="Y6050" s="4"/>
    </row>
    <row r="6051" spans="5:25">
      <c r="E6051"/>
      <c r="G6051"/>
      <c r="H6051"/>
      <c r="I6051"/>
      <c r="K6051"/>
      <c r="O6051"/>
      <c r="R6051"/>
      <c r="W6051" s="4"/>
      <c r="X6051" s="4"/>
      <c r="Y6051" s="4"/>
    </row>
    <row r="6052" spans="5:25">
      <c r="E6052"/>
      <c r="G6052"/>
      <c r="H6052"/>
      <c r="I6052"/>
      <c r="K6052"/>
      <c r="O6052"/>
      <c r="R6052"/>
      <c r="W6052" s="4"/>
      <c r="X6052" s="4"/>
      <c r="Y6052" s="4"/>
    </row>
    <row r="6053" spans="5:25">
      <c r="E6053"/>
      <c r="G6053"/>
      <c r="H6053"/>
      <c r="I6053"/>
      <c r="K6053"/>
      <c r="O6053"/>
      <c r="R6053"/>
      <c r="W6053" s="4"/>
      <c r="X6053" s="4"/>
      <c r="Y6053" s="4"/>
    </row>
    <row r="6054" spans="5:25">
      <c r="E6054"/>
      <c r="G6054"/>
      <c r="H6054"/>
      <c r="I6054"/>
      <c r="K6054"/>
      <c r="O6054"/>
      <c r="R6054"/>
      <c r="W6054" s="4"/>
      <c r="X6054" s="4"/>
      <c r="Y6054" s="4"/>
    </row>
    <row r="6055" spans="5:25">
      <c r="E6055"/>
      <c r="G6055"/>
      <c r="H6055"/>
      <c r="I6055"/>
      <c r="K6055"/>
      <c r="O6055"/>
      <c r="R6055"/>
      <c r="W6055" s="4"/>
      <c r="X6055" s="4"/>
      <c r="Y6055" s="4"/>
    </row>
    <row r="6056" spans="5:25">
      <c r="E6056"/>
      <c r="G6056"/>
      <c r="H6056"/>
      <c r="I6056"/>
      <c r="K6056"/>
      <c r="O6056"/>
      <c r="R6056"/>
      <c r="W6056" s="4"/>
      <c r="X6056" s="4"/>
      <c r="Y6056" s="4"/>
    </row>
    <row r="6057" spans="5:25">
      <c r="E6057"/>
      <c r="G6057"/>
      <c r="H6057"/>
      <c r="I6057"/>
      <c r="K6057"/>
      <c r="O6057"/>
      <c r="R6057"/>
      <c r="W6057" s="4"/>
      <c r="X6057" s="4"/>
      <c r="Y6057" s="4"/>
    </row>
    <row r="6058" spans="5:25">
      <c r="E6058"/>
      <c r="G6058"/>
      <c r="H6058"/>
      <c r="I6058"/>
      <c r="K6058"/>
      <c r="O6058"/>
      <c r="R6058"/>
      <c r="W6058" s="4"/>
      <c r="X6058" s="4"/>
      <c r="Y6058" s="4"/>
    </row>
    <row r="6059" spans="5:25">
      <c r="E6059"/>
      <c r="G6059"/>
      <c r="H6059"/>
      <c r="I6059"/>
      <c r="K6059"/>
      <c r="O6059"/>
      <c r="R6059"/>
      <c r="W6059" s="4"/>
      <c r="X6059" s="4"/>
      <c r="Y6059" s="4"/>
    </row>
    <row r="6060" spans="5:25">
      <c r="E6060"/>
      <c r="G6060"/>
      <c r="H6060"/>
      <c r="I6060"/>
      <c r="K6060"/>
      <c r="O6060"/>
      <c r="R6060"/>
      <c r="W6060" s="4"/>
      <c r="X6060" s="4"/>
      <c r="Y6060" s="4"/>
    </row>
    <row r="6061" spans="5:25">
      <c r="E6061"/>
      <c r="G6061"/>
      <c r="H6061"/>
      <c r="I6061"/>
      <c r="K6061"/>
      <c r="O6061"/>
      <c r="R6061"/>
      <c r="W6061" s="4"/>
      <c r="X6061" s="4"/>
      <c r="Y6061" s="4"/>
    </row>
    <row r="6062" spans="5:25">
      <c r="E6062"/>
      <c r="G6062"/>
      <c r="H6062"/>
      <c r="I6062"/>
      <c r="K6062"/>
      <c r="O6062"/>
      <c r="R6062"/>
      <c r="W6062" s="4"/>
      <c r="X6062" s="4"/>
      <c r="Y6062" s="4"/>
    </row>
    <row r="6063" spans="5:25">
      <c r="E6063"/>
      <c r="G6063"/>
      <c r="H6063"/>
      <c r="I6063"/>
      <c r="K6063"/>
      <c r="O6063"/>
      <c r="R6063"/>
      <c r="W6063" s="4"/>
      <c r="X6063" s="4"/>
      <c r="Y6063" s="4"/>
    </row>
    <row r="6064" spans="5:25">
      <c r="E6064"/>
      <c r="G6064"/>
      <c r="H6064"/>
      <c r="I6064"/>
      <c r="K6064"/>
      <c r="O6064"/>
      <c r="R6064"/>
      <c r="W6064" s="4"/>
      <c r="X6064" s="4"/>
      <c r="Y6064" s="4"/>
    </row>
    <row r="6065" spans="5:25">
      <c r="E6065"/>
      <c r="G6065"/>
      <c r="H6065"/>
      <c r="I6065"/>
      <c r="K6065"/>
      <c r="O6065"/>
      <c r="R6065"/>
      <c r="W6065" s="4"/>
      <c r="X6065" s="4"/>
      <c r="Y6065" s="4"/>
    </row>
    <row r="6066" spans="5:25">
      <c r="E6066"/>
      <c r="G6066"/>
      <c r="H6066"/>
      <c r="I6066"/>
      <c r="K6066"/>
      <c r="O6066"/>
      <c r="R6066"/>
      <c r="W6066" s="4"/>
      <c r="X6066" s="4"/>
      <c r="Y6066" s="4"/>
    </row>
    <row r="6067" spans="5:25">
      <c r="E6067"/>
      <c r="G6067"/>
      <c r="H6067"/>
      <c r="I6067"/>
      <c r="K6067"/>
      <c r="O6067"/>
      <c r="R6067"/>
      <c r="W6067" s="4"/>
      <c r="X6067" s="4"/>
      <c r="Y6067" s="4"/>
    </row>
    <row r="6068" spans="5:25">
      <c r="E6068"/>
      <c r="G6068"/>
      <c r="H6068"/>
      <c r="I6068"/>
      <c r="K6068"/>
      <c r="O6068"/>
      <c r="R6068"/>
      <c r="W6068" s="4"/>
      <c r="X6068" s="4"/>
      <c r="Y6068" s="4"/>
    </row>
    <row r="6069" spans="5:25">
      <c r="E6069"/>
      <c r="G6069"/>
      <c r="H6069"/>
      <c r="I6069"/>
      <c r="K6069"/>
      <c r="O6069"/>
      <c r="R6069"/>
      <c r="W6069" s="4"/>
      <c r="X6069" s="4"/>
      <c r="Y6069" s="4"/>
    </row>
    <row r="6070" spans="5:25">
      <c r="E6070"/>
      <c r="G6070"/>
      <c r="H6070"/>
      <c r="I6070"/>
      <c r="K6070"/>
      <c r="O6070"/>
      <c r="R6070"/>
      <c r="W6070" s="4"/>
      <c r="X6070" s="4"/>
      <c r="Y6070" s="4"/>
    </row>
    <row r="6071" spans="5:25">
      <c r="E6071"/>
      <c r="G6071"/>
      <c r="H6071"/>
      <c r="I6071"/>
      <c r="K6071"/>
      <c r="O6071"/>
      <c r="R6071"/>
      <c r="W6071" s="4"/>
      <c r="X6071" s="4"/>
      <c r="Y6071" s="4"/>
    </row>
    <row r="6072" spans="5:25">
      <c r="E6072"/>
      <c r="G6072"/>
      <c r="H6072"/>
      <c r="I6072"/>
      <c r="K6072"/>
      <c r="O6072"/>
      <c r="R6072"/>
      <c r="W6072" s="4"/>
      <c r="X6072" s="4"/>
      <c r="Y6072" s="4"/>
    </row>
    <row r="6073" spans="5:25">
      <c r="E6073"/>
      <c r="G6073"/>
      <c r="H6073"/>
      <c r="I6073"/>
      <c r="K6073"/>
      <c r="O6073"/>
      <c r="R6073"/>
      <c r="W6073" s="4"/>
      <c r="X6073" s="4"/>
      <c r="Y6073" s="4"/>
    </row>
    <row r="6074" spans="5:25">
      <c r="E6074"/>
      <c r="G6074"/>
      <c r="H6074"/>
      <c r="I6074"/>
      <c r="K6074"/>
      <c r="O6074"/>
      <c r="R6074"/>
      <c r="W6074" s="4"/>
      <c r="X6074" s="4"/>
      <c r="Y6074" s="4"/>
    </row>
    <row r="6075" spans="5:25">
      <c r="E6075"/>
      <c r="G6075"/>
      <c r="H6075"/>
      <c r="I6075"/>
      <c r="K6075"/>
      <c r="O6075"/>
      <c r="R6075"/>
      <c r="W6075" s="4"/>
      <c r="X6075" s="4"/>
      <c r="Y6075" s="4"/>
    </row>
    <row r="6076" spans="5:25">
      <c r="E6076"/>
      <c r="G6076"/>
      <c r="H6076"/>
      <c r="I6076"/>
      <c r="K6076"/>
      <c r="O6076"/>
      <c r="R6076"/>
      <c r="W6076" s="4"/>
      <c r="X6076" s="4"/>
      <c r="Y6076" s="4"/>
    </row>
    <row r="6077" spans="5:25">
      <c r="E6077"/>
      <c r="G6077"/>
      <c r="H6077"/>
      <c r="I6077"/>
      <c r="K6077"/>
      <c r="O6077"/>
      <c r="R6077"/>
      <c r="W6077" s="4"/>
      <c r="X6077" s="4"/>
      <c r="Y6077" s="4"/>
    </row>
    <row r="6078" spans="5:25">
      <c r="E6078"/>
      <c r="G6078"/>
      <c r="H6078"/>
      <c r="I6078"/>
      <c r="K6078"/>
      <c r="O6078"/>
      <c r="R6078"/>
      <c r="W6078" s="4"/>
      <c r="X6078" s="4"/>
      <c r="Y6078" s="4"/>
    </row>
    <row r="6079" spans="5:25">
      <c r="E6079"/>
      <c r="G6079"/>
      <c r="H6079"/>
      <c r="I6079"/>
      <c r="K6079"/>
      <c r="O6079"/>
      <c r="R6079"/>
      <c r="W6079" s="4"/>
      <c r="X6079" s="4"/>
      <c r="Y6079" s="4"/>
    </row>
    <row r="6080" spans="5:25">
      <c r="E6080"/>
      <c r="G6080"/>
      <c r="H6080"/>
      <c r="I6080"/>
      <c r="K6080"/>
      <c r="O6080"/>
      <c r="R6080"/>
      <c r="W6080" s="4"/>
      <c r="X6080" s="4"/>
      <c r="Y6080" s="4"/>
    </row>
    <row r="6081" spans="5:25">
      <c r="E6081"/>
      <c r="G6081"/>
      <c r="H6081"/>
      <c r="I6081"/>
      <c r="K6081"/>
      <c r="O6081"/>
      <c r="R6081"/>
      <c r="W6081" s="4"/>
      <c r="X6081" s="4"/>
      <c r="Y6081" s="4"/>
    </row>
    <row r="6082" spans="5:25">
      <c r="E6082"/>
      <c r="G6082"/>
      <c r="H6082"/>
      <c r="I6082"/>
      <c r="K6082"/>
      <c r="O6082"/>
      <c r="R6082"/>
      <c r="W6082" s="4"/>
      <c r="X6082" s="4"/>
      <c r="Y6082" s="4"/>
    </row>
    <row r="6083" spans="5:25">
      <c r="E6083"/>
      <c r="G6083"/>
      <c r="H6083"/>
      <c r="I6083"/>
      <c r="K6083"/>
      <c r="O6083"/>
      <c r="R6083"/>
      <c r="W6083" s="4"/>
      <c r="X6083" s="4"/>
      <c r="Y6083" s="4"/>
    </row>
    <row r="6084" spans="5:25">
      <c r="E6084"/>
      <c r="G6084"/>
      <c r="H6084"/>
      <c r="I6084"/>
      <c r="K6084"/>
      <c r="O6084"/>
      <c r="R6084"/>
      <c r="W6084" s="4"/>
      <c r="X6084" s="4"/>
      <c r="Y6084" s="4"/>
    </row>
    <row r="6085" spans="5:25">
      <c r="E6085"/>
      <c r="G6085"/>
      <c r="H6085"/>
      <c r="I6085"/>
      <c r="K6085"/>
      <c r="O6085"/>
      <c r="R6085"/>
      <c r="W6085" s="4"/>
      <c r="X6085" s="4"/>
      <c r="Y6085" s="4"/>
    </row>
    <row r="6086" spans="5:25">
      <c r="E6086"/>
      <c r="G6086"/>
      <c r="H6086"/>
      <c r="I6086"/>
      <c r="K6086"/>
      <c r="O6086"/>
      <c r="R6086"/>
      <c r="W6086" s="4"/>
      <c r="X6086" s="4"/>
      <c r="Y6086" s="4"/>
    </row>
    <row r="6087" spans="5:25">
      <c r="E6087"/>
      <c r="G6087"/>
      <c r="H6087"/>
      <c r="I6087"/>
      <c r="K6087"/>
      <c r="O6087"/>
      <c r="R6087"/>
      <c r="W6087" s="4"/>
      <c r="X6087" s="4"/>
      <c r="Y6087" s="4"/>
    </row>
    <row r="6088" spans="5:25">
      <c r="E6088"/>
      <c r="G6088"/>
      <c r="H6088"/>
      <c r="I6088"/>
      <c r="K6088"/>
      <c r="O6088"/>
      <c r="R6088"/>
      <c r="W6088" s="4"/>
      <c r="X6088" s="4"/>
      <c r="Y6088" s="4"/>
    </row>
    <row r="6089" spans="5:25">
      <c r="E6089"/>
      <c r="G6089"/>
      <c r="H6089"/>
      <c r="I6089"/>
      <c r="K6089"/>
      <c r="O6089"/>
      <c r="R6089"/>
      <c r="W6089" s="4"/>
      <c r="X6089" s="4"/>
      <c r="Y6089" s="4"/>
    </row>
    <row r="6090" spans="5:25">
      <c r="E6090"/>
      <c r="G6090"/>
      <c r="H6090"/>
      <c r="I6090"/>
      <c r="K6090"/>
      <c r="O6090"/>
      <c r="R6090"/>
      <c r="W6090" s="4"/>
      <c r="X6090" s="4"/>
      <c r="Y6090" s="4"/>
    </row>
    <row r="6091" spans="5:25">
      <c r="E6091"/>
      <c r="G6091"/>
      <c r="H6091"/>
      <c r="I6091"/>
      <c r="K6091"/>
      <c r="O6091"/>
      <c r="R6091"/>
      <c r="W6091" s="4"/>
      <c r="X6091" s="4"/>
      <c r="Y6091" s="4"/>
    </row>
    <row r="6092" spans="5:25">
      <c r="E6092"/>
      <c r="G6092"/>
      <c r="H6092"/>
      <c r="I6092"/>
      <c r="K6092"/>
      <c r="O6092"/>
      <c r="R6092"/>
      <c r="W6092" s="4"/>
      <c r="X6092" s="4"/>
      <c r="Y6092" s="4"/>
    </row>
    <row r="6093" spans="5:25">
      <c r="E6093"/>
      <c r="G6093"/>
      <c r="H6093"/>
      <c r="I6093"/>
      <c r="K6093"/>
      <c r="O6093"/>
      <c r="R6093"/>
      <c r="W6093" s="4"/>
      <c r="X6093" s="4"/>
      <c r="Y6093" s="4"/>
    </row>
    <row r="6094" spans="5:25">
      <c r="E6094"/>
      <c r="G6094"/>
      <c r="H6094"/>
      <c r="I6094"/>
      <c r="K6094"/>
      <c r="O6094"/>
      <c r="R6094"/>
      <c r="W6094" s="4"/>
      <c r="X6094" s="4"/>
      <c r="Y6094" s="4"/>
    </row>
    <row r="6095" spans="5:25">
      <c r="E6095"/>
      <c r="G6095"/>
      <c r="H6095"/>
      <c r="I6095"/>
      <c r="K6095"/>
      <c r="O6095"/>
      <c r="R6095"/>
      <c r="W6095" s="4"/>
      <c r="X6095" s="4"/>
      <c r="Y6095" s="4"/>
    </row>
    <row r="6096" spans="5:25">
      <c r="E6096"/>
      <c r="G6096"/>
      <c r="H6096"/>
      <c r="I6096"/>
      <c r="K6096"/>
      <c r="O6096"/>
      <c r="R6096"/>
      <c r="W6096" s="4"/>
      <c r="X6096" s="4"/>
      <c r="Y6096" s="4"/>
    </row>
    <row r="6097" spans="5:25">
      <c r="E6097"/>
      <c r="G6097"/>
      <c r="H6097"/>
      <c r="I6097"/>
      <c r="K6097"/>
      <c r="O6097"/>
      <c r="R6097"/>
      <c r="W6097" s="4"/>
      <c r="X6097" s="4"/>
      <c r="Y6097" s="4"/>
    </row>
    <row r="6098" spans="5:25">
      <c r="E6098"/>
      <c r="G6098"/>
      <c r="H6098"/>
      <c r="I6098"/>
      <c r="K6098"/>
      <c r="O6098"/>
      <c r="R6098"/>
      <c r="W6098" s="4"/>
      <c r="X6098" s="4"/>
      <c r="Y6098" s="4"/>
    </row>
    <row r="6099" spans="5:25">
      <c r="E6099"/>
      <c r="G6099"/>
      <c r="H6099"/>
      <c r="I6099"/>
      <c r="K6099"/>
      <c r="O6099"/>
      <c r="R6099"/>
      <c r="W6099" s="4"/>
      <c r="X6099" s="4"/>
      <c r="Y6099" s="4"/>
    </row>
    <row r="6100" spans="5:25">
      <c r="E6100"/>
      <c r="G6100"/>
      <c r="H6100"/>
      <c r="I6100"/>
      <c r="K6100"/>
      <c r="O6100"/>
      <c r="R6100"/>
      <c r="W6100" s="4"/>
      <c r="X6100" s="4"/>
      <c r="Y6100" s="4"/>
    </row>
    <row r="6101" spans="5:25">
      <c r="E6101"/>
      <c r="G6101"/>
      <c r="H6101"/>
      <c r="I6101"/>
      <c r="K6101"/>
      <c r="O6101"/>
      <c r="R6101"/>
      <c r="W6101" s="4"/>
      <c r="X6101" s="4"/>
      <c r="Y6101" s="4"/>
    </row>
    <row r="6102" spans="5:25">
      <c r="E6102"/>
      <c r="G6102"/>
      <c r="H6102"/>
      <c r="I6102"/>
      <c r="K6102"/>
      <c r="O6102"/>
      <c r="R6102"/>
      <c r="W6102" s="4"/>
      <c r="X6102" s="4"/>
      <c r="Y6102" s="4"/>
    </row>
    <row r="6103" spans="5:25">
      <c r="E6103"/>
      <c r="G6103"/>
      <c r="H6103"/>
      <c r="I6103"/>
      <c r="K6103"/>
      <c r="O6103"/>
      <c r="R6103"/>
      <c r="W6103" s="4"/>
      <c r="X6103" s="4"/>
      <c r="Y6103" s="4"/>
    </row>
    <row r="6104" spans="5:25">
      <c r="E6104"/>
      <c r="G6104"/>
      <c r="H6104"/>
      <c r="I6104"/>
      <c r="K6104"/>
      <c r="O6104"/>
      <c r="R6104"/>
      <c r="W6104" s="4"/>
      <c r="X6104" s="4"/>
      <c r="Y6104" s="4"/>
    </row>
    <row r="6105" spans="5:25">
      <c r="E6105"/>
      <c r="G6105"/>
      <c r="H6105"/>
      <c r="I6105"/>
      <c r="K6105"/>
      <c r="O6105"/>
      <c r="R6105"/>
      <c r="W6105" s="4"/>
      <c r="X6105" s="4"/>
      <c r="Y6105" s="4"/>
    </row>
    <row r="6106" spans="5:25">
      <c r="E6106"/>
      <c r="G6106"/>
      <c r="H6106"/>
      <c r="I6106"/>
      <c r="K6106"/>
      <c r="O6106"/>
      <c r="R6106"/>
      <c r="W6106" s="4"/>
      <c r="X6106" s="4"/>
      <c r="Y6106" s="4"/>
    </row>
    <row r="6107" spans="5:25">
      <c r="E6107"/>
      <c r="G6107"/>
      <c r="H6107"/>
      <c r="I6107"/>
      <c r="K6107"/>
      <c r="O6107"/>
      <c r="R6107"/>
      <c r="W6107" s="4"/>
      <c r="X6107" s="4"/>
      <c r="Y6107" s="4"/>
    </row>
    <row r="6108" spans="5:25">
      <c r="E6108"/>
      <c r="G6108"/>
      <c r="H6108"/>
      <c r="I6108"/>
      <c r="K6108"/>
      <c r="O6108"/>
      <c r="R6108"/>
      <c r="W6108" s="4"/>
      <c r="X6108" s="4"/>
      <c r="Y6108" s="4"/>
    </row>
    <row r="6109" spans="5:25">
      <c r="E6109"/>
      <c r="G6109"/>
      <c r="H6109"/>
      <c r="I6109"/>
      <c r="K6109"/>
      <c r="O6109"/>
      <c r="R6109"/>
      <c r="W6109" s="4"/>
      <c r="X6109" s="4"/>
      <c r="Y6109" s="4"/>
    </row>
    <row r="6110" spans="5:25">
      <c r="E6110"/>
      <c r="G6110"/>
      <c r="H6110"/>
      <c r="I6110"/>
      <c r="K6110"/>
      <c r="O6110"/>
      <c r="R6110"/>
      <c r="W6110" s="4"/>
      <c r="X6110" s="4"/>
      <c r="Y6110" s="4"/>
    </row>
    <row r="6111" spans="5:25">
      <c r="E6111"/>
      <c r="G6111"/>
      <c r="H6111"/>
      <c r="I6111"/>
      <c r="K6111"/>
      <c r="O6111"/>
      <c r="R6111"/>
      <c r="W6111" s="4"/>
      <c r="X6111" s="4"/>
      <c r="Y6111" s="4"/>
    </row>
    <row r="6112" spans="5:25">
      <c r="E6112"/>
      <c r="G6112"/>
      <c r="H6112"/>
      <c r="I6112"/>
      <c r="K6112"/>
      <c r="O6112"/>
      <c r="R6112"/>
      <c r="W6112" s="4"/>
      <c r="X6112" s="4"/>
      <c r="Y6112" s="4"/>
    </row>
    <row r="6113" spans="5:25">
      <c r="E6113"/>
      <c r="G6113"/>
      <c r="H6113"/>
      <c r="I6113"/>
      <c r="K6113"/>
      <c r="O6113"/>
      <c r="R6113"/>
      <c r="W6113" s="4"/>
      <c r="X6113" s="4"/>
      <c r="Y6113" s="4"/>
    </row>
    <row r="6114" spans="5:25">
      <c r="E6114"/>
      <c r="G6114"/>
      <c r="H6114"/>
      <c r="I6114"/>
      <c r="K6114"/>
      <c r="O6114"/>
      <c r="R6114"/>
      <c r="W6114" s="4"/>
      <c r="X6114" s="4"/>
      <c r="Y6114" s="4"/>
    </row>
    <row r="6115" spans="5:25">
      <c r="E6115"/>
      <c r="G6115"/>
      <c r="H6115"/>
      <c r="I6115"/>
      <c r="K6115"/>
      <c r="O6115"/>
      <c r="R6115"/>
      <c r="W6115" s="4"/>
      <c r="X6115" s="4"/>
      <c r="Y6115" s="4"/>
    </row>
    <row r="6116" spans="5:25">
      <c r="E6116"/>
      <c r="G6116"/>
      <c r="H6116"/>
      <c r="I6116"/>
      <c r="K6116"/>
      <c r="O6116"/>
      <c r="R6116"/>
      <c r="W6116" s="4"/>
      <c r="X6116" s="4"/>
      <c r="Y6116" s="4"/>
    </row>
    <row r="6117" spans="5:25">
      <c r="E6117"/>
      <c r="G6117"/>
      <c r="H6117"/>
      <c r="I6117"/>
      <c r="K6117"/>
      <c r="O6117"/>
      <c r="R6117"/>
      <c r="W6117" s="4"/>
      <c r="X6117" s="4"/>
      <c r="Y6117" s="4"/>
    </row>
    <row r="6118" spans="5:25">
      <c r="E6118"/>
      <c r="G6118"/>
      <c r="H6118"/>
      <c r="I6118"/>
      <c r="K6118"/>
      <c r="O6118"/>
      <c r="R6118"/>
      <c r="W6118" s="4"/>
      <c r="X6118" s="4"/>
      <c r="Y6118" s="4"/>
    </row>
    <row r="6119" spans="5:25">
      <c r="E6119"/>
      <c r="G6119"/>
      <c r="H6119"/>
      <c r="I6119"/>
      <c r="K6119"/>
      <c r="O6119"/>
      <c r="R6119"/>
      <c r="W6119" s="4"/>
      <c r="X6119" s="4"/>
      <c r="Y6119" s="4"/>
    </row>
    <row r="6120" spans="5:25">
      <c r="E6120"/>
      <c r="G6120"/>
      <c r="H6120"/>
      <c r="I6120"/>
      <c r="K6120"/>
      <c r="O6120"/>
      <c r="R6120"/>
      <c r="W6120" s="4"/>
      <c r="X6120" s="4"/>
      <c r="Y6120" s="4"/>
    </row>
    <row r="6121" spans="5:25">
      <c r="E6121"/>
      <c r="G6121"/>
      <c r="H6121"/>
      <c r="I6121"/>
      <c r="K6121"/>
      <c r="O6121"/>
      <c r="R6121"/>
      <c r="W6121" s="4"/>
      <c r="X6121" s="4"/>
      <c r="Y6121" s="4"/>
    </row>
    <row r="6122" spans="5:25">
      <c r="E6122"/>
      <c r="G6122"/>
      <c r="H6122"/>
      <c r="I6122"/>
      <c r="K6122"/>
      <c r="O6122"/>
      <c r="R6122"/>
      <c r="W6122" s="4"/>
      <c r="X6122" s="4"/>
      <c r="Y6122" s="4"/>
    </row>
    <row r="6123" spans="5:25">
      <c r="E6123"/>
      <c r="G6123"/>
      <c r="H6123"/>
      <c r="I6123"/>
      <c r="K6123"/>
      <c r="O6123"/>
      <c r="R6123"/>
      <c r="W6123" s="4"/>
      <c r="X6123" s="4"/>
      <c r="Y6123" s="4"/>
    </row>
    <row r="6124" spans="5:25">
      <c r="E6124"/>
      <c r="G6124"/>
      <c r="H6124"/>
      <c r="I6124"/>
      <c r="K6124"/>
      <c r="O6124"/>
      <c r="R6124"/>
      <c r="W6124" s="4"/>
      <c r="X6124" s="4"/>
      <c r="Y6124" s="4"/>
    </row>
    <row r="6125" spans="5:25">
      <c r="E6125"/>
      <c r="G6125"/>
      <c r="H6125"/>
      <c r="I6125"/>
      <c r="K6125"/>
      <c r="O6125"/>
      <c r="R6125"/>
      <c r="W6125" s="4"/>
      <c r="X6125" s="4"/>
      <c r="Y6125" s="4"/>
    </row>
    <row r="6126" spans="5:25">
      <c r="E6126"/>
      <c r="G6126"/>
      <c r="H6126"/>
      <c r="I6126"/>
      <c r="K6126"/>
      <c r="O6126"/>
      <c r="R6126"/>
      <c r="W6126" s="4"/>
      <c r="X6126" s="4"/>
      <c r="Y6126" s="4"/>
    </row>
    <row r="6127" spans="5:25">
      <c r="E6127"/>
      <c r="G6127"/>
      <c r="H6127"/>
      <c r="I6127"/>
      <c r="K6127"/>
      <c r="O6127"/>
      <c r="R6127"/>
      <c r="W6127" s="4"/>
      <c r="X6127" s="4"/>
      <c r="Y6127" s="4"/>
    </row>
    <row r="6128" spans="5:25">
      <c r="E6128"/>
      <c r="G6128"/>
      <c r="H6128"/>
      <c r="I6128"/>
      <c r="K6128"/>
      <c r="O6128"/>
      <c r="R6128"/>
      <c r="W6128" s="4"/>
      <c r="X6128" s="4"/>
      <c r="Y6128" s="4"/>
    </row>
    <row r="6129" spans="5:25">
      <c r="E6129"/>
      <c r="G6129"/>
      <c r="H6129"/>
      <c r="I6129"/>
      <c r="K6129"/>
      <c r="O6129"/>
      <c r="R6129"/>
      <c r="W6129" s="4"/>
      <c r="X6129" s="4"/>
      <c r="Y6129" s="4"/>
    </row>
    <row r="6130" spans="5:25">
      <c r="E6130"/>
      <c r="G6130"/>
      <c r="H6130"/>
      <c r="I6130"/>
      <c r="K6130"/>
      <c r="O6130"/>
      <c r="R6130"/>
      <c r="W6130" s="4"/>
      <c r="X6130" s="4"/>
      <c r="Y6130" s="4"/>
    </row>
    <row r="6131" spans="5:25">
      <c r="E6131"/>
      <c r="G6131"/>
      <c r="H6131"/>
      <c r="I6131"/>
      <c r="K6131"/>
      <c r="O6131"/>
      <c r="R6131"/>
      <c r="W6131" s="4"/>
      <c r="X6131" s="4"/>
      <c r="Y6131" s="4"/>
    </row>
    <row r="6132" spans="5:25">
      <c r="E6132"/>
      <c r="G6132"/>
      <c r="H6132"/>
      <c r="I6132"/>
      <c r="K6132"/>
      <c r="O6132"/>
      <c r="R6132"/>
      <c r="W6132" s="4"/>
      <c r="X6132" s="4"/>
      <c r="Y6132" s="4"/>
    </row>
    <row r="6133" spans="5:25">
      <c r="E6133"/>
      <c r="G6133"/>
      <c r="H6133"/>
      <c r="I6133"/>
      <c r="K6133"/>
      <c r="O6133"/>
      <c r="R6133"/>
      <c r="W6133" s="4"/>
      <c r="X6133" s="4"/>
      <c r="Y6133" s="4"/>
    </row>
    <row r="6134" spans="5:25">
      <c r="E6134"/>
      <c r="G6134"/>
      <c r="H6134"/>
      <c r="I6134"/>
      <c r="K6134"/>
      <c r="O6134"/>
      <c r="R6134"/>
      <c r="W6134" s="4"/>
      <c r="X6134" s="4"/>
      <c r="Y6134" s="4"/>
    </row>
    <row r="6135" spans="5:25">
      <c r="E6135"/>
      <c r="G6135"/>
      <c r="H6135"/>
      <c r="I6135"/>
      <c r="K6135"/>
      <c r="O6135"/>
      <c r="R6135"/>
      <c r="W6135" s="4"/>
      <c r="X6135" s="4"/>
      <c r="Y6135" s="4"/>
    </row>
    <row r="6136" spans="5:25">
      <c r="E6136"/>
      <c r="G6136"/>
      <c r="H6136"/>
      <c r="I6136"/>
      <c r="K6136"/>
      <c r="O6136"/>
      <c r="R6136"/>
      <c r="W6136" s="4"/>
      <c r="X6136" s="4"/>
      <c r="Y6136" s="4"/>
    </row>
    <row r="6137" spans="5:25">
      <c r="E6137"/>
      <c r="G6137"/>
      <c r="H6137"/>
      <c r="I6137"/>
      <c r="K6137"/>
      <c r="O6137"/>
      <c r="R6137"/>
      <c r="W6137" s="4"/>
      <c r="X6137" s="4"/>
      <c r="Y6137" s="4"/>
    </row>
    <row r="6138" spans="5:25">
      <c r="E6138"/>
      <c r="G6138"/>
      <c r="H6138"/>
      <c r="I6138"/>
      <c r="K6138"/>
      <c r="O6138"/>
      <c r="R6138"/>
      <c r="W6138" s="4"/>
      <c r="X6138" s="4"/>
      <c r="Y6138" s="4"/>
    </row>
    <row r="6139" spans="5:25">
      <c r="E6139"/>
      <c r="G6139"/>
      <c r="H6139"/>
      <c r="I6139"/>
      <c r="K6139"/>
      <c r="O6139"/>
      <c r="R6139"/>
      <c r="W6139" s="4"/>
      <c r="X6139" s="4"/>
      <c r="Y6139" s="4"/>
    </row>
    <row r="6140" spans="5:25">
      <c r="E6140"/>
      <c r="G6140"/>
      <c r="H6140"/>
      <c r="I6140"/>
      <c r="K6140"/>
      <c r="O6140"/>
      <c r="R6140"/>
      <c r="W6140" s="4"/>
      <c r="X6140" s="4"/>
      <c r="Y6140" s="4"/>
    </row>
    <row r="6141" spans="5:25">
      <c r="E6141"/>
      <c r="G6141"/>
      <c r="H6141"/>
      <c r="I6141"/>
      <c r="K6141"/>
      <c r="O6141"/>
      <c r="R6141"/>
      <c r="W6141" s="4"/>
      <c r="X6141" s="4"/>
      <c r="Y6141" s="4"/>
    </row>
    <row r="6142" spans="5:25">
      <c r="E6142"/>
      <c r="G6142"/>
      <c r="H6142"/>
      <c r="I6142"/>
      <c r="K6142"/>
      <c r="O6142"/>
      <c r="R6142"/>
      <c r="W6142" s="4"/>
      <c r="X6142" s="4"/>
      <c r="Y6142" s="4"/>
    </row>
    <row r="6143" spans="5:25">
      <c r="E6143"/>
      <c r="G6143"/>
      <c r="H6143"/>
      <c r="I6143"/>
      <c r="K6143"/>
      <c r="O6143"/>
      <c r="R6143"/>
      <c r="W6143" s="4"/>
      <c r="X6143" s="4"/>
      <c r="Y6143" s="4"/>
    </row>
    <row r="6144" spans="5:25">
      <c r="E6144"/>
      <c r="G6144"/>
      <c r="H6144"/>
      <c r="I6144"/>
      <c r="K6144"/>
      <c r="O6144"/>
      <c r="R6144"/>
      <c r="W6144" s="4"/>
      <c r="X6144" s="4"/>
      <c r="Y6144" s="4"/>
    </row>
    <row r="6145" spans="5:25">
      <c r="E6145"/>
      <c r="G6145"/>
      <c r="H6145"/>
      <c r="I6145"/>
      <c r="K6145"/>
      <c r="O6145"/>
      <c r="R6145"/>
      <c r="W6145" s="4"/>
      <c r="X6145" s="4"/>
      <c r="Y6145" s="4"/>
    </row>
    <row r="6146" spans="5:25">
      <c r="E6146"/>
      <c r="G6146"/>
      <c r="H6146"/>
      <c r="I6146"/>
      <c r="K6146"/>
      <c r="O6146"/>
      <c r="R6146"/>
      <c r="W6146" s="4"/>
      <c r="X6146" s="4"/>
      <c r="Y6146" s="4"/>
    </row>
    <row r="6147" spans="5:25">
      <c r="E6147"/>
      <c r="G6147"/>
      <c r="H6147"/>
      <c r="I6147"/>
      <c r="K6147"/>
      <c r="O6147"/>
      <c r="R6147"/>
      <c r="W6147" s="4"/>
      <c r="X6147" s="4"/>
      <c r="Y6147" s="4"/>
    </row>
    <row r="6148" spans="5:25">
      <c r="E6148"/>
      <c r="G6148"/>
      <c r="H6148"/>
      <c r="I6148"/>
      <c r="K6148"/>
      <c r="O6148"/>
      <c r="R6148"/>
      <c r="W6148" s="4"/>
      <c r="X6148" s="4"/>
      <c r="Y6148" s="4"/>
    </row>
    <row r="6149" spans="5:25">
      <c r="E6149"/>
      <c r="G6149"/>
      <c r="H6149"/>
      <c r="I6149"/>
      <c r="K6149"/>
      <c r="O6149"/>
      <c r="R6149"/>
      <c r="W6149" s="4"/>
      <c r="X6149" s="4"/>
      <c r="Y6149" s="4"/>
    </row>
    <row r="6150" spans="5:25">
      <c r="E6150"/>
      <c r="G6150"/>
      <c r="H6150"/>
      <c r="I6150"/>
      <c r="K6150"/>
      <c r="O6150"/>
      <c r="R6150"/>
      <c r="W6150" s="4"/>
      <c r="X6150" s="4"/>
      <c r="Y6150" s="4"/>
    </row>
    <row r="6151" spans="5:25">
      <c r="E6151"/>
      <c r="G6151"/>
      <c r="H6151"/>
      <c r="I6151"/>
      <c r="K6151"/>
      <c r="O6151"/>
      <c r="R6151"/>
      <c r="W6151" s="4"/>
      <c r="X6151" s="4"/>
      <c r="Y6151" s="4"/>
    </row>
    <row r="6152" spans="5:25">
      <c r="E6152"/>
      <c r="G6152"/>
      <c r="H6152"/>
      <c r="I6152"/>
      <c r="K6152"/>
      <c r="O6152"/>
      <c r="R6152"/>
      <c r="W6152" s="4"/>
      <c r="X6152" s="4"/>
      <c r="Y6152" s="4"/>
    </row>
    <row r="6153" spans="5:25">
      <c r="E6153"/>
      <c r="G6153"/>
      <c r="H6153"/>
      <c r="I6153"/>
      <c r="K6153"/>
      <c r="O6153"/>
      <c r="R6153"/>
      <c r="W6153" s="4"/>
      <c r="X6153" s="4"/>
      <c r="Y6153" s="4"/>
    </row>
    <row r="6154" spans="5:25">
      <c r="E6154"/>
      <c r="G6154"/>
      <c r="H6154"/>
      <c r="I6154"/>
      <c r="K6154"/>
      <c r="O6154"/>
      <c r="R6154"/>
      <c r="W6154" s="4"/>
      <c r="X6154" s="4"/>
      <c r="Y6154" s="4"/>
    </row>
    <row r="6155" spans="5:25">
      <c r="E6155"/>
      <c r="G6155"/>
      <c r="H6155"/>
      <c r="I6155"/>
      <c r="K6155"/>
      <c r="O6155"/>
      <c r="R6155"/>
      <c r="W6155" s="4"/>
      <c r="X6155" s="4"/>
      <c r="Y6155" s="4"/>
    </row>
    <row r="6156" spans="5:25">
      <c r="E6156"/>
      <c r="G6156"/>
      <c r="H6156"/>
      <c r="I6156"/>
      <c r="K6156"/>
      <c r="O6156"/>
      <c r="R6156"/>
      <c r="W6156" s="4"/>
      <c r="X6156" s="4"/>
      <c r="Y6156" s="4"/>
    </row>
    <row r="6157" spans="5:25">
      <c r="E6157"/>
      <c r="G6157"/>
      <c r="H6157"/>
      <c r="I6157"/>
      <c r="K6157"/>
      <c r="O6157"/>
      <c r="R6157"/>
      <c r="W6157" s="4"/>
      <c r="X6157" s="4"/>
      <c r="Y6157" s="4"/>
    </row>
    <row r="6158" spans="5:25">
      <c r="E6158"/>
      <c r="G6158"/>
      <c r="H6158"/>
      <c r="I6158"/>
      <c r="K6158"/>
      <c r="O6158"/>
      <c r="R6158"/>
      <c r="W6158" s="4"/>
      <c r="X6158" s="4"/>
      <c r="Y6158" s="4"/>
    </row>
    <row r="6159" spans="5:25">
      <c r="E6159"/>
      <c r="G6159"/>
      <c r="H6159"/>
      <c r="I6159"/>
      <c r="K6159"/>
      <c r="O6159"/>
      <c r="R6159"/>
      <c r="W6159" s="4"/>
      <c r="X6159" s="4"/>
      <c r="Y6159" s="4"/>
    </row>
    <row r="6160" spans="5:25">
      <c r="E6160"/>
      <c r="G6160"/>
      <c r="H6160"/>
      <c r="I6160"/>
      <c r="K6160"/>
      <c r="O6160"/>
      <c r="R6160"/>
      <c r="W6160" s="4"/>
      <c r="X6160" s="4"/>
      <c r="Y6160" s="4"/>
    </row>
    <row r="6161" spans="5:25">
      <c r="E6161"/>
      <c r="G6161"/>
      <c r="H6161"/>
      <c r="I6161"/>
      <c r="K6161"/>
      <c r="O6161"/>
      <c r="R6161"/>
      <c r="W6161" s="4"/>
      <c r="X6161" s="4"/>
      <c r="Y6161" s="4"/>
    </row>
    <row r="6162" spans="5:25">
      <c r="E6162"/>
      <c r="G6162"/>
      <c r="H6162"/>
      <c r="I6162"/>
      <c r="K6162"/>
      <c r="O6162"/>
      <c r="R6162"/>
      <c r="W6162" s="4"/>
      <c r="X6162" s="4"/>
      <c r="Y6162" s="4"/>
    </row>
    <row r="6163" spans="5:25">
      <c r="E6163"/>
      <c r="G6163"/>
      <c r="H6163"/>
      <c r="I6163"/>
      <c r="K6163"/>
      <c r="O6163"/>
      <c r="R6163"/>
      <c r="W6163" s="4"/>
      <c r="X6163" s="4"/>
      <c r="Y6163" s="4"/>
    </row>
    <row r="6164" spans="5:25">
      <c r="E6164"/>
      <c r="G6164"/>
      <c r="H6164"/>
      <c r="I6164"/>
      <c r="K6164"/>
      <c r="O6164"/>
      <c r="R6164"/>
      <c r="W6164" s="4"/>
      <c r="X6164" s="4"/>
      <c r="Y6164" s="4"/>
    </row>
    <row r="6165" spans="5:25">
      <c r="E6165"/>
      <c r="G6165"/>
      <c r="H6165"/>
      <c r="I6165"/>
      <c r="K6165"/>
      <c r="O6165"/>
      <c r="R6165"/>
      <c r="W6165" s="4"/>
      <c r="X6165" s="4"/>
      <c r="Y6165" s="4"/>
    </row>
    <row r="6166" spans="5:25">
      <c r="E6166"/>
      <c r="G6166"/>
      <c r="H6166"/>
      <c r="I6166"/>
      <c r="K6166"/>
      <c r="O6166"/>
      <c r="R6166"/>
      <c r="W6166" s="4"/>
      <c r="X6166" s="4"/>
      <c r="Y6166" s="4"/>
    </row>
    <row r="6167" spans="5:25">
      <c r="E6167"/>
      <c r="G6167"/>
      <c r="H6167"/>
      <c r="I6167"/>
      <c r="K6167"/>
      <c r="O6167"/>
      <c r="R6167"/>
      <c r="W6167" s="4"/>
      <c r="X6167" s="4"/>
      <c r="Y6167" s="4"/>
    </row>
    <row r="6168" spans="5:25">
      <c r="E6168"/>
      <c r="G6168"/>
      <c r="H6168"/>
      <c r="I6168"/>
      <c r="K6168"/>
      <c r="O6168"/>
      <c r="R6168"/>
      <c r="W6168" s="4"/>
      <c r="X6168" s="4"/>
      <c r="Y6168" s="4"/>
    </row>
    <row r="6169" spans="5:25">
      <c r="E6169"/>
      <c r="G6169"/>
      <c r="H6169"/>
      <c r="I6169"/>
      <c r="K6169"/>
      <c r="O6169"/>
      <c r="R6169"/>
      <c r="W6169" s="4"/>
      <c r="X6169" s="4"/>
      <c r="Y6169" s="4"/>
    </row>
    <row r="6170" spans="5:25">
      <c r="E6170"/>
      <c r="G6170"/>
      <c r="H6170"/>
      <c r="I6170"/>
      <c r="K6170"/>
      <c r="O6170"/>
      <c r="R6170"/>
      <c r="W6170" s="4"/>
      <c r="X6170" s="4"/>
      <c r="Y6170" s="4"/>
    </row>
    <row r="6171" spans="5:25">
      <c r="E6171"/>
      <c r="G6171"/>
      <c r="H6171"/>
      <c r="I6171"/>
      <c r="K6171"/>
      <c r="O6171"/>
      <c r="R6171"/>
      <c r="W6171" s="4"/>
      <c r="X6171" s="4"/>
      <c r="Y6171" s="4"/>
    </row>
    <row r="6172" spans="5:25">
      <c r="E6172"/>
      <c r="G6172"/>
      <c r="H6172"/>
      <c r="I6172"/>
      <c r="K6172"/>
      <c r="O6172"/>
      <c r="R6172"/>
      <c r="W6172" s="4"/>
      <c r="X6172" s="4"/>
      <c r="Y6172" s="4"/>
    </row>
    <row r="6173" spans="5:25">
      <c r="E6173"/>
      <c r="G6173"/>
      <c r="H6173"/>
      <c r="I6173"/>
      <c r="K6173"/>
      <c r="O6173"/>
      <c r="R6173"/>
      <c r="W6173" s="4"/>
      <c r="X6173" s="4"/>
      <c r="Y6173" s="4"/>
    </row>
    <row r="6174" spans="5:25">
      <c r="E6174"/>
      <c r="G6174"/>
      <c r="H6174"/>
      <c r="I6174"/>
      <c r="K6174"/>
      <c r="O6174"/>
      <c r="R6174"/>
      <c r="W6174" s="4"/>
      <c r="X6174" s="4"/>
      <c r="Y6174" s="4"/>
    </row>
    <row r="6175" spans="5:25">
      <c r="E6175"/>
      <c r="G6175"/>
      <c r="H6175"/>
      <c r="I6175"/>
      <c r="K6175"/>
      <c r="O6175"/>
      <c r="R6175"/>
      <c r="W6175" s="4"/>
      <c r="X6175" s="4"/>
      <c r="Y6175" s="4"/>
    </row>
    <row r="6176" spans="5:25">
      <c r="E6176"/>
      <c r="G6176"/>
      <c r="H6176"/>
      <c r="I6176"/>
      <c r="K6176"/>
      <c r="O6176"/>
      <c r="R6176"/>
      <c r="W6176" s="4"/>
      <c r="X6176" s="4"/>
      <c r="Y6176" s="4"/>
    </row>
    <row r="6177" spans="5:25">
      <c r="E6177"/>
      <c r="G6177"/>
      <c r="H6177"/>
      <c r="I6177"/>
      <c r="K6177"/>
      <c r="O6177"/>
      <c r="R6177"/>
      <c r="W6177" s="4"/>
      <c r="X6177" s="4"/>
      <c r="Y6177" s="4"/>
    </row>
    <row r="6178" spans="5:25">
      <c r="E6178"/>
      <c r="G6178"/>
      <c r="H6178"/>
      <c r="I6178"/>
      <c r="K6178"/>
      <c r="O6178"/>
      <c r="R6178"/>
      <c r="W6178" s="4"/>
      <c r="X6178" s="4"/>
      <c r="Y6178" s="4"/>
    </row>
    <row r="6179" spans="5:25">
      <c r="E6179"/>
      <c r="G6179"/>
      <c r="H6179"/>
      <c r="I6179"/>
      <c r="K6179"/>
      <c r="O6179"/>
      <c r="R6179"/>
      <c r="W6179" s="4"/>
      <c r="X6179" s="4"/>
      <c r="Y6179" s="4"/>
    </row>
    <row r="6180" spans="5:25">
      <c r="E6180"/>
      <c r="G6180"/>
      <c r="H6180"/>
      <c r="I6180"/>
      <c r="K6180"/>
      <c r="O6180"/>
      <c r="R6180"/>
      <c r="W6180" s="4"/>
      <c r="X6180" s="4"/>
      <c r="Y6180" s="4"/>
    </row>
    <row r="6181" spans="5:25">
      <c r="E6181"/>
      <c r="G6181"/>
      <c r="H6181"/>
      <c r="I6181"/>
      <c r="K6181"/>
      <c r="O6181"/>
      <c r="R6181"/>
      <c r="W6181" s="4"/>
      <c r="X6181" s="4"/>
      <c r="Y6181" s="4"/>
    </row>
    <row r="6182" spans="5:25">
      <c r="E6182"/>
      <c r="G6182"/>
      <c r="H6182"/>
      <c r="I6182"/>
      <c r="K6182"/>
      <c r="O6182"/>
      <c r="R6182"/>
      <c r="W6182" s="4"/>
      <c r="X6182" s="4"/>
      <c r="Y6182" s="4"/>
    </row>
    <row r="6183" spans="5:25">
      <c r="E6183"/>
      <c r="G6183"/>
      <c r="H6183"/>
      <c r="I6183"/>
      <c r="K6183"/>
      <c r="O6183"/>
      <c r="R6183"/>
      <c r="W6183" s="4"/>
      <c r="X6183" s="4"/>
      <c r="Y6183" s="4"/>
    </row>
    <row r="6184" spans="5:25">
      <c r="E6184"/>
      <c r="G6184"/>
      <c r="H6184"/>
      <c r="I6184"/>
      <c r="K6184"/>
      <c r="O6184"/>
      <c r="R6184"/>
      <c r="W6184" s="4"/>
      <c r="X6184" s="4"/>
      <c r="Y6184" s="4"/>
    </row>
    <row r="6185" spans="5:25">
      <c r="E6185"/>
      <c r="G6185"/>
      <c r="H6185"/>
      <c r="I6185"/>
      <c r="K6185"/>
      <c r="O6185"/>
      <c r="R6185"/>
      <c r="W6185" s="4"/>
      <c r="X6185" s="4"/>
      <c r="Y6185" s="4"/>
    </row>
    <row r="6186" spans="5:25">
      <c r="E6186"/>
      <c r="G6186"/>
      <c r="H6186"/>
      <c r="I6186"/>
      <c r="K6186"/>
      <c r="O6186"/>
      <c r="R6186"/>
      <c r="W6186" s="4"/>
      <c r="X6186" s="4"/>
      <c r="Y6186" s="4"/>
    </row>
    <row r="6187" spans="5:25">
      <c r="E6187"/>
      <c r="G6187"/>
      <c r="H6187"/>
      <c r="I6187"/>
      <c r="K6187"/>
      <c r="O6187"/>
      <c r="R6187"/>
      <c r="W6187" s="4"/>
      <c r="X6187" s="4"/>
      <c r="Y6187" s="4"/>
    </row>
    <row r="6188" spans="5:25">
      <c r="E6188"/>
      <c r="G6188"/>
      <c r="H6188"/>
      <c r="I6188"/>
      <c r="K6188"/>
      <c r="O6188"/>
      <c r="R6188"/>
      <c r="W6188" s="4"/>
      <c r="X6188" s="4"/>
      <c r="Y6188" s="4"/>
    </row>
    <row r="6189" spans="5:25">
      <c r="E6189"/>
      <c r="G6189"/>
      <c r="H6189"/>
      <c r="I6189"/>
      <c r="K6189"/>
      <c r="O6189"/>
      <c r="R6189"/>
      <c r="W6189" s="4"/>
      <c r="X6189" s="4"/>
      <c r="Y6189" s="4"/>
    </row>
    <row r="6190" spans="5:25">
      <c r="E6190"/>
      <c r="G6190"/>
      <c r="H6190"/>
      <c r="I6190"/>
      <c r="K6190"/>
      <c r="O6190"/>
      <c r="R6190"/>
      <c r="W6190" s="4"/>
      <c r="X6190" s="4"/>
      <c r="Y6190" s="4"/>
    </row>
    <row r="6191" spans="5:25">
      <c r="E6191"/>
      <c r="G6191"/>
      <c r="H6191"/>
      <c r="I6191"/>
      <c r="K6191"/>
      <c r="O6191"/>
      <c r="R6191"/>
      <c r="W6191" s="4"/>
      <c r="X6191" s="4"/>
      <c r="Y6191" s="4"/>
    </row>
    <row r="6192" spans="5:25">
      <c r="E6192"/>
      <c r="G6192"/>
      <c r="H6192"/>
      <c r="I6192"/>
      <c r="K6192"/>
      <c r="O6192"/>
      <c r="R6192"/>
      <c r="W6192" s="4"/>
      <c r="X6192" s="4"/>
      <c r="Y6192" s="4"/>
    </row>
    <row r="6193" spans="5:25">
      <c r="E6193"/>
      <c r="G6193"/>
      <c r="H6193"/>
      <c r="I6193"/>
      <c r="K6193"/>
      <c r="O6193"/>
      <c r="R6193"/>
      <c r="W6193" s="4"/>
      <c r="X6193" s="4"/>
      <c r="Y6193" s="4"/>
    </row>
    <row r="6194" spans="5:25">
      <c r="E6194"/>
      <c r="G6194"/>
      <c r="H6194"/>
      <c r="I6194"/>
      <c r="K6194"/>
      <c r="O6194"/>
      <c r="R6194"/>
      <c r="W6194" s="4"/>
      <c r="X6194" s="4"/>
      <c r="Y6194" s="4"/>
    </row>
    <row r="6195" spans="5:25">
      <c r="E6195"/>
      <c r="G6195"/>
      <c r="H6195"/>
      <c r="I6195"/>
      <c r="K6195"/>
      <c r="O6195"/>
      <c r="R6195"/>
      <c r="W6195" s="4"/>
      <c r="X6195" s="4"/>
      <c r="Y6195" s="4"/>
    </row>
    <row r="6196" spans="5:25">
      <c r="E6196"/>
      <c r="G6196"/>
      <c r="H6196"/>
      <c r="I6196"/>
      <c r="K6196"/>
      <c r="O6196"/>
      <c r="R6196"/>
      <c r="W6196" s="4"/>
      <c r="X6196" s="4"/>
      <c r="Y6196" s="4"/>
    </row>
    <row r="6197" spans="5:25">
      <c r="E6197"/>
      <c r="G6197"/>
      <c r="H6197"/>
      <c r="I6197"/>
      <c r="K6197"/>
      <c r="O6197"/>
      <c r="R6197"/>
      <c r="W6197" s="4"/>
      <c r="X6197" s="4"/>
      <c r="Y6197" s="4"/>
    </row>
    <row r="6198" spans="5:25">
      <c r="E6198"/>
      <c r="G6198"/>
      <c r="H6198"/>
      <c r="I6198"/>
      <c r="K6198"/>
      <c r="O6198"/>
      <c r="R6198"/>
      <c r="W6198" s="4"/>
      <c r="X6198" s="4"/>
      <c r="Y6198" s="4"/>
    </row>
    <row r="6199" spans="5:25">
      <c r="E6199"/>
      <c r="G6199"/>
      <c r="H6199"/>
      <c r="I6199"/>
      <c r="K6199"/>
      <c r="O6199"/>
      <c r="R6199"/>
      <c r="W6199" s="4"/>
      <c r="X6199" s="4"/>
      <c r="Y6199" s="4"/>
    </row>
    <row r="6200" spans="5:25">
      <c r="E6200"/>
      <c r="G6200"/>
      <c r="H6200"/>
      <c r="I6200"/>
      <c r="K6200"/>
      <c r="O6200"/>
      <c r="R6200"/>
      <c r="W6200" s="4"/>
      <c r="X6200" s="4"/>
      <c r="Y6200" s="4"/>
    </row>
    <row r="6201" spans="5:25">
      <c r="E6201"/>
      <c r="G6201"/>
      <c r="H6201"/>
      <c r="I6201"/>
      <c r="K6201"/>
      <c r="O6201"/>
      <c r="R6201"/>
      <c r="W6201" s="4"/>
      <c r="X6201" s="4"/>
      <c r="Y6201" s="4"/>
    </row>
    <row r="6202" spans="5:25">
      <c r="E6202"/>
      <c r="G6202"/>
      <c r="H6202"/>
      <c r="I6202"/>
      <c r="K6202"/>
      <c r="O6202"/>
      <c r="R6202"/>
      <c r="W6202" s="4"/>
      <c r="X6202" s="4"/>
      <c r="Y6202" s="4"/>
    </row>
    <row r="6203" spans="5:25">
      <c r="E6203"/>
      <c r="G6203"/>
      <c r="H6203"/>
      <c r="I6203"/>
      <c r="K6203"/>
      <c r="O6203"/>
      <c r="R6203"/>
      <c r="W6203" s="4"/>
      <c r="X6203" s="4"/>
      <c r="Y6203" s="4"/>
    </row>
    <row r="6204" spans="5:25">
      <c r="E6204"/>
      <c r="G6204"/>
      <c r="H6204"/>
      <c r="I6204"/>
      <c r="K6204"/>
      <c r="O6204"/>
      <c r="R6204"/>
      <c r="W6204" s="4"/>
      <c r="X6204" s="4"/>
      <c r="Y6204" s="4"/>
    </row>
    <row r="6205" spans="5:25">
      <c r="E6205"/>
      <c r="G6205"/>
      <c r="H6205"/>
      <c r="I6205"/>
      <c r="K6205"/>
      <c r="O6205"/>
      <c r="R6205"/>
      <c r="W6205" s="4"/>
      <c r="X6205" s="4"/>
      <c r="Y6205" s="4"/>
    </row>
    <row r="6206" spans="5:25">
      <c r="E6206"/>
      <c r="G6206"/>
      <c r="H6206"/>
      <c r="I6206"/>
      <c r="K6206"/>
      <c r="O6206"/>
      <c r="R6206"/>
      <c r="W6206" s="4"/>
      <c r="X6206" s="4"/>
      <c r="Y6206" s="4"/>
    </row>
    <row r="6207" spans="5:25">
      <c r="E6207"/>
      <c r="G6207"/>
      <c r="H6207"/>
      <c r="I6207"/>
      <c r="K6207"/>
      <c r="O6207"/>
      <c r="R6207"/>
      <c r="W6207" s="4"/>
      <c r="X6207" s="4"/>
      <c r="Y6207" s="4"/>
    </row>
    <row r="6208" spans="5:25">
      <c r="E6208"/>
      <c r="G6208"/>
      <c r="H6208"/>
      <c r="I6208"/>
      <c r="K6208"/>
      <c r="O6208"/>
      <c r="R6208"/>
      <c r="W6208" s="4"/>
      <c r="X6208" s="4"/>
      <c r="Y6208" s="4"/>
    </row>
    <row r="6209" spans="5:25">
      <c r="E6209"/>
      <c r="G6209"/>
      <c r="H6209"/>
      <c r="I6209"/>
      <c r="K6209"/>
      <c r="O6209"/>
      <c r="R6209"/>
      <c r="W6209" s="4"/>
      <c r="X6209" s="4"/>
      <c r="Y6209" s="4"/>
    </row>
    <row r="6210" spans="5:25">
      <c r="E6210"/>
      <c r="G6210"/>
      <c r="H6210"/>
      <c r="I6210"/>
      <c r="K6210"/>
      <c r="O6210"/>
      <c r="R6210"/>
      <c r="W6210" s="4"/>
      <c r="X6210" s="4"/>
      <c r="Y6210" s="4"/>
    </row>
    <row r="6211" spans="5:25">
      <c r="E6211"/>
      <c r="G6211"/>
      <c r="H6211"/>
      <c r="I6211"/>
      <c r="K6211"/>
      <c r="O6211"/>
      <c r="R6211"/>
      <c r="W6211" s="4"/>
      <c r="X6211" s="4"/>
      <c r="Y6211" s="4"/>
    </row>
    <row r="6212" spans="5:25">
      <c r="E6212"/>
      <c r="G6212"/>
      <c r="H6212"/>
      <c r="I6212"/>
      <c r="K6212"/>
      <c r="O6212"/>
      <c r="R6212"/>
      <c r="W6212" s="4"/>
      <c r="X6212" s="4"/>
      <c r="Y6212" s="4"/>
    </row>
    <row r="6213" spans="5:25">
      <c r="E6213"/>
      <c r="G6213"/>
      <c r="H6213"/>
      <c r="I6213"/>
      <c r="K6213"/>
      <c r="O6213"/>
      <c r="R6213"/>
      <c r="W6213" s="4"/>
      <c r="X6213" s="4"/>
      <c r="Y6213" s="4"/>
    </row>
    <row r="6214" spans="5:25">
      <c r="E6214"/>
      <c r="G6214"/>
      <c r="H6214"/>
      <c r="I6214"/>
      <c r="K6214"/>
      <c r="O6214"/>
      <c r="R6214"/>
      <c r="W6214" s="4"/>
      <c r="X6214" s="4"/>
      <c r="Y6214" s="4"/>
    </row>
    <row r="6215" spans="5:25">
      <c r="E6215"/>
      <c r="G6215"/>
      <c r="H6215"/>
      <c r="I6215"/>
      <c r="K6215"/>
      <c r="O6215"/>
      <c r="R6215"/>
      <c r="W6215" s="4"/>
      <c r="X6215" s="4"/>
      <c r="Y6215" s="4"/>
    </row>
    <row r="6216" spans="5:25">
      <c r="E6216"/>
      <c r="G6216"/>
      <c r="H6216"/>
      <c r="I6216"/>
      <c r="K6216"/>
      <c r="O6216"/>
      <c r="R6216"/>
      <c r="W6216" s="4"/>
      <c r="X6216" s="4"/>
      <c r="Y6216" s="4"/>
    </row>
    <row r="6217" spans="5:25">
      <c r="E6217"/>
      <c r="G6217"/>
      <c r="H6217"/>
      <c r="I6217"/>
      <c r="K6217"/>
      <c r="O6217"/>
      <c r="R6217"/>
      <c r="W6217" s="4"/>
      <c r="X6217" s="4"/>
      <c r="Y6217" s="4"/>
    </row>
    <row r="6218" spans="5:25">
      <c r="E6218"/>
      <c r="G6218"/>
      <c r="H6218"/>
      <c r="I6218"/>
      <c r="K6218"/>
      <c r="O6218"/>
      <c r="R6218"/>
      <c r="W6218" s="4"/>
      <c r="X6218" s="4"/>
      <c r="Y6218" s="4"/>
    </row>
    <row r="6219" spans="5:25">
      <c r="E6219"/>
      <c r="G6219"/>
      <c r="H6219"/>
      <c r="I6219"/>
      <c r="K6219"/>
      <c r="O6219"/>
      <c r="R6219"/>
      <c r="W6219" s="4"/>
      <c r="X6219" s="4"/>
      <c r="Y6219" s="4"/>
    </row>
    <row r="6220" spans="5:25">
      <c r="E6220"/>
      <c r="G6220"/>
      <c r="H6220"/>
      <c r="I6220"/>
      <c r="K6220"/>
      <c r="O6220"/>
      <c r="R6220"/>
      <c r="W6220" s="4"/>
      <c r="X6220" s="4"/>
      <c r="Y6220" s="4"/>
    </row>
    <row r="6221" spans="5:25">
      <c r="E6221"/>
      <c r="G6221"/>
      <c r="H6221"/>
      <c r="I6221"/>
      <c r="K6221"/>
      <c r="O6221"/>
      <c r="R6221"/>
      <c r="W6221" s="4"/>
      <c r="X6221" s="4"/>
      <c r="Y6221" s="4"/>
    </row>
    <row r="6222" spans="5:25">
      <c r="E6222"/>
      <c r="G6222"/>
      <c r="H6222"/>
      <c r="I6222"/>
      <c r="K6222"/>
      <c r="O6222"/>
      <c r="R6222"/>
      <c r="W6222" s="4"/>
      <c r="X6222" s="4"/>
      <c r="Y6222" s="4"/>
    </row>
    <row r="6223" spans="5:25">
      <c r="E6223"/>
      <c r="G6223"/>
      <c r="H6223"/>
      <c r="I6223"/>
      <c r="K6223"/>
      <c r="O6223"/>
      <c r="R6223"/>
      <c r="W6223" s="4"/>
      <c r="X6223" s="4"/>
      <c r="Y6223" s="4"/>
    </row>
    <row r="6224" spans="5:25">
      <c r="E6224"/>
      <c r="G6224"/>
      <c r="H6224"/>
      <c r="I6224"/>
      <c r="K6224"/>
      <c r="O6224"/>
      <c r="R6224"/>
      <c r="W6224" s="4"/>
      <c r="X6224" s="4"/>
      <c r="Y6224" s="4"/>
    </row>
    <row r="6225" spans="5:25">
      <c r="E6225"/>
      <c r="G6225"/>
      <c r="H6225"/>
      <c r="I6225"/>
      <c r="K6225"/>
      <c r="O6225"/>
      <c r="R6225"/>
      <c r="W6225" s="4"/>
      <c r="X6225" s="4"/>
      <c r="Y6225" s="4"/>
    </row>
    <row r="6226" spans="5:25">
      <c r="E6226"/>
      <c r="G6226"/>
      <c r="H6226"/>
      <c r="I6226"/>
      <c r="K6226"/>
      <c r="O6226"/>
      <c r="R6226"/>
      <c r="W6226" s="4"/>
      <c r="X6226" s="4"/>
      <c r="Y6226" s="4"/>
    </row>
    <row r="6227" spans="5:25">
      <c r="E6227"/>
      <c r="G6227"/>
      <c r="H6227"/>
      <c r="I6227"/>
      <c r="K6227"/>
      <c r="O6227"/>
      <c r="R6227"/>
      <c r="W6227" s="4"/>
      <c r="X6227" s="4"/>
      <c r="Y6227" s="4"/>
    </row>
    <row r="6228" spans="5:25">
      <c r="E6228"/>
      <c r="G6228"/>
      <c r="H6228"/>
      <c r="I6228"/>
      <c r="K6228"/>
      <c r="O6228"/>
      <c r="R6228"/>
      <c r="W6228" s="4"/>
      <c r="X6228" s="4"/>
      <c r="Y6228" s="4"/>
    </row>
    <row r="6229" spans="5:25">
      <c r="E6229"/>
      <c r="G6229"/>
      <c r="H6229"/>
      <c r="I6229"/>
      <c r="K6229"/>
      <c r="O6229"/>
      <c r="R6229"/>
      <c r="W6229" s="4"/>
      <c r="X6229" s="4"/>
      <c r="Y6229" s="4"/>
    </row>
    <row r="6230" spans="5:25">
      <c r="E6230"/>
      <c r="G6230"/>
      <c r="H6230"/>
      <c r="I6230"/>
      <c r="K6230"/>
      <c r="O6230"/>
      <c r="R6230"/>
      <c r="W6230" s="4"/>
      <c r="X6230" s="4"/>
      <c r="Y6230" s="4"/>
    </row>
    <row r="6231" spans="5:25">
      <c r="E6231"/>
      <c r="G6231"/>
      <c r="H6231"/>
      <c r="I6231"/>
      <c r="K6231"/>
      <c r="O6231"/>
      <c r="R6231"/>
      <c r="W6231" s="4"/>
      <c r="X6231" s="4"/>
      <c r="Y6231" s="4"/>
    </row>
    <row r="6232" spans="5:25">
      <c r="E6232"/>
      <c r="G6232"/>
      <c r="H6232"/>
      <c r="I6232"/>
      <c r="K6232"/>
      <c r="O6232"/>
      <c r="R6232"/>
      <c r="W6232" s="4"/>
      <c r="X6232" s="4"/>
      <c r="Y6232" s="4"/>
    </row>
    <row r="6233" spans="5:25">
      <c r="E6233"/>
      <c r="G6233"/>
      <c r="H6233"/>
      <c r="I6233"/>
      <c r="K6233"/>
      <c r="O6233"/>
      <c r="R6233"/>
      <c r="W6233" s="4"/>
      <c r="X6233" s="4"/>
      <c r="Y6233" s="4"/>
    </row>
    <row r="6234" spans="5:25">
      <c r="E6234"/>
      <c r="G6234"/>
      <c r="H6234"/>
      <c r="I6234"/>
      <c r="K6234"/>
      <c r="O6234"/>
      <c r="R6234"/>
      <c r="W6234" s="4"/>
      <c r="X6234" s="4"/>
      <c r="Y6234" s="4"/>
    </row>
    <row r="6235" spans="5:25">
      <c r="E6235"/>
      <c r="G6235"/>
      <c r="H6235"/>
      <c r="I6235"/>
      <c r="K6235"/>
      <c r="O6235"/>
      <c r="R6235"/>
      <c r="W6235" s="4"/>
      <c r="X6235" s="4"/>
      <c r="Y6235" s="4"/>
    </row>
    <row r="6236" spans="5:25">
      <c r="E6236"/>
      <c r="G6236"/>
      <c r="H6236"/>
      <c r="I6236"/>
      <c r="K6236"/>
      <c r="O6236"/>
      <c r="R6236"/>
      <c r="W6236" s="4"/>
      <c r="X6236" s="4"/>
      <c r="Y6236" s="4"/>
    </row>
    <row r="6237" spans="5:25">
      <c r="E6237"/>
      <c r="G6237"/>
      <c r="H6237"/>
      <c r="I6237"/>
      <c r="K6237"/>
      <c r="O6237"/>
      <c r="R6237"/>
      <c r="W6237" s="4"/>
      <c r="X6237" s="4"/>
      <c r="Y6237" s="4"/>
    </row>
    <row r="6238" spans="5:25">
      <c r="E6238"/>
      <c r="G6238"/>
      <c r="H6238"/>
      <c r="I6238"/>
      <c r="K6238"/>
      <c r="O6238"/>
      <c r="R6238"/>
      <c r="W6238" s="4"/>
      <c r="X6238" s="4"/>
      <c r="Y6238" s="4"/>
    </row>
    <row r="6239" spans="5:25">
      <c r="E6239"/>
      <c r="G6239"/>
      <c r="H6239"/>
      <c r="I6239"/>
      <c r="K6239"/>
      <c r="O6239"/>
      <c r="R6239"/>
      <c r="W6239" s="4"/>
      <c r="X6239" s="4"/>
      <c r="Y6239" s="4"/>
    </row>
    <row r="6240" spans="5:25">
      <c r="E6240"/>
      <c r="G6240"/>
      <c r="H6240"/>
      <c r="I6240"/>
      <c r="K6240"/>
      <c r="O6240"/>
      <c r="R6240"/>
      <c r="W6240" s="4"/>
      <c r="X6240" s="4"/>
      <c r="Y6240" s="4"/>
    </row>
    <row r="6241" spans="5:25">
      <c r="E6241"/>
      <c r="G6241"/>
      <c r="H6241"/>
      <c r="I6241"/>
      <c r="K6241"/>
      <c r="O6241"/>
      <c r="R6241"/>
      <c r="W6241" s="4"/>
      <c r="X6241" s="4"/>
      <c r="Y6241" s="4"/>
    </row>
    <row r="6242" spans="5:25">
      <c r="E6242"/>
      <c r="G6242"/>
      <c r="H6242"/>
      <c r="I6242"/>
      <c r="K6242"/>
      <c r="O6242"/>
      <c r="R6242"/>
      <c r="W6242" s="4"/>
      <c r="X6242" s="4"/>
      <c r="Y6242" s="4"/>
    </row>
    <row r="6243" spans="5:25">
      <c r="E6243"/>
      <c r="G6243"/>
      <c r="H6243"/>
      <c r="I6243"/>
      <c r="K6243"/>
      <c r="O6243"/>
      <c r="R6243"/>
      <c r="W6243" s="4"/>
      <c r="X6243" s="4"/>
      <c r="Y6243" s="4"/>
    </row>
    <row r="6244" spans="5:25">
      <c r="E6244"/>
      <c r="G6244"/>
      <c r="H6244"/>
      <c r="I6244"/>
      <c r="K6244"/>
      <c r="O6244"/>
      <c r="R6244"/>
      <c r="W6244" s="4"/>
      <c r="X6244" s="4"/>
      <c r="Y6244" s="4"/>
    </row>
    <row r="6245" spans="5:25">
      <c r="E6245"/>
      <c r="G6245"/>
      <c r="H6245"/>
      <c r="I6245"/>
      <c r="K6245"/>
      <c r="O6245"/>
      <c r="R6245"/>
      <c r="W6245" s="4"/>
      <c r="X6245" s="4"/>
      <c r="Y6245" s="4"/>
    </row>
    <row r="6246" spans="5:25">
      <c r="E6246"/>
      <c r="G6246"/>
      <c r="H6246"/>
      <c r="I6246"/>
      <c r="K6246"/>
      <c r="O6246"/>
      <c r="R6246"/>
      <c r="W6246" s="4"/>
      <c r="X6246" s="4"/>
      <c r="Y6246" s="4"/>
    </row>
    <row r="6247" spans="5:25">
      <c r="E6247"/>
      <c r="G6247"/>
      <c r="H6247"/>
      <c r="I6247"/>
      <c r="K6247"/>
      <c r="O6247"/>
      <c r="R6247"/>
      <c r="W6247" s="4"/>
      <c r="X6247" s="4"/>
      <c r="Y6247" s="4"/>
    </row>
    <row r="6248" spans="5:25">
      <c r="E6248"/>
      <c r="G6248"/>
      <c r="H6248"/>
      <c r="I6248"/>
      <c r="K6248"/>
      <c r="O6248"/>
      <c r="R6248"/>
      <c r="W6248" s="4"/>
      <c r="X6248" s="4"/>
      <c r="Y6248" s="4"/>
    </row>
    <row r="6249" spans="5:25">
      <c r="E6249"/>
      <c r="G6249"/>
      <c r="H6249"/>
      <c r="I6249"/>
      <c r="K6249"/>
      <c r="O6249"/>
      <c r="R6249"/>
      <c r="W6249" s="4"/>
      <c r="X6249" s="4"/>
      <c r="Y6249" s="4"/>
    </row>
    <row r="6250" spans="5:25">
      <c r="E6250"/>
      <c r="G6250"/>
      <c r="H6250"/>
      <c r="I6250"/>
      <c r="K6250"/>
      <c r="O6250"/>
      <c r="R6250"/>
      <c r="W6250" s="4"/>
      <c r="X6250" s="4"/>
      <c r="Y6250" s="4"/>
    </row>
    <row r="6251" spans="5:25">
      <c r="E6251"/>
      <c r="G6251"/>
      <c r="H6251"/>
      <c r="I6251"/>
      <c r="K6251"/>
      <c r="O6251"/>
      <c r="R6251"/>
      <c r="W6251" s="4"/>
      <c r="X6251" s="4"/>
      <c r="Y6251" s="4"/>
    </row>
    <row r="6252" spans="5:25">
      <c r="E6252"/>
      <c r="G6252"/>
      <c r="H6252"/>
      <c r="I6252"/>
      <c r="K6252"/>
      <c r="O6252"/>
      <c r="R6252"/>
      <c r="W6252" s="4"/>
      <c r="X6252" s="4"/>
      <c r="Y6252" s="4"/>
    </row>
    <row r="6253" spans="5:25">
      <c r="E6253"/>
      <c r="G6253"/>
      <c r="H6253"/>
      <c r="I6253"/>
      <c r="K6253"/>
      <c r="O6253"/>
      <c r="R6253"/>
      <c r="W6253" s="4"/>
      <c r="X6253" s="4"/>
      <c r="Y6253" s="4"/>
    </row>
    <row r="6254" spans="5:25">
      <c r="E6254"/>
      <c r="G6254"/>
      <c r="H6254"/>
      <c r="I6254"/>
      <c r="K6254"/>
      <c r="O6254"/>
      <c r="R6254"/>
      <c r="W6254" s="4"/>
      <c r="X6254" s="4"/>
      <c r="Y6254" s="4"/>
    </row>
    <row r="6255" spans="5:25">
      <c r="E6255"/>
      <c r="G6255"/>
      <c r="H6255"/>
      <c r="I6255"/>
      <c r="K6255"/>
      <c r="O6255"/>
      <c r="R6255"/>
      <c r="W6255" s="4"/>
      <c r="X6255" s="4"/>
      <c r="Y6255" s="4"/>
    </row>
    <row r="6256" spans="5:25">
      <c r="E6256"/>
      <c r="G6256"/>
      <c r="H6256"/>
      <c r="I6256"/>
      <c r="K6256"/>
      <c r="O6256"/>
      <c r="R6256"/>
      <c r="W6256" s="4"/>
      <c r="X6256" s="4"/>
      <c r="Y6256" s="4"/>
    </row>
    <row r="6257" spans="5:25">
      <c r="E6257"/>
      <c r="G6257"/>
      <c r="H6257"/>
      <c r="I6257"/>
      <c r="K6257"/>
      <c r="O6257"/>
      <c r="R6257"/>
      <c r="W6257" s="4"/>
      <c r="X6257" s="4"/>
      <c r="Y6257" s="4"/>
    </row>
    <row r="6258" spans="5:25">
      <c r="E6258"/>
      <c r="G6258"/>
      <c r="H6258"/>
      <c r="I6258"/>
      <c r="K6258"/>
      <c r="O6258"/>
      <c r="R6258"/>
      <c r="W6258" s="4"/>
      <c r="X6258" s="4"/>
      <c r="Y6258" s="4"/>
    </row>
    <row r="6259" spans="5:25">
      <c r="E6259"/>
      <c r="G6259"/>
      <c r="H6259"/>
      <c r="I6259"/>
      <c r="K6259"/>
      <c r="O6259"/>
      <c r="R6259"/>
      <c r="W6259" s="4"/>
      <c r="X6259" s="4"/>
      <c r="Y6259" s="4"/>
    </row>
    <row r="6260" spans="5:25">
      <c r="E6260"/>
      <c r="G6260"/>
      <c r="H6260"/>
      <c r="I6260"/>
      <c r="K6260"/>
      <c r="O6260"/>
      <c r="R6260"/>
      <c r="W6260" s="4"/>
      <c r="X6260" s="4"/>
      <c r="Y6260" s="4"/>
    </row>
    <row r="6261" spans="5:25">
      <c r="E6261"/>
      <c r="G6261"/>
      <c r="H6261"/>
      <c r="I6261"/>
      <c r="K6261"/>
      <c r="O6261"/>
      <c r="R6261"/>
      <c r="W6261" s="4"/>
      <c r="X6261" s="4"/>
      <c r="Y6261" s="4"/>
    </row>
    <row r="6262" spans="5:25">
      <c r="E6262"/>
      <c r="G6262"/>
      <c r="H6262"/>
      <c r="I6262"/>
      <c r="K6262"/>
      <c r="O6262"/>
      <c r="R6262"/>
      <c r="W6262" s="4"/>
      <c r="X6262" s="4"/>
      <c r="Y6262" s="4"/>
    </row>
    <row r="6263" spans="5:25">
      <c r="E6263"/>
      <c r="G6263"/>
      <c r="H6263"/>
      <c r="I6263"/>
      <c r="K6263"/>
      <c r="O6263"/>
      <c r="R6263"/>
      <c r="W6263" s="4"/>
      <c r="X6263" s="4"/>
      <c r="Y6263" s="4"/>
    </row>
    <row r="6264" spans="5:25">
      <c r="E6264"/>
      <c r="G6264"/>
      <c r="H6264"/>
      <c r="I6264"/>
      <c r="K6264"/>
      <c r="O6264"/>
      <c r="R6264"/>
      <c r="W6264" s="4"/>
      <c r="X6264" s="4"/>
      <c r="Y6264" s="4"/>
    </row>
    <row r="6265" spans="5:25">
      <c r="E6265"/>
      <c r="G6265"/>
      <c r="H6265"/>
      <c r="I6265"/>
      <c r="K6265"/>
      <c r="O6265"/>
      <c r="R6265"/>
      <c r="W6265" s="4"/>
      <c r="X6265" s="4"/>
      <c r="Y6265" s="4"/>
    </row>
    <row r="6266" spans="5:25">
      <c r="E6266"/>
      <c r="G6266"/>
      <c r="H6266"/>
      <c r="I6266"/>
      <c r="K6266"/>
      <c r="O6266"/>
      <c r="R6266"/>
      <c r="W6266" s="4"/>
      <c r="X6266" s="4"/>
      <c r="Y6266" s="4"/>
    </row>
    <row r="6267" spans="5:25">
      <c r="E6267"/>
      <c r="G6267"/>
      <c r="H6267"/>
      <c r="I6267"/>
      <c r="K6267"/>
      <c r="O6267"/>
      <c r="R6267"/>
      <c r="W6267" s="4"/>
      <c r="X6267" s="4"/>
      <c r="Y6267" s="4"/>
    </row>
    <row r="6268" spans="5:25">
      <c r="E6268"/>
      <c r="G6268"/>
      <c r="H6268"/>
      <c r="I6268"/>
      <c r="K6268"/>
      <c r="O6268"/>
      <c r="R6268"/>
      <c r="W6268" s="4"/>
      <c r="X6268" s="4"/>
      <c r="Y6268" s="4"/>
    </row>
    <row r="6269" spans="5:25">
      <c r="E6269"/>
      <c r="G6269"/>
      <c r="H6269"/>
      <c r="I6269"/>
      <c r="K6269"/>
      <c r="O6269"/>
      <c r="R6269"/>
      <c r="W6269" s="4"/>
      <c r="X6269" s="4"/>
      <c r="Y6269" s="4"/>
    </row>
    <row r="6270" spans="5:25">
      <c r="E6270"/>
      <c r="G6270"/>
      <c r="H6270"/>
      <c r="I6270"/>
      <c r="K6270"/>
      <c r="O6270"/>
      <c r="R6270"/>
      <c r="W6270" s="4"/>
      <c r="X6270" s="4"/>
      <c r="Y6270" s="4"/>
    </row>
    <row r="6271" spans="5:25">
      <c r="E6271"/>
      <c r="G6271"/>
      <c r="H6271"/>
      <c r="I6271"/>
      <c r="K6271"/>
      <c r="O6271"/>
      <c r="R6271"/>
      <c r="W6271" s="4"/>
      <c r="X6271" s="4"/>
      <c r="Y6271" s="4"/>
    </row>
    <row r="6272" spans="5:25">
      <c r="E6272"/>
      <c r="G6272"/>
      <c r="H6272"/>
      <c r="I6272"/>
      <c r="K6272"/>
      <c r="O6272"/>
      <c r="R6272"/>
      <c r="W6272" s="4"/>
      <c r="X6272" s="4"/>
      <c r="Y6272" s="4"/>
    </row>
    <row r="6273" spans="5:25">
      <c r="E6273"/>
      <c r="G6273"/>
      <c r="H6273"/>
      <c r="I6273"/>
      <c r="K6273"/>
      <c r="O6273"/>
      <c r="R6273"/>
      <c r="W6273" s="4"/>
      <c r="X6273" s="4"/>
      <c r="Y6273" s="4"/>
    </row>
    <row r="6274" spans="5:25">
      <c r="E6274"/>
      <c r="G6274"/>
      <c r="H6274"/>
      <c r="I6274"/>
      <c r="K6274"/>
      <c r="O6274"/>
      <c r="R6274"/>
      <c r="W6274" s="4"/>
      <c r="X6274" s="4"/>
      <c r="Y6274" s="4"/>
    </row>
    <row r="6275" spans="5:25">
      <c r="E6275"/>
      <c r="G6275"/>
      <c r="H6275"/>
      <c r="I6275"/>
      <c r="K6275"/>
      <c r="O6275"/>
      <c r="R6275"/>
      <c r="W6275" s="4"/>
      <c r="X6275" s="4"/>
      <c r="Y6275" s="4"/>
    </row>
    <row r="6276" spans="5:25">
      <c r="E6276"/>
      <c r="G6276"/>
      <c r="H6276"/>
      <c r="I6276"/>
      <c r="K6276"/>
      <c r="O6276"/>
      <c r="R6276"/>
      <c r="W6276" s="4"/>
      <c r="X6276" s="4"/>
      <c r="Y6276" s="4"/>
    </row>
    <row r="6277" spans="5:25">
      <c r="E6277"/>
      <c r="G6277"/>
      <c r="H6277"/>
      <c r="I6277"/>
      <c r="K6277"/>
      <c r="O6277"/>
      <c r="R6277"/>
      <c r="W6277" s="4"/>
      <c r="X6277" s="4"/>
      <c r="Y6277" s="4"/>
    </row>
    <row r="6278" spans="5:25">
      <c r="E6278"/>
      <c r="G6278"/>
      <c r="H6278"/>
      <c r="I6278"/>
      <c r="K6278"/>
      <c r="O6278"/>
      <c r="R6278"/>
      <c r="W6278" s="4"/>
      <c r="X6278" s="4"/>
      <c r="Y6278" s="4"/>
    </row>
    <row r="6279" spans="5:25">
      <c r="E6279"/>
      <c r="G6279"/>
      <c r="H6279"/>
      <c r="I6279"/>
      <c r="K6279"/>
      <c r="O6279"/>
      <c r="R6279"/>
      <c r="W6279" s="4"/>
      <c r="X6279" s="4"/>
      <c r="Y6279" s="4"/>
    </row>
    <row r="6280" spans="5:25">
      <c r="E6280"/>
      <c r="G6280"/>
      <c r="H6280"/>
      <c r="I6280"/>
      <c r="K6280"/>
      <c r="O6280"/>
      <c r="R6280"/>
      <c r="W6280" s="4"/>
      <c r="X6280" s="4"/>
      <c r="Y6280" s="4"/>
    </row>
    <row r="6281" spans="5:25">
      <c r="E6281"/>
      <c r="G6281"/>
      <c r="H6281"/>
      <c r="I6281"/>
      <c r="K6281"/>
      <c r="O6281"/>
      <c r="R6281"/>
      <c r="W6281" s="4"/>
      <c r="X6281" s="4"/>
      <c r="Y6281" s="4"/>
    </row>
    <row r="6282" spans="5:25">
      <c r="E6282"/>
      <c r="G6282"/>
      <c r="H6282"/>
      <c r="I6282"/>
      <c r="K6282"/>
      <c r="O6282"/>
      <c r="R6282"/>
      <c r="W6282" s="4"/>
      <c r="X6282" s="4"/>
      <c r="Y6282" s="4"/>
    </row>
    <row r="6283" spans="5:25">
      <c r="E6283"/>
      <c r="G6283"/>
      <c r="H6283"/>
      <c r="I6283"/>
      <c r="K6283"/>
      <c r="O6283"/>
      <c r="R6283"/>
      <c r="W6283" s="4"/>
      <c r="X6283" s="4"/>
      <c r="Y6283" s="4"/>
    </row>
    <row r="6284" spans="5:25">
      <c r="E6284"/>
      <c r="G6284"/>
      <c r="H6284"/>
      <c r="I6284"/>
      <c r="K6284"/>
      <c r="O6284"/>
      <c r="R6284"/>
      <c r="W6284" s="4"/>
      <c r="X6284" s="4"/>
      <c r="Y6284" s="4"/>
    </row>
    <row r="6285" spans="5:25">
      <c r="E6285"/>
      <c r="G6285"/>
      <c r="H6285"/>
      <c r="I6285"/>
      <c r="K6285"/>
      <c r="O6285"/>
      <c r="R6285"/>
      <c r="W6285" s="4"/>
      <c r="X6285" s="4"/>
      <c r="Y6285" s="4"/>
    </row>
    <row r="6286" spans="5:25">
      <c r="E6286"/>
      <c r="G6286"/>
      <c r="H6286"/>
      <c r="I6286"/>
      <c r="K6286"/>
      <c r="O6286"/>
      <c r="R6286"/>
      <c r="W6286" s="4"/>
      <c r="X6286" s="4"/>
      <c r="Y6286" s="4"/>
    </row>
    <row r="6287" spans="5:25">
      <c r="E6287"/>
      <c r="G6287"/>
      <c r="H6287"/>
      <c r="I6287"/>
      <c r="K6287"/>
      <c r="O6287"/>
      <c r="R6287"/>
      <c r="W6287" s="4"/>
      <c r="X6287" s="4"/>
      <c r="Y6287" s="4"/>
    </row>
    <row r="6288" spans="5:25">
      <c r="E6288"/>
      <c r="G6288"/>
      <c r="H6288"/>
      <c r="I6288"/>
      <c r="K6288"/>
      <c r="O6288"/>
      <c r="R6288"/>
      <c r="W6288" s="4"/>
      <c r="X6288" s="4"/>
      <c r="Y6288" s="4"/>
    </row>
    <row r="6289" spans="5:25">
      <c r="E6289"/>
      <c r="G6289"/>
      <c r="H6289"/>
      <c r="I6289"/>
      <c r="K6289"/>
      <c r="O6289"/>
      <c r="R6289"/>
      <c r="W6289" s="4"/>
      <c r="X6289" s="4"/>
      <c r="Y6289" s="4"/>
    </row>
    <row r="6290" spans="5:25">
      <c r="E6290"/>
      <c r="G6290"/>
      <c r="H6290"/>
      <c r="I6290"/>
      <c r="K6290"/>
      <c r="O6290"/>
      <c r="R6290"/>
      <c r="W6290" s="4"/>
      <c r="X6290" s="4"/>
      <c r="Y6290" s="4"/>
    </row>
    <row r="6291" spans="5:25">
      <c r="E6291"/>
      <c r="G6291"/>
      <c r="H6291"/>
      <c r="I6291"/>
      <c r="K6291"/>
      <c r="O6291"/>
      <c r="R6291"/>
      <c r="W6291" s="4"/>
      <c r="X6291" s="4"/>
      <c r="Y6291" s="4"/>
    </row>
    <row r="6292" spans="5:25">
      <c r="E6292"/>
      <c r="G6292"/>
      <c r="H6292"/>
      <c r="I6292"/>
      <c r="K6292"/>
      <c r="O6292"/>
      <c r="R6292"/>
      <c r="W6292" s="4"/>
      <c r="X6292" s="4"/>
      <c r="Y6292" s="4"/>
    </row>
    <row r="6293" spans="5:25">
      <c r="E6293"/>
      <c r="G6293"/>
      <c r="H6293"/>
      <c r="I6293"/>
      <c r="K6293"/>
      <c r="O6293"/>
      <c r="R6293"/>
      <c r="W6293" s="4"/>
      <c r="X6293" s="4"/>
      <c r="Y6293" s="4"/>
    </row>
    <row r="6294" spans="5:25">
      <c r="E6294"/>
      <c r="G6294"/>
      <c r="H6294"/>
      <c r="I6294"/>
      <c r="K6294"/>
      <c r="O6294"/>
      <c r="R6294"/>
      <c r="W6294" s="4"/>
      <c r="X6294" s="4"/>
      <c r="Y6294" s="4"/>
    </row>
    <row r="6295" spans="5:25">
      <c r="E6295"/>
      <c r="G6295"/>
      <c r="H6295"/>
      <c r="I6295"/>
      <c r="K6295"/>
      <c r="O6295"/>
      <c r="R6295"/>
      <c r="W6295" s="4"/>
      <c r="X6295" s="4"/>
      <c r="Y6295" s="4"/>
    </row>
    <row r="6296" spans="5:25">
      <c r="E6296"/>
      <c r="G6296"/>
      <c r="H6296"/>
      <c r="I6296"/>
      <c r="K6296"/>
      <c r="O6296"/>
      <c r="R6296"/>
      <c r="W6296" s="4"/>
      <c r="X6296" s="4"/>
      <c r="Y6296" s="4"/>
    </row>
    <row r="6297" spans="5:25">
      <c r="E6297"/>
      <c r="G6297"/>
      <c r="H6297"/>
      <c r="I6297"/>
      <c r="K6297"/>
      <c r="O6297"/>
      <c r="R6297"/>
      <c r="W6297" s="4"/>
      <c r="X6297" s="4"/>
      <c r="Y6297" s="4"/>
    </row>
    <row r="6298" spans="5:25">
      <c r="E6298"/>
      <c r="G6298"/>
      <c r="H6298"/>
      <c r="I6298"/>
      <c r="K6298"/>
      <c r="O6298"/>
      <c r="R6298"/>
      <c r="W6298" s="4"/>
      <c r="X6298" s="4"/>
      <c r="Y6298" s="4"/>
    </row>
    <row r="6299" spans="5:25">
      <c r="E6299"/>
      <c r="G6299"/>
      <c r="H6299"/>
      <c r="I6299"/>
      <c r="K6299"/>
      <c r="O6299"/>
      <c r="R6299"/>
      <c r="W6299" s="4"/>
      <c r="X6299" s="4"/>
      <c r="Y6299" s="4"/>
    </row>
    <row r="6300" spans="5:25">
      <c r="E6300"/>
      <c r="G6300"/>
      <c r="H6300"/>
      <c r="I6300"/>
      <c r="K6300"/>
      <c r="O6300"/>
      <c r="R6300"/>
      <c r="W6300" s="4"/>
      <c r="X6300" s="4"/>
      <c r="Y6300" s="4"/>
    </row>
    <row r="6301" spans="5:25">
      <c r="E6301"/>
      <c r="G6301"/>
      <c r="H6301"/>
      <c r="I6301"/>
      <c r="K6301"/>
      <c r="O6301"/>
      <c r="R6301"/>
      <c r="W6301" s="4"/>
      <c r="X6301" s="4"/>
      <c r="Y6301" s="4"/>
    </row>
    <row r="6302" spans="5:25">
      <c r="E6302"/>
      <c r="G6302"/>
      <c r="H6302"/>
      <c r="I6302"/>
      <c r="K6302"/>
      <c r="O6302"/>
      <c r="R6302"/>
      <c r="W6302" s="4"/>
      <c r="X6302" s="4"/>
      <c r="Y6302" s="4"/>
    </row>
    <row r="6303" spans="5:25">
      <c r="E6303"/>
      <c r="G6303"/>
      <c r="H6303"/>
      <c r="I6303"/>
      <c r="K6303"/>
      <c r="O6303"/>
      <c r="R6303"/>
      <c r="W6303" s="4"/>
      <c r="X6303" s="4"/>
      <c r="Y6303" s="4"/>
    </row>
    <row r="6304" spans="5:25">
      <c r="E6304"/>
      <c r="G6304"/>
      <c r="H6304"/>
      <c r="I6304"/>
      <c r="K6304"/>
      <c r="O6304"/>
      <c r="R6304"/>
      <c r="W6304" s="4"/>
      <c r="X6304" s="4"/>
      <c r="Y6304" s="4"/>
    </row>
    <row r="6305" spans="5:25">
      <c r="E6305"/>
      <c r="G6305"/>
      <c r="H6305"/>
      <c r="I6305"/>
      <c r="K6305"/>
      <c r="O6305"/>
      <c r="R6305"/>
      <c r="W6305" s="4"/>
      <c r="X6305" s="4"/>
      <c r="Y6305" s="4"/>
    </row>
    <row r="6306" spans="5:25">
      <c r="E6306"/>
      <c r="G6306"/>
      <c r="H6306"/>
      <c r="I6306"/>
      <c r="K6306"/>
      <c r="O6306"/>
      <c r="R6306"/>
      <c r="W6306" s="4"/>
      <c r="X6306" s="4"/>
      <c r="Y6306" s="4"/>
    </row>
    <row r="6307" spans="5:25">
      <c r="E6307"/>
      <c r="G6307"/>
      <c r="H6307"/>
      <c r="I6307"/>
      <c r="K6307"/>
      <c r="O6307"/>
      <c r="R6307"/>
      <c r="W6307" s="4"/>
      <c r="X6307" s="4"/>
      <c r="Y6307" s="4"/>
    </row>
    <row r="6308" spans="5:25">
      <c r="E6308"/>
      <c r="G6308"/>
      <c r="H6308"/>
      <c r="I6308"/>
      <c r="K6308"/>
      <c r="O6308"/>
      <c r="R6308"/>
      <c r="W6308" s="4"/>
      <c r="X6308" s="4"/>
      <c r="Y6308" s="4"/>
    </row>
    <row r="6309" spans="5:25">
      <c r="E6309"/>
      <c r="G6309"/>
      <c r="H6309"/>
      <c r="I6309"/>
      <c r="K6309"/>
      <c r="O6309"/>
      <c r="R6309"/>
      <c r="W6309" s="4"/>
      <c r="X6309" s="4"/>
      <c r="Y6309" s="4"/>
    </row>
    <row r="6310" spans="5:25">
      <c r="E6310"/>
      <c r="G6310"/>
      <c r="H6310"/>
      <c r="I6310"/>
      <c r="K6310"/>
      <c r="O6310"/>
      <c r="R6310"/>
      <c r="W6310" s="4"/>
      <c r="X6310" s="4"/>
      <c r="Y6310" s="4"/>
    </row>
    <row r="6311" spans="5:25">
      <c r="E6311"/>
      <c r="G6311"/>
      <c r="H6311"/>
      <c r="I6311"/>
      <c r="K6311"/>
      <c r="O6311"/>
      <c r="R6311"/>
      <c r="W6311" s="4"/>
      <c r="X6311" s="4"/>
      <c r="Y6311" s="4"/>
    </row>
    <row r="6312" spans="5:25">
      <c r="E6312"/>
      <c r="G6312"/>
      <c r="H6312"/>
      <c r="I6312"/>
      <c r="K6312"/>
      <c r="O6312"/>
      <c r="R6312"/>
      <c r="W6312" s="4"/>
      <c r="X6312" s="4"/>
      <c r="Y6312" s="4"/>
    </row>
    <row r="6313" spans="5:25">
      <c r="E6313"/>
      <c r="G6313"/>
      <c r="H6313"/>
      <c r="I6313"/>
      <c r="K6313"/>
      <c r="O6313"/>
      <c r="R6313"/>
      <c r="W6313" s="4"/>
      <c r="X6313" s="4"/>
      <c r="Y6313" s="4"/>
    </row>
    <row r="6314" spans="5:25">
      <c r="E6314"/>
      <c r="G6314"/>
      <c r="H6314"/>
      <c r="I6314"/>
      <c r="K6314"/>
      <c r="O6314"/>
      <c r="R6314"/>
      <c r="W6314" s="4"/>
      <c r="X6314" s="4"/>
      <c r="Y6314" s="4"/>
    </row>
    <row r="6315" spans="5:25">
      <c r="E6315"/>
      <c r="G6315"/>
      <c r="H6315"/>
      <c r="I6315"/>
      <c r="K6315"/>
      <c r="O6315"/>
      <c r="R6315"/>
      <c r="W6315" s="4"/>
      <c r="X6315" s="4"/>
      <c r="Y6315" s="4"/>
    </row>
    <row r="6316" spans="5:25">
      <c r="E6316"/>
      <c r="G6316"/>
      <c r="H6316"/>
      <c r="I6316"/>
      <c r="K6316"/>
      <c r="O6316"/>
      <c r="R6316"/>
      <c r="W6316" s="4"/>
      <c r="X6316" s="4"/>
      <c r="Y6316" s="4"/>
    </row>
    <row r="6317" spans="5:25">
      <c r="E6317"/>
      <c r="G6317"/>
      <c r="H6317"/>
      <c r="I6317"/>
      <c r="K6317"/>
      <c r="O6317"/>
      <c r="R6317"/>
      <c r="W6317" s="4"/>
      <c r="X6317" s="4"/>
      <c r="Y6317" s="4"/>
    </row>
    <row r="6318" spans="5:25">
      <c r="E6318"/>
      <c r="G6318"/>
      <c r="H6318"/>
      <c r="I6318"/>
      <c r="K6318"/>
      <c r="O6318"/>
      <c r="R6318"/>
      <c r="W6318" s="4"/>
      <c r="X6318" s="4"/>
      <c r="Y6318" s="4"/>
    </row>
    <row r="6319" spans="5:25">
      <c r="E6319"/>
      <c r="G6319"/>
      <c r="H6319"/>
      <c r="I6319"/>
      <c r="K6319"/>
      <c r="O6319"/>
      <c r="R6319"/>
      <c r="W6319" s="4"/>
      <c r="X6319" s="4"/>
      <c r="Y6319" s="4"/>
    </row>
    <row r="6320" spans="5:25">
      <c r="E6320"/>
      <c r="G6320"/>
      <c r="H6320"/>
      <c r="I6320"/>
      <c r="K6320"/>
      <c r="O6320"/>
      <c r="R6320"/>
      <c r="W6320" s="4"/>
      <c r="X6320" s="4"/>
      <c r="Y6320" s="4"/>
    </row>
    <row r="6321" spans="5:25">
      <c r="E6321"/>
      <c r="G6321"/>
      <c r="H6321"/>
      <c r="I6321"/>
      <c r="K6321"/>
      <c r="O6321"/>
      <c r="R6321"/>
      <c r="W6321" s="4"/>
      <c r="X6321" s="4"/>
      <c r="Y6321" s="4"/>
    </row>
    <row r="6322" spans="5:25">
      <c r="E6322"/>
      <c r="G6322"/>
      <c r="H6322"/>
      <c r="I6322"/>
      <c r="K6322"/>
      <c r="O6322"/>
      <c r="R6322"/>
      <c r="W6322" s="4"/>
      <c r="X6322" s="4"/>
      <c r="Y6322" s="4"/>
    </row>
    <row r="6323" spans="5:25">
      <c r="E6323"/>
      <c r="G6323"/>
      <c r="H6323"/>
      <c r="I6323"/>
      <c r="K6323"/>
      <c r="O6323"/>
      <c r="R6323"/>
      <c r="W6323" s="4"/>
      <c r="X6323" s="4"/>
      <c r="Y6323" s="4"/>
    </row>
    <row r="6324" spans="5:25">
      <c r="E6324"/>
      <c r="G6324"/>
      <c r="H6324"/>
      <c r="I6324"/>
      <c r="K6324"/>
      <c r="O6324"/>
      <c r="R6324"/>
      <c r="W6324" s="4"/>
      <c r="X6324" s="4"/>
      <c r="Y6324" s="4"/>
    </row>
    <row r="6325" spans="5:25">
      <c r="E6325"/>
      <c r="G6325"/>
      <c r="H6325"/>
      <c r="I6325"/>
      <c r="K6325"/>
      <c r="O6325"/>
      <c r="R6325"/>
      <c r="W6325" s="4"/>
      <c r="X6325" s="4"/>
      <c r="Y6325" s="4"/>
    </row>
    <row r="6326" spans="5:25">
      <c r="E6326"/>
      <c r="G6326"/>
      <c r="H6326"/>
      <c r="I6326"/>
      <c r="K6326"/>
      <c r="O6326"/>
      <c r="R6326"/>
      <c r="W6326" s="4"/>
      <c r="X6326" s="4"/>
      <c r="Y6326" s="4"/>
    </row>
    <row r="6327" spans="5:25">
      <c r="E6327"/>
      <c r="G6327"/>
      <c r="H6327"/>
      <c r="I6327"/>
      <c r="K6327"/>
      <c r="O6327"/>
      <c r="R6327"/>
      <c r="W6327" s="4"/>
      <c r="X6327" s="4"/>
      <c r="Y6327" s="4"/>
    </row>
    <row r="6328" spans="5:25">
      <c r="E6328"/>
      <c r="G6328"/>
      <c r="H6328"/>
      <c r="I6328"/>
      <c r="K6328"/>
      <c r="O6328"/>
      <c r="R6328"/>
      <c r="W6328" s="4"/>
      <c r="X6328" s="4"/>
      <c r="Y6328" s="4"/>
    </row>
    <row r="6329" spans="5:25">
      <c r="E6329"/>
      <c r="G6329"/>
      <c r="H6329"/>
      <c r="I6329"/>
      <c r="K6329"/>
      <c r="O6329"/>
      <c r="R6329"/>
      <c r="W6329" s="4"/>
      <c r="X6329" s="4"/>
      <c r="Y6329" s="4"/>
    </row>
    <row r="6330" spans="5:25">
      <c r="E6330"/>
      <c r="G6330"/>
      <c r="H6330"/>
      <c r="I6330"/>
      <c r="K6330"/>
      <c r="O6330"/>
      <c r="R6330"/>
      <c r="W6330" s="4"/>
      <c r="X6330" s="4"/>
      <c r="Y6330" s="4"/>
    </row>
    <row r="6331" spans="5:25">
      <c r="E6331"/>
      <c r="G6331"/>
      <c r="H6331"/>
      <c r="I6331"/>
      <c r="K6331"/>
      <c r="O6331"/>
      <c r="R6331"/>
      <c r="W6331" s="4"/>
      <c r="X6331" s="4"/>
      <c r="Y6331" s="4"/>
    </row>
    <row r="6332" spans="5:25">
      <c r="E6332"/>
      <c r="G6332"/>
      <c r="H6332"/>
      <c r="I6332"/>
      <c r="K6332"/>
      <c r="O6332"/>
      <c r="R6332"/>
      <c r="W6332" s="4"/>
      <c r="X6332" s="4"/>
      <c r="Y6332" s="4"/>
    </row>
    <row r="6333" spans="5:25">
      <c r="E6333"/>
      <c r="G6333"/>
      <c r="H6333"/>
      <c r="I6333"/>
      <c r="K6333"/>
      <c r="O6333"/>
      <c r="R6333"/>
      <c r="W6333" s="4"/>
      <c r="X6333" s="4"/>
      <c r="Y6333" s="4"/>
    </row>
    <row r="6334" spans="5:25">
      <c r="E6334"/>
      <c r="G6334"/>
      <c r="H6334"/>
      <c r="I6334"/>
      <c r="K6334"/>
      <c r="O6334"/>
      <c r="R6334"/>
      <c r="W6334" s="4"/>
      <c r="X6334" s="4"/>
      <c r="Y6334" s="4"/>
    </row>
    <row r="6335" spans="5:25">
      <c r="E6335"/>
      <c r="G6335"/>
      <c r="H6335"/>
      <c r="I6335"/>
      <c r="K6335"/>
      <c r="O6335"/>
      <c r="R6335"/>
      <c r="W6335" s="4"/>
      <c r="X6335" s="4"/>
      <c r="Y6335" s="4"/>
    </row>
    <row r="6336" spans="5:25">
      <c r="E6336"/>
      <c r="G6336"/>
      <c r="H6336"/>
      <c r="I6336"/>
      <c r="K6336"/>
      <c r="O6336"/>
      <c r="R6336"/>
      <c r="W6336" s="4"/>
      <c r="X6336" s="4"/>
      <c r="Y6336" s="4"/>
    </row>
    <row r="6337" spans="5:25">
      <c r="E6337"/>
      <c r="G6337"/>
      <c r="H6337"/>
      <c r="I6337"/>
      <c r="K6337"/>
      <c r="O6337"/>
      <c r="R6337"/>
      <c r="W6337" s="4"/>
      <c r="X6337" s="4"/>
      <c r="Y6337" s="4"/>
    </row>
    <row r="6338" spans="5:25">
      <c r="E6338"/>
      <c r="G6338"/>
      <c r="H6338"/>
      <c r="I6338"/>
      <c r="K6338"/>
      <c r="O6338"/>
      <c r="R6338"/>
      <c r="W6338" s="4"/>
      <c r="X6338" s="4"/>
      <c r="Y6338" s="4"/>
    </row>
    <row r="6339" spans="5:25">
      <c r="E6339"/>
      <c r="G6339"/>
      <c r="H6339"/>
      <c r="I6339"/>
      <c r="K6339"/>
      <c r="O6339"/>
      <c r="R6339"/>
      <c r="W6339" s="4"/>
      <c r="X6339" s="4"/>
      <c r="Y6339" s="4"/>
    </row>
    <row r="6340" spans="5:25">
      <c r="E6340"/>
      <c r="G6340"/>
      <c r="H6340"/>
      <c r="I6340"/>
      <c r="K6340"/>
      <c r="O6340"/>
      <c r="R6340"/>
      <c r="W6340" s="4"/>
      <c r="X6340" s="4"/>
      <c r="Y6340" s="4"/>
    </row>
    <row r="6341" spans="5:25">
      <c r="E6341"/>
      <c r="G6341"/>
      <c r="H6341"/>
      <c r="I6341"/>
      <c r="K6341"/>
      <c r="O6341"/>
      <c r="R6341"/>
      <c r="W6341" s="4"/>
      <c r="X6341" s="4"/>
      <c r="Y6341" s="4"/>
    </row>
    <row r="6342" spans="5:25">
      <c r="E6342"/>
      <c r="G6342"/>
      <c r="H6342"/>
      <c r="I6342"/>
      <c r="K6342"/>
      <c r="O6342"/>
      <c r="R6342"/>
      <c r="W6342" s="4"/>
      <c r="X6342" s="4"/>
      <c r="Y6342" s="4"/>
    </row>
    <row r="6343" spans="5:25">
      <c r="E6343"/>
      <c r="G6343"/>
      <c r="H6343"/>
      <c r="I6343"/>
      <c r="K6343"/>
      <c r="O6343"/>
      <c r="R6343"/>
      <c r="W6343" s="4"/>
      <c r="X6343" s="4"/>
      <c r="Y6343" s="4"/>
    </row>
    <row r="6344" spans="5:25">
      <c r="E6344"/>
      <c r="G6344"/>
      <c r="H6344"/>
      <c r="I6344"/>
      <c r="K6344"/>
      <c r="O6344"/>
      <c r="R6344"/>
      <c r="W6344" s="4"/>
      <c r="X6344" s="4"/>
      <c r="Y6344" s="4"/>
    </row>
    <row r="6345" spans="5:25">
      <c r="E6345"/>
      <c r="G6345"/>
      <c r="H6345"/>
      <c r="I6345"/>
      <c r="K6345"/>
      <c r="O6345"/>
      <c r="R6345"/>
      <c r="W6345" s="4"/>
      <c r="X6345" s="4"/>
      <c r="Y6345" s="4"/>
    </row>
    <row r="6346" spans="5:25">
      <c r="E6346"/>
      <c r="G6346"/>
      <c r="H6346"/>
      <c r="I6346"/>
      <c r="K6346"/>
      <c r="O6346"/>
      <c r="R6346"/>
      <c r="W6346" s="4"/>
      <c r="X6346" s="4"/>
      <c r="Y6346" s="4"/>
    </row>
    <row r="6347" spans="5:25">
      <c r="E6347"/>
      <c r="G6347"/>
      <c r="H6347"/>
      <c r="I6347"/>
      <c r="K6347"/>
      <c r="O6347"/>
      <c r="R6347"/>
      <c r="W6347" s="4"/>
      <c r="X6347" s="4"/>
      <c r="Y6347" s="4"/>
    </row>
    <row r="6348" spans="5:25">
      <c r="E6348"/>
      <c r="G6348"/>
      <c r="H6348"/>
      <c r="I6348"/>
      <c r="K6348"/>
      <c r="O6348"/>
      <c r="R6348"/>
      <c r="W6348" s="4"/>
      <c r="X6348" s="4"/>
      <c r="Y6348" s="4"/>
    </row>
    <row r="6349" spans="5:25">
      <c r="E6349"/>
      <c r="G6349"/>
      <c r="H6349"/>
      <c r="I6349"/>
      <c r="K6349"/>
      <c r="O6349"/>
      <c r="R6349"/>
      <c r="W6349" s="4"/>
      <c r="X6349" s="4"/>
      <c r="Y6349" s="4"/>
    </row>
    <row r="6350" spans="5:25">
      <c r="E6350"/>
      <c r="G6350"/>
      <c r="H6350"/>
      <c r="I6350"/>
      <c r="K6350"/>
      <c r="O6350"/>
      <c r="R6350"/>
      <c r="W6350" s="4"/>
      <c r="X6350" s="4"/>
      <c r="Y6350" s="4"/>
    </row>
    <row r="6351" spans="5:25">
      <c r="E6351"/>
      <c r="G6351"/>
      <c r="H6351"/>
      <c r="I6351"/>
      <c r="K6351"/>
      <c r="O6351"/>
      <c r="R6351"/>
      <c r="W6351" s="4"/>
      <c r="X6351" s="4"/>
      <c r="Y6351" s="4"/>
    </row>
    <row r="6352" spans="5:25">
      <c r="E6352"/>
      <c r="G6352"/>
      <c r="H6352"/>
      <c r="I6352"/>
      <c r="K6352"/>
      <c r="O6352"/>
      <c r="R6352"/>
      <c r="W6352" s="4"/>
      <c r="X6352" s="4"/>
      <c r="Y6352" s="4"/>
    </row>
    <row r="6353" spans="5:25">
      <c r="E6353"/>
      <c r="G6353"/>
      <c r="H6353"/>
      <c r="I6353"/>
      <c r="K6353"/>
      <c r="O6353"/>
      <c r="R6353"/>
      <c r="W6353" s="4"/>
      <c r="X6353" s="4"/>
      <c r="Y6353" s="4"/>
    </row>
    <row r="6354" spans="5:25">
      <c r="E6354"/>
      <c r="G6354"/>
      <c r="H6354"/>
      <c r="I6354"/>
      <c r="K6354"/>
      <c r="O6354"/>
      <c r="R6354"/>
      <c r="W6354" s="4"/>
      <c r="X6354" s="4"/>
      <c r="Y6354" s="4"/>
    </row>
    <row r="6355" spans="5:25">
      <c r="E6355"/>
      <c r="G6355"/>
      <c r="H6355"/>
      <c r="I6355"/>
      <c r="K6355"/>
      <c r="O6355"/>
      <c r="R6355"/>
      <c r="W6355" s="4"/>
      <c r="X6355" s="4"/>
      <c r="Y6355" s="4"/>
    </row>
    <row r="6356" spans="5:25">
      <c r="E6356"/>
      <c r="G6356"/>
      <c r="H6356"/>
      <c r="I6356"/>
      <c r="K6356"/>
      <c r="O6356"/>
      <c r="R6356"/>
      <c r="W6356" s="4"/>
      <c r="X6356" s="4"/>
      <c r="Y6356" s="4"/>
    </row>
    <row r="6357" spans="5:25">
      <c r="E6357"/>
      <c r="G6357"/>
      <c r="H6357"/>
      <c r="I6357"/>
      <c r="K6357"/>
      <c r="O6357"/>
      <c r="R6357"/>
      <c r="W6357" s="4"/>
      <c r="X6357" s="4"/>
      <c r="Y6357" s="4"/>
    </row>
    <row r="6358" spans="5:25">
      <c r="E6358"/>
      <c r="G6358"/>
      <c r="H6358"/>
      <c r="I6358"/>
      <c r="K6358"/>
      <c r="O6358"/>
      <c r="R6358"/>
      <c r="W6358" s="4"/>
      <c r="X6358" s="4"/>
      <c r="Y6358" s="4"/>
    </row>
    <row r="6359" spans="5:25">
      <c r="E6359"/>
      <c r="G6359"/>
      <c r="H6359"/>
      <c r="I6359"/>
      <c r="K6359"/>
      <c r="O6359"/>
      <c r="R6359"/>
      <c r="W6359" s="4"/>
      <c r="X6359" s="4"/>
      <c r="Y6359" s="4"/>
    </row>
    <row r="6360" spans="5:25">
      <c r="E6360"/>
      <c r="G6360"/>
      <c r="H6360"/>
      <c r="I6360"/>
      <c r="K6360"/>
      <c r="O6360"/>
      <c r="R6360"/>
      <c r="W6360" s="4"/>
      <c r="X6360" s="4"/>
      <c r="Y6360" s="4"/>
    </row>
    <row r="6361" spans="5:25">
      <c r="E6361"/>
      <c r="G6361"/>
      <c r="H6361"/>
      <c r="I6361"/>
      <c r="K6361"/>
      <c r="O6361"/>
      <c r="R6361"/>
      <c r="W6361" s="4"/>
      <c r="X6361" s="4"/>
      <c r="Y6361" s="4"/>
    </row>
    <row r="6362" spans="5:25">
      <c r="E6362"/>
      <c r="G6362"/>
      <c r="H6362"/>
      <c r="I6362"/>
      <c r="K6362"/>
      <c r="O6362"/>
      <c r="R6362"/>
      <c r="W6362" s="4"/>
      <c r="X6362" s="4"/>
      <c r="Y6362" s="4"/>
    </row>
    <row r="6363" spans="5:25">
      <c r="E6363"/>
      <c r="G6363"/>
      <c r="H6363"/>
      <c r="I6363"/>
      <c r="K6363"/>
      <c r="O6363"/>
      <c r="R6363"/>
      <c r="W6363" s="4"/>
      <c r="X6363" s="4"/>
      <c r="Y6363" s="4"/>
    </row>
    <row r="6364" spans="5:25">
      <c r="E6364"/>
      <c r="G6364"/>
      <c r="H6364"/>
      <c r="I6364"/>
      <c r="K6364"/>
      <c r="O6364"/>
      <c r="R6364"/>
      <c r="W6364" s="4"/>
      <c r="X6364" s="4"/>
      <c r="Y6364" s="4"/>
    </row>
    <row r="6365" spans="5:25">
      <c r="E6365"/>
      <c r="G6365"/>
      <c r="H6365"/>
      <c r="I6365"/>
      <c r="K6365"/>
      <c r="O6365"/>
      <c r="R6365"/>
      <c r="W6365" s="4"/>
      <c r="X6365" s="4"/>
      <c r="Y6365" s="4"/>
    </row>
    <row r="6366" spans="5:25">
      <c r="E6366"/>
      <c r="G6366"/>
      <c r="H6366"/>
      <c r="I6366"/>
      <c r="K6366"/>
      <c r="O6366"/>
      <c r="R6366"/>
      <c r="W6366" s="4"/>
      <c r="X6366" s="4"/>
      <c r="Y6366" s="4"/>
    </row>
    <row r="6367" spans="5:25">
      <c r="E6367"/>
      <c r="G6367"/>
      <c r="H6367"/>
      <c r="I6367"/>
      <c r="K6367"/>
      <c r="O6367"/>
      <c r="R6367"/>
      <c r="W6367" s="4"/>
      <c r="X6367" s="4"/>
      <c r="Y6367" s="4"/>
    </row>
    <row r="6368" spans="5:25">
      <c r="E6368"/>
      <c r="G6368"/>
      <c r="H6368"/>
      <c r="I6368"/>
      <c r="K6368"/>
      <c r="O6368"/>
      <c r="R6368"/>
      <c r="W6368" s="4"/>
      <c r="X6368" s="4"/>
      <c r="Y6368" s="4"/>
    </row>
    <row r="6369" spans="5:25">
      <c r="E6369"/>
      <c r="G6369"/>
      <c r="H6369"/>
      <c r="I6369"/>
      <c r="K6369"/>
      <c r="O6369"/>
      <c r="R6369"/>
      <c r="W6369" s="4"/>
      <c r="X6369" s="4"/>
      <c r="Y6369" s="4"/>
    </row>
    <row r="6370" spans="5:25">
      <c r="E6370"/>
      <c r="G6370"/>
      <c r="H6370"/>
      <c r="I6370"/>
      <c r="K6370"/>
      <c r="O6370"/>
      <c r="R6370"/>
      <c r="W6370" s="4"/>
      <c r="X6370" s="4"/>
      <c r="Y6370" s="4"/>
    </row>
    <row r="6371" spans="5:25">
      <c r="E6371"/>
      <c r="G6371"/>
      <c r="H6371"/>
      <c r="I6371"/>
      <c r="K6371"/>
      <c r="O6371"/>
      <c r="R6371"/>
      <c r="W6371" s="4"/>
      <c r="X6371" s="4"/>
      <c r="Y6371" s="4"/>
    </row>
    <row r="6372" spans="5:25">
      <c r="E6372"/>
      <c r="G6372"/>
      <c r="H6372"/>
      <c r="I6372"/>
      <c r="K6372"/>
      <c r="O6372"/>
      <c r="R6372"/>
      <c r="W6372" s="4"/>
      <c r="X6372" s="4"/>
      <c r="Y6372" s="4"/>
    </row>
    <row r="6373" spans="5:25">
      <c r="E6373"/>
      <c r="G6373"/>
      <c r="H6373"/>
      <c r="I6373"/>
      <c r="K6373"/>
      <c r="O6373"/>
      <c r="R6373"/>
      <c r="W6373" s="4"/>
      <c r="X6373" s="4"/>
      <c r="Y6373" s="4"/>
    </row>
    <row r="6374" spans="5:25">
      <c r="E6374"/>
      <c r="G6374"/>
      <c r="H6374"/>
      <c r="I6374"/>
      <c r="K6374"/>
      <c r="O6374"/>
      <c r="R6374"/>
      <c r="W6374" s="4"/>
      <c r="X6374" s="4"/>
      <c r="Y6374" s="4"/>
    </row>
    <row r="6375" spans="5:25">
      <c r="E6375"/>
      <c r="G6375"/>
      <c r="H6375"/>
      <c r="I6375"/>
      <c r="K6375"/>
      <c r="O6375"/>
      <c r="R6375"/>
      <c r="W6375" s="4"/>
      <c r="X6375" s="4"/>
      <c r="Y6375" s="4"/>
    </row>
    <row r="6376" spans="5:25">
      <c r="E6376"/>
      <c r="G6376"/>
      <c r="H6376"/>
      <c r="I6376"/>
      <c r="K6376"/>
      <c r="O6376"/>
      <c r="R6376"/>
      <c r="W6376" s="4"/>
      <c r="X6376" s="4"/>
      <c r="Y6376" s="4"/>
    </row>
    <row r="6377" spans="5:25">
      <c r="E6377"/>
      <c r="G6377"/>
      <c r="H6377"/>
      <c r="I6377"/>
      <c r="K6377"/>
      <c r="O6377"/>
      <c r="R6377"/>
      <c r="W6377" s="4"/>
      <c r="X6377" s="4"/>
      <c r="Y6377" s="4"/>
    </row>
    <row r="6378" spans="5:25">
      <c r="E6378"/>
      <c r="G6378"/>
      <c r="H6378"/>
      <c r="I6378"/>
      <c r="K6378"/>
      <c r="O6378"/>
      <c r="R6378"/>
      <c r="W6378" s="4"/>
      <c r="X6378" s="4"/>
      <c r="Y6378" s="4"/>
    </row>
    <row r="6379" spans="5:25">
      <c r="E6379"/>
      <c r="G6379"/>
      <c r="H6379"/>
      <c r="I6379"/>
      <c r="K6379"/>
      <c r="O6379"/>
      <c r="R6379"/>
      <c r="W6379" s="4"/>
      <c r="X6379" s="4"/>
      <c r="Y6379" s="4"/>
    </row>
    <row r="6380" spans="5:25">
      <c r="E6380"/>
      <c r="G6380"/>
      <c r="H6380"/>
      <c r="I6380"/>
      <c r="K6380"/>
      <c r="O6380"/>
      <c r="R6380"/>
      <c r="W6380" s="4"/>
      <c r="X6380" s="4"/>
      <c r="Y6380" s="4"/>
    </row>
    <row r="6381" spans="5:25">
      <c r="E6381"/>
      <c r="G6381"/>
      <c r="H6381"/>
      <c r="I6381"/>
      <c r="K6381"/>
      <c r="O6381"/>
      <c r="R6381"/>
      <c r="W6381" s="4"/>
      <c r="X6381" s="4"/>
      <c r="Y6381" s="4"/>
    </row>
    <row r="6382" spans="5:25">
      <c r="E6382"/>
      <c r="G6382"/>
      <c r="H6382"/>
      <c r="I6382"/>
      <c r="K6382"/>
      <c r="O6382"/>
      <c r="R6382"/>
      <c r="W6382" s="4"/>
      <c r="X6382" s="4"/>
      <c r="Y6382" s="4"/>
    </row>
    <row r="6383" spans="5:25">
      <c r="E6383"/>
      <c r="G6383"/>
      <c r="H6383"/>
      <c r="I6383"/>
      <c r="K6383"/>
      <c r="O6383"/>
      <c r="R6383"/>
      <c r="W6383" s="4"/>
      <c r="X6383" s="4"/>
      <c r="Y6383" s="4"/>
    </row>
    <row r="6384" spans="5:25">
      <c r="E6384"/>
      <c r="G6384"/>
      <c r="H6384"/>
      <c r="I6384"/>
      <c r="K6384"/>
      <c r="O6384"/>
      <c r="R6384"/>
      <c r="W6384" s="4"/>
      <c r="X6384" s="4"/>
      <c r="Y6384" s="4"/>
    </row>
    <row r="6385" spans="5:25">
      <c r="E6385"/>
      <c r="G6385"/>
      <c r="H6385"/>
      <c r="I6385"/>
      <c r="K6385"/>
      <c r="O6385"/>
      <c r="R6385"/>
      <c r="W6385" s="4"/>
      <c r="X6385" s="4"/>
      <c r="Y6385" s="4"/>
    </row>
    <row r="6386" spans="5:25">
      <c r="E6386"/>
      <c r="G6386"/>
      <c r="H6386"/>
      <c r="I6386"/>
      <c r="K6386"/>
      <c r="O6386"/>
      <c r="R6386"/>
      <c r="W6386" s="4"/>
      <c r="X6386" s="4"/>
      <c r="Y6386" s="4"/>
    </row>
    <row r="6387" spans="5:25">
      <c r="E6387"/>
      <c r="G6387"/>
      <c r="H6387"/>
      <c r="I6387"/>
      <c r="K6387"/>
      <c r="O6387"/>
      <c r="R6387"/>
      <c r="W6387" s="4"/>
      <c r="X6387" s="4"/>
      <c r="Y6387" s="4"/>
    </row>
    <row r="6388" spans="5:25">
      <c r="E6388"/>
      <c r="G6388"/>
      <c r="H6388"/>
      <c r="I6388"/>
      <c r="K6388"/>
      <c r="O6388"/>
      <c r="R6388"/>
      <c r="W6388" s="4"/>
      <c r="X6388" s="4"/>
      <c r="Y6388" s="4"/>
    </row>
    <row r="6389" spans="5:25">
      <c r="E6389"/>
      <c r="G6389"/>
      <c r="H6389"/>
      <c r="I6389"/>
      <c r="K6389"/>
      <c r="O6389"/>
      <c r="R6389"/>
      <c r="W6389" s="4"/>
      <c r="X6389" s="4"/>
      <c r="Y6389" s="4"/>
    </row>
    <row r="6390" spans="5:25">
      <c r="E6390"/>
      <c r="G6390"/>
      <c r="H6390"/>
      <c r="I6390"/>
      <c r="K6390"/>
      <c r="O6390"/>
      <c r="R6390"/>
      <c r="W6390" s="4"/>
      <c r="X6390" s="4"/>
      <c r="Y6390" s="4"/>
    </row>
    <row r="6391" spans="5:25">
      <c r="E6391"/>
      <c r="G6391"/>
      <c r="H6391"/>
      <c r="I6391"/>
      <c r="K6391"/>
      <c r="O6391"/>
      <c r="R6391"/>
      <c r="W6391" s="4"/>
      <c r="X6391" s="4"/>
      <c r="Y6391" s="4"/>
    </row>
    <row r="6392" spans="5:25">
      <c r="E6392"/>
      <c r="G6392"/>
      <c r="H6392"/>
      <c r="I6392"/>
      <c r="K6392"/>
      <c r="O6392"/>
      <c r="R6392"/>
      <c r="W6392" s="4"/>
      <c r="X6392" s="4"/>
      <c r="Y6392" s="4"/>
    </row>
    <row r="6393" spans="5:25">
      <c r="E6393"/>
      <c r="G6393"/>
      <c r="H6393"/>
      <c r="I6393"/>
      <c r="K6393"/>
      <c r="O6393"/>
      <c r="R6393"/>
      <c r="W6393" s="4"/>
      <c r="X6393" s="4"/>
      <c r="Y6393" s="4"/>
    </row>
    <row r="6394" spans="5:25">
      <c r="E6394"/>
      <c r="G6394"/>
      <c r="H6394"/>
      <c r="I6394"/>
      <c r="K6394"/>
      <c r="O6394"/>
      <c r="R6394"/>
      <c r="W6394" s="4"/>
      <c r="X6394" s="4"/>
      <c r="Y6394" s="4"/>
    </row>
    <row r="6395" spans="5:25">
      <c r="E6395"/>
      <c r="G6395"/>
      <c r="H6395"/>
      <c r="I6395"/>
      <c r="K6395"/>
      <c r="O6395"/>
      <c r="R6395"/>
      <c r="W6395" s="4"/>
      <c r="X6395" s="4"/>
      <c r="Y6395" s="4"/>
    </row>
    <row r="6396" spans="5:25">
      <c r="E6396"/>
      <c r="G6396"/>
      <c r="H6396"/>
      <c r="I6396"/>
      <c r="K6396"/>
      <c r="O6396"/>
      <c r="R6396"/>
      <c r="W6396" s="4"/>
      <c r="X6396" s="4"/>
      <c r="Y6396" s="4"/>
    </row>
    <row r="6397" spans="5:25">
      <c r="E6397"/>
      <c r="G6397"/>
      <c r="H6397"/>
      <c r="I6397"/>
      <c r="K6397"/>
      <c r="O6397"/>
      <c r="R6397"/>
      <c r="W6397" s="4"/>
      <c r="X6397" s="4"/>
      <c r="Y6397" s="4"/>
    </row>
    <row r="6398" spans="5:25">
      <c r="E6398"/>
      <c r="G6398"/>
      <c r="H6398"/>
      <c r="I6398"/>
      <c r="K6398"/>
      <c r="O6398"/>
      <c r="R6398"/>
      <c r="W6398" s="4"/>
      <c r="X6398" s="4"/>
      <c r="Y6398" s="4"/>
    </row>
    <row r="6399" spans="5:25">
      <c r="E6399"/>
      <c r="G6399"/>
      <c r="H6399"/>
      <c r="I6399"/>
      <c r="K6399"/>
      <c r="O6399"/>
      <c r="R6399"/>
      <c r="W6399" s="4"/>
      <c r="X6399" s="4"/>
      <c r="Y6399" s="4"/>
    </row>
    <row r="6400" spans="5:25">
      <c r="E6400"/>
      <c r="G6400"/>
      <c r="H6400"/>
      <c r="I6400"/>
      <c r="K6400"/>
      <c r="O6400"/>
      <c r="R6400"/>
      <c r="W6400" s="4"/>
      <c r="X6400" s="4"/>
      <c r="Y6400" s="4"/>
    </row>
    <row r="6401" spans="5:25">
      <c r="E6401"/>
      <c r="G6401"/>
      <c r="H6401"/>
      <c r="I6401"/>
      <c r="K6401"/>
      <c r="O6401"/>
      <c r="R6401"/>
      <c r="W6401" s="4"/>
      <c r="X6401" s="4"/>
      <c r="Y6401" s="4"/>
    </row>
    <row r="6402" spans="5:25">
      <c r="E6402"/>
      <c r="G6402"/>
      <c r="H6402"/>
      <c r="I6402"/>
      <c r="K6402"/>
      <c r="O6402"/>
      <c r="R6402"/>
      <c r="W6402" s="4"/>
      <c r="X6402" s="4"/>
      <c r="Y6402" s="4"/>
    </row>
    <row r="6403" spans="5:25">
      <c r="E6403"/>
      <c r="G6403"/>
      <c r="H6403"/>
      <c r="I6403"/>
      <c r="K6403"/>
      <c r="O6403"/>
      <c r="R6403"/>
      <c r="W6403" s="4"/>
      <c r="X6403" s="4"/>
      <c r="Y6403" s="4"/>
    </row>
    <row r="6404" spans="5:25">
      <c r="E6404"/>
      <c r="G6404"/>
      <c r="H6404"/>
      <c r="I6404"/>
      <c r="K6404"/>
      <c r="O6404"/>
      <c r="R6404"/>
      <c r="W6404" s="4"/>
      <c r="X6404" s="4"/>
      <c r="Y6404" s="4"/>
    </row>
    <row r="6405" spans="5:25">
      <c r="E6405"/>
      <c r="G6405"/>
      <c r="H6405"/>
      <c r="I6405"/>
      <c r="K6405"/>
      <c r="O6405"/>
      <c r="R6405"/>
      <c r="W6405" s="4"/>
      <c r="X6405" s="4"/>
      <c r="Y6405" s="4"/>
    </row>
    <row r="6406" spans="5:25">
      <c r="E6406"/>
      <c r="G6406"/>
      <c r="H6406"/>
      <c r="I6406"/>
      <c r="K6406"/>
      <c r="O6406"/>
      <c r="R6406"/>
      <c r="W6406" s="4"/>
      <c r="X6406" s="4"/>
      <c r="Y6406" s="4"/>
    </row>
    <row r="6407" spans="5:25">
      <c r="E6407"/>
      <c r="G6407"/>
      <c r="H6407"/>
      <c r="I6407"/>
      <c r="K6407"/>
      <c r="O6407"/>
      <c r="R6407"/>
      <c r="W6407" s="4"/>
      <c r="X6407" s="4"/>
      <c r="Y6407" s="4"/>
    </row>
    <row r="6408" spans="5:25">
      <c r="E6408"/>
      <c r="G6408"/>
      <c r="H6408"/>
      <c r="I6408"/>
      <c r="K6408"/>
      <c r="O6408"/>
      <c r="R6408"/>
      <c r="W6408" s="4"/>
      <c r="X6408" s="4"/>
      <c r="Y6408" s="4"/>
    </row>
    <row r="6409" spans="5:25">
      <c r="E6409"/>
      <c r="G6409"/>
      <c r="H6409"/>
      <c r="I6409"/>
      <c r="K6409"/>
      <c r="O6409"/>
      <c r="R6409"/>
      <c r="W6409" s="4"/>
      <c r="X6409" s="4"/>
      <c r="Y6409" s="4"/>
    </row>
    <row r="6410" spans="5:25">
      <c r="E6410"/>
      <c r="G6410"/>
      <c r="H6410"/>
      <c r="I6410"/>
      <c r="K6410"/>
      <c r="O6410"/>
      <c r="R6410"/>
      <c r="W6410" s="4"/>
      <c r="X6410" s="4"/>
      <c r="Y6410" s="4"/>
    </row>
    <row r="6411" spans="5:25">
      <c r="E6411"/>
      <c r="G6411"/>
      <c r="H6411"/>
      <c r="I6411"/>
      <c r="K6411"/>
      <c r="O6411"/>
      <c r="R6411"/>
      <c r="W6411" s="4"/>
      <c r="X6411" s="4"/>
      <c r="Y6411" s="4"/>
    </row>
    <row r="6412" spans="5:25">
      <c r="E6412"/>
      <c r="G6412"/>
      <c r="H6412"/>
      <c r="I6412"/>
      <c r="K6412"/>
      <c r="O6412"/>
      <c r="R6412"/>
      <c r="W6412" s="4"/>
      <c r="X6412" s="4"/>
      <c r="Y6412" s="4"/>
    </row>
    <row r="6413" spans="5:25">
      <c r="E6413"/>
      <c r="G6413"/>
      <c r="H6413"/>
      <c r="I6413"/>
      <c r="K6413"/>
      <c r="O6413"/>
      <c r="R6413"/>
      <c r="W6413" s="4"/>
      <c r="X6413" s="4"/>
      <c r="Y6413" s="4"/>
    </row>
    <row r="6414" spans="5:25">
      <c r="E6414"/>
      <c r="G6414"/>
      <c r="H6414"/>
      <c r="I6414"/>
      <c r="K6414"/>
      <c r="O6414"/>
      <c r="R6414"/>
      <c r="W6414" s="4"/>
      <c r="X6414" s="4"/>
      <c r="Y6414" s="4"/>
    </row>
    <row r="6415" spans="5:25">
      <c r="E6415"/>
      <c r="G6415"/>
      <c r="H6415"/>
      <c r="I6415"/>
      <c r="K6415"/>
      <c r="O6415"/>
      <c r="R6415"/>
      <c r="W6415" s="4"/>
      <c r="X6415" s="4"/>
      <c r="Y6415" s="4"/>
    </row>
    <row r="6416" spans="5:25">
      <c r="E6416"/>
      <c r="G6416"/>
      <c r="H6416"/>
      <c r="I6416"/>
      <c r="K6416"/>
      <c r="O6416"/>
      <c r="R6416"/>
      <c r="W6416" s="4"/>
      <c r="X6416" s="4"/>
      <c r="Y6416" s="4"/>
    </row>
    <row r="6417" spans="5:25">
      <c r="E6417"/>
      <c r="G6417"/>
      <c r="H6417"/>
      <c r="I6417"/>
      <c r="K6417"/>
      <c r="O6417"/>
      <c r="R6417"/>
      <c r="W6417" s="4"/>
      <c r="X6417" s="4"/>
      <c r="Y6417" s="4"/>
    </row>
    <row r="6418" spans="5:25">
      <c r="E6418"/>
      <c r="G6418"/>
      <c r="H6418"/>
      <c r="I6418"/>
      <c r="K6418"/>
      <c r="O6418"/>
      <c r="R6418"/>
      <c r="W6418" s="4"/>
      <c r="X6418" s="4"/>
      <c r="Y6418" s="4"/>
    </row>
    <row r="6419" spans="5:25">
      <c r="E6419"/>
      <c r="G6419"/>
      <c r="H6419"/>
      <c r="I6419"/>
      <c r="K6419"/>
      <c r="O6419"/>
      <c r="R6419"/>
      <c r="W6419" s="4"/>
      <c r="X6419" s="4"/>
      <c r="Y6419" s="4"/>
    </row>
    <row r="6420" spans="5:25">
      <c r="E6420"/>
      <c r="G6420"/>
      <c r="H6420"/>
      <c r="I6420"/>
      <c r="K6420"/>
      <c r="O6420"/>
      <c r="R6420"/>
      <c r="W6420" s="4"/>
      <c r="X6420" s="4"/>
      <c r="Y6420" s="4"/>
    </row>
    <row r="6421" spans="5:25">
      <c r="E6421"/>
      <c r="G6421"/>
      <c r="H6421"/>
      <c r="I6421"/>
      <c r="K6421"/>
      <c r="O6421"/>
      <c r="R6421"/>
      <c r="W6421" s="4"/>
      <c r="X6421" s="4"/>
      <c r="Y6421" s="4"/>
    </row>
    <row r="6422" spans="5:25">
      <c r="E6422"/>
      <c r="G6422"/>
      <c r="H6422"/>
      <c r="I6422"/>
      <c r="K6422"/>
      <c r="O6422"/>
      <c r="R6422"/>
      <c r="W6422" s="4"/>
      <c r="X6422" s="4"/>
      <c r="Y6422" s="4"/>
    </row>
    <row r="6423" spans="5:25">
      <c r="E6423"/>
      <c r="G6423"/>
      <c r="H6423"/>
      <c r="I6423"/>
      <c r="K6423"/>
      <c r="O6423"/>
      <c r="R6423"/>
      <c r="W6423" s="4"/>
      <c r="X6423" s="4"/>
      <c r="Y6423" s="4"/>
    </row>
    <row r="6424" spans="5:25">
      <c r="E6424"/>
      <c r="G6424"/>
      <c r="H6424"/>
      <c r="I6424"/>
      <c r="K6424"/>
      <c r="O6424"/>
      <c r="R6424"/>
      <c r="W6424" s="4"/>
      <c r="X6424" s="4"/>
      <c r="Y6424" s="4"/>
    </row>
    <row r="6425" spans="5:25">
      <c r="E6425"/>
      <c r="G6425"/>
      <c r="H6425"/>
      <c r="I6425"/>
      <c r="K6425"/>
      <c r="O6425"/>
      <c r="R6425"/>
      <c r="W6425" s="4"/>
      <c r="X6425" s="4"/>
      <c r="Y6425" s="4"/>
    </row>
    <row r="6426" spans="5:25">
      <c r="E6426"/>
      <c r="G6426"/>
      <c r="H6426"/>
      <c r="I6426"/>
      <c r="K6426"/>
      <c r="O6426"/>
      <c r="R6426"/>
      <c r="W6426" s="4"/>
      <c r="X6426" s="4"/>
      <c r="Y6426" s="4"/>
    </row>
    <row r="6427" spans="5:25">
      <c r="E6427"/>
      <c r="G6427"/>
      <c r="H6427"/>
      <c r="I6427"/>
      <c r="K6427"/>
      <c r="O6427"/>
      <c r="R6427"/>
      <c r="W6427" s="4"/>
      <c r="X6427" s="4"/>
      <c r="Y6427" s="4"/>
    </row>
    <row r="6428" spans="5:25">
      <c r="E6428"/>
      <c r="G6428"/>
      <c r="H6428"/>
      <c r="I6428"/>
      <c r="K6428"/>
      <c r="O6428"/>
      <c r="R6428"/>
      <c r="W6428" s="4"/>
      <c r="X6428" s="4"/>
      <c r="Y6428" s="4"/>
    </row>
    <row r="6429" spans="5:25">
      <c r="E6429"/>
      <c r="G6429"/>
      <c r="H6429"/>
      <c r="I6429"/>
      <c r="K6429"/>
      <c r="O6429"/>
      <c r="R6429"/>
      <c r="W6429" s="4"/>
      <c r="X6429" s="4"/>
      <c r="Y6429" s="4"/>
    </row>
    <row r="6430" spans="5:25">
      <c r="E6430"/>
      <c r="G6430"/>
      <c r="H6430"/>
      <c r="I6430"/>
      <c r="K6430"/>
      <c r="O6430"/>
      <c r="R6430"/>
      <c r="W6430" s="4"/>
      <c r="X6430" s="4"/>
      <c r="Y6430" s="4"/>
    </row>
    <row r="6431" spans="5:25">
      <c r="E6431"/>
      <c r="G6431"/>
      <c r="H6431"/>
      <c r="I6431"/>
      <c r="K6431"/>
      <c r="O6431"/>
      <c r="R6431"/>
      <c r="W6431" s="4"/>
      <c r="X6431" s="4"/>
      <c r="Y6431" s="4"/>
    </row>
    <row r="6432" spans="5:25">
      <c r="E6432"/>
      <c r="G6432"/>
      <c r="H6432"/>
      <c r="I6432"/>
      <c r="K6432"/>
      <c r="O6432"/>
      <c r="R6432"/>
      <c r="W6432" s="4"/>
      <c r="X6432" s="4"/>
      <c r="Y6432" s="4"/>
    </row>
    <row r="6433" spans="5:25">
      <c r="E6433"/>
      <c r="G6433"/>
      <c r="H6433"/>
      <c r="I6433"/>
      <c r="K6433"/>
      <c r="O6433"/>
      <c r="R6433"/>
      <c r="W6433" s="4"/>
      <c r="X6433" s="4"/>
      <c r="Y6433" s="4"/>
    </row>
    <row r="6434" spans="5:25">
      <c r="E6434"/>
      <c r="G6434"/>
      <c r="H6434"/>
      <c r="I6434"/>
      <c r="K6434"/>
      <c r="O6434"/>
      <c r="R6434"/>
      <c r="W6434" s="4"/>
      <c r="X6434" s="4"/>
      <c r="Y6434" s="4"/>
    </row>
    <row r="6435" spans="5:25">
      <c r="E6435"/>
      <c r="G6435"/>
      <c r="H6435"/>
      <c r="I6435"/>
      <c r="K6435"/>
      <c r="O6435"/>
      <c r="R6435"/>
      <c r="W6435" s="4"/>
      <c r="X6435" s="4"/>
      <c r="Y6435" s="4"/>
    </row>
    <row r="6436" spans="5:25">
      <c r="E6436"/>
      <c r="G6436"/>
      <c r="H6436"/>
      <c r="I6436"/>
      <c r="K6436"/>
      <c r="O6436"/>
      <c r="R6436"/>
      <c r="W6436" s="4"/>
      <c r="X6436" s="4"/>
      <c r="Y6436" s="4"/>
    </row>
    <row r="6437" spans="5:25">
      <c r="E6437"/>
      <c r="G6437"/>
      <c r="H6437"/>
      <c r="I6437"/>
      <c r="K6437"/>
      <c r="O6437"/>
      <c r="R6437"/>
      <c r="W6437" s="4"/>
      <c r="X6437" s="4"/>
      <c r="Y6437" s="4"/>
    </row>
    <row r="6438" spans="5:25">
      <c r="E6438"/>
      <c r="G6438"/>
      <c r="H6438"/>
      <c r="I6438"/>
      <c r="K6438"/>
      <c r="O6438"/>
      <c r="R6438"/>
      <c r="W6438" s="4"/>
      <c r="X6438" s="4"/>
      <c r="Y6438" s="4"/>
    </row>
    <row r="6439" spans="5:25">
      <c r="E6439"/>
      <c r="G6439"/>
      <c r="H6439"/>
      <c r="I6439"/>
      <c r="K6439"/>
      <c r="O6439"/>
      <c r="R6439"/>
      <c r="W6439" s="4"/>
      <c r="X6439" s="4"/>
      <c r="Y6439" s="4"/>
    </row>
    <row r="6440" spans="5:25">
      <c r="E6440"/>
      <c r="G6440"/>
      <c r="H6440"/>
      <c r="I6440"/>
      <c r="K6440"/>
      <c r="O6440"/>
      <c r="R6440"/>
      <c r="W6440" s="4"/>
      <c r="X6440" s="4"/>
      <c r="Y6440" s="4"/>
    </row>
    <row r="6441" spans="5:25">
      <c r="E6441"/>
      <c r="G6441"/>
      <c r="H6441"/>
      <c r="I6441"/>
      <c r="K6441"/>
      <c r="O6441"/>
      <c r="R6441"/>
      <c r="W6441" s="4"/>
      <c r="X6441" s="4"/>
      <c r="Y6441" s="4"/>
    </row>
    <row r="6442" spans="5:25">
      <c r="E6442"/>
      <c r="G6442"/>
      <c r="H6442"/>
      <c r="I6442"/>
      <c r="K6442"/>
      <c r="O6442"/>
      <c r="R6442"/>
      <c r="W6442" s="4"/>
      <c r="X6442" s="4"/>
      <c r="Y6442" s="4"/>
    </row>
    <row r="6443" spans="5:25">
      <c r="E6443"/>
      <c r="G6443"/>
      <c r="H6443"/>
      <c r="I6443"/>
      <c r="K6443"/>
      <c r="O6443"/>
      <c r="R6443"/>
      <c r="W6443" s="4"/>
      <c r="X6443" s="4"/>
      <c r="Y6443" s="4"/>
    </row>
    <row r="6444" spans="5:25">
      <c r="E6444"/>
      <c r="G6444"/>
      <c r="H6444"/>
      <c r="I6444"/>
      <c r="K6444"/>
      <c r="O6444"/>
      <c r="R6444"/>
      <c r="W6444" s="4"/>
      <c r="X6444" s="4"/>
      <c r="Y6444" s="4"/>
    </row>
    <row r="6445" spans="5:25">
      <c r="E6445"/>
      <c r="G6445"/>
      <c r="H6445"/>
      <c r="I6445"/>
      <c r="K6445"/>
      <c r="O6445"/>
      <c r="R6445"/>
      <c r="W6445" s="4"/>
      <c r="X6445" s="4"/>
      <c r="Y6445" s="4"/>
    </row>
    <row r="6446" spans="5:25">
      <c r="E6446"/>
      <c r="G6446"/>
      <c r="H6446"/>
      <c r="I6446"/>
      <c r="K6446"/>
      <c r="O6446"/>
      <c r="R6446"/>
      <c r="W6446" s="4"/>
      <c r="X6446" s="4"/>
      <c r="Y6446" s="4"/>
    </row>
    <row r="6447" spans="5:25">
      <c r="E6447"/>
      <c r="G6447"/>
      <c r="H6447"/>
      <c r="I6447"/>
      <c r="K6447"/>
      <c r="O6447"/>
      <c r="R6447"/>
      <c r="W6447" s="4"/>
      <c r="X6447" s="4"/>
      <c r="Y6447" s="4"/>
    </row>
    <row r="6448" spans="5:25">
      <c r="E6448"/>
      <c r="G6448"/>
      <c r="H6448"/>
      <c r="I6448"/>
      <c r="K6448"/>
      <c r="O6448"/>
      <c r="R6448"/>
      <c r="W6448" s="4"/>
      <c r="X6448" s="4"/>
      <c r="Y6448" s="4"/>
    </row>
    <row r="6449" spans="5:25">
      <c r="E6449"/>
      <c r="G6449"/>
      <c r="H6449"/>
      <c r="I6449"/>
      <c r="K6449"/>
      <c r="O6449"/>
      <c r="R6449"/>
      <c r="W6449" s="4"/>
      <c r="X6449" s="4"/>
      <c r="Y6449" s="4"/>
    </row>
    <row r="6450" spans="5:25">
      <c r="E6450"/>
      <c r="G6450"/>
      <c r="H6450"/>
      <c r="I6450"/>
      <c r="K6450"/>
      <c r="O6450"/>
      <c r="R6450"/>
      <c r="W6450" s="4"/>
      <c r="X6450" s="4"/>
      <c r="Y6450" s="4"/>
    </row>
    <row r="6451" spans="5:25">
      <c r="E6451"/>
      <c r="G6451"/>
      <c r="H6451"/>
      <c r="I6451"/>
      <c r="K6451"/>
      <c r="O6451"/>
      <c r="R6451"/>
      <c r="W6451" s="4"/>
      <c r="X6451" s="4"/>
      <c r="Y6451" s="4"/>
    </row>
    <row r="6452" spans="5:25">
      <c r="E6452"/>
      <c r="G6452"/>
      <c r="H6452"/>
      <c r="I6452"/>
      <c r="K6452"/>
      <c r="O6452"/>
      <c r="R6452"/>
      <c r="W6452" s="4"/>
      <c r="X6452" s="4"/>
      <c r="Y6452" s="4"/>
    </row>
    <row r="6453" spans="5:25">
      <c r="E6453"/>
      <c r="G6453"/>
      <c r="H6453"/>
      <c r="I6453"/>
      <c r="K6453"/>
      <c r="O6453"/>
      <c r="R6453"/>
      <c r="W6453" s="4"/>
      <c r="X6453" s="4"/>
      <c r="Y6453" s="4"/>
    </row>
    <row r="6454" spans="5:25">
      <c r="E6454"/>
      <c r="G6454"/>
      <c r="H6454"/>
      <c r="I6454"/>
      <c r="K6454"/>
      <c r="O6454"/>
      <c r="R6454"/>
      <c r="W6454" s="4"/>
      <c r="X6454" s="4"/>
      <c r="Y6454" s="4"/>
    </row>
    <row r="6455" spans="5:25">
      <c r="E6455"/>
      <c r="G6455"/>
      <c r="H6455"/>
      <c r="I6455"/>
      <c r="K6455"/>
      <c r="O6455"/>
      <c r="R6455"/>
      <c r="W6455" s="4"/>
      <c r="X6455" s="4"/>
      <c r="Y6455" s="4"/>
    </row>
    <row r="6456" spans="5:25">
      <c r="E6456"/>
      <c r="G6456"/>
      <c r="H6456"/>
      <c r="I6456"/>
      <c r="K6456"/>
      <c r="O6456"/>
      <c r="R6456"/>
      <c r="W6456" s="4"/>
      <c r="X6456" s="4"/>
      <c r="Y6456" s="4"/>
    </row>
    <row r="6457" spans="5:25">
      <c r="E6457"/>
      <c r="G6457"/>
      <c r="H6457"/>
      <c r="I6457"/>
      <c r="K6457"/>
      <c r="O6457"/>
      <c r="R6457"/>
      <c r="W6457" s="4"/>
      <c r="X6457" s="4"/>
      <c r="Y6457" s="4"/>
    </row>
    <row r="6458" spans="5:25">
      <c r="E6458"/>
      <c r="G6458"/>
      <c r="H6458"/>
      <c r="I6458"/>
      <c r="K6458"/>
      <c r="O6458"/>
      <c r="R6458"/>
      <c r="W6458" s="4"/>
      <c r="X6458" s="4"/>
      <c r="Y6458" s="4"/>
    </row>
    <row r="6459" spans="5:25">
      <c r="E6459"/>
      <c r="G6459"/>
      <c r="H6459"/>
      <c r="I6459"/>
      <c r="K6459"/>
      <c r="O6459"/>
      <c r="R6459"/>
      <c r="W6459" s="4"/>
      <c r="X6459" s="4"/>
      <c r="Y6459" s="4"/>
    </row>
    <row r="6460" spans="5:25">
      <c r="E6460"/>
      <c r="G6460"/>
      <c r="H6460"/>
      <c r="I6460"/>
      <c r="K6460"/>
      <c r="O6460"/>
      <c r="R6460"/>
      <c r="W6460" s="4"/>
      <c r="X6460" s="4"/>
      <c r="Y6460" s="4"/>
    </row>
    <row r="6461" spans="5:25">
      <c r="E6461"/>
      <c r="G6461"/>
      <c r="H6461"/>
      <c r="I6461"/>
      <c r="K6461"/>
      <c r="O6461"/>
      <c r="R6461"/>
      <c r="W6461" s="4"/>
      <c r="X6461" s="4"/>
      <c r="Y6461" s="4"/>
    </row>
    <row r="6462" spans="5:25">
      <c r="E6462"/>
      <c r="G6462"/>
      <c r="H6462"/>
      <c r="I6462"/>
      <c r="K6462"/>
      <c r="O6462"/>
      <c r="R6462"/>
      <c r="W6462" s="4"/>
      <c r="X6462" s="4"/>
      <c r="Y6462" s="4"/>
    </row>
    <row r="6463" spans="5:25">
      <c r="E6463"/>
      <c r="G6463"/>
      <c r="H6463"/>
      <c r="I6463"/>
      <c r="K6463"/>
      <c r="O6463"/>
      <c r="R6463"/>
      <c r="W6463" s="4"/>
      <c r="X6463" s="4"/>
      <c r="Y6463" s="4"/>
    </row>
    <row r="6464" spans="5:25">
      <c r="E6464"/>
      <c r="G6464"/>
      <c r="H6464"/>
      <c r="I6464"/>
      <c r="K6464"/>
      <c r="O6464"/>
      <c r="R6464"/>
      <c r="W6464" s="4"/>
      <c r="X6464" s="4"/>
      <c r="Y6464" s="4"/>
    </row>
    <row r="6465" spans="5:25">
      <c r="E6465"/>
      <c r="G6465"/>
      <c r="H6465"/>
      <c r="I6465"/>
      <c r="K6465"/>
      <c r="O6465"/>
      <c r="R6465"/>
      <c r="W6465" s="4"/>
      <c r="X6465" s="4"/>
      <c r="Y6465" s="4"/>
    </row>
    <row r="6466" spans="5:25">
      <c r="E6466"/>
      <c r="G6466"/>
      <c r="H6466"/>
      <c r="I6466"/>
      <c r="K6466"/>
      <c r="O6466"/>
      <c r="R6466"/>
      <c r="W6466" s="4"/>
      <c r="X6466" s="4"/>
      <c r="Y6466" s="4"/>
    </row>
    <row r="6467" spans="5:25">
      <c r="E6467"/>
      <c r="G6467"/>
      <c r="H6467"/>
      <c r="I6467"/>
      <c r="K6467"/>
      <c r="O6467"/>
      <c r="R6467"/>
      <c r="W6467" s="4"/>
      <c r="X6467" s="4"/>
      <c r="Y6467" s="4"/>
    </row>
    <row r="6468" spans="5:25">
      <c r="E6468"/>
      <c r="G6468"/>
      <c r="H6468"/>
      <c r="I6468"/>
      <c r="K6468"/>
      <c r="O6468"/>
      <c r="R6468"/>
      <c r="W6468" s="4"/>
      <c r="X6468" s="4"/>
      <c r="Y6468" s="4"/>
    </row>
    <row r="6469" spans="5:25">
      <c r="E6469"/>
      <c r="G6469"/>
      <c r="H6469"/>
      <c r="I6469"/>
      <c r="K6469"/>
      <c r="O6469"/>
      <c r="R6469"/>
      <c r="W6469" s="4"/>
      <c r="X6469" s="4"/>
      <c r="Y6469" s="4"/>
    </row>
    <row r="6470" spans="5:25">
      <c r="E6470"/>
      <c r="G6470"/>
      <c r="H6470"/>
      <c r="I6470"/>
      <c r="K6470"/>
      <c r="O6470"/>
      <c r="R6470"/>
      <c r="W6470" s="4"/>
      <c r="X6470" s="4"/>
      <c r="Y6470" s="4"/>
    </row>
    <row r="6471" spans="5:25">
      <c r="E6471"/>
      <c r="G6471"/>
      <c r="H6471"/>
      <c r="I6471"/>
      <c r="K6471"/>
      <c r="O6471"/>
      <c r="R6471"/>
      <c r="W6471" s="4"/>
      <c r="X6471" s="4"/>
      <c r="Y6471" s="4"/>
    </row>
    <row r="6472" spans="5:25">
      <c r="E6472"/>
      <c r="G6472"/>
      <c r="H6472"/>
      <c r="I6472"/>
      <c r="K6472"/>
      <c r="O6472"/>
      <c r="R6472"/>
      <c r="W6472" s="4"/>
      <c r="X6472" s="4"/>
      <c r="Y6472" s="4"/>
    </row>
    <row r="6473" spans="5:25">
      <c r="E6473"/>
      <c r="G6473"/>
      <c r="H6473"/>
      <c r="I6473"/>
      <c r="K6473"/>
      <c r="O6473"/>
      <c r="R6473"/>
      <c r="W6473" s="4"/>
      <c r="X6473" s="4"/>
      <c r="Y6473" s="4"/>
    </row>
    <row r="6474" spans="5:25">
      <c r="E6474"/>
      <c r="G6474"/>
      <c r="H6474"/>
      <c r="I6474"/>
      <c r="K6474"/>
      <c r="O6474"/>
      <c r="R6474"/>
      <c r="W6474" s="4"/>
      <c r="X6474" s="4"/>
      <c r="Y6474" s="4"/>
    </row>
    <row r="6475" spans="5:25">
      <c r="E6475"/>
      <c r="G6475"/>
      <c r="H6475"/>
      <c r="I6475"/>
      <c r="K6475"/>
      <c r="O6475"/>
      <c r="R6475"/>
      <c r="W6475" s="4"/>
      <c r="X6475" s="4"/>
      <c r="Y6475" s="4"/>
    </row>
    <row r="6476" spans="5:25">
      <c r="E6476"/>
      <c r="G6476"/>
      <c r="H6476"/>
      <c r="I6476"/>
      <c r="K6476"/>
      <c r="O6476"/>
      <c r="R6476"/>
      <c r="W6476" s="4"/>
      <c r="X6476" s="4"/>
      <c r="Y6476" s="4"/>
    </row>
    <row r="6477" spans="5:25">
      <c r="E6477"/>
      <c r="G6477"/>
      <c r="H6477"/>
      <c r="I6477"/>
      <c r="K6477"/>
      <c r="O6477"/>
      <c r="R6477"/>
      <c r="W6477" s="4"/>
      <c r="X6477" s="4"/>
      <c r="Y6477" s="4"/>
    </row>
    <row r="6478" spans="5:25">
      <c r="E6478"/>
      <c r="G6478"/>
      <c r="H6478"/>
      <c r="I6478"/>
      <c r="K6478"/>
      <c r="O6478"/>
      <c r="R6478"/>
      <c r="W6478" s="4"/>
      <c r="X6478" s="4"/>
      <c r="Y6478" s="4"/>
    </row>
    <row r="6479" spans="5:25">
      <c r="E6479"/>
      <c r="G6479"/>
      <c r="H6479"/>
      <c r="I6479"/>
      <c r="K6479"/>
      <c r="O6479"/>
      <c r="R6479"/>
      <c r="W6479" s="4"/>
      <c r="X6479" s="4"/>
      <c r="Y6479" s="4"/>
    </row>
    <row r="6480" spans="5:25">
      <c r="E6480"/>
      <c r="G6480"/>
      <c r="H6480"/>
      <c r="I6480"/>
      <c r="K6480"/>
      <c r="O6480"/>
      <c r="R6480"/>
      <c r="W6480" s="4"/>
      <c r="X6480" s="4"/>
      <c r="Y6480" s="4"/>
    </row>
    <row r="6481" spans="5:25">
      <c r="E6481"/>
      <c r="G6481"/>
      <c r="H6481"/>
      <c r="I6481"/>
      <c r="K6481"/>
      <c r="O6481"/>
      <c r="R6481"/>
      <c r="W6481" s="4"/>
      <c r="X6481" s="4"/>
      <c r="Y6481" s="4"/>
    </row>
    <row r="6482" spans="5:25">
      <c r="E6482"/>
      <c r="G6482"/>
      <c r="H6482"/>
      <c r="I6482"/>
      <c r="K6482"/>
      <c r="O6482"/>
      <c r="R6482"/>
      <c r="W6482" s="4"/>
      <c r="X6482" s="4"/>
      <c r="Y6482" s="4"/>
    </row>
    <row r="6483" spans="5:25">
      <c r="E6483"/>
      <c r="G6483"/>
      <c r="H6483"/>
      <c r="I6483"/>
      <c r="K6483"/>
      <c r="O6483"/>
      <c r="R6483"/>
      <c r="W6483" s="4"/>
      <c r="X6483" s="4"/>
      <c r="Y6483" s="4"/>
    </row>
    <row r="6484" spans="5:25">
      <c r="E6484"/>
      <c r="G6484"/>
      <c r="H6484"/>
      <c r="I6484"/>
      <c r="K6484"/>
      <c r="O6484"/>
      <c r="R6484"/>
      <c r="W6484" s="4"/>
      <c r="X6484" s="4"/>
      <c r="Y6484" s="4"/>
    </row>
    <row r="6485" spans="5:25">
      <c r="E6485"/>
      <c r="G6485"/>
      <c r="H6485"/>
      <c r="I6485"/>
      <c r="K6485"/>
      <c r="O6485"/>
      <c r="R6485"/>
      <c r="W6485" s="4"/>
      <c r="X6485" s="4"/>
      <c r="Y6485" s="4"/>
    </row>
    <row r="6486" spans="5:25">
      <c r="E6486"/>
      <c r="G6486"/>
      <c r="H6486"/>
      <c r="I6486"/>
      <c r="K6486"/>
      <c r="O6486"/>
      <c r="R6486"/>
      <c r="W6486" s="4"/>
      <c r="X6486" s="4"/>
      <c r="Y6486" s="4"/>
    </row>
    <row r="6487" spans="5:25">
      <c r="E6487"/>
      <c r="G6487"/>
      <c r="H6487"/>
      <c r="I6487"/>
      <c r="K6487"/>
      <c r="O6487"/>
      <c r="R6487"/>
      <c r="W6487" s="4"/>
      <c r="X6487" s="4"/>
      <c r="Y6487" s="4"/>
    </row>
    <row r="6488" spans="5:25">
      <c r="E6488"/>
      <c r="G6488"/>
      <c r="H6488"/>
      <c r="I6488"/>
      <c r="K6488"/>
      <c r="O6488"/>
      <c r="R6488"/>
      <c r="W6488" s="4"/>
      <c r="X6488" s="4"/>
      <c r="Y6488" s="4"/>
    </row>
    <row r="6489" spans="5:25">
      <c r="E6489"/>
      <c r="G6489"/>
      <c r="H6489"/>
      <c r="I6489"/>
      <c r="K6489"/>
      <c r="O6489"/>
      <c r="R6489"/>
      <c r="W6489" s="4"/>
      <c r="X6489" s="4"/>
      <c r="Y6489" s="4"/>
    </row>
    <row r="6490" spans="5:25">
      <c r="E6490"/>
      <c r="G6490"/>
      <c r="H6490"/>
      <c r="I6490"/>
      <c r="K6490"/>
      <c r="O6490"/>
      <c r="R6490"/>
      <c r="W6490" s="4"/>
      <c r="X6490" s="4"/>
      <c r="Y6490" s="4"/>
    </row>
    <row r="6491" spans="5:25">
      <c r="E6491"/>
      <c r="G6491"/>
      <c r="H6491"/>
      <c r="I6491"/>
      <c r="K6491"/>
      <c r="O6491"/>
      <c r="R6491"/>
      <c r="W6491" s="4"/>
      <c r="X6491" s="4"/>
      <c r="Y6491" s="4"/>
    </row>
    <row r="6492" spans="5:25">
      <c r="E6492"/>
      <c r="G6492"/>
      <c r="H6492"/>
      <c r="I6492"/>
      <c r="K6492"/>
      <c r="O6492"/>
      <c r="R6492"/>
      <c r="W6492" s="4"/>
      <c r="X6492" s="4"/>
      <c r="Y6492" s="4"/>
    </row>
    <row r="6493" spans="5:25">
      <c r="E6493"/>
      <c r="G6493"/>
      <c r="H6493"/>
      <c r="I6493"/>
      <c r="K6493"/>
      <c r="O6493"/>
      <c r="R6493"/>
      <c r="W6493" s="4"/>
      <c r="X6493" s="4"/>
      <c r="Y6493" s="4"/>
    </row>
    <row r="6494" spans="5:25">
      <c r="E6494"/>
      <c r="G6494"/>
      <c r="H6494"/>
      <c r="I6494"/>
      <c r="K6494"/>
      <c r="O6494"/>
      <c r="R6494"/>
      <c r="W6494" s="4"/>
      <c r="X6494" s="4"/>
      <c r="Y6494" s="4"/>
    </row>
    <row r="6495" spans="5:25">
      <c r="E6495"/>
      <c r="G6495"/>
      <c r="H6495"/>
      <c r="I6495"/>
      <c r="K6495"/>
      <c r="O6495"/>
      <c r="R6495"/>
      <c r="W6495" s="4"/>
      <c r="X6495" s="4"/>
      <c r="Y6495" s="4"/>
    </row>
    <row r="6496" spans="5:25">
      <c r="E6496"/>
      <c r="G6496"/>
      <c r="H6496"/>
      <c r="I6496"/>
      <c r="K6496"/>
      <c r="O6496"/>
      <c r="R6496"/>
      <c r="W6496" s="4"/>
      <c r="X6496" s="4"/>
      <c r="Y6496" s="4"/>
    </row>
    <row r="6497" spans="5:25">
      <c r="E6497"/>
      <c r="G6497"/>
      <c r="H6497"/>
      <c r="I6497"/>
      <c r="K6497"/>
      <c r="O6497"/>
      <c r="R6497"/>
      <c r="W6497" s="4"/>
      <c r="X6497" s="4"/>
      <c r="Y6497" s="4"/>
    </row>
    <row r="6498" spans="5:25">
      <c r="E6498"/>
      <c r="G6498"/>
      <c r="H6498"/>
      <c r="I6498"/>
      <c r="K6498"/>
      <c r="O6498"/>
      <c r="R6498"/>
      <c r="W6498" s="4"/>
      <c r="X6498" s="4"/>
      <c r="Y6498" s="4"/>
    </row>
    <row r="6499" spans="5:25">
      <c r="E6499"/>
      <c r="G6499"/>
      <c r="H6499"/>
      <c r="I6499"/>
      <c r="K6499"/>
      <c r="O6499"/>
      <c r="R6499"/>
      <c r="W6499" s="4"/>
      <c r="X6499" s="4"/>
      <c r="Y6499" s="4"/>
    </row>
    <row r="6500" spans="5:25">
      <c r="E6500"/>
      <c r="G6500"/>
      <c r="H6500"/>
      <c r="I6500"/>
      <c r="K6500"/>
      <c r="O6500"/>
      <c r="R6500"/>
      <c r="W6500" s="4"/>
      <c r="X6500" s="4"/>
      <c r="Y6500" s="4"/>
    </row>
    <row r="6501" spans="5:25">
      <c r="E6501"/>
      <c r="G6501"/>
      <c r="H6501"/>
      <c r="I6501"/>
      <c r="K6501"/>
      <c r="O6501"/>
      <c r="R6501"/>
      <c r="W6501" s="4"/>
      <c r="X6501" s="4"/>
      <c r="Y6501" s="4"/>
    </row>
    <row r="6502" spans="5:25">
      <c r="E6502"/>
      <c r="G6502"/>
      <c r="H6502"/>
      <c r="I6502"/>
      <c r="K6502"/>
      <c r="O6502"/>
      <c r="R6502"/>
      <c r="W6502" s="4"/>
      <c r="X6502" s="4"/>
      <c r="Y6502" s="4"/>
    </row>
    <row r="6503" spans="5:25">
      <c r="E6503"/>
      <c r="G6503"/>
      <c r="H6503"/>
      <c r="I6503"/>
      <c r="K6503"/>
      <c r="O6503"/>
      <c r="R6503"/>
      <c r="W6503" s="4"/>
      <c r="X6503" s="4"/>
      <c r="Y6503" s="4"/>
    </row>
    <row r="6504" spans="5:25">
      <c r="E6504"/>
      <c r="G6504"/>
      <c r="H6504"/>
      <c r="I6504"/>
      <c r="K6504"/>
      <c r="O6504"/>
      <c r="R6504"/>
      <c r="W6504" s="4"/>
      <c r="X6504" s="4"/>
      <c r="Y6504" s="4"/>
    </row>
    <row r="6505" spans="5:25">
      <c r="E6505"/>
      <c r="G6505"/>
      <c r="H6505"/>
      <c r="I6505"/>
      <c r="K6505"/>
      <c r="O6505"/>
      <c r="R6505"/>
      <c r="W6505" s="4"/>
      <c r="X6505" s="4"/>
      <c r="Y6505" s="4"/>
    </row>
    <row r="6506" spans="5:25">
      <c r="E6506"/>
      <c r="G6506"/>
      <c r="H6506"/>
      <c r="I6506"/>
      <c r="K6506"/>
      <c r="O6506"/>
      <c r="R6506"/>
      <c r="W6506" s="4"/>
      <c r="X6506" s="4"/>
      <c r="Y6506" s="4"/>
    </row>
    <row r="6507" spans="5:25">
      <c r="E6507"/>
      <c r="G6507"/>
      <c r="H6507"/>
      <c r="I6507"/>
      <c r="K6507"/>
      <c r="O6507"/>
      <c r="R6507"/>
      <c r="W6507" s="4"/>
      <c r="X6507" s="4"/>
      <c r="Y6507" s="4"/>
    </row>
    <row r="6508" spans="5:25">
      <c r="E6508"/>
      <c r="G6508"/>
      <c r="H6508"/>
      <c r="I6508"/>
      <c r="K6508"/>
      <c r="O6508"/>
      <c r="R6508"/>
      <c r="W6508" s="4"/>
      <c r="X6508" s="4"/>
      <c r="Y6508" s="4"/>
    </row>
    <row r="6509" spans="5:25">
      <c r="E6509"/>
      <c r="G6509"/>
      <c r="H6509"/>
      <c r="I6509"/>
      <c r="K6509"/>
      <c r="O6509"/>
      <c r="R6509"/>
      <c r="W6509" s="4"/>
      <c r="X6509" s="4"/>
      <c r="Y6509" s="4"/>
    </row>
    <row r="6510" spans="5:25">
      <c r="E6510"/>
      <c r="G6510"/>
      <c r="H6510"/>
      <c r="I6510"/>
      <c r="K6510"/>
      <c r="O6510"/>
      <c r="R6510"/>
      <c r="W6510" s="4"/>
      <c r="X6510" s="4"/>
      <c r="Y6510" s="4"/>
    </row>
    <row r="6511" spans="5:25">
      <c r="E6511"/>
      <c r="G6511"/>
      <c r="H6511"/>
      <c r="I6511"/>
      <c r="K6511"/>
      <c r="O6511"/>
      <c r="R6511"/>
      <c r="W6511" s="4"/>
      <c r="X6511" s="4"/>
      <c r="Y6511" s="4"/>
    </row>
    <row r="6512" spans="5:25">
      <c r="E6512"/>
      <c r="G6512"/>
      <c r="H6512"/>
      <c r="I6512"/>
      <c r="K6512"/>
      <c r="O6512"/>
      <c r="R6512"/>
      <c r="W6512" s="4"/>
      <c r="X6512" s="4"/>
      <c r="Y6512" s="4"/>
    </row>
    <row r="6513" spans="5:25">
      <c r="E6513"/>
      <c r="G6513"/>
      <c r="H6513"/>
      <c r="I6513"/>
      <c r="K6513"/>
      <c r="O6513"/>
      <c r="R6513"/>
      <c r="W6513" s="4"/>
      <c r="X6513" s="4"/>
      <c r="Y6513" s="4"/>
    </row>
    <row r="6514" spans="5:25">
      <c r="E6514"/>
      <c r="G6514"/>
      <c r="H6514"/>
      <c r="I6514"/>
      <c r="K6514"/>
      <c r="O6514"/>
      <c r="R6514"/>
      <c r="W6514" s="4"/>
      <c r="X6514" s="4"/>
      <c r="Y6514" s="4"/>
    </row>
    <row r="6515" spans="5:25">
      <c r="E6515"/>
      <c r="G6515"/>
      <c r="H6515"/>
      <c r="I6515"/>
      <c r="K6515"/>
      <c r="O6515"/>
      <c r="R6515"/>
      <c r="W6515" s="4"/>
      <c r="X6515" s="4"/>
      <c r="Y6515" s="4"/>
    </row>
    <row r="6516" spans="5:25">
      <c r="E6516"/>
      <c r="G6516"/>
      <c r="H6516"/>
      <c r="I6516"/>
      <c r="K6516"/>
      <c r="O6516"/>
      <c r="R6516"/>
      <c r="W6516" s="4"/>
      <c r="X6516" s="4"/>
      <c r="Y6516" s="4"/>
    </row>
    <row r="6517" spans="5:25">
      <c r="E6517"/>
      <c r="G6517"/>
      <c r="H6517"/>
      <c r="I6517"/>
      <c r="K6517"/>
      <c r="O6517"/>
      <c r="R6517"/>
      <c r="W6517" s="4"/>
      <c r="X6517" s="4"/>
      <c r="Y6517" s="4"/>
    </row>
    <row r="6518" spans="5:25">
      <c r="E6518"/>
      <c r="G6518"/>
      <c r="H6518"/>
      <c r="I6518"/>
      <c r="K6518"/>
      <c r="O6518"/>
      <c r="R6518"/>
      <c r="W6518" s="4"/>
      <c r="X6518" s="4"/>
      <c r="Y6518" s="4"/>
    </row>
    <row r="6519" spans="5:25">
      <c r="E6519"/>
      <c r="G6519"/>
      <c r="H6519"/>
      <c r="I6519"/>
      <c r="K6519"/>
      <c r="O6519"/>
      <c r="R6519"/>
      <c r="W6519" s="4"/>
      <c r="X6519" s="4"/>
      <c r="Y6519" s="4"/>
    </row>
    <row r="6520" spans="5:25">
      <c r="E6520"/>
      <c r="G6520"/>
      <c r="H6520"/>
      <c r="I6520"/>
      <c r="K6520"/>
      <c r="O6520"/>
      <c r="R6520"/>
      <c r="W6520" s="4"/>
      <c r="X6520" s="4"/>
      <c r="Y6520" s="4"/>
    </row>
    <row r="6521" spans="5:25">
      <c r="E6521"/>
      <c r="G6521"/>
      <c r="H6521"/>
      <c r="I6521"/>
      <c r="K6521"/>
      <c r="O6521"/>
      <c r="R6521"/>
      <c r="W6521" s="4"/>
      <c r="X6521" s="4"/>
      <c r="Y6521" s="4"/>
    </row>
    <row r="6522" spans="5:25">
      <c r="E6522"/>
      <c r="G6522"/>
      <c r="H6522"/>
      <c r="I6522"/>
      <c r="K6522"/>
      <c r="O6522"/>
      <c r="R6522"/>
      <c r="W6522" s="4"/>
      <c r="X6522" s="4"/>
      <c r="Y6522" s="4"/>
    </row>
    <row r="6523" spans="5:25">
      <c r="E6523"/>
      <c r="G6523"/>
      <c r="H6523"/>
      <c r="I6523"/>
      <c r="K6523"/>
      <c r="O6523"/>
      <c r="R6523"/>
      <c r="W6523" s="4"/>
      <c r="X6523" s="4"/>
      <c r="Y6523" s="4"/>
    </row>
    <row r="6524" spans="5:25">
      <c r="E6524"/>
      <c r="G6524"/>
      <c r="H6524"/>
      <c r="I6524"/>
      <c r="K6524"/>
      <c r="O6524"/>
      <c r="R6524"/>
      <c r="W6524" s="4"/>
      <c r="X6524" s="4"/>
      <c r="Y6524" s="4"/>
    </row>
    <row r="6525" spans="5:25">
      <c r="E6525"/>
      <c r="G6525"/>
      <c r="H6525"/>
      <c r="I6525"/>
      <c r="K6525"/>
      <c r="O6525"/>
      <c r="R6525"/>
      <c r="W6525" s="4"/>
      <c r="X6525" s="4"/>
      <c r="Y6525" s="4"/>
    </row>
    <row r="6526" spans="5:25">
      <c r="E6526"/>
      <c r="G6526"/>
      <c r="H6526"/>
      <c r="I6526"/>
      <c r="K6526"/>
      <c r="O6526"/>
      <c r="R6526"/>
      <c r="W6526" s="4"/>
      <c r="X6526" s="4"/>
      <c r="Y6526" s="4"/>
    </row>
    <row r="6527" spans="5:25">
      <c r="E6527"/>
      <c r="G6527"/>
      <c r="H6527"/>
      <c r="I6527"/>
      <c r="K6527"/>
      <c r="O6527"/>
      <c r="R6527"/>
      <c r="W6527" s="4"/>
      <c r="X6527" s="4"/>
      <c r="Y6527" s="4"/>
    </row>
    <row r="6528" spans="5:25">
      <c r="E6528"/>
      <c r="G6528"/>
      <c r="H6528"/>
      <c r="I6528"/>
      <c r="K6528"/>
      <c r="O6528"/>
      <c r="R6528"/>
      <c r="W6528" s="4"/>
      <c r="X6528" s="4"/>
      <c r="Y6528" s="4"/>
    </row>
    <row r="6529" spans="5:25">
      <c r="E6529"/>
      <c r="G6529"/>
      <c r="H6529"/>
      <c r="I6529"/>
      <c r="K6529"/>
      <c r="O6529"/>
      <c r="R6529"/>
      <c r="W6529" s="4"/>
      <c r="X6529" s="4"/>
      <c r="Y6529" s="4"/>
    </row>
    <row r="6530" spans="5:25">
      <c r="E6530"/>
      <c r="G6530"/>
      <c r="H6530"/>
      <c r="I6530"/>
      <c r="K6530"/>
      <c r="O6530"/>
      <c r="R6530"/>
      <c r="W6530" s="4"/>
      <c r="X6530" s="4"/>
      <c r="Y6530" s="4"/>
    </row>
    <row r="6531" spans="5:25">
      <c r="E6531"/>
      <c r="G6531"/>
      <c r="H6531"/>
      <c r="I6531"/>
      <c r="K6531"/>
      <c r="O6531"/>
      <c r="R6531"/>
      <c r="W6531" s="4"/>
      <c r="X6531" s="4"/>
      <c r="Y6531" s="4"/>
    </row>
    <row r="6532" spans="5:25">
      <c r="E6532"/>
      <c r="G6532"/>
      <c r="H6532"/>
      <c r="I6532"/>
      <c r="K6532"/>
      <c r="O6532"/>
      <c r="R6532"/>
      <c r="W6532" s="4"/>
      <c r="X6532" s="4"/>
      <c r="Y6532" s="4"/>
    </row>
    <row r="6533" spans="5:25">
      <c r="E6533"/>
      <c r="G6533"/>
      <c r="H6533"/>
      <c r="I6533"/>
      <c r="K6533"/>
      <c r="O6533"/>
      <c r="R6533"/>
      <c r="W6533" s="4"/>
      <c r="X6533" s="4"/>
      <c r="Y6533" s="4"/>
    </row>
    <row r="6534" spans="5:25">
      <c r="E6534"/>
      <c r="G6534"/>
      <c r="H6534"/>
      <c r="I6534"/>
      <c r="K6534"/>
      <c r="O6534"/>
      <c r="R6534"/>
      <c r="W6534" s="4"/>
      <c r="X6534" s="4"/>
      <c r="Y6534" s="4"/>
    </row>
    <row r="6535" spans="5:25">
      <c r="E6535"/>
      <c r="G6535"/>
      <c r="H6535"/>
      <c r="I6535"/>
      <c r="K6535"/>
      <c r="O6535"/>
      <c r="R6535"/>
      <c r="W6535" s="4"/>
      <c r="X6535" s="4"/>
      <c r="Y6535" s="4"/>
    </row>
    <row r="6536" spans="5:25">
      <c r="E6536"/>
      <c r="G6536"/>
      <c r="H6536"/>
      <c r="I6536"/>
      <c r="K6536"/>
      <c r="O6536"/>
      <c r="R6536"/>
      <c r="W6536" s="4"/>
      <c r="X6536" s="4"/>
      <c r="Y6536" s="4"/>
    </row>
    <row r="6537" spans="5:25">
      <c r="E6537"/>
      <c r="G6537"/>
      <c r="H6537"/>
      <c r="I6537"/>
      <c r="K6537"/>
      <c r="O6537"/>
      <c r="R6537"/>
      <c r="W6537" s="4"/>
      <c r="X6537" s="4"/>
      <c r="Y6537" s="4"/>
    </row>
    <row r="6538" spans="5:25">
      <c r="E6538"/>
      <c r="G6538"/>
      <c r="H6538"/>
      <c r="I6538"/>
      <c r="K6538"/>
      <c r="O6538"/>
      <c r="R6538"/>
      <c r="W6538" s="4"/>
      <c r="X6538" s="4"/>
      <c r="Y6538" s="4"/>
    </row>
    <row r="6539" spans="5:25">
      <c r="E6539"/>
      <c r="G6539"/>
      <c r="H6539"/>
      <c r="I6539"/>
      <c r="K6539"/>
      <c r="O6539"/>
      <c r="R6539"/>
      <c r="W6539" s="4"/>
      <c r="X6539" s="4"/>
      <c r="Y6539" s="4"/>
    </row>
    <row r="6540" spans="5:25">
      <c r="E6540"/>
      <c r="G6540"/>
      <c r="H6540"/>
      <c r="I6540"/>
      <c r="K6540"/>
      <c r="O6540"/>
      <c r="R6540"/>
      <c r="W6540" s="4"/>
      <c r="X6540" s="4"/>
      <c r="Y6540" s="4"/>
    </row>
    <row r="6541" spans="5:25">
      <c r="E6541"/>
      <c r="G6541"/>
      <c r="H6541"/>
      <c r="I6541"/>
      <c r="K6541"/>
      <c r="O6541"/>
      <c r="R6541"/>
      <c r="W6541" s="4"/>
      <c r="X6541" s="4"/>
      <c r="Y6541" s="4"/>
    </row>
    <row r="6542" spans="5:25">
      <c r="E6542"/>
      <c r="G6542"/>
      <c r="H6542"/>
      <c r="I6542"/>
      <c r="K6542"/>
      <c r="O6542"/>
      <c r="R6542"/>
      <c r="W6542" s="4"/>
      <c r="X6542" s="4"/>
      <c r="Y6542" s="4"/>
    </row>
    <row r="6543" spans="5:25">
      <c r="E6543"/>
      <c r="G6543"/>
      <c r="H6543"/>
      <c r="I6543"/>
      <c r="K6543"/>
      <c r="O6543"/>
      <c r="R6543"/>
      <c r="W6543" s="4"/>
      <c r="X6543" s="4"/>
      <c r="Y6543" s="4"/>
    </row>
    <row r="6544" spans="5:25">
      <c r="E6544"/>
      <c r="G6544"/>
      <c r="H6544"/>
      <c r="I6544"/>
      <c r="K6544"/>
      <c r="O6544"/>
      <c r="R6544"/>
      <c r="W6544" s="4"/>
      <c r="X6544" s="4"/>
      <c r="Y6544" s="4"/>
    </row>
    <row r="6545" spans="5:25">
      <c r="E6545"/>
      <c r="G6545"/>
      <c r="H6545"/>
      <c r="I6545"/>
      <c r="K6545"/>
      <c r="O6545"/>
      <c r="R6545"/>
      <c r="W6545" s="4"/>
      <c r="X6545" s="4"/>
      <c r="Y6545" s="4"/>
    </row>
    <row r="6546" spans="5:25">
      <c r="E6546"/>
      <c r="G6546"/>
      <c r="H6546"/>
      <c r="I6546"/>
      <c r="K6546"/>
      <c r="O6546"/>
      <c r="R6546"/>
      <c r="W6546" s="4"/>
      <c r="X6546" s="4"/>
      <c r="Y6546" s="4"/>
    </row>
    <row r="6547" spans="5:25">
      <c r="E6547"/>
      <c r="G6547"/>
      <c r="H6547"/>
      <c r="I6547"/>
      <c r="K6547"/>
      <c r="O6547"/>
      <c r="R6547"/>
      <c r="W6547" s="4"/>
      <c r="X6547" s="4"/>
      <c r="Y6547" s="4"/>
    </row>
    <row r="6548" spans="5:25">
      <c r="E6548"/>
      <c r="G6548"/>
      <c r="H6548"/>
      <c r="I6548"/>
      <c r="K6548"/>
      <c r="O6548"/>
      <c r="R6548"/>
      <c r="W6548" s="4"/>
      <c r="X6548" s="4"/>
      <c r="Y6548" s="4"/>
    </row>
    <row r="6549" spans="5:25">
      <c r="E6549"/>
      <c r="G6549"/>
      <c r="H6549"/>
      <c r="I6549"/>
      <c r="K6549"/>
      <c r="O6549"/>
      <c r="R6549"/>
      <c r="W6549" s="4"/>
      <c r="X6549" s="4"/>
      <c r="Y6549" s="4"/>
    </row>
    <row r="6550" spans="5:25">
      <c r="E6550"/>
      <c r="G6550"/>
      <c r="H6550"/>
      <c r="I6550"/>
      <c r="K6550"/>
      <c r="O6550"/>
      <c r="R6550"/>
      <c r="W6550" s="4"/>
      <c r="X6550" s="4"/>
      <c r="Y6550" s="4"/>
    </row>
    <row r="6551" spans="5:25">
      <c r="E6551"/>
      <c r="G6551"/>
      <c r="H6551"/>
      <c r="I6551"/>
      <c r="K6551"/>
      <c r="O6551"/>
      <c r="R6551"/>
      <c r="W6551" s="4"/>
      <c r="X6551" s="4"/>
      <c r="Y6551" s="4"/>
    </row>
    <row r="6552" spans="5:25">
      <c r="E6552"/>
      <c r="G6552"/>
      <c r="H6552"/>
      <c r="I6552"/>
      <c r="K6552"/>
      <c r="O6552"/>
      <c r="R6552"/>
      <c r="W6552" s="4"/>
      <c r="X6552" s="4"/>
      <c r="Y6552" s="4"/>
    </row>
    <row r="6553" spans="5:25">
      <c r="E6553"/>
      <c r="G6553"/>
      <c r="H6553"/>
      <c r="I6553"/>
      <c r="K6553"/>
      <c r="O6553"/>
      <c r="R6553"/>
      <c r="W6553" s="4"/>
      <c r="X6553" s="4"/>
      <c r="Y6553" s="4"/>
    </row>
    <row r="6554" spans="5:25">
      <c r="E6554"/>
      <c r="G6554"/>
      <c r="H6554"/>
      <c r="I6554"/>
      <c r="K6554"/>
      <c r="O6554"/>
      <c r="R6554"/>
      <c r="W6554" s="4"/>
      <c r="X6554" s="4"/>
      <c r="Y6554" s="4"/>
    </row>
    <row r="6555" spans="5:25">
      <c r="E6555"/>
      <c r="G6555"/>
      <c r="H6555"/>
      <c r="I6555"/>
      <c r="K6555"/>
      <c r="O6555"/>
      <c r="R6555"/>
      <c r="W6555" s="4"/>
      <c r="X6555" s="4"/>
      <c r="Y6555" s="4"/>
    </row>
    <row r="6556" spans="5:25">
      <c r="E6556"/>
      <c r="G6556"/>
      <c r="H6556"/>
      <c r="I6556"/>
      <c r="K6556"/>
      <c r="O6556"/>
      <c r="R6556"/>
      <c r="W6556" s="4"/>
      <c r="X6556" s="4"/>
      <c r="Y6556" s="4"/>
    </row>
    <row r="6557" spans="5:25">
      <c r="E6557"/>
      <c r="G6557"/>
      <c r="H6557"/>
      <c r="I6557"/>
      <c r="K6557"/>
      <c r="O6557"/>
      <c r="R6557"/>
      <c r="W6557" s="4"/>
      <c r="X6557" s="4"/>
      <c r="Y6557" s="4"/>
    </row>
    <row r="6558" spans="5:25">
      <c r="E6558"/>
      <c r="G6558"/>
      <c r="H6558"/>
      <c r="I6558"/>
      <c r="K6558"/>
      <c r="O6558"/>
      <c r="R6558"/>
      <c r="W6558" s="4"/>
      <c r="X6558" s="4"/>
      <c r="Y6558" s="4"/>
    </row>
    <row r="6559" spans="5:25">
      <c r="E6559"/>
      <c r="G6559"/>
      <c r="H6559"/>
      <c r="I6559"/>
      <c r="K6559"/>
      <c r="O6559"/>
      <c r="R6559"/>
      <c r="W6559" s="4"/>
      <c r="X6559" s="4"/>
      <c r="Y6559" s="4"/>
    </row>
    <row r="6560" spans="5:25">
      <c r="E6560"/>
      <c r="G6560"/>
      <c r="H6560"/>
      <c r="I6560"/>
      <c r="K6560"/>
      <c r="O6560"/>
      <c r="R6560"/>
      <c r="W6560" s="4"/>
      <c r="X6560" s="4"/>
      <c r="Y6560" s="4"/>
    </row>
    <row r="6561" spans="5:25">
      <c r="E6561"/>
      <c r="G6561"/>
      <c r="H6561"/>
      <c r="I6561"/>
      <c r="K6561"/>
      <c r="O6561"/>
      <c r="R6561"/>
      <c r="W6561" s="4"/>
      <c r="X6561" s="4"/>
      <c r="Y6561" s="4"/>
    </row>
    <row r="6562" spans="5:25">
      <c r="E6562"/>
      <c r="G6562"/>
      <c r="H6562"/>
      <c r="I6562"/>
      <c r="K6562"/>
      <c r="O6562"/>
      <c r="R6562"/>
      <c r="W6562" s="4"/>
      <c r="X6562" s="4"/>
      <c r="Y6562" s="4"/>
    </row>
    <row r="6563" spans="5:25">
      <c r="E6563"/>
      <c r="G6563"/>
      <c r="H6563"/>
      <c r="I6563"/>
      <c r="K6563"/>
      <c r="O6563"/>
      <c r="R6563"/>
      <c r="W6563" s="4"/>
      <c r="X6563" s="4"/>
      <c r="Y6563" s="4"/>
    </row>
    <row r="6564" spans="5:25">
      <c r="E6564"/>
      <c r="G6564"/>
      <c r="H6564"/>
      <c r="I6564"/>
      <c r="K6564"/>
      <c r="O6564"/>
      <c r="R6564"/>
      <c r="W6564" s="4"/>
      <c r="X6564" s="4"/>
      <c r="Y6564" s="4"/>
    </row>
    <row r="6565" spans="5:25">
      <c r="E6565"/>
      <c r="G6565"/>
      <c r="H6565"/>
      <c r="I6565"/>
      <c r="K6565"/>
      <c r="O6565"/>
      <c r="R6565"/>
      <c r="W6565" s="4"/>
      <c r="X6565" s="4"/>
      <c r="Y6565" s="4"/>
    </row>
    <row r="6566" spans="5:25">
      <c r="E6566"/>
      <c r="G6566"/>
      <c r="H6566"/>
      <c r="I6566"/>
      <c r="K6566"/>
      <c r="O6566"/>
      <c r="R6566"/>
      <c r="W6566" s="4"/>
      <c r="X6566" s="4"/>
      <c r="Y6566" s="4"/>
    </row>
    <row r="6567" spans="5:25">
      <c r="E6567"/>
      <c r="G6567"/>
      <c r="H6567"/>
      <c r="I6567"/>
      <c r="K6567"/>
      <c r="O6567"/>
      <c r="R6567"/>
      <c r="W6567" s="4"/>
      <c r="X6567" s="4"/>
      <c r="Y6567" s="4"/>
    </row>
    <row r="6568" spans="5:25">
      <c r="E6568"/>
      <c r="G6568"/>
      <c r="H6568"/>
      <c r="I6568"/>
      <c r="K6568"/>
      <c r="O6568"/>
      <c r="R6568"/>
      <c r="W6568" s="4"/>
      <c r="X6568" s="4"/>
      <c r="Y6568" s="4"/>
    </row>
    <row r="6569" spans="5:25">
      <c r="E6569"/>
      <c r="G6569"/>
      <c r="H6569"/>
      <c r="I6569"/>
      <c r="K6569"/>
      <c r="O6569"/>
      <c r="R6569"/>
      <c r="W6569" s="4"/>
      <c r="X6569" s="4"/>
      <c r="Y6569" s="4"/>
    </row>
    <row r="6570" spans="5:25">
      <c r="E6570"/>
      <c r="G6570"/>
      <c r="H6570"/>
      <c r="I6570"/>
      <c r="K6570"/>
      <c r="O6570"/>
      <c r="R6570"/>
      <c r="W6570" s="4"/>
      <c r="X6570" s="4"/>
      <c r="Y6570" s="4"/>
    </row>
    <row r="6571" spans="5:25">
      <c r="E6571"/>
      <c r="G6571"/>
      <c r="H6571"/>
      <c r="I6571"/>
      <c r="K6571"/>
      <c r="O6571"/>
      <c r="R6571"/>
      <c r="W6571" s="4"/>
      <c r="X6571" s="4"/>
      <c r="Y6571" s="4"/>
    </row>
    <row r="6572" spans="5:25">
      <c r="E6572"/>
      <c r="G6572"/>
      <c r="H6572"/>
      <c r="I6572"/>
      <c r="K6572"/>
      <c r="O6572"/>
      <c r="R6572"/>
      <c r="W6572" s="4"/>
      <c r="X6572" s="4"/>
      <c r="Y6572" s="4"/>
    </row>
    <row r="6573" spans="5:25">
      <c r="E6573"/>
      <c r="G6573"/>
      <c r="H6573"/>
      <c r="I6573"/>
      <c r="K6573"/>
      <c r="O6573"/>
      <c r="R6573"/>
      <c r="W6573" s="4"/>
      <c r="X6573" s="4"/>
      <c r="Y6573" s="4"/>
    </row>
    <row r="6574" spans="5:25">
      <c r="E6574"/>
      <c r="G6574"/>
      <c r="H6574"/>
      <c r="I6574"/>
      <c r="K6574"/>
      <c r="O6574"/>
      <c r="R6574"/>
      <c r="W6574" s="4"/>
      <c r="X6574" s="4"/>
      <c r="Y6574" s="4"/>
    </row>
    <row r="6575" spans="5:25">
      <c r="E6575"/>
      <c r="G6575"/>
      <c r="H6575"/>
      <c r="I6575"/>
      <c r="K6575"/>
      <c r="O6575"/>
      <c r="R6575"/>
      <c r="W6575" s="4"/>
      <c r="X6575" s="4"/>
      <c r="Y6575" s="4"/>
    </row>
    <row r="6576" spans="5:25">
      <c r="E6576"/>
      <c r="G6576"/>
      <c r="H6576"/>
      <c r="I6576"/>
      <c r="K6576"/>
      <c r="O6576"/>
      <c r="R6576"/>
      <c r="W6576" s="4"/>
      <c r="X6576" s="4"/>
      <c r="Y6576" s="4"/>
    </row>
    <row r="6577" spans="5:25">
      <c r="E6577"/>
      <c r="G6577"/>
      <c r="H6577"/>
      <c r="I6577"/>
      <c r="K6577"/>
      <c r="O6577"/>
      <c r="R6577"/>
      <c r="W6577" s="4"/>
      <c r="X6577" s="4"/>
      <c r="Y6577" s="4"/>
    </row>
    <row r="6578" spans="5:25">
      <c r="E6578"/>
      <c r="G6578"/>
      <c r="H6578"/>
      <c r="I6578"/>
      <c r="K6578"/>
      <c r="O6578"/>
      <c r="R6578"/>
      <c r="W6578" s="4"/>
      <c r="X6578" s="4"/>
      <c r="Y6578" s="4"/>
    </row>
    <row r="6579" spans="5:25">
      <c r="E6579"/>
      <c r="G6579"/>
      <c r="H6579"/>
      <c r="I6579"/>
      <c r="K6579"/>
      <c r="O6579"/>
      <c r="R6579"/>
      <c r="W6579" s="4"/>
      <c r="X6579" s="4"/>
      <c r="Y6579" s="4"/>
    </row>
    <row r="6580" spans="5:25">
      <c r="E6580"/>
      <c r="G6580"/>
      <c r="H6580"/>
      <c r="I6580"/>
      <c r="K6580"/>
      <c r="O6580"/>
      <c r="R6580"/>
      <c r="W6580" s="4"/>
      <c r="X6580" s="4"/>
      <c r="Y6580" s="4"/>
    </row>
    <row r="6581" spans="5:25">
      <c r="E6581"/>
      <c r="G6581"/>
      <c r="H6581"/>
      <c r="I6581"/>
      <c r="K6581"/>
      <c r="O6581"/>
      <c r="R6581"/>
      <c r="W6581" s="4"/>
      <c r="X6581" s="4"/>
      <c r="Y6581" s="4"/>
    </row>
    <row r="6582" spans="5:25">
      <c r="E6582"/>
      <c r="G6582"/>
      <c r="H6582"/>
      <c r="I6582"/>
      <c r="K6582"/>
      <c r="O6582"/>
      <c r="R6582"/>
      <c r="W6582" s="4"/>
      <c r="X6582" s="4"/>
      <c r="Y6582" s="4"/>
    </row>
    <row r="6583" spans="5:25">
      <c r="E6583"/>
      <c r="G6583"/>
      <c r="H6583"/>
      <c r="I6583"/>
      <c r="K6583"/>
      <c r="O6583"/>
      <c r="R6583"/>
      <c r="W6583" s="4"/>
      <c r="X6583" s="4"/>
      <c r="Y6583" s="4"/>
    </row>
    <row r="6584" spans="5:25">
      <c r="E6584"/>
      <c r="G6584"/>
      <c r="H6584"/>
      <c r="I6584"/>
      <c r="K6584"/>
      <c r="O6584"/>
      <c r="R6584"/>
      <c r="W6584" s="4"/>
      <c r="X6584" s="4"/>
      <c r="Y6584" s="4"/>
    </row>
    <row r="6585" spans="5:25">
      <c r="E6585"/>
      <c r="G6585"/>
      <c r="H6585"/>
      <c r="I6585"/>
      <c r="K6585"/>
      <c r="O6585"/>
      <c r="R6585"/>
      <c r="W6585" s="4"/>
      <c r="X6585" s="4"/>
      <c r="Y6585" s="4"/>
    </row>
    <row r="6586" spans="5:25">
      <c r="E6586"/>
      <c r="G6586"/>
      <c r="H6586"/>
      <c r="I6586"/>
      <c r="K6586"/>
      <c r="O6586"/>
      <c r="R6586"/>
      <c r="W6586" s="4"/>
      <c r="X6586" s="4"/>
      <c r="Y6586" s="4"/>
    </row>
    <row r="6587" spans="5:25">
      <c r="E6587"/>
      <c r="G6587"/>
      <c r="H6587"/>
      <c r="I6587"/>
      <c r="K6587"/>
      <c r="O6587"/>
      <c r="R6587"/>
      <c r="W6587" s="4"/>
      <c r="X6587" s="4"/>
      <c r="Y6587" s="4"/>
    </row>
    <row r="6588" spans="5:25">
      <c r="E6588"/>
      <c r="G6588"/>
      <c r="H6588"/>
      <c r="I6588"/>
      <c r="K6588"/>
      <c r="O6588"/>
      <c r="R6588"/>
      <c r="W6588" s="4"/>
      <c r="X6588" s="4"/>
      <c r="Y6588" s="4"/>
    </row>
    <row r="6589" spans="5:25">
      <c r="E6589"/>
      <c r="G6589"/>
      <c r="H6589"/>
      <c r="I6589"/>
      <c r="K6589"/>
      <c r="O6589"/>
      <c r="R6589"/>
      <c r="W6589" s="4"/>
      <c r="X6589" s="4"/>
      <c r="Y6589" s="4"/>
    </row>
    <row r="6590" spans="5:25">
      <c r="E6590"/>
      <c r="G6590"/>
      <c r="H6590"/>
      <c r="I6590"/>
      <c r="K6590"/>
      <c r="O6590"/>
      <c r="R6590"/>
      <c r="W6590" s="4"/>
      <c r="X6590" s="4"/>
      <c r="Y6590" s="4"/>
    </row>
    <row r="6591" spans="5:25">
      <c r="E6591"/>
      <c r="G6591"/>
      <c r="H6591"/>
      <c r="I6591"/>
      <c r="K6591"/>
      <c r="O6591"/>
      <c r="R6591"/>
      <c r="W6591" s="4"/>
      <c r="X6591" s="4"/>
      <c r="Y6591" s="4"/>
    </row>
    <row r="6592" spans="5:25">
      <c r="E6592"/>
      <c r="G6592"/>
      <c r="H6592"/>
      <c r="I6592"/>
      <c r="K6592"/>
      <c r="O6592"/>
      <c r="R6592"/>
      <c r="W6592" s="4"/>
      <c r="X6592" s="4"/>
      <c r="Y6592" s="4"/>
    </row>
    <row r="6593" spans="5:25">
      <c r="E6593"/>
      <c r="G6593"/>
      <c r="H6593"/>
      <c r="I6593"/>
      <c r="K6593"/>
      <c r="O6593"/>
      <c r="R6593"/>
      <c r="W6593" s="4"/>
      <c r="X6593" s="4"/>
      <c r="Y6593" s="4"/>
    </row>
    <row r="6594" spans="5:25">
      <c r="E6594"/>
      <c r="G6594"/>
      <c r="H6594"/>
      <c r="I6594"/>
      <c r="K6594"/>
      <c r="O6594"/>
      <c r="R6594"/>
      <c r="W6594" s="4"/>
      <c r="X6594" s="4"/>
      <c r="Y6594" s="4"/>
    </row>
    <row r="6595" spans="5:25">
      <c r="E6595"/>
      <c r="G6595"/>
      <c r="H6595"/>
      <c r="I6595"/>
      <c r="K6595"/>
      <c r="O6595"/>
      <c r="R6595"/>
      <c r="W6595" s="4"/>
      <c r="X6595" s="4"/>
      <c r="Y6595" s="4"/>
    </row>
    <row r="6596" spans="5:25">
      <c r="E6596"/>
      <c r="G6596"/>
      <c r="H6596"/>
      <c r="I6596"/>
      <c r="K6596"/>
      <c r="O6596"/>
      <c r="R6596"/>
      <c r="W6596" s="4"/>
      <c r="X6596" s="4"/>
      <c r="Y6596" s="4"/>
    </row>
    <row r="6597" spans="5:25">
      <c r="E6597"/>
      <c r="G6597"/>
      <c r="H6597"/>
      <c r="I6597"/>
      <c r="K6597"/>
      <c r="O6597"/>
      <c r="R6597"/>
      <c r="W6597" s="4"/>
      <c r="X6597" s="4"/>
      <c r="Y6597" s="4"/>
    </row>
    <row r="6598" spans="5:25">
      <c r="E6598"/>
      <c r="G6598"/>
      <c r="H6598"/>
      <c r="I6598"/>
      <c r="K6598"/>
      <c r="O6598"/>
      <c r="R6598"/>
      <c r="W6598" s="4"/>
      <c r="X6598" s="4"/>
      <c r="Y6598" s="4"/>
    </row>
    <row r="6599" spans="5:25">
      <c r="E6599"/>
      <c r="G6599"/>
      <c r="H6599"/>
      <c r="I6599"/>
      <c r="K6599"/>
      <c r="O6599"/>
      <c r="R6599"/>
      <c r="W6599" s="4"/>
      <c r="X6599" s="4"/>
      <c r="Y6599" s="4"/>
    </row>
    <row r="6600" spans="5:25">
      <c r="E6600"/>
      <c r="G6600"/>
      <c r="H6600"/>
      <c r="I6600"/>
      <c r="K6600"/>
      <c r="O6600"/>
      <c r="R6600"/>
      <c r="W6600" s="4"/>
      <c r="X6600" s="4"/>
      <c r="Y6600" s="4"/>
    </row>
    <row r="6601" spans="5:25">
      <c r="E6601"/>
      <c r="G6601"/>
      <c r="H6601"/>
      <c r="I6601"/>
      <c r="K6601"/>
      <c r="O6601"/>
      <c r="R6601"/>
      <c r="W6601" s="4"/>
      <c r="X6601" s="4"/>
      <c r="Y6601" s="4"/>
    </row>
    <row r="6602" spans="5:25">
      <c r="E6602"/>
      <c r="G6602"/>
      <c r="H6602"/>
      <c r="I6602"/>
      <c r="K6602"/>
      <c r="O6602"/>
      <c r="R6602"/>
      <c r="W6602" s="4"/>
      <c r="X6602" s="4"/>
      <c r="Y6602" s="4"/>
    </row>
    <row r="6603" spans="5:25">
      <c r="E6603"/>
      <c r="G6603"/>
      <c r="H6603"/>
      <c r="I6603"/>
      <c r="K6603"/>
      <c r="O6603"/>
      <c r="R6603"/>
      <c r="W6603" s="4"/>
      <c r="X6603" s="4"/>
      <c r="Y6603" s="4"/>
    </row>
    <row r="6604" spans="5:25">
      <c r="E6604"/>
      <c r="G6604"/>
      <c r="H6604"/>
      <c r="I6604"/>
      <c r="K6604"/>
      <c r="O6604"/>
      <c r="R6604"/>
      <c r="W6604" s="4"/>
      <c r="X6604" s="4"/>
      <c r="Y6604" s="4"/>
    </row>
    <row r="6605" spans="5:25">
      <c r="E6605"/>
      <c r="G6605"/>
      <c r="H6605"/>
      <c r="I6605"/>
      <c r="K6605"/>
      <c r="O6605"/>
      <c r="R6605"/>
      <c r="W6605" s="4"/>
      <c r="X6605" s="4"/>
      <c r="Y6605" s="4"/>
    </row>
    <row r="6606" spans="5:25">
      <c r="E6606"/>
      <c r="G6606"/>
      <c r="H6606"/>
      <c r="I6606"/>
      <c r="K6606"/>
      <c r="O6606"/>
      <c r="R6606"/>
      <c r="W6606" s="4"/>
      <c r="X6606" s="4"/>
      <c r="Y6606" s="4"/>
    </row>
    <row r="6607" spans="5:25">
      <c r="E6607"/>
      <c r="G6607"/>
      <c r="H6607"/>
      <c r="I6607"/>
      <c r="K6607"/>
      <c r="O6607"/>
      <c r="R6607"/>
      <c r="W6607" s="4"/>
      <c r="X6607" s="4"/>
      <c r="Y6607" s="4"/>
    </row>
    <row r="6608" spans="5:25">
      <c r="E6608"/>
      <c r="G6608"/>
      <c r="H6608"/>
      <c r="I6608"/>
      <c r="K6608"/>
      <c r="O6608"/>
      <c r="R6608"/>
      <c r="W6608" s="4"/>
      <c r="X6608" s="4"/>
      <c r="Y6608" s="4"/>
    </row>
    <row r="6609" spans="5:25">
      <c r="E6609"/>
      <c r="G6609"/>
      <c r="H6609"/>
      <c r="I6609"/>
      <c r="K6609"/>
      <c r="O6609"/>
      <c r="R6609"/>
      <c r="W6609" s="4"/>
      <c r="X6609" s="4"/>
      <c r="Y6609" s="4"/>
    </row>
    <row r="6610" spans="5:25">
      <c r="E6610"/>
      <c r="G6610"/>
      <c r="H6610"/>
      <c r="I6610"/>
      <c r="K6610"/>
      <c r="O6610"/>
      <c r="R6610"/>
      <c r="W6610" s="4"/>
      <c r="X6610" s="4"/>
      <c r="Y6610" s="4"/>
    </row>
    <row r="6611" spans="5:25">
      <c r="E6611"/>
      <c r="G6611"/>
      <c r="H6611"/>
      <c r="I6611"/>
      <c r="K6611"/>
      <c r="O6611"/>
      <c r="R6611"/>
      <c r="W6611" s="4"/>
      <c r="X6611" s="4"/>
      <c r="Y6611" s="4"/>
    </row>
    <row r="6612" spans="5:25">
      <c r="E6612"/>
      <c r="G6612"/>
      <c r="H6612"/>
      <c r="I6612"/>
      <c r="K6612"/>
      <c r="O6612"/>
      <c r="R6612"/>
      <c r="W6612" s="4"/>
      <c r="X6612" s="4"/>
      <c r="Y6612" s="4"/>
    </row>
    <row r="6613" spans="5:25">
      <c r="E6613"/>
      <c r="G6613"/>
      <c r="H6613"/>
      <c r="I6613"/>
      <c r="K6613"/>
      <c r="O6613"/>
      <c r="R6613"/>
      <c r="W6613" s="4"/>
      <c r="X6613" s="4"/>
      <c r="Y6613" s="4"/>
    </row>
    <row r="6614" spans="5:25">
      <c r="E6614"/>
      <c r="G6614"/>
      <c r="H6614"/>
      <c r="I6614"/>
      <c r="K6614"/>
      <c r="O6614"/>
      <c r="R6614"/>
      <c r="W6614" s="4"/>
      <c r="X6614" s="4"/>
      <c r="Y6614" s="4"/>
    </row>
    <row r="6615" spans="5:25">
      <c r="E6615"/>
      <c r="G6615"/>
      <c r="H6615"/>
      <c r="I6615"/>
      <c r="K6615"/>
      <c r="O6615"/>
      <c r="R6615"/>
      <c r="W6615" s="4"/>
      <c r="X6615" s="4"/>
      <c r="Y6615" s="4"/>
    </row>
    <row r="6616" spans="5:25">
      <c r="E6616"/>
      <c r="G6616"/>
      <c r="H6616"/>
      <c r="I6616"/>
      <c r="K6616"/>
      <c r="O6616"/>
      <c r="R6616"/>
      <c r="W6616" s="4"/>
      <c r="X6616" s="4"/>
      <c r="Y6616" s="4"/>
    </row>
    <row r="6617" spans="5:25">
      <c r="E6617"/>
      <c r="G6617"/>
      <c r="H6617"/>
      <c r="I6617"/>
      <c r="K6617"/>
      <c r="O6617"/>
      <c r="R6617"/>
      <c r="W6617" s="4"/>
      <c r="X6617" s="4"/>
      <c r="Y6617" s="4"/>
    </row>
    <row r="6618" spans="5:25">
      <c r="E6618"/>
      <c r="G6618"/>
      <c r="H6618"/>
      <c r="I6618"/>
      <c r="K6618"/>
      <c r="O6618"/>
      <c r="R6618"/>
      <c r="W6618" s="4"/>
      <c r="X6618" s="4"/>
      <c r="Y6618" s="4"/>
    </row>
    <row r="6619" spans="5:25">
      <c r="E6619"/>
      <c r="G6619"/>
      <c r="H6619"/>
      <c r="I6619"/>
      <c r="K6619"/>
      <c r="O6619"/>
      <c r="R6619"/>
      <c r="W6619" s="4"/>
      <c r="X6619" s="4"/>
      <c r="Y6619" s="4"/>
    </row>
    <row r="6620" spans="5:25">
      <c r="E6620"/>
      <c r="G6620"/>
      <c r="H6620"/>
      <c r="I6620"/>
      <c r="K6620"/>
      <c r="O6620"/>
      <c r="R6620"/>
      <c r="W6620" s="4"/>
      <c r="X6620" s="4"/>
      <c r="Y6620" s="4"/>
    </row>
    <row r="6621" spans="5:25">
      <c r="E6621"/>
      <c r="G6621"/>
      <c r="H6621"/>
      <c r="I6621"/>
      <c r="K6621"/>
      <c r="O6621"/>
      <c r="R6621"/>
      <c r="W6621" s="4"/>
      <c r="X6621" s="4"/>
      <c r="Y6621" s="4"/>
    </row>
    <row r="6622" spans="5:25">
      <c r="E6622"/>
      <c r="G6622"/>
      <c r="H6622"/>
      <c r="I6622"/>
      <c r="K6622"/>
      <c r="O6622"/>
      <c r="R6622"/>
      <c r="W6622" s="4"/>
      <c r="X6622" s="4"/>
      <c r="Y6622" s="4"/>
    </row>
    <row r="6623" spans="5:25">
      <c r="E6623"/>
      <c r="G6623"/>
      <c r="H6623"/>
      <c r="I6623"/>
      <c r="K6623"/>
      <c r="O6623"/>
      <c r="R6623"/>
      <c r="W6623" s="4"/>
      <c r="X6623" s="4"/>
      <c r="Y6623" s="4"/>
    </row>
    <row r="6624" spans="5:25">
      <c r="E6624"/>
      <c r="G6624"/>
      <c r="H6624"/>
      <c r="I6624"/>
      <c r="K6624"/>
      <c r="O6624"/>
      <c r="R6624"/>
      <c r="W6624" s="4"/>
      <c r="X6624" s="4"/>
      <c r="Y6624" s="4"/>
    </row>
    <row r="6625" spans="5:25">
      <c r="E6625"/>
      <c r="G6625"/>
      <c r="H6625"/>
      <c r="I6625"/>
      <c r="K6625"/>
      <c r="O6625"/>
      <c r="R6625"/>
      <c r="W6625" s="4"/>
      <c r="X6625" s="4"/>
      <c r="Y6625" s="4"/>
    </row>
    <row r="6626" spans="5:25">
      <c r="E6626"/>
      <c r="G6626"/>
      <c r="H6626"/>
      <c r="I6626"/>
      <c r="K6626"/>
      <c r="O6626"/>
      <c r="R6626"/>
      <c r="W6626" s="4"/>
      <c r="X6626" s="4"/>
      <c r="Y6626" s="4"/>
    </row>
    <row r="6627" spans="5:25">
      <c r="E6627"/>
      <c r="G6627"/>
      <c r="H6627"/>
      <c r="I6627"/>
      <c r="K6627"/>
      <c r="O6627"/>
      <c r="R6627"/>
      <c r="W6627" s="4"/>
      <c r="X6627" s="4"/>
      <c r="Y6627" s="4"/>
    </row>
    <row r="6628" spans="5:25">
      <c r="E6628"/>
      <c r="G6628"/>
      <c r="H6628"/>
      <c r="I6628"/>
      <c r="K6628"/>
      <c r="O6628"/>
      <c r="R6628"/>
      <c r="W6628" s="4"/>
      <c r="X6628" s="4"/>
      <c r="Y6628" s="4"/>
    </row>
    <row r="6629" spans="5:25">
      <c r="E6629"/>
      <c r="G6629"/>
      <c r="H6629"/>
      <c r="I6629"/>
      <c r="K6629"/>
      <c r="O6629"/>
      <c r="R6629"/>
      <c r="W6629" s="4"/>
      <c r="X6629" s="4"/>
      <c r="Y6629" s="4"/>
    </row>
    <row r="6630" spans="5:25">
      <c r="E6630"/>
      <c r="G6630"/>
      <c r="H6630"/>
      <c r="I6630"/>
      <c r="K6630"/>
      <c r="O6630"/>
      <c r="R6630"/>
      <c r="W6630" s="4"/>
      <c r="X6630" s="4"/>
      <c r="Y6630" s="4"/>
    </row>
    <row r="6631" spans="5:25">
      <c r="E6631"/>
      <c r="G6631"/>
      <c r="H6631"/>
      <c r="I6631"/>
      <c r="K6631"/>
      <c r="O6631"/>
      <c r="R6631"/>
      <c r="W6631" s="4"/>
      <c r="X6631" s="4"/>
      <c r="Y6631" s="4"/>
    </row>
    <row r="6632" spans="5:25">
      <c r="E6632"/>
      <c r="G6632"/>
      <c r="H6632"/>
      <c r="I6632"/>
      <c r="K6632"/>
      <c r="O6632"/>
      <c r="R6632"/>
      <c r="W6632" s="4"/>
      <c r="X6632" s="4"/>
      <c r="Y6632" s="4"/>
    </row>
    <row r="6633" spans="5:25">
      <c r="E6633"/>
      <c r="G6633"/>
      <c r="H6633"/>
      <c r="I6633"/>
      <c r="K6633"/>
      <c r="O6633"/>
      <c r="R6633"/>
      <c r="W6633" s="4"/>
      <c r="X6633" s="4"/>
      <c r="Y6633" s="4"/>
    </row>
    <row r="6634" spans="5:25">
      <c r="E6634"/>
      <c r="G6634"/>
      <c r="H6634"/>
      <c r="I6634"/>
      <c r="K6634"/>
      <c r="O6634"/>
      <c r="R6634"/>
      <c r="W6634" s="4"/>
      <c r="X6634" s="4"/>
      <c r="Y6634" s="4"/>
    </row>
    <row r="6635" spans="5:25">
      <c r="E6635"/>
      <c r="G6635"/>
      <c r="H6635"/>
      <c r="I6635"/>
      <c r="K6635"/>
      <c r="O6635"/>
      <c r="R6635"/>
      <c r="W6635" s="4"/>
      <c r="X6635" s="4"/>
      <c r="Y6635" s="4"/>
    </row>
    <row r="6636" spans="5:25">
      <c r="E6636"/>
      <c r="G6636"/>
      <c r="H6636"/>
      <c r="I6636"/>
      <c r="K6636"/>
      <c r="O6636"/>
      <c r="R6636"/>
      <c r="W6636" s="4"/>
      <c r="X6636" s="4"/>
      <c r="Y6636" s="4"/>
    </row>
    <row r="6637" spans="5:25">
      <c r="E6637"/>
      <c r="G6637"/>
      <c r="H6637"/>
      <c r="I6637"/>
      <c r="K6637"/>
      <c r="O6637"/>
      <c r="R6637"/>
      <c r="W6637" s="4"/>
      <c r="X6637" s="4"/>
      <c r="Y6637" s="4"/>
    </row>
    <row r="6638" spans="5:25">
      <c r="E6638"/>
      <c r="G6638"/>
      <c r="H6638"/>
      <c r="I6638"/>
      <c r="K6638"/>
      <c r="O6638"/>
      <c r="R6638"/>
      <c r="W6638" s="4"/>
      <c r="X6638" s="4"/>
      <c r="Y6638" s="4"/>
    </row>
    <row r="6639" spans="5:25">
      <c r="E6639"/>
      <c r="G6639"/>
      <c r="H6639"/>
      <c r="I6639"/>
      <c r="K6639"/>
      <c r="O6639"/>
      <c r="R6639"/>
      <c r="W6639" s="4"/>
      <c r="X6639" s="4"/>
      <c r="Y6639" s="4"/>
    </row>
    <row r="6640" spans="5:25">
      <c r="E6640"/>
      <c r="G6640"/>
      <c r="H6640"/>
      <c r="I6640"/>
      <c r="K6640"/>
      <c r="O6640"/>
      <c r="R6640"/>
      <c r="W6640" s="4"/>
      <c r="X6640" s="4"/>
      <c r="Y6640" s="4"/>
    </row>
    <row r="6641" spans="5:25">
      <c r="E6641"/>
      <c r="G6641"/>
      <c r="H6641"/>
      <c r="I6641"/>
      <c r="K6641"/>
      <c r="O6641"/>
      <c r="R6641"/>
      <c r="W6641" s="4"/>
      <c r="X6641" s="4"/>
      <c r="Y6641" s="4"/>
    </row>
    <row r="6642" spans="5:25">
      <c r="E6642"/>
      <c r="G6642"/>
      <c r="H6642"/>
      <c r="I6642"/>
      <c r="K6642"/>
      <c r="O6642"/>
      <c r="R6642"/>
      <c r="W6642" s="4"/>
      <c r="X6642" s="4"/>
      <c r="Y6642" s="4"/>
    </row>
    <row r="6643" spans="5:25">
      <c r="E6643"/>
      <c r="G6643"/>
      <c r="H6643"/>
      <c r="I6643"/>
      <c r="K6643"/>
      <c r="O6643"/>
      <c r="R6643"/>
      <c r="W6643" s="4"/>
      <c r="X6643" s="4"/>
      <c r="Y6643" s="4"/>
    </row>
    <row r="6644" spans="5:25">
      <c r="E6644"/>
      <c r="G6644"/>
      <c r="H6644"/>
      <c r="I6644"/>
      <c r="K6644"/>
      <c r="O6644"/>
      <c r="R6644"/>
      <c r="W6644" s="4"/>
      <c r="X6644" s="4"/>
      <c r="Y6644" s="4"/>
    </row>
    <row r="6645" spans="5:25">
      <c r="E6645"/>
      <c r="G6645"/>
      <c r="H6645"/>
      <c r="I6645"/>
      <c r="K6645"/>
      <c r="O6645"/>
      <c r="R6645"/>
      <c r="W6645" s="4"/>
      <c r="X6645" s="4"/>
      <c r="Y6645" s="4"/>
    </row>
    <row r="6646" spans="5:25">
      <c r="E6646"/>
      <c r="G6646"/>
      <c r="H6646"/>
      <c r="I6646"/>
      <c r="K6646"/>
      <c r="O6646"/>
      <c r="R6646"/>
      <c r="W6646" s="4"/>
      <c r="X6646" s="4"/>
      <c r="Y6646" s="4"/>
    </row>
    <row r="6647" spans="5:25">
      <c r="E6647"/>
      <c r="G6647"/>
      <c r="H6647"/>
      <c r="I6647"/>
      <c r="K6647"/>
      <c r="O6647"/>
      <c r="R6647"/>
      <c r="W6647" s="4"/>
      <c r="X6647" s="4"/>
      <c r="Y6647" s="4"/>
    </row>
    <row r="6648" spans="5:25">
      <c r="E6648"/>
      <c r="G6648"/>
      <c r="H6648"/>
      <c r="I6648"/>
      <c r="K6648"/>
      <c r="O6648"/>
      <c r="R6648"/>
      <c r="W6648" s="4"/>
      <c r="X6648" s="4"/>
      <c r="Y6648" s="4"/>
    </row>
    <row r="6649" spans="5:25">
      <c r="E6649"/>
      <c r="G6649"/>
      <c r="H6649"/>
      <c r="I6649"/>
      <c r="K6649"/>
      <c r="O6649"/>
      <c r="R6649"/>
      <c r="W6649" s="4"/>
      <c r="X6649" s="4"/>
      <c r="Y6649" s="4"/>
    </row>
    <row r="6650" spans="5:25">
      <c r="E6650"/>
      <c r="G6650"/>
      <c r="H6650"/>
      <c r="I6650"/>
      <c r="K6650"/>
      <c r="O6650"/>
      <c r="R6650"/>
      <c r="W6650" s="4"/>
      <c r="X6650" s="4"/>
      <c r="Y6650" s="4"/>
    </row>
    <row r="6651" spans="5:25">
      <c r="E6651"/>
      <c r="G6651"/>
      <c r="H6651"/>
      <c r="I6651"/>
      <c r="K6651"/>
      <c r="O6651"/>
      <c r="R6651"/>
      <c r="W6651" s="4"/>
      <c r="X6651" s="4"/>
      <c r="Y6651" s="4"/>
    </row>
    <row r="6652" spans="5:25">
      <c r="E6652"/>
      <c r="G6652"/>
      <c r="H6652"/>
      <c r="I6652"/>
      <c r="K6652"/>
      <c r="O6652"/>
      <c r="R6652"/>
      <c r="W6652" s="4"/>
      <c r="X6652" s="4"/>
      <c r="Y6652" s="4"/>
    </row>
    <row r="6653" spans="5:25">
      <c r="E6653"/>
      <c r="G6653"/>
      <c r="H6653"/>
      <c r="I6653"/>
      <c r="K6653"/>
      <c r="O6653"/>
      <c r="R6653"/>
      <c r="W6653" s="4"/>
      <c r="X6653" s="4"/>
      <c r="Y6653" s="4"/>
    </row>
    <row r="6654" spans="5:25">
      <c r="E6654"/>
      <c r="G6654"/>
      <c r="H6654"/>
      <c r="I6654"/>
      <c r="K6654"/>
      <c r="O6654"/>
      <c r="R6654"/>
      <c r="W6654" s="4"/>
      <c r="X6654" s="4"/>
      <c r="Y6654" s="4"/>
    </row>
    <row r="6655" spans="5:25">
      <c r="E6655"/>
      <c r="G6655"/>
      <c r="H6655"/>
      <c r="I6655"/>
      <c r="K6655"/>
      <c r="O6655"/>
      <c r="R6655"/>
      <c r="W6655" s="4"/>
      <c r="X6655" s="4"/>
      <c r="Y6655" s="4"/>
    </row>
    <row r="6656" spans="5:25">
      <c r="E6656"/>
      <c r="G6656"/>
      <c r="H6656"/>
      <c r="I6656"/>
      <c r="K6656"/>
      <c r="O6656"/>
      <c r="R6656"/>
      <c r="W6656" s="4"/>
      <c r="X6656" s="4"/>
      <c r="Y6656" s="4"/>
    </row>
    <row r="6657" spans="5:25">
      <c r="E6657"/>
      <c r="G6657"/>
      <c r="H6657"/>
      <c r="I6657"/>
      <c r="K6657"/>
      <c r="O6657"/>
      <c r="R6657"/>
      <c r="W6657" s="4"/>
      <c r="X6657" s="4"/>
      <c r="Y6657" s="4"/>
    </row>
    <row r="6658" spans="5:25">
      <c r="E6658"/>
      <c r="G6658"/>
      <c r="H6658"/>
      <c r="I6658"/>
      <c r="K6658"/>
      <c r="O6658"/>
      <c r="R6658"/>
      <c r="W6658" s="4"/>
      <c r="X6658" s="4"/>
      <c r="Y6658" s="4"/>
    </row>
    <row r="6659" spans="5:25">
      <c r="E6659"/>
      <c r="G6659"/>
      <c r="H6659"/>
      <c r="I6659"/>
      <c r="K6659"/>
      <c r="O6659"/>
      <c r="R6659"/>
      <c r="W6659" s="4"/>
      <c r="X6659" s="4"/>
      <c r="Y6659" s="4"/>
    </row>
    <row r="6660" spans="5:25">
      <c r="E6660"/>
      <c r="G6660"/>
      <c r="H6660"/>
      <c r="I6660"/>
      <c r="K6660"/>
      <c r="O6660"/>
      <c r="R6660"/>
      <c r="W6660" s="4"/>
      <c r="X6660" s="4"/>
      <c r="Y6660" s="4"/>
    </row>
    <row r="6661" spans="5:25">
      <c r="E6661"/>
      <c r="G6661"/>
      <c r="H6661"/>
      <c r="I6661"/>
      <c r="K6661"/>
      <c r="O6661"/>
      <c r="R6661"/>
      <c r="W6661" s="4"/>
      <c r="X6661" s="4"/>
      <c r="Y6661" s="4"/>
    </row>
    <row r="6662" spans="5:25">
      <c r="E6662"/>
      <c r="G6662"/>
      <c r="H6662"/>
      <c r="I6662"/>
      <c r="K6662"/>
      <c r="O6662"/>
      <c r="R6662"/>
      <c r="W6662" s="4"/>
      <c r="X6662" s="4"/>
      <c r="Y6662" s="4"/>
    </row>
    <row r="6663" spans="5:25">
      <c r="E6663"/>
      <c r="G6663"/>
      <c r="H6663"/>
      <c r="I6663"/>
      <c r="K6663"/>
      <c r="O6663"/>
      <c r="R6663"/>
      <c r="W6663" s="4"/>
      <c r="X6663" s="4"/>
      <c r="Y6663" s="4"/>
    </row>
    <row r="6664" spans="5:25">
      <c r="E6664"/>
      <c r="G6664"/>
      <c r="H6664"/>
      <c r="I6664"/>
      <c r="K6664"/>
      <c r="O6664"/>
      <c r="R6664"/>
      <c r="W6664" s="4"/>
      <c r="X6664" s="4"/>
      <c r="Y6664" s="4"/>
    </row>
    <row r="6665" spans="5:25">
      <c r="E6665"/>
      <c r="G6665"/>
      <c r="H6665"/>
      <c r="I6665"/>
      <c r="K6665"/>
      <c r="O6665"/>
      <c r="R6665"/>
      <c r="W6665" s="4"/>
      <c r="X6665" s="4"/>
      <c r="Y6665" s="4"/>
    </row>
    <row r="6666" spans="5:25">
      <c r="E6666"/>
      <c r="G6666"/>
      <c r="H6666"/>
      <c r="I6666"/>
      <c r="K6666"/>
      <c r="O6666"/>
      <c r="R6666"/>
      <c r="W6666" s="4"/>
      <c r="X6666" s="4"/>
      <c r="Y6666" s="4"/>
    </row>
    <row r="6667" spans="5:25">
      <c r="E6667"/>
      <c r="G6667"/>
      <c r="H6667"/>
      <c r="I6667"/>
      <c r="K6667"/>
      <c r="O6667"/>
      <c r="R6667"/>
      <c r="W6667" s="4"/>
      <c r="X6667" s="4"/>
      <c r="Y6667" s="4"/>
    </row>
    <row r="6668" spans="5:25">
      <c r="E6668"/>
      <c r="G6668"/>
      <c r="H6668"/>
      <c r="I6668"/>
      <c r="K6668"/>
      <c r="O6668"/>
      <c r="R6668"/>
      <c r="W6668" s="4"/>
      <c r="X6668" s="4"/>
      <c r="Y6668" s="4"/>
    </row>
    <row r="6669" spans="5:25">
      <c r="E6669"/>
      <c r="G6669"/>
      <c r="H6669"/>
      <c r="I6669"/>
      <c r="K6669"/>
      <c r="O6669"/>
      <c r="R6669"/>
      <c r="W6669" s="4"/>
      <c r="X6669" s="4"/>
      <c r="Y6669" s="4"/>
    </row>
    <row r="6670" spans="5:25">
      <c r="E6670"/>
      <c r="G6670"/>
      <c r="H6670"/>
      <c r="I6670"/>
      <c r="K6670"/>
      <c r="O6670"/>
      <c r="R6670"/>
      <c r="W6670" s="4"/>
      <c r="X6670" s="4"/>
      <c r="Y6670" s="4"/>
    </row>
    <row r="6671" spans="5:25">
      <c r="E6671"/>
      <c r="G6671"/>
      <c r="H6671"/>
      <c r="I6671"/>
      <c r="K6671"/>
      <c r="O6671"/>
      <c r="R6671"/>
      <c r="W6671" s="4"/>
      <c r="X6671" s="4"/>
      <c r="Y6671" s="4"/>
    </row>
    <row r="6672" spans="5:25">
      <c r="E6672"/>
      <c r="G6672"/>
      <c r="H6672"/>
      <c r="I6672"/>
      <c r="K6672"/>
      <c r="O6672"/>
      <c r="R6672"/>
      <c r="W6672" s="4"/>
      <c r="X6672" s="4"/>
      <c r="Y6672" s="4"/>
    </row>
    <row r="6673" spans="5:25">
      <c r="E6673"/>
      <c r="G6673"/>
      <c r="H6673"/>
      <c r="I6673"/>
      <c r="K6673"/>
      <c r="O6673"/>
      <c r="R6673"/>
      <c r="W6673" s="4"/>
      <c r="X6673" s="4"/>
      <c r="Y6673" s="4"/>
    </row>
    <row r="6674" spans="5:25">
      <c r="E6674"/>
      <c r="G6674"/>
      <c r="H6674"/>
      <c r="I6674"/>
      <c r="K6674"/>
      <c r="O6674"/>
      <c r="R6674"/>
      <c r="W6674" s="4"/>
      <c r="X6674" s="4"/>
      <c r="Y6674" s="4"/>
    </row>
    <row r="6675" spans="5:25">
      <c r="E6675"/>
      <c r="G6675"/>
      <c r="H6675"/>
      <c r="I6675"/>
      <c r="K6675"/>
      <c r="O6675"/>
      <c r="R6675"/>
      <c r="W6675" s="4"/>
      <c r="X6675" s="4"/>
      <c r="Y6675" s="4"/>
    </row>
    <row r="6676" spans="5:25">
      <c r="E6676"/>
      <c r="G6676"/>
      <c r="H6676"/>
      <c r="I6676"/>
      <c r="K6676"/>
      <c r="O6676"/>
      <c r="R6676"/>
      <c r="W6676" s="4"/>
      <c r="X6676" s="4"/>
      <c r="Y6676" s="4"/>
    </row>
    <row r="6677" spans="5:25">
      <c r="E6677"/>
      <c r="G6677"/>
      <c r="H6677"/>
      <c r="I6677"/>
      <c r="K6677"/>
      <c r="O6677"/>
      <c r="R6677"/>
      <c r="W6677" s="4"/>
      <c r="X6677" s="4"/>
      <c r="Y6677" s="4"/>
    </row>
    <row r="6678" spans="5:25">
      <c r="E6678"/>
      <c r="G6678"/>
      <c r="H6678"/>
      <c r="I6678"/>
      <c r="K6678"/>
      <c r="O6678"/>
      <c r="R6678"/>
      <c r="W6678" s="4"/>
      <c r="X6678" s="4"/>
      <c r="Y6678" s="4"/>
    </row>
    <row r="6679" spans="5:25">
      <c r="E6679"/>
      <c r="G6679"/>
      <c r="H6679"/>
      <c r="I6679"/>
      <c r="K6679"/>
      <c r="O6679"/>
      <c r="R6679"/>
      <c r="W6679" s="4"/>
      <c r="X6679" s="4"/>
      <c r="Y6679" s="4"/>
    </row>
    <row r="6680" spans="5:25">
      <c r="E6680"/>
      <c r="G6680"/>
      <c r="H6680"/>
      <c r="I6680"/>
      <c r="K6680"/>
      <c r="O6680"/>
      <c r="R6680"/>
      <c r="W6680" s="4"/>
      <c r="X6680" s="4"/>
      <c r="Y6680" s="4"/>
    </row>
    <row r="6681" spans="5:25">
      <c r="E6681"/>
      <c r="G6681"/>
      <c r="H6681"/>
      <c r="I6681"/>
      <c r="K6681"/>
      <c r="O6681"/>
      <c r="R6681"/>
      <c r="W6681" s="4"/>
      <c r="X6681" s="4"/>
      <c r="Y6681" s="4"/>
    </row>
    <row r="6682" spans="5:25">
      <c r="E6682"/>
      <c r="G6682"/>
      <c r="H6682"/>
      <c r="I6682"/>
      <c r="K6682"/>
      <c r="O6682"/>
      <c r="R6682"/>
      <c r="W6682" s="4"/>
      <c r="X6682" s="4"/>
      <c r="Y6682" s="4"/>
    </row>
    <row r="6683" spans="5:25">
      <c r="E6683"/>
      <c r="G6683"/>
      <c r="H6683"/>
      <c r="I6683"/>
      <c r="K6683"/>
      <c r="O6683"/>
      <c r="R6683"/>
      <c r="W6683" s="4"/>
      <c r="X6683" s="4"/>
      <c r="Y6683" s="4"/>
    </row>
    <row r="6684" spans="5:25">
      <c r="E6684"/>
      <c r="G6684"/>
      <c r="H6684"/>
      <c r="I6684"/>
      <c r="K6684"/>
      <c r="O6684"/>
      <c r="R6684"/>
      <c r="W6684" s="4"/>
      <c r="X6684" s="4"/>
      <c r="Y6684" s="4"/>
    </row>
    <row r="6685" spans="5:25">
      <c r="E6685"/>
      <c r="G6685"/>
      <c r="H6685"/>
      <c r="I6685"/>
      <c r="K6685"/>
      <c r="O6685"/>
      <c r="R6685"/>
      <c r="W6685" s="4"/>
      <c r="X6685" s="4"/>
      <c r="Y6685" s="4"/>
    </row>
    <row r="6686" spans="5:25">
      <c r="E6686"/>
      <c r="G6686"/>
      <c r="H6686"/>
      <c r="I6686"/>
      <c r="K6686"/>
      <c r="O6686"/>
      <c r="R6686"/>
      <c r="W6686" s="4"/>
      <c r="X6686" s="4"/>
      <c r="Y6686" s="4"/>
    </row>
    <row r="6687" spans="5:25">
      <c r="E6687"/>
      <c r="G6687"/>
      <c r="H6687"/>
      <c r="I6687"/>
      <c r="K6687"/>
      <c r="O6687"/>
      <c r="R6687"/>
      <c r="W6687" s="4"/>
      <c r="X6687" s="4"/>
      <c r="Y6687" s="4"/>
    </row>
    <row r="6688" spans="5:25">
      <c r="E6688"/>
      <c r="G6688"/>
      <c r="H6688"/>
      <c r="I6688"/>
      <c r="K6688"/>
      <c r="O6688"/>
      <c r="R6688"/>
      <c r="W6688" s="4"/>
      <c r="X6688" s="4"/>
      <c r="Y6688" s="4"/>
    </row>
    <row r="6689" spans="5:25">
      <c r="E6689"/>
      <c r="G6689"/>
      <c r="H6689"/>
      <c r="I6689"/>
      <c r="K6689"/>
      <c r="O6689"/>
      <c r="R6689"/>
      <c r="W6689" s="4"/>
      <c r="X6689" s="4"/>
      <c r="Y6689" s="4"/>
    </row>
    <row r="6690" spans="5:25">
      <c r="E6690"/>
      <c r="G6690"/>
      <c r="H6690"/>
      <c r="I6690"/>
      <c r="K6690"/>
      <c r="O6690"/>
      <c r="R6690"/>
      <c r="W6690" s="4"/>
      <c r="X6690" s="4"/>
      <c r="Y6690" s="4"/>
    </row>
    <row r="6691" spans="5:25">
      <c r="E6691"/>
      <c r="G6691"/>
      <c r="H6691"/>
      <c r="I6691"/>
      <c r="K6691"/>
      <c r="O6691"/>
      <c r="R6691"/>
      <c r="W6691" s="4"/>
      <c r="X6691" s="4"/>
      <c r="Y6691" s="4"/>
    </row>
    <row r="6692" spans="5:25">
      <c r="E6692"/>
      <c r="G6692"/>
      <c r="H6692"/>
      <c r="I6692"/>
      <c r="K6692"/>
      <c r="O6692"/>
      <c r="R6692"/>
      <c r="W6692" s="4"/>
      <c r="X6692" s="4"/>
      <c r="Y6692" s="4"/>
    </row>
    <row r="6693" spans="5:25">
      <c r="E6693"/>
      <c r="G6693"/>
      <c r="H6693"/>
      <c r="I6693"/>
      <c r="K6693"/>
      <c r="O6693"/>
      <c r="R6693"/>
      <c r="W6693" s="4"/>
      <c r="X6693" s="4"/>
      <c r="Y6693" s="4"/>
    </row>
    <row r="6694" spans="5:25">
      <c r="E6694"/>
      <c r="G6694"/>
      <c r="H6694"/>
      <c r="I6694"/>
      <c r="K6694"/>
      <c r="O6694"/>
      <c r="R6694"/>
      <c r="W6694" s="4"/>
      <c r="X6694" s="4"/>
      <c r="Y6694" s="4"/>
    </row>
    <row r="6695" spans="5:25">
      <c r="E6695"/>
      <c r="G6695"/>
      <c r="H6695"/>
      <c r="I6695"/>
      <c r="K6695"/>
      <c r="O6695"/>
      <c r="R6695"/>
      <c r="W6695" s="4"/>
      <c r="X6695" s="4"/>
      <c r="Y6695" s="4"/>
    </row>
    <row r="6696" spans="5:25">
      <c r="E6696"/>
      <c r="G6696"/>
      <c r="H6696"/>
      <c r="I6696"/>
      <c r="K6696"/>
      <c r="O6696"/>
      <c r="R6696"/>
      <c r="W6696" s="4"/>
      <c r="X6696" s="4"/>
      <c r="Y6696" s="4"/>
    </row>
    <row r="6697" spans="5:25">
      <c r="E6697"/>
      <c r="G6697"/>
      <c r="H6697"/>
      <c r="I6697"/>
      <c r="K6697"/>
      <c r="O6697"/>
      <c r="R6697"/>
      <c r="W6697" s="4"/>
      <c r="X6697" s="4"/>
      <c r="Y6697" s="4"/>
    </row>
    <row r="6698" spans="5:25">
      <c r="E6698"/>
      <c r="G6698"/>
      <c r="H6698"/>
      <c r="I6698"/>
      <c r="K6698"/>
      <c r="O6698"/>
      <c r="R6698"/>
      <c r="W6698" s="4"/>
      <c r="X6698" s="4"/>
      <c r="Y6698" s="4"/>
    </row>
    <row r="6699" spans="5:25">
      <c r="E6699"/>
      <c r="G6699"/>
      <c r="H6699"/>
      <c r="I6699"/>
      <c r="K6699"/>
      <c r="O6699"/>
      <c r="R6699"/>
      <c r="W6699" s="4"/>
      <c r="X6699" s="4"/>
      <c r="Y6699" s="4"/>
    </row>
    <row r="6700" spans="5:25">
      <c r="E6700"/>
      <c r="G6700"/>
      <c r="H6700"/>
      <c r="I6700"/>
      <c r="K6700"/>
      <c r="O6700"/>
      <c r="R6700"/>
      <c r="W6700" s="4"/>
      <c r="X6700" s="4"/>
      <c r="Y6700" s="4"/>
    </row>
    <row r="6701" spans="5:25">
      <c r="E6701"/>
      <c r="G6701"/>
      <c r="H6701"/>
      <c r="I6701"/>
      <c r="K6701"/>
      <c r="O6701"/>
      <c r="R6701"/>
      <c r="W6701" s="4"/>
      <c r="X6701" s="4"/>
      <c r="Y6701" s="4"/>
    </row>
    <row r="6702" spans="5:25">
      <c r="E6702"/>
      <c r="G6702"/>
      <c r="H6702"/>
      <c r="I6702"/>
      <c r="K6702"/>
      <c r="O6702"/>
      <c r="R6702"/>
      <c r="W6702" s="4"/>
      <c r="X6702" s="4"/>
      <c r="Y6702" s="4"/>
    </row>
    <row r="6703" spans="5:25">
      <c r="E6703"/>
      <c r="G6703"/>
      <c r="H6703"/>
      <c r="I6703"/>
      <c r="K6703"/>
      <c r="O6703"/>
      <c r="R6703"/>
      <c r="W6703" s="4"/>
      <c r="X6703" s="4"/>
      <c r="Y6703" s="4"/>
    </row>
    <row r="6704" spans="5:25">
      <c r="E6704"/>
      <c r="G6704"/>
      <c r="H6704"/>
      <c r="I6704"/>
      <c r="K6704"/>
      <c r="O6704"/>
      <c r="R6704"/>
      <c r="W6704" s="4"/>
      <c r="X6704" s="4"/>
      <c r="Y6704" s="4"/>
    </row>
    <row r="6705" spans="5:25">
      <c r="E6705"/>
      <c r="G6705"/>
      <c r="H6705"/>
      <c r="I6705"/>
      <c r="K6705"/>
      <c r="O6705"/>
      <c r="R6705"/>
      <c r="W6705" s="4"/>
      <c r="X6705" s="4"/>
      <c r="Y6705" s="4"/>
    </row>
    <row r="6706" spans="5:25">
      <c r="E6706"/>
      <c r="G6706"/>
      <c r="H6706"/>
      <c r="I6706"/>
      <c r="K6706"/>
      <c r="O6706"/>
      <c r="R6706"/>
      <c r="W6706" s="4"/>
      <c r="X6706" s="4"/>
      <c r="Y6706" s="4"/>
    </row>
    <row r="6707" spans="5:25">
      <c r="E6707"/>
      <c r="G6707"/>
      <c r="H6707"/>
      <c r="I6707"/>
      <c r="K6707"/>
      <c r="O6707"/>
      <c r="R6707"/>
      <c r="W6707" s="4"/>
      <c r="X6707" s="4"/>
      <c r="Y6707" s="4"/>
    </row>
    <row r="6708" spans="5:25">
      <c r="E6708"/>
      <c r="G6708"/>
      <c r="H6708"/>
      <c r="I6708"/>
      <c r="K6708"/>
      <c r="O6708"/>
      <c r="R6708"/>
      <c r="W6708" s="4"/>
      <c r="X6708" s="4"/>
      <c r="Y6708" s="4"/>
    </row>
    <row r="6709" spans="5:25">
      <c r="E6709"/>
      <c r="G6709"/>
      <c r="H6709"/>
      <c r="I6709"/>
      <c r="K6709"/>
      <c r="O6709"/>
      <c r="R6709"/>
      <c r="W6709" s="4"/>
      <c r="X6709" s="4"/>
      <c r="Y6709" s="4"/>
    </row>
    <row r="6710" spans="5:25">
      <c r="E6710"/>
      <c r="G6710"/>
      <c r="H6710"/>
      <c r="I6710"/>
      <c r="K6710"/>
      <c r="O6710"/>
      <c r="R6710"/>
      <c r="W6710" s="4"/>
      <c r="X6710" s="4"/>
      <c r="Y6710" s="4"/>
    </row>
    <row r="6711" spans="5:25">
      <c r="E6711"/>
      <c r="G6711"/>
      <c r="H6711"/>
      <c r="I6711"/>
      <c r="K6711"/>
      <c r="O6711"/>
      <c r="R6711"/>
      <c r="W6711" s="4"/>
      <c r="X6711" s="4"/>
      <c r="Y6711" s="4"/>
    </row>
    <row r="6712" spans="5:25">
      <c r="E6712"/>
      <c r="G6712"/>
      <c r="H6712"/>
      <c r="I6712"/>
      <c r="K6712"/>
      <c r="O6712"/>
      <c r="R6712"/>
      <c r="W6712" s="4"/>
      <c r="X6712" s="4"/>
      <c r="Y6712" s="4"/>
    </row>
    <row r="6713" spans="5:25">
      <c r="E6713"/>
      <c r="G6713"/>
      <c r="H6713"/>
      <c r="I6713"/>
      <c r="K6713"/>
      <c r="O6713"/>
      <c r="R6713"/>
      <c r="W6713" s="4"/>
      <c r="X6713" s="4"/>
      <c r="Y6713" s="4"/>
    </row>
    <row r="6714" spans="5:25">
      <c r="E6714"/>
      <c r="G6714"/>
      <c r="H6714"/>
      <c r="I6714"/>
      <c r="K6714"/>
      <c r="O6714"/>
      <c r="R6714"/>
      <c r="W6714" s="4"/>
      <c r="X6714" s="4"/>
      <c r="Y6714" s="4"/>
    </row>
    <row r="6715" spans="5:25">
      <c r="E6715"/>
      <c r="G6715"/>
      <c r="H6715"/>
      <c r="I6715"/>
      <c r="K6715"/>
      <c r="O6715"/>
      <c r="R6715"/>
      <c r="W6715" s="4"/>
      <c r="X6715" s="4"/>
      <c r="Y6715" s="4"/>
    </row>
    <row r="6716" spans="5:25">
      <c r="E6716"/>
      <c r="G6716"/>
      <c r="H6716"/>
      <c r="I6716"/>
      <c r="K6716"/>
      <c r="O6716"/>
      <c r="R6716"/>
      <c r="W6716" s="4"/>
      <c r="X6716" s="4"/>
      <c r="Y6716" s="4"/>
    </row>
    <row r="6717" spans="5:25">
      <c r="E6717"/>
      <c r="G6717"/>
      <c r="H6717"/>
      <c r="I6717"/>
      <c r="K6717"/>
      <c r="O6717"/>
      <c r="R6717"/>
      <c r="W6717" s="4"/>
      <c r="X6717" s="4"/>
      <c r="Y6717" s="4"/>
    </row>
    <row r="6718" spans="5:25">
      <c r="E6718"/>
      <c r="G6718"/>
      <c r="H6718"/>
      <c r="I6718"/>
      <c r="K6718"/>
      <c r="O6718"/>
      <c r="R6718"/>
      <c r="W6718" s="4"/>
      <c r="X6718" s="4"/>
      <c r="Y6718" s="4"/>
    </row>
    <row r="6719" spans="5:25">
      <c r="E6719"/>
      <c r="G6719"/>
      <c r="H6719"/>
      <c r="I6719"/>
      <c r="K6719"/>
      <c r="O6719"/>
      <c r="R6719"/>
      <c r="W6719" s="4"/>
      <c r="X6719" s="4"/>
      <c r="Y6719" s="4"/>
    </row>
    <row r="6720" spans="5:25">
      <c r="E6720"/>
      <c r="G6720"/>
      <c r="H6720"/>
      <c r="I6720"/>
      <c r="K6720"/>
      <c r="O6720"/>
      <c r="R6720"/>
      <c r="W6720" s="4"/>
      <c r="X6720" s="4"/>
      <c r="Y6720" s="4"/>
    </row>
    <row r="6721" spans="5:25">
      <c r="E6721"/>
      <c r="G6721"/>
      <c r="H6721"/>
      <c r="I6721"/>
      <c r="K6721"/>
      <c r="O6721"/>
      <c r="R6721"/>
      <c r="W6721" s="4"/>
      <c r="X6721" s="4"/>
      <c r="Y6721" s="4"/>
    </row>
    <row r="6722" spans="5:25">
      <c r="E6722"/>
      <c r="G6722"/>
      <c r="H6722"/>
      <c r="I6722"/>
      <c r="K6722"/>
      <c r="O6722"/>
      <c r="R6722"/>
      <c r="W6722" s="4"/>
      <c r="X6722" s="4"/>
      <c r="Y6722" s="4"/>
    </row>
    <row r="6723" spans="5:25">
      <c r="E6723"/>
      <c r="G6723"/>
      <c r="H6723"/>
      <c r="I6723"/>
      <c r="K6723"/>
      <c r="O6723"/>
      <c r="R6723"/>
      <c r="W6723" s="4"/>
      <c r="X6723" s="4"/>
      <c r="Y6723" s="4"/>
    </row>
    <row r="6724" spans="5:25">
      <c r="E6724"/>
      <c r="G6724"/>
      <c r="H6724"/>
      <c r="I6724"/>
      <c r="K6724"/>
      <c r="O6724"/>
      <c r="R6724"/>
      <c r="W6724" s="4"/>
      <c r="X6724" s="4"/>
      <c r="Y6724" s="4"/>
    </row>
    <row r="6725" spans="5:25">
      <c r="E6725"/>
      <c r="G6725"/>
      <c r="H6725"/>
      <c r="I6725"/>
      <c r="K6725"/>
      <c r="O6725"/>
      <c r="R6725"/>
      <c r="W6725" s="4"/>
      <c r="X6725" s="4"/>
      <c r="Y6725" s="4"/>
    </row>
    <row r="6726" spans="5:25">
      <c r="E6726"/>
      <c r="G6726"/>
      <c r="H6726"/>
      <c r="I6726"/>
      <c r="K6726"/>
      <c r="O6726"/>
      <c r="R6726"/>
      <c r="W6726" s="4"/>
      <c r="X6726" s="4"/>
      <c r="Y6726" s="4"/>
    </row>
    <row r="6727" spans="5:25">
      <c r="E6727"/>
      <c r="G6727"/>
      <c r="H6727"/>
      <c r="I6727"/>
      <c r="K6727"/>
      <c r="O6727"/>
      <c r="R6727"/>
      <c r="W6727" s="4"/>
      <c r="X6727" s="4"/>
      <c r="Y6727" s="4"/>
    </row>
    <row r="6728" spans="5:25">
      <c r="E6728"/>
      <c r="G6728"/>
      <c r="H6728"/>
      <c r="I6728"/>
      <c r="K6728"/>
      <c r="O6728"/>
      <c r="R6728"/>
      <c r="W6728" s="4"/>
      <c r="X6728" s="4"/>
      <c r="Y6728" s="4"/>
    </row>
    <row r="6729" spans="5:25">
      <c r="E6729"/>
      <c r="G6729"/>
      <c r="H6729"/>
      <c r="I6729"/>
      <c r="K6729"/>
      <c r="O6729"/>
      <c r="R6729"/>
      <c r="W6729" s="4"/>
      <c r="X6729" s="4"/>
      <c r="Y6729" s="4"/>
    </row>
    <row r="6730" spans="5:25">
      <c r="E6730"/>
      <c r="G6730"/>
      <c r="H6730"/>
      <c r="I6730"/>
      <c r="K6730"/>
      <c r="O6730"/>
      <c r="R6730"/>
      <c r="W6730" s="4"/>
      <c r="X6730" s="4"/>
      <c r="Y6730" s="4"/>
    </row>
    <row r="6731" spans="5:25">
      <c r="E6731"/>
      <c r="G6731"/>
      <c r="H6731"/>
      <c r="I6731"/>
      <c r="K6731"/>
      <c r="O6731"/>
      <c r="R6731"/>
      <c r="W6731" s="4"/>
      <c r="X6731" s="4"/>
      <c r="Y6731" s="4"/>
    </row>
    <row r="6732" spans="5:25">
      <c r="E6732"/>
      <c r="G6732"/>
      <c r="H6732"/>
      <c r="I6732"/>
      <c r="K6732"/>
      <c r="O6732"/>
      <c r="R6732"/>
      <c r="W6732" s="4"/>
      <c r="X6732" s="4"/>
      <c r="Y6732" s="4"/>
    </row>
    <row r="6733" spans="5:25">
      <c r="E6733"/>
      <c r="G6733"/>
      <c r="H6733"/>
      <c r="I6733"/>
      <c r="K6733"/>
      <c r="O6733"/>
      <c r="R6733"/>
      <c r="W6733" s="4"/>
      <c r="X6733" s="4"/>
      <c r="Y6733" s="4"/>
    </row>
    <row r="6734" spans="5:25">
      <c r="E6734"/>
      <c r="G6734"/>
      <c r="H6734"/>
      <c r="I6734"/>
      <c r="K6734"/>
      <c r="O6734"/>
      <c r="R6734"/>
      <c r="W6734" s="4"/>
      <c r="X6734" s="4"/>
      <c r="Y6734" s="4"/>
    </row>
    <row r="6735" spans="5:25">
      <c r="E6735"/>
      <c r="G6735"/>
      <c r="H6735"/>
      <c r="I6735"/>
      <c r="K6735"/>
      <c r="O6735"/>
      <c r="R6735"/>
      <c r="W6735" s="4"/>
      <c r="X6735" s="4"/>
      <c r="Y6735" s="4"/>
    </row>
    <row r="6736" spans="5:25">
      <c r="E6736"/>
      <c r="G6736"/>
      <c r="H6736"/>
      <c r="I6736"/>
      <c r="K6736"/>
      <c r="O6736"/>
      <c r="R6736"/>
      <c r="W6736" s="4"/>
      <c r="X6736" s="4"/>
      <c r="Y6736" s="4"/>
    </row>
    <row r="6737" spans="5:25">
      <c r="E6737"/>
      <c r="G6737"/>
      <c r="H6737"/>
      <c r="I6737"/>
      <c r="K6737"/>
      <c r="O6737"/>
      <c r="R6737"/>
      <c r="W6737" s="4"/>
      <c r="X6737" s="4"/>
      <c r="Y6737" s="4"/>
    </row>
    <row r="6738" spans="5:25">
      <c r="E6738"/>
      <c r="G6738"/>
      <c r="H6738"/>
      <c r="I6738"/>
      <c r="K6738"/>
      <c r="O6738"/>
      <c r="R6738"/>
      <c r="W6738" s="4"/>
      <c r="X6738" s="4"/>
      <c r="Y6738" s="4"/>
    </row>
    <row r="6739" spans="5:25">
      <c r="E6739"/>
      <c r="G6739"/>
      <c r="H6739"/>
      <c r="I6739"/>
      <c r="K6739"/>
      <c r="O6739"/>
      <c r="R6739"/>
      <c r="W6739" s="4"/>
      <c r="X6739" s="4"/>
      <c r="Y6739" s="4"/>
    </row>
    <row r="6740" spans="5:25">
      <c r="E6740"/>
      <c r="G6740"/>
      <c r="H6740"/>
      <c r="I6740"/>
      <c r="K6740"/>
      <c r="O6740"/>
      <c r="R6740"/>
      <c r="W6740" s="4"/>
      <c r="X6740" s="4"/>
      <c r="Y6740" s="4"/>
    </row>
    <row r="6741" spans="5:25">
      <c r="E6741"/>
      <c r="G6741"/>
      <c r="H6741"/>
      <c r="I6741"/>
      <c r="K6741"/>
      <c r="O6741"/>
      <c r="R6741"/>
      <c r="W6741" s="4"/>
      <c r="X6741" s="4"/>
      <c r="Y6741" s="4"/>
    </row>
    <row r="6742" spans="5:25">
      <c r="E6742"/>
      <c r="G6742"/>
      <c r="H6742"/>
      <c r="I6742"/>
      <c r="K6742"/>
      <c r="O6742"/>
      <c r="R6742"/>
      <c r="W6742" s="4"/>
      <c r="X6742" s="4"/>
      <c r="Y6742" s="4"/>
    </row>
    <row r="6743" spans="5:25">
      <c r="E6743"/>
      <c r="G6743"/>
      <c r="H6743"/>
      <c r="I6743"/>
      <c r="K6743"/>
      <c r="O6743"/>
      <c r="R6743"/>
      <c r="W6743" s="4"/>
      <c r="X6743" s="4"/>
      <c r="Y6743" s="4"/>
    </row>
    <row r="6744" spans="5:25">
      <c r="E6744"/>
      <c r="G6744"/>
      <c r="H6744"/>
      <c r="I6744"/>
      <c r="K6744"/>
      <c r="O6744"/>
      <c r="R6744"/>
      <c r="W6744" s="4"/>
      <c r="X6744" s="4"/>
      <c r="Y6744" s="4"/>
    </row>
    <row r="6745" spans="5:25">
      <c r="E6745"/>
      <c r="G6745"/>
      <c r="H6745"/>
      <c r="I6745"/>
      <c r="K6745"/>
      <c r="O6745"/>
      <c r="R6745"/>
      <c r="W6745" s="4"/>
      <c r="X6745" s="4"/>
      <c r="Y6745" s="4"/>
    </row>
    <row r="6746" spans="5:25">
      <c r="E6746"/>
      <c r="G6746"/>
      <c r="H6746"/>
      <c r="I6746"/>
      <c r="K6746"/>
      <c r="O6746"/>
      <c r="R6746"/>
      <c r="W6746" s="4"/>
      <c r="X6746" s="4"/>
      <c r="Y6746" s="4"/>
    </row>
    <row r="6747" spans="5:25">
      <c r="E6747"/>
      <c r="G6747"/>
      <c r="H6747"/>
      <c r="I6747"/>
      <c r="K6747"/>
      <c r="O6747"/>
      <c r="R6747"/>
      <c r="W6747" s="4"/>
      <c r="X6747" s="4"/>
      <c r="Y6747" s="4"/>
    </row>
    <row r="6748" spans="5:25">
      <c r="E6748"/>
      <c r="G6748"/>
      <c r="H6748"/>
      <c r="I6748"/>
      <c r="K6748"/>
      <c r="O6748"/>
      <c r="R6748"/>
      <c r="W6748" s="4"/>
      <c r="X6748" s="4"/>
      <c r="Y6748" s="4"/>
    </row>
    <row r="6749" spans="5:25">
      <c r="E6749"/>
      <c r="G6749"/>
      <c r="H6749"/>
      <c r="I6749"/>
      <c r="K6749"/>
      <c r="O6749"/>
      <c r="R6749"/>
      <c r="W6749" s="4"/>
      <c r="X6749" s="4"/>
      <c r="Y6749" s="4"/>
    </row>
    <row r="6750" spans="5:25">
      <c r="E6750"/>
      <c r="G6750"/>
      <c r="H6750"/>
      <c r="I6750"/>
      <c r="K6750"/>
      <c r="O6750"/>
      <c r="R6750"/>
      <c r="W6750" s="4"/>
      <c r="X6750" s="4"/>
      <c r="Y6750" s="4"/>
    </row>
    <row r="6751" spans="5:25">
      <c r="E6751"/>
      <c r="G6751"/>
      <c r="H6751"/>
      <c r="I6751"/>
      <c r="K6751"/>
      <c r="O6751"/>
      <c r="R6751"/>
      <c r="W6751" s="4"/>
      <c r="X6751" s="4"/>
      <c r="Y6751" s="4"/>
    </row>
    <row r="6752" spans="5:25">
      <c r="E6752"/>
      <c r="G6752"/>
      <c r="H6752"/>
      <c r="I6752"/>
      <c r="K6752"/>
      <c r="O6752"/>
      <c r="R6752"/>
      <c r="W6752" s="4"/>
      <c r="X6752" s="4"/>
      <c r="Y6752" s="4"/>
    </row>
    <row r="6753" spans="5:25">
      <c r="E6753"/>
      <c r="G6753"/>
      <c r="H6753"/>
      <c r="I6753"/>
      <c r="K6753"/>
      <c r="O6753"/>
      <c r="R6753"/>
      <c r="W6753" s="4"/>
      <c r="X6753" s="4"/>
      <c r="Y6753" s="4"/>
    </row>
    <row r="6754" spans="5:25">
      <c r="E6754"/>
      <c r="G6754"/>
      <c r="H6754"/>
      <c r="I6754"/>
      <c r="K6754"/>
      <c r="O6754"/>
      <c r="R6754"/>
      <c r="W6754" s="4"/>
      <c r="X6754" s="4"/>
      <c r="Y6754" s="4"/>
    </row>
    <row r="6755" spans="5:25">
      <c r="E6755"/>
      <c r="G6755"/>
      <c r="H6755"/>
      <c r="I6755"/>
      <c r="K6755"/>
      <c r="O6755"/>
      <c r="R6755"/>
      <c r="W6755" s="4"/>
      <c r="X6755" s="4"/>
      <c r="Y6755" s="4"/>
    </row>
    <row r="6756" spans="5:25">
      <c r="E6756"/>
      <c r="G6756"/>
      <c r="H6756"/>
      <c r="I6756"/>
      <c r="K6756"/>
      <c r="O6756"/>
      <c r="R6756"/>
      <c r="W6756" s="4"/>
      <c r="X6756" s="4"/>
      <c r="Y6756" s="4"/>
    </row>
    <row r="6757" spans="5:25">
      <c r="E6757"/>
      <c r="G6757"/>
      <c r="H6757"/>
      <c r="I6757"/>
      <c r="K6757"/>
      <c r="O6757"/>
      <c r="R6757"/>
      <c r="W6757" s="4"/>
      <c r="X6757" s="4"/>
      <c r="Y6757" s="4"/>
    </row>
    <row r="6758" spans="5:25">
      <c r="E6758"/>
      <c r="G6758"/>
      <c r="H6758"/>
      <c r="I6758"/>
      <c r="K6758"/>
      <c r="O6758"/>
      <c r="R6758"/>
      <c r="W6758" s="4"/>
      <c r="X6758" s="4"/>
      <c r="Y6758" s="4"/>
    </row>
    <row r="6759" spans="5:25">
      <c r="E6759"/>
      <c r="G6759"/>
      <c r="H6759"/>
      <c r="I6759"/>
      <c r="K6759"/>
      <c r="O6759"/>
      <c r="R6759"/>
      <c r="W6759" s="4"/>
      <c r="X6759" s="4"/>
      <c r="Y6759" s="4"/>
    </row>
    <row r="6760" spans="5:25">
      <c r="E6760"/>
      <c r="G6760"/>
      <c r="H6760"/>
      <c r="I6760"/>
      <c r="K6760"/>
      <c r="O6760"/>
      <c r="R6760"/>
      <c r="W6760" s="4"/>
      <c r="X6760" s="4"/>
      <c r="Y6760" s="4"/>
    </row>
    <row r="6761" spans="5:25">
      <c r="E6761"/>
      <c r="G6761"/>
      <c r="H6761"/>
      <c r="I6761"/>
      <c r="K6761"/>
      <c r="O6761"/>
      <c r="R6761"/>
      <c r="W6761" s="4"/>
      <c r="X6761" s="4"/>
      <c r="Y6761" s="4"/>
    </row>
    <row r="6762" spans="5:25">
      <c r="E6762"/>
      <c r="G6762"/>
      <c r="H6762"/>
      <c r="I6762"/>
      <c r="K6762"/>
      <c r="O6762"/>
      <c r="R6762"/>
      <c r="W6762" s="4"/>
      <c r="X6762" s="4"/>
      <c r="Y6762" s="4"/>
    </row>
    <row r="6763" spans="5:25">
      <c r="E6763"/>
      <c r="G6763"/>
      <c r="H6763"/>
      <c r="I6763"/>
      <c r="K6763"/>
      <c r="O6763"/>
      <c r="R6763"/>
      <c r="W6763" s="4"/>
      <c r="X6763" s="4"/>
      <c r="Y6763" s="4"/>
    </row>
    <row r="6764" spans="5:25">
      <c r="E6764"/>
      <c r="G6764"/>
      <c r="H6764"/>
      <c r="I6764"/>
      <c r="K6764"/>
      <c r="O6764"/>
      <c r="R6764"/>
      <c r="W6764" s="4"/>
      <c r="X6764" s="4"/>
      <c r="Y6764" s="4"/>
    </row>
    <row r="6765" spans="5:25">
      <c r="E6765"/>
      <c r="G6765"/>
      <c r="H6765"/>
      <c r="I6765"/>
      <c r="K6765"/>
      <c r="O6765"/>
      <c r="R6765"/>
      <c r="W6765" s="4"/>
      <c r="X6765" s="4"/>
      <c r="Y6765" s="4"/>
    </row>
    <row r="6766" spans="5:25">
      <c r="E6766"/>
      <c r="G6766"/>
      <c r="H6766"/>
      <c r="I6766"/>
      <c r="K6766"/>
      <c r="O6766"/>
      <c r="R6766"/>
      <c r="W6766" s="4"/>
      <c r="X6766" s="4"/>
      <c r="Y6766" s="4"/>
    </row>
    <row r="6767" spans="5:25">
      <c r="E6767"/>
      <c r="G6767"/>
      <c r="H6767"/>
      <c r="I6767"/>
      <c r="K6767"/>
      <c r="O6767"/>
      <c r="R6767"/>
      <c r="W6767" s="4"/>
      <c r="X6767" s="4"/>
      <c r="Y6767" s="4"/>
    </row>
    <row r="6768" spans="5:25">
      <c r="E6768"/>
      <c r="G6768"/>
      <c r="H6768"/>
      <c r="I6768"/>
      <c r="K6768"/>
      <c r="O6768"/>
      <c r="R6768"/>
      <c r="W6768" s="4"/>
      <c r="X6768" s="4"/>
      <c r="Y6768" s="4"/>
    </row>
    <row r="6769" spans="5:25">
      <c r="E6769"/>
      <c r="G6769"/>
      <c r="H6769"/>
      <c r="I6769"/>
      <c r="K6769"/>
      <c r="O6769"/>
      <c r="R6769"/>
      <c r="W6769" s="4"/>
      <c r="X6769" s="4"/>
      <c r="Y6769" s="4"/>
    </row>
    <row r="6770" spans="5:25">
      <c r="E6770"/>
      <c r="G6770"/>
      <c r="H6770"/>
      <c r="I6770"/>
      <c r="K6770"/>
      <c r="O6770"/>
      <c r="R6770"/>
      <c r="W6770" s="4"/>
      <c r="X6770" s="4"/>
      <c r="Y6770" s="4"/>
    </row>
    <row r="6771" spans="5:25">
      <c r="E6771"/>
      <c r="G6771"/>
      <c r="H6771"/>
      <c r="I6771"/>
      <c r="K6771"/>
      <c r="O6771"/>
      <c r="R6771"/>
      <c r="W6771" s="4"/>
      <c r="X6771" s="4"/>
      <c r="Y6771" s="4"/>
    </row>
    <row r="6772" spans="5:25">
      <c r="E6772"/>
      <c r="G6772"/>
      <c r="H6772"/>
      <c r="I6772"/>
      <c r="K6772"/>
      <c r="O6772"/>
      <c r="R6772"/>
      <c r="W6772" s="4"/>
      <c r="X6772" s="4"/>
      <c r="Y6772" s="4"/>
    </row>
    <row r="6773" spans="5:25">
      <c r="E6773"/>
      <c r="G6773"/>
      <c r="H6773"/>
      <c r="I6773"/>
      <c r="K6773"/>
      <c r="O6773"/>
      <c r="R6773"/>
      <c r="W6773" s="4"/>
      <c r="X6773" s="4"/>
      <c r="Y6773" s="4"/>
    </row>
    <row r="6774" spans="5:25">
      <c r="E6774"/>
      <c r="G6774"/>
      <c r="H6774"/>
      <c r="I6774"/>
      <c r="K6774"/>
      <c r="O6774"/>
      <c r="R6774"/>
      <c r="W6774" s="4"/>
      <c r="X6774" s="4"/>
      <c r="Y6774" s="4"/>
    </row>
    <row r="6775" spans="5:25">
      <c r="E6775"/>
      <c r="G6775"/>
      <c r="H6775"/>
      <c r="I6775"/>
      <c r="K6775"/>
      <c r="O6775"/>
      <c r="R6775"/>
      <c r="W6775" s="4"/>
      <c r="X6775" s="4"/>
      <c r="Y6775" s="4"/>
    </row>
    <row r="6776" spans="5:25">
      <c r="E6776"/>
      <c r="G6776"/>
      <c r="H6776"/>
      <c r="I6776"/>
      <c r="K6776"/>
      <c r="O6776"/>
      <c r="R6776"/>
      <c r="W6776" s="4"/>
      <c r="X6776" s="4"/>
      <c r="Y6776" s="4"/>
    </row>
    <row r="6777" spans="5:25">
      <c r="E6777"/>
      <c r="G6777"/>
      <c r="H6777"/>
      <c r="I6777"/>
      <c r="K6777"/>
      <c r="O6777"/>
      <c r="R6777"/>
      <c r="W6777" s="4"/>
      <c r="X6777" s="4"/>
      <c r="Y6777" s="4"/>
    </row>
    <row r="6778" spans="5:25">
      <c r="E6778"/>
      <c r="G6778"/>
      <c r="H6778"/>
      <c r="I6778"/>
      <c r="K6778"/>
      <c r="O6778"/>
      <c r="R6778"/>
      <c r="W6778" s="4"/>
      <c r="X6778" s="4"/>
      <c r="Y6778" s="4"/>
    </row>
    <row r="6779" spans="5:25">
      <c r="E6779"/>
      <c r="G6779"/>
      <c r="H6779"/>
      <c r="I6779"/>
      <c r="K6779"/>
      <c r="O6779"/>
      <c r="R6779"/>
      <c r="W6779" s="4"/>
      <c r="X6779" s="4"/>
      <c r="Y6779" s="4"/>
    </row>
    <row r="6780" spans="5:25">
      <c r="E6780"/>
      <c r="G6780"/>
      <c r="H6780"/>
      <c r="I6780"/>
      <c r="K6780"/>
      <c r="O6780"/>
      <c r="R6780"/>
      <c r="W6780" s="4"/>
      <c r="X6780" s="4"/>
      <c r="Y6780" s="4"/>
    </row>
    <row r="6781" spans="5:25">
      <c r="E6781"/>
      <c r="G6781"/>
      <c r="H6781"/>
      <c r="I6781"/>
      <c r="K6781"/>
      <c r="O6781"/>
      <c r="R6781"/>
      <c r="W6781" s="4"/>
      <c r="X6781" s="4"/>
      <c r="Y6781" s="4"/>
    </row>
    <row r="6782" spans="5:25">
      <c r="E6782"/>
      <c r="G6782"/>
      <c r="H6782"/>
      <c r="I6782"/>
      <c r="K6782"/>
      <c r="O6782"/>
      <c r="R6782"/>
      <c r="W6782" s="4"/>
      <c r="X6782" s="4"/>
      <c r="Y6782" s="4"/>
    </row>
    <row r="6783" spans="5:25">
      <c r="E6783"/>
      <c r="G6783"/>
      <c r="H6783"/>
      <c r="I6783"/>
      <c r="K6783"/>
      <c r="O6783"/>
      <c r="R6783"/>
      <c r="W6783" s="4"/>
      <c r="X6783" s="4"/>
      <c r="Y6783" s="4"/>
    </row>
    <row r="6784" spans="5:25">
      <c r="E6784"/>
      <c r="G6784"/>
      <c r="H6784"/>
      <c r="I6784"/>
      <c r="K6784"/>
      <c r="O6784"/>
      <c r="R6784"/>
      <c r="W6784" s="4"/>
      <c r="X6784" s="4"/>
      <c r="Y6784" s="4"/>
    </row>
    <row r="6785" spans="5:25">
      <c r="E6785"/>
      <c r="G6785"/>
      <c r="H6785"/>
      <c r="I6785"/>
      <c r="K6785"/>
      <c r="O6785"/>
      <c r="R6785"/>
      <c r="W6785" s="4"/>
      <c r="X6785" s="4"/>
      <c r="Y6785" s="4"/>
    </row>
    <row r="6786" spans="5:25">
      <c r="E6786"/>
      <c r="G6786"/>
      <c r="H6786"/>
      <c r="I6786"/>
      <c r="K6786"/>
      <c r="O6786"/>
      <c r="R6786"/>
      <c r="W6786" s="4"/>
      <c r="X6786" s="4"/>
      <c r="Y6786" s="4"/>
    </row>
    <row r="6787" spans="5:25">
      <c r="E6787"/>
      <c r="G6787"/>
      <c r="H6787"/>
      <c r="I6787"/>
      <c r="K6787"/>
      <c r="O6787"/>
      <c r="R6787"/>
      <c r="W6787" s="4"/>
      <c r="X6787" s="4"/>
      <c r="Y6787" s="4"/>
    </row>
    <row r="6788" spans="5:25">
      <c r="E6788"/>
      <c r="G6788"/>
      <c r="H6788"/>
      <c r="I6788"/>
      <c r="K6788"/>
      <c r="O6788"/>
      <c r="R6788"/>
      <c r="W6788" s="4"/>
      <c r="X6788" s="4"/>
      <c r="Y6788" s="4"/>
    </row>
    <row r="6789" spans="5:25">
      <c r="E6789"/>
      <c r="G6789"/>
      <c r="H6789"/>
      <c r="I6789"/>
      <c r="K6789"/>
      <c r="O6789"/>
      <c r="R6789"/>
      <c r="W6789" s="4"/>
      <c r="X6789" s="4"/>
      <c r="Y6789" s="4"/>
    </row>
    <row r="6790" spans="5:25">
      <c r="E6790"/>
      <c r="G6790"/>
      <c r="H6790"/>
      <c r="I6790"/>
      <c r="K6790"/>
      <c r="O6790"/>
      <c r="R6790"/>
      <c r="W6790" s="4"/>
      <c r="X6790" s="4"/>
      <c r="Y6790" s="4"/>
    </row>
    <row r="6791" spans="5:25">
      <c r="E6791"/>
      <c r="G6791"/>
      <c r="H6791"/>
      <c r="I6791"/>
      <c r="K6791"/>
      <c r="O6791"/>
      <c r="R6791"/>
      <c r="W6791" s="4"/>
      <c r="X6791" s="4"/>
      <c r="Y6791" s="4"/>
    </row>
    <row r="6792" spans="5:25">
      <c r="E6792"/>
      <c r="G6792"/>
      <c r="H6792"/>
      <c r="I6792"/>
      <c r="K6792"/>
      <c r="O6792"/>
      <c r="R6792"/>
      <c r="W6792" s="4"/>
      <c r="X6792" s="4"/>
      <c r="Y6792" s="4"/>
    </row>
    <row r="6793" spans="5:25">
      <c r="E6793"/>
      <c r="G6793"/>
      <c r="H6793"/>
      <c r="I6793"/>
      <c r="K6793"/>
      <c r="O6793"/>
      <c r="R6793"/>
      <c r="W6793" s="4"/>
      <c r="X6793" s="4"/>
      <c r="Y6793" s="4"/>
    </row>
    <row r="6794" spans="5:25">
      <c r="E6794"/>
      <c r="G6794"/>
      <c r="H6794"/>
      <c r="I6794"/>
      <c r="K6794"/>
      <c r="O6794"/>
      <c r="R6794"/>
      <c r="W6794" s="4"/>
      <c r="X6794" s="4"/>
      <c r="Y6794" s="4"/>
    </row>
    <row r="6795" spans="5:25">
      <c r="E6795"/>
      <c r="G6795"/>
      <c r="H6795"/>
      <c r="I6795"/>
      <c r="K6795"/>
      <c r="O6795"/>
      <c r="R6795"/>
      <c r="W6795" s="4"/>
      <c r="X6795" s="4"/>
      <c r="Y6795" s="4"/>
    </row>
    <row r="6796" spans="5:25">
      <c r="E6796"/>
      <c r="G6796"/>
      <c r="H6796"/>
      <c r="I6796"/>
      <c r="K6796"/>
      <c r="O6796"/>
      <c r="R6796"/>
      <c r="W6796" s="4"/>
      <c r="X6796" s="4"/>
      <c r="Y6796" s="4"/>
    </row>
    <row r="6797" spans="5:25">
      <c r="E6797"/>
      <c r="G6797"/>
      <c r="H6797"/>
      <c r="I6797"/>
      <c r="K6797"/>
      <c r="O6797"/>
      <c r="R6797"/>
      <c r="W6797" s="4"/>
      <c r="X6797" s="4"/>
      <c r="Y6797" s="4"/>
    </row>
    <row r="6798" spans="5:25">
      <c r="E6798"/>
      <c r="G6798"/>
      <c r="H6798"/>
      <c r="I6798"/>
      <c r="K6798"/>
      <c r="O6798"/>
      <c r="R6798"/>
      <c r="W6798" s="4"/>
      <c r="X6798" s="4"/>
      <c r="Y6798" s="4"/>
    </row>
    <row r="6799" spans="5:25">
      <c r="E6799"/>
      <c r="G6799"/>
      <c r="H6799"/>
      <c r="I6799"/>
      <c r="K6799"/>
      <c r="O6799"/>
      <c r="R6799"/>
      <c r="W6799" s="4"/>
      <c r="X6799" s="4"/>
      <c r="Y6799" s="4"/>
    </row>
    <row r="6800" spans="5:25">
      <c r="E6800"/>
      <c r="G6800"/>
      <c r="H6800"/>
      <c r="I6800"/>
      <c r="K6800"/>
      <c r="O6800"/>
      <c r="R6800"/>
      <c r="W6800" s="4"/>
      <c r="X6800" s="4"/>
      <c r="Y6800" s="4"/>
    </row>
    <row r="6801" spans="5:25">
      <c r="E6801"/>
      <c r="G6801"/>
      <c r="H6801"/>
      <c r="I6801"/>
      <c r="K6801"/>
      <c r="O6801"/>
      <c r="R6801"/>
      <c r="W6801" s="4"/>
      <c r="X6801" s="4"/>
      <c r="Y6801" s="4"/>
    </row>
    <row r="6802" spans="5:25">
      <c r="E6802"/>
      <c r="G6802"/>
      <c r="H6802"/>
      <c r="I6802"/>
      <c r="K6802"/>
      <c r="O6802"/>
      <c r="R6802"/>
      <c r="W6802" s="4"/>
      <c r="X6802" s="4"/>
      <c r="Y6802" s="4"/>
    </row>
    <row r="6803" spans="5:25">
      <c r="E6803"/>
      <c r="G6803"/>
      <c r="H6803"/>
      <c r="I6803"/>
      <c r="K6803"/>
      <c r="O6803"/>
      <c r="R6803"/>
      <c r="W6803" s="4"/>
      <c r="X6803" s="4"/>
      <c r="Y6803" s="4"/>
    </row>
    <row r="6804" spans="5:25">
      <c r="E6804"/>
      <c r="G6804"/>
      <c r="H6804"/>
      <c r="I6804"/>
      <c r="K6804"/>
      <c r="O6804"/>
      <c r="R6804"/>
      <c r="W6804" s="4"/>
      <c r="X6804" s="4"/>
      <c r="Y6804" s="4"/>
    </row>
    <row r="6805" spans="5:25">
      <c r="E6805"/>
      <c r="G6805"/>
      <c r="H6805"/>
      <c r="I6805"/>
      <c r="K6805"/>
      <c r="O6805"/>
      <c r="R6805"/>
      <c r="W6805" s="4"/>
      <c r="X6805" s="4"/>
      <c r="Y6805" s="4"/>
    </row>
    <row r="6806" spans="5:25">
      <c r="E6806"/>
      <c r="G6806"/>
      <c r="H6806"/>
      <c r="I6806"/>
      <c r="K6806"/>
      <c r="O6806"/>
      <c r="R6806"/>
      <c r="W6806" s="4"/>
      <c r="X6806" s="4"/>
      <c r="Y6806" s="4"/>
    </row>
    <row r="6807" spans="5:25">
      <c r="E6807"/>
      <c r="G6807"/>
      <c r="H6807"/>
      <c r="I6807"/>
      <c r="K6807"/>
      <c r="O6807"/>
      <c r="R6807"/>
      <c r="W6807" s="4"/>
      <c r="X6807" s="4"/>
      <c r="Y6807" s="4"/>
    </row>
    <row r="6808" spans="5:25">
      <c r="E6808"/>
      <c r="G6808"/>
      <c r="H6808"/>
      <c r="I6808"/>
      <c r="K6808"/>
      <c r="O6808"/>
      <c r="R6808"/>
      <c r="W6808" s="4"/>
      <c r="X6808" s="4"/>
      <c r="Y6808" s="4"/>
    </row>
    <row r="6809" spans="5:25">
      <c r="E6809"/>
      <c r="G6809"/>
      <c r="H6809"/>
      <c r="I6809"/>
      <c r="K6809"/>
      <c r="O6809"/>
      <c r="R6809"/>
      <c r="W6809" s="4"/>
      <c r="X6809" s="4"/>
      <c r="Y6809" s="4"/>
    </row>
    <row r="6810" spans="5:25">
      <c r="E6810"/>
      <c r="G6810"/>
      <c r="H6810"/>
      <c r="I6810"/>
      <c r="K6810"/>
      <c r="O6810"/>
      <c r="R6810"/>
      <c r="W6810" s="4"/>
      <c r="X6810" s="4"/>
      <c r="Y6810" s="4"/>
    </row>
    <row r="6811" spans="5:25">
      <c r="E6811"/>
      <c r="G6811"/>
      <c r="H6811"/>
      <c r="I6811"/>
      <c r="K6811"/>
      <c r="O6811"/>
      <c r="R6811"/>
      <c r="W6811" s="4"/>
      <c r="X6811" s="4"/>
      <c r="Y6811" s="4"/>
    </row>
    <row r="6812" spans="5:25">
      <c r="E6812"/>
      <c r="G6812"/>
      <c r="H6812"/>
      <c r="I6812"/>
      <c r="K6812"/>
      <c r="O6812"/>
      <c r="R6812"/>
      <c r="W6812" s="4"/>
      <c r="X6812" s="4"/>
      <c r="Y6812" s="4"/>
    </row>
    <row r="6813" spans="5:25">
      <c r="E6813"/>
      <c r="G6813"/>
      <c r="H6813"/>
      <c r="I6813"/>
      <c r="K6813"/>
      <c r="O6813"/>
      <c r="R6813"/>
      <c r="W6813" s="4"/>
      <c r="X6813" s="4"/>
      <c r="Y6813" s="4"/>
    </row>
    <row r="6814" spans="5:25">
      <c r="E6814"/>
      <c r="G6814"/>
      <c r="H6814"/>
      <c r="I6814"/>
      <c r="K6814"/>
      <c r="O6814"/>
      <c r="R6814"/>
      <c r="W6814" s="4"/>
      <c r="X6814" s="4"/>
      <c r="Y6814" s="4"/>
    </row>
    <row r="6815" spans="5:25">
      <c r="E6815"/>
      <c r="G6815"/>
      <c r="H6815"/>
      <c r="I6815"/>
      <c r="K6815"/>
      <c r="O6815"/>
      <c r="R6815"/>
      <c r="W6815" s="4"/>
      <c r="X6815" s="4"/>
      <c r="Y6815" s="4"/>
    </row>
    <row r="6816" spans="5:25">
      <c r="E6816"/>
      <c r="G6816"/>
      <c r="H6816"/>
      <c r="I6816"/>
      <c r="K6816"/>
      <c r="O6816"/>
      <c r="R6816"/>
      <c r="W6816" s="4"/>
      <c r="X6816" s="4"/>
      <c r="Y6816" s="4"/>
    </row>
    <row r="6817" spans="5:25">
      <c r="E6817"/>
      <c r="G6817"/>
      <c r="H6817"/>
      <c r="I6817"/>
      <c r="K6817"/>
      <c r="O6817"/>
      <c r="R6817"/>
      <c r="W6817" s="4"/>
      <c r="X6817" s="4"/>
      <c r="Y6817" s="4"/>
    </row>
    <row r="6818" spans="5:25">
      <c r="E6818"/>
      <c r="G6818"/>
      <c r="H6818"/>
      <c r="I6818"/>
      <c r="K6818"/>
      <c r="O6818"/>
      <c r="R6818"/>
      <c r="W6818" s="4"/>
      <c r="X6818" s="4"/>
      <c r="Y6818" s="4"/>
    </row>
    <row r="6819" spans="5:25">
      <c r="E6819"/>
      <c r="G6819"/>
      <c r="H6819"/>
      <c r="I6819"/>
      <c r="K6819"/>
      <c r="O6819"/>
      <c r="R6819"/>
      <c r="W6819" s="4"/>
      <c r="X6819" s="4"/>
      <c r="Y6819" s="4"/>
    </row>
    <row r="6820" spans="5:25">
      <c r="E6820"/>
      <c r="G6820"/>
      <c r="H6820"/>
      <c r="I6820"/>
      <c r="K6820"/>
      <c r="O6820"/>
      <c r="R6820"/>
      <c r="W6820" s="4"/>
      <c r="X6820" s="4"/>
      <c r="Y6820" s="4"/>
    </row>
    <row r="6821" spans="5:25">
      <c r="E6821"/>
      <c r="G6821"/>
      <c r="H6821"/>
      <c r="I6821"/>
      <c r="K6821"/>
      <c r="O6821"/>
      <c r="R6821"/>
      <c r="W6821" s="4"/>
      <c r="X6821" s="4"/>
      <c r="Y6821" s="4"/>
    </row>
    <row r="6822" spans="5:25">
      <c r="E6822"/>
      <c r="G6822"/>
      <c r="H6822"/>
      <c r="I6822"/>
      <c r="K6822"/>
      <c r="O6822"/>
      <c r="R6822"/>
      <c r="W6822" s="4"/>
      <c r="X6822" s="4"/>
      <c r="Y6822" s="4"/>
    </row>
    <row r="6823" spans="5:25">
      <c r="E6823"/>
      <c r="G6823"/>
      <c r="H6823"/>
      <c r="I6823"/>
      <c r="K6823"/>
      <c r="O6823"/>
      <c r="R6823"/>
      <c r="W6823" s="4"/>
      <c r="X6823" s="4"/>
      <c r="Y6823" s="4"/>
    </row>
    <row r="6824" spans="5:25">
      <c r="E6824"/>
      <c r="G6824"/>
      <c r="H6824"/>
      <c r="I6824"/>
      <c r="K6824"/>
      <c r="O6824"/>
      <c r="R6824"/>
      <c r="W6824" s="4"/>
      <c r="X6824" s="4"/>
      <c r="Y6824" s="4"/>
    </row>
    <row r="6825" spans="5:25">
      <c r="E6825"/>
      <c r="G6825"/>
      <c r="H6825"/>
      <c r="I6825"/>
      <c r="K6825"/>
      <c r="O6825"/>
      <c r="R6825"/>
      <c r="W6825" s="4"/>
      <c r="X6825" s="4"/>
      <c r="Y6825" s="4"/>
    </row>
    <row r="6826" spans="5:25">
      <c r="E6826"/>
      <c r="G6826"/>
      <c r="H6826"/>
      <c r="I6826"/>
      <c r="K6826"/>
      <c r="O6826"/>
      <c r="R6826"/>
      <c r="W6826" s="4"/>
      <c r="X6826" s="4"/>
      <c r="Y6826" s="4"/>
    </row>
    <row r="6827" spans="5:25">
      <c r="E6827"/>
      <c r="G6827"/>
      <c r="H6827"/>
      <c r="I6827"/>
      <c r="K6827"/>
      <c r="O6827"/>
      <c r="R6827"/>
      <c r="W6827" s="4"/>
      <c r="X6827" s="4"/>
      <c r="Y6827" s="4"/>
    </row>
    <row r="6828" spans="5:25">
      <c r="E6828"/>
      <c r="G6828"/>
      <c r="H6828"/>
      <c r="I6828"/>
      <c r="K6828"/>
      <c r="O6828"/>
      <c r="R6828"/>
      <c r="W6828" s="4"/>
      <c r="X6828" s="4"/>
      <c r="Y6828" s="4"/>
    </row>
    <row r="6829" spans="5:25">
      <c r="E6829"/>
      <c r="G6829"/>
      <c r="H6829"/>
      <c r="I6829"/>
      <c r="K6829"/>
      <c r="O6829"/>
      <c r="R6829"/>
      <c r="W6829" s="4"/>
      <c r="X6829" s="4"/>
      <c r="Y6829" s="4"/>
    </row>
    <row r="6830" spans="5:25">
      <c r="E6830"/>
      <c r="G6830"/>
      <c r="H6830"/>
      <c r="I6830"/>
      <c r="K6830"/>
      <c r="O6830"/>
      <c r="R6830"/>
      <c r="W6830" s="4"/>
      <c r="X6830" s="4"/>
      <c r="Y6830" s="4"/>
    </row>
    <row r="6831" spans="5:25">
      <c r="E6831"/>
      <c r="G6831"/>
      <c r="H6831"/>
      <c r="I6831"/>
      <c r="K6831"/>
      <c r="O6831"/>
      <c r="R6831"/>
      <c r="W6831" s="4"/>
      <c r="X6831" s="4"/>
      <c r="Y6831" s="4"/>
    </row>
    <row r="6832" spans="5:25">
      <c r="E6832"/>
      <c r="G6832"/>
      <c r="H6832"/>
      <c r="I6832"/>
      <c r="K6832"/>
      <c r="O6832"/>
      <c r="R6832"/>
      <c r="W6832" s="4"/>
      <c r="X6832" s="4"/>
      <c r="Y6832" s="4"/>
    </row>
    <row r="6833" spans="5:25">
      <c r="E6833"/>
      <c r="G6833"/>
      <c r="H6833"/>
      <c r="I6833"/>
      <c r="K6833"/>
      <c r="O6833"/>
      <c r="R6833"/>
      <c r="W6833" s="4"/>
      <c r="X6833" s="4"/>
      <c r="Y6833" s="4"/>
    </row>
    <row r="6834" spans="5:25">
      <c r="E6834"/>
      <c r="G6834"/>
      <c r="H6834"/>
      <c r="I6834"/>
      <c r="K6834"/>
      <c r="O6834"/>
      <c r="R6834"/>
      <c r="W6834" s="4"/>
      <c r="X6834" s="4"/>
      <c r="Y6834" s="4"/>
    </row>
    <row r="6835" spans="5:25">
      <c r="E6835"/>
      <c r="G6835"/>
      <c r="H6835"/>
      <c r="I6835"/>
      <c r="K6835"/>
      <c r="O6835"/>
      <c r="R6835"/>
      <c r="W6835" s="4"/>
      <c r="X6835" s="4"/>
      <c r="Y6835" s="4"/>
    </row>
    <row r="6836" spans="5:25">
      <c r="E6836"/>
      <c r="G6836"/>
      <c r="H6836"/>
      <c r="I6836"/>
      <c r="K6836"/>
      <c r="O6836"/>
      <c r="R6836"/>
      <c r="W6836" s="4"/>
      <c r="X6836" s="4"/>
      <c r="Y6836" s="4"/>
    </row>
    <row r="6837" spans="5:25">
      <c r="E6837"/>
      <c r="G6837"/>
      <c r="H6837"/>
      <c r="I6837"/>
      <c r="K6837"/>
      <c r="O6837"/>
      <c r="R6837"/>
      <c r="W6837" s="4"/>
      <c r="X6837" s="4"/>
      <c r="Y6837" s="4"/>
    </row>
    <row r="6838" spans="5:25">
      <c r="E6838"/>
      <c r="G6838"/>
      <c r="H6838"/>
      <c r="I6838"/>
      <c r="K6838"/>
      <c r="O6838"/>
      <c r="R6838"/>
      <c r="W6838" s="4"/>
      <c r="X6838" s="4"/>
      <c r="Y6838" s="4"/>
    </row>
    <row r="6839" spans="5:25">
      <c r="E6839"/>
      <c r="G6839"/>
      <c r="H6839"/>
      <c r="I6839"/>
      <c r="K6839"/>
      <c r="O6839"/>
      <c r="R6839"/>
      <c r="W6839" s="4"/>
      <c r="X6839" s="4"/>
      <c r="Y6839" s="4"/>
    </row>
    <row r="6840" spans="5:25">
      <c r="E6840"/>
      <c r="G6840"/>
      <c r="H6840"/>
      <c r="I6840"/>
      <c r="K6840"/>
      <c r="O6840"/>
      <c r="R6840"/>
      <c r="W6840" s="4"/>
      <c r="X6840" s="4"/>
      <c r="Y6840" s="4"/>
    </row>
    <row r="6841" spans="5:25">
      <c r="E6841"/>
      <c r="G6841"/>
      <c r="H6841"/>
      <c r="I6841"/>
      <c r="K6841"/>
      <c r="O6841"/>
      <c r="R6841"/>
      <c r="W6841" s="4"/>
      <c r="X6841" s="4"/>
      <c r="Y6841" s="4"/>
    </row>
    <row r="6842" spans="5:25">
      <c r="E6842"/>
      <c r="G6842"/>
      <c r="H6842"/>
      <c r="I6842"/>
      <c r="K6842"/>
      <c r="O6842"/>
      <c r="R6842"/>
      <c r="W6842" s="4"/>
      <c r="X6842" s="4"/>
      <c r="Y6842" s="4"/>
    </row>
    <row r="6843" spans="5:25">
      <c r="E6843"/>
      <c r="G6843"/>
      <c r="H6843"/>
      <c r="I6843"/>
      <c r="K6843"/>
      <c r="O6843"/>
      <c r="R6843"/>
      <c r="W6843" s="4"/>
      <c r="X6843" s="4"/>
      <c r="Y6843" s="4"/>
    </row>
    <row r="6844" spans="5:25">
      <c r="E6844"/>
      <c r="G6844"/>
      <c r="H6844"/>
      <c r="I6844"/>
      <c r="K6844"/>
      <c r="O6844"/>
      <c r="R6844"/>
      <c r="W6844" s="4"/>
      <c r="X6844" s="4"/>
      <c r="Y6844" s="4"/>
    </row>
    <row r="6845" spans="5:25">
      <c r="E6845"/>
      <c r="G6845"/>
      <c r="H6845"/>
      <c r="I6845"/>
      <c r="K6845"/>
      <c r="O6845"/>
      <c r="R6845"/>
      <c r="W6845" s="4"/>
      <c r="X6845" s="4"/>
      <c r="Y6845" s="4"/>
    </row>
    <row r="6846" spans="5:25">
      <c r="E6846"/>
      <c r="G6846"/>
      <c r="H6846"/>
      <c r="I6846"/>
      <c r="K6846"/>
      <c r="O6846"/>
      <c r="R6846"/>
      <c r="W6846" s="4"/>
      <c r="X6846" s="4"/>
      <c r="Y6846" s="4"/>
    </row>
    <row r="6847" spans="5:25">
      <c r="E6847"/>
      <c r="G6847"/>
      <c r="H6847"/>
      <c r="I6847"/>
      <c r="K6847"/>
      <c r="O6847"/>
      <c r="R6847"/>
      <c r="W6847" s="4"/>
      <c r="X6847" s="4"/>
      <c r="Y6847" s="4"/>
    </row>
    <row r="6848" spans="5:25">
      <c r="E6848"/>
      <c r="G6848"/>
      <c r="H6848"/>
      <c r="I6848"/>
      <c r="K6848"/>
      <c r="O6848"/>
      <c r="R6848"/>
      <c r="W6848" s="4"/>
      <c r="X6848" s="4"/>
      <c r="Y6848" s="4"/>
    </row>
    <row r="6849" spans="5:25">
      <c r="E6849"/>
      <c r="G6849"/>
      <c r="H6849"/>
      <c r="I6849"/>
      <c r="K6849"/>
      <c r="O6849"/>
      <c r="R6849"/>
      <c r="W6849" s="4"/>
      <c r="X6849" s="4"/>
      <c r="Y6849" s="4"/>
    </row>
    <row r="6850" spans="5:25">
      <c r="E6850"/>
      <c r="G6850"/>
      <c r="H6850"/>
      <c r="I6850"/>
      <c r="K6850"/>
      <c r="O6850"/>
      <c r="R6850"/>
      <c r="W6850" s="4"/>
      <c r="X6850" s="4"/>
      <c r="Y6850" s="4"/>
    </row>
    <row r="6851" spans="5:25">
      <c r="E6851"/>
      <c r="G6851"/>
      <c r="H6851"/>
      <c r="I6851"/>
      <c r="K6851"/>
      <c r="O6851"/>
      <c r="R6851"/>
      <c r="W6851" s="4"/>
      <c r="X6851" s="4"/>
      <c r="Y6851" s="4"/>
    </row>
    <row r="6852" spans="5:25">
      <c r="E6852"/>
      <c r="G6852"/>
      <c r="H6852"/>
      <c r="I6852"/>
      <c r="K6852"/>
      <c r="O6852"/>
      <c r="R6852"/>
      <c r="W6852" s="4"/>
      <c r="X6852" s="4"/>
      <c r="Y6852" s="4"/>
    </row>
    <row r="6853" spans="5:25">
      <c r="E6853"/>
      <c r="G6853"/>
      <c r="H6853"/>
      <c r="I6853"/>
      <c r="K6853"/>
      <c r="O6853"/>
      <c r="R6853"/>
      <c r="W6853" s="4"/>
      <c r="X6853" s="4"/>
      <c r="Y6853" s="4"/>
    </row>
    <row r="6854" spans="5:25">
      <c r="E6854"/>
      <c r="G6854"/>
      <c r="H6854"/>
      <c r="I6854"/>
      <c r="K6854"/>
      <c r="O6854"/>
      <c r="R6854"/>
      <c r="W6854" s="4"/>
      <c r="X6854" s="4"/>
      <c r="Y6854" s="4"/>
    </row>
    <row r="6855" spans="5:25">
      <c r="E6855"/>
      <c r="G6855"/>
      <c r="H6855"/>
      <c r="I6855"/>
      <c r="K6855"/>
      <c r="O6855"/>
      <c r="R6855"/>
      <c r="W6855" s="4"/>
      <c r="X6855" s="4"/>
      <c r="Y6855" s="4"/>
    </row>
    <row r="6856" spans="5:25">
      <c r="E6856"/>
      <c r="G6856"/>
      <c r="H6856"/>
      <c r="I6856"/>
      <c r="K6856"/>
      <c r="O6856"/>
      <c r="R6856"/>
      <c r="W6856" s="4"/>
      <c r="X6856" s="4"/>
      <c r="Y6856" s="4"/>
    </row>
    <row r="6857" spans="5:25">
      <c r="E6857"/>
      <c r="G6857"/>
      <c r="H6857"/>
      <c r="I6857"/>
      <c r="K6857"/>
      <c r="O6857"/>
      <c r="R6857"/>
      <c r="W6857" s="4"/>
      <c r="X6857" s="4"/>
      <c r="Y6857" s="4"/>
    </row>
    <row r="6858" spans="5:25">
      <c r="E6858"/>
      <c r="G6858"/>
      <c r="H6858"/>
      <c r="I6858"/>
      <c r="K6858"/>
      <c r="O6858"/>
      <c r="R6858"/>
      <c r="W6858" s="4"/>
      <c r="X6858" s="4"/>
      <c r="Y6858" s="4"/>
    </row>
    <row r="6859" spans="5:25">
      <c r="E6859"/>
      <c r="G6859"/>
      <c r="H6859"/>
      <c r="I6859"/>
      <c r="K6859"/>
      <c r="O6859"/>
      <c r="R6859"/>
      <c r="W6859" s="4"/>
      <c r="X6859" s="4"/>
      <c r="Y6859" s="4"/>
    </row>
    <row r="6860" spans="5:25">
      <c r="E6860"/>
      <c r="G6860"/>
      <c r="H6860"/>
      <c r="I6860"/>
      <c r="K6860"/>
      <c r="O6860"/>
      <c r="R6860"/>
      <c r="W6860" s="4"/>
      <c r="X6860" s="4"/>
      <c r="Y6860" s="4"/>
    </row>
    <row r="6861" spans="5:25">
      <c r="E6861"/>
      <c r="G6861"/>
      <c r="H6861"/>
      <c r="I6861"/>
      <c r="K6861"/>
      <c r="O6861"/>
      <c r="R6861"/>
      <c r="W6861" s="4"/>
      <c r="X6861" s="4"/>
      <c r="Y6861" s="4"/>
    </row>
    <row r="6862" spans="5:25">
      <c r="E6862"/>
      <c r="G6862"/>
      <c r="H6862"/>
      <c r="I6862"/>
      <c r="K6862"/>
      <c r="O6862"/>
      <c r="R6862"/>
      <c r="W6862" s="4"/>
      <c r="X6862" s="4"/>
      <c r="Y6862" s="4"/>
    </row>
    <row r="6863" spans="5:25">
      <c r="E6863"/>
      <c r="G6863"/>
      <c r="H6863"/>
      <c r="I6863"/>
      <c r="K6863"/>
      <c r="O6863"/>
      <c r="R6863"/>
      <c r="W6863" s="4"/>
      <c r="X6863" s="4"/>
      <c r="Y6863" s="4"/>
    </row>
    <row r="6864" spans="5:25">
      <c r="E6864"/>
      <c r="G6864"/>
      <c r="H6864"/>
      <c r="I6864"/>
      <c r="K6864"/>
      <c r="O6864"/>
      <c r="R6864"/>
      <c r="W6864" s="4"/>
      <c r="X6864" s="4"/>
      <c r="Y6864" s="4"/>
    </row>
    <row r="6865" spans="5:25">
      <c r="E6865"/>
      <c r="G6865"/>
      <c r="H6865"/>
      <c r="I6865"/>
      <c r="K6865"/>
      <c r="O6865"/>
      <c r="R6865"/>
      <c r="W6865" s="4"/>
      <c r="X6865" s="4"/>
      <c r="Y6865" s="4"/>
    </row>
    <row r="6866" spans="5:25">
      <c r="E6866"/>
      <c r="G6866"/>
      <c r="H6866"/>
      <c r="I6866"/>
      <c r="K6866"/>
      <c r="O6866"/>
      <c r="R6866"/>
      <c r="W6866" s="4"/>
      <c r="X6866" s="4"/>
      <c r="Y6866" s="4"/>
    </row>
    <row r="6867" spans="5:25">
      <c r="E6867"/>
      <c r="G6867"/>
      <c r="H6867"/>
      <c r="I6867"/>
      <c r="K6867"/>
      <c r="O6867"/>
      <c r="R6867"/>
      <c r="W6867" s="4"/>
      <c r="X6867" s="4"/>
      <c r="Y6867" s="4"/>
    </row>
    <row r="6868" spans="5:25">
      <c r="E6868"/>
      <c r="G6868"/>
      <c r="H6868"/>
      <c r="I6868"/>
      <c r="K6868"/>
      <c r="O6868"/>
      <c r="R6868"/>
      <c r="W6868" s="4"/>
      <c r="X6868" s="4"/>
      <c r="Y6868" s="4"/>
    </row>
    <row r="6869" spans="5:25">
      <c r="E6869"/>
      <c r="G6869"/>
      <c r="H6869"/>
      <c r="I6869"/>
      <c r="K6869"/>
      <c r="O6869"/>
      <c r="R6869"/>
      <c r="W6869" s="4"/>
      <c r="X6869" s="4"/>
      <c r="Y6869" s="4"/>
    </row>
    <row r="6870" spans="5:25">
      <c r="E6870"/>
      <c r="G6870"/>
      <c r="H6870"/>
      <c r="I6870"/>
      <c r="K6870"/>
      <c r="O6870"/>
      <c r="R6870"/>
      <c r="W6870" s="4"/>
      <c r="X6870" s="4"/>
      <c r="Y6870" s="4"/>
    </row>
    <row r="6871" spans="5:25">
      <c r="E6871"/>
      <c r="G6871"/>
      <c r="H6871"/>
      <c r="I6871"/>
      <c r="K6871"/>
      <c r="O6871"/>
      <c r="R6871"/>
      <c r="W6871" s="4"/>
      <c r="X6871" s="4"/>
      <c r="Y6871" s="4"/>
    </row>
    <row r="6872" spans="5:25">
      <c r="E6872"/>
      <c r="G6872"/>
      <c r="H6872"/>
      <c r="I6872"/>
      <c r="K6872"/>
      <c r="O6872"/>
      <c r="R6872"/>
      <c r="W6872" s="4"/>
      <c r="X6872" s="4"/>
      <c r="Y6872" s="4"/>
    </row>
    <row r="6873" spans="5:25">
      <c r="E6873"/>
      <c r="G6873"/>
      <c r="H6873"/>
      <c r="I6873"/>
      <c r="K6873"/>
      <c r="O6873"/>
      <c r="R6873"/>
      <c r="W6873" s="4"/>
      <c r="X6873" s="4"/>
      <c r="Y6873" s="4"/>
    </row>
    <row r="6874" spans="5:25">
      <c r="E6874"/>
      <c r="G6874"/>
      <c r="H6874"/>
      <c r="I6874"/>
      <c r="K6874"/>
      <c r="O6874"/>
      <c r="R6874"/>
      <c r="W6874" s="4"/>
      <c r="X6874" s="4"/>
      <c r="Y6874" s="4"/>
    </row>
    <row r="6875" spans="5:25">
      <c r="E6875"/>
      <c r="G6875"/>
      <c r="H6875"/>
      <c r="I6875"/>
      <c r="K6875"/>
      <c r="O6875"/>
      <c r="R6875"/>
      <c r="W6875" s="4"/>
      <c r="X6875" s="4"/>
      <c r="Y6875" s="4"/>
    </row>
    <row r="6876" spans="5:25">
      <c r="E6876"/>
      <c r="G6876"/>
      <c r="H6876"/>
      <c r="I6876"/>
      <c r="K6876"/>
      <c r="O6876"/>
      <c r="R6876"/>
      <c r="W6876" s="4"/>
      <c r="X6876" s="4"/>
      <c r="Y6876" s="4"/>
    </row>
    <row r="6877" spans="5:25">
      <c r="E6877"/>
      <c r="G6877"/>
      <c r="H6877"/>
      <c r="I6877"/>
      <c r="K6877"/>
      <c r="O6877"/>
      <c r="R6877"/>
      <c r="W6877" s="4"/>
      <c r="X6877" s="4"/>
      <c r="Y6877" s="4"/>
    </row>
    <row r="6878" spans="5:25">
      <c r="E6878"/>
      <c r="G6878"/>
      <c r="H6878"/>
      <c r="I6878"/>
      <c r="K6878"/>
      <c r="O6878"/>
      <c r="R6878"/>
      <c r="W6878" s="4"/>
      <c r="X6878" s="4"/>
      <c r="Y6878" s="4"/>
    </row>
    <row r="6879" spans="5:25">
      <c r="E6879"/>
      <c r="G6879"/>
      <c r="H6879"/>
      <c r="I6879"/>
      <c r="K6879"/>
      <c r="O6879"/>
      <c r="R6879"/>
      <c r="W6879" s="4"/>
      <c r="X6879" s="4"/>
      <c r="Y6879" s="4"/>
    </row>
    <row r="6880" spans="5:25">
      <c r="E6880"/>
      <c r="G6880"/>
      <c r="H6880"/>
      <c r="I6880"/>
      <c r="K6880"/>
      <c r="O6880"/>
      <c r="R6880"/>
      <c r="W6880" s="4"/>
      <c r="X6880" s="4"/>
      <c r="Y6880" s="4"/>
    </row>
    <row r="6881" spans="5:25">
      <c r="E6881"/>
      <c r="G6881"/>
      <c r="H6881"/>
      <c r="I6881"/>
      <c r="K6881"/>
      <c r="O6881"/>
      <c r="R6881"/>
      <c r="W6881" s="4"/>
      <c r="X6881" s="4"/>
      <c r="Y6881" s="4"/>
    </row>
    <row r="6882" spans="5:25">
      <c r="E6882"/>
      <c r="G6882"/>
      <c r="H6882"/>
      <c r="I6882"/>
      <c r="K6882"/>
      <c r="O6882"/>
      <c r="R6882"/>
      <c r="W6882" s="4"/>
      <c r="X6882" s="4"/>
      <c r="Y6882" s="4"/>
    </row>
    <row r="6883" spans="5:25">
      <c r="E6883"/>
      <c r="G6883"/>
      <c r="H6883"/>
      <c r="I6883"/>
      <c r="K6883"/>
      <c r="O6883"/>
      <c r="R6883"/>
      <c r="W6883" s="4"/>
      <c r="X6883" s="4"/>
      <c r="Y6883" s="4"/>
    </row>
    <row r="6884" spans="5:25">
      <c r="E6884"/>
      <c r="G6884"/>
      <c r="H6884"/>
      <c r="I6884"/>
      <c r="K6884"/>
      <c r="O6884"/>
      <c r="R6884"/>
      <c r="W6884" s="4"/>
      <c r="X6884" s="4"/>
      <c r="Y6884" s="4"/>
    </row>
    <row r="6885" spans="5:25">
      <c r="E6885"/>
      <c r="G6885"/>
      <c r="H6885"/>
      <c r="I6885"/>
      <c r="K6885"/>
      <c r="O6885"/>
      <c r="R6885"/>
      <c r="W6885" s="4"/>
      <c r="X6885" s="4"/>
      <c r="Y6885" s="4"/>
    </row>
    <row r="6886" spans="5:25">
      <c r="E6886"/>
      <c r="G6886"/>
      <c r="H6886"/>
      <c r="I6886"/>
      <c r="K6886"/>
      <c r="O6886"/>
      <c r="R6886"/>
      <c r="W6886" s="4"/>
      <c r="X6886" s="4"/>
      <c r="Y6886" s="4"/>
    </row>
    <row r="6887" spans="5:25">
      <c r="E6887"/>
      <c r="G6887"/>
      <c r="H6887"/>
      <c r="I6887"/>
      <c r="K6887"/>
      <c r="O6887"/>
      <c r="R6887"/>
      <c r="W6887" s="4"/>
      <c r="X6887" s="4"/>
      <c r="Y6887" s="4"/>
    </row>
    <row r="6888" spans="5:25">
      <c r="E6888"/>
      <c r="G6888"/>
      <c r="H6888"/>
      <c r="I6888"/>
      <c r="K6888"/>
      <c r="O6888"/>
      <c r="R6888"/>
      <c r="W6888" s="4"/>
      <c r="X6888" s="4"/>
      <c r="Y6888" s="4"/>
    </row>
    <row r="6889" spans="5:25">
      <c r="E6889"/>
      <c r="G6889"/>
      <c r="H6889"/>
      <c r="I6889"/>
      <c r="K6889"/>
      <c r="O6889"/>
      <c r="R6889"/>
      <c r="W6889" s="4"/>
      <c r="X6889" s="4"/>
      <c r="Y6889" s="4"/>
    </row>
    <row r="6890" spans="5:25">
      <c r="E6890"/>
      <c r="G6890"/>
      <c r="H6890"/>
      <c r="I6890"/>
      <c r="K6890"/>
      <c r="O6890"/>
      <c r="R6890"/>
      <c r="W6890" s="4"/>
      <c r="X6890" s="4"/>
      <c r="Y6890" s="4"/>
    </row>
    <row r="6891" spans="5:25">
      <c r="E6891"/>
      <c r="G6891"/>
      <c r="H6891"/>
      <c r="I6891"/>
      <c r="K6891"/>
      <c r="O6891"/>
      <c r="R6891"/>
      <c r="W6891" s="4"/>
      <c r="X6891" s="4"/>
      <c r="Y6891" s="4"/>
    </row>
    <row r="6892" spans="5:25">
      <c r="E6892"/>
      <c r="G6892"/>
      <c r="H6892"/>
      <c r="I6892"/>
      <c r="K6892"/>
      <c r="O6892"/>
      <c r="R6892"/>
      <c r="W6892" s="4"/>
      <c r="X6892" s="4"/>
      <c r="Y6892" s="4"/>
    </row>
    <row r="6893" spans="5:25">
      <c r="E6893"/>
      <c r="G6893"/>
      <c r="H6893"/>
      <c r="I6893"/>
      <c r="K6893"/>
      <c r="O6893"/>
      <c r="R6893"/>
      <c r="W6893" s="4"/>
      <c r="X6893" s="4"/>
      <c r="Y6893" s="4"/>
    </row>
    <row r="6894" spans="5:25">
      <c r="E6894"/>
      <c r="G6894"/>
      <c r="H6894"/>
      <c r="I6894"/>
      <c r="K6894"/>
      <c r="O6894"/>
      <c r="R6894"/>
      <c r="W6894" s="4"/>
      <c r="X6894" s="4"/>
      <c r="Y6894" s="4"/>
    </row>
    <row r="6895" spans="5:25">
      <c r="E6895"/>
      <c r="G6895"/>
      <c r="H6895"/>
      <c r="I6895"/>
      <c r="K6895"/>
      <c r="O6895"/>
      <c r="R6895"/>
      <c r="W6895" s="4"/>
      <c r="X6895" s="4"/>
      <c r="Y6895" s="4"/>
    </row>
    <row r="6896" spans="5:25">
      <c r="E6896"/>
      <c r="G6896"/>
      <c r="H6896"/>
      <c r="I6896"/>
      <c r="K6896"/>
      <c r="O6896"/>
      <c r="R6896"/>
      <c r="W6896" s="4"/>
      <c r="X6896" s="4"/>
      <c r="Y6896" s="4"/>
    </row>
    <row r="6897" spans="5:25">
      <c r="E6897"/>
      <c r="G6897"/>
      <c r="H6897"/>
      <c r="I6897"/>
      <c r="K6897"/>
      <c r="O6897"/>
      <c r="R6897"/>
      <c r="W6897" s="4"/>
      <c r="X6897" s="4"/>
      <c r="Y6897" s="4"/>
    </row>
    <row r="6898" spans="5:25">
      <c r="E6898"/>
      <c r="G6898"/>
      <c r="H6898"/>
      <c r="I6898"/>
      <c r="K6898"/>
      <c r="O6898"/>
      <c r="R6898"/>
      <c r="W6898" s="4"/>
      <c r="X6898" s="4"/>
      <c r="Y6898" s="4"/>
    </row>
    <row r="6899" spans="5:25">
      <c r="E6899"/>
      <c r="G6899"/>
      <c r="H6899"/>
      <c r="I6899"/>
      <c r="K6899"/>
      <c r="O6899"/>
      <c r="R6899"/>
      <c r="W6899" s="4"/>
      <c r="X6899" s="4"/>
      <c r="Y6899" s="4"/>
    </row>
    <row r="6900" spans="5:25">
      <c r="E6900"/>
      <c r="G6900"/>
      <c r="H6900"/>
      <c r="I6900"/>
      <c r="K6900"/>
      <c r="O6900"/>
      <c r="R6900"/>
      <c r="W6900" s="4"/>
      <c r="X6900" s="4"/>
      <c r="Y6900" s="4"/>
    </row>
    <row r="6901" spans="5:25">
      <c r="E6901"/>
      <c r="G6901"/>
      <c r="H6901"/>
      <c r="I6901"/>
      <c r="K6901"/>
      <c r="O6901"/>
      <c r="R6901"/>
      <c r="W6901" s="4"/>
      <c r="X6901" s="4"/>
      <c r="Y6901" s="4"/>
    </row>
    <row r="6902" spans="5:25">
      <c r="E6902"/>
      <c r="G6902"/>
      <c r="H6902"/>
      <c r="I6902"/>
      <c r="K6902"/>
      <c r="O6902"/>
      <c r="R6902"/>
      <c r="W6902" s="4"/>
      <c r="X6902" s="4"/>
      <c r="Y6902" s="4"/>
    </row>
    <row r="6903" spans="5:25">
      <c r="E6903"/>
      <c r="G6903"/>
      <c r="H6903"/>
      <c r="I6903"/>
      <c r="K6903"/>
      <c r="O6903"/>
      <c r="R6903"/>
      <c r="W6903" s="4"/>
      <c r="X6903" s="4"/>
      <c r="Y6903" s="4"/>
    </row>
    <row r="6904" spans="5:25">
      <c r="E6904"/>
      <c r="G6904"/>
      <c r="H6904"/>
      <c r="I6904"/>
      <c r="K6904"/>
      <c r="O6904"/>
      <c r="R6904"/>
      <c r="W6904" s="4"/>
      <c r="X6904" s="4"/>
      <c r="Y6904" s="4"/>
    </row>
    <row r="6905" spans="5:25">
      <c r="E6905"/>
      <c r="G6905"/>
      <c r="H6905"/>
      <c r="I6905"/>
      <c r="K6905"/>
      <c r="O6905"/>
      <c r="R6905"/>
      <c r="W6905" s="4"/>
      <c r="X6905" s="4"/>
      <c r="Y6905" s="4"/>
    </row>
    <row r="6906" spans="5:25">
      <c r="E6906"/>
      <c r="G6906"/>
      <c r="H6906"/>
      <c r="I6906"/>
      <c r="K6906"/>
      <c r="O6906"/>
      <c r="R6906"/>
      <c r="W6906" s="4"/>
      <c r="X6906" s="4"/>
      <c r="Y6906" s="4"/>
    </row>
    <row r="6907" spans="5:25">
      <c r="E6907"/>
      <c r="G6907"/>
      <c r="H6907"/>
      <c r="I6907"/>
      <c r="K6907"/>
      <c r="O6907"/>
      <c r="R6907"/>
      <c r="W6907" s="4"/>
      <c r="X6907" s="4"/>
      <c r="Y6907" s="4"/>
    </row>
    <row r="6908" spans="5:25">
      <c r="E6908"/>
      <c r="G6908"/>
      <c r="H6908"/>
      <c r="I6908"/>
      <c r="K6908"/>
      <c r="O6908"/>
      <c r="R6908"/>
      <c r="W6908" s="4"/>
      <c r="X6908" s="4"/>
      <c r="Y6908" s="4"/>
    </row>
    <row r="6909" spans="5:25">
      <c r="E6909"/>
      <c r="G6909"/>
      <c r="H6909"/>
      <c r="I6909"/>
      <c r="K6909"/>
      <c r="O6909"/>
      <c r="R6909"/>
      <c r="W6909" s="4"/>
      <c r="X6909" s="4"/>
      <c r="Y6909" s="4"/>
    </row>
    <row r="6910" spans="5:25">
      <c r="E6910"/>
      <c r="G6910"/>
      <c r="H6910"/>
      <c r="I6910"/>
      <c r="K6910"/>
      <c r="O6910"/>
      <c r="R6910"/>
      <c r="W6910" s="4"/>
      <c r="X6910" s="4"/>
      <c r="Y6910" s="4"/>
    </row>
    <row r="6911" spans="5:25">
      <c r="E6911"/>
      <c r="G6911"/>
      <c r="H6911"/>
      <c r="I6911"/>
      <c r="K6911"/>
      <c r="O6911"/>
      <c r="R6911"/>
      <c r="W6911" s="4"/>
      <c r="X6911" s="4"/>
      <c r="Y6911" s="4"/>
    </row>
    <row r="6912" spans="5:25">
      <c r="E6912"/>
      <c r="G6912"/>
      <c r="H6912"/>
      <c r="I6912"/>
      <c r="K6912"/>
      <c r="O6912"/>
      <c r="R6912"/>
      <c r="W6912" s="4"/>
      <c r="X6912" s="4"/>
      <c r="Y6912" s="4"/>
    </row>
    <row r="6913" spans="5:25">
      <c r="E6913"/>
      <c r="G6913"/>
      <c r="H6913"/>
      <c r="I6913"/>
      <c r="K6913"/>
      <c r="O6913"/>
      <c r="R6913"/>
      <c r="W6913" s="4"/>
      <c r="X6913" s="4"/>
      <c r="Y6913" s="4"/>
    </row>
    <row r="6914" spans="5:25">
      <c r="E6914"/>
      <c r="G6914"/>
      <c r="H6914"/>
      <c r="I6914"/>
      <c r="K6914"/>
      <c r="O6914"/>
      <c r="R6914"/>
      <c r="W6914" s="4"/>
      <c r="X6914" s="4"/>
      <c r="Y6914" s="4"/>
    </row>
    <row r="6915" spans="5:25">
      <c r="E6915"/>
      <c r="G6915"/>
      <c r="H6915"/>
      <c r="I6915"/>
      <c r="K6915"/>
      <c r="O6915"/>
      <c r="R6915"/>
      <c r="W6915" s="4"/>
      <c r="X6915" s="4"/>
      <c r="Y6915" s="4"/>
    </row>
    <row r="6916" spans="5:25">
      <c r="E6916"/>
      <c r="G6916"/>
      <c r="H6916"/>
      <c r="I6916"/>
      <c r="K6916"/>
      <c r="O6916"/>
      <c r="R6916"/>
      <c r="W6916" s="4"/>
      <c r="X6916" s="4"/>
      <c r="Y6916" s="4"/>
    </row>
    <row r="6917" spans="5:25">
      <c r="E6917"/>
      <c r="G6917"/>
      <c r="H6917"/>
      <c r="I6917"/>
      <c r="K6917"/>
      <c r="O6917"/>
      <c r="R6917"/>
      <c r="W6917" s="4"/>
      <c r="X6917" s="4"/>
      <c r="Y6917" s="4"/>
    </row>
    <row r="6918" spans="5:25">
      <c r="E6918"/>
      <c r="G6918"/>
      <c r="H6918"/>
      <c r="I6918"/>
      <c r="K6918"/>
      <c r="O6918"/>
      <c r="R6918"/>
      <c r="W6918" s="4"/>
      <c r="X6918" s="4"/>
      <c r="Y6918" s="4"/>
    </row>
    <row r="6919" spans="5:25">
      <c r="E6919"/>
      <c r="G6919"/>
      <c r="H6919"/>
      <c r="I6919"/>
      <c r="K6919"/>
      <c r="O6919"/>
      <c r="R6919"/>
      <c r="W6919" s="4"/>
      <c r="X6919" s="4"/>
      <c r="Y6919" s="4"/>
    </row>
    <row r="6920" spans="5:25">
      <c r="E6920"/>
      <c r="G6920"/>
      <c r="H6920"/>
      <c r="I6920"/>
      <c r="K6920"/>
      <c r="O6920"/>
      <c r="R6920"/>
      <c r="W6920" s="4"/>
      <c r="X6920" s="4"/>
      <c r="Y6920" s="4"/>
    </row>
    <row r="6921" spans="5:25">
      <c r="E6921"/>
      <c r="G6921"/>
      <c r="H6921"/>
      <c r="I6921"/>
      <c r="K6921"/>
      <c r="O6921"/>
      <c r="R6921"/>
      <c r="W6921" s="4"/>
      <c r="X6921" s="4"/>
      <c r="Y6921" s="4"/>
    </row>
    <row r="6922" spans="5:25">
      <c r="E6922"/>
      <c r="G6922"/>
      <c r="H6922"/>
      <c r="I6922"/>
      <c r="K6922"/>
      <c r="O6922"/>
      <c r="R6922"/>
      <c r="W6922" s="4"/>
      <c r="X6922" s="4"/>
      <c r="Y6922" s="4"/>
    </row>
    <row r="6923" spans="5:25">
      <c r="E6923"/>
      <c r="G6923"/>
      <c r="H6923"/>
      <c r="I6923"/>
      <c r="K6923"/>
      <c r="O6923"/>
      <c r="R6923"/>
      <c r="W6923" s="4"/>
      <c r="X6923" s="4"/>
      <c r="Y6923" s="4"/>
    </row>
    <row r="6924" spans="5:25">
      <c r="E6924"/>
      <c r="G6924"/>
      <c r="H6924"/>
      <c r="I6924"/>
      <c r="K6924"/>
      <c r="O6924"/>
      <c r="R6924"/>
      <c r="W6924" s="4"/>
      <c r="X6924" s="4"/>
      <c r="Y6924" s="4"/>
    </row>
    <row r="6925" spans="5:25">
      <c r="E6925"/>
      <c r="G6925"/>
      <c r="H6925"/>
      <c r="I6925"/>
      <c r="K6925"/>
      <c r="O6925"/>
      <c r="R6925"/>
      <c r="W6925" s="4"/>
      <c r="X6925" s="4"/>
      <c r="Y6925" s="4"/>
    </row>
    <row r="6926" spans="5:25">
      <c r="E6926"/>
      <c r="G6926"/>
      <c r="H6926"/>
      <c r="I6926"/>
      <c r="K6926"/>
      <c r="O6926"/>
      <c r="R6926"/>
      <c r="W6926" s="4"/>
      <c r="X6926" s="4"/>
      <c r="Y6926" s="4"/>
    </row>
    <row r="6927" spans="5:25">
      <c r="E6927"/>
      <c r="G6927"/>
      <c r="H6927"/>
      <c r="I6927"/>
      <c r="K6927"/>
      <c r="O6927"/>
      <c r="R6927"/>
      <c r="W6927" s="4"/>
      <c r="X6927" s="4"/>
      <c r="Y6927" s="4"/>
    </row>
    <row r="6928" spans="5:25">
      <c r="E6928"/>
      <c r="G6928"/>
      <c r="H6928"/>
      <c r="I6928"/>
      <c r="K6928"/>
      <c r="O6928"/>
      <c r="R6928"/>
      <c r="W6928" s="4"/>
      <c r="X6928" s="4"/>
      <c r="Y6928" s="4"/>
    </row>
    <row r="6929" spans="5:25">
      <c r="E6929"/>
      <c r="G6929"/>
      <c r="H6929"/>
      <c r="I6929"/>
      <c r="K6929"/>
      <c r="O6929"/>
      <c r="R6929"/>
      <c r="W6929" s="4"/>
      <c r="X6929" s="4"/>
      <c r="Y6929" s="4"/>
    </row>
    <row r="6930" spans="5:25">
      <c r="E6930"/>
      <c r="G6930"/>
      <c r="H6930"/>
      <c r="I6930"/>
      <c r="K6930"/>
      <c r="O6930"/>
      <c r="R6930"/>
      <c r="W6930" s="4"/>
      <c r="X6930" s="4"/>
      <c r="Y6930" s="4"/>
    </row>
    <row r="6931" spans="5:25">
      <c r="E6931"/>
      <c r="G6931"/>
      <c r="H6931"/>
      <c r="I6931"/>
      <c r="K6931"/>
      <c r="O6931"/>
      <c r="R6931"/>
      <c r="W6931" s="4"/>
      <c r="X6931" s="4"/>
      <c r="Y6931" s="4"/>
    </row>
    <row r="6932" spans="5:25">
      <c r="E6932"/>
      <c r="G6932"/>
      <c r="H6932"/>
      <c r="I6932"/>
      <c r="K6932"/>
      <c r="O6932"/>
      <c r="R6932"/>
      <c r="W6932" s="4"/>
      <c r="X6932" s="4"/>
      <c r="Y6932" s="4"/>
    </row>
    <row r="6933" spans="5:25">
      <c r="E6933"/>
      <c r="G6933"/>
      <c r="H6933"/>
      <c r="I6933"/>
      <c r="K6933"/>
      <c r="O6933"/>
      <c r="R6933"/>
      <c r="W6933" s="4"/>
      <c r="X6933" s="4"/>
      <c r="Y6933" s="4"/>
    </row>
    <row r="6934" spans="5:25">
      <c r="E6934"/>
      <c r="G6934"/>
      <c r="H6934"/>
      <c r="I6934"/>
      <c r="K6934"/>
      <c r="O6934"/>
      <c r="R6934"/>
      <c r="W6934" s="4"/>
      <c r="X6934" s="4"/>
      <c r="Y6934" s="4"/>
    </row>
    <row r="6935" spans="5:25">
      <c r="E6935"/>
      <c r="G6935"/>
      <c r="H6935"/>
      <c r="I6935"/>
      <c r="K6935"/>
      <c r="O6935"/>
      <c r="R6935"/>
      <c r="W6935" s="4"/>
      <c r="X6935" s="4"/>
      <c r="Y6935" s="4"/>
    </row>
    <row r="6936" spans="5:25">
      <c r="E6936"/>
      <c r="G6936"/>
      <c r="H6936"/>
      <c r="I6936"/>
      <c r="K6936"/>
      <c r="O6936"/>
      <c r="R6936"/>
      <c r="W6936" s="4"/>
      <c r="X6936" s="4"/>
      <c r="Y6936" s="4"/>
    </row>
    <row r="6937" spans="5:25">
      <c r="E6937"/>
      <c r="G6937"/>
      <c r="H6937"/>
      <c r="I6937"/>
      <c r="K6937"/>
      <c r="O6937"/>
      <c r="R6937"/>
      <c r="W6937" s="4"/>
      <c r="X6937" s="4"/>
      <c r="Y6937" s="4"/>
    </row>
    <row r="6938" spans="5:25">
      <c r="E6938"/>
      <c r="G6938"/>
      <c r="H6938"/>
      <c r="I6938"/>
      <c r="K6938"/>
      <c r="O6938"/>
      <c r="R6938"/>
      <c r="W6938" s="4"/>
      <c r="X6938" s="4"/>
      <c r="Y6938" s="4"/>
    </row>
    <row r="6939" spans="5:25">
      <c r="E6939"/>
      <c r="G6939"/>
      <c r="H6939"/>
      <c r="I6939"/>
      <c r="K6939"/>
      <c r="O6939"/>
      <c r="R6939"/>
      <c r="W6939" s="4"/>
      <c r="X6939" s="4"/>
      <c r="Y6939" s="4"/>
    </row>
    <row r="6940" spans="5:25">
      <c r="E6940"/>
      <c r="G6940"/>
      <c r="H6940"/>
      <c r="I6940"/>
      <c r="K6940"/>
      <c r="O6940"/>
      <c r="R6940"/>
      <c r="W6940" s="4"/>
      <c r="X6940" s="4"/>
      <c r="Y6940" s="4"/>
    </row>
    <row r="6941" spans="5:25">
      <c r="E6941"/>
      <c r="G6941"/>
      <c r="H6941"/>
      <c r="I6941"/>
      <c r="K6941"/>
      <c r="O6941"/>
      <c r="R6941"/>
      <c r="W6941" s="4"/>
      <c r="X6941" s="4"/>
      <c r="Y6941" s="4"/>
    </row>
    <row r="6942" spans="5:25">
      <c r="E6942"/>
      <c r="G6942"/>
      <c r="H6942"/>
      <c r="I6942"/>
      <c r="K6942"/>
      <c r="O6942"/>
      <c r="R6942"/>
      <c r="W6942" s="4"/>
      <c r="X6942" s="4"/>
      <c r="Y6942" s="4"/>
    </row>
    <row r="6943" spans="5:25">
      <c r="E6943"/>
      <c r="G6943"/>
      <c r="H6943"/>
      <c r="I6943"/>
      <c r="K6943"/>
      <c r="O6943"/>
      <c r="R6943"/>
      <c r="W6943" s="4"/>
      <c r="X6943" s="4"/>
      <c r="Y6943" s="4"/>
    </row>
    <row r="6944" spans="5:25">
      <c r="E6944"/>
      <c r="G6944"/>
      <c r="H6944"/>
      <c r="I6944"/>
      <c r="K6944"/>
      <c r="O6944"/>
      <c r="R6944"/>
      <c r="W6944" s="4"/>
      <c r="X6944" s="4"/>
      <c r="Y6944" s="4"/>
    </row>
    <row r="6945" spans="5:25">
      <c r="E6945"/>
      <c r="G6945"/>
      <c r="H6945"/>
      <c r="I6945"/>
      <c r="K6945"/>
      <c r="O6945"/>
      <c r="R6945"/>
      <c r="W6945" s="4"/>
      <c r="X6945" s="4"/>
      <c r="Y6945" s="4"/>
    </row>
    <row r="6946" spans="5:25">
      <c r="E6946"/>
      <c r="G6946"/>
      <c r="H6946"/>
      <c r="I6946"/>
      <c r="K6946"/>
      <c r="O6946"/>
      <c r="R6946"/>
      <c r="W6946" s="4"/>
      <c r="X6946" s="4"/>
      <c r="Y6946" s="4"/>
    </row>
    <row r="6947" spans="5:25">
      <c r="E6947"/>
      <c r="G6947"/>
      <c r="H6947"/>
      <c r="I6947"/>
      <c r="K6947"/>
      <c r="O6947"/>
      <c r="R6947"/>
      <c r="W6947" s="4"/>
      <c r="X6947" s="4"/>
      <c r="Y6947" s="4"/>
    </row>
    <row r="6948" spans="5:25">
      <c r="E6948"/>
      <c r="G6948"/>
      <c r="H6948"/>
      <c r="I6948"/>
      <c r="K6948"/>
      <c r="O6948"/>
      <c r="R6948"/>
      <c r="W6948" s="4"/>
      <c r="X6948" s="4"/>
      <c r="Y6948" s="4"/>
    </row>
    <row r="6949" spans="5:25">
      <c r="E6949"/>
      <c r="G6949"/>
      <c r="H6949"/>
      <c r="I6949"/>
      <c r="K6949"/>
      <c r="O6949"/>
      <c r="R6949"/>
      <c r="W6949" s="4"/>
      <c r="X6949" s="4"/>
      <c r="Y6949" s="4"/>
    </row>
    <row r="6950" spans="5:25">
      <c r="E6950"/>
      <c r="G6950"/>
      <c r="H6950"/>
      <c r="I6950"/>
      <c r="K6950"/>
      <c r="O6950"/>
      <c r="R6950"/>
      <c r="W6950" s="4"/>
      <c r="X6950" s="4"/>
      <c r="Y6950" s="4"/>
    </row>
    <row r="6951" spans="5:25">
      <c r="E6951"/>
      <c r="G6951"/>
      <c r="H6951"/>
      <c r="I6951"/>
      <c r="K6951"/>
      <c r="O6951"/>
      <c r="R6951"/>
      <c r="W6951" s="4"/>
      <c r="X6951" s="4"/>
      <c r="Y6951" s="4"/>
    </row>
    <row r="6952" spans="5:25">
      <c r="E6952"/>
      <c r="G6952"/>
      <c r="H6952"/>
      <c r="I6952"/>
      <c r="K6952"/>
      <c r="O6952"/>
      <c r="R6952"/>
      <c r="W6952" s="4"/>
      <c r="X6952" s="4"/>
      <c r="Y6952" s="4"/>
    </row>
    <row r="6953" spans="5:25">
      <c r="E6953"/>
      <c r="G6953"/>
      <c r="H6953"/>
      <c r="I6953"/>
      <c r="K6953"/>
      <c r="O6953"/>
      <c r="R6953"/>
      <c r="W6953" s="4"/>
      <c r="X6953" s="4"/>
      <c r="Y6953" s="4"/>
    </row>
    <row r="6954" spans="5:25">
      <c r="E6954"/>
      <c r="G6954"/>
      <c r="H6954"/>
      <c r="I6954"/>
      <c r="K6954"/>
      <c r="O6954"/>
      <c r="R6954"/>
      <c r="W6954" s="4"/>
      <c r="X6954" s="4"/>
      <c r="Y6954" s="4"/>
    </row>
    <row r="6955" spans="5:25">
      <c r="E6955"/>
      <c r="G6955"/>
      <c r="H6955"/>
      <c r="I6955"/>
      <c r="K6955"/>
      <c r="O6955"/>
      <c r="R6955"/>
      <c r="W6955" s="4"/>
      <c r="X6955" s="4"/>
      <c r="Y6955" s="4"/>
    </row>
    <row r="6956" spans="5:25">
      <c r="E6956"/>
      <c r="G6956"/>
      <c r="H6956"/>
      <c r="I6956"/>
      <c r="K6956"/>
      <c r="O6956"/>
      <c r="R6956"/>
      <c r="W6956" s="4"/>
      <c r="X6956" s="4"/>
      <c r="Y6956" s="4"/>
    </row>
    <row r="6957" spans="5:25">
      <c r="E6957"/>
      <c r="G6957"/>
      <c r="H6957"/>
      <c r="I6957"/>
      <c r="K6957"/>
      <c r="O6957"/>
      <c r="R6957"/>
      <c r="W6957" s="4"/>
      <c r="X6957" s="4"/>
      <c r="Y6957" s="4"/>
    </row>
    <row r="6958" spans="5:25">
      <c r="E6958"/>
      <c r="G6958"/>
      <c r="H6958"/>
      <c r="I6958"/>
      <c r="K6958"/>
      <c r="O6958"/>
      <c r="R6958"/>
      <c r="W6958" s="4"/>
      <c r="X6958" s="4"/>
      <c r="Y6958" s="4"/>
    </row>
    <row r="6959" spans="5:25">
      <c r="E6959"/>
      <c r="G6959"/>
      <c r="H6959"/>
      <c r="I6959"/>
      <c r="K6959"/>
      <c r="O6959"/>
      <c r="R6959"/>
      <c r="W6959" s="4"/>
      <c r="X6959" s="4"/>
      <c r="Y6959" s="4"/>
    </row>
    <row r="6960" spans="5:25">
      <c r="E6960"/>
      <c r="G6960"/>
      <c r="H6960"/>
      <c r="I6960"/>
      <c r="K6960"/>
      <c r="O6960"/>
      <c r="R6960"/>
      <c r="W6960" s="4"/>
      <c r="X6960" s="4"/>
      <c r="Y6960" s="4"/>
    </row>
    <row r="6961" spans="5:25">
      <c r="E6961"/>
      <c r="G6961"/>
      <c r="H6961"/>
      <c r="I6961"/>
      <c r="K6961"/>
      <c r="O6961"/>
      <c r="R6961"/>
      <c r="W6961" s="4"/>
      <c r="X6961" s="4"/>
      <c r="Y6961" s="4"/>
    </row>
    <row r="6962" spans="5:25">
      <c r="E6962"/>
      <c r="G6962"/>
      <c r="H6962"/>
      <c r="I6962"/>
      <c r="K6962"/>
      <c r="O6962"/>
      <c r="R6962"/>
      <c r="W6962" s="4"/>
      <c r="X6962" s="4"/>
      <c r="Y6962" s="4"/>
    </row>
    <row r="6963" spans="5:25">
      <c r="E6963"/>
      <c r="G6963"/>
      <c r="H6963"/>
      <c r="I6963"/>
      <c r="K6963"/>
      <c r="O6963"/>
      <c r="R6963"/>
      <c r="W6963" s="4"/>
      <c r="X6963" s="4"/>
      <c r="Y6963" s="4"/>
    </row>
    <row r="6964" spans="5:25">
      <c r="E6964"/>
      <c r="G6964"/>
      <c r="H6964"/>
      <c r="I6964"/>
      <c r="K6964"/>
      <c r="O6964"/>
      <c r="R6964"/>
      <c r="W6964" s="4"/>
      <c r="X6964" s="4"/>
      <c r="Y6964" s="4"/>
    </row>
    <row r="6965" spans="5:25">
      <c r="E6965"/>
      <c r="G6965"/>
      <c r="H6965"/>
      <c r="I6965"/>
      <c r="K6965"/>
      <c r="O6965"/>
      <c r="R6965"/>
      <c r="W6965" s="4"/>
      <c r="X6965" s="4"/>
      <c r="Y6965" s="4"/>
    </row>
    <row r="6966" spans="5:25">
      <c r="E6966"/>
      <c r="G6966"/>
      <c r="H6966"/>
      <c r="I6966"/>
      <c r="K6966"/>
      <c r="O6966"/>
      <c r="R6966"/>
      <c r="W6966" s="4"/>
      <c r="X6966" s="4"/>
      <c r="Y6966" s="4"/>
    </row>
    <row r="6967" spans="5:25">
      <c r="E6967"/>
      <c r="G6967"/>
      <c r="H6967"/>
      <c r="I6967"/>
      <c r="K6967"/>
      <c r="O6967"/>
      <c r="R6967"/>
      <c r="W6967" s="4"/>
      <c r="X6967" s="4"/>
      <c r="Y6967" s="4"/>
    </row>
    <row r="6968" spans="5:25">
      <c r="E6968"/>
      <c r="G6968"/>
      <c r="H6968"/>
      <c r="I6968"/>
      <c r="K6968"/>
      <c r="O6968"/>
      <c r="R6968"/>
      <c r="W6968" s="4"/>
      <c r="X6968" s="4"/>
      <c r="Y6968" s="4"/>
    </row>
    <row r="6969" spans="5:25">
      <c r="E6969"/>
      <c r="G6969"/>
      <c r="H6969"/>
      <c r="I6969"/>
      <c r="K6969"/>
      <c r="O6969"/>
      <c r="R6969"/>
      <c r="W6969" s="4"/>
      <c r="X6969" s="4"/>
      <c r="Y6969" s="4"/>
    </row>
    <row r="6970" spans="5:25">
      <c r="E6970"/>
      <c r="G6970"/>
      <c r="H6970"/>
      <c r="I6970"/>
      <c r="K6970"/>
      <c r="O6970"/>
      <c r="R6970"/>
      <c r="W6970" s="4"/>
      <c r="X6970" s="4"/>
      <c r="Y6970" s="4"/>
    </row>
    <row r="6971" spans="5:25">
      <c r="E6971"/>
      <c r="G6971"/>
      <c r="H6971"/>
      <c r="I6971"/>
      <c r="K6971"/>
      <c r="O6971"/>
      <c r="R6971"/>
      <c r="W6971" s="4"/>
      <c r="X6971" s="4"/>
      <c r="Y6971" s="4"/>
    </row>
    <row r="6972" spans="5:25">
      <c r="E6972"/>
      <c r="G6972"/>
      <c r="H6972"/>
      <c r="I6972"/>
      <c r="K6972"/>
      <c r="O6972"/>
      <c r="R6972"/>
      <c r="W6972" s="4"/>
      <c r="X6972" s="4"/>
      <c r="Y6972" s="4"/>
    </row>
    <row r="6973" spans="5:25">
      <c r="E6973"/>
      <c r="G6973"/>
      <c r="H6973"/>
      <c r="I6973"/>
      <c r="K6973"/>
      <c r="O6973"/>
      <c r="R6973"/>
      <c r="W6973" s="4"/>
      <c r="X6973" s="4"/>
      <c r="Y6973" s="4"/>
    </row>
    <row r="6974" spans="5:25">
      <c r="E6974"/>
      <c r="G6974"/>
      <c r="H6974"/>
      <c r="I6974"/>
      <c r="K6974"/>
      <c r="O6974"/>
      <c r="R6974"/>
      <c r="W6974" s="4"/>
      <c r="X6974" s="4"/>
      <c r="Y6974" s="4"/>
    </row>
    <row r="6975" spans="5:25">
      <c r="E6975"/>
      <c r="G6975"/>
      <c r="H6975"/>
      <c r="I6975"/>
      <c r="K6975"/>
      <c r="O6975"/>
      <c r="R6975"/>
      <c r="W6975" s="4"/>
      <c r="X6975" s="4"/>
      <c r="Y6975" s="4"/>
    </row>
    <row r="6976" spans="5:25">
      <c r="E6976"/>
      <c r="G6976"/>
      <c r="H6976"/>
      <c r="I6976"/>
      <c r="K6976"/>
      <c r="O6976"/>
      <c r="R6976"/>
      <c r="W6976" s="4"/>
      <c r="X6976" s="4"/>
      <c r="Y6976" s="4"/>
    </row>
    <row r="6977" spans="5:25">
      <c r="E6977"/>
      <c r="G6977"/>
      <c r="H6977"/>
      <c r="I6977"/>
      <c r="K6977"/>
      <c r="O6977"/>
      <c r="R6977"/>
      <c r="W6977" s="4"/>
      <c r="X6977" s="4"/>
      <c r="Y6977" s="4"/>
    </row>
    <row r="6978" spans="5:25">
      <c r="E6978"/>
      <c r="G6978"/>
      <c r="H6978"/>
      <c r="I6978"/>
      <c r="K6978"/>
      <c r="O6978"/>
      <c r="R6978"/>
      <c r="W6978" s="4"/>
      <c r="X6978" s="4"/>
      <c r="Y6978" s="4"/>
    </row>
    <row r="6979" spans="5:25">
      <c r="E6979"/>
      <c r="G6979"/>
      <c r="H6979"/>
      <c r="I6979"/>
      <c r="K6979"/>
      <c r="O6979"/>
      <c r="R6979"/>
      <c r="W6979" s="4"/>
      <c r="X6979" s="4"/>
      <c r="Y6979" s="4"/>
    </row>
    <row r="6980" spans="5:25">
      <c r="E6980"/>
      <c r="G6980"/>
      <c r="H6980"/>
      <c r="I6980"/>
      <c r="K6980"/>
      <c r="O6980"/>
      <c r="R6980"/>
      <c r="W6980" s="4"/>
      <c r="X6980" s="4"/>
      <c r="Y6980" s="4"/>
    </row>
    <row r="6981" spans="5:25">
      <c r="E6981"/>
      <c r="G6981"/>
      <c r="H6981"/>
      <c r="I6981"/>
      <c r="K6981"/>
      <c r="O6981"/>
      <c r="R6981"/>
      <c r="W6981" s="4"/>
      <c r="X6981" s="4"/>
      <c r="Y6981" s="4"/>
    </row>
    <row r="6982" spans="5:25">
      <c r="E6982"/>
      <c r="G6982"/>
      <c r="H6982"/>
      <c r="I6982"/>
      <c r="K6982"/>
      <c r="O6982"/>
      <c r="R6982"/>
      <c r="W6982" s="4"/>
      <c r="X6982" s="4"/>
      <c r="Y6982" s="4"/>
    </row>
    <row r="6983" spans="5:25">
      <c r="E6983"/>
      <c r="G6983"/>
      <c r="H6983"/>
      <c r="I6983"/>
      <c r="K6983"/>
      <c r="O6983"/>
      <c r="R6983"/>
      <c r="W6983" s="4"/>
      <c r="X6983" s="4"/>
      <c r="Y6983" s="4"/>
    </row>
    <row r="6984" spans="5:25">
      <c r="E6984"/>
      <c r="G6984"/>
      <c r="H6984"/>
      <c r="I6984"/>
      <c r="K6984"/>
      <c r="O6984"/>
      <c r="R6984"/>
      <c r="W6984" s="4"/>
      <c r="X6984" s="4"/>
      <c r="Y6984" s="4"/>
    </row>
    <row r="6985" spans="5:25">
      <c r="E6985"/>
      <c r="G6985"/>
      <c r="H6985"/>
      <c r="I6985"/>
      <c r="K6985"/>
      <c r="O6985"/>
      <c r="R6985"/>
      <c r="W6985" s="4"/>
      <c r="X6985" s="4"/>
      <c r="Y6985" s="4"/>
    </row>
    <row r="6986" spans="5:25">
      <c r="E6986"/>
      <c r="G6986"/>
      <c r="H6986"/>
      <c r="I6986"/>
      <c r="K6986"/>
      <c r="O6986"/>
      <c r="R6986"/>
      <c r="W6986" s="4"/>
      <c r="X6986" s="4"/>
      <c r="Y6986" s="4"/>
    </row>
    <row r="6987" spans="5:25">
      <c r="E6987"/>
      <c r="G6987"/>
      <c r="H6987"/>
      <c r="I6987"/>
      <c r="K6987"/>
      <c r="O6987"/>
      <c r="R6987"/>
      <c r="W6987" s="4"/>
      <c r="X6987" s="4"/>
      <c r="Y6987" s="4"/>
    </row>
    <row r="6988" spans="5:25">
      <c r="E6988"/>
      <c r="G6988"/>
      <c r="H6988"/>
      <c r="I6988"/>
      <c r="K6988"/>
      <c r="O6988"/>
      <c r="R6988"/>
      <c r="W6988" s="4"/>
      <c r="X6988" s="4"/>
      <c r="Y6988" s="4"/>
    </row>
    <row r="6989" spans="5:25">
      <c r="E6989"/>
      <c r="G6989"/>
      <c r="H6989"/>
      <c r="I6989"/>
      <c r="K6989"/>
      <c r="O6989"/>
      <c r="R6989"/>
      <c r="W6989" s="4"/>
      <c r="X6989" s="4"/>
      <c r="Y6989" s="4"/>
    </row>
    <row r="6990" spans="5:25">
      <c r="E6990"/>
      <c r="G6990"/>
      <c r="H6990"/>
      <c r="I6990"/>
      <c r="K6990"/>
      <c r="O6990"/>
      <c r="R6990"/>
      <c r="W6990" s="4"/>
      <c r="X6990" s="4"/>
      <c r="Y6990" s="4"/>
    </row>
    <row r="6991" spans="5:25">
      <c r="E6991"/>
      <c r="G6991"/>
      <c r="H6991"/>
      <c r="I6991"/>
      <c r="K6991"/>
      <c r="O6991"/>
      <c r="R6991"/>
      <c r="W6991" s="4"/>
      <c r="X6991" s="4"/>
      <c r="Y6991" s="4"/>
    </row>
    <row r="6992" spans="5:25">
      <c r="E6992"/>
      <c r="G6992"/>
      <c r="H6992"/>
      <c r="I6992"/>
      <c r="K6992"/>
      <c r="O6992"/>
      <c r="R6992"/>
      <c r="W6992" s="4"/>
      <c r="X6992" s="4"/>
      <c r="Y6992" s="4"/>
    </row>
    <row r="6993" spans="5:25">
      <c r="E6993"/>
      <c r="G6993"/>
      <c r="H6993"/>
      <c r="I6993"/>
      <c r="K6993"/>
      <c r="O6993"/>
      <c r="R6993"/>
      <c r="W6993" s="4"/>
      <c r="X6993" s="4"/>
      <c r="Y6993" s="4"/>
    </row>
    <row r="6994" spans="5:25">
      <c r="E6994"/>
      <c r="G6994"/>
      <c r="H6994"/>
      <c r="I6994"/>
      <c r="K6994"/>
      <c r="O6994"/>
      <c r="R6994"/>
      <c r="W6994" s="4"/>
      <c r="X6994" s="4"/>
      <c r="Y6994" s="4"/>
    </row>
    <row r="6995" spans="5:25">
      <c r="E6995"/>
      <c r="G6995"/>
      <c r="H6995"/>
      <c r="I6995"/>
      <c r="K6995"/>
      <c r="O6995"/>
      <c r="R6995"/>
      <c r="W6995" s="4"/>
      <c r="X6995" s="4"/>
      <c r="Y6995" s="4"/>
    </row>
    <row r="6996" spans="5:25">
      <c r="E6996"/>
      <c r="G6996"/>
      <c r="H6996"/>
      <c r="I6996"/>
      <c r="K6996"/>
      <c r="O6996"/>
      <c r="R6996"/>
      <c r="W6996" s="4"/>
      <c r="X6996" s="4"/>
      <c r="Y6996" s="4"/>
    </row>
    <row r="6997" spans="5:25">
      <c r="E6997"/>
      <c r="G6997"/>
      <c r="H6997"/>
      <c r="I6997"/>
      <c r="K6997"/>
      <c r="O6997"/>
      <c r="R6997"/>
      <c r="W6997" s="4"/>
      <c r="X6997" s="4"/>
      <c r="Y6997" s="4"/>
    </row>
    <row r="6998" spans="5:25">
      <c r="E6998"/>
      <c r="G6998"/>
      <c r="H6998"/>
      <c r="I6998"/>
      <c r="K6998"/>
      <c r="O6998"/>
      <c r="R6998"/>
      <c r="W6998" s="4"/>
      <c r="X6998" s="4"/>
      <c r="Y6998" s="4"/>
    </row>
    <row r="6999" spans="5:25">
      <c r="E6999"/>
      <c r="G6999"/>
      <c r="H6999"/>
      <c r="I6999"/>
      <c r="K6999"/>
      <c r="O6999"/>
      <c r="R6999"/>
      <c r="W6999" s="4"/>
      <c r="X6999" s="4"/>
      <c r="Y6999" s="4"/>
    </row>
    <row r="7000" spans="5:25">
      <c r="E7000"/>
      <c r="G7000"/>
      <c r="H7000"/>
      <c r="I7000"/>
      <c r="K7000"/>
      <c r="O7000"/>
      <c r="R7000"/>
      <c r="W7000" s="4"/>
      <c r="X7000" s="4"/>
      <c r="Y7000" s="4"/>
    </row>
    <row r="7001" spans="5:25">
      <c r="E7001"/>
      <c r="G7001"/>
      <c r="H7001"/>
      <c r="I7001"/>
      <c r="K7001"/>
      <c r="O7001"/>
      <c r="R7001"/>
      <c r="W7001" s="4"/>
      <c r="X7001" s="4"/>
      <c r="Y7001" s="4"/>
    </row>
    <row r="7002" spans="5:25">
      <c r="E7002"/>
      <c r="G7002"/>
      <c r="H7002"/>
      <c r="I7002"/>
      <c r="K7002"/>
      <c r="O7002"/>
      <c r="R7002"/>
      <c r="W7002" s="4"/>
      <c r="X7002" s="4"/>
      <c r="Y7002" s="4"/>
    </row>
    <row r="7003" spans="5:25">
      <c r="E7003"/>
      <c r="G7003"/>
      <c r="H7003"/>
      <c r="I7003"/>
      <c r="K7003"/>
      <c r="O7003"/>
      <c r="R7003"/>
      <c r="W7003" s="4"/>
      <c r="X7003" s="4"/>
      <c r="Y7003" s="4"/>
    </row>
    <row r="7004" spans="5:25">
      <c r="E7004"/>
      <c r="G7004"/>
      <c r="H7004"/>
      <c r="I7004"/>
      <c r="K7004"/>
      <c r="O7004"/>
      <c r="R7004"/>
      <c r="W7004" s="4"/>
      <c r="X7004" s="4"/>
      <c r="Y7004" s="4"/>
    </row>
    <row r="7005" spans="5:25">
      <c r="E7005"/>
      <c r="G7005"/>
      <c r="H7005"/>
      <c r="I7005"/>
      <c r="K7005"/>
      <c r="O7005"/>
      <c r="R7005"/>
      <c r="W7005" s="4"/>
      <c r="X7005" s="4"/>
      <c r="Y7005" s="4"/>
    </row>
    <row r="7006" spans="5:25">
      <c r="E7006"/>
      <c r="G7006"/>
      <c r="H7006"/>
      <c r="I7006"/>
      <c r="K7006"/>
      <c r="O7006"/>
      <c r="R7006"/>
      <c r="W7006" s="4"/>
      <c r="X7006" s="4"/>
      <c r="Y7006" s="4"/>
    </row>
    <row r="7007" spans="5:25">
      <c r="E7007"/>
      <c r="G7007"/>
      <c r="H7007"/>
      <c r="I7007"/>
      <c r="K7007"/>
      <c r="O7007"/>
      <c r="R7007"/>
      <c r="W7007" s="4"/>
      <c r="X7007" s="4"/>
      <c r="Y7007" s="4"/>
    </row>
    <row r="7008" spans="5:25">
      <c r="E7008"/>
      <c r="G7008"/>
      <c r="H7008"/>
      <c r="I7008"/>
      <c r="K7008"/>
      <c r="O7008"/>
      <c r="R7008"/>
      <c r="W7008" s="4"/>
      <c r="X7008" s="4"/>
      <c r="Y7008" s="4"/>
    </row>
    <row r="7009" spans="5:25">
      <c r="E7009"/>
      <c r="G7009"/>
      <c r="H7009"/>
      <c r="I7009"/>
      <c r="K7009"/>
      <c r="O7009"/>
      <c r="R7009"/>
      <c r="W7009" s="4"/>
      <c r="X7009" s="4"/>
      <c r="Y7009" s="4"/>
    </row>
    <row r="7010" spans="5:25">
      <c r="E7010"/>
      <c r="G7010"/>
      <c r="H7010"/>
      <c r="I7010"/>
      <c r="K7010"/>
      <c r="O7010"/>
      <c r="R7010"/>
      <c r="W7010" s="4"/>
      <c r="X7010" s="4"/>
      <c r="Y7010" s="4"/>
    </row>
    <row r="7011" spans="5:25">
      <c r="E7011"/>
      <c r="G7011"/>
      <c r="H7011"/>
      <c r="I7011"/>
      <c r="K7011"/>
      <c r="O7011"/>
      <c r="R7011"/>
      <c r="W7011" s="4"/>
      <c r="X7011" s="4"/>
      <c r="Y7011" s="4"/>
    </row>
    <row r="7012" spans="5:25">
      <c r="E7012"/>
      <c r="G7012"/>
      <c r="H7012"/>
      <c r="I7012"/>
      <c r="K7012"/>
      <c r="O7012"/>
      <c r="R7012"/>
      <c r="W7012" s="4"/>
      <c r="X7012" s="4"/>
      <c r="Y7012" s="4"/>
    </row>
    <row r="7013" spans="5:25">
      <c r="E7013"/>
      <c r="G7013"/>
      <c r="H7013"/>
      <c r="I7013"/>
      <c r="K7013"/>
      <c r="O7013"/>
      <c r="R7013"/>
      <c r="W7013" s="4"/>
      <c r="X7013" s="4"/>
      <c r="Y7013" s="4"/>
    </row>
    <row r="7014" spans="5:25">
      <c r="E7014"/>
      <c r="G7014"/>
      <c r="H7014"/>
      <c r="I7014"/>
      <c r="K7014"/>
      <c r="O7014"/>
      <c r="R7014"/>
      <c r="W7014" s="4"/>
      <c r="X7014" s="4"/>
      <c r="Y7014" s="4"/>
    </row>
    <row r="7015" spans="5:25">
      <c r="E7015"/>
      <c r="G7015"/>
      <c r="H7015"/>
      <c r="I7015"/>
      <c r="K7015"/>
      <c r="O7015"/>
      <c r="R7015"/>
      <c r="W7015" s="4"/>
      <c r="X7015" s="4"/>
      <c r="Y7015" s="4"/>
    </row>
    <row r="7016" spans="5:25">
      <c r="E7016"/>
      <c r="G7016"/>
      <c r="H7016"/>
      <c r="I7016"/>
      <c r="K7016"/>
      <c r="O7016"/>
      <c r="R7016"/>
      <c r="W7016" s="4"/>
      <c r="X7016" s="4"/>
      <c r="Y7016" s="4"/>
    </row>
    <row r="7017" spans="5:25">
      <c r="E7017"/>
      <c r="G7017"/>
      <c r="H7017"/>
      <c r="I7017"/>
      <c r="K7017"/>
      <c r="O7017"/>
      <c r="R7017"/>
      <c r="W7017" s="4"/>
      <c r="X7017" s="4"/>
      <c r="Y7017" s="4"/>
    </row>
    <row r="7018" spans="5:25">
      <c r="E7018"/>
      <c r="G7018"/>
      <c r="H7018"/>
      <c r="I7018"/>
      <c r="K7018"/>
      <c r="O7018"/>
      <c r="R7018"/>
      <c r="W7018" s="4"/>
      <c r="X7018" s="4"/>
      <c r="Y7018" s="4"/>
    </row>
    <row r="7019" spans="5:25">
      <c r="E7019"/>
      <c r="G7019"/>
      <c r="H7019"/>
      <c r="I7019"/>
      <c r="K7019"/>
      <c r="O7019"/>
      <c r="R7019"/>
      <c r="W7019" s="4"/>
      <c r="X7019" s="4"/>
      <c r="Y7019" s="4"/>
    </row>
    <row r="7020" spans="5:25">
      <c r="E7020"/>
      <c r="G7020"/>
      <c r="H7020"/>
      <c r="I7020"/>
      <c r="K7020"/>
      <c r="O7020"/>
      <c r="R7020"/>
      <c r="W7020" s="4"/>
      <c r="X7020" s="4"/>
      <c r="Y7020" s="4"/>
    </row>
    <row r="7021" spans="5:25">
      <c r="E7021"/>
      <c r="G7021"/>
      <c r="H7021"/>
      <c r="I7021"/>
      <c r="K7021"/>
      <c r="O7021"/>
      <c r="R7021"/>
      <c r="W7021" s="4"/>
      <c r="X7021" s="4"/>
      <c r="Y7021" s="4"/>
    </row>
    <row r="7022" spans="5:25">
      <c r="E7022"/>
      <c r="G7022"/>
      <c r="H7022"/>
      <c r="I7022"/>
      <c r="K7022"/>
      <c r="O7022"/>
      <c r="R7022"/>
      <c r="W7022" s="4"/>
      <c r="X7022" s="4"/>
      <c r="Y7022" s="4"/>
    </row>
    <row r="7023" spans="5:25">
      <c r="E7023"/>
      <c r="G7023"/>
      <c r="H7023"/>
      <c r="I7023"/>
      <c r="K7023"/>
      <c r="O7023"/>
      <c r="R7023"/>
      <c r="W7023" s="4"/>
      <c r="X7023" s="4"/>
      <c r="Y7023" s="4"/>
    </row>
    <row r="7024" spans="5:25">
      <c r="E7024"/>
      <c r="G7024"/>
      <c r="H7024"/>
      <c r="I7024"/>
      <c r="K7024"/>
      <c r="O7024"/>
      <c r="R7024"/>
      <c r="W7024" s="4"/>
      <c r="X7024" s="4"/>
      <c r="Y7024" s="4"/>
    </row>
    <row r="7025" spans="5:25">
      <c r="E7025"/>
      <c r="G7025"/>
      <c r="H7025"/>
      <c r="I7025"/>
      <c r="K7025"/>
      <c r="O7025"/>
      <c r="R7025"/>
      <c r="W7025" s="4"/>
      <c r="X7025" s="4"/>
      <c r="Y7025" s="4"/>
    </row>
    <row r="7026" spans="5:25">
      <c r="E7026"/>
      <c r="G7026"/>
      <c r="H7026"/>
      <c r="I7026"/>
      <c r="K7026"/>
      <c r="O7026"/>
      <c r="R7026"/>
      <c r="W7026" s="4"/>
      <c r="X7026" s="4"/>
      <c r="Y7026" s="4"/>
    </row>
    <row r="7027" spans="5:25">
      <c r="E7027"/>
      <c r="G7027"/>
      <c r="H7027"/>
      <c r="I7027"/>
      <c r="K7027"/>
      <c r="O7027"/>
      <c r="R7027"/>
      <c r="W7027" s="4"/>
      <c r="X7027" s="4"/>
      <c r="Y7027" s="4"/>
    </row>
    <row r="7028" spans="5:25">
      <c r="E7028"/>
      <c r="G7028"/>
      <c r="H7028"/>
      <c r="I7028"/>
      <c r="K7028"/>
      <c r="O7028"/>
      <c r="R7028"/>
      <c r="W7028" s="4"/>
      <c r="X7028" s="4"/>
      <c r="Y7028" s="4"/>
    </row>
    <row r="7029" spans="5:25">
      <c r="E7029"/>
      <c r="G7029"/>
      <c r="H7029"/>
      <c r="I7029"/>
      <c r="K7029"/>
      <c r="O7029"/>
      <c r="R7029"/>
      <c r="W7029" s="4"/>
      <c r="X7029" s="4"/>
      <c r="Y7029" s="4"/>
    </row>
    <row r="7030" spans="5:25">
      <c r="E7030"/>
      <c r="G7030"/>
      <c r="H7030"/>
      <c r="I7030"/>
      <c r="K7030"/>
      <c r="O7030"/>
      <c r="R7030"/>
      <c r="W7030" s="4"/>
      <c r="X7030" s="4"/>
      <c r="Y7030" s="4"/>
    </row>
    <row r="7031" spans="5:25">
      <c r="E7031"/>
      <c r="G7031"/>
      <c r="H7031"/>
      <c r="I7031"/>
      <c r="K7031"/>
      <c r="O7031"/>
      <c r="R7031"/>
      <c r="W7031" s="4"/>
      <c r="X7031" s="4"/>
      <c r="Y7031" s="4"/>
    </row>
    <row r="7032" spans="5:25">
      <c r="E7032"/>
      <c r="G7032"/>
      <c r="H7032"/>
      <c r="I7032"/>
      <c r="K7032"/>
      <c r="O7032"/>
      <c r="R7032"/>
      <c r="W7032" s="4"/>
      <c r="X7032" s="4"/>
      <c r="Y7032" s="4"/>
    </row>
    <row r="7033" spans="5:25">
      <c r="E7033"/>
      <c r="G7033"/>
      <c r="H7033"/>
      <c r="I7033"/>
      <c r="K7033"/>
      <c r="O7033"/>
      <c r="R7033"/>
      <c r="W7033" s="4"/>
      <c r="X7033" s="4"/>
      <c r="Y7033" s="4"/>
    </row>
    <row r="7034" spans="5:25">
      <c r="E7034"/>
      <c r="G7034"/>
      <c r="H7034"/>
      <c r="I7034"/>
      <c r="K7034"/>
      <c r="O7034"/>
      <c r="R7034"/>
      <c r="W7034" s="4"/>
      <c r="X7034" s="4"/>
      <c r="Y7034" s="4"/>
    </row>
    <row r="7035" spans="5:25">
      <c r="E7035"/>
      <c r="G7035"/>
      <c r="H7035"/>
      <c r="I7035"/>
      <c r="K7035"/>
      <c r="O7035"/>
      <c r="R7035"/>
      <c r="W7035" s="4"/>
      <c r="X7035" s="4"/>
      <c r="Y7035" s="4"/>
    </row>
    <row r="7036" spans="5:25">
      <c r="E7036"/>
      <c r="G7036"/>
      <c r="H7036"/>
      <c r="I7036"/>
      <c r="K7036"/>
      <c r="O7036"/>
      <c r="R7036"/>
      <c r="W7036" s="4"/>
      <c r="X7036" s="4"/>
      <c r="Y7036" s="4"/>
    </row>
    <row r="7037" spans="5:25">
      <c r="E7037"/>
      <c r="G7037"/>
      <c r="H7037"/>
      <c r="I7037"/>
      <c r="K7037"/>
      <c r="O7037"/>
      <c r="R7037"/>
      <c r="W7037" s="4"/>
      <c r="X7037" s="4"/>
      <c r="Y7037" s="4"/>
    </row>
    <row r="7038" spans="5:25">
      <c r="E7038"/>
      <c r="G7038"/>
      <c r="H7038"/>
      <c r="I7038"/>
      <c r="K7038"/>
      <c r="O7038"/>
      <c r="R7038"/>
      <c r="W7038" s="4"/>
      <c r="X7038" s="4"/>
      <c r="Y7038" s="4"/>
    </row>
    <row r="7039" spans="5:25">
      <c r="E7039"/>
      <c r="G7039"/>
      <c r="H7039"/>
      <c r="I7039"/>
      <c r="K7039"/>
      <c r="O7039"/>
      <c r="R7039"/>
      <c r="W7039" s="4"/>
      <c r="X7039" s="4"/>
      <c r="Y7039" s="4"/>
    </row>
    <row r="7040" spans="5:25">
      <c r="E7040"/>
      <c r="G7040"/>
      <c r="H7040"/>
      <c r="I7040"/>
      <c r="K7040"/>
      <c r="O7040"/>
      <c r="R7040"/>
      <c r="W7040" s="4"/>
      <c r="X7040" s="4"/>
      <c r="Y7040" s="4"/>
    </row>
    <row r="7041" spans="5:25">
      <c r="E7041"/>
      <c r="G7041"/>
      <c r="H7041"/>
      <c r="I7041"/>
      <c r="K7041"/>
      <c r="O7041"/>
      <c r="R7041"/>
      <c r="W7041" s="4"/>
      <c r="X7041" s="4"/>
      <c r="Y7041" s="4"/>
    </row>
    <row r="7042" spans="5:25">
      <c r="E7042"/>
      <c r="G7042"/>
      <c r="H7042"/>
      <c r="I7042"/>
      <c r="K7042"/>
      <c r="O7042"/>
      <c r="R7042"/>
      <c r="W7042" s="4"/>
      <c r="X7042" s="4"/>
      <c r="Y7042" s="4"/>
    </row>
    <row r="7043" spans="5:25">
      <c r="E7043"/>
      <c r="G7043"/>
      <c r="H7043"/>
      <c r="I7043"/>
      <c r="K7043"/>
      <c r="O7043"/>
      <c r="R7043"/>
      <c r="W7043" s="4"/>
      <c r="X7043" s="4"/>
      <c r="Y7043" s="4"/>
    </row>
    <row r="7044" spans="5:25">
      <c r="E7044"/>
      <c r="G7044"/>
      <c r="H7044"/>
      <c r="I7044"/>
      <c r="K7044"/>
      <c r="O7044"/>
      <c r="R7044"/>
      <c r="W7044" s="4"/>
      <c r="X7044" s="4"/>
      <c r="Y7044" s="4"/>
    </row>
    <row r="7045" spans="5:25">
      <c r="E7045"/>
      <c r="G7045"/>
      <c r="H7045"/>
      <c r="I7045"/>
      <c r="K7045"/>
      <c r="O7045"/>
      <c r="R7045"/>
      <c r="W7045" s="4"/>
      <c r="X7045" s="4"/>
      <c r="Y7045" s="4"/>
    </row>
    <row r="7046" spans="5:25">
      <c r="E7046"/>
      <c r="G7046"/>
      <c r="H7046"/>
      <c r="I7046"/>
      <c r="K7046"/>
      <c r="O7046"/>
      <c r="R7046"/>
      <c r="W7046" s="4"/>
      <c r="X7046" s="4"/>
      <c r="Y7046" s="4"/>
    </row>
    <row r="7047" spans="5:25">
      <c r="E7047"/>
      <c r="G7047"/>
      <c r="H7047"/>
      <c r="I7047"/>
      <c r="K7047"/>
      <c r="O7047"/>
      <c r="R7047"/>
      <c r="W7047" s="4"/>
      <c r="X7047" s="4"/>
      <c r="Y7047" s="4"/>
    </row>
    <row r="7048" spans="5:25">
      <c r="E7048"/>
      <c r="G7048"/>
      <c r="H7048"/>
      <c r="I7048"/>
      <c r="K7048"/>
      <c r="O7048"/>
      <c r="R7048"/>
      <c r="W7048" s="4"/>
      <c r="X7048" s="4"/>
      <c r="Y7048" s="4"/>
    </row>
    <row r="7049" spans="5:25">
      <c r="E7049"/>
      <c r="G7049"/>
      <c r="H7049"/>
      <c r="I7049"/>
      <c r="K7049"/>
      <c r="O7049"/>
      <c r="R7049"/>
      <c r="W7049" s="4"/>
      <c r="X7049" s="4"/>
      <c r="Y7049" s="4"/>
    </row>
    <row r="7050" spans="5:25">
      <c r="E7050"/>
      <c r="G7050"/>
      <c r="H7050"/>
      <c r="I7050"/>
      <c r="K7050"/>
      <c r="O7050"/>
      <c r="R7050"/>
      <c r="W7050" s="4"/>
      <c r="X7050" s="4"/>
      <c r="Y7050" s="4"/>
    </row>
    <row r="7051" spans="5:25">
      <c r="E7051"/>
      <c r="G7051"/>
      <c r="H7051"/>
      <c r="I7051"/>
      <c r="K7051"/>
      <c r="O7051"/>
      <c r="R7051"/>
      <c r="W7051" s="4"/>
      <c r="X7051" s="4"/>
      <c r="Y7051" s="4"/>
    </row>
    <row r="7052" spans="5:25">
      <c r="E7052"/>
      <c r="G7052"/>
      <c r="H7052"/>
      <c r="I7052"/>
      <c r="K7052"/>
      <c r="O7052"/>
      <c r="R7052"/>
      <c r="W7052" s="4"/>
      <c r="X7052" s="4"/>
      <c r="Y7052" s="4"/>
    </row>
    <row r="7053" spans="5:25">
      <c r="E7053"/>
      <c r="G7053"/>
      <c r="H7053"/>
      <c r="I7053"/>
      <c r="K7053"/>
      <c r="O7053"/>
      <c r="R7053"/>
      <c r="W7053" s="4"/>
      <c r="X7053" s="4"/>
      <c r="Y7053" s="4"/>
    </row>
    <row r="7054" spans="5:25">
      <c r="E7054"/>
      <c r="G7054"/>
      <c r="H7054"/>
      <c r="I7054"/>
      <c r="K7054"/>
      <c r="O7054"/>
      <c r="R7054"/>
      <c r="W7054" s="4"/>
      <c r="X7054" s="4"/>
      <c r="Y7054" s="4"/>
    </row>
    <row r="7055" spans="5:25">
      <c r="E7055"/>
      <c r="G7055"/>
      <c r="H7055"/>
      <c r="I7055"/>
      <c r="K7055"/>
      <c r="O7055"/>
      <c r="R7055"/>
      <c r="W7055" s="4"/>
      <c r="X7055" s="4"/>
      <c r="Y7055" s="4"/>
    </row>
    <row r="7056" spans="5:25">
      <c r="E7056"/>
      <c r="G7056"/>
      <c r="H7056"/>
      <c r="I7056"/>
      <c r="K7056"/>
      <c r="O7056"/>
      <c r="R7056"/>
      <c r="W7056" s="4"/>
      <c r="X7056" s="4"/>
      <c r="Y7056" s="4"/>
    </row>
    <row r="7057" spans="5:25">
      <c r="E7057"/>
      <c r="G7057"/>
      <c r="H7057"/>
      <c r="I7057"/>
      <c r="K7057"/>
      <c r="O7057"/>
      <c r="R7057"/>
      <c r="W7057" s="4"/>
      <c r="X7057" s="4"/>
      <c r="Y7057" s="4"/>
    </row>
    <row r="7058" spans="5:25">
      <c r="E7058"/>
      <c r="G7058"/>
      <c r="H7058"/>
      <c r="I7058"/>
      <c r="K7058"/>
      <c r="O7058"/>
      <c r="R7058"/>
      <c r="W7058" s="4"/>
      <c r="X7058" s="4"/>
      <c r="Y7058" s="4"/>
    </row>
    <row r="7059" spans="5:25">
      <c r="E7059"/>
      <c r="G7059"/>
      <c r="H7059"/>
      <c r="I7059"/>
      <c r="K7059"/>
      <c r="O7059"/>
      <c r="R7059"/>
      <c r="W7059" s="4"/>
      <c r="X7059" s="4"/>
      <c r="Y7059" s="4"/>
    </row>
    <row r="7060" spans="5:25">
      <c r="E7060"/>
      <c r="G7060"/>
      <c r="H7060"/>
      <c r="I7060"/>
      <c r="K7060"/>
      <c r="O7060"/>
      <c r="R7060"/>
      <c r="W7060" s="4"/>
      <c r="X7060" s="4"/>
      <c r="Y7060" s="4"/>
    </row>
    <row r="7061" spans="5:25">
      <c r="E7061"/>
      <c r="G7061"/>
      <c r="H7061"/>
      <c r="I7061"/>
      <c r="K7061"/>
      <c r="O7061"/>
      <c r="R7061"/>
      <c r="W7061" s="4"/>
      <c r="X7061" s="4"/>
      <c r="Y7061" s="4"/>
    </row>
    <row r="7062" spans="5:25">
      <c r="E7062"/>
      <c r="G7062"/>
      <c r="H7062"/>
      <c r="I7062"/>
      <c r="K7062"/>
      <c r="O7062"/>
      <c r="R7062"/>
      <c r="W7062" s="4"/>
      <c r="X7062" s="4"/>
      <c r="Y7062" s="4"/>
    </row>
    <row r="7063" spans="5:25">
      <c r="E7063"/>
      <c r="G7063"/>
      <c r="H7063"/>
      <c r="I7063"/>
      <c r="K7063"/>
      <c r="O7063"/>
      <c r="R7063"/>
      <c r="W7063" s="4"/>
      <c r="X7063" s="4"/>
      <c r="Y7063" s="4"/>
    </row>
    <row r="7064" spans="5:25">
      <c r="E7064"/>
      <c r="G7064"/>
      <c r="H7064"/>
      <c r="I7064"/>
      <c r="K7064"/>
      <c r="O7064"/>
      <c r="R7064"/>
      <c r="W7064" s="4"/>
      <c r="X7064" s="4"/>
      <c r="Y7064" s="4"/>
    </row>
    <row r="7065" spans="5:25">
      <c r="E7065"/>
      <c r="G7065"/>
      <c r="H7065"/>
      <c r="I7065"/>
      <c r="K7065"/>
      <c r="O7065"/>
      <c r="R7065"/>
      <c r="W7065" s="4"/>
      <c r="X7065" s="4"/>
      <c r="Y7065" s="4"/>
    </row>
    <row r="7066" spans="5:25">
      <c r="E7066"/>
      <c r="G7066"/>
      <c r="H7066"/>
      <c r="I7066"/>
      <c r="K7066"/>
      <c r="O7066"/>
      <c r="R7066"/>
      <c r="W7066" s="4"/>
      <c r="X7066" s="4"/>
      <c r="Y7066" s="4"/>
    </row>
    <row r="7067" spans="5:25">
      <c r="E7067"/>
      <c r="G7067"/>
      <c r="H7067"/>
      <c r="I7067"/>
      <c r="K7067"/>
      <c r="O7067"/>
      <c r="R7067"/>
      <c r="W7067" s="4"/>
      <c r="X7067" s="4"/>
      <c r="Y7067" s="4"/>
    </row>
    <row r="7068" spans="5:25">
      <c r="E7068"/>
      <c r="G7068"/>
      <c r="H7068"/>
      <c r="I7068"/>
      <c r="K7068"/>
      <c r="O7068"/>
      <c r="R7068"/>
      <c r="W7068" s="4"/>
      <c r="X7068" s="4"/>
      <c r="Y7068" s="4"/>
    </row>
    <row r="7069" spans="5:25">
      <c r="E7069"/>
      <c r="G7069"/>
      <c r="H7069"/>
      <c r="I7069"/>
      <c r="K7069"/>
      <c r="O7069"/>
      <c r="R7069"/>
      <c r="W7069" s="4"/>
      <c r="X7069" s="4"/>
      <c r="Y7069" s="4"/>
    </row>
    <row r="7070" spans="5:25">
      <c r="E7070"/>
      <c r="G7070"/>
      <c r="H7070"/>
      <c r="I7070"/>
      <c r="K7070"/>
      <c r="O7070"/>
      <c r="R7070"/>
      <c r="W7070" s="4"/>
      <c r="X7070" s="4"/>
      <c r="Y7070" s="4"/>
    </row>
    <row r="7071" spans="5:25">
      <c r="E7071"/>
      <c r="G7071"/>
      <c r="H7071"/>
      <c r="I7071"/>
      <c r="K7071"/>
      <c r="O7071"/>
      <c r="R7071"/>
      <c r="W7071" s="4"/>
      <c r="X7071" s="4"/>
      <c r="Y7071" s="4"/>
    </row>
    <row r="7072" spans="5:25">
      <c r="E7072"/>
      <c r="G7072"/>
      <c r="H7072"/>
      <c r="I7072"/>
      <c r="K7072"/>
      <c r="O7072"/>
      <c r="R7072"/>
      <c r="W7072" s="4"/>
      <c r="X7072" s="4"/>
      <c r="Y7072" s="4"/>
    </row>
    <row r="7073" spans="5:25">
      <c r="E7073"/>
      <c r="G7073"/>
      <c r="H7073"/>
      <c r="I7073"/>
      <c r="K7073"/>
      <c r="O7073"/>
      <c r="R7073"/>
      <c r="W7073" s="4"/>
      <c r="X7073" s="4"/>
      <c r="Y7073" s="4"/>
    </row>
    <row r="7074" spans="5:25">
      <c r="E7074"/>
      <c r="G7074"/>
      <c r="H7074"/>
      <c r="I7074"/>
      <c r="K7074"/>
      <c r="O7074"/>
      <c r="R7074"/>
      <c r="W7074" s="4"/>
      <c r="X7074" s="4"/>
      <c r="Y7074" s="4"/>
    </row>
    <row r="7075" spans="5:25">
      <c r="E7075"/>
      <c r="G7075"/>
      <c r="H7075"/>
      <c r="I7075"/>
      <c r="K7075"/>
      <c r="O7075"/>
      <c r="R7075"/>
      <c r="W7075" s="4"/>
      <c r="X7075" s="4"/>
      <c r="Y7075" s="4"/>
    </row>
    <row r="7076" spans="5:25">
      <c r="E7076"/>
      <c r="G7076"/>
      <c r="H7076"/>
      <c r="I7076"/>
      <c r="K7076"/>
      <c r="O7076"/>
      <c r="R7076"/>
      <c r="W7076" s="4"/>
      <c r="X7076" s="4"/>
      <c r="Y7076" s="4"/>
    </row>
    <row r="7077" spans="5:25">
      <c r="E7077"/>
      <c r="G7077"/>
      <c r="H7077"/>
      <c r="I7077"/>
      <c r="K7077"/>
      <c r="O7077"/>
      <c r="R7077"/>
      <c r="W7077" s="4"/>
      <c r="X7077" s="4"/>
      <c r="Y7077" s="4"/>
    </row>
    <row r="7078" spans="5:25">
      <c r="E7078"/>
      <c r="G7078"/>
      <c r="H7078"/>
      <c r="I7078"/>
      <c r="K7078"/>
      <c r="O7078"/>
      <c r="R7078"/>
      <c r="W7078" s="4"/>
      <c r="X7078" s="4"/>
      <c r="Y7078" s="4"/>
    </row>
    <row r="7079" spans="5:25">
      <c r="E7079"/>
      <c r="G7079"/>
      <c r="H7079"/>
      <c r="I7079"/>
      <c r="K7079"/>
      <c r="O7079"/>
      <c r="R7079"/>
      <c r="W7079" s="4"/>
      <c r="X7079" s="4"/>
      <c r="Y7079" s="4"/>
    </row>
    <row r="7080" spans="5:25">
      <c r="E7080"/>
      <c r="G7080"/>
      <c r="H7080"/>
      <c r="I7080"/>
      <c r="K7080"/>
      <c r="O7080"/>
      <c r="R7080"/>
      <c r="W7080" s="4"/>
      <c r="X7080" s="4"/>
      <c r="Y7080" s="4"/>
    </row>
    <row r="7081" spans="5:25">
      <c r="E7081"/>
      <c r="G7081"/>
      <c r="H7081"/>
      <c r="I7081"/>
      <c r="K7081"/>
      <c r="O7081"/>
      <c r="R7081"/>
      <c r="W7081" s="4"/>
      <c r="X7081" s="4"/>
      <c r="Y7081" s="4"/>
    </row>
    <row r="7082" spans="5:25">
      <c r="E7082"/>
      <c r="G7082"/>
      <c r="H7082"/>
      <c r="I7082"/>
      <c r="K7082"/>
      <c r="O7082"/>
      <c r="R7082"/>
      <c r="W7082" s="4"/>
      <c r="X7082" s="4"/>
      <c r="Y7082" s="4"/>
    </row>
    <row r="7083" spans="5:25">
      <c r="E7083"/>
      <c r="G7083"/>
      <c r="H7083"/>
      <c r="I7083"/>
      <c r="K7083"/>
      <c r="O7083"/>
      <c r="R7083"/>
      <c r="W7083" s="4"/>
      <c r="X7083" s="4"/>
      <c r="Y7083" s="4"/>
    </row>
    <row r="7084" spans="5:25">
      <c r="E7084"/>
      <c r="G7084"/>
      <c r="H7084"/>
      <c r="I7084"/>
      <c r="K7084"/>
      <c r="O7084"/>
      <c r="R7084"/>
      <c r="W7084" s="4"/>
      <c r="X7084" s="4"/>
      <c r="Y7084" s="4"/>
    </row>
    <row r="7085" spans="5:25">
      <c r="E7085"/>
      <c r="G7085"/>
      <c r="H7085"/>
      <c r="I7085"/>
      <c r="K7085"/>
      <c r="O7085"/>
      <c r="R7085"/>
      <c r="W7085" s="4"/>
      <c r="X7085" s="4"/>
      <c r="Y7085" s="4"/>
    </row>
    <row r="7086" spans="5:25">
      <c r="E7086"/>
      <c r="G7086"/>
      <c r="H7086"/>
      <c r="I7086"/>
      <c r="K7086"/>
      <c r="O7086"/>
      <c r="R7086"/>
      <c r="W7086" s="4"/>
      <c r="X7086" s="4"/>
      <c r="Y7086" s="4"/>
    </row>
    <row r="7087" spans="5:25">
      <c r="E7087"/>
      <c r="G7087"/>
      <c r="H7087"/>
      <c r="I7087"/>
      <c r="K7087"/>
      <c r="O7087"/>
      <c r="R7087"/>
      <c r="W7087" s="4"/>
      <c r="X7087" s="4"/>
      <c r="Y7087" s="4"/>
    </row>
    <row r="7088" spans="5:25">
      <c r="E7088"/>
      <c r="G7088"/>
      <c r="H7088"/>
      <c r="I7088"/>
      <c r="K7088"/>
      <c r="O7088"/>
      <c r="R7088"/>
      <c r="W7088" s="4"/>
      <c r="X7088" s="4"/>
      <c r="Y7088" s="4"/>
    </row>
    <row r="7089" spans="5:25">
      <c r="E7089"/>
      <c r="G7089"/>
      <c r="H7089"/>
      <c r="I7089"/>
      <c r="K7089"/>
      <c r="O7089"/>
      <c r="R7089"/>
      <c r="W7089" s="4"/>
      <c r="X7089" s="4"/>
      <c r="Y7089" s="4"/>
    </row>
    <row r="7090" spans="5:25">
      <c r="E7090"/>
      <c r="G7090"/>
      <c r="H7090"/>
      <c r="I7090"/>
      <c r="K7090"/>
      <c r="O7090"/>
      <c r="R7090"/>
      <c r="W7090" s="4"/>
      <c r="X7090" s="4"/>
      <c r="Y7090" s="4"/>
    </row>
    <row r="7091" spans="5:25">
      <c r="E7091"/>
      <c r="G7091"/>
      <c r="H7091"/>
      <c r="I7091"/>
      <c r="K7091"/>
      <c r="O7091"/>
      <c r="R7091"/>
      <c r="W7091" s="4"/>
      <c r="X7091" s="4"/>
      <c r="Y7091" s="4"/>
    </row>
    <row r="7092" spans="5:25">
      <c r="E7092"/>
      <c r="G7092"/>
      <c r="H7092"/>
      <c r="I7092"/>
      <c r="K7092"/>
      <c r="O7092"/>
      <c r="R7092"/>
      <c r="W7092" s="4"/>
      <c r="X7092" s="4"/>
      <c r="Y7092" s="4"/>
    </row>
    <row r="7093" spans="5:25">
      <c r="E7093"/>
      <c r="G7093"/>
      <c r="H7093"/>
      <c r="I7093"/>
      <c r="K7093"/>
      <c r="O7093"/>
      <c r="R7093"/>
      <c r="W7093" s="4"/>
      <c r="X7093" s="4"/>
      <c r="Y7093" s="4"/>
    </row>
    <row r="7094" spans="5:25">
      <c r="E7094"/>
      <c r="G7094"/>
      <c r="H7094"/>
      <c r="I7094"/>
      <c r="K7094"/>
      <c r="O7094"/>
      <c r="R7094"/>
      <c r="W7094" s="4"/>
      <c r="X7094" s="4"/>
      <c r="Y7094" s="4"/>
    </row>
    <row r="7095" spans="5:25">
      <c r="E7095"/>
      <c r="G7095"/>
      <c r="H7095"/>
      <c r="I7095"/>
      <c r="K7095"/>
      <c r="O7095"/>
      <c r="R7095"/>
      <c r="W7095" s="4"/>
      <c r="X7095" s="4"/>
      <c r="Y7095" s="4"/>
    </row>
    <row r="7096" spans="5:25">
      <c r="E7096"/>
      <c r="G7096"/>
      <c r="H7096"/>
      <c r="I7096"/>
      <c r="K7096"/>
      <c r="O7096"/>
      <c r="R7096"/>
      <c r="W7096" s="4"/>
      <c r="X7096" s="4"/>
      <c r="Y7096" s="4"/>
    </row>
    <row r="7097" spans="5:25">
      <c r="E7097"/>
      <c r="G7097"/>
      <c r="H7097"/>
      <c r="I7097"/>
      <c r="K7097"/>
      <c r="O7097"/>
      <c r="R7097"/>
      <c r="W7097" s="4"/>
      <c r="X7097" s="4"/>
      <c r="Y7097" s="4"/>
    </row>
    <row r="7098" spans="5:25">
      <c r="E7098"/>
      <c r="G7098"/>
      <c r="H7098"/>
      <c r="I7098"/>
      <c r="K7098"/>
      <c r="O7098"/>
      <c r="R7098"/>
      <c r="W7098" s="4"/>
      <c r="X7098" s="4"/>
      <c r="Y7098" s="4"/>
    </row>
    <row r="7099" spans="5:25">
      <c r="E7099"/>
      <c r="G7099"/>
      <c r="H7099"/>
      <c r="I7099"/>
      <c r="K7099"/>
      <c r="O7099"/>
      <c r="R7099"/>
      <c r="W7099" s="4"/>
      <c r="X7099" s="4"/>
      <c r="Y7099" s="4"/>
    </row>
    <row r="7100" spans="5:25">
      <c r="E7100"/>
      <c r="G7100"/>
      <c r="H7100"/>
      <c r="I7100"/>
      <c r="K7100"/>
      <c r="O7100"/>
      <c r="R7100"/>
      <c r="W7100" s="4"/>
      <c r="X7100" s="4"/>
      <c r="Y7100" s="4"/>
    </row>
    <row r="7101" spans="5:25">
      <c r="E7101"/>
      <c r="G7101"/>
      <c r="H7101"/>
      <c r="I7101"/>
      <c r="K7101"/>
      <c r="O7101"/>
      <c r="R7101"/>
      <c r="W7101" s="4"/>
      <c r="X7101" s="4"/>
      <c r="Y7101" s="4"/>
    </row>
    <row r="7102" spans="5:25">
      <c r="E7102"/>
      <c r="G7102"/>
      <c r="H7102"/>
      <c r="I7102"/>
      <c r="K7102"/>
      <c r="O7102"/>
      <c r="R7102"/>
      <c r="W7102" s="4"/>
      <c r="X7102" s="4"/>
      <c r="Y7102" s="4"/>
    </row>
    <row r="7103" spans="5:25">
      <c r="E7103"/>
      <c r="G7103"/>
      <c r="H7103"/>
      <c r="I7103"/>
      <c r="K7103"/>
      <c r="O7103"/>
      <c r="R7103"/>
      <c r="W7103" s="4"/>
      <c r="X7103" s="4"/>
      <c r="Y7103" s="4"/>
    </row>
    <row r="7104" spans="5:25">
      <c r="E7104"/>
      <c r="G7104"/>
      <c r="H7104"/>
      <c r="I7104"/>
      <c r="K7104"/>
      <c r="O7104"/>
      <c r="R7104"/>
      <c r="W7104" s="4"/>
      <c r="X7104" s="4"/>
      <c r="Y7104" s="4"/>
    </row>
    <row r="7105" spans="5:25">
      <c r="E7105"/>
      <c r="G7105"/>
      <c r="H7105"/>
      <c r="I7105"/>
      <c r="K7105"/>
      <c r="O7105"/>
      <c r="R7105"/>
      <c r="W7105" s="4"/>
      <c r="X7105" s="4"/>
      <c r="Y7105" s="4"/>
    </row>
    <row r="7106" spans="5:25">
      <c r="E7106"/>
      <c r="G7106"/>
      <c r="H7106"/>
      <c r="I7106"/>
      <c r="K7106"/>
      <c r="O7106"/>
      <c r="R7106"/>
      <c r="W7106" s="4"/>
      <c r="X7106" s="4"/>
      <c r="Y7106" s="4"/>
    </row>
    <row r="7107" spans="5:25">
      <c r="E7107"/>
      <c r="G7107"/>
      <c r="H7107"/>
      <c r="I7107"/>
      <c r="K7107"/>
      <c r="O7107"/>
      <c r="R7107"/>
      <c r="W7107" s="4"/>
      <c r="X7107" s="4"/>
      <c r="Y7107" s="4"/>
    </row>
    <row r="7108" spans="5:25">
      <c r="E7108"/>
      <c r="G7108"/>
      <c r="H7108"/>
      <c r="I7108"/>
      <c r="K7108"/>
      <c r="O7108"/>
      <c r="R7108"/>
      <c r="W7108" s="4"/>
      <c r="X7108" s="4"/>
      <c r="Y7108" s="4"/>
    </row>
    <row r="7109" spans="5:25">
      <c r="E7109"/>
      <c r="G7109"/>
      <c r="H7109"/>
      <c r="I7109"/>
      <c r="K7109"/>
      <c r="O7109"/>
      <c r="R7109"/>
      <c r="W7109" s="4"/>
      <c r="X7109" s="4"/>
      <c r="Y7109" s="4"/>
    </row>
    <row r="7110" spans="5:25">
      <c r="E7110"/>
      <c r="G7110"/>
      <c r="H7110"/>
      <c r="I7110"/>
      <c r="K7110"/>
      <c r="O7110"/>
      <c r="R7110"/>
      <c r="W7110" s="4"/>
      <c r="X7110" s="4"/>
      <c r="Y7110" s="4"/>
    </row>
    <row r="7111" spans="5:25">
      <c r="E7111"/>
      <c r="G7111"/>
      <c r="H7111"/>
      <c r="I7111"/>
      <c r="K7111"/>
      <c r="O7111"/>
      <c r="R7111"/>
      <c r="W7111" s="4"/>
      <c r="X7111" s="4"/>
      <c r="Y7111" s="4"/>
    </row>
    <row r="7112" spans="5:25">
      <c r="E7112"/>
      <c r="G7112"/>
      <c r="H7112"/>
      <c r="I7112"/>
      <c r="K7112"/>
      <c r="O7112"/>
      <c r="R7112"/>
      <c r="W7112" s="4"/>
      <c r="X7112" s="4"/>
      <c r="Y7112" s="4"/>
    </row>
    <row r="7113" spans="5:25">
      <c r="E7113"/>
      <c r="G7113"/>
      <c r="H7113"/>
      <c r="I7113"/>
      <c r="K7113"/>
      <c r="O7113"/>
      <c r="R7113"/>
      <c r="W7113" s="4"/>
      <c r="X7113" s="4"/>
      <c r="Y7113" s="4"/>
    </row>
    <row r="7114" spans="5:25">
      <c r="E7114"/>
      <c r="G7114"/>
      <c r="H7114"/>
      <c r="I7114"/>
      <c r="K7114"/>
      <c r="O7114"/>
      <c r="R7114"/>
      <c r="W7114" s="4"/>
      <c r="X7114" s="4"/>
      <c r="Y7114" s="4"/>
    </row>
    <row r="7115" spans="5:25">
      <c r="E7115"/>
      <c r="G7115"/>
      <c r="H7115"/>
      <c r="I7115"/>
      <c r="K7115"/>
      <c r="O7115"/>
      <c r="R7115"/>
      <c r="W7115" s="4"/>
      <c r="X7115" s="4"/>
      <c r="Y7115" s="4"/>
    </row>
    <row r="7116" spans="5:25">
      <c r="E7116"/>
      <c r="G7116"/>
      <c r="H7116"/>
      <c r="I7116"/>
      <c r="K7116"/>
      <c r="O7116"/>
      <c r="R7116"/>
      <c r="W7116" s="4"/>
      <c r="X7116" s="4"/>
      <c r="Y7116" s="4"/>
    </row>
    <row r="7117" spans="5:25">
      <c r="E7117"/>
      <c r="G7117"/>
      <c r="H7117"/>
      <c r="I7117"/>
      <c r="K7117"/>
      <c r="O7117"/>
      <c r="R7117"/>
      <c r="W7117" s="4"/>
      <c r="X7117" s="4"/>
      <c r="Y7117" s="4"/>
    </row>
    <row r="7118" spans="5:25">
      <c r="E7118"/>
      <c r="G7118"/>
      <c r="H7118"/>
      <c r="I7118"/>
      <c r="K7118"/>
      <c r="O7118"/>
      <c r="R7118"/>
      <c r="W7118" s="4"/>
      <c r="X7118" s="4"/>
      <c r="Y7118" s="4"/>
    </row>
    <row r="7119" spans="5:25">
      <c r="E7119"/>
      <c r="G7119"/>
      <c r="H7119"/>
      <c r="I7119"/>
      <c r="K7119"/>
      <c r="O7119"/>
      <c r="R7119"/>
      <c r="W7119" s="4"/>
      <c r="X7119" s="4"/>
      <c r="Y7119" s="4"/>
    </row>
    <row r="7120" spans="5:25">
      <c r="E7120"/>
      <c r="G7120"/>
      <c r="H7120"/>
      <c r="I7120"/>
      <c r="K7120"/>
      <c r="O7120"/>
      <c r="R7120"/>
      <c r="W7120" s="4"/>
      <c r="X7120" s="4"/>
      <c r="Y7120" s="4"/>
    </row>
    <row r="7121" spans="5:25">
      <c r="E7121"/>
      <c r="G7121"/>
      <c r="H7121"/>
      <c r="I7121"/>
      <c r="K7121"/>
      <c r="O7121"/>
      <c r="R7121"/>
      <c r="W7121" s="4"/>
      <c r="X7121" s="4"/>
      <c r="Y7121" s="4"/>
    </row>
    <row r="7122" spans="5:25">
      <c r="E7122"/>
      <c r="G7122"/>
      <c r="H7122"/>
      <c r="I7122"/>
      <c r="K7122"/>
      <c r="O7122"/>
      <c r="R7122"/>
      <c r="W7122" s="4"/>
      <c r="X7122" s="4"/>
      <c r="Y7122" s="4"/>
    </row>
    <row r="7123" spans="5:25">
      <c r="E7123"/>
      <c r="G7123"/>
      <c r="H7123"/>
      <c r="I7123"/>
      <c r="K7123"/>
      <c r="O7123"/>
      <c r="R7123"/>
      <c r="W7123" s="4"/>
      <c r="X7123" s="4"/>
      <c r="Y7123" s="4"/>
    </row>
    <row r="7124" spans="5:25">
      <c r="E7124"/>
      <c r="G7124"/>
      <c r="H7124"/>
      <c r="I7124"/>
      <c r="K7124"/>
      <c r="O7124"/>
      <c r="R7124"/>
      <c r="W7124" s="4"/>
      <c r="X7124" s="4"/>
      <c r="Y7124" s="4"/>
    </row>
    <row r="7125" spans="5:25">
      <c r="E7125"/>
      <c r="G7125"/>
      <c r="H7125"/>
      <c r="I7125"/>
      <c r="K7125"/>
      <c r="O7125"/>
      <c r="R7125"/>
      <c r="W7125" s="4"/>
      <c r="X7125" s="4"/>
      <c r="Y7125" s="4"/>
    </row>
    <row r="7126" spans="5:25">
      <c r="E7126"/>
      <c r="G7126"/>
      <c r="H7126"/>
      <c r="I7126"/>
      <c r="K7126"/>
      <c r="O7126"/>
      <c r="R7126"/>
      <c r="W7126" s="4"/>
      <c r="X7126" s="4"/>
      <c r="Y7126" s="4"/>
    </row>
    <row r="7127" spans="5:25">
      <c r="E7127"/>
      <c r="G7127"/>
      <c r="H7127"/>
      <c r="I7127"/>
      <c r="K7127"/>
      <c r="O7127"/>
      <c r="R7127"/>
      <c r="W7127" s="4"/>
      <c r="X7127" s="4"/>
      <c r="Y7127" s="4"/>
    </row>
    <row r="7128" spans="5:25">
      <c r="E7128"/>
      <c r="G7128"/>
      <c r="H7128"/>
      <c r="I7128"/>
      <c r="K7128"/>
      <c r="O7128"/>
      <c r="R7128"/>
      <c r="W7128" s="4"/>
      <c r="X7128" s="4"/>
      <c r="Y7128" s="4"/>
    </row>
    <row r="7129" spans="5:25">
      <c r="E7129"/>
      <c r="G7129"/>
      <c r="H7129"/>
      <c r="I7129"/>
      <c r="K7129"/>
      <c r="O7129"/>
      <c r="R7129"/>
      <c r="W7129" s="4"/>
      <c r="X7129" s="4"/>
      <c r="Y7129" s="4"/>
    </row>
    <row r="7130" spans="5:25">
      <c r="E7130"/>
      <c r="G7130"/>
      <c r="H7130"/>
      <c r="I7130"/>
      <c r="K7130"/>
      <c r="O7130"/>
      <c r="R7130"/>
      <c r="W7130" s="4"/>
      <c r="X7130" s="4"/>
      <c r="Y7130" s="4"/>
    </row>
    <row r="7131" spans="5:25">
      <c r="E7131"/>
      <c r="G7131"/>
      <c r="H7131"/>
      <c r="I7131"/>
      <c r="K7131"/>
      <c r="O7131"/>
      <c r="R7131"/>
      <c r="W7131" s="4"/>
      <c r="X7131" s="4"/>
      <c r="Y7131" s="4"/>
    </row>
    <row r="7132" spans="5:25">
      <c r="E7132"/>
      <c r="G7132"/>
      <c r="H7132"/>
      <c r="I7132"/>
      <c r="K7132"/>
      <c r="O7132"/>
      <c r="R7132"/>
      <c r="W7132" s="4"/>
      <c r="X7132" s="4"/>
      <c r="Y7132" s="4"/>
    </row>
    <row r="7133" spans="5:25">
      <c r="E7133"/>
      <c r="G7133"/>
      <c r="H7133"/>
      <c r="I7133"/>
      <c r="K7133"/>
      <c r="O7133"/>
      <c r="R7133"/>
      <c r="W7133" s="4"/>
      <c r="X7133" s="4"/>
      <c r="Y7133" s="4"/>
    </row>
    <row r="7134" spans="5:25">
      <c r="E7134"/>
      <c r="G7134"/>
      <c r="H7134"/>
      <c r="I7134"/>
      <c r="K7134"/>
      <c r="O7134"/>
      <c r="R7134"/>
      <c r="W7134" s="4"/>
      <c r="X7134" s="4"/>
      <c r="Y7134" s="4"/>
    </row>
    <row r="7135" spans="5:25">
      <c r="E7135"/>
      <c r="G7135"/>
      <c r="H7135"/>
      <c r="I7135"/>
      <c r="K7135"/>
      <c r="O7135"/>
      <c r="R7135"/>
      <c r="W7135" s="4"/>
      <c r="X7135" s="4"/>
      <c r="Y7135" s="4"/>
    </row>
    <row r="7136" spans="5:25">
      <c r="E7136"/>
      <c r="G7136"/>
      <c r="H7136"/>
      <c r="I7136"/>
      <c r="K7136"/>
      <c r="O7136"/>
      <c r="R7136"/>
      <c r="W7136" s="4"/>
      <c r="X7136" s="4"/>
      <c r="Y7136" s="4"/>
    </row>
    <row r="7137" spans="5:25">
      <c r="E7137"/>
      <c r="G7137"/>
      <c r="H7137"/>
      <c r="I7137"/>
      <c r="K7137"/>
      <c r="O7137"/>
      <c r="R7137"/>
      <c r="W7137" s="4"/>
      <c r="X7137" s="4"/>
      <c r="Y7137" s="4"/>
    </row>
    <row r="7138" spans="5:25">
      <c r="E7138"/>
      <c r="G7138"/>
      <c r="H7138"/>
      <c r="I7138"/>
      <c r="K7138"/>
      <c r="O7138"/>
      <c r="R7138"/>
      <c r="W7138" s="4"/>
      <c r="X7138" s="4"/>
      <c r="Y7138" s="4"/>
    </row>
    <row r="7139" spans="5:25">
      <c r="E7139"/>
      <c r="G7139"/>
      <c r="H7139"/>
      <c r="I7139"/>
      <c r="K7139"/>
      <c r="O7139"/>
      <c r="R7139"/>
      <c r="W7139" s="4"/>
      <c r="X7139" s="4"/>
      <c r="Y7139" s="4"/>
    </row>
    <row r="7140" spans="5:25">
      <c r="E7140"/>
      <c r="G7140"/>
      <c r="H7140"/>
      <c r="I7140"/>
      <c r="K7140"/>
      <c r="O7140"/>
      <c r="R7140"/>
      <c r="W7140" s="4"/>
      <c r="X7140" s="4"/>
      <c r="Y7140" s="4"/>
    </row>
    <row r="7141" spans="5:25">
      <c r="E7141"/>
      <c r="G7141"/>
      <c r="H7141"/>
      <c r="I7141"/>
      <c r="K7141"/>
      <c r="O7141"/>
      <c r="R7141"/>
      <c r="W7141" s="4"/>
      <c r="X7141" s="4"/>
      <c r="Y7141" s="4"/>
    </row>
    <row r="7142" spans="5:25">
      <c r="E7142"/>
      <c r="G7142"/>
      <c r="H7142"/>
      <c r="I7142"/>
      <c r="K7142"/>
      <c r="O7142"/>
      <c r="R7142"/>
      <c r="W7142" s="4"/>
      <c r="X7142" s="4"/>
      <c r="Y7142" s="4"/>
    </row>
    <row r="7143" spans="5:25">
      <c r="E7143"/>
      <c r="G7143"/>
      <c r="H7143"/>
      <c r="I7143"/>
      <c r="K7143"/>
      <c r="O7143"/>
      <c r="R7143"/>
      <c r="W7143" s="4"/>
      <c r="X7143" s="4"/>
      <c r="Y7143" s="4"/>
    </row>
    <row r="7144" spans="5:25">
      <c r="E7144"/>
      <c r="G7144"/>
      <c r="H7144"/>
      <c r="I7144"/>
      <c r="K7144"/>
      <c r="O7144"/>
      <c r="R7144"/>
      <c r="W7144" s="4"/>
      <c r="X7144" s="4"/>
      <c r="Y7144" s="4"/>
    </row>
    <row r="7145" spans="5:25">
      <c r="E7145"/>
      <c r="G7145"/>
      <c r="H7145"/>
      <c r="I7145"/>
      <c r="K7145"/>
      <c r="O7145"/>
      <c r="R7145"/>
      <c r="W7145" s="4"/>
      <c r="X7145" s="4"/>
      <c r="Y7145" s="4"/>
    </row>
    <row r="7146" spans="5:25">
      <c r="E7146"/>
      <c r="G7146"/>
      <c r="H7146"/>
      <c r="I7146"/>
      <c r="K7146"/>
      <c r="O7146"/>
      <c r="R7146"/>
      <c r="W7146" s="4"/>
      <c r="X7146" s="4"/>
      <c r="Y7146" s="4"/>
    </row>
    <row r="7147" spans="5:25">
      <c r="E7147"/>
      <c r="G7147"/>
      <c r="H7147"/>
      <c r="I7147"/>
      <c r="K7147"/>
      <c r="O7147"/>
      <c r="R7147"/>
      <c r="W7147" s="4"/>
      <c r="X7147" s="4"/>
      <c r="Y7147" s="4"/>
    </row>
    <row r="7148" spans="5:25">
      <c r="E7148"/>
      <c r="G7148"/>
      <c r="H7148"/>
      <c r="I7148"/>
      <c r="K7148"/>
      <c r="O7148"/>
      <c r="R7148"/>
      <c r="W7148" s="4"/>
      <c r="X7148" s="4"/>
      <c r="Y7148" s="4"/>
    </row>
    <row r="7149" spans="5:25">
      <c r="E7149"/>
      <c r="G7149"/>
      <c r="H7149"/>
      <c r="I7149"/>
      <c r="K7149"/>
      <c r="O7149"/>
      <c r="R7149"/>
      <c r="W7149" s="4"/>
      <c r="X7149" s="4"/>
      <c r="Y7149" s="4"/>
    </row>
    <row r="7150" spans="5:25">
      <c r="E7150"/>
      <c r="G7150"/>
      <c r="H7150"/>
      <c r="I7150"/>
      <c r="K7150"/>
      <c r="O7150"/>
      <c r="R7150"/>
      <c r="W7150" s="4"/>
      <c r="X7150" s="4"/>
      <c r="Y7150" s="4"/>
    </row>
    <row r="7151" spans="5:25">
      <c r="E7151"/>
      <c r="G7151"/>
      <c r="H7151"/>
      <c r="I7151"/>
      <c r="K7151"/>
      <c r="O7151"/>
      <c r="R7151"/>
      <c r="W7151" s="4"/>
      <c r="X7151" s="4"/>
      <c r="Y7151" s="4"/>
    </row>
    <row r="7152" spans="5:25">
      <c r="E7152"/>
      <c r="G7152"/>
      <c r="H7152"/>
      <c r="I7152"/>
      <c r="K7152"/>
      <c r="O7152"/>
      <c r="R7152"/>
      <c r="W7152" s="4"/>
      <c r="X7152" s="4"/>
      <c r="Y7152" s="4"/>
    </row>
    <row r="7153" spans="5:25">
      <c r="E7153"/>
      <c r="G7153"/>
      <c r="H7153"/>
      <c r="I7153"/>
      <c r="K7153"/>
      <c r="O7153"/>
      <c r="R7153"/>
      <c r="W7153" s="4"/>
      <c r="X7153" s="4"/>
      <c r="Y7153" s="4"/>
    </row>
    <row r="7154" spans="5:25">
      <c r="E7154"/>
      <c r="G7154"/>
      <c r="H7154"/>
      <c r="I7154"/>
      <c r="K7154"/>
      <c r="O7154"/>
      <c r="R7154"/>
      <c r="W7154" s="4"/>
      <c r="X7154" s="4"/>
      <c r="Y7154" s="4"/>
    </row>
    <row r="7155" spans="5:25">
      <c r="E7155"/>
      <c r="G7155"/>
      <c r="H7155"/>
      <c r="I7155"/>
      <c r="K7155"/>
      <c r="O7155"/>
      <c r="R7155"/>
      <c r="W7155" s="4"/>
      <c r="X7155" s="4"/>
      <c r="Y7155" s="4"/>
    </row>
    <row r="7156" spans="5:25">
      <c r="E7156"/>
      <c r="G7156"/>
      <c r="H7156"/>
      <c r="I7156"/>
      <c r="K7156"/>
      <c r="O7156"/>
      <c r="R7156"/>
      <c r="W7156" s="4"/>
      <c r="X7156" s="4"/>
      <c r="Y7156" s="4"/>
    </row>
    <row r="7157" spans="5:25">
      <c r="E7157"/>
      <c r="G7157"/>
      <c r="H7157"/>
      <c r="I7157"/>
      <c r="K7157"/>
      <c r="O7157"/>
      <c r="R7157"/>
      <c r="W7157" s="4"/>
      <c r="X7157" s="4"/>
      <c r="Y7157" s="4"/>
    </row>
    <row r="7158" spans="5:25">
      <c r="E7158"/>
      <c r="G7158"/>
      <c r="H7158"/>
      <c r="I7158"/>
      <c r="K7158"/>
      <c r="O7158"/>
      <c r="R7158"/>
      <c r="W7158" s="4"/>
      <c r="X7158" s="4"/>
      <c r="Y7158" s="4"/>
    </row>
    <row r="7159" spans="5:25">
      <c r="E7159"/>
      <c r="G7159"/>
      <c r="H7159"/>
      <c r="I7159"/>
      <c r="K7159"/>
      <c r="O7159"/>
      <c r="R7159"/>
      <c r="W7159" s="4"/>
      <c r="X7159" s="4"/>
      <c r="Y7159" s="4"/>
    </row>
    <row r="7160" spans="5:25">
      <c r="E7160"/>
      <c r="G7160"/>
      <c r="H7160"/>
      <c r="I7160"/>
      <c r="K7160"/>
      <c r="O7160"/>
      <c r="R7160"/>
      <c r="W7160" s="4"/>
      <c r="X7160" s="4"/>
      <c r="Y7160" s="4"/>
    </row>
    <row r="7161" spans="5:25">
      <c r="E7161"/>
      <c r="G7161"/>
      <c r="H7161"/>
      <c r="I7161"/>
      <c r="K7161"/>
      <c r="O7161"/>
      <c r="R7161"/>
      <c r="W7161" s="4"/>
      <c r="X7161" s="4"/>
      <c r="Y7161" s="4"/>
    </row>
    <row r="7162" spans="5:25">
      <c r="E7162"/>
      <c r="G7162"/>
      <c r="H7162"/>
      <c r="I7162"/>
      <c r="K7162"/>
      <c r="O7162"/>
      <c r="R7162"/>
      <c r="W7162" s="4"/>
      <c r="X7162" s="4"/>
      <c r="Y7162" s="4"/>
    </row>
    <row r="7163" spans="5:25">
      <c r="E7163"/>
      <c r="G7163"/>
      <c r="H7163"/>
      <c r="I7163"/>
      <c r="K7163"/>
      <c r="O7163"/>
      <c r="R7163"/>
      <c r="W7163" s="4"/>
      <c r="X7163" s="4"/>
      <c r="Y7163" s="4"/>
    </row>
    <row r="7164" spans="5:25">
      <c r="E7164"/>
      <c r="G7164"/>
      <c r="H7164"/>
      <c r="I7164"/>
      <c r="K7164"/>
      <c r="O7164"/>
      <c r="R7164"/>
      <c r="W7164" s="4"/>
      <c r="X7164" s="4"/>
      <c r="Y7164" s="4"/>
    </row>
    <row r="7165" spans="5:25">
      <c r="E7165"/>
      <c r="G7165"/>
      <c r="H7165"/>
      <c r="I7165"/>
      <c r="K7165"/>
      <c r="O7165"/>
      <c r="R7165"/>
      <c r="W7165" s="4"/>
      <c r="X7165" s="4"/>
      <c r="Y7165" s="4"/>
    </row>
    <row r="7166" spans="5:25">
      <c r="E7166"/>
      <c r="G7166"/>
      <c r="H7166"/>
      <c r="I7166"/>
      <c r="K7166"/>
      <c r="O7166"/>
      <c r="R7166"/>
      <c r="W7166" s="4"/>
      <c r="X7166" s="4"/>
      <c r="Y7166" s="4"/>
    </row>
    <row r="7167" spans="5:25">
      <c r="E7167"/>
      <c r="G7167"/>
      <c r="H7167"/>
      <c r="I7167"/>
      <c r="K7167"/>
      <c r="O7167"/>
      <c r="R7167"/>
      <c r="W7167" s="4"/>
      <c r="X7167" s="4"/>
      <c r="Y7167" s="4"/>
    </row>
    <row r="7168" spans="5:25">
      <c r="E7168"/>
      <c r="G7168"/>
      <c r="H7168"/>
      <c r="I7168"/>
      <c r="K7168"/>
      <c r="O7168"/>
      <c r="R7168"/>
      <c r="W7168" s="4"/>
      <c r="X7168" s="4"/>
      <c r="Y7168" s="4"/>
    </row>
    <row r="7169" spans="5:25">
      <c r="E7169"/>
      <c r="G7169"/>
      <c r="H7169"/>
      <c r="I7169"/>
      <c r="K7169"/>
      <c r="O7169"/>
      <c r="R7169"/>
      <c r="W7169" s="4"/>
      <c r="X7169" s="4"/>
      <c r="Y7169" s="4"/>
    </row>
    <row r="7170" spans="5:25">
      <c r="E7170"/>
      <c r="G7170"/>
      <c r="H7170"/>
      <c r="I7170"/>
      <c r="K7170"/>
      <c r="O7170"/>
      <c r="R7170"/>
      <c r="W7170" s="4"/>
      <c r="X7170" s="4"/>
      <c r="Y7170" s="4"/>
    </row>
    <row r="7171" spans="5:25">
      <c r="E7171"/>
      <c r="G7171"/>
      <c r="H7171"/>
      <c r="I7171"/>
      <c r="K7171"/>
      <c r="O7171"/>
      <c r="R7171"/>
      <c r="W7171" s="4"/>
      <c r="X7171" s="4"/>
      <c r="Y7171" s="4"/>
    </row>
    <row r="7172" spans="5:25">
      <c r="E7172"/>
      <c r="G7172"/>
      <c r="H7172"/>
      <c r="I7172"/>
      <c r="K7172"/>
      <c r="O7172"/>
      <c r="R7172"/>
      <c r="W7172" s="4"/>
      <c r="X7172" s="4"/>
      <c r="Y7172" s="4"/>
    </row>
    <row r="7173" spans="5:25">
      <c r="E7173"/>
      <c r="G7173"/>
      <c r="H7173"/>
      <c r="I7173"/>
      <c r="K7173"/>
      <c r="O7173"/>
      <c r="R7173"/>
      <c r="W7173" s="4"/>
      <c r="X7173" s="4"/>
      <c r="Y7173" s="4"/>
    </row>
    <row r="7174" spans="5:25">
      <c r="E7174"/>
      <c r="G7174"/>
      <c r="H7174"/>
      <c r="I7174"/>
      <c r="K7174"/>
      <c r="O7174"/>
      <c r="R7174"/>
      <c r="W7174" s="4"/>
      <c r="X7174" s="4"/>
      <c r="Y7174" s="4"/>
    </row>
    <row r="7175" spans="5:25">
      <c r="E7175"/>
      <c r="G7175"/>
      <c r="H7175"/>
      <c r="I7175"/>
      <c r="K7175"/>
      <c r="O7175"/>
      <c r="R7175"/>
      <c r="W7175" s="4"/>
      <c r="X7175" s="4"/>
      <c r="Y7175" s="4"/>
    </row>
    <row r="7176" spans="5:25">
      <c r="E7176"/>
      <c r="G7176"/>
      <c r="H7176"/>
      <c r="I7176"/>
      <c r="K7176"/>
      <c r="O7176"/>
      <c r="R7176"/>
      <c r="W7176" s="4"/>
      <c r="X7176" s="4"/>
      <c r="Y7176" s="4"/>
    </row>
    <row r="7177" spans="5:25">
      <c r="E7177"/>
      <c r="G7177"/>
      <c r="H7177"/>
      <c r="I7177"/>
      <c r="K7177"/>
      <c r="O7177"/>
      <c r="R7177"/>
      <c r="W7177" s="4"/>
      <c r="X7177" s="4"/>
      <c r="Y7177" s="4"/>
    </row>
    <row r="7178" spans="5:25">
      <c r="E7178"/>
      <c r="G7178"/>
      <c r="H7178"/>
      <c r="I7178"/>
      <c r="K7178"/>
      <c r="O7178"/>
      <c r="R7178"/>
      <c r="W7178" s="4"/>
      <c r="X7178" s="4"/>
      <c r="Y7178" s="4"/>
    </row>
    <row r="7179" spans="5:25">
      <c r="E7179"/>
      <c r="G7179"/>
      <c r="H7179"/>
      <c r="I7179"/>
      <c r="K7179"/>
      <c r="O7179"/>
      <c r="R7179"/>
      <c r="W7179" s="4"/>
      <c r="X7179" s="4"/>
      <c r="Y7179" s="4"/>
    </row>
    <row r="7180" spans="5:25">
      <c r="E7180"/>
      <c r="G7180"/>
      <c r="H7180"/>
      <c r="I7180"/>
      <c r="K7180"/>
      <c r="O7180"/>
      <c r="R7180"/>
      <c r="W7180" s="4"/>
      <c r="X7180" s="4"/>
      <c r="Y7180" s="4"/>
    </row>
    <row r="7181" spans="5:25">
      <c r="E7181"/>
      <c r="G7181"/>
      <c r="H7181"/>
      <c r="I7181"/>
      <c r="K7181"/>
      <c r="O7181"/>
      <c r="R7181"/>
      <c r="W7181" s="4"/>
      <c r="X7181" s="4"/>
      <c r="Y7181" s="4"/>
    </row>
    <row r="7182" spans="5:25">
      <c r="E7182"/>
      <c r="G7182"/>
      <c r="H7182"/>
      <c r="I7182"/>
      <c r="K7182"/>
      <c r="O7182"/>
      <c r="R7182"/>
      <c r="W7182" s="4"/>
      <c r="X7182" s="4"/>
      <c r="Y7182" s="4"/>
    </row>
    <row r="7183" spans="5:25">
      <c r="E7183"/>
      <c r="G7183"/>
      <c r="H7183"/>
      <c r="I7183"/>
      <c r="K7183"/>
      <c r="O7183"/>
      <c r="R7183"/>
      <c r="W7183" s="4"/>
      <c r="X7183" s="4"/>
      <c r="Y7183" s="4"/>
    </row>
    <row r="7184" spans="5:25">
      <c r="E7184"/>
      <c r="G7184"/>
      <c r="H7184"/>
      <c r="I7184"/>
      <c r="K7184"/>
      <c r="O7184"/>
      <c r="R7184"/>
      <c r="W7184" s="4"/>
      <c r="X7184" s="4"/>
      <c r="Y7184" s="4"/>
    </row>
    <row r="7185" spans="5:25">
      <c r="E7185"/>
      <c r="G7185"/>
      <c r="H7185"/>
      <c r="I7185"/>
      <c r="K7185"/>
      <c r="O7185"/>
      <c r="R7185"/>
      <c r="W7185" s="4"/>
      <c r="X7185" s="4"/>
      <c r="Y7185" s="4"/>
    </row>
    <row r="7186" spans="5:25">
      <c r="E7186"/>
      <c r="G7186"/>
      <c r="H7186"/>
      <c r="I7186"/>
      <c r="K7186"/>
      <c r="O7186"/>
      <c r="R7186"/>
      <c r="W7186" s="4"/>
      <c r="X7186" s="4"/>
      <c r="Y7186" s="4"/>
    </row>
    <row r="7187" spans="5:25">
      <c r="E7187"/>
      <c r="G7187"/>
      <c r="H7187"/>
      <c r="I7187"/>
      <c r="K7187"/>
      <c r="O7187"/>
      <c r="R7187"/>
      <c r="W7187" s="4"/>
      <c r="X7187" s="4"/>
      <c r="Y7187" s="4"/>
    </row>
    <row r="7188" spans="5:25">
      <c r="E7188"/>
      <c r="G7188"/>
      <c r="H7188"/>
      <c r="I7188"/>
      <c r="K7188"/>
      <c r="O7188"/>
      <c r="R7188"/>
      <c r="W7188" s="4"/>
      <c r="X7188" s="4"/>
      <c r="Y7188" s="4"/>
    </row>
    <row r="7189" spans="5:25">
      <c r="E7189"/>
      <c r="G7189"/>
      <c r="H7189"/>
      <c r="I7189"/>
      <c r="K7189"/>
      <c r="O7189"/>
      <c r="R7189"/>
      <c r="W7189" s="4"/>
      <c r="X7189" s="4"/>
      <c r="Y7189" s="4"/>
    </row>
    <row r="7190" spans="5:25">
      <c r="E7190"/>
      <c r="G7190"/>
      <c r="H7190"/>
      <c r="I7190"/>
      <c r="K7190"/>
      <c r="O7190"/>
      <c r="R7190"/>
      <c r="W7190" s="4"/>
      <c r="X7190" s="4"/>
      <c r="Y7190" s="4"/>
    </row>
    <row r="7191" spans="5:25">
      <c r="E7191"/>
      <c r="G7191"/>
      <c r="H7191"/>
      <c r="I7191"/>
      <c r="K7191"/>
      <c r="O7191"/>
      <c r="R7191"/>
      <c r="W7191" s="4"/>
      <c r="X7191" s="4"/>
      <c r="Y7191" s="4"/>
    </row>
    <row r="7192" spans="5:25">
      <c r="E7192"/>
      <c r="G7192"/>
      <c r="H7192"/>
      <c r="I7192"/>
      <c r="K7192"/>
      <c r="O7192"/>
      <c r="R7192"/>
      <c r="W7192" s="4"/>
      <c r="X7192" s="4"/>
      <c r="Y7192" s="4"/>
    </row>
    <row r="7193" spans="5:25">
      <c r="E7193"/>
      <c r="G7193"/>
      <c r="H7193"/>
      <c r="I7193"/>
      <c r="K7193"/>
      <c r="O7193"/>
      <c r="R7193"/>
      <c r="W7193" s="4"/>
      <c r="X7193" s="4"/>
      <c r="Y7193" s="4"/>
    </row>
    <row r="7194" spans="5:25">
      <c r="E7194"/>
      <c r="G7194"/>
      <c r="H7194"/>
      <c r="I7194"/>
      <c r="K7194"/>
      <c r="O7194"/>
      <c r="R7194"/>
      <c r="W7194" s="4"/>
      <c r="X7194" s="4"/>
      <c r="Y7194" s="4"/>
    </row>
    <row r="7195" spans="5:25">
      <c r="E7195"/>
      <c r="G7195"/>
      <c r="H7195"/>
      <c r="I7195"/>
      <c r="K7195"/>
      <c r="O7195"/>
      <c r="R7195"/>
      <c r="W7195" s="4"/>
      <c r="X7195" s="4"/>
      <c r="Y7195" s="4"/>
    </row>
    <row r="7196" spans="5:25">
      <c r="E7196"/>
      <c r="G7196"/>
      <c r="H7196"/>
      <c r="I7196"/>
      <c r="K7196"/>
      <c r="O7196"/>
      <c r="R7196"/>
      <c r="W7196" s="4"/>
      <c r="X7196" s="4"/>
      <c r="Y7196" s="4"/>
    </row>
    <row r="7197" spans="5:25">
      <c r="E7197"/>
      <c r="G7197"/>
      <c r="H7197"/>
      <c r="I7197"/>
      <c r="K7197"/>
      <c r="O7197"/>
      <c r="R7197"/>
      <c r="W7197" s="4"/>
      <c r="X7197" s="4"/>
      <c r="Y7197" s="4"/>
    </row>
    <row r="7198" spans="5:25">
      <c r="E7198"/>
      <c r="G7198"/>
      <c r="H7198"/>
      <c r="I7198"/>
      <c r="K7198"/>
      <c r="O7198"/>
      <c r="R7198"/>
      <c r="W7198" s="4"/>
      <c r="X7198" s="4"/>
      <c r="Y7198" s="4"/>
    </row>
    <row r="7199" spans="5:25">
      <c r="E7199"/>
      <c r="G7199"/>
      <c r="H7199"/>
      <c r="I7199"/>
      <c r="K7199"/>
      <c r="O7199"/>
      <c r="R7199"/>
      <c r="W7199" s="4"/>
      <c r="X7199" s="4"/>
      <c r="Y7199" s="4"/>
    </row>
    <row r="7200" spans="5:25">
      <c r="E7200"/>
      <c r="G7200"/>
      <c r="H7200"/>
      <c r="I7200"/>
      <c r="K7200"/>
      <c r="O7200"/>
      <c r="R7200"/>
      <c r="W7200" s="4"/>
      <c r="X7200" s="4"/>
      <c r="Y7200" s="4"/>
    </row>
    <row r="7201" spans="5:25">
      <c r="E7201"/>
      <c r="G7201"/>
      <c r="H7201"/>
      <c r="I7201"/>
      <c r="K7201"/>
      <c r="O7201"/>
      <c r="R7201"/>
      <c r="W7201" s="4"/>
      <c r="X7201" s="4"/>
      <c r="Y7201" s="4"/>
    </row>
    <row r="7202" spans="5:25">
      <c r="E7202"/>
      <c r="G7202"/>
      <c r="H7202"/>
      <c r="I7202"/>
      <c r="K7202"/>
      <c r="O7202"/>
      <c r="R7202"/>
      <c r="W7202" s="4"/>
      <c r="X7202" s="4"/>
      <c r="Y7202" s="4"/>
    </row>
    <row r="7203" spans="5:25">
      <c r="E7203"/>
      <c r="G7203"/>
      <c r="H7203"/>
      <c r="I7203"/>
      <c r="K7203"/>
      <c r="O7203"/>
      <c r="R7203"/>
      <c r="W7203" s="4"/>
      <c r="X7203" s="4"/>
      <c r="Y7203" s="4"/>
    </row>
    <row r="7204" spans="5:25">
      <c r="E7204"/>
      <c r="G7204"/>
      <c r="H7204"/>
      <c r="I7204"/>
      <c r="K7204"/>
      <c r="O7204"/>
      <c r="R7204"/>
      <c r="W7204" s="4"/>
      <c r="X7204" s="4"/>
      <c r="Y7204" s="4"/>
    </row>
    <row r="7205" spans="5:25">
      <c r="E7205"/>
      <c r="G7205"/>
      <c r="H7205"/>
      <c r="I7205"/>
      <c r="K7205"/>
      <c r="O7205"/>
      <c r="R7205"/>
      <c r="W7205" s="4"/>
      <c r="X7205" s="4"/>
      <c r="Y7205" s="4"/>
    </row>
    <row r="7206" spans="5:25">
      <c r="E7206"/>
      <c r="G7206"/>
      <c r="H7206"/>
      <c r="I7206"/>
      <c r="K7206"/>
      <c r="O7206"/>
      <c r="R7206"/>
      <c r="W7206" s="4"/>
      <c r="X7206" s="4"/>
      <c r="Y7206" s="4"/>
    </row>
    <row r="7207" spans="5:25">
      <c r="E7207"/>
      <c r="G7207"/>
      <c r="H7207"/>
      <c r="I7207"/>
      <c r="K7207"/>
      <c r="O7207"/>
      <c r="R7207"/>
      <c r="W7207" s="4"/>
      <c r="X7207" s="4"/>
      <c r="Y7207" s="4"/>
    </row>
    <row r="7208" spans="5:25">
      <c r="E7208"/>
      <c r="G7208"/>
      <c r="H7208"/>
      <c r="I7208"/>
      <c r="K7208"/>
      <c r="O7208"/>
      <c r="R7208"/>
      <c r="W7208" s="4"/>
      <c r="X7208" s="4"/>
      <c r="Y7208" s="4"/>
    </row>
    <row r="7209" spans="5:25">
      <c r="E7209"/>
      <c r="G7209"/>
      <c r="H7209"/>
      <c r="I7209"/>
      <c r="K7209"/>
      <c r="O7209"/>
      <c r="R7209"/>
      <c r="W7209" s="4"/>
      <c r="X7209" s="4"/>
      <c r="Y7209" s="4"/>
    </row>
    <row r="7210" spans="5:25">
      <c r="E7210"/>
      <c r="G7210"/>
      <c r="H7210"/>
      <c r="I7210"/>
      <c r="K7210"/>
      <c r="O7210"/>
      <c r="R7210"/>
      <c r="W7210" s="4"/>
      <c r="X7210" s="4"/>
      <c r="Y7210" s="4"/>
    </row>
    <row r="7211" spans="5:25">
      <c r="E7211"/>
      <c r="G7211"/>
      <c r="H7211"/>
      <c r="I7211"/>
      <c r="K7211"/>
      <c r="O7211"/>
      <c r="R7211"/>
      <c r="W7211" s="4"/>
      <c r="X7211" s="4"/>
      <c r="Y7211" s="4"/>
    </row>
    <row r="7212" spans="5:25">
      <c r="E7212"/>
      <c r="G7212"/>
      <c r="H7212"/>
      <c r="I7212"/>
      <c r="K7212"/>
      <c r="O7212"/>
      <c r="R7212"/>
      <c r="W7212" s="4"/>
      <c r="X7212" s="4"/>
      <c r="Y7212" s="4"/>
    </row>
    <row r="7213" spans="5:25">
      <c r="E7213"/>
      <c r="G7213"/>
      <c r="H7213"/>
      <c r="I7213"/>
      <c r="K7213"/>
      <c r="O7213"/>
      <c r="R7213"/>
      <c r="W7213" s="4"/>
      <c r="X7213" s="4"/>
      <c r="Y7213" s="4"/>
    </row>
    <row r="7214" spans="5:25">
      <c r="E7214"/>
      <c r="G7214"/>
      <c r="H7214"/>
      <c r="I7214"/>
      <c r="K7214"/>
      <c r="O7214"/>
      <c r="R7214"/>
      <c r="W7214" s="4"/>
      <c r="X7214" s="4"/>
      <c r="Y7214" s="4"/>
    </row>
    <row r="7215" spans="5:25">
      <c r="E7215"/>
      <c r="G7215"/>
      <c r="H7215"/>
      <c r="I7215"/>
      <c r="K7215"/>
      <c r="O7215"/>
      <c r="R7215"/>
      <c r="W7215" s="4"/>
      <c r="X7215" s="4"/>
      <c r="Y7215" s="4"/>
    </row>
    <row r="7216" spans="5:25">
      <c r="E7216"/>
      <c r="G7216"/>
      <c r="H7216"/>
      <c r="I7216"/>
      <c r="K7216"/>
      <c r="O7216"/>
      <c r="R7216"/>
      <c r="W7216" s="4"/>
      <c r="X7216" s="4"/>
      <c r="Y7216" s="4"/>
    </row>
    <row r="7217" spans="5:25">
      <c r="E7217"/>
      <c r="G7217"/>
      <c r="H7217"/>
      <c r="I7217"/>
      <c r="K7217"/>
      <c r="O7217"/>
      <c r="R7217"/>
      <c r="W7217" s="4"/>
      <c r="X7217" s="4"/>
      <c r="Y7217" s="4"/>
    </row>
    <row r="7218" spans="5:25">
      <c r="E7218"/>
      <c r="G7218"/>
      <c r="H7218"/>
      <c r="I7218"/>
      <c r="K7218"/>
      <c r="O7218"/>
      <c r="R7218"/>
      <c r="W7218" s="4"/>
      <c r="X7218" s="4"/>
      <c r="Y7218" s="4"/>
    </row>
    <row r="7219" spans="5:25">
      <c r="E7219"/>
      <c r="G7219"/>
      <c r="H7219"/>
      <c r="I7219"/>
      <c r="K7219"/>
      <c r="O7219"/>
      <c r="R7219"/>
      <c r="W7219" s="4"/>
      <c r="X7219" s="4"/>
      <c r="Y7219" s="4"/>
    </row>
    <row r="7220" spans="5:25">
      <c r="E7220"/>
      <c r="G7220"/>
      <c r="H7220"/>
      <c r="I7220"/>
      <c r="K7220"/>
      <c r="O7220"/>
      <c r="R7220"/>
      <c r="W7220" s="4"/>
      <c r="X7220" s="4"/>
      <c r="Y7220" s="4"/>
    </row>
    <row r="7221" spans="5:25">
      <c r="E7221"/>
      <c r="G7221"/>
      <c r="H7221"/>
      <c r="I7221"/>
      <c r="K7221"/>
      <c r="O7221"/>
      <c r="R7221"/>
      <c r="W7221" s="4"/>
      <c r="X7221" s="4"/>
      <c r="Y7221" s="4"/>
    </row>
    <row r="7222" spans="5:25">
      <c r="E7222"/>
      <c r="G7222"/>
      <c r="H7222"/>
      <c r="I7222"/>
      <c r="K7222"/>
      <c r="O7222"/>
      <c r="R7222"/>
      <c r="W7222" s="4"/>
      <c r="X7222" s="4"/>
      <c r="Y7222" s="4"/>
    </row>
    <row r="7223" spans="5:25">
      <c r="E7223"/>
      <c r="G7223"/>
      <c r="H7223"/>
      <c r="I7223"/>
      <c r="K7223"/>
      <c r="O7223"/>
      <c r="R7223"/>
      <c r="W7223" s="4"/>
      <c r="X7223" s="4"/>
      <c r="Y7223" s="4"/>
    </row>
    <row r="7224" spans="5:25">
      <c r="E7224"/>
      <c r="G7224"/>
      <c r="H7224"/>
      <c r="I7224"/>
      <c r="K7224"/>
      <c r="O7224"/>
      <c r="R7224"/>
      <c r="W7224" s="4"/>
      <c r="X7224" s="4"/>
      <c r="Y7224" s="4"/>
    </row>
    <row r="7225" spans="5:25">
      <c r="E7225"/>
      <c r="G7225"/>
      <c r="H7225"/>
      <c r="I7225"/>
      <c r="K7225"/>
      <c r="O7225"/>
      <c r="R7225"/>
      <c r="W7225" s="4"/>
      <c r="X7225" s="4"/>
      <c r="Y7225" s="4"/>
    </row>
    <row r="7226" spans="5:25">
      <c r="E7226"/>
      <c r="G7226"/>
      <c r="H7226"/>
      <c r="I7226"/>
      <c r="K7226"/>
      <c r="O7226"/>
      <c r="R7226"/>
      <c r="W7226" s="4"/>
      <c r="X7226" s="4"/>
      <c r="Y7226" s="4"/>
    </row>
    <row r="7227" spans="5:25">
      <c r="E7227"/>
      <c r="G7227"/>
      <c r="H7227"/>
      <c r="I7227"/>
      <c r="K7227"/>
      <c r="O7227"/>
      <c r="R7227"/>
      <c r="W7227" s="4"/>
      <c r="X7227" s="4"/>
      <c r="Y7227" s="4"/>
    </row>
    <row r="7228" spans="5:25">
      <c r="E7228"/>
      <c r="G7228"/>
      <c r="H7228"/>
      <c r="I7228"/>
      <c r="K7228"/>
      <c r="O7228"/>
      <c r="R7228"/>
      <c r="W7228" s="4"/>
      <c r="X7228" s="4"/>
      <c r="Y7228" s="4"/>
    </row>
    <row r="7229" spans="5:25">
      <c r="E7229"/>
      <c r="G7229"/>
      <c r="H7229"/>
      <c r="I7229"/>
      <c r="K7229"/>
      <c r="O7229"/>
      <c r="R7229"/>
      <c r="W7229" s="4"/>
      <c r="X7229" s="4"/>
      <c r="Y7229" s="4"/>
    </row>
    <row r="7230" spans="5:25">
      <c r="E7230"/>
      <c r="G7230"/>
      <c r="H7230"/>
      <c r="I7230"/>
      <c r="K7230"/>
      <c r="O7230"/>
      <c r="R7230"/>
      <c r="W7230" s="4"/>
      <c r="X7230" s="4"/>
      <c r="Y7230" s="4"/>
    </row>
    <row r="7231" spans="5:25">
      <c r="E7231"/>
      <c r="G7231"/>
      <c r="H7231"/>
      <c r="I7231"/>
      <c r="K7231"/>
      <c r="O7231"/>
      <c r="R7231"/>
      <c r="W7231" s="4"/>
      <c r="X7231" s="4"/>
      <c r="Y7231" s="4"/>
    </row>
    <row r="7232" spans="5:25">
      <c r="E7232"/>
      <c r="G7232"/>
      <c r="H7232"/>
      <c r="I7232"/>
      <c r="K7232"/>
      <c r="O7232"/>
      <c r="R7232"/>
      <c r="W7232" s="4"/>
      <c r="X7232" s="4"/>
      <c r="Y7232" s="4"/>
    </row>
    <row r="7233" spans="5:25">
      <c r="E7233"/>
      <c r="G7233"/>
      <c r="H7233"/>
      <c r="I7233"/>
      <c r="K7233"/>
      <c r="O7233"/>
      <c r="R7233"/>
      <c r="W7233" s="4"/>
      <c r="X7233" s="4"/>
      <c r="Y7233" s="4"/>
    </row>
    <row r="7234" spans="5:25">
      <c r="E7234"/>
      <c r="G7234"/>
      <c r="H7234"/>
      <c r="I7234"/>
      <c r="K7234"/>
      <c r="O7234"/>
      <c r="R7234"/>
      <c r="W7234" s="4"/>
      <c r="X7234" s="4"/>
      <c r="Y7234" s="4"/>
    </row>
    <row r="7235" spans="5:25">
      <c r="E7235"/>
      <c r="G7235"/>
      <c r="H7235"/>
      <c r="I7235"/>
      <c r="K7235"/>
      <c r="O7235"/>
      <c r="R7235"/>
      <c r="W7235" s="4"/>
      <c r="X7235" s="4"/>
      <c r="Y7235" s="4"/>
    </row>
    <row r="7236" spans="5:25">
      <c r="E7236"/>
      <c r="G7236"/>
      <c r="H7236"/>
      <c r="I7236"/>
      <c r="K7236"/>
      <c r="O7236"/>
      <c r="R7236"/>
      <c r="W7236" s="4"/>
      <c r="X7236" s="4"/>
      <c r="Y7236" s="4"/>
    </row>
    <row r="7237" spans="5:25">
      <c r="E7237"/>
      <c r="G7237"/>
      <c r="H7237"/>
      <c r="I7237"/>
      <c r="K7237"/>
      <c r="O7237"/>
      <c r="R7237"/>
      <c r="W7237" s="4"/>
      <c r="X7237" s="4"/>
      <c r="Y7237" s="4"/>
    </row>
    <row r="7238" spans="5:25">
      <c r="E7238"/>
      <c r="G7238"/>
      <c r="H7238"/>
      <c r="I7238"/>
      <c r="K7238"/>
      <c r="O7238"/>
      <c r="R7238"/>
      <c r="W7238" s="4"/>
      <c r="X7238" s="4"/>
      <c r="Y7238" s="4"/>
    </row>
    <row r="7239" spans="5:25">
      <c r="E7239"/>
      <c r="G7239"/>
      <c r="H7239"/>
      <c r="I7239"/>
      <c r="K7239"/>
      <c r="O7239"/>
      <c r="R7239"/>
      <c r="W7239" s="4"/>
      <c r="X7239" s="4"/>
      <c r="Y7239" s="4"/>
    </row>
    <row r="7240" spans="5:25">
      <c r="E7240"/>
      <c r="G7240"/>
      <c r="H7240"/>
      <c r="I7240"/>
      <c r="K7240"/>
      <c r="O7240"/>
      <c r="R7240"/>
      <c r="W7240" s="4"/>
      <c r="X7240" s="4"/>
      <c r="Y7240" s="4"/>
    </row>
    <row r="7241" spans="5:25">
      <c r="E7241"/>
      <c r="G7241"/>
      <c r="H7241"/>
      <c r="I7241"/>
      <c r="K7241"/>
      <c r="O7241"/>
      <c r="R7241"/>
      <c r="W7241" s="4"/>
      <c r="X7241" s="4"/>
      <c r="Y7241" s="4"/>
    </row>
    <row r="7242" spans="5:25">
      <c r="E7242"/>
      <c r="G7242"/>
      <c r="H7242"/>
      <c r="I7242"/>
      <c r="K7242"/>
      <c r="O7242"/>
      <c r="R7242"/>
      <c r="W7242" s="4"/>
      <c r="X7242" s="4"/>
      <c r="Y7242" s="4"/>
    </row>
    <row r="7243" spans="5:25">
      <c r="E7243"/>
      <c r="G7243"/>
      <c r="H7243"/>
      <c r="I7243"/>
      <c r="K7243"/>
      <c r="O7243"/>
      <c r="R7243"/>
      <c r="W7243" s="4"/>
      <c r="X7243" s="4"/>
      <c r="Y7243" s="4"/>
    </row>
    <row r="7244" spans="5:25">
      <c r="E7244"/>
      <c r="G7244"/>
      <c r="H7244"/>
      <c r="I7244"/>
      <c r="K7244"/>
      <c r="O7244"/>
      <c r="R7244"/>
      <c r="W7244" s="4"/>
      <c r="X7244" s="4"/>
      <c r="Y7244" s="4"/>
    </row>
    <row r="7245" spans="5:25">
      <c r="E7245"/>
      <c r="G7245"/>
      <c r="H7245"/>
      <c r="I7245"/>
      <c r="K7245"/>
      <c r="O7245"/>
      <c r="R7245"/>
      <c r="W7245" s="4"/>
      <c r="X7245" s="4"/>
      <c r="Y7245" s="4"/>
    </row>
    <row r="7246" spans="5:25">
      <c r="E7246"/>
      <c r="G7246"/>
      <c r="H7246"/>
      <c r="I7246"/>
      <c r="K7246"/>
      <c r="O7246"/>
      <c r="R7246"/>
      <c r="W7246" s="4"/>
      <c r="X7246" s="4"/>
      <c r="Y7246" s="4"/>
    </row>
    <row r="7247" spans="5:25">
      <c r="E7247"/>
      <c r="G7247"/>
      <c r="H7247"/>
      <c r="I7247"/>
      <c r="K7247"/>
      <c r="O7247"/>
      <c r="R7247"/>
      <c r="W7247" s="4"/>
      <c r="X7247" s="4"/>
      <c r="Y7247" s="4"/>
    </row>
    <row r="7248" spans="5:25">
      <c r="E7248"/>
      <c r="G7248"/>
      <c r="H7248"/>
      <c r="I7248"/>
      <c r="K7248"/>
      <c r="O7248"/>
      <c r="R7248"/>
      <c r="W7248" s="4"/>
      <c r="X7248" s="4"/>
      <c r="Y7248" s="4"/>
    </row>
    <row r="7249" spans="5:25">
      <c r="E7249"/>
      <c r="G7249"/>
      <c r="H7249"/>
      <c r="I7249"/>
      <c r="K7249"/>
      <c r="O7249"/>
      <c r="R7249"/>
      <c r="W7249" s="4"/>
      <c r="X7249" s="4"/>
      <c r="Y7249" s="4"/>
    </row>
    <row r="7250" spans="5:25">
      <c r="E7250"/>
      <c r="G7250"/>
      <c r="H7250"/>
      <c r="I7250"/>
      <c r="K7250"/>
      <c r="O7250"/>
      <c r="R7250"/>
      <c r="W7250" s="4"/>
      <c r="X7250" s="4"/>
      <c r="Y7250" s="4"/>
    </row>
    <row r="7251" spans="5:25">
      <c r="E7251"/>
      <c r="G7251"/>
      <c r="H7251"/>
      <c r="I7251"/>
      <c r="K7251"/>
      <c r="O7251"/>
      <c r="R7251"/>
      <c r="W7251" s="4"/>
      <c r="X7251" s="4"/>
      <c r="Y7251" s="4"/>
    </row>
    <row r="7252" spans="5:25">
      <c r="E7252"/>
      <c r="G7252"/>
      <c r="H7252"/>
      <c r="I7252"/>
      <c r="K7252"/>
      <c r="O7252"/>
      <c r="R7252"/>
      <c r="W7252" s="4"/>
      <c r="X7252" s="4"/>
      <c r="Y7252" s="4"/>
    </row>
    <row r="7253" spans="5:25">
      <c r="E7253"/>
      <c r="G7253"/>
      <c r="H7253"/>
      <c r="I7253"/>
      <c r="K7253"/>
      <c r="O7253"/>
      <c r="R7253"/>
      <c r="W7253" s="4"/>
      <c r="X7253" s="4"/>
      <c r="Y7253" s="4"/>
    </row>
    <row r="7254" spans="5:25">
      <c r="E7254"/>
      <c r="G7254"/>
      <c r="H7254"/>
      <c r="I7254"/>
      <c r="K7254"/>
      <c r="O7254"/>
      <c r="R7254"/>
      <c r="W7254" s="4"/>
      <c r="X7254" s="4"/>
      <c r="Y7254" s="4"/>
    </row>
    <row r="7255" spans="5:25">
      <c r="E7255"/>
      <c r="G7255"/>
      <c r="H7255"/>
      <c r="I7255"/>
      <c r="K7255"/>
      <c r="O7255"/>
      <c r="R7255"/>
      <c r="W7255" s="4"/>
      <c r="X7255" s="4"/>
      <c r="Y7255" s="4"/>
    </row>
    <row r="7256" spans="5:25">
      <c r="E7256"/>
      <c r="G7256"/>
      <c r="H7256"/>
      <c r="I7256"/>
      <c r="K7256"/>
      <c r="O7256"/>
      <c r="R7256"/>
      <c r="W7256" s="4"/>
      <c r="X7256" s="4"/>
      <c r="Y7256" s="4"/>
    </row>
    <row r="7257" spans="5:25">
      <c r="E7257"/>
      <c r="G7257"/>
      <c r="H7257"/>
      <c r="I7257"/>
      <c r="K7257"/>
      <c r="O7257"/>
      <c r="R7257"/>
      <c r="W7257" s="4"/>
      <c r="X7257" s="4"/>
      <c r="Y7257" s="4"/>
    </row>
    <row r="7258" spans="5:25">
      <c r="E7258"/>
      <c r="G7258"/>
      <c r="H7258"/>
      <c r="I7258"/>
      <c r="K7258"/>
      <c r="O7258"/>
      <c r="R7258"/>
      <c r="W7258" s="4"/>
      <c r="X7258" s="4"/>
      <c r="Y7258" s="4"/>
    </row>
    <row r="7259" spans="5:25">
      <c r="E7259"/>
      <c r="G7259"/>
      <c r="H7259"/>
      <c r="I7259"/>
      <c r="K7259"/>
      <c r="O7259"/>
      <c r="R7259"/>
      <c r="W7259" s="4"/>
      <c r="X7259" s="4"/>
      <c r="Y7259" s="4"/>
    </row>
    <row r="7260" spans="5:25">
      <c r="E7260"/>
      <c r="G7260"/>
      <c r="H7260"/>
      <c r="I7260"/>
      <c r="K7260"/>
      <c r="O7260"/>
      <c r="R7260"/>
      <c r="W7260" s="4"/>
      <c r="X7260" s="4"/>
      <c r="Y7260" s="4"/>
    </row>
    <row r="7261" spans="5:25">
      <c r="E7261"/>
      <c r="G7261"/>
      <c r="H7261"/>
      <c r="I7261"/>
      <c r="K7261"/>
      <c r="O7261"/>
      <c r="R7261"/>
      <c r="W7261" s="4"/>
      <c r="X7261" s="4"/>
      <c r="Y7261" s="4"/>
    </row>
    <row r="7262" spans="5:25">
      <c r="E7262"/>
      <c r="G7262"/>
      <c r="H7262"/>
      <c r="I7262"/>
      <c r="K7262"/>
      <c r="O7262"/>
      <c r="R7262"/>
      <c r="W7262" s="4"/>
      <c r="X7262" s="4"/>
      <c r="Y7262" s="4"/>
    </row>
    <row r="7263" spans="5:25">
      <c r="E7263"/>
      <c r="G7263"/>
      <c r="H7263"/>
      <c r="I7263"/>
      <c r="K7263"/>
      <c r="O7263"/>
      <c r="R7263"/>
      <c r="W7263" s="4"/>
      <c r="X7263" s="4"/>
      <c r="Y7263" s="4"/>
    </row>
    <row r="7264" spans="5:25">
      <c r="E7264"/>
      <c r="G7264"/>
      <c r="H7264"/>
      <c r="I7264"/>
      <c r="K7264"/>
      <c r="O7264"/>
      <c r="R7264"/>
      <c r="W7264" s="4"/>
      <c r="X7264" s="4"/>
      <c r="Y7264" s="4"/>
    </row>
    <row r="7265" spans="5:25">
      <c r="E7265"/>
      <c r="G7265"/>
      <c r="H7265"/>
      <c r="I7265"/>
      <c r="K7265"/>
      <c r="O7265"/>
      <c r="R7265"/>
      <c r="W7265" s="4"/>
      <c r="X7265" s="4"/>
      <c r="Y7265" s="4"/>
    </row>
    <row r="7266" spans="5:25">
      <c r="E7266"/>
      <c r="G7266"/>
      <c r="H7266"/>
      <c r="I7266"/>
      <c r="K7266"/>
      <c r="O7266"/>
      <c r="R7266"/>
      <c r="W7266" s="4"/>
      <c r="X7266" s="4"/>
      <c r="Y7266" s="4"/>
    </row>
    <row r="7267" spans="5:25">
      <c r="E7267"/>
      <c r="G7267"/>
      <c r="H7267"/>
      <c r="I7267"/>
      <c r="K7267"/>
      <c r="O7267"/>
      <c r="R7267"/>
      <c r="W7267" s="4"/>
      <c r="X7267" s="4"/>
      <c r="Y7267" s="4"/>
    </row>
    <row r="7268" spans="5:25">
      <c r="E7268"/>
      <c r="G7268"/>
      <c r="H7268"/>
      <c r="I7268"/>
      <c r="K7268"/>
      <c r="O7268"/>
      <c r="R7268"/>
      <c r="W7268" s="4"/>
      <c r="X7268" s="4"/>
      <c r="Y7268" s="4"/>
    </row>
    <row r="7269" spans="5:25">
      <c r="E7269"/>
      <c r="G7269"/>
      <c r="H7269"/>
      <c r="I7269"/>
      <c r="K7269"/>
      <c r="O7269"/>
      <c r="R7269"/>
      <c r="W7269" s="4"/>
      <c r="X7269" s="4"/>
      <c r="Y7269" s="4"/>
    </row>
    <row r="7270" spans="5:25">
      <c r="E7270"/>
      <c r="G7270"/>
      <c r="H7270"/>
      <c r="I7270"/>
      <c r="K7270"/>
      <c r="O7270"/>
      <c r="R7270"/>
      <c r="W7270" s="4"/>
      <c r="X7270" s="4"/>
      <c r="Y7270" s="4"/>
    </row>
    <row r="7271" spans="5:25">
      <c r="E7271"/>
      <c r="G7271"/>
      <c r="H7271"/>
      <c r="I7271"/>
      <c r="K7271"/>
      <c r="O7271"/>
      <c r="R7271"/>
      <c r="W7271" s="4"/>
      <c r="X7271" s="4"/>
      <c r="Y7271" s="4"/>
    </row>
    <row r="7272" spans="5:25">
      <c r="E7272"/>
      <c r="G7272"/>
      <c r="H7272"/>
      <c r="I7272"/>
      <c r="K7272"/>
      <c r="O7272"/>
      <c r="R7272"/>
      <c r="W7272" s="4"/>
      <c r="X7272" s="4"/>
      <c r="Y7272" s="4"/>
    </row>
    <row r="7273" spans="5:25">
      <c r="E7273"/>
      <c r="G7273"/>
      <c r="H7273"/>
      <c r="I7273"/>
      <c r="K7273"/>
      <c r="O7273"/>
      <c r="R7273"/>
      <c r="W7273" s="4"/>
      <c r="X7273" s="4"/>
      <c r="Y7273" s="4"/>
    </row>
    <row r="7274" spans="5:25">
      <c r="E7274"/>
      <c r="G7274"/>
      <c r="H7274"/>
      <c r="I7274"/>
      <c r="K7274"/>
      <c r="O7274"/>
      <c r="R7274"/>
      <c r="W7274" s="4"/>
      <c r="X7274" s="4"/>
      <c r="Y7274" s="4"/>
    </row>
    <row r="7275" spans="5:25">
      <c r="E7275"/>
      <c r="G7275"/>
      <c r="H7275"/>
      <c r="I7275"/>
      <c r="K7275"/>
      <c r="O7275"/>
      <c r="R7275"/>
      <c r="W7275" s="4"/>
      <c r="X7275" s="4"/>
      <c r="Y7275" s="4"/>
    </row>
    <row r="7276" spans="5:25">
      <c r="E7276"/>
      <c r="G7276"/>
      <c r="H7276"/>
      <c r="I7276"/>
      <c r="K7276"/>
      <c r="O7276"/>
      <c r="R7276"/>
      <c r="W7276" s="4"/>
      <c r="X7276" s="4"/>
      <c r="Y7276" s="4"/>
    </row>
    <row r="7277" spans="5:25">
      <c r="E7277"/>
      <c r="G7277"/>
      <c r="H7277"/>
      <c r="I7277"/>
      <c r="K7277"/>
      <c r="O7277"/>
      <c r="R7277"/>
      <c r="W7277" s="4"/>
      <c r="X7277" s="4"/>
      <c r="Y7277" s="4"/>
    </row>
    <row r="7278" spans="5:25">
      <c r="E7278"/>
      <c r="G7278"/>
      <c r="H7278"/>
      <c r="I7278"/>
      <c r="K7278"/>
      <c r="O7278"/>
      <c r="R7278"/>
      <c r="W7278" s="4"/>
      <c r="X7278" s="4"/>
      <c r="Y7278" s="4"/>
    </row>
    <row r="7279" spans="5:25">
      <c r="E7279"/>
      <c r="G7279"/>
      <c r="H7279"/>
      <c r="I7279"/>
      <c r="K7279"/>
      <c r="O7279"/>
      <c r="R7279"/>
      <c r="W7279" s="4"/>
      <c r="X7279" s="4"/>
      <c r="Y7279" s="4"/>
    </row>
    <row r="7280" spans="5:25">
      <c r="E7280"/>
      <c r="G7280"/>
      <c r="H7280"/>
      <c r="I7280"/>
      <c r="K7280"/>
      <c r="O7280"/>
      <c r="R7280"/>
      <c r="W7280" s="4"/>
      <c r="X7280" s="4"/>
      <c r="Y7280" s="4"/>
    </row>
    <row r="7281" spans="5:25">
      <c r="E7281"/>
      <c r="G7281"/>
      <c r="H7281"/>
      <c r="I7281"/>
      <c r="K7281"/>
      <c r="O7281"/>
      <c r="R7281"/>
      <c r="W7281" s="4"/>
      <c r="X7281" s="4"/>
      <c r="Y7281" s="4"/>
    </row>
    <row r="7282" spans="5:25">
      <c r="E7282"/>
      <c r="G7282"/>
      <c r="H7282"/>
      <c r="I7282"/>
      <c r="K7282"/>
      <c r="O7282"/>
      <c r="R7282"/>
      <c r="W7282" s="4"/>
      <c r="X7282" s="4"/>
      <c r="Y7282" s="4"/>
    </row>
    <row r="7283" spans="5:25">
      <c r="E7283"/>
      <c r="G7283"/>
      <c r="H7283"/>
      <c r="I7283"/>
      <c r="K7283"/>
      <c r="O7283"/>
      <c r="R7283"/>
      <c r="W7283" s="4"/>
      <c r="X7283" s="4"/>
      <c r="Y7283" s="4"/>
    </row>
    <row r="7284" spans="5:25">
      <c r="E7284"/>
      <c r="G7284"/>
      <c r="H7284"/>
      <c r="I7284"/>
      <c r="K7284"/>
      <c r="O7284"/>
      <c r="R7284"/>
      <c r="W7284" s="4"/>
      <c r="X7284" s="4"/>
      <c r="Y7284" s="4"/>
    </row>
    <row r="7285" spans="5:25">
      <c r="E7285"/>
      <c r="G7285"/>
      <c r="H7285"/>
      <c r="I7285"/>
      <c r="K7285"/>
      <c r="O7285"/>
      <c r="R7285"/>
      <c r="W7285" s="4"/>
      <c r="X7285" s="4"/>
      <c r="Y7285" s="4"/>
    </row>
    <row r="7286" spans="5:25">
      <c r="E7286"/>
      <c r="G7286"/>
      <c r="H7286"/>
      <c r="I7286"/>
      <c r="K7286"/>
      <c r="O7286"/>
      <c r="R7286"/>
      <c r="W7286" s="4"/>
      <c r="X7286" s="4"/>
      <c r="Y7286" s="4"/>
    </row>
    <row r="7287" spans="5:25">
      <c r="E7287"/>
      <c r="G7287"/>
      <c r="H7287"/>
      <c r="I7287"/>
      <c r="K7287"/>
      <c r="O7287"/>
      <c r="R7287"/>
      <c r="W7287" s="4"/>
      <c r="X7287" s="4"/>
      <c r="Y7287" s="4"/>
    </row>
    <row r="7288" spans="5:25">
      <c r="E7288"/>
      <c r="G7288"/>
      <c r="H7288"/>
      <c r="I7288"/>
      <c r="K7288"/>
      <c r="O7288"/>
      <c r="R7288"/>
      <c r="W7288" s="4"/>
      <c r="X7288" s="4"/>
      <c r="Y7288" s="4"/>
    </row>
    <row r="7289" spans="5:25">
      <c r="E7289"/>
      <c r="G7289"/>
      <c r="H7289"/>
      <c r="I7289"/>
      <c r="K7289"/>
      <c r="O7289"/>
      <c r="R7289"/>
      <c r="W7289" s="4"/>
      <c r="X7289" s="4"/>
      <c r="Y7289" s="4"/>
    </row>
    <row r="7290" spans="5:25">
      <c r="E7290"/>
      <c r="G7290"/>
      <c r="H7290"/>
      <c r="I7290"/>
      <c r="K7290"/>
      <c r="O7290"/>
      <c r="R7290"/>
      <c r="W7290" s="4"/>
      <c r="X7290" s="4"/>
      <c r="Y7290" s="4"/>
    </row>
    <row r="7291" spans="5:25">
      <c r="E7291"/>
      <c r="G7291"/>
      <c r="H7291"/>
      <c r="I7291"/>
      <c r="K7291"/>
      <c r="O7291"/>
      <c r="R7291"/>
      <c r="W7291" s="4"/>
      <c r="X7291" s="4"/>
      <c r="Y7291" s="4"/>
    </row>
    <row r="7292" spans="5:25">
      <c r="E7292"/>
      <c r="G7292"/>
      <c r="H7292"/>
      <c r="I7292"/>
      <c r="K7292"/>
      <c r="O7292"/>
      <c r="R7292"/>
      <c r="W7292" s="4"/>
      <c r="X7292" s="4"/>
      <c r="Y7292" s="4"/>
    </row>
    <row r="7293" spans="5:25">
      <c r="E7293"/>
      <c r="G7293"/>
      <c r="H7293"/>
      <c r="I7293"/>
      <c r="K7293"/>
      <c r="O7293"/>
      <c r="R7293"/>
      <c r="W7293" s="4"/>
      <c r="X7293" s="4"/>
      <c r="Y7293" s="4"/>
    </row>
    <row r="7294" spans="5:25">
      <c r="E7294"/>
      <c r="G7294"/>
      <c r="H7294"/>
      <c r="I7294"/>
      <c r="K7294"/>
      <c r="O7294"/>
      <c r="R7294"/>
      <c r="W7294" s="4"/>
      <c r="X7294" s="4"/>
      <c r="Y7294" s="4"/>
    </row>
    <row r="7295" spans="5:25">
      <c r="E7295"/>
      <c r="G7295"/>
      <c r="H7295"/>
      <c r="I7295"/>
      <c r="K7295"/>
      <c r="O7295"/>
      <c r="R7295"/>
      <c r="W7295" s="4"/>
      <c r="X7295" s="4"/>
      <c r="Y7295" s="4"/>
    </row>
    <row r="7296" spans="5:25">
      <c r="E7296"/>
      <c r="G7296"/>
      <c r="H7296"/>
      <c r="I7296"/>
      <c r="K7296"/>
      <c r="O7296"/>
      <c r="R7296"/>
      <c r="W7296" s="4"/>
      <c r="X7296" s="4"/>
      <c r="Y7296" s="4"/>
    </row>
    <row r="7297" spans="5:25">
      <c r="E7297"/>
      <c r="G7297"/>
      <c r="H7297"/>
      <c r="I7297"/>
      <c r="K7297"/>
      <c r="O7297"/>
      <c r="R7297"/>
      <c r="W7297" s="4"/>
      <c r="X7297" s="4"/>
      <c r="Y7297" s="4"/>
    </row>
    <row r="7298" spans="5:25">
      <c r="E7298"/>
      <c r="G7298"/>
      <c r="H7298"/>
      <c r="I7298"/>
      <c r="K7298"/>
      <c r="O7298"/>
      <c r="R7298"/>
      <c r="W7298" s="4"/>
      <c r="X7298" s="4"/>
      <c r="Y7298" s="4"/>
    </row>
    <row r="7299" spans="5:25">
      <c r="E7299"/>
      <c r="G7299"/>
      <c r="H7299"/>
      <c r="I7299"/>
      <c r="K7299"/>
      <c r="O7299"/>
      <c r="R7299"/>
      <c r="W7299" s="4"/>
      <c r="X7299" s="4"/>
      <c r="Y7299" s="4"/>
    </row>
    <row r="7300" spans="5:25">
      <c r="E7300"/>
      <c r="G7300"/>
      <c r="H7300"/>
      <c r="I7300"/>
      <c r="K7300"/>
      <c r="O7300"/>
      <c r="R7300"/>
      <c r="W7300" s="4"/>
      <c r="X7300" s="4"/>
      <c r="Y7300" s="4"/>
    </row>
    <row r="7301" spans="5:25">
      <c r="E7301"/>
      <c r="G7301"/>
      <c r="H7301"/>
      <c r="I7301"/>
      <c r="K7301"/>
      <c r="O7301"/>
      <c r="R7301"/>
      <c r="W7301" s="4"/>
      <c r="X7301" s="4"/>
      <c r="Y7301" s="4"/>
    </row>
    <row r="7302" spans="5:25">
      <c r="E7302"/>
      <c r="G7302"/>
      <c r="H7302"/>
      <c r="I7302"/>
      <c r="K7302"/>
      <c r="O7302"/>
      <c r="R7302"/>
      <c r="W7302" s="4"/>
      <c r="X7302" s="4"/>
      <c r="Y7302" s="4"/>
    </row>
    <row r="7303" spans="5:25">
      <c r="E7303"/>
      <c r="G7303"/>
      <c r="H7303"/>
      <c r="I7303"/>
      <c r="K7303"/>
      <c r="O7303"/>
      <c r="R7303"/>
      <c r="W7303" s="4"/>
      <c r="X7303" s="4"/>
      <c r="Y7303" s="4"/>
    </row>
    <row r="7304" spans="5:25">
      <c r="E7304"/>
      <c r="G7304"/>
      <c r="H7304"/>
      <c r="I7304"/>
      <c r="K7304"/>
      <c r="O7304"/>
      <c r="R7304"/>
      <c r="W7304" s="4"/>
      <c r="X7304" s="4"/>
      <c r="Y7304" s="4"/>
    </row>
    <row r="7305" spans="5:25">
      <c r="E7305"/>
      <c r="G7305"/>
      <c r="H7305"/>
      <c r="I7305"/>
      <c r="K7305"/>
      <c r="O7305"/>
      <c r="R7305"/>
      <c r="W7305" s="4"/>
      <c r="X7305" s="4"/>
      <c r="Y7305" s="4"/>
    </row>
    <row r="7306" spans="5:25">
      <c r="E7306"/>
      <c r="G7306"/>
      <c r="H7306"/>
      <c r="I7306"/>
      <c r="K7306"/>
      <c r="O7306"/>
      <c r="R7306"/>
      <c r="W7306" s="4"/>
      <c r="X7306" s="4"/>
      <c r="Y7306" s="4"/>
    </row>
    <row r="7307" spans="5:25">
      <c r="E7307"/>
      <c r="G7307"/>
      <c r="H7307"/>
      <c r="I7307"/>
      <c r="K7307"/>
      <c r="O7307"/>
      <c r="R7307"/>
      <c r="W7307" s="4"/>
      <c r="X7307" s="4"/>
      <c r="Y7307" s="4"/>
    </row>
    <row r="7308" spans="5:25">
      <c r="E7308"/>
      <c r="G7308"/>
      <c r="H7308"/>
      <c r="I7308"/>
      <c r="K7308"/>
      <c r="O7308"/>
      <c r="R7308"/>
      <c r="W7308" s="4"/>
      <c r="X7308" s="4"/>
      <c r="Y7308" s="4"/>
    </row>
    <row r="7309" spans="5:25">
      <c r="E7309"/>
      <c r="G7309"/>
      <c r="H7309"/>
      <c r="I7309"/>
      <c r="K7309"/>
      <c r="O7309"/>
      <c r="R7309"/>
      <c r="W7309" s="4"/>
      <c r="X7309" s="4"/>
      <c r="Y7309" s="4"/>
    </row>
    <row r="7310" spans="5:25">
      <c r="E7310"/>
      <c r="G7310"/>
      <c r="H7310"/>
      <c r="I7310"/>
      <c r="K7310"/>
      <c r="O7310"/>
      <c r="R7310"/>
      <c r="W7310" s="4"/>
      <c r="X7310" s="4"/>
      <c r="Y7310" s="4"/>
    </row>
    <row r="7311" spans="5:25">
      <c r="E7311"/>
      <c r="G7311"/>
      <c r="H7311"/>
      <c r="I7311"/>
      <c r="K7311"/>
      <c r="O7311"/>
      <c r="R7311"/>
      <c r="W7311" s="4"/>
      <c r="X7311" s="4"/>
      <c r="Y7311" s="4"/>
    </row>
    <row r="7312" spans="5:25">
      <c r="E7312"/>
      <c r="G7312"/>
      <c r="H7312"/>
      <c r="I7312"/>
      <c r="K7312"/>
      <c r="O7312"/>
      <c r="R7312"/>
      <c r="W7312" s="4"/>
      <c r="X7312" s="4"/>
      <c r="Y7312" s="4"/>
    </row>
    <row r="7313" spans="5:25">
      <c r="E7313"/>
      <c r="G7313"/>
      <c r="H7313"/>
      <c r="I7313"/>
      <c r="K7313"/>
      <c r="O7313"/>
      <c r="R7313"/>
      <c r="W7313" s="4"/>
      <c r="X7313" s="4"/>
      <c r="Y7313" s="4"/>
    </row>
    <row r="7314" spans="5:25">
      <c r="E7314"/>
      <c r="G7314"/>
      <c r="H7314"/>
      <c r="I7314"/>
      <c r="K7314"/>
      <c r="O7314"/>
      <c r="R7314"/>
      <c r="W7314" s="4"/>
      <c r="X7314" s="4"/>
      <c r="Y7314" s="4"/>
    </row>
    <row r="7315" spans="5:25">
      <c r="E7315"/>
      <c r="G7315"/>
      <c r="H7315"/>
      <c r="I7315"/>
      <c r="K7315"/>
      <c r="O7315"/>
      <c r="R7315"/>
      <c r="W7315" s="4"/>
      <c r="X7315" s="4"/>
      <c r="Y7315" s="4"/>
    </row>
    <row r="7316" spans="5:25">
      <c r="E7316"/>
      <c r="G7316"/>
      <c r="H7316"/>
      <c r="I7316"/>
      <c r="K7316"/>
      <c r="O7316"/>
      <c r="R7316"/>
      <c r="W7316" s="4"/>
      <c r="X7316" s="4"/>
      <c r="Y7316" s="4"/>
    </row>
    <row r="7317" spans="5:25">
      <c r="E7317"/>
      <c r="G7317"/>
      <c r="H7317"/>
      <c r="I7317"/>
      <c r="K7317"/>
      <c r="O7317"/>
      <c r="R7317"/>
      <c r="W7317" s="4"/>
      <c r="X7317" s="4"/>
      <c r="Y7317" s="4"/>
    </row>
    <row r="7318" spans="5:25">
      <c r="E7318"/>
      <c r="G7318"/>
      <c r="H7318"/>
      <c r="I7318"/>
      <c r="K7318"/>
      <c r="O7318"/>
      <c r="R7318"/>
      <c r="W7318" s="4"/>
      <c r="X7318" s="4"/>
      <c r="Y7318" s="4"/>
    </row>
    <row r="7319" spans="5:25">
      <c r="E7319"/>
      <c r="G7319"/>
      <c r="H7319"/>
      <c r="I7319"/>
      <c r="K7319"/>
      <c r="O7319"/>
      <c r="R7319"/>
      <c r="W7319" s="4"/>
      <c r="X7319" s="4"/>
      <c r="Y7319" s="4"/>
    </row>
    <row r="7320" spans="5:25">
      <c r="E7320"/>
      <c r="G7320"/>
      <c r="H7320"/>
      <c r="I7320"/>
      <c r="K7320"/>
      <c r="O7320"/>
      <c r="R7320"/>
      <c r="W7320" s="4"/>
      <c r="X7320" s="4"/>
      <c r="Y7320" s="4"/>
    </row>
    <row r="7321" spans="5:25">
      <c r="E7321"/>
      <c r="G7321"/>
      <c r="H7321"/>
      <c r="I7321"/>
      <c r="K7321"/>
      <c r="O7321"/>
      <c r="R7321"/>
      <c r="W7321" s="4"/>
      <c r="X7321" s="4"/>
      <c r="Y7321" s="4"/>
    </row>
    <row r="7322" spans="5:25">
      <c r="E7322"/>
      <c r="G7322"/>
      <c r="H7322"/>
      <c r="I7322"/>
      <c r="K7322"/>
      <c r="O7322"/>
      <c r="R7322"/>
      <c r="W7322" s="4"/>
      <c r="X7322" s="4"/>
      <c r="Y7322" s="4"/>
    </row>
    <row r="7323" spans="5:25">
      <c r="E7323"/>
      <c r="G7323"/>
      <c r="H7323"/>
      <c r="I7323"/>
      <c r="K7323"/>
      <c r="O7323"/>
      <c r="R7323"/>
      <c r="W7323" s="4"/>
      <c r="X7323" s="4"/>
      <c r="Y7323" s="4"/>
    </row>
    <row r="7324" spans="5:25">
      <c r="E7324"/>
      <c r="G7324"/>
      <c r="H7324"/>
      <c r="I7324"/>
      <c r="K7324"/>
      <c r="O7324"/>
      <c r="R7324"/>
      <c r="W7324" s="4"/>
      <c r="X7324" s="4"/>
      <c r="Y7324" s="4"/>
    </row>
    <row r="7325" spans="5:25">
      <c r="E7325"/>
      <c r="G7325"/>
      <c r="H7325"/>
      <c r="I7325"/>
      <c r="K7325"/>
      <c r="O7325"/>
      <c r="R7325"/>
      <c r="W7325" s="4"/>
      <c r="X7325" s="4"/>
      <c r="Y7325" s="4"/>
    </row>
    <row r="7326" spans="5:25">
      <c r="E7326"/>
      <c r="G7326"/>
      <c r="H7326"/>
      <c r="I7326"/>
      <c r="K7326"/>
      <c r="O7326"/>
      <c r="R7326"/>
      <c r="W7326" s="4"/>
      <c r="X7326" s="4"/>
      <c r="Y7326" s="4"/>
    </row>
    <row r="7327" spans="5:25">
      <c r="E7327"/>
      <c r="G7327"/>
      <c r="H7327"/>
      <c r="I7327"/>
      <c r="K7327"/>
      <c r="O7327"/>
      <c r="R7327"/>
      <c r="W7327" s="4"/>
      <c r="X7327" s="4"/>
      <c r="Y7327" s="4"/>
    </row>
    <row r="7328" spans="5:25">
      <c r="E7328"/>
      <c r="G7328"/>
      <c r="H7328"/>
      <c r="I7328"/>
      <c r="K7328"/>
      <c r="O7328"/>
      <c r="R7328"/>
      <c r="W7328" s="4"/>
      <c r="X7328" s="4"/>
      <c r="Y7328" s="4"/>
    </row>
    <row r="7329" spans="5:25">
      <c r="E7329"/>
      <c r="G7329"/>
      <c r="H7329"/>
      <c r="I7329"/>
      <c r="K7329"/>
      <c r="O7329"/>
      <c r="R7329"/>
      <c r="W7329" s="4"/>
      <c r="X7329" s="4"/>
      <c r="Y7329" s="4"/>
    </row>
    <row r="7330" spans="5:25">
      <c r="E7330"/>
      <c r="G7330"/>
      <c r="H7330"/>
      <c r="I7330"/>
      <c r="K7330"/>
      <c r="O7330"/>
      <c r="R7330"/>
      <c r="W7330" s="4"/>
      <c r="X7330" s="4"/>
      <c r="Y7330" s="4"/>
    </row>
    <row r="7331" spans="5:25">
      <c r="E7331"/>
      <c r="G7331"/>
      <c r="H7331"/>
      <c r="I7331"/>
      <c r="K7331"/>
      <c r="O7331"/>
      <c r="R7331"/>
      <c r="W7331" s="4"/>
      <c r="X7331" s="4"/>
      <c r="Y7331" s="4"/>
    </row>
    <row r="7332" spans="5:25">
      <c r="E7332"/>
      <c r="G7332"/>
      <c r="H7332"/>
      <c r="I7332"/>
      <c r="K7332"/>
      <c r="O7332"/>
      <c r="R7332"/>
      <c r="W7332" s="4"/>
      <c r="X7332" s="4"/>
      <c r="Y7332" s="4"/>
    </row>
    <row r="7333" spans="5:25">
      <c r="E7333"/>
      <c r="G7333"/>
      <c r="H7333"/>
      <c r="I7333"/>
      <c r="K7333"/>
      <c r="O7333"/>
      <c r="R7333"/>
      <c r="W7333" s="4"/>
      <c r="X7333" s="4"/>
      <c r="Y7333" s="4"/>
    </row>
    <row r="7334" spans="5:25">
      <c r="E7334"/>
      <c r="G7334"/>
      <c r="H7334"/>
      <c r="I7334"/>
      <c r="K7334"/>
      <c r="O7334"/>
      <c r="R7334"/>
      <c r="W7334" s="4"/>
      <c r="X7334" s="4"/>
      <c r="Y7334" s="4"/>
    </row>
    <row r="7335" spans="5:25">
      <c r="E7335"/>
      <c r="G7335"/>
      <c r="H7335"/>
      <c r="I7335"/>
      <c r="K7335"/>
      <c r="O7335"/>
      <c r="R7335"/>
      <c r="W7335" s="4"/>
      <c r="X7335" s="4"/>
      <c r="Y7335" s="4"/>
    </row>
    <row r="7336" spans="5:25">
      <c r="E7336"/>
      <c r="G7336"/>
      <c r="H7336"/>
      <c r="I7336"/>
      <c r="K7336"/>
      <c r="O7336"/>
      <c r="R7336"/>
      <c r="W7336" s="4"/>
      <c r="X7336" s="4"/>
      <c r="Y7336" s="4"/>
    </row>
    <row r="7337" spans="5:25">
      <c r="E7337"/>
      <c r="G7337"/>
      <c r="H7337"/>
      <c r="I7337"/>
      <c r="K7337"/>
      <c r="O7337"/>
      <c r="R7337"/>
      <c r="W7337" s="4"/>
      <c r="X7337" s="4"/>
      <c r="Y7337" s="4"/>
    </row>
    <row r="7338" spans="5:25">
      <c r="E7338"/>
      <c r="G7338"/>
      <c r="H7338"/>
      <c r="I7338"/>
      <c r="K7338"/>
      <c r="O7338"/>
      <c r="R7338"/>
      <c r="W7338" s="4"/>
      <c r="X7338" s="4"/>
      <c r="Y7338" s="4"/>
    </row>
    <row r="7339" spans="5:25">
      <c r="E7339"/>
      <c r="G7339"/>
      <c r="H7339"/>
      <c r="I7339"/>
      <c r="K7339"/>
      <c r="O7339"/>
      <c r="R7339"/>
      <c r="W7339" s="4"/>
      <c r="X7339" s="4"/>
      <c r="Y7339" s="4"/>
    </row>
    <row r="7340" spans="5:25">
      <c r="E7340"/>
      <c r="G7340"/>
      <c r="H7340"/>
      <c r="I7340"/>
      <c r="K7340"/>
      <c r="O7340"/>
      <c r="R7340"/>
      <c r="W7340" s="4"/>
      <c r="X7340" s="4"/>
      <c r="Y7340" s="4"/>
    </row>
    <row r="7341" spans="5:25">
      <c r="E7341"/>
      <c r="G7341"/>
      <c r="H7341"/>
      <c r="I7341"/>
      <c r="K7341"/>
      <c r="O7341"/>
      <c r="R7341"/>
      <c r="W7341" s="4"/>
      <c r="X7341" s="4"/>
      <c r="Y7341" s="4"/>
    </row>
    <row r="7342" spans="5:25">
      <c r="E7342"/>
      <c r="G7342"/>
      <c r="H7342"/>
      <c r="I7342"/>
      <c r="K7342"/>
      <c r="O7342"/>
      <c r="R7342"/>
      <c r="W7342" s="4"/>
      <c r="X7342" s="4"/>
      <c r="Y7342" s="4"/>
    </row>
    <row r="7343" spans="5:25">
      <c r="E7343"/>
      <c r="G7343"/>
      <c r="H7343"/>
      <c r="I7343"/>
      <c r="K7343"/>
      <c r="O7343"/>
      <c r="R7343"/>
      <c r="W7343" s="4"/>
      <c r="X7343" s="4"/>
      <c r="Y7343" s="4"/>
    </row>
    <row r="7344" spans="5:25">
      <c r="E7344"/>
      <c r="G7344"/>
      <c r="H7344"/>
      <c r="I7344"/>
      <c r="K7344"/>
      <c r="O7344"/>
      <c r="R7344"/>
      <c r="W7344" s="4"/>
      <c r="X7344" s="4"/>
      <c r="Y7344" s="4"/>
    </row>
    <row r="7345" spans="5:25">
      <c r="E7345"/>
      <c r="G7345"/>
      <c r="H7345"/>
      <c r="I7345"/>
      <c r="K7345"/>
      <c r="O7345"/>
      <c r="R7345"/>
      <c r="W7345" s="4"/>
      <c r="X7345" s="4"/>
      <c r="Y7345" s="4"/>
    </row>
    <row r="7346" spans="5:25">
      <c r="E7346"/>
      <c r="G7346"/>
      <c r="H7346"/>
      <c r="I7346"/>
      <c r="K7346"/>
      <c r="O7346"/>
      <c r="R7346"/>
      <c r="W7346" s="4"/>
      <c r="X7346" s="4"/>
      <c r="Y7346" s="4"/>
    </row>
    <row r="7347" spans="5:25">
      <c r="E7347"/>
      <c r="G7347"/>
      <c r="H7347"/>
      <c r="I7347"/>
      <c r="K7347"/>
      <c r="O7347"/>
      <c r="R7347"/>
      <c r="W7347" s="4"/>
      <c r="X7347" s="4"/>
      <c r="Y7347" s="4"/>
    </row>
    <row r="7348" spans="5:25">
      <c r="E7348"/>
      <c r="G7348"/>
      <c r="H7348"/>
      <c r="I7348"/>
      <c r="K7348"/>
      <c r="O7348"/>
      <c r="R7348"/>
      <c r="W7348" s="4"/>
      <c r="X7348" s="4"/>
      <c r="Y7348" s="4"/>
    </row>
    <row r="7349" spans="5:25">
      <c r="E7349"/>
      <c r="G7349"/>
      <c r="H7349"/>
      <c r="I7349"/>
      <c r="K7349"/>
      <c r="O7349"/>
      <c r="R7349"/>
      <c r="W7349" s="4"/>
      <c r="X7349" s="4"/>
      <c r="Y7349" s="4"/>
    </row>
    <row r="7350" spans="5:25">
      <c r="E7350"/>
      <c r="G7350"/>
      <c r="H7350"/>
      <c r="I7350"/>
      <c r="K7350"/>
      <c r="O7350"/>
      <c r="R7350"/>
      <c r="W7350" s="4"/>
      <c r="X7350" s="4"/>
      <c r="Y7350" s="4"/>
    </row>
    <row r="7351" spans="5:25">
      <c r="E7351"/>
      <c r="G7351"/>
      <c r="H7351"/>
      <c r="I7351"/>
      <c r="K7351"/>
      <c r="O7351"/>
      <c r="R7351"/>
      <c r="W7351" s="4"/>
      <c r="X7351" s="4"/>
      <c r="Y7351" s="4"/>
    </row>
    <row r="7352" spans="5:25">
      <c r="E7352"/>
      <c r="G7352"/>
      <c r="H7352"/>
      <c r="I7352"/>
      <c r="K7352"/>
      <c r="O7352"/>
      <c r="R7352"/>
      <c r="W7352" s="4"/>
      <c r="X7352" s="4"/>
      <c r="Y7352" s="4"/>
    </row>
    <row r="7353" spans="5:25">
      <c r="E7353"/>
      <c r="G7353"/>
      <c r="H7353"/>
      <c r="I7353"/>
      <c r="K7353"/>
      <c r="O7353"/>
      <c r="R7353"/>
      <c r="W7353" s="4"/>
      <c r="X7353" s="4"/>
      <c r="Y7353" s="4"/>
    </row>
    <row r="7354" spans="5:25">
      <c r="E7354"/>
      <c r="G7354"/>
      <c r="H7354"/>
      <c r="I7354"/>
      <c r="K7354"/>
      <c r="O7354"/>
      <c r="R7354"/>
      <c r="W7354" s="4"/>
      <c r="X7354" s="4"/>
      <c r="Y7354" s="4"/>
    </row>
    <row r="7355" spans="5:25">
      <c r="E7355"/>
      <c r="G7355"/>
      <c r="H7355"/>
      <c r="I7355"/>
      <c r="K7355"/>
      <c r="O7355"/>
      <c r="R7355"/>
      <c r="W7355" s="4"/>
      <c r="X7355" s="4"/>
      <c r="Y7355" s="4"/>
    </row>
    <row r="7356" spans="5:25">
      <c r="E7356"/>
      <c r="G7356"/>
      <c r="H7356"/>
      <c r="I7356"/>
      <c r="K7356"/>
      <c r="O7356"/>
      <c r="R7356"/>
      <c r="W7356" s="4"/>
      <c r="X7356" s="4"/>
      <c r="Y7356" s="4"/>
    </row>
    <row r="7357" spans="5:25">
      <c r="E7357"/>
      <c r="G7357"/>
      <c r="H7357"/>
      <c r="I7357"/>
      <c r="K7357"/>
      <c r="O7357"/>
      <c r="R7357"/>
      <c r="W7357" s="4"/>
      <c r="X7357" s="4"/>
      <c r="Y7357" s="4"/>
    </row>
    <row r="7358" spans="5:25">
      <c r="E7358"/>
      <c r="G7358"/>
      <c r="H7358"/>
      <c r="I7358"/>
      <c r="K7358"/>
      <c r="O7358"/>
      <c r="R7358"/>
      <c r="W7358" s="4"/>
      <c r="X7358" s="4"/>
      <c r="Y7358" s="4"/>
    </row>
    <row r="7359" spans="5:25">
      <c r="E7359"/>
      <c r="G7359"/>
      <c r="H7359"/>
      <c r="I7359"/>
      <c r="K7359"/>
      <c r="O7359"/>
      <c r="R7359"/>
      <c r="W7359" s="4"/>
      <c r="X7359" s="4"/>
      <c r="Y7359" s="4"/>
    </row>
    <row r="7360" spans="5:25">
      <c r="E7360"/>
      <c r="G7360"/>
      <c r="H7360"/>
      <c r="I7360"/>
      <c r="K7360"/>
      <c r="O7360"/>
      <c r="R7360"/>
      <c r="W7360" s="4"/>
      <c r="X7360" s="4"/>
      <c r="Y7360" s="4"/>
    </row>
    <row r="7361" spans="5:25">
      <c r="E7361"/>
      <c r="G7361"/>
      <c r="H7361"/>
      <c r="I7361"/>
      <c r="K7361"/>
      <c r="O7361"/>
      <c r="R7361"/>
      <c r="W7361" s="4"/>
      <c r="X7361" s="4"/>
      <c r="Y7361" s="4"/>
    </row>
    <row r="7362" spans="5:25">
      <c r="E7362"/>
      <c r="G7362"/>
      <c r="H7362"/>
      <c r="I7362"/>
      <c r="K7362"/>
      <c r="O7362"/>
      <c r="R7362"/>
      <c r="W7362" s="4"/>
      <c r="X7362" s="4"/>
      <c r="Y7362" s="4"/>
    </row>
    <row r="7363" spans="5:25">
      <c r="E7363"/>
      <c r="G7363"/>
      <c r="H7363"/>
      <c r="I7363"/>
      <c r="K7363"/>
      <c r="O7363"/>
      <c r="R7363"/>
      <c r="W7363" s="4"/>
      <c r="X7363" s="4"/>
      <c r="Y7363" s="4"/>
    </row>
    <row r="7364" spans="5:25">
      <c r="E7364"/>
      <c r="G7364"/>
      <c r="H7364"/>
      <c r="I7364"/>
      <c r="K7364"/>
      <c r="O7364"/>
      <c r="R7364"/>
      <c r="W7364" s="4"/>
      <c r="X7364" s="4"/>
      <c r="Y7364" s="4"/>
    </row>
    <row r="7365" spans="5:25">
      <c r="E7365"/>
      <c r="G7365"/>
      <c r="H7365"/>
      <c r="I7365"/>
      <c r="K7365"/>
      <c r="O7365"/>
      <c r="R7365"/>
      <c r="W7365" s="4"/>
      <c r="X7365" s="4"/>
      <c r="Y7365" s="4"/>
    </row>
    <row r="7366" spans="5:25">
      <c r="E7366"/>
      <c r="G7366"/>
      <c r="H7366"/>
      <c r="I7366"/>
      <c r="K7366"/>
      <c r="O7366"/>
      <c r="R7366"/>
      <c r="W7366" s="4"/>
      <c r="X7366" s="4"/>
      <c r="Y7366" s="4"/>
    </row>
    <row r="7367" spans="5:25">
      <c r="E7367"/>
      <c r="G7367"/>
      <c r="H7367"/>
      <c r="I7367"/>
      <c r="K7367"/>
      <c r="O7367"/>
      <c r="R7367"/>
      <c r="W7367" s="4"/>
      <c r="X7367" s="4"/>
      <c r="Y7367" s="4"/>
    </row>
    <row r="7368" spans="5:25">
      <c r="E7368"/>
      <c r="G7368"/>
      <c r="H7368"/>
      <c r="I7368"/>
      <c r="K7368"/>
      <c r="O7368"/>
      <c r="R7368"/>
      <c r="W7368" s="4"/>
      <c r="X7368" s="4"/>
      <c r="Y7368" s="4"/>
    </row>
    <row r="7369" spans="5:25">
      <c r="E7369"/>
      <c r="G7369"/>
      <c r="H7369"/>
      <c r="I7369"/>
      <c r="K7369"/>
      <c r="O7369"/>
      <c r="R7369"/>
      <c r="W7369" s="4"/>
      <c r="X7369" s="4"/>
      <c r="Y7369" s="4"/>
    </row>
    <row r="7370" spans="5:25">
      <c r="E7370"/>
      <c r="G7370"/>
      <c r="H7370"/>
      <c r="I7370"/>
      <c r="K7370"/>
      <c r="O7370"/>
      <c r="R7370"/>
      <c r="W7370" s="4"/>
      <c r="X7370" s="4"/>
      <c r="Y7370" s="4"/>
    </row>
    <row r="7371" spans="5:25">
      <c r="E7371"/>
      <c r="G7371"/>
      <c r="H7371"/>
      <c r="I7371"/>
      <c r="K7371"/>
      <c r="O7371"/>
      <c r="R7371"/>
      <c r="W7371" s="4"/>
      <c r="X7371" s="4"/>
      <c r="Y7371" s="4"/>
    </row>
    <row r="7372" spans="5:25">
      <c r="E7372"/>
      <c r="G7372"/>
      <c r="H7372"/>
      <c r="I7372"/>
      <c r="K7372"/>
      <c r="O7372"/>
      <c r="R7372"/>
      <c r="W7372" s="4"/>
      <c r="X7372" s="4"/>
      <c r="Y7372" s="4"/>
    </row>
    <row r="7373" spans="5:25">
      <c r="E7373"/>
      <c r="G7373"/>
      <c r="H7373"/>
      <c r="I7373"/>
      <c r="K7373"/>
      <c r="O7373"/>
      <c r="R7373"/>
      <c r="W7373" s="4"/>
      <c r="X7373" s="4"/>
      <c r="Y7373" s="4"/>
    </row>
    <row r="7374" spans="5:25">
      <c r="E7374"/>
      <c r="G7374"/>
      <c r="H7374"/>
      <c r="I7374"/>
      <c r="K7374"/>
      <c r="O7374"/>
      <c r="R7374"/>
      <c r="W7374" s="4"/>
      <c r="X7374" s="4"/>
      <c r="Y7374" s="4"/>
    </row>
    <row r="7375" spans="5:25">
      <c r="E7375"/>
      <c r="G7375"/>
      <c r="H7375"/>
      <c r="I7375"/>
      <c r="K7375"/>
      <c r="O7375"/>
      <c r="R7375"/>
      <c r="W7375" s="4"/>
      <c r="X7375" s="4"/>
      <c r="Y7375" s="4"/>
    </row>
    <row r="7376" spans="5:25">
      <c r="E7376"/>
      <c r="G7376"/>
      <c r="H7376"/>
      <c r="I7376"/>
      <c r="K7376"/>
      <c r="O7376"/>
      <c r="R7376"/>
      <c r="W7376" s="4"/>
      <c r="X7376" s="4"/>
      <c r="Y7376" s="4"/>
    </row>
    <row r="7377" spans="5:25">
      <c r="E7377"/>
      <c r="G7377"/>
      <c r="H7377"/>
      <c r="I7377"/>
      <c r="K7377"/>
      <c r="O7377"/>
      <c r="R7377"/>
      <c r="W7377" s="4"/>
      <c r="X7377" s="4"/>
      <c r="Y7377" s="4"/>
    </row>
    <row r="7378" spans="5:25">
      <c r="E7378"/>
      <c r="G7378"/>
      <c r="H7378"/>
      <c r="I7378"/>
      <c r="K7378"/>
      <c r="O7378"/>
      <c r="R7378"/>
      <c r="W7378" s="4"/>
      <c r="X7378" s="4"/>
      <c r="Y7378" s="4"/>
    </row>
    <row r="7379" spans="5:25">
      <c r="E7379"/>
      <c r="G7379"/>
      <c r="H7379"/>
      <c r="I7379"/>
      <c r="K7379"/>
      <c r="O7379"/>
      <c r="R7379"/>
      <c r="W7379" s="4"/>
      <c r="X7379" s="4"/>
      <c r="Y7379" s="4"/>
    </row>
    <row r="7380" spans="5:25">
      <c r="E7380"/>
      <c r="G7380"/>
      <c r="H7380"/>
      <c r="I7380"/>
      <c r="K7380"/>
      <c r="O7380"/>
      <c r="R7380"/>
      <c r="W7380" s="4"/>
      <c r="X7380" s="4"/>
      <c r="Y7380" s="4"/>
    </row>
    <row r="7381" spans="5:25">
      <c r="E7381"/>
      <c r="G7381"/>
      <c r="H7381"/>
      <c r="I7381"/>
      <c r="K7381"/>
      <c r="O7381"/>
      <c r="R7381"/>
      <c r="W7381" s="4"/>
      <c r="X7381" s="4"/>
      <c r="Y7381" s="4"/>
    </row>
    <row r="7382" spans="5:25">
      <c r="E7382"/>
      <c r="G7382"/>
      <c r="H7382"/>
      <c r="I7382"/>
      <c r="K7382"/>
      <c r="O7382"/>
      <c r="R7382"/>
      <c r="W7382" s="4"/>
      <c r="X7382" s="4"/>
      <c r="Y7382" s="4"/>
    </row>
    <row r="7383" spans="5:25">
      <c r="E7383"/>
      <c r="G7383"/>
      <c r="H7383"/>
      <c r="I7383"/>
      <c r="K7383"/>
      <c r="O7383"/>
      <c r="R7383"/>
      <c r="W7383" s="4"/>
      <c r="X7383" s="4"/>
      <c r="Y7383" s="4"/>
    </row>
    <row r="7384" spans="5:25">
      <c r="E7384"/>
      <c r="G7384"/>
      <c r="H7384"/>
      <c r="I7384"/>
      <c r="K7384"/>
      <c r="O7384"/>
      <c r="R7384"/>
      <c r="W7384" s="4"/>
      <c r="X7384" s="4"/>
      <c r="Y7384" s="4"/>
    </row>
    <row r="7385" spans="5:25">
      <c r="E7385"/>
      <c r="G7385"/>
      <c r="H7385"/>
      <c r="I7385"/>
      <c r="K7385"/>
      <c r="O7385"/>
      <c r="R7385"/>
      <c r="W7385" s="4"/>
      <c r="X7385" s="4"/>
      <c r="Y7385" s="4"/>
    </row>
    <row r="7386" spans="5:25">
      <c r="E7386"/>
      <c r="G7386"/>
      <c r="H7386"/>
      <c r="I7386"/>
      <c r="K7386"/>
      <c r="O7386"/>
      <c r="R7386"/>
      <c r="W7386" s="4"/>
      <c r="X7386" s="4"/>
      <c r="Y7386" s="4"/>
    </row>
    <row r="7387" spans="5:25">
      <c r="E7387"/>
      <c r="G7387"/>
      <c r="H7387"/>
      <c r="I7387"/>
      <c r="K7387"/>
      <c r="O7387"/>
      <c r="R7387"/>
      <c r="W7387" s="4"/>
      <c r="X7387" s="4"/>
      <c r="Y7387" s="4"/>
    </row>
    <row r="7388" spans="5:25">
      <c r="E7388"/>
      <c r="G7388"/>
      <c r="H7388"/>
      <c r="I7388"/>
      <c r="K7388"/>
      <c r="O7388"/>
      <c r="R7388"/>
      <c r="W7388" s="4"/>
      <c r="X7388" s="4"/>
      <c r="Y7388" s="4"/>
    </row>
    <row r="7389" spans="5:25">
      <c r="E7389"/>
      <c r="G7389"/>
      <c r="H7389"/>
      <c r="I7389"/>
      <c r="K7389"/>
      <c r="O7389"/>
      <c r="R7389"/>
      <c r="W7389" s="4"/>
      <c r="X7389" s="4"/>
      <c r="Y7389" s="4"/>
    </row>
    <row r="7390" spans="5:25">
      <c r="E7390"/>
      <c r="G7390"/>
      <c r="H7390"/>
      <c r="I7390"/>
      <c r="K7390"/>
      <c r="O7390"/>
      <c r="R7390"/>
      <c r="W7390" s="4"/>
      <c r="X7390" s="4"/>
      <c r="Y7390" s="4"/>
    </row>
    <row r="7391" spans="5:25">
      <c r="E7391"/>
      <c r="G7391"/>
      <c r="H7391"/>
      <c r="I7391"/>
      <c r="K7391"/>
      <c r="O7391"/>
      <c r="R7391"/>
      <c r="W7391" s="4"/>
      <c r="X7391" s="4"/>
      <c r="Y7391" s="4"/>
    </row>
    <row r="7392" spans="5:25">
      <c r="E7392"/>
      <c r="G7392"/>
      <c r="H7392"/>
      <c r="I7392"/>
      <c r="K7392"/>
      <c r="O7392"/>
      <c r="R7392"/>
      <c r="W7392" s="4"/>
      <c r="X7392" s="4"/>
      <c r="Y7392" s="4"/>
    </row>
    <row r="7393" spans="5:25">
      <c r="E7393"/>
      <c r="G7393"/>
      <c r="H7393"/>
      <c r="I7393"/>
      <c r="K7393"/>
      <c r="O7393"/>
      <c r="R7393"/>
      <c r="W7393" s="4"/>
      <c r="X7393" s="4"/>
      <c r="Y7393" s="4"/>
    </row>
    <row r="7394" spans="5:25">
      <c r="E7394"/>
      <c r="G7394"/>
      <c r="H7394"/>
      <c r="I7394"/>
      <c r="K7394"/>
      <c r="O7394"/>
      <c r="R7394"/>
      <c r="W7394" s="4"/>
      <c r="X7394" s="4"/>
      <c r="Y7394" s="4"/>
    </row>
    <row r="7395" spans="5:25">
      <c r="E7395"/>
      <c r="G7395"/>
      <c r="H7395"/>
      <c r="I7395"/>
      <c r="K7395"/>
      <c r="O7395"/>
      <c r="R7395"/>
      <c r="W7395" s="4"/>
      <c r="X7395" s="4"/>
      <c r="Y7395" s="4"/>
    </row>
    <row r="7396" spans="5:25">
      <c r="E7396"/>
      <c r="G7396"/>
      <c r="H7396"/>
      <c r="I7396"/>
      <c r="K7396"/>
      <c r="O7396"/>
      <c r="R7396"/>
      <c r="W7396" s="4"/>
      <c r="X7396" s="4"/>
      <c r="Y7396" s="4"/>
    </row>
    <row r="7397" spans="5:25">
      <c r="E7397"/>
      <c r="G7397"/>
      <c r="H7397"/>
      <c r="I7397"/>
      <c r="K7397"/>
      <c r="O7397"/>
      <c r="R7397"/>
      <c r="W7397" s="4"/>
      <c r="X7397" s="4"/>
      <c r="Y7397" s="4"/>
    </row>
    <row r="7398" spans="5:25">
      <c r="E7398"/>
      <c r="G7398"/>
      <c r="H7398"/>
      <c r="I7398"/>
      <c r="K7398"/>
      <c r="O7398"/>
      <c r="R7398"/>
      <c r="W7398" s="4"/>
      <c r="X7398" s="4"/>
      <c r="Y7398" s="4"/>
    </row>
    <row r="7399" spans="5:25">
      <c r="E7399"/>
      <c r="G7399"/>
      <c r="H7399"/>
      <c r="I7399"/>
      <c r="K7399"/>
      <c r="O7399"/>
      <c r="R7399"/>
      <c r="W7399" s="4"/>
      <c r="X7399" s="4"/>
      <c r="Y7399" s="4"/>
    </row>
    <row r="7400" spans="5:25">
      <c r="E7400"/>
      <c r="G7400"/>
      <c r="H7400"/>
      <c r="I7400"/>
      <c r="K7400"/>
      <c r="O7400"/>
      <c r="R7400"/>
      <c r="W7400" s="4"/>
      <c r="X7400" s="4"/>
      <c r="Y7400" s="4"/>
    </row>
    <row r="7401" spans="5:25">
      <c r="E7401"/>
      <c r="G7401"/>
      <c r="H7401"/>
      <c r="I7401"/>
      <c r="K7401"/>
      <c r="O7401"/>
      <c r="R7401"/>
      <c r="W7401" s="4"/>
      <c r="X7401" s="4"/>
      <c r="Y7401" s="4"/>
    </row>
    <row r="7402" spans="5:25">
      <c r="E7402"/>
      <c r="G7402"/>
      <c r="H7402"/>
      <c r="I7402"/>
      <c r="K7402"/>
      <c r="O7402"/>
      <c r="R7402"/>
      <c r="W7402" s="4"/>
      <c r="X7402" s="4"/>
      <c r="Y7402" s="4"/>
    </row>
    <row r="7403" spans="5:25">
      <c r="E7403"/>
      <c r="G7403"/>
      <c r="H7403"/>
      <c r="I7403"/>
      <c r="K7403"/>
      <c r="O7403"/>
      <c r="R7403"/>
      <c r="W7403" s="4"/>
      <c r="X7403" s="4"/>
      <c r="Y7403" s="4"/>
    </row>
    <row r="7404" spans="5:25">
      <c r="E7404"/>
      <c r="G7404"/>
      <c r="H7404"/>
      <c r="I7404"/>
      <c r="K7404"/>
      <c r="O7404"/>
      <c r="R7404"/>
      <c r="W7404" s="4"/>
      <c r="X7404" s="4"/>
      <c r="Y7404" s="4"/>
    </row>
    <row r="7405" spans="5:25">
      <c r="E7405"/>
      <c r="G7405"/>
      <c r="H7405"/>
      <c r="I7405"/>
      <c r="K7405"/>
      <c r="O7405"/>
      <c r="R7405"/>
      <c r="W7405" s="4"/>
      <c r="X7405" s="4"/>
      <c r="Y7405" s="4"/>
    </row>
    <row r="7406" spans="5:25">
      <c r="E7406"/>
      <c r="G7406"/>
      <c r="H7406"/>
      <c r="I7406"/>
      <c r="K7406"/>
      <c r="O7406"/>
      <c r="R7406"/>
      <c r="W7406" s="4"/>
      <c r="X7406" s="4"/>
      <c r="Y7406" s="4"/>
    </row>
    <row r="7407" spans="5:25">
      <c r="E7407"/>
      <c r="G7407"/>
      <c r="H7407"/>
      <c r="I7407"/>
      <c r="K7407"/>
      <c r="O7407"/>
      <c r="R7407"/>
      <c r="W7407" s="4"/>
      <c r="X7407" s="4"/>
      <c r="Y7407" s="4"/>
    </row>
    <row r="7408" spans="5:25">
      <c r="E7408"/>
      <c r="G7408"/>
      <c r="H7408"/>
      <c r="I7408"/>
      <c r="K7408"/>
      <c r="O7408"/>
      <c r="R7408"/>
      <c r="W7408" s="4"/>
      <c r="X7408" s="4"/>
      <c r="Y7408" s="4"/>
    </row>
    <row r="7409" spans="5:25">
      <c r="E7409"/>
      <c r="G7409"/>
      <c r="H7409"/>
      <c r="I7409"/>
      <c r="K7409"/>
      <c r="O7409"/>
      <c r="R7409"/>
      <c r="W7409" s="4"/>
      <c r="X7409" s="4"/>
      <c r="Y7409" s="4"/>
    </row>
    <row r="7410" spans="5:25">
      <c r="E7410"/>
      <c r="G7410"/>
      <c r="H7410"/>
      <c r="I7410"/>
      <c r="K7410"/>
      <c r="O7410"/>
      <c r="R7410"/>
      <c r="W7410" s="4"/>
      <c r="X7410" s="4"/>
      <c r="Y7410" s="4"/>
    </row>
    <row r="7411" spans="5:25">
      <c r="E7411"/>
      <c r="G7411"/>
      <c r="H7411"/>
      <c r="I7411"/>
      <c r="K7411"/>
      <c r="O7411"/>
      <c r="R7411"/>
      <c r="W7411" s="4"/>
      <c r="X7411" s="4"/>
      <c r="Y7411" s="4"/>
    </row>
    <row r="7412" spans="5:25">
      <c r="E7412"/>
      <c r="G7412"/>
      <c r="H7412"/>
      <c r="I7412"/>
      <c r="K7412"/>
      <c r="O7412"/>
      <c r="R7412"/>
      <c r="W7412" s="4"/>
      <c r="X7412" s="4"/>
      <c r="Y7412" s="4"/>
    </row>
    <row r="7413" spans="5:25">
      <c r="E7413"/>
      <c r="G7413"/>
      <c r="H7413"/>
      <c r="I7413"/>
      <c r="K7413"/>
      <c r="O7413"/>
      <c r="R7413"/>
      <c r="W7413" s="4"/>
      <c r="X7413" s="4"/>
      <c r="Y7413" s="4"/>
    </row>
    <row r="7414" spans="5:25">
      <c r="E7414"/>
      <c r="G7414"/>
      <c r="H7414"/>
      <c r="I7414"/>
      <c r="K7414"/>
      <c r="O7414"/>
      <c r="R7414"/>
      <c r="W7414" s="4"/>
      <c r="X7414" s="4"/>
      <c r="Y7414" s="4"/>
    </row>
    <row r="7415" spans="5:25">
      <c r="E7415"/>
      <c r="G7415"/>
      <c r="H7415"/>
      <c r="I7415"/>
      <c r="K7415"/>
      <c r="O7415"/>
      <c r="R7415"/>
      <c r="W7415" s="4"/>
      <c r="X7415" s="4"/>
      <c r="Y7415" s="4"/>
    </row>
    <row r="7416" spans="5:25">
      <c r="E7416"/>
      <c r="G7416"/>
      <c r="H7416"/>
      <c r="I7416"/>
      <c r="K7416"/>
      <c r="O7416"/>
      <c r="R7416"/>
      <c r="W7416" s="4"/>
      <c r="X7416" s="4"/>
      <c r="Y7416" s="4"/>
    </row>
    <row r="7417" spans="5:25">
      <c r="E7417"/>
      <c r="G7417"/>
      <c r="H7417"/>
      <c r="I7417"/>
      <c r="K7417"/>
      <c r="O7417"/>
      <c r="R7417"/>
      <c r="W7417" s="4"/>
      <c r="X7417" s="4"/>
      <c r="Y7417" s="4"/>
    </row>
    <row r="7418" spans="5:25">
      <c r="E7418"/>
      <c r="G7418"/>
      <c r="H7418"/>
      <c r="I7418"/>
      <c r="K7418"/>
      <c r="O7418"/>
      <c r="R7418"/>
      <c r="W7418" s="4"/>
      <c r="X7418" s="4"/>
      <c r="Y7418" s="4"/>
    </row>
    <row r="7419" spans="5:25">
      <c r="E7419"/>
      <c r="G7419"/>
      <c r="H7419"/>
      <c r="I7419"/>
      <c r="K7419"/>
      <c r="O7419"/>
      <c r="R7419"/>
      <c r="W7419" s="4"/>
      <c r="X7419" s="4"/>
      <c r="Y7419" s="4"/>
    </row>
    <row r="7420" spans="5:25">
      <c r="E7420"/>
      <c r="G7420"/>
      <c r="H7420"/>
      <c r="I7420"/>
      <c r="K7420"/>
      <c r="O7420"/>
      <c r="R7420"/>
      <c r="W7420" s="4"/>
      <c r="X7420" s="4"/>
      <c r="Y7420" s="4"/>
    </row>
    <row r="7421" spans="5:25">
      <c r="E7421"/>
      <c r="G7421"/>
      <c r="H7421"/>
      <c r="I7421"/>
      <c r="K7421"/>
      <c r="O7421"/>
      <c r="R7421"/>
      <c r="W7421" s="4"/>
      <c r="X7421" s="4"/>
      <c r="Y7421" s="4"/>
    </row>
    <row r="7422" spans="5:25">
      <c r="E7422"/>
      <c r="G7422"/>
      <c r="H7422"/>
      <c r="I7422"/>
      <c r="K7422"/>
      <c r="O7422"/>
      <c r="R7422"/>
      <c r="W7422" s="4"/>
      <c r="X7422" s="4"/>
      <c r="Y7422" s="4"/>
    </row>
    <row r="7423" spans="5:25">
      <c r="E7423"/>
      <c r="G7423"/>
      <c r="H7423"/>
      <c r="I7423"/>
      <c r="K7423"/>
      <c r="O7423"/>
      <c r="R7423"/>
      <c r="W7423" s="4"/>
      <c r="X7423" s="4"/>
      <c r="Y7423" s="4"/>
    </row>
    <row r="7424" spans="5:25">
      <c r="E7424"/>
      <c r="G7424"/>
      <c r="H7424"/>
      <c r="I7424"/>
      <c r="K7424"/>
      <c r="O7424"/>
      <c r="R7424"/>
      <c r="W7424" s="4"/>
      <c r="X7424" s="4"/>
      <c r="Y7424" s="4"/>
    </row>
    <row r="7425" spans="5:25">
      <c r="E7425"/>
      <c r="G7425"/>
      <c r="H7425"/>
      <c r="I7425"/>
      <c r="K7425"/>
      <c r="O7425"/>
      <c r="R7425"/>
      <c r="W7425" s="4"/>
      <c r="X7425" s="4"/>
      <c r="Y7425" s="4"/>
    </row>
    <row r="7426" spans="5:25">
      <c r="E7426"/>
      <c r="G7426"/>
      <c r="H7426"/>
      <c r="I7426"/>
      <c r="K7426"/>
      <c r="O7426"/>
      <c r="R7426"/>
      <c r="W7426" s="4"/>
      <c r="X7426" s="4"/>
      <c r="Y7426" s="4"/>
    </row>
    <row r="7427" spans="5:25">
      <c r="E7427"/>
      <c r="G7427"/>
      <c r="H7427"/>
      <c r="I7427"/>
      <c r="K7427"/>
      <c r="O7427"/>
      <c r="R7427"/>
      <c r="W7427" s="4"/>
      <c r="X7427" s="4"/>
      <c r="Y7427" s="4"/>
    </row>
    <row r="7428" spans="5:25">
      <c r="E7428"/>
      <c r="G7428"/>
      <c r="H7428"/>
      <c r="I7428"/>
      <c r="K7428"/>
      <c r="O7428"/>
      <c r="R7428"/>
      <c r="W7428" s="4"/>
      <c r="X7428" s="4"/>
      <c r="Y7428" s="4"/>
    </row>
    <row r="7429" spans="5:25">
      <c r="E7429"/>
      <c r="G7429"/>
      <c r="H7429"/>
      <c r="I7429"/>
      <c r="K7429"/>
      <c r="O7429"/>
      <c r="R7429"/>
      <c r="W7429" s="4"/>
      <c r="X7429" s="4"/>
      <c r="Y7429" s="4"/>
    </row>
    <row r="7430" spans="5:25">
      <c r="E7430"/>
      <c r="G7430"/>
      <c r="H7430"/>
      <c r="I7430"/>
      <c r="K7430"/>
      <c r="O7430"/>
      <c r="R7430"/>
      <c r="W7430" s="4"/>
      <c r="X7430" s="4"/>
      <c r="Y7430" s="4"/>
    </row>
    <row r="7431" spans="5:25">
      <c r="E7431"/>
      <c r="G7431"/>
      <c r="H7431"/>
      <c r="I7431"/>
      <c r="K7431"/>
      <c r="O7431"/>
      <c r="R7431"/>
      <c r="W7431" s="4"/>
      <c r="X7431" s="4"/>
      <c r="Y7431" s="4"/>
    </row>
    <row r="7432" spans="5:25">
      <c r="E7432"/>
      <c r="G7432"/>
      <c r="H7432"/>
      <c r="I7432"/>
      <c r="K7432"/>
      <c r="O7432"/>
      <c r="R7432"/>
      <c r="W7432" s="4"/>
      <c r="X7432" s="4"/>
      <c r="Y7432" s="4"/>
    </row>
    <row r="7433" spans="5:25">
      <c r="E7433"/>
      <c r="G7433"/>
      <c r="H7433"/>
      <c r="I7433"/>
      <c r="K7433"/>
      <c r="O7433"/>
      <c r="R7433"/>
      <c r="W7433" s="4"/>
      <c r="X7433" s="4"/>
      <c r="Y7433" s="4"/>
    </row>
    <row r="7434" spans="5:25">
      <c r="E7434"/>
      <c r="G7434"/>
      <c r="H7434"/>
      <c r="I7434"/>
      <c r="K7434"/>
      <c r="O7434"/>
      <c r="R7434"/>
      <c r="W7434" s="4"/>
      <c r="X7434" s="4"/>
      <c r="Y7434" s="4"/>
    </row>
    <row r="7435" spans="5:25">
      <c r="E7435"/>
      <c r="G7435"/>
      <c r="H7435"/>
      <c r="I7435"/>
      <c r="K7435"/>
      <c r="O7435"/>
      <c r="R7435"/>
      <c r="W7435" s="4"/>
      <c r="X7435" s="4"/>
      <c r="Y7435" s="4"/>
    </row>
    <row r="7436" spans="5:25">
      <c r="E7436"/>
      <c r="G7436"/>
      <c r="H7436"/>
      <c r="I7436"/>
      <c r="K7436"/>
      <c r="O7436"/>
      <c r="R7436"/>
      <c r="W7436" s="4"/>
      <c r="X7436" s="4"/>
      <c r="Y7436" s="4"/>
    </row>
    <row r="7437" spans="5:25">
      <c r="E7437"/>
      <c r="G7437"/>
      <c r="H7437"/>
      <c r="I7437"/>
      <c r="K7437"/>
      <c r="O7437"/>
      <c r="R7437"/>
      <c r="W7437" s="4"/>
      <c r="X7437" s="4"/>
      <c r="Y7437" s="4"/>
    </row>
    <row r="7438" spans="5:25">
      <c r="E7438"/>
      <c r="G7438"/>
      <c r="H7438"/>
      <c r="I7438"/>
      <c r="K7438"/>
      <c r="O7438"/>
      <c r="R7438"/>
      <c r="W7438" s="4"/>
      <c r="X7438" s="4"/>
      <c r="Y7438" s="4"/>
    </row>
    <row r="7439" spans="5:25">
      <c r="E7439"/>
      <c r="G7439"/>
      <c r="H7439"/>
      <c r="I7439"/>
      <c r="K7439"/>
      <c r="O7439"/>
      <c r="R7439"/>
      <c r="W7439" s="4"/>
      <c r="X7439" s="4"/>
      <c r="Y7439" s="4"/>
    </row>
    <row r="7440" spans="5:25">
      <c r="E7440"/>
      <c r="G7440"/>
      <c r="H7440"/>
      <c r="I7440"/>
      <c r="K7440"/>
      <c r="O7440"/>
      <c r="R7440"/>
      <c r="W7440" s="4"/>
      <c r="X7440" s="4"/>
      <c r="Y7440" s="4"/>
    </row>
    <row r="7441" spans="5:25">
      <c r="E7441"/>
      <c r="G7441"/>
      <c r="H7441"/>
      <c r="I7441"/>
      <c r="K7441"/>
      <c r="O7441"/>
      <c r="R7441"/>
      <c r="W7441" s="4"/>
      <c r="X7441" s="4"/>
      <c r="Y7441" s="4"/>
    </row>
    <row r="7442" spans="5:25">
      <c r="E7442"/>
      <c r="G7442"/>
      <c r="H7442"/>
      <c r="I7442"/>
      <c r="K7442"/>
      <c r="O7442"/>
      <c r="R7442"/>
      <c r="W7442" s="4"/>
      <c r="X7442" s="4"/>
      <c r="Y7442" s="4"/>
    </row>
    <row r="7443" spans="5:25">
      <c r="E7443"/>
      <c r="G7443"/>
      <c r="H7443"/>
      <c r="I7443"/>
      <c r="K7443"/>
      <c r="O7443"/>
      <c r="R7443"/>
      <c r="W7443" s="4"/>
      <c r="X7443" s="4"/>
      <c r="Y7443" s="4"/>
    </row>
    <row r="7444" spans="5:25">
      <c r="E7444"/>
      <c r="G7444"/>
      <c r="H7444"/>
      <c r="I7444"/>
      <c r="K7444"/>
      <c r="O7444"/>
      <c r="R7444"/>
      <c r="W7444" s="4"/>
      <c r="X7444" s="4"/>
      <c r="Y7444" s="4"/>
    </row>
    <row r="7445" spans="5:25">
      <c r="E7445"/>
      <c r="G7445"/>
      <c r="H7445"/>
      <c r="I7445"/>
      <c r="K7445"/>
      <c r="O7445"/>
      <c r="R7445"/>
      <c r="W7445" s="4"/>
      <c r="X7445" s="4"/>
      <c r="Y7445" s="4"/>
    </row>
    <row r="7446" spans="5:25">
      <c r="E7446"/>
      <c r="G7446"/>
      <c r="H7446"/>
      <c r="I7446"/>
      <c r="K7446"/>
      <c r="O7446"/>
      <c r="R7446"/>
      <c r="W7446" s="4"/>
      <c r="X7446" s="4"/>
      <c r="Y7446" s="4"/>
    </row>
    <row r="7447" spans="5:25">
      <c r="E7447"/>
      <c r="G7447"/>
      <c r="H7447"/>
      <c r="I7447"/>
      <c r="K7447"/>
      <c r="O7447"/>
      <c r="R7447"/>
      <c r="W7447" s="4"/>
      <c r="X7447" s="4"/>
      <c r="Y7447" s="4"/>
    </row>
    <row r="7448" spans="5:25">
      <c r="E7448"/>
      <c r="G7448"/>
      <c r="H7448"/>
      <c r="I7448"/>
      <c r="K7448"/>
      <c r="O7448"/>
      <c r="R7448"/>
      <c r="W7448" s="4"/>
      <c r="X7448" s="4"/>
      <c r="Y7448" s="4"/>
    </row>
    <row r="7449" spans="5:25">
      <c r="E7449"/>
      <c r="G7449"/>
      <c r="H7449"/>
      <c r="I7449"/>
      <c r="K7449"/>
      <c r="O7449"/>
      <c r="R7449"/>
      <c r="W7449" s="4"/>
      <c r="X7449" s="4"/>
      <c r="Y7449" s="4"/>
    </row>
    <row r="7450" spans="5:25">
      <c r="E7450"/>
      <c r="G7450"/>
      <c r="H7450"/>
      <c r="I7450"/>
      <c r="K7450"/>
      <c r="O7450"/>
      <c r="R7450"/>
      <c r="W7450" s="4"/>
      <c r="X7450" s="4"/>
      <c r="Y7450" s="4"/>
    </row>
    <row r="7451" spans="5:25">
      <c r="E7451"/>
      <c r="G7451"/>
      <c r="H7451"/>
      <c r="I7451"/>
      <c r="K7451"/>
      <c r="O7451"/>
      <c r="R7451"/>
      <c r="W7451" s="4"/>
      <c r="X7451" s="4"/>
      <c r="Y7451" s="4"/>
    </row>
    <row r="7452" spans="5:25">
      <c r="E7452"/>
      <c r="G7452"/>
      <c r="H7452"/>
      <c r="I7452"/>
      <c r="K7452"/>
      <c r="O7452"/>
      <c r="R7452"/>
      <c r="W7452" s="4"/>
      <c r="X7452" s="4"/>
      <c r="Y7452" s="4"/>
    </row>
    <row r="7453" spans="5:25">
      <c r="E7453"/>
      <c r="G7453"/>
      <c r="H7453"/>
      <c r="I7453"/>
      <c r="K7453"/>
      <c r="O7453"/>
      <c r="R7453"/>
      <c r="W7453" s="4"/>
      <c r="X7453" s="4"/>
      <c r="Y7453" s="4"/>
    </row>
    <row r="7454" spans="5:25">
      <c r="E7454"/>
      <c r="G7454"/>
      <c r="H7454"/>
      <c r="I7454"/>
      <c r="K7454"/>
      <c r="O7454"/>
      <c r="R7454"/>
      <c r="W7454" s="4"/>
      <c r="X7454" s="4"/>
      <c r="Y7454" s="4"/>
    </row>
    <row r="7455" spans="5:25">
      <c r="E7455"/>
      <c r="G7455"/>
      <c r="H7455"/>
      <c r="I7455"/>
      <c r="K7455"/>
      <c r="O7455"/>
      <c r="R7455"/>
      <c r="W7455" s="4"/>
      <c r="X7455" s="4"/>
      <c r="Y7455" s="4"/>
    </row>
    <row r="7456" spans="5:25">
      <c r="E7456"/>
      <c r="G7456"/>
      <c r="H7456"/>
      <c r="I7456"/>
      <c r="K7456"/>
      <c r="O7456"/>
      <c r="R7456"/>
      <c r="W7456" s="4"/>
      <c r="X7456" s="4"/>
      <c r="Y7456" s="4"/>
    </row>
    <row r="7457" spans="5:25">
      <c r="E7457"/>
      <c r="G7457"/>
      <c r="H7457"/>
      <c r="I7457"/>
      <c r="K7457"/>
      <c r="O7457"/>
      <c r="R7457"/>
      <c r="W7457" s="4"/>
      <c r="X7457" s="4"/>
      <c r="Y7457" s="4"/>
    </row>
    <row r="7458" spans="5:25">
      <c r="E7458"/>
      <c r="G7458"/>
      <c r="H7458"/>
      <c r="I7458"/>
      <c r="K7458"/>
      <c r="O7458"/>
      <c r="R7458"/>
      <c r="W7458" s="4"/>
      <c r="X7458" s="4"/>
      <c r="Y7458" s="4"/>
    </row>
    <row r="7459" spans="5:25">
      <c r="E7459"/>
      <c r="G7459"/>
      <c r="H7459"/>
      <c r="I7459"/>
      <c r="K7459"/>
      <c r="O7459"/>
      <c r="R7459"/>
      <c r="W7459" s="4"/>
      <c r="X7459" s="4"/>
      <c r="Y7459" s="4"/>
    </row>
    <row r="7460" spans="5:25">
      <c r="E7460"/>
      <c r="G7460"/>
      <c r="H7460"/>
      <c r="I7460"/>
      <c r="K7460"/>
      <c r="O7460"/>
      <c r="R7460"/>
      <c r="W7460" s="4"/>
      <c r="X7460" s="4"/>
      <c r="Y7460" s="4"/>
    </row>
    <row r="7461" spans="5:25">
      <c r="E7461"/>
      <c r="G7461"/>
      <c r="H7461"/>
      <c r="I7461"/>
      <c r="K7461"/>
      <c r="O7461"/>
      <c r="R7461"/>
      <c r="W7461" s="4"/>
      <c r="X7461" s="4"/>
      <c r="Y7461" s="4"/>
    </row>
    <row r="7462" spans="5:25">
      <c r="E7462"/>
      <c r="G7462"/>
      <c r="H7462"/>
      <c r="I7462"/>
      <c r="K7462"/>
      <c r="O7462"/>
      <c r="R7462"/>
      <c r="W7462" s="4"/>
      <c r="X7462" s="4"/>
      <c r="Y7462" s="4"/>
    </row>
    <row r="7463" spans="5:25">
      <c r="E7463"/>
      <c r="G7463"/>
      <c r="H7463"/>
      <c r="I7463"/>
      <c r="K7463"/>
      <c r="O7463"/>
      <c r="R7463"/>
      <c r="W7463" s="4"/>
      <c r="X7463" s="4"/>
      <c r="Y7463" s="4"/>
    </row>
    <row r="7464" spans="5:25">
      <c r="E7464"/>
      <c r="G7464"/>
      <c r="H7464"/>
      <c r="I7464"/>
      <c r="K7464"/>
      <c r="O7464"/>
      <c r="R7464"/>
      <c r="W7464" s="4"/>
      <c r="X7464" s="4"/>
      <c r="Y7464" s="4"/>
    </row>
    <row r="7465" spans="5:25">
      <c r="E7465"/>
      <c r="G7465"/>
      <c r="H7465"/>
      <c r="I7465"/>
      <c r="K7465"/>
      <c r="O7465"/>
      <c r="R7465"/>
      <c r="W7465" s="4"/>
      <c r="X7465" s="4"/>
      <c r="Y7465" s="4"/>
    </row>
    <row r="7466" spans="5:25">
      <c r="E7466"/>
      <c r="G7466"/>
      <c r="H7466"/>
      <c r="I7466"/>
      <c r="K7466"/>
      <c r="O7466"/>
      <c r="R7466"/>
      <c r="W7466" s="4"/>
      <c r="X7466" s="4"/>
      <c r="Y7466" s="4"/>
    </row>
    <row r="7467" spans="5:25">
      <c r="E7467"/>
      <c r="G7467"/>
      <c r="H7467"/>
      <c r="I7467"/>
      <c r="K7467"/>
      <c r="O7467"/>
      <c r="R7467"/>
      <c r="W7467" s="4"/>
      <c r="X7467" s="4"/>
      <c r="Y7467" s="4"/>
    </row>
    <row r="7468" spans="5:25">
      <c r="E7468"/>
      <c r="G7468"/>
      <c r="H7468"/>
      <c r="I7468"/>
      <c r="K7468"/>
      <c r="O7468"/>
      <c r="R7468"/>
      <c r="W7468" s="4"/>
      <c r="X7468" s="4"/>
      <c r="Y7468" s="4"/>
    </row>
    <row r="7469" spans="5:25">
      <c r="E7469"/>
      <c r="G7469"/>
      <c r="H7469"/>
      <c r="I7469"/>
      <c r="K7469"/>
      <c r="O7469"/>
      <c r="R7469"/>
      <c r="W7469" s="4"/>
      <c r="X7469" s="4"/>
      <c r="Y7469" s="4"/>
    </row>
    <row r="7470" spans="5:25">
      <c r="E7470"/>
      <c r="G7470"/>
      <c r="H7470"/>
      <c r="I7470"/>
      <c r="K7470"/>
      <c r="O7470"/>
      <c r="R7470"/>
      <c r="W7470" s="4"/>
      <c r="X7470" s="4"/>
      <c r="Y7470" s="4"/>
    </row>
    <row r="7471" spans="5:25">
      <c r="E7471"/>
      <c r="G7471"/>
      <c r="H7471"/>
      <c r="I7471"/>
      <c r="K7471"/>
      <c r="O7471"/>
      <c r="R7471"/>
      <c r="W7471" s="4"/>
      <c r="X7471" s="4"/>
      <c r="Y7471" s="4"/>
    </row>
    <row r="7472" spans="5:25">
      <c r="E7472"/>
      <c r="G7472"/>
      <c r="H7472"/>
      <c r="I7472"/>
      <c r="K7472"/>
      <c r="O7472"/>
      <c r="R7472"/>
      <c r="W7472" s="4"/>
      <c r="X7472" s="4"/>
      <c r="Y7472" s="4"/>
    </row>
    <row r="7473" spans="5:25">
      <c r="E7473"/>
      <c r="G7473"/>
      <c r="H7473"/>
      <c r="I7473"/>
      <c r="K7473"/>
      <c r="O7473"/>
      <c r="R7473"/>
      <c r="W7473" s="4"/>
      <c r="X7473" s="4"/>
      <c r="Y7473" s="4"/>
    </row>
    <row r="7474" spans="5:25">
      <c r="E7474"/>
      <c r="G7474"/>
      <c r="H7474"/>
      <c r="I7474"/>
      <c r="K7474"/>
      <c r="O7474"/>
      <c r="R7474"/>
      <c r="W7474" s="4"/>
      <c r="X7474" s="4"/>
      <c r="Y7474" s="4"/>
    </row>
    <row r="7475" spans="5:25">
      <c r="E7475"/>
      <c r="G7475"/>
      <c r="H7475"/>
      <c r="I7475"/>
      <c r="K7475"/>
      <c r="O7475"/>
      <c r="R7475"/>
      <c r="W7475" s="4"/>
      <c r="X7475" s="4"/>
      <c r="Y7475" s="4"/>
    </row>
    <row r="7476" spans="5:25">
      <c r="E7476"/>
      <c r="G7476"/>
      <c r="H7476"/>
      <c r="I7476"/>
      <c r="K7476"/>
      <c r="O7476"/>
      <c r="R7476"/>
      <c r="W7476" s="4"/>
      <c r="X7476" s="4"/>
      <c r="Y7476" s="4"/>
    </row>
    <row r="7477" spans="5:25">
      <c r="E7477"/>
      <c r="G7477"/>
      <c r="H7477"/>
      <c r="I7477"/>
      <c r="K7477"/>
      <c r="O7477"/>
      <c r="R7477"/>
      <c r="W7477" s="4"/>
      <c r="X7477" s="4"/>
      <c r="Y7477" s="4"/>
    </row>
    <row r="7478" spans="5:25">
      <c r="E7478"/>
      <c r="G7478"/>
      <c r="H7478"/>
      <c r="I7478"/>
      <c r="K7478"/>
      <c r="O7478"/>
      <c r="R7478"/>
      <c r="W7478" s="4"/>
      <c r="X7478" s="4"/>
      <c r="Y7478" s="4"/>
    </row>
    <row r="7479" spans="5:25">
      <c r="E7479"/>
      <c r="G7479"/>
      <c r="H7479"/>
      <c r="I7479"/>
      <c r="K7479"/>
      <c r="O7479"/>
      <c r="R7479"/>
      <c r="W7479" s="4"/>
      <c r="X7479" s="4"/>
      <c r="Y7479" s="4"/>
    </row>
    <row r="7480" spans="5:25">
      <c r="E7480"/>
      <c r="G7480"/>
      <c r="H7480"/>
      <c r="I7480"/>
      <c r="K7480"/>
      <c r="O7480"/>
      <c r="R7480"/>
      <c r="W7480" s="4"/>
      <c r="X7480" s="4"/>
      <c r="Y7480" s="4"/>
    </row>
    <row r="7481" spans="5:25">
      <c r="E7481"/>
      <c r="G7481"/>
      <c r="H7481"/>
      <c r="I7481"/>
      <c r="K7481"/>
      <c r="O7481"/>
      <c r="R7481"/>
      <c r="W7481" s="4"/>
      <c r="X7481" s="4"/>
      <c r="Y7481" s="4"/>
    </row>
    <row r="7482" spans="5:25">
      <c r="E7482"/>
      <c r="G7482"/>
      <c r="H7482"/>
      <c r="I7482"/>
      <c r="K7482"/>
      <c r="O7482"/>
      <c r="R7482"/>
      <c r="W7482" s="4"/>
      <c r="X7482" s="4"/>
      <c r="Y7482" s="4"/>
    </row>
    <row r="7483" spans="5:25">
      <c r="E7483"/>
      <c r="G7483"/>
      <c r="H7483"/>
      <c r="I7483"/>
      <c r="K7483"/>
      <c r="O7483"/>
      <c r="R7483"/>
      <c r="W7483" s="4"/>
      <c r="X7483" s="4"/>
      <c r="Y7483" s="4"/>
    </row>
    <row r="7484" spans="5:25">
      <c r="E7484"/>
      <c r="G7484"/>
      <c r="H7484"/>
      <c r="I7484"/>
      <c r="K7484"/>
      <c r="O7484"/>
      <c r="R7484"/>
      <c r="W7484" s="4"/>
      <c r="X7484" s="4"/>
      <c r="Y7484" s="4"/>
    </row>
    <row r="7485" spans="5:25">
      <c r="E7485"/>
      <c r="G7485"/>
      <c r="H7485"/>
      <c r="I7485"/>
      <c r="K7485"/>
      <c r="O7485"/>
      <c r="R7485"/>
      <c r="W7485" s="4"/>
      <c r="X7485" s="4"/>
      <c r="Y7485" s="4"/>
    </row>
    <row r="7486" spans="5:25">
      <c r="E7486"/>
      <c r="G7486"/>
      <c r="H7486"/>
      <c r="I7486"/>
      <c r="K7486"/>
      <c r="O7486"/>
      <c r="R7486"/>
      <c r="W7486" s="4"/>
      <c r="X7486" s="4"/>
      <c r="Y7486" s="4"/>
    </row>
    <row r="7487" spans="5:25">
      <c r="E7487"/>
      <c r="G7487"/>
      <c r="H7487"/>
      <c r="I7487"/>
      <c r="K7487"/>
      <c r="O7487"/>
      <c r="R7487"/>
      <c r="W7487" s="4"/>
      <c r="X7487" s="4"/>
      <c r="Y7487" s="4"/>
    </row>
    <row r="7488" spans="5:25">
      <c r="E7488"/>
      <c r="G7488"/>
      <c r="H7488"/>
      <c r="I7488"/>
      <c r="K7488"/>
      <c r="O7488"/>
      <c r="R7488"/>
      <c r="W7488" s="4"/>
      <c r="X7488" s="4"/>
      <c r="Y7488" s="4"/>
    </row>
    <row r="7489" spans="5:25">
      <c r="E7489"/>
      <c r="G7489"/>
      <c r="H7489"/>
      <c r="I7489"/>
      <c r="K7489"/>
      <c r="O7489"/>
      <c r="R7489"/>
      <c r="W7489" s="4"/>
      <c r="X7489" s="4"/>
      <c r="Y7489" s="4"/>
    </row>
    <row r="7490" spans="5:25">
      <c r="E7490"/>
      <c r="G7490"/>
      <c r="H7490"/>
      <c r="I7490"/>
      <c r="K7490"/>
      <c r="O7490"/>
      <c r="R7490"/>
      <c r="W7490" s="4"/>
      <c r="X7490" s="4"/>
      <c r="Y7490" s="4"/>
    </row>
    <row r="7491" spans="5:25">
      <c r="E7491"/>
      <c r="G7491"/>
      <c r="H7491"/>
      <c r="I7491"/>
      <c r="K7491"/>
      <c r="O7491"/>
      <c r="R7491"/>
      <c r="W7491" s="4"/>
      <c r="X7491" s="4"/>
      <c r="Y7491" s="4"/>
    </row>
    <row r="7492" spans="5:25">
      <c r="E7492"/>
      <c r="G7492"/>
      <c r="H7492"/>
      <c r="I7492"/>
      <c r="K7492"/>
      <c r="O7492"/>
      <c r="R7492"/>
      <c r="W7492" s="4"/>
      <c r="X7492" s="4"/>
      <c r="Y7492" s="4"/>
    </row>
    <row r="7493" spans="5:25">
      <c r="E7493"/>
      <c r="G7493"/>
      <c r="H7493"/>
      <c r="I7493"/>
      <c r="K7493"/>
      <c r="O7493"/>
      <c r="R7493"/>
      <c r="W7493" s="4"/>
      <c r="X7493" s="4"/>
      <c r="Y7493" s="4"/>
    </row>
    <row r="7494" spans="5:25">
      <c r="E7494"/>
      <c r="G7494"/>
      <c r="H7494"/>
      <c r="I7494"/>
      <c r="K7494"/>
      <c r="O7494"/>
      <c r="R7494"/>
      <c r="W7494" s="4"/>
      <c r="X7494" s="4"/>
      <c r="Y7494" s="4"/>
    </row>
    <row r="7495" spans="5:25">
      <c r="E7495"/>
      <c r="G7495"/>
      <c r="H7495"/>
      <c r="I7495"/>
      <c r="K7495"/>
      <c r="O7495"/>
      <c r="R7495"/>
      <c r="W7495" s="4"/>
      <c r="X7495" s="4"/>
      <c r="Y7495" s="4"/>
    </row>
    <row r="7496" spans="5:25">
      <c r="E7496"/>
      <c r="G7496"/>
      <c r="H7496"/>
      <c r="I7496"/>
      <c r="K7496"/>
      <c r="O7496"/>
      <c r="R7496"/>
      <c r="W7496" s="4"/>
      <c r="X7496" s="4"/>
      <c r="Y7496" s="4"/>
    </row>
    <row r="7497" spans="5:25">
      <c r="E7497"/>
      <c r="G7497"/>
      <c r="H7497"/>
      <c r="I7497"/>
      <c r="K7497"/>
      <c r="O7497"/>
      <c r="R7497"/>
      <c r="W7497" s="4"/>
      <c r="X7497" s="4"/>
      <c r="Y7497" s="4"/>
    </row>
    <row r="7498" spans="5:25">
      <c r="E7498"/>
      <c r="G7498"/>
      <c r="H7498"/>
      <c r="I7498"/>
      <c r="K7498"/>
      <c r="O7498"/>
      <c r="R7498"/>
      <c r="W7498" s="4"/>
      <c r="X7498" s="4"/>
      <c r="Y7498" s="4"/>
    </row>
    <row r="7499" spans="5:25">
      <c r="E7499"/>
      <c r="G7499"/>
      <c r="H7499"/>
      <c r="I7499"/>
      <c r="K7499"/>
      <c r="O7499"/>
      <c r="R7499"/>
      <c r="W7499" s="4"/>
      <c r="X7499" s="4"/>
      <c r="Y7499" s="4"/>
    </row>
    <row r="7500" spans="5:25">
      <c r="E7500"/>
      <c r="G7500"/>
      <c r="H7500"/>
      <c r="I7500"/>
      <c r="K7500"/>
      <c r="O7500"/>
      <c r="R7500"/>
      <c r="W7500" s="4"/>
      <c r="X7500" s="4"/>
      <c r="Y7500" s="4"/>
    </row>
    <row r="7501" spans="5:25">
      <c r="E7501"/>
      <c r="G7501"/>
      <c r="H7501"/>
      <c r="I7501"/>
      <c r="K7501"/>
      <c r="O7501"/>
      <c r="R7501"/>
      <c r="W7501" s="4"/>
      <c r="X7501" s="4"/>
      <c r="Y7501" s="4"/>
    </row>
    <row r="7502" spans="5:25">
      <c r="E7502"/>
      <c r="G7502"/>
      <c r="H7502"/>
      <c r="I7502"/>
      <c r="K7502"/>
      <c r="O7502"/>
      <c r="R7502"/>
      <c r="W7502" s="4"/>
      <c r="X7502" s="4"/>
      <c r="Y7502" s="4"/>
    </row>
    <row r="7503" spans="5:25">
      <c r="E7503"/>
      <c r="G7503"/>
      <c r="H7503"/>
      <c r="I7503"/>
      <c r="K7503"/>
      <c r="O7503"/>
      <c r="R7503"/>
      <c r="W7503" s="4"/>
      <c r="X7503" s="4"/>
      <c r="Y7503" s="4"/>
    </row>
    <row r="7504" spans="5:25">
      <c r="E7504"/>
      <c r="G7504"/>
      <c r="H7504"/>
      <c r="I7504"/>
      <c r="K7504"/>
      <c r="O7504"/>
      <c r="R7504"/>
      <c r="W7504" s="4"/>
      <c r="X7504" s="4"/>
      <c r="Y7504" s="4"/>
    </row>
    <row r="7505" spans="5:25">
      <c r="E7505"/>
      <c r="G7505"/>
      <c r="H7505"/>
      <c r="I7505"/>
      <c r="K7505"/>
      <c r="O7505"/>
      <c r="R7505"/>
      <c r="W7505" s="4"/>
      <c r="X7505" s="4"/>
      <c r="Y7505" s="4"/>
    </row>
    <row r="7506" spans="5:25">
      <c r="E7506"/>
      <c r="G7506"/>
      <c r="H7506"/>
      <c r="I7506"/>
      <c r="K7506"/>
      <c r="O7506"/>
      <c r="R7506"/>
      <c r="W7506" s="4"/>
      <c r="X7506" s="4"/>
      <c r="Y7506" s="4"/>
    </row>
    <row r="7507" spans="5:25">
      <c r="E7507"/>
      <c r="G7507"/>
      <c r="H7507"/>
      <c r="I7507"/>
      <c r="K7507"/>
      <c r="O7507"/>
      <c r="R7507"/>
      <c r="W7507" s="4"/>
      <c r="X7507" s="4"/>
      <c r="Y7507" s="4"/>
    </row>
    <row r="7508" spans="5:25">
      <c r="E7508"/>
      <c r="G7508"/>
      <c r="H7508"/>
      <c r="I7508"/>
      <c r="K7508"/>
      <c r="O7508"/>
      <c r="R7508"/>
      <c r="W7508" s="4"/>
      <c r="X7508" s="4"/>
      <c r="Y7508" s="4"/>
    </row>
    <row r="7509" spans="5:25">
      <c r="E7509"/>
      <c r="G7509"/>
      <c r="H7509"/>
      <c r="I7509"/>
      <c r="K7509"/>
      <c r="O7509"/>
      <c r="R7509"/>
      <c r="W7509" s="4"/>
      <c r="X7509" s="4"/>
      <c r="Y7509" s="4"/>
    </row>
    <row r="7510" spans="5:25">
      <c r="E7510"/>
      <c r="G7510"/>
      <c r="H7510"/>
      <c r="I7510"/>
      <c r="K7510"/>
      <c r="O7510"/>
      <c r="R7510"/>
      <c r="W7510" s="4"/>
      <c r="X7510" s="4"/>
      <c r="Y7510" s="4"/>
    </row>
    <row r="7511" spans="5:25">
      <c r="E7511"/>
      <c r="G7511"/>
      <c r="H7511"/>
      <c r="I7511"/>
      <c r="K7511"/>
      <c r="O7511"/>
      <c r="R7511"/>
      <c r="W7511" s="4"/>
      <c r="X7511" s="4"/>
      <c r="Y7511" s="4"/>
    </row>
    <row r="7512" spans="5:25">
      <c r="E7512"/>
      <c r="G7512"/>
      <c r="H7512"/>
      <c r="I7512"/>
      <c r="K7512"/>
      <c r="O7512"/>
      <c r="R7512"/>
      <c r="W7512" s="4"/>
      <c r="X7512" s="4"/>
      <c r="Y7512" s="4"/>
    </row>
    <row r="7513" spans="5:25">
      <c r="E7513"/>
      <c r="G7513"/>
      <c r="H7513"/>
      <c r="I7513"/>
      <c r="K7513"/>
      <c r="O7513"/>
      <c r="R7513"/>
      <c r="W7513" s="4"/>
      <c r="X7513" s="4"/>
      <c r="Y7513" s="4"/>
    </row>
    <row r="7514" spans="5:25">
      <c r="E7514"/>
      <c r="G7514"/>
      <c r="H7514"/>
      <c r="I7514"/>
      <c r="K7514"/>
      <c r="O7514"/>
      <c r="R7514"/>
      <c r="W7514" s="4"/>
      <c r="X7514" s="4"/>
      <c r="Y7514" s="4"/>
    </row>
    <row r="7515" spans="5:25">
      <c r="E7515"/>
      <c r="G7515"/>
      <c r="H7515"/>
      <c r="I7515"/>
      <c r="K7515"/>
      <c r="O7515"/>
      <c r="R7515"/>
      <c r="W7515" s="4"/>
      <c r="X7515" s="4"/>
      <c r="Y7515" s="4"/>
    </row>
    <row r="7516" spans="5:25">
      <c r="E7516"/>
      <c r="G7516"/>
      <c r="H7516"/>
      <c r="I7516"/>
      <c r="K7516"/>
      <c r="O7516"/>
      <c r="R7516"/>
      <c r="W7516" s="4"/>
      <c r="X7516" s="4"/>
      <c r="Y7516" s="4"/>
    </row>
    <row r="7517" spans="5:25">
      <c r="E7517"/>
      <c r="G7517"/>
      <c r="H7517"/>
      <c r="I7517"/>
      <c r="K7517"/>
      <c r="O7517"/>
      <c r="R7517"/>
      <c r="W7517" s="4"/>
      <c r="X7517" s="4"/>
      <c r="Y7517" s="4"/>
    </row>
    <row r="7518" spans="5:25">
      <c r="E7518"/>
      <c r="G7518"/>
      <c r="H7518"/>
      <c r="I7518"/>
      <c r="K7518"/>
      <c r="O7518"/>
      <c r="R7518"/>
      <c r="W7518" s="4"/>
      <c r="X7518" s="4"/>
      <c r="Y7518" s="4"/>
    </row>
    <row r="7519" spans="5:25">
      <c r="E7519"/>
      <c r="G7519"/>
      <c r="H7519"/>
      <c r="I7519"/>
      <c r="K7519"/>
      <c r="O7519"/>
      <c r="R7519"/>
      <c r="W7519" s="4"/>
      <c r="X7519" s="4"/>
      <c r="Y7519" s="4"/>
    </row>
    <row r="7520" spans="5:25">
      <c r="E7520"/>
      <c r="G7520"/>
      <c r="H7520"/>
      <c r="I7520"/>
      <c r="K7520"/>
      <c r="O7520"/>
      <c r="R7520"/>
      <c r="W7520" s="4"/>
      <c r="X7520" s="4"/>
      <c r="Y7520" s="4"/>
    </row>
    <row r="7521" spans="5:25">
      <c r="E7521"/>
      <c r="G7521"/>
      <c r="H7521"/>
      <c r="I7521"/>
      <c r="K7521"/>
      <c r="O7521"/>
      <c r="R7521"/>
      <c r="W7521" s="4"/>
      <c r="X7521" s="4"/>
      <c r="Y7521" s="4"/>
    </row>
    <row r="7522" spans="5:25">
      <c r="E7522"/>
      <c r="G7522"/>
      <c r="H7522"/>
      <c r="I7522"/>
      <c r="K7522"/>
      <c r="O7522"/>
      <c r="R7522"/>
      <c r="W7522" s="4"/>
      <c r="X7522" s="4"/>
      <c r="Y7522" s="4"/>
    </row>
    <row r="7523" spans="5:25">
      <c r="E7523"/>
      <c r="G7523"/>
      <c r="H7523"/>
      <c r="I7523"/>
      <c r="K7523"/>
      <c r="O7523"/>
      <c r="R7523"/>
      <c r="W7523" s="4"/>
      <c r="X7523" s="4"/>
      <c r="Y7523" s="4"/>
    </row>
    <row r="7524" spans="5:25">
      <c r="E7524"/>
      <c r="G7524"/>
      <c r="H7524"/>
      <c r="I7524"/>
      <c r="K7524"/>
      <c r="O7524"/>
      <c r="R7524"/>
      <c r="W7524" s="4"/>
      <c r="X7524" s="4"/>
      <c r="Y7524" s="4"/>
    </row>
    <row r="7525" spans="5:25">
      <c r="E7525"/>
      <c r="G7525"/>
      <c r="H7525"/>
      <c r="I7525"/>
      <c r="K7525"/>
      <c r="O7525"/>
      <c r="R7525"/>
      <c r="W7525" s="4"/>
      <c r="X7525" s="4"/>
      <c r="Y7525" s="4"/>
    </row>
    <row r="7526" spans="5:25">
      <c r="E7526"/>
      <c r="G7526"/>
      <c r="H7526"/>
      <c r="I7526"/>
      <c r="K7526"/>
      <c r="O7526"/>
      <c r="R7526"/>
      <c r="W7526" s="4"/>
      <c r="X7526" s="4"/>
      <c r="Y7526" s="4"/>
    </row>
    <row r="7527" spans="5:25">
      <c r="E7527"/>
      <c r="G7527"/>
      <c r="H7527"/>
      <c r="I7527"/>
      <c r="K7527"/>
      <c r="O7527"/>
      <c r="R7527"/>
      <c r="W7527" s="4"/>
      <c r="X7527" s="4"/>
      <c r="Y7527" s="4"/>
    </row>
    <row r="7528" spans="5:25">
      <c r="E7528"/>
      <c r="G7528"/>
      <c r="H7528"/>
      <c r="I7528"/>
      <c r="K7528"/>
      <c r="O7528"/>
      <c r="R7528"/>
      <c r="W7528" s="4"/>
      <c r="X7528" s="4"/>
      <c r="Y7528" s="4"/>
    </row>
    <row r="7529" spans="5:25">
      <c r="E7529"/>
      <c r="G7529"/>
      <c r="H7529"/>
      <c r="I7529"/>
      <c r="K7529"/>
      <c r="O7529"/>
      <c r="R7529"/>
      <c r="W7529" s="4"/>
      <c r="X7529" s="4"/>
      <c r="Y7529" s="4"/>
    </row>
    <row r="7530" spans="5:25">
      <c r="E7530"/>
      <c r="G7530"/>
      <c r="H7530"/>
      <c r="I7530"/>
      <c r="K7530"/>
      <c r="O7530"/>
      <c r="R7530"/>
      <c r="W7530" s="4"/>
      <c r="X7530" s="4"/>
      <c r="Y7530" s="4"/>
    </row>
    <row r="7531" spans="5:25">
      <c r="E7531"/>
      <c r="G7531"/>
      <c r="H7531"/>
      <c r="I7531"/>
      <c r="K7531"/>
      <c r="O7531"/>
      <c r="R7531"/>
      <c r="W7531" s="4"/>
      <c r="X7531" s="4"/>
      <c r="Y7531" s="4"/>
    </row>
    <row r="7532" spans="5:25">
      <c r="E7532"/>
      <c r="G7532"/>
      <c r="H7532"/>
      <c r="I7532"/>
      <c r="K7532"/>
      <c r="O7532"/>
      <c r="R7532"/>
      <c r="W7532" s="4"/>
      <c r="X7532" s="4"/>
      <c r="Y7532" s="4"/>
    </row>
    <row r="7533" spans="5:25">
      <c r="E7533"/>
      <c r="G7533"/>
      <c r="H7533"/>
      <c r="I7533"/>
      <c r="K7533"/>
      <c r="O7533"/>
      <c r="R7533"/>
      <c r="W7533" s="4"/>
      <c r="X7533" s="4"/>
      <c r="Y7533" s="4"/>
    </row>
    <row r="7534" spans="5:25">
      <c r="E7534"/>
      <c r="G7534"/>
      <c r="H7534"/>
      <c r="I7534"/>
      <c r="K7534"/>
      <c r="O7534"/>
      <c r="R7534"/>
      <c r="W7534" s="4"/>
      <c r="X7534" s="4"/>
      <c r="Y7534" s="4"/>
    </row>
    <row r="7535" spans="5:25">
      <c r="E7535"/>
      <c r="G7535"/>
      <c r="H7535"/>
      <c r="I7535"/>
      <c r="K7535"/>
      <c r="O7535"/>
      <c r="R7535"/>
      <c r="W7535" s="4"/>
      <c r="X7535" s="4"/>
      <c r="Y7535" s="4"/>
    </row>
    <row r="7536" spans="5:25">
      <c r="E7536"/>
      <c r="G7536"/>
      <c r="H7536"/>
      <c r="I7536"/>
      <c r="K7536"/>
      <c r="O7536"/>
      <c r="R7536"/>
      <c r="W7536" s="4"/>
      <c r="X7536" s="4"/>
      <c r="Y7536" s="4"/>
    </row>
    <row r="7537" spans="5:25">
      <c r="E7537"/>
      <c r="G7537"/>
      <c r="H7537"/>
      <c r="I7537"/>
      <c r="K7537"/>
      <c r="O7537"/>
      <c r="R7537"/>
      <c r="W7537" s="4"/>
      <c r="X7537" s="4"/>
      <c r="Y7537" s="4"/>
    </row>
    <row r="7538" spans="5:25">
      <c r="E7538"/>
      <c r="G7538"/>
      <c r="H7538"/>
      <c r="I7538"/>
      <c r="K7538"/>
      <c r="O7538"/>
      <c r="R7538"/>
      <c r="W7538" s="4"/>
      <c r="X7538" s="4"/>
      <c r="Y7538" s="4"/>
    </row>
    <row r="7539" spans="5:25">
      <c r="E7539"/>
      <c r="G7539"/>
      <c r="H7539"/>
      <c r="I7539"/>
      <c r="K7539"/>
      <c r="O7539"/>
      <c r="R7539"/>
      <c r="W7539" s="4"/>
      <c r="X7539" s="4"/>
      <c r="Y7539" s="4"/>
    </row>
    <row r="7540" spans="5:25">
      <c r="E7540"/>
      <c r="G7540"/>
      <c r="H7540"/>
      <c r="I7540"/>
      <c r="K7540"/>
      <c r="O7540"/>
      <c r="R7540"/>
      <c r="W7540" s="4"/>
      <c r="X7540" s="4"/>
      <c r="Y7540" s="4"/>
    </row>
    <row r="7541" spans="5:25">
      <c r="E7541"/>
      <c r="G7541"/>
      <c r="H7541"/>
      <c r="I7541"/>
      <c r="K7541"/>
      <c r="O7541"/>
      <c r="R7541"/>
      <c r="W7541" s="4"/>
      <c r="X7541" s="4"/>
      <c r="Y7541" s="4"/>
    </row>
    <row r="7542" spans="5:25">
      <c r="E7542"/>
      <c r="G7542"/>
      <c r="H7542"/>
      <c r="I7542"/>
      <c r="K7542"/>
      <c r="O7542"/>
      <c r="R7542"/>
      <c r="W7542" s="4"/>
      <c r="X7542" s="4"/>
      <c r="Y7542" s="4"/>
    </row>
    <row r="7543" spans="5:25">
      <c r="E7543"/>
      <c r="G7543"/>
      <c r="H7543"/>
      <c r="I7543"/>
      <c r="K7543"/>
      <c r="O7543"/>
      <c r="R7543"/>
      <c r="W7543" s="4"/>
      <c r="X7543" s="4"/>
      <c r="Y7543" s="4"/>
    </row>
    <row r="7544" spans="5:25">
      <c r="E7544"/>
      <c r="G7544"/>
      <c r="H7544"/>
      <c r="I7544"/>
      <c r="K7544"/>
      <c r="O7544"/>
      <c r="R7544"/>
      <c r="W7544" s="4"/>
      <c r="X7544" s="4"/>
      <c r="Y7544" s="4"/>
    </row>
    <row r="7545" spans="5:25">
      <c r="E7545"/>
      <c r="G7545"/>
      <c r="H7545"/>
      <c r="I7545"/>
      <c r="K7545"/>
      <c r="O7545"/>
      <c r="R7545"/>
      <c r="W7545" s="4"/>
      <c r="X7545" s="4"/>
      <c r="Y7545" s="4"/>
    </row>
    <row r="7546" spans="5:25">
      <c r="E7546"/>
      <c r="G7546"/>
      <c r="H7546"/>
      <c r="I7546"/>
      <c r="K7546"/>
      <c r="O7546"/>
      <c r="R7546"/>
      <c r="W7546" s="4"/>
      <c r="X7546" s="4"/>
      <c r="Y7546" s="4"/>
    </row>
    <row r="7547" spans="5:25">
      <c r="E7547"/>
      <c r="G7547"/>
      <c r="H7547"/>
      <c r="I7547"/>
      <c r="K7547"/>
      <c r="O7547"/>
      <c r="R7547"/>
      <c r="W7547" s="4"/>
      <c r="X7547" s="4"/>
      <c r="Y7547" s="4"/>
    </row>
    <row r="7548" spans="5:25">
      <c r="E7548"/>
      <c r="G7548"/>
      <c r="H7548"/>
      <c r="I7548"/>
      <c r="K7548"/>
      <c r="O7548"/>
      <c r="R7548"/>
      <c r="W7548" s="4"/>
      <c r="X7548" s="4"/>
      <c r="Y7548" s="4"/>
    </row>
    <row r="7549" spans="5:25">
      <c r="E7549"/>
      <c r="G7549"/>
      <c r="H7549"/>
      <c r="I7549"/>
      <c r="K7549"/>
      <c r="O7549"/>
      <c r="R7549"/>
      <c r="W7549" s="4"/>
      <c r="X7549" s="4"/>
      <c r="Y7549" s="4"/>
    </row>
    <row r="7550" spans="5:25">
      <c r="E7550"/>
      <c r="G7550"/>
      <c r="H7550"/>
      <c r="I7550"/>
      <c r="K7550"/>
      <c r="O7550"/>
      <c r="R7550"/>
      <c r="W7550" s="4"/>
      <c r="X7550" s="4"/>
      <c r="Y7550" s="4"/>
    </row>
    <row r="7551" spans="5:25">
      <c r="E7551"/>
      <c r="G7551"/>
      <c r="H7551"/>
      <c r="I7551"/>
      <c r="K7551"/>
      <c r="O7551"/>
      <c r="R7551"/>
      <c r="W7551" s="4"/>
      <c r="X7551" s="4"/>
      <c r="Y7551" s="4"/>
    </row>
    <row r="7552" spans="5:25">
      <c r="E7552"/>
      <c r="G7552"/>
      <c r="H7552"/>
      <c r="I7552"/>
      <c r="K7552"/>
      <c r="O7552"/>
      <c r="R7552"/>
      <c r="W7552" s="4"/>
      <c r="X7552" s="4"/>
      <c r="Y7552" s="4"/>
    </row>
    <row r="7553" spans="5:25">
      <c r="E7553"/>
      <c r="G7553"/>
      <c r="H7553"/>
      <c r="I7553"/>
      <c r="K7553"/>
      <c r="O7553"/>
      <c r="R7553"/>
      <c r="W7553" s="4"/>
      <c r="X7553" s="4"/>
      <c r="Y7553" s="4"/>
    </row>
    <row r="7554" spans="5:25">
      <c r="E7554"/>
      <c r="G7554"/>
      <c r="H7554"/>
      <c r="I7554"/>
      <c r="K7554"/>
      <c r="O7554"/>
      <c r="R7554"/>
      <c r="W7554" s="4"/>
      <c r="X7554" s="4"/>
      <c r="Y7554" s="4"/>
    </row>
    <row r="7555" spans="5:25">
      <c r="E7555"/>
      <c r="G7555"/>
      <c r="H7555"/>
      <c r="I7555"/>
      <c r="K7555"/>
      <c r="O7555"/>
      <c r="R7555"/>
      <c r="W7555" s="4"/>
      <c r="X7555" s="4"/>
      <c r="Y7555" s="4"/>
    </row>
    <row r="7556" spans="5:25">
      <c r="E7556"/>
      <c r="G7556"/>
      <c r="H7556"/>
      <c r="I7556"/>
      <c r="K7556"/>
      <c r="O7556"/>
      <c r="R7556"/>
      <c r="W7556" s="4"/>
      <c r="X7556" s="4"/>
      <c r="Y7556" s="4"/>
    </row>
    <row r="7557" spans="5:25">
      <c r="E7557"/>
      <c r="G7557"/>
      <c r="H7557"/>
      <c r="I7557"/>
      <c r="K7557"/>
      <c r="O7557"/>
      <c r="R7557"/>
      <c r="W7557" s="4"/>
      <c r="X7557" s="4"/>
      <c r="Y7557" s="4"/>
    </row>
    <row r="7558" spans="5:25">
      <c r="E7558"/>
      <c r="G7558"/>
      <c r="H7558"/>
      <c r="I7558"/>
      <c r="K7558"/>
      <c r="O7558"/>
      <c r="R7558"/>
      <c r="W7558" s="4"/>
      <c r="X7558" s="4"/>
      <c r="Y7558" s="4"/>
    </row>
    <row r="7559" spans="5:25">
      <c r="E7559"/>
      <c r="G7559"/>
      <c r="H7559"/>
      <c r="I7559"/>
      <c r="K7559"/>
      <c r="O7559"/>
      <c r="R7559"/>
      <c r="W7559" s="4"/>
      <c r="X7559" s="4"/>
      <c r="Y7559" s="4"/>
    </row>
    <row r="7560" spans="5:25">
      <c r="E7560"/>
      <c r="G7560"/>
      <c r="H7560"/>
      <c r="I7560"/>
      <c r="K7560"/>
      <c r="O7560"/>
      <c r="R7560"/>
      <c r="W7560" s="4"/>
      <c r="X7560" s="4"/>
      <c r="Y7560" s="4"/>
    </row>
    <row r="7561" spans="5:25">
      <c r="E7561"/>
      <c r="G7561"/>
      <c r="H7561"/>
      <c r="I7561"/>
      <c r="K7561"/>
      <c r="O7561"/>
      <c r="R7561"/>
      <c r="W7561" s="4"/>
      <c r="X7561" s="4"/>
      <c r="Y7561" s="4"/>
    </row>
    <row r="7562" spans="5:25">
      <c r="E7562"/>
      <c r="G7562"/>
      <c r="H7562"/>
      <c r="I7562"/>
      <c r="K7562"/>
      <c r="O7562"/>
      <c r="R7562"/>
      <c r="W7562" s="4"/>
      <c r="X7562" s="4"/>
      <c r="Y7562" s="4"/>
    </row>
    <row r="7563" spans="5:25">
      <c r="E7563"/>
      <c r="G7563"/>
      <c r="H7563"/>
      <c r="I7563"/>
      <c r="K7563"/>
      <c r="O7563"/>
      <c r="R7563"/>
      <c r="W7563" s="4"/>
      <c r="X7563" s="4"/>
      <c r="Y7563" s="4"/>
    </row>
    <row r="7564" spans="5:25">
      <c r="E7564"/>
      <c r="G7564"/>
      <c r="H7564"/>
      <c r="I7564"/>
      <c r="K7564"/>
      <c r="O7564"/>
      <c r="R7564"/>
      <c r="W7564" s="4"/>
      <c r="X7564" s="4"/>
      <c r="Y7564" s="4"/>
    </row>
    <row r="7565" spans="5:25">
      <c r="E7565"/>
      <c r="G7565"/>
      <c r="H7565"/>
      <c r="I7565"/>
      <c r="K7565"/>
      <c r="O7565"/>
      <c r="R7565"/>
      <c r="W7565" s="4"/>
      <c r="X7565" s="4"/>
      <c r="Y7565" s="4"/>
    </row>
    <row r="7566" spans="5:25">
      <c r="E7566"/>
      <c r="G7566"/>
      <c r="H7566"/>
      <c r="I7566"/>
      <c r="K7566"/>
      <c r="O7566"/>
      <c r="R7566"/>
      <c r="W7566" s="4"/>
      <c r="X7566" s="4"/>
      <c r="Y7566" s="4"/>
    </row>
    <row r="7567" spans="5:25">
      <c r="E7567"/>
      <c r="G7567"/>
      <c r="H7567"/>
      <c r="I7567"/>
      <c r="K7567"/>
      <c r="O7567"/>
      <c r="R7567"/>
      <c r="W7567" s="4"/>
      <c r="X7567" s="4"/>
      <c r="Y7567" s="4"/>
    </row>
    <row r="7568" spans="5:25">
      <c r="E7568"/>
      <c r="G7568"/>
      <c r="H7568"/>
      <c r="I7568"/>
      <c r="K7568"/>
      <c r="O7568"/>
      <c r="R7568"/>
      <c r="W7568" s="4"/>
      <c r="X7568" s="4"/>
      <c r="Y7568" s="4"/>
    </row>
    <row r="7569" spans="5:25">
      <c r="E7569"/>
      <c r="G7569"/>
      <c r="H7569"/>
      <c r="I7569"/>
      <c r="K7569"/>
      <c r="O7569"/>
      <c r="R7569"/>
      <c r="W7569" s="4"/>
      <c r="X7569" s="4"/>
      <c r="Y7569" s="4"/>
    </row>
    <row r="7570" spans="5:25">
      <c r="E7570"/>
      <c r="G7570"/>
      <c r="H7570"/>
      <c r="I7570"/>
      <c r="K7570"/>
      <c r="O7570"/>
      <c r="R7570"/>
      <c r="W7570" s="4"/>
      <c r="X7570" s="4"/>
      <c r="Y7570" s="4"/>
    </row>
    <row r="7571" spans="5:25">
      <c r="E7571"/>
      <c r="G7571"/>
      <c r="H7571"/>
      <c r="I7571"/>
      <c r="K7571"/>
      <c r="O7571"/>
      <c r="R7571"/>
      <c r="W7571" s="4"/>
      <c r="X7571" s="4"/>
      <c r="Y7571" s="4"/>
    </row>
    <row r="7572" spans="5:25">
      <c r="E7572"/>
      <c r="G7572"/>
      <c r="H7572"/>
      <c r="I7572"/>
      <c r="K7572"/>
      <c r="O7572"/>
      <c r="R7572"/>
      <c r="W7572" s="4"/>
      <c r="X7572" s="4"/>
      <c r="Y7572" s="4"/>
    </row>
    <row r="7573" spans="5:25">
      <c r="E7573"/>
      <c r="G7573"/>
      <c r="H7573"/>
      <c r="I7573"/>
      <c r="K7573"/>
      <c r="O7573"/>
      <c r="R7573"/>
      <c r="W7573" s="4"/>
      <c r="X7573" s="4"/>
      <c r="Y7573" s="4"/>
    </row>
    <row r="7574" spans="5:25">
      <c r="E7574"/>
      <c r="G7574"/>
      <c r="H7574"/>
      <c r="I7574"/>
      <c r="K7574"/>
      <c r="O7574"/>
      <c r="R7574"/>
      <c r="W7574" s="4"/>
      <c r="X7574" s="4"/>
      <c r="Y7574" s="4"/>
    </row>
    <row r="7575" spans="5:25">
      <c r="E7575"/>
      <c r="G7575"/>
      <c r="H7575"/>
      <c r="I7575"/>
      <c r="K7575"/>
      <c r="O7575"/>
      <c r="R7575"/>
      <c r="W7575" s="4"/>
      <c r="X7575" s="4"/>
      <c r="Y7575" s="4"/>
    </row>
    <row r="7576" spans="5:25">
      <c r="E7576"/>
      <c r="G7576"/>
      <c r="H7576"/>
      <c r="I7576"/>
      <c r="K7576"/>
      <c r="O7576"/>
      <c r="R7576"/>
      <c r="W7576" s="4"/>
      <c r="X7576" s="4"/>
      <c r="Y7576" s="4"/>
    </row>
    <row r="7577" spans="5:25">
      <c r="E7577"/>
      <c r="G7577"/>
      <c r="H7577"/>
      <c r="I7577"/>
      <c r="K7577"/>
      <c r="O7577"/>
      <c r="R7577"/>
      <c r="W7577" s="4"/>
      <c r="X7577" s="4"/>
      <c r="Y7577" s="4"/>
    </row>
    <row r="7578" spans="5:25">
      <c r="E7578"/>
      <c r="G7578"/>
      <c r="H7578"/>
      <c r="I7578"/>
      <c r="K7578"/>
      <c r="O7578"/>
      <c r="R7578"/>
      <c r="W7578" s="4"/>
      <c r="X7578" s="4"/>
      <c r="Y7578" s="4"/>
    </row>
    <row r="7579" spans="5:25">
      <c r="E7579"/>
      <c r="G7579"/>
      <c r="H7579"/>
      <c r="I7579"/>
      <c r="K7579"/>
      <c r="O7579"/>
      <c r="R7579"/>
      <c r="W7579" s="4"/>
      <c r="X7579" s="4"/>
      <c r="Y7579" s="4"/>
    </row>
    <row r="7580" spans="5:25">
      <c r="E7580"/>
      <c r="G7580"/>
      <c r="H7580"/>
      <c r="I7580"/>
      <c r="K7580"/>
      <c r="O7580"/>
      <c r="R7580"/>
      <c r="W7580" s="4"/>
      <c r="X7580" s="4"/>
      <c r="Y7580" s="4"/>
    </row>
    <row r="7581" spans="5:25">
      <c r="E7581"/>
      <c r="G7581"/>
      <c r="H7581"/>
      <c r="I7581"/>
      <c r="K7581"/>
      <c r="O7581"/>
      <c r="R7581"/>
      <c r="W7581" s="4"/>
      <c r="X7581" s="4"/>
      <c r="Y7581" s="4"/>
    </row>
    <row r="7582" spans="5:25">
      <c r="E7582"/>
      <c r="G7582"/>
      <c r="H7582"/>
      <c r="I7582"/>
      <c r="K7582"/>
      <c r="O7582"/>
      <c r="R7582"/>
      <c r="W7582" s="4"/>
      <c r="X7582" s="4"/>
      <c r="Y7582" s="4"/>
    </row>
    <row r="7583" spans="5:25">
      <c r="E7583"/>
      <c r="G7583"/>
      <c r="H7583"/>
      <c r="I7583"/>
      <c r="K7583"/>
      <c r="O7583"/>
      <c r="R7583"/>
      <c r="W7583" s="4"/>
      <c r="X7583" s="4"/>
      <c r="Y7583" s="4"/>
    </row>
    <row r="7584" spans="5:25">
      <c r="E7584"/>
      <c r="G7584"/>
      <c r="H7584"/>
      <c r="I7584"/>
      <c r="K7584"/>
      <c r="O7584"/>
      <c r="R7584"/>
      <c r="W7584" s="4"/>
      <c r="X7584" s="4"/>
      <c r="Y7584" s="4"/>
    </row>
    <row r="7585" spans="5:25">
      <c r="E7585"/>
      <c r="G7585"/>
      <c r="H7585"/>
      <c r="I7585"/>
      <c r="K7585"/>
      <c r="O7585"/>
      <c r="R7585"/>
      <c r="W7585" s="4"/>
      <c r="X7585" s="4"/>
      <c r="Y7585" s="4"/>
    </row>
    <row r="7586" spans="5:25">
      <c r="E7586"/>
      <c r="G7586"/>
      <c r="H7586"/>
      <c r="I7586"/>
      <c r="K7586"/>
      <c r="O7586"/>
      <c r="R7586"/>
      <c r="W7586" s="4"/>
      <c r="X7586" s="4"/>
      <c r="Y7586" s="4"/>
    </row>
    <row r="7587" spans="5:25">
      <c r="E7587"/>
      <c r="G7587"/>
      <c r="H7587"/>
      <c r="I7587"/>
      <c r="K7587"/>
      <c r="O7587"/>
      <c r="R7587"/>
      <c r="W7587" s="4"/>
      <c r="X7587" s="4"/>
      <c r="Y7587" s="4"/>
    </row>
    <row r="7588" spans="5:25">
      <c r="E7588"/>
      <c r="G7588"/>
      <c r="H7588"/>
      <c r="I7588"/>
      <c r="K7588"/>
      <c r="O7588"/>
      <c r="R7588"/>
      <c r="W7588" s="4"/>
      <c r="X7588" s="4"/>
      <c r="Y7588" s="4"/>
    </row>
    <row r="7589" spans="5:25">
      <c r="E7589"/>
      <c r="G7589"/>
      <c r="H7589"/>
      <c r="I7589"/>
      <c r="K7589"/>
      <c r="O7589"/>
      <c r="R7589"/>
      <c r="W7589" s="4"/>
      <c r="X7589" s="4"/>
      <c r="Y7589" s="4"/>
    </row>
    <row r="7590" spans="5:25">
      <c r="E7590"/>
      <c r="G7590"/>
      <c r="H7590"/>
      <c r="I7590"/>
      <c r="K7590"/>
      <c r="O7590"/>
      <c r="R7590"/>
      <c r="W7590" s="4"/>
      <c r="X7590" s="4"/>
      <c r="Y7590" s="4"/>
    </row>
    <row r="7591" spans="5:25">
      <c r="E7591"/>
      <c r="G7591"/>
      <c r="H7591"/>
      <c r="I7591"/>
      <c r="K7591"/>
      <c r="O7591"/>
      <c r="R7591"/>
      <c r="W7591" s="4"/>
      <c r="X7591" s="4"/>
      <c r="Y7591" s="4"/>
    </row>
    <row r="7592" spans="5:25">
      <c r="E7592"/>
      <c r="G7592"/>
      <c r="H7592"/>
      <c r="I7592"/>
      <c r="K7592"/>
      <c r="O7592"/>
      <c r="R7592"/>
      <c r="W7592" s="4"/>
      <c r="X7592" s="4"/>
      <c r="Y7592" s="4"/>
    </row>
    <row r="7593" spans="5:25">
      <c r="E7593"/>
      <c r="G7593"/>
      <c r="H7593"/>
      <c r="I7593"/>
      <c r="K7593"/>
      <c r="O7593"/>
      <c r="R7593"/>
      <c r="W7593" s="4"/>
      <c r="X7593" s="4"/>
      <c r="Y7593" s="4"/>
    </row>
    <row r="7594" spans="5:25">
      <c r="E7594"/>
      <c r="G7594"/>
      <c r="H7594"/>
      <c r="I7594"/>
      <c r="K7594"/>
      <c r="O7594"/>
      <c r="R7594"/>
      <c r="W7594" s="4"/>
      <c r="X7594" s="4"/>
      <c r="Y7594" s="4"/>
    </row>
    <row r="7595" spans="5:25">
      <c r="E7595"/>
      <c r="G7595"/>
      <c r="H7595"/>
      <c r="I7595"/>
      <c r="K7595"/>
      <c r="O7595"/>
      <c r="R7595"/>
      <c r="W7595" s="4"/>
      <c r="X7595" s="4"/>
      <c r="Y7595" s="4"/>
    </row>
    <row r="7596" spans="5:25">
      <c r="E7596"/>
      <c r="G7596"/>
      <c r="H7596"/>
      <c r="I7596"/>
      <c r="K7596"/>
      <c r="O7596"/>
      <c r="R7596"/>
      <c r="W7596" s="4"/>
      <c r="X7596" s="4"/>
      <c r="Y7596" s="4"/>
    </row>
    <row r="7597" spans="5:25">
      <c r="E7597"/>
      <c r="G7597"/>
      <c r="H7597"/>
      <c r="I7597"/>
      <c r="K7597"/>
      <c r="O7597"/>
      <c r="R7597"/>
      <c r="W7597" s="4"/>
      <c r="X7597" s="4"/>
      <c r="Y7597" s="4"/>
    </row>
    <row r="7598" spans="5:25">
      <c r="E7598"/>
      <c r="G7598"/>
      <c r="H7598"/>
      <c r="I7598"/>
      <c r="K7598"/>
      <c r="O7598"/>
      <c r="R7598"/>
      <c r="W7598" s="4"/>
      <c r="X7598" s="4"/>
      <c r="Y7598" s="4"/>
    </row>
    <row r="7599" spans="5:25">
      <c r="E7599"/>
      <c r="G7599"/>
      <c r="H7599"/>
      <c r="I7599"/>
      <c r="K7599"/>
      <c r="O7599"/>
      <c r="R7599"/>
      <c r="W7599" s="4"/>
      <c r="X7599" s="4"/>
      <c r="Y7599" s="4"/>
    </row>
    <row r="7600" spans="5:25">
      <c r="E7600"/>
      <c r="G7600"/>
      <c r="H7600"/>
      <c r="I7600"/>
      <c r="K7600"/>
      <c r="O7600"/>
      <c r="R7600"/>
      <c r="W7600" s="4"/>
      <c r="X7600" s="4"/>
      <c r="Y7600" s="4"/>
    </row>
    <row r="7601" spans="5:25">
      <c r="E7601"/>
      <c r="G7601"/>
      <c r="H7601"/>
      <c r="I7601"/>
      <c r="K7601"/>
      <c r="O7601"/>
      <c r="R7601"/>
      <c r="W7601" s="4"/>
      <c r="X7601" s="4"/>
      <c r="Y7601" s="4"/>
    </row>
    <row r="7602" spans="5:25">
      <c r="E7602"/>
      <c r="G7602"/>
      <c r="H7602"/>
      <c r="I7602"/>
      <c r="K7602"/>
      <c r="O7602"/>
      <c r="R7602"/>
      <c r="W7602" s="4"/>
      <c r="X7602" s="4"/>
      <c r="Y7602" s="4"/>
    </row>
    <row r="7603" spans="5:25">
      <c r="E7603"/>
      <c r="G7603"/>
      <c r="H7603"/>
      <c r="I7603"/>
      <c r="K7603"/>
      <c r="O7603"/>
      <c r="R7603"/>
      <c r="W7603" s="4"/>
      <c r="X7603" s="4"/>
      <c r="Y7603" s="4"/>
    </row>
    <row r="7604" spans="5:25">
      <c r="E7604"/>
      <c r="G7604"/>
      <c r="H7604"/>
      <c r="I7604"/>
      <c r="K7604"/>
      <c r="O7604"/>
      <c r="R7604"/>
      <c r="W7604" s="4"/>
      <c r="X7604" s="4"/>
      <c r="Y7604" s="4"/>
    </row>
    <row r="7605" spans="5:25">
      <c r="E7605"/>
      <c r="G7605"/>
      <c r="H7605"/>
      <c r="I7605"/>
      <c r="K7605"/>
      <c r="O7605"/>
      <c r="R7605"/>
      <c r="W7605" s="4"/>
      <c r="X7605" s="4"/>
      <c r="Y7605" s="4"/>
    </row>
    <row r="7606" spans="5:25">
      <c r="E7606"/>
      <c r="G7606"/>
      <c r="H7606"/>
      <c r="I7606"/>
      <c r="K7606"/>
      <c r="O7606"/>
      <c r="R7606"/>
      <c r="W7606" s="4"/>
      <c r="X7606" s="4"/>
      <c r="Y7606" s="4"/>
    </row>
    <row r="7607" spans="5:25">
      <c r="E7607"/>
      <c r="G7607"/>
      <c r="H7607"/>
      <c r="I7607"/>
      <c r="K7607"/>
      <c r="O7607"/>
      <c r="R7607"/>
      <c r="W7607" s="4"/>
      <c r="X7607" s="4"/>
      <c r="Y7607" s="4"/>
    </row>
    <row r="7608" spans="5:25">
      <c r="E7608"/>
      <c r="G7608"/>
      <c r="H7608"/>
      <c r="I7608"/>
      <c r="K7608"/>
      <c r="O7608"/>
      <c r="R7608"/>
      <c r="W7608" s="4"/>
      <c r="X7608" s="4"/>
      <c r="Y7608" s="4"/>
    </row>
    <row r="7609" spans="5:25">
      <c r="E7609"/>
      <c r="G7609"/>
      <c r="H7609"/>
      <c r="I7609"/>
      <c r="K7609"/>
      <c r="O7609"/>
      <c r="R7609"/>
      <c r="W7609" s="4"/>
      <c r="X7609" s="4"/>
      <c r="Y7609" s="4"/>
    </row>
    <row r="7610" spans="5:25">
      <c r="E7610"/>
      <c r="G7610"/>
      <c r="H7610"/>
      <c r="I7610"/>
      <c r="K7610"/>
      <c r="O7610"/>
      <c r="R7610"/>
      <c r="W7610" s="4"/>
      <c r="X7610" s="4"/>
      <c r="Y7610" s="4"/>
    </row>
    <row r="7611" spans="5:25">
      <c r="E7611"/>
      <c r="G7611"/>
      <c r="H7611"/>
      <c r="I7611"/>
      <c r="K7611"/>
      <c r="O7611"/>
      <c r="R7611"/>
      <c r="W7611" s="4"/>
      <c r="X7611" s="4"/>
      <c r="Y7611" s="4"/>
    </row>
    <row r="7612" spans="5:25">
      <c r="E7612"/>
      <c r="G7612"/>
      <c r="H7612"/>
      <c r="I7612"/>
      <c r="K7612"/>
      <c r="O7612"/>
      <c r="R7612"/>
      <c r="W7612" s="4"/>
      <c r="X7612" s="4"/>
      <c r="Y7612" s="4"/>
    </row>
    <row r="7613" spans="5:25">
      <c r="E7613"/>
      <c r="G7613"/>
      <c r="H7613"/>
      <c r="I7613"/>
      <c r="K7613"/>
      <c r="O7613"/>
      <c r="R7613"/>
      <c r="W7613" s="4"/>
      <c r="X7613" s="4"/>
      <c r="Y7613" s="4"/>
    </row>
    <row r="7614" spans="5:25">
      <c r="E7614"/>
      <c r="G7614"/>
      <c r="H7614"/>
      <c r="I7614"/>
      <c r="K7614"/>
      <c r="O7614"/>
      <c r="R7614"/>
      <c r="W7614" s="4"/>
      <c r="X7614" s="4"/>
      <c r="Y7614" s="4"/>
    </row>
    <row r="7615" spans="5:25">
      <c r="E7615"/>
      <c r="G7615"/>
      <c r="H7615"/>
      <c r="I7615"/>
      <c r="K7615"/>
      <c r="O7615"/>
      <c r="R7615"/>
      <c r="W7615" s="4"/>
      <c r="X7615" s="4"/>
      <c r="Y7615" s="4"/>
    </row>
    <row r="7616" spans="5:25">
      <c r="E7616"/>
      <c r="G7616"/>
      <c r="H7616"/>
      <c r="I7616"/>
      <c r="K7616"/>
      <c r="O7616"/>
      <c r="R7616"/>
      <c r="W7616" s="4"/>
      <c r="X7616" s="4"/>
      <c r="Y7616" s="4"/>
    </row>
    <row r="7617" spans="5:25">
      <c r="E7617"/>
      <c r="G7617"/>
      <c r="H7617"/>
      <c r="I7617"/>
      <c r="K7617"/>
      <c r="O7617"/>
      <c r="R7617"/>
      <c r="W7617" s="4"/>
      <c r="X7617" s="4"/>
      <c r="Y7617" s="4"/>
    </row>
    <row r="7618" spans="5:25">
      <c r="E7618"/>
      <c r="G7618"/>
      <c r="H7618"/>
      <c r="I7618"/>
      <c r="K7618"/>
      <c r="O7618"/>
      <c r="R7618"/>
      <c r="W7618" s="4"/>
      <c r="X7618" s="4"/>
      <c r="Y7618" s="4"/>
    </row>
    <row r="7619" spans="5:25">
      <c r="E7619"/>
      <c r="G7619"/>
      <c r="H7619"/>
      <c r="I7619"/>
      <c r="K7619"/>
      <c r="O7619"/>
      <c r="R7619"/>
      <c r="W7619" s="4"/>
      <c r="X7619" s="4"/>
      <c r="Y7619" s="4"/>
    </row>
    <row r="7620" spans="5:25">
      <c r="E7620"/>
      <c r="G7620"/>
      <c r="H7620"/>
      <c r="I7620"/>
      <c r="K7620"/>
      <c r="O7620"/>
      <c r="R7620"/>
      <c r="W7620" s="4"/>
      <c r="X7620" s="4"/>
      <c r="Y7620" s="4"/>
    </row>
    <row r="7621" spans="5:25">
      <c r="E7621"/>
      <c r="G7621"/>
      <c r="H7621"/>
      <c r="I7621"/>
      <c r="K7621"/>
      <c r="O7621"/>
      <c r="R7621"/>
      <c r="W7621" s="4"/>
      <c r="X7621" s="4"/>
      <c r="Y7621" s="4"/>
    </row>
    <row r="7622" spans="5:25">
      <c r="E7622"/>
      <c r="G7622"/>
      <c r="H7622"/>
      <c r="I7622"/>
      <c r="K7622"/>
      <c r="O7622"/>
      <c r="R7622"/>
      <c r="W7622" s="4"/>
      <c r="X7622" s="4"/>
      <c r="Y7622" s="4"/>
    </row>
    <row r="7623" spans="5:25">
      <c r="E7623"/>
      <c r="G7623"/>
      <c r="H7623"/>
      <c r="I7623"/>
      <c r="K7623"/>
      <c r="O7623"/>
      <c r="R7623"/>
      <c r="W7623" s="4"/>
      <c r="X7623" s="4"/>
      <c r="Y7623" s="4"/>
    </row>
    <row r="7624" spans="5:25">
      <c r="E7624"/>
      <c r="G7624"/>
      <c r="H7624"/>
      <c r="I7624"/>
      <c r="K7624"/>
      <c r="O7624"/>
      <c r="R7624"/>
      <c r="W7624" s="4"/>
      <c r="X7624" s="4"/>
      <c r="Y7624" s="4"/>
    </row>
    <row r="7625" spans="5:25">
      <c r="E7625"/>
      <c r="G7625"/>
      <c r="H7625"/>
      <c r="I7625"/>
      <c r="K7625"/>
      <c r="O7625"/>
      <c r="R7625"/>
      <c r="W7625" s="4"/>
      <c r="X7625" s="4"/>
      <c r="Y7625" s="4"/>
    </row>
    <row r="7626" spans="5:25">
      <c r="E7626"/>
      <c r="G7626"/>
      <c r="H7626"/>
      <c r="I7626"/>
      <c r="K7626"/>
      <c r="O7626"/>
      <c r="R7626"/>
      <c r="W7626" s="4"/>
      <c r="X7626" s="4"/>
      <c r="Y7626" s="4"/>
    </row>
    <row r="7627" spans="5:25">
      <c r="E7627"/>
      <c r="G7627"/>
      <c r="H7627"/>
      <c r="I7627"/>
      <c r="K7627"/>
      <c r="O7627"/>
      <c r="R7627"/>
      <c r="W7627" s="4"/>
      <c r="X7627" s="4"/>
      <c r="Y7627" s="4"/>
    </row>
    <row r="7628" spans="5:25">
      <c r="E7628"/>
      <c r="G7628"/>
      <c r="H7628"/>
      <c r="I7628"/>
      <c r="K7628"/>
      <c r="O7628"/>
      <c r="R7628"/>
      <c r="W7628" s="4"/>
      <c r="X7628" s="4"/>
      <c r="Y7628" s="4"/>
    </row>
    <row r="7629" spans="5:25">
      <c r="E7629"/>
      <c r="G7629"/>
      <c r="H7629"/>
      <c r="I7629"/>
      <c r="K7629"/>
      <c r="O7629"/>
      <c r="R7629"/>
      <c r="W7629" s="4"/>
      <c r="X7629" s="4"/>
      <c r="Y7629" s="4"/>
    </row>
    <row r="7630" spans="5:25">
      <c r="E7630"/>
      <c r="G7630"/>
      <c r="H7630"/>
      <c r="I7630"/>
      <c r="K7630"/>
      <c r="O7630"/>
      <c r="R7630"/>
      <c r="W7630" s="4"/>
      <c r="X7630" s="4"/>
      <c r="Y7630" s="4"/>
    </row>
    <row r="7631" spans="5:25">
      <c r="E7631"/>
      <c r="G7631"/>
      <c r="H7631"/>
      <c r="I7631"/>
      <c r="K7631"/>
      <c r="O7631"/>
      <c r="R7631"/>
      <c r="W7631" s="4"/>
      <c r="X7631" s="4"/>
      <c r="Y7631" s="4"/>
    </row>
    <row r="7632" spans="5:25">
      <c r="E7632"/>
      <c r="G7632"/>
      <c r="H7632"/>
      <c r="I7632"/>
      <c r="K7632"/>
      <c r="O7632"/>
      <c r="R7632"/>
      <c r="W7632" s="4"/>
      <c r="X7632" s="4"/>
      <c r="Y7632" s="4"/>
    </row>
    <row r="7633" spans="5:25">
      <c r="E7633"/>
      <c r="G7633"/>
      <c r="H7633"/>
      <c r="I7633"/>
      <c r="K7633"/>
      <c r="O7633"/>
      <c r="R7633"/>
      <c r="W7633" s="4"/>
      <c r="X7633" s="4"/>
      <c r="Y7633" s="4"/>
    </row>
    <row r="7634" spans="5:25">
      <c r="E7634"/>
      <c r="G7634"/>
      <c r="H7634"/>
      <c r="I7634"/>
      <c r="K7634"/>
      <c r="O7634"/>
      <c r="R7634"/>
      <c r="W7634" s="4"/>
      <c r="X7634" s="4"/>
      <c r="Y7634" s="4"/>
    </row>
    <row r="7635" spans="5:25">
      <c r="E7635"/>
      <c r="G7635"/>
      <c r="H7635"/>
      <c r="I7635"/>
      <c r="K7635"/>
      <c r="O7635"/>
      <c r="R7635"/>
      <c r="W7635" s="4"/>
      <c r="X7635" s="4"/>
      <c r="Y7635" s="4"/>
    </row>
    <row r="7636" spans="5:25">
      <c r="E7636"/>
      <c r="G7636"/>
      <c r="H7636"/>
      <c r="I7636"/>
      <c r="K7636"/>
      <c r="O7636"/>
      <c r="R7636"/>
      <c r="W7636" s="4"/>
      <c r="X7636" s="4"/>
      <c r="Y7636" s="4"/>
    </row>
    <row r="7637" spans="5:25">
      <c r="E7637"/>
      <c r="G7637"/>
      <c r="H7637"/>
      <c r="I7637"/>
      <c r="K7637"/>
      <c r="O7637"/>
      <c r="R7637"/>
      <c r="W7637" s="4"/>
      <c r="X7637" s="4"/>
      <c r="Y7637" s="4"/>
    </row>
    <row r="7638" spans="5:25">
      <c r="E7638"/>
      <c r="G7638"/>
      <c r="H7638"/>
      <c r="I7638"/>
      <c r="K7638"/>
      <c r="O7638"/>
      <c r="R7638"/>
      <c r="W7638" s="4"/>
      <c r="X7638" s="4"/>
      <c r="Y7638" s="4"/>
    </row>
    <row r="7639" spans="5:25">
      <c r="E7639"/>
      <c r="G7639"/>
      <c r="H7639"/>
      <c r="I7639"/>
      <c r="K7639"/>
      <c r="O7639"/>
      <c r="R7639"/>
      <c r="W7639" s="4"/>
      <c r="X7639" s="4"/>
      <c r="Y7639" s="4"/>
    </row>
    <row r="7640" spans="5:25">
      <c r="E7640"/>
      <c r="G7640"/>
      <c r="H7640"/>
      <c r="I7640"/>
      <c r="K7640"/>
      <c r="O7640"/>
      <c r="R7640"/>
      <c r="W7640" s="4"/>
      <c r="X7640" s="4"/>
      <c r="Y7640" s="4"/>
    </row>
    <row r="7641" spans="5:25">
      <c r="E7641"/>
      <c r="G7641"/>
      <c r="H7641"/>
      <c r="I7641"/>
      <c r="K7641"/>
      <c r="O7641"/>
      <c r="R7641"/>
      <c r="W7641" s="4"/>
      <c r="X7641" s="4"/>
      <c r="Y7641" s="4"/>
    </row>
    <row r="7642" spans="5:25">
      <c r="E7642"/>
      <c r="G7642"/>
      <c r="H7642"/>
      <c r="I7642"/>
      <c r="K7642"/>
      <c r="O7642"/>
      <c r="R7642"/>
      <c r="W7642" s="4"/>
      <c r="X7642" s="4"/>
      <c r="Y7642" s="4"/>
    </row>
    <row r="7643" spans="5:25">
      <c r="E7643"/>
      <c r="G7643"/>
      <c r="H7643"/>
      <c r="I7643"/>
      <c r="K7643"/>
      <c r="O7643"/>
      <c r="R7643"/>
      <c r="W7643" s="4"/>
      <c r="X7643" s="4"/>
      <c r="Y7643" s="4"/>
    </row>
    <row r="7644" spans="5:25">
      <c r="E7644"/>
      <c r="G7644"/>
      <c r="H7644"/>
      <c r="I7644"/>
      <c r="K7644"/>
      <c r="O7644"/>
      <c r="R7644"/>
      <c r="W7644" s="4"/>
      <c r="X7644" s="4"/>
      <c r="Y7644" s="4"/>
    </row>
    <row r="7645" spans="5:25">
      <c r="E7645"/>
      <c r="G7645"/>
      <c r="H7645"/>
      <c r="I7645"/>
      <c r="K7645"/>
      <c r="O7645"/>
      <c r="R7645"/>
      <c r="W7645" s="4"/>
      <c r="X7645" s="4"/>
      <c r="Y7645" s="4"/>
    </row>
    <row r="7646" spans="5:25">
      <c r="E7646"/>
      <c r="G7646"/>
      <c r="H7646"/>
      <c r="I7646"/>
      <c r="K7646"/>
      <c r="O7646"/>
      <c r="R7646"/>
      <c r="W7646" s="4"/>
      <c r="X7646" s="4"/>
      <c r="Y7646" s="4"/>
    </row>
    <row r="7647" spans="5:25">
      <c r="E7647"/>
      <c r="G7647"/>
      <c r="H7647"/>
      <c r="I7647"/>
      <c r="K7647"/>
      <c r="O7647"/>
      <c r="R7647"/>
      <c r="W7647" s="4"/>
      <c r="X7647" s="4"/>
      <c r="Y7647" s="4"/>
    </row>
    <row r="7648" spans="5:25">
      <c r="E7648"/>
      <c r="G7648"/>
      <c r="H7648"/>
      <c r="I7648"/>
      <c r="K7648"/>
      <c r="O7648"/>
      <c r="R7648"/>
      <c r="W7648" s="4"/>
      <c r="X7648" s="4"/>
      <c r="Y7648" s="4"/>
    </row>
    <row r="7649" spans="5:25">
      <c r="E7649"/>
      <c r="G7649"/>
      <c r="H7649"/>
      <c r="I7649"/>
      <c r="K7649"/>
      <c r="O7649"/>
      <c r="R7649"/>
      <c r="W7649" s="4"/>
      <c r="X7649" s="4"/>
      <c r="Y7649" s="4"/>
    </row>
    <row r="7650" spans="5:25">
      <c r="E7650"/>
      <c r="G7650"/>
      <c r="H7650"/>
      <c r="I7650"/>
      <c r="K7650"/>
      <c r="O7650"/>
      <c r="R7650"/>
      <c r="W7650" s="4"/>
      <c r="X7650" s="4"/>
      <c r="Y7650" s="4"/>
    </row>
    <row r="7651" spans="5:25">
      <c r="E7651"/>
      <c r="G7651"/>
      <c r="H7651"/>
      <c r="I7651"/>
      <c r="K7651"/>
      <c r="O7651"/>
      <c r="R7651"/>
      <c r="W7651" s="4"/>
      <c r="X7651" s="4"/>
      <c r="Y7651" s="4"/>
    </row>
    <row r="7652" spans="5:25">
      <c r="E7652"/>
      <c r="G7652"/>
      <c r="H7652"/>
      <c r="I7652"/>
      <c r="K7652"/>
      <c r="O7652"/>
      <c r="R7652"/>
      <c r="W7652" s="4"/>
      <c r="X7652" s="4"/>
      <c r="Y7652" s="4"/>
    </row>
    <row r="7653" spans="5:25">
      <c r="E7653"/>
      <c r="G7653"/>
      <c r="H7653"/>
      <c r="I7653"/>
      <c r="K7653"/>
      <c r="O7653"/>
      <c r="R7653"/>
      <c r="W7653" s="4"/>
      <c r="X7653" s="4"/>
      <c r="Y7653" s="4"/>
    </row>
    <row r="7654" spans="5:25">
      <c r="E7654"/>
      <c r="G7654"/>
      <c r="H7654"/>
      <c r="I7654"/>
      <c r="K7654"/>
      <c r="O7654"/>
      <c r="R7654"/>
      <c r="W7654" s="4"/>
      <c r="X7654" s="4"/>
      <c r="Y7654" s="4"/>
    </row>
    <row r="7655" spans="5:25">
      <c r="E7655"/>
      <c r="G7655"/>
      <c r="H7655"/>
      <c r="I7655"/>
      <c r="K7655"/>
      <c r="O7655"/>
      <c r="R7655"/>
      <c r="W7655" s="4"/>
      <c r="X7655" s="4"/>
      <c r="Y7655" s="4"/>
    </row>
    <row r="7656" spans="5:25">
      <c r="E7656"/>
      <c r="G7656"/>
      <c r="H7656"/>
      <c r="I7656"/>
      <c r="K7656"/>
      <c r="O7656"/>
      <c r="R7656"/>
      <c r="W7656" s="4"/>
      <c r="X7656" s="4"/>
      <c r="Y7656" s="4"/>
    </row>
    <row r="7657" spans="5:25">
      <c r="E7657"/>
      <c r="G7657"/>
      <c r="H7657"/>
      <c r="I7657"/>
      <c r="K7657"/>
      <c r="O7657"/>
      <c r="R7657"/>
      <c r="W7657" s="4"/>
      <c r="X7657" s="4"/>
      <c r="Y7657" s="4"/>
    </row>
    <row r="7658" spans="5:25">
      <c r="E7658"/>
      <c r="G7658"/>
      <c r="H7658"/>
      <c r="I7658"/>
      <c r="K7658"/>
      <c r="O7658"/>
      <c r="R7658"/>
      <c r="W7658" s="4"/>
      <c r="X7658" s="4"/>
      <c r="Y7658" s="4"/>
    </row>
    <row r="7659" spans="5:25">
      <c r="E7659"/>
      <c r="G7659"/>
      <c r="H7659"/>
      <c r="I7659"/>
      <c r="K7659"/>
      <c r="O7659"/>
      <c r="R7659"/>
      <c r="W7659" s="4"/>
      <c r="X7659" s="4"/>
      <c r="Y7659" s="4"/>
    </row>
    <row r="7660" spans="5:25">
      <c r="E7660"/>
      <c r="G7660"/>
      <c r="H7660"/>
      <c r="I7660"/>
      <c r="K7660"/>
      <c r="O7660"/>
      <c r="R7660"/>
      <c r="W7660" s="4"/>
      <c r="X7660" s="4"/>
      <c r="Y7660" s="4"/>
    </row>
    <row r="7661" spans="5:25">
      <c r="E7661"/>
      <c r="G7661"/>
      <c r="H7661"/>
      <c r="I7661"/>
      <c r="K7661"/>
      <c r="O7661"/>
      <c r="R7661"/>
      <c r="W7661" s="4"/>
      <c r="X7661" s="4"/>
      <c r="Y7661" s="4"/>
    </row>
    <row r="7662" spans="5:25">
      <c r="E7662"/>
      <c r="G7662"/>
      <c r="H7662"/>
      <c r="I7662"/>
      <c r="K7662"/>
      <c r="O7662"/>
      <c r="R7662"/>
      <c r="W7662" s="4"/>
      <c r="X7662" s="4"/>
      <c r="Y7662" s="4"/>
    </row>
    <row r="7663" spans="5:25">
      <c r="E7663"/>
      <c r="G7663"/>
      <c r="H7663"/>
      <c r="I7663"/>
      <c r="K7663"/>
      <c r="O7663"/>
      <c r="R7663"/>
      <c r="W7663" s="4"/>
      <c r="X7663" s="4"/>
      <c r="Y7663" s="4"/>
    </row>
    <row r="7664" spans="5:25">
      <c r="E7664"/>
      <c r="G7664"/>
      <c r="H7664"/>
      <c r="I7664"/>
      <c r="K7664"/>
      <c r="O7664"/>
      <c r="R7664"/>
      <c r="W7664" s="4"/>
      <c r="X7664" s="4"/>
      <c r="Y7664" s="4"/>
    </row>
    <row r="7665" spans="5:25">
      <c r="E7665"/>
      <c r="G7665"/>
      <c r="H7665"/>
      <c r="I7665"/>
      <c r="K7665"/>
      <c r="O7665"/>
      <c r="R7665"/>
      <c r="W7665" s="4"/>
      <c r="X7665" s="4"/>
      <c r="Y7665" s="4"/>
    </row>
    <row r="7666" spans="5:25">
      <c r="E7666"/>
      <c r="G7666"/>
      <c r="H7666"/>
      <c r="I7666"/>
      <c r="K7666"/>
      <c r="O7666"/>
      <c r="R7666"/>
      <c r="W7666" s="4"/>
      <c r="X7666" s="4"/>
      <c r="Y7666" s="4"/>
    </row>
    <row r="7667" spans="5:25">
      <c r="E7667"/>
      <c r="G7667"/>
      <c r="H7667"/>
      <c r="I7667"/>
      <c r="K7667"/>
      <c r="O7667"/>
      <c r="R7667"/>
      <c r="W7667" s="4"/>
      <c r="X7667" s="4"/>
      <c r="Y7667" s="4"/>
    </row>
    <row r="7668" spans="5:25">
      <c r="E7668"/>
      <c r="G7668"/>
      <c r="H7668"/>
      <c r="I7668"/>
      <c r="K7668"/>
      <c r="O7668"/>
      <c r="R7668"/>
      <c r="W7668" s="4"/>
      <c r="X7668" s="4"/>
      <c r="Y7668" s="4"/>
    </row>
    <row r="7669" spans="5:25">
      <c r="E7669"/>
      <c r="G7669"/>
      <c r="H7669"/>
      <c r="I7669"/>
      <c r="K7669"/>
      <c r="O7669"/>
      <c r="R7669"/>
      <c r="W7669" s="4"/>
      <c r="X7669" s="4"/>
      <c r="Y7669" s="4"/>
    </row>
    <row r="7670" spans="5:25">
      <c r="E7670"/>
      <c r="G7670"/>
      <c r="H7670"/>
      <c r="I7670"/>
      <c r="K7670"/>
      <c r="O7670"/>
      <c r="R7670"/>
      <c r="W7670" s="4"/>
      <c r="X7670" s="4"/>
      <c r="Y7670" s="4"/>
    </row>
    <row r="7671" spans="5:25">
      <c r="E7671"/>
      <c r="G7671"/>
      <c r="H7671"/>
      <c r="I7671"/>
      <c r="K7671"/>
      <c r="O7671"/>
      <c r="R7671"/>
      <c r="W7671" s="4"/>
      <c r="X7671" s="4"/>
      <c r="Y7671" s="4"/>
    </row>
    <row r="7672" spans="5:25">
      <c r="E7672"/>
      <c r="G7672"/>
      <c r="H7672"/>
      <c r="I7672"/>
      <c r="K7672"/>
      <c r="O7672"/>
      <c r="R7672"/>
      <c r="W7672" s="4"/>
      <c r="X7672" s="4"/>
      <c r="Y7672" s="4"/>
    </row>
    <row r="7673" spans="5:25">
      <c r="E7673"/>
      <c r="G7673"/>
      <c r="H7673"/>
      <c r="I7673"/>
      <c r="K7673"/>
      <c r="O7673"/>
      <c r="R7673"/>
      <c r="W7673" s="4"/>
      <c r="X7673" s="4"/>
      <c r="Y7673" s="4"/>
    </row>
    <row r="7674" spans="5:25">
      <c r="E7674"/>
      <c r="G7674"/>
      <c r="H7674"/>
      <c r="I7674"/>
      <c r="K7674"/>
      <c r="O7674"/>
      <c r="R7674"/>
      <c r="W7674" s="4"/>
      <c r="X7674" s="4"/>
      <c r="Y7674" s="4"/>
    </row>
    <row r="7675" spans="5:25">
      <c r="E7675"/>
      <c r="G7675"/>
      <c r="H7675"/>
      <c r="I7675"/>
      <c r="K7675"/>
      <c r="O7675"/>
      <c r="R7675"/>
      <c r="W7675" s="4"/>
      <c r="X7675" s="4"/>
      <c r="Y7675" s="4"/>
    </row>
    <row r="7676" spans="5:25">
      <c r="E7676"/>
      <c r="G7676"/>
      <c r="H7676"/>
      <c r="I7676"/>
      <c r="K7676"/>
      <c r="O7676"/>
      <c r="R7676"/>
      <c r="W7676" s="4"/>
      <c r="X7676" s="4"/>
      <c r="Y7676" s="4"/>
    </row>
    <row r="7677" spans="5:25">
      <c r="E7677"/>
      <c r="G7677"/>
      <c r="H7677"/>
      <c r="I7677"/>
      <c r="K7677"/>
      <c r="O7677"/>
      <c r="R7677"/>
      <c r="W7677" s="4"/>
      <c r="X7677" s="4"/>
      <c r="Y7677" s="4"/>
    </row>
    <row r="7678" spans="5:25">
      <c r="E7678"/>
      <c r="G7678"/>
      <c r="H7678"/>
      <c r="I7678"/>
      <c r="K7678"/>
      <c r="O7678"/>
      <c r="R7678"/>
      <c r="W7678" s="4"/>
      <c r="X7678" s="4"/>
      <c r="Y7678" s="4"/>
    </row>
    <row r="7679" spans="5:25">
      <c r="E7679"/>
      <c r="G7679"/>
      <c r="H7679"/>
      <c r="I7679"/>
      <c r="K7679"/>
      <c r="O7679"/>
      <c r="R7679"/>
      <c r="W7679" s="4"/>
      <c r="X7679" s="4"/>
      <c r="Y7679" s="4"/>
    </row>
    <row r="7680" spans="5:25">
      <c r="E7680"/>
      <c r="G7680"/>
      <c r="H7680"/>
      <c r="I7680"/>
      <c r="K7680"/>
      <c r="O7680"/>
      <c r="R7680"/>
      <c r="W7680" s="4"/>
      <c r="X7680" s="4"/>
      <c r="Y7680" s="4"/>
    </row>
    <row r="7681" spans="5:25">
      <c r="E7681"/>
      <c r="G7681"/>
      <c r="H7681"/>
      <c r="I7681"/>
      <c r="K7681"/>
      <c r="O7681"/>
      <c r="R7681"/>
      <c r="W7681" s="4"/>
      <c r="X7681" s="4"/>
      <c r="Y7681" s="4"/>
    </row>
    <row r="7682" spans="5:25">
      <c r="E7682"/>
      <c r="G7682"/>
      <c r="H7682"/>
      <c r="I7682"/>
      <c r="K7682"/>
      <c r="O7682"/>
      <c r="R7682"/>
      <c r="W7682" s="4"/>
      <c r="X7682" s="4"/>
      <c r="Y7682" s="4"/>
    </row>
    <row r="7683" spans="5:25">
      <c r="E7683"/>
      <c r="G7683"/>
      <c r="H7683"/>
      <c r="I7683"/>
      <c r="K7683"/>
      <c r="O7683"/>
      <c r="R7683"/>
      <c r="W7683" s="4"/>
      <c r="X7683" s="4"/>
      <c r="Y7683" s="4"/>
    </row>
    <row r="7684" spans="5:25">
      <c r="E7684"/>
      <c r="G7684"/>
      <c r="H7684"/>
      <c r="I7684"/>
      <c r="K7684"/>
      <c r="O7684"/>
      <c r="R7684"/>
      <c r="W7684" s="4"/>
      <c r="X7684" s="4"/>
      <c r="Y7684" s="4"/>
    </row>
    <row r="7685" spans="5:25">
      <c r="E7685"/>
      <c r="G7685"/>
      <c r="H7685"/>
      <c r="I7685"/>
      <c r="K7685"/>
      <c r="O7685"/>
      <c r="R7685"/>
      <c r="W7685" s="4"/>
      <c r="X7685" s="4"/>
      <c r="Y7685" s="4"/>
    </row>
    <row r="7686" spans="5:25">
      <c r="E7686"/>
      <c r="G7686"/>
      <c r="H7686"/>
      <c r="I7686"/>
      <c r="K7686"/>
      <c r="O7686"/>
      <c r="R7686"/>
      <c r="W7686" s="4"/>
      <c r="X7686" s="4"/>
      <c r="Y7686" s="4"/>
    </row>
    <row r="7687" spans="5:25">
      <c r="E7687"/>
      <c r="G7687"/>
      <c r="H7687"/>
      <c r="I7687"/>
      <c r="K7687"/>
      <c r="O7687"/>
      <c r="R7687"/>
      <c r="W7687" s="4"/>
      <c r="X7687" s="4"/>
      <c r="Y7687" s="4"/>
    </row>
    <row r="7688" spans="5:25">
      <c r="E7688"/>
      <c r="G7688"/>
      <c r="H7688"/>
      <c r="I7688"/>
      <c r="K7688"/>
      <c r="O7688"/>
      <c r="R7688"/>
      <c r="W7688" s="4"/>
      <c r="X7688" s="4"/>
      <c r="Y7688" s="4"/>
    </row>
    <row r="7689" spans="5:25">
      <c r="E7689"/>
      <c r="G7689"/>
      <c r="H7689"/>
      <c r="I7689"/>
      <c r="K7689"/>
      <c r="O7689"/>
      <c r="R7689"/>
      <c r="W7689" s="4"/>
      <c r="X7689" s="4"/>
      <c r="Y7689" s="4"/>
    </row>
    <row r="7690" spans="5:25">
      <c r="E7690"/>
      <c r="G7690"/>
      <c r="H7690"/>
      <c r="I7690"/>
      <c r="K7690"/>
      <c r="O7690"/>
      <c r="R7690"/>
      <c r="W7690" s="4"/>
      <c r="X7690" s="4"/>
      <c r="Y7690" s="4"/>
    </row>
    <row r="7691" spans="5:25">
      <c r="E7691"/>
      <c r="G7691"/>
      <c r="H7691"/>
      <c r="I7691"/>
      <c r="K7691"/>
      <c r="O7691"/>
      <c r="R7691"/>
      <c r="W7691" s="4"/>
      <c r="X7691" s="4"/>
      <c r="Y7691" s="4"/>
    </row>
    <row r="7692" spans="5:25">
      <c r="E7692"/>
      <c r="G7692"/>
      <c r="H7692"/>
      <c r="I7692"/>
      <c r="K7692"/>
      <c r="O7692"/>
      <c r="R7692"/>
      <c r="W7692" s="4"/>
      <c r="X7692" s="4"/>
      <c r="Y7692" s="4"/>
    </row>
    <row r="7693" spans="5:25">
      <c r="E7693"/>
      <c r="G7693"/>
      <c r="H7693"/>
      <c r="I7693"/>
      <c r="K7693"/>
      <c r="O7693"/>
      <c r="R7693"/>
      <c r="W7693" s="4"/>
      <c r="X7693" s="4"/>
      <c r="Y7693" s="4"/>
    </row>
    <row r="7694" spans="5:25">
      <c r="E7694"/>
      <c r="G7694"/>
      <c r="H7694"/>
      <c r="I7694"/>
      <c r="K7694"/>
      <c r="O7694"/>
      <c r="R7694"/>
      <c r="W7694" s="4"/>
      <c r="X7694" s="4"/>
      <c r="Y7694" s="4"/>
    </row>
    <row r="7695" spans="5:25">
      <c r="E7695"/>
      <c r="G7695"/>
      <c r="H7695"/>
      <c r="I7695"/>
      <c r="K7695"/>
      <c r="O7695"/>
      <c r="R7695"/>
      <c r="W7695" s="4"/>
      <c r="X7695" s="4"/>
      <c r="Y7695" s="4"/>
    </row>
    <row r="7696" spans="5:25">
      <c r="E7696"/>
      <c r="G7696"/>
      <c r="H7696"/>
      <c r="I7696"/>
      <c r="K7696"/>
      <c r="O7696"/>
      <c r="R7696"/>
      <c r="W7696" s="4"/>
      <c r="X7696" s="4"/>
      <c r="Y7696" s="4"/>
    </row>
    <row r="7697" spans="5:25">
      <c r="E7697"/>
      <c r="G7697"/>
      <c r="H7697"/>
      <c r="I7697"/>
      <c r="K7697"/>
      <c r="O7697"/>
      <c r="R7697"/>
      <c r="W7697" s="4"/>
      <c r="X7697" s="4"/>
      <c r="Y7697" s="4"/>
    </row>
    <row r="7698" spans="5:25">
      <c r="E7698"/>
      <c r="G7698"/>
      <c r="H7698"/>
      <c r="I7698"/>
      <c r="K7698"/>
      <c r="O7698"/>
      <c r="R7698"/>
      <c r="W7698" s="4"/>
      <c r="X7698" s="4"/>
      <c r="Y7698" s="4"/>
    </row>
    <row r="7699" spans="5:25">
      <c r="E7699"/>
      <c r="G7699"/>
      <c r="H7699"/>
      <c r="I7699"/>
      <c r="K7699"/>
      <c r="O7699"/>
      <c r="R7699"/>
      <c r="W7699" s="4"/>
      <c r="X7699" s="4"/>
      <c r="Y7699" s="4"/>
    </row>
    <row r="7700" spans="5:25">
      <c r="E7700"/>
      <c r="G7700"/>
      <c r="H7700"/>
      <c r="I7700"/>
      <c r="K7700"/>
      <c r="O7700"/>
      <c r="R7700"/>
      <c r="W7700" s="4"/>
      <c r="X7700" s="4"/>
      <c r="Y7700" s="4"/>
    </row>
    <row r="7701" spans="5:25">
      <c r="E7701"/>
      <c r="G7701"/>
      <c r="H7701"/>
      <c r="I7701"/>
      <c r="K7701"/>
      <c r="O7701"/>
      <c r="R7701"/>
      <c r="W7701" s="4"/>
      <c r="X7701" s="4"/>
      <c r="Y7701" s="4"/>
    </row>
    <row r="7702" spans="5:25">
      <c r="E7702"/>
      <c r="G7702"/>
      <c r="H7702"/>
      <c r="I7702"/>
      <c r="K7702"/>
      <c r="O7702"/>
      <c r="R7702"/>
      <c r="W7702" s="4"/>
      <c r="X7702" s="4"/>
      <c r="Y7702" s="4"/>
    </row>
    <row r="7703" spans="5:25">
      <c r="E7703"/>
      <c r="G7703"/>
      <c r="H7703"/>
      <c r="I7703"/>
      <c r="K7703"/>
      <c r="O7703"/>
      <c r="R7703"/>
      <c r="W7703" s="4"/>
      <c r="X7703" s="4"/>
      <c r="Y7703" s="4"/>
    </row>
    <row r="7704" spans="5:25">
      <c r="E7704"/>
      <c r="G7704"/>
      <c r="H7704"/>
      <c r="I7704"/>
      <c r="K7704"/>
      <c r="O7704"/>
      <c r="R7704"/>
      <c r="W7704" s="4"/>
      <c r="X7704" s="4"/>
      <c r="Y7704" s="4"/>
    </row>
    <row r="7705" spans="5:25">
      <c r="E7705"/>
      <c r="G7705"/>
      <c r="H7705"/>
      <c r="I7705"/>
      <c r="K7705"/>
      <c r="O7705"/>
      <c r="R7705"/>
      <c r="W7705" s="4"/>
      <c r="X7705" s="4"/>
      <c r="Y7705" s="4"/>
    </row>
    <row r="7706" spans="5:25">
      <c r="E7706"/>
      <c r="G7706"/>
      <c r="H7706"/>
      <c r="I7706"/>
      <c r="K7706"/>
      <c r="O7706"/>
      <c r="R7706"/>
      <c r="W7706" s="4"/>
      <c r="X7706" s="4"/>
      <c r="Y7706" s="4"/>
    </row>
    <row r="7707" spans="5:25">
      <c r="E7707"/>
      <c r="G7707"/>
      <c r="H7707"/>
      <c r="I7707"/>
      <c r="K7707"/>
      <c r="O7707"/>
      <c r="R7707"/>
      <c r="W7707" s="4"/>
      <c r="X7707" s="4"/>
      <c r="Y7707" s="4"/>
    </row>
    <row r="7708" spans="5:25">
      <c r="E7708"/>
      <c r="G7708"/>
      <c r="H7708"/>
      <c r="I7708"/>
      <c r="K7708"/>
      <c r="O7708"/>
      <c r="R7708"/>
      <c r="W7708" s="4"/>
      <c r="X7708" s="4"/>
      <c r="Y7708" s="4"/>
    </row>
    <row r="7709" spans="5:25">
      <c r="E7709"/>
      <c r="G7709"/>
      <c r="H7709"/>
      <c r="I7709"/>
      <c r="K7709"/>
      <c r="O7709"/>
      <c r="R7709"/>
      <c r="W7709" s="4"/>
      <c r="X7709" s="4"/>
      <c r="Y7709" s="4"/>
    </row>
    <row r="7710" spans="5:25">
      <c r="E7710"/>
      <c r="G7710"/>
      <c r="H7710"/>
      <c r="I7710"/>
      <c r="K7710"/>
      <c r="O7710"/>
      <c r="R7710"/>
      <c r="W7710" s="4"/>
      <c r="X7710" s="4"/>
      <c r="Y7710" s="4"/>
    </row>
    <row r="7711" spans="5:25">
      <c r="E7711"/>
      <c r="G7711"/>
      <c r="H7711"/>
      <c r="I7711"/>
      <c r="K7711"/>
      <c r="O7711"/>
      <c r="R7711"/>
      <c r="W7711" s="4"/>
      <c r="X7711" s="4"/>
      <c r="Y7711" s="4"/>
    </row>
    <row r="7712" spans="5:25">
      <c r="E7712"/>
      <c r="G7712"/>
      <c r="H7712"/>
      <c r="I7712"/>
      <c r="K7712"/>
      <c r="O7712"/>
      <c r="R7712"/>
      <c r="W7712" s="4"/>
      <c r="X7712" s="4"/>
      <c r="Y7712" s="4"/>
    </row>
    <row r="7713" spans="5:25">
      <c r="E7713"/>
      <c r="G7713"/>
      <c r="H7713"/>
      <c r="I7713"/>
      <c r="K7713"/>
      <c r="O7713"/>
      <c r="R7713"/>
      <c r="W7713" s="4"/>
      <c r="X7713" s="4"/>
      <c r="Y7713" s="4"/>
    </row>
    <row r="7714" spans="5:25">
      <c r="E7714"/>
      <c r="G7714"/>
      <c r="H7714"/>
      <c r="I7714"/>
      <c r="K7714"/>
      <c r="O7714"/>
      <c r="R7714"/>
      <c r="W7714" s="4"/>
      <c r="X7714" s="4"/>
      <c r="Y7714" s="4"/>
    </row>
    <row r="7715" spans="5:25">
      <c r="E7715"/>
      <c r="G7715"/>
      <c r="H7715"/>
      <c r="I7715"/>
      <c r="K7715"/>
      <c r="O7715"/>
      <c r="R7715"/>
      <c r="W7715" s="4"/>
      <c r="X7715" s="4"/>
      <c r="Y7715" s="4"/>
    </row>
    <row r="7716" spans="5:25">
      <c r="E7716"/>
      <c r="G7716"/>
      <c r="H7716"/>
      <c r="I7716"/>
      <c r="K7716"/>
      <c r="O7716"/>
      <c r="R7716"/>
      <c r="W7716" s="4"/>
      <c r="X7716" s="4"/>
      <c r="Y7716" s="4"/>
    </row>
    <row r="7717" spans="5:25">
      <c r="E7717"/>
      <c r="G7717"/>
      <c r="H7717"/>
      <c r="I7717"/>
      <c r="K7717"/>
      <c r="O7717"/>
      <c r="R7717"/>
      <c r="W7717" s="4"/>
      <c r="X7717" s="4"/>
      <c r="Y7717" s="4"/>
    </row>
    <row r="7718" spans="5:25">
      <c r="E7718"/>
      <c r="G7718"/>
      <c r="H7718"/>
      <c r="I7718"/>
      <c r="K7718"/>
      <c r="O7718"/>
      <c r="R7718"/>
      <c r="W7718" s="4"/>
      <c r="X7718" s="4"/>
      <c r="Y7718" s="4"/>
    </row>
    <row r="7719" spans="5:25">
      <c r="E7719"/>
      <c r="G7719"/>
      <c r="H7719"/>
      <c r="I7719"/>
      <c r="K7719"/>
      <c r="O7719"/>
      <c r="R7719"/>
      <c r="W7719" s="4"/>
      <c r="X7719" s="4"/>
      <c r="Y7719" s="4"/>
    </row>
    <row r="7720" spans="5:25">
      <c r="E7720"/>
      <c r="G7720"/>
      <c r="H7720"/>
      <c r="I7720"/>
      <c r="K7720"/>
      <c r="O7720"/>
      <c r="R7720"/>
      <c r="W7720" s="4"/>
      <c r="X7720" s="4"/>
      <c r="Y7720" s="4"/>
    </row>
    <row r="7721" spans="5:25">
      <c r="E7721"/>
      <c r="G7721"/>
      <c r="H7721"/>
      <c r="I7721"/>
      <c r="K7721"/>
      <c r="O7721"/>
      <c r="R7721"/>
      <c r="W7721" s="4"/>
      <c r="X7721" s="4"/>
      <c r="Y7721" s="4"/>
    </row>
    <row r="7722" spans="5:25">
      <c r="E7722"/>
      <c r="G7722"/>
      <c r="H7722"/>
      <c r="I7722"/>
      <c r="K7722"/>
      <c r="O7722"/>
      <c r="R7722"/>
      <c r="W7722" s="4"/>
      <c r="X7722" s="4"/>
      <c r="Y7722" s="4"/>
    </row>
    <row r="7723" spans="5:25">
      <c r="E7723"/>
      <c r="G7723"/>
      <c r="H7723"/>
      <c r="I7723"/>
      <c r="K7723"/>
      <c r="O7723"/>
      <c r="R7723"/>
      <c r="W7723" s="4"/>
      <c r="X7723" s="4"/>
      <c r="Y7723" s="4"/>
    </row>
    <row r="7724" spans="5:25">
      <c r="E7724"/>
      <c r="G7724"/>
      <c r="H7724"/>
      <c r="I7724"/>
      <c r="K7724"/>
      <c r="O7724"/>
      <c r="R7724"/>
      <c r="W7724" s="4"/>
      <c r="X7724" s="4"/>
      <c r="Y7724" s="4"/>
    </row>
    <row r="7725" spans="5:25">
      <c r="E7725"/>
      <c r="G7725"/>
      <c r="H7725"/>
      <c r="I7725"/>
      <c r="K7725"/>
      <c r="O7725"/>
      <c r="R7725"/>
      <c r="W7725" s="4"/>
      <c r="X7725" s="4"/>
      <c r="Y7725" s="4"/>
    </row>
    <row r="7726" spans="5:25">
      <c r="E7726"/>
      <c r="G7726"/>
      <c r="H7726"/>
      <c r="I7726"/>
      <c r="K7726"/>
      <c r="O7726"/>
      <c r="R7726"/>
      <c r="W7726" s="4"/>
      <c r="X7726" s="4"/>
      <c r="Y7726" s="4"/>
    </row>
    <row r="7727" spans="5:25">
      <c r="E7727"/>
      <c r="G7727"/>
      <c r="H7727"/>
      <c r="I7727"/>
      <c r="K7727"/>
      <c r="O7727"/>
      <c r="R7727"/>
      <c r="W7727" s="4"/>
      <c r="X7727" s="4"/>
      <c r="Y7727" s="4"/>
    </row>
    <row r="7728" spans="5:25">
      <c r="E7728"/>
      <c r="G7728"/>
      <c r="H7728"/>
      <c r="I7728"/>
      <c r="K7728"/>
      <c r="O7728"/>
      <c r="R7728"/>
      <c r="W7728" s="4"/>
      <c r="X7728" s="4"/>
      <c r="Y7728" s="4"/>
    </row>
    <row r="7729" spans="5:25">
      <c r="E7729"/>
      <c r="G7729"/>
      <c r="H7729"/>
      <c r="I7729"/>
      <c r="K7729"/>
      <c r="O7729"/>
      <c r="R7729"/>
      <c r="W7729" s="4"/>
      <c r="X7729" s="4"/>
      <c r="Y7729" s="4"/>
    </row>
    <row r="7730" spans="5:25">
      <c r="E7730"/>
      <c r="G7730"/>
      <c r="H7730"/>
      <c r="I7730"/>
      <c r="K7730"/>
      <c r="O7730"/>
      <c r="R7730"/>
      <c r="W7730" s="4"/>
      <c r="X7730" s="4"/>
      <c r="Y7730" s="4"/>
    </row>
    <row r="7731" spans="5:25">
      <c r="E7731"/>
      <c r="G7731"/>
      <c r="H7731"/>
      <c r="I7731"/>
      <c r="K7731"/>
      <c r="O7731"/>
      <c r="R7731"/>
      <c r="W7731" s="4"/>
      <c r="X7731" s="4"/>
      <c r="Y7731" s="4"/>
    </row>
    <row r="7732" spans="5:25">
      <c r="E7732"/>
      <c r="G7732"/>
      <c r="H7732"/>
      <c r="I7732"/>
      <c r="K7732"/>
      <c r="O7732"/>
      <c r="R7732"/>
      <c r="W7732" s="4"/>
      <c r="X7732" s="4"/>
      <c r="Y7732" s="4"/>
    </row>
    <row r="7733" spans="5:25">
      <c r="E7733"/>
      <c r="G7733"/>
      <c r="H7733"/>
      <c r="I7733"/>
      <c r="K7733"/>
      <c r="O7733"/>
      <c r="R7733"/>
      <c r="W7733" s="4"/>
      <c r="X7733" s="4"/>
      <c r="Y7733" s="4"/>
    </row>
    <row r="7734" spans="5:25">
      <c r="E7734"/>
      <c r="G7734"/>
      <c r="H7734"/>
      <c r="I7734"/>
      <c r="K7734"/>
      <c r="O7734"/>
      <c r="R7734"/>
      <c r="W7734" s="4"/>
      <c r="X7734" s="4"/>
      <c r="Y7734" s="4"/>
    </row>
    <row r="7735" spans="5:25">
      <c r="E7735"/>
      <c r="G7735"/>
      <c r="H7735"/>
      <c r="I7735"/>
      <c r="K7735"/>
      <c r="O7735"/>
      <c r="R7735"/>
      <c r="W7735" s="4"/>
      <c r="X7735" s="4"/>
      <c r="Y7735" s="4"/>
    </row>
    <row r="7736" spans="5:25">
      <c r="E7736"/>
      <c r="G7736"/>
      <c r="H7736"/>
      <c r="I7736"/>
      <c r="K7736"/>
      <c r="O7736"/>
      <c r="R7736"/>
      <c r="W7736" s="4"/>
      <c r="X7736" s="4"/>
      <c r="Y7736" s="4"/>
    </row>
    <row r="7737" spans="5:25">
      <c r="E7737"/>
      <c r="G7737"/>
      <c r="H7737"/>
      <c r="I7737"/>
      <c r="K7737"/>
      <c r="O7737"/>
      <c r="R7737"/>
      <c r="W7737" s="4"/>
      <c r="X7737" s="4"/>
      <c r="Y7737" s="4"/>
    </row>
    <row r="7738" spans="5:25">
      <c r="E7738"/>
      <c r="G7738"/>
      <c r="H7738"/>
      <c r="I7738"/>
      <c r="K7738"/>
      <c r="O7738"/>
      <c r="R7738"/>
      <c r="W7738" s="4"/>
      <c r="X7738" s="4"/>
      <c r="Y7738" s="4"/>
    </row>
    <row r="7739" spans="5:25">
      <c r="E7739"/>
      <c r="G7739"/>
      <c r="H7739"/>
      <c r="I7739"/>
      <c r="K7739"/>
      <c r="O7739"/>
      <c r="R7739"/>
      <c r="W7739" s="4"/>
      <c r="X7739" s="4"/>
      <c r="Y7739" s="4"/>
    </row>
    <row r="7740" spans="5:25">
      <c r="E7740"/>
      <c r="G7740"/>
      <c r="H7740"/>
      <c r="I7740"/>
      <c r="K7740"/>
      <c r="O7740"/>
      <c r="R7740"/>
      <c r="W7740" s="4"/>
      <c r="X7740" s="4"/>
      <c r="Y7740" s="4"/>
    </row>
    <row r="7741" spans="5:25">
      <c r="E7741"/>
      <c r="G7741"/>
      <c r="H7741"/>
      <c r="I7741"/>
      <c r="K7741"/>
      <c r="O7741"/>
      <c r="R7741"/>
      <c r="W7741" s="4"/>
      <c r="X7741" s="4"/>
      <c r="Y7741" s="4"/>
    </row>
    <row r="7742" spans="5:25">
      <c r="E7742"/>
      <c r="G7742"/>
      <c r="H7742"/>
      <c r="I7742"/>
      <c r="K7742"/>
      <c r="O7742"/>
      <c r="R7742"/>
      <c r="W7742" s="4"/>
      <c r="X7742" s="4"/>
      <c r="Y7742" s="4"/>
    </row>
    <row r="7743" spans="5:25">
      <c r="E7743"/>
      <c r="G7743"/>
      <c r="H7743"/>
      <c r="I7743"/>
      <c r="K7743"/>
      <c r="O7743"/>
      <c r="R7743"/>
      <c r="W7743" s="4"/>
      <c r="X7743" s="4"/>
      <c r="Y7743" s="4"/>
    </row>
    <row r="7744" spans="5:25">
      <c r="E7744"/>
      <c r="G7744"/>
      <c r="H7744"/>
      <c r="I7744"/>
      <c r="K7744"/>
      <c r="O7744"/>
      <c r="R7744"/>
      <c r="W7744" s="4"/>
      <c r="X7744" s="4"/>
      <c r="Y7744" s="4"/>
    </row>
    <row r="7745" spans="5:25">
      <c r="E7745"/>
      <c r="G7745"/>
      <c r="H7745"/>
      <c r="I7745"/>
      <c r="K7745"/>
      <c r="O7745"/>
      <c r="R7745"/>
      <c r="W7745" s="4"/>
      <c r="X7745" s="4"/>
      <c r="Y7745" s="4"/>
    </row>
    <row r="7746" spans="5:25">
      <c r="E7746"/>
      <c r="G7746"/>
      <c r="H7746"/>
      <c r="I7746"/>
      <c r="K7746"/>
      <c r="O7746"/>
      <c r="R7746"/>
      <c r="W7746" s="4"/>
      <c r="X7746" s="4"/>
      <c r="Y7746" s="4"/>
    </row>
    <row r="7747" spans="5:25">
      <c r="E7747"/>
      <c r="G7747"/>
      <c r="H7747"/>
      <c r="I7747"/>
      <c r="K7747"/>
      <c r="O7747"/>
      <c r="R7747"/>
      <c r="W7747" s="4"/>
      <c r="X7747" s="4"/>
      <c r="Y7747" s="4"/>
    </row>
    <row r="7748" spans="5:25">
      <c r="E7748"/>
      <c r="G7748"/>
      <c r="H7748"/>
      <c r="I7748"/>
      <c r="K7748"/>
      <c r="O7748"/>
      <c r="R7748"/>
      <c r="W7748" s="4"/>
      <c r="X7748" s="4"/>
      <c r="Y7748" s="4"/>
    </row>
    <row r="7749" spans="5:25">
      <c r="E7749"/>
      <c r="G7749"/>
      <c r="H7749"/>
      <c r="I7749"/>
      <c r="K7749"/>
      <c r="O7749"/>
      <c r="R7749"/>
      <c r="W7749" s="4"/>
      <c r="X7749" s="4"/>
      <c r="Y7749" s="4"/>
    </row>
    <row r="7750" spans="5:25">
      <c r="E7750"/>
      <c r="G7750"/>
      <c r="H7750"/>
      <c r="I7750"/>
      <c r="K7750"/>
      <c r="O7750"/>
      <c r="R7750"/>
      <c r="W7750" s="4"/>
      <c r="X7750" s="4"/>
      <c r="Y7750" s="4"/>
    </row>
    <row r="7751" spans="5:25">
      <c r="E7751"/>
      <c r="G7751"/>
      <c r="H7751"/>
      <c r="I7751"/>
      <c r="K7751"/>
      <c r="O7751"/>
      <c r="R7751"/>
      <c r="W7751" s="4"/>
      <c r="X7751" s="4"/>
      <c r="Y7751" s="4"/>
    </row>
    <row r="7752" spans="5:25">
      <c r="E7752"/>
      <c r="G7752"/>
      <c r="H7752"/>
      <c r="I7752"/>
      <c r="K7752"/>
      <c r="O7752"/>
      <c r="R7752"/>
      <c r="W7752" s="4"/>
      <c r="X7752" s="4"/>
      <c r="Y7752" s="4"/>
    </row>
    <row r="7753" spans="5:25">
      <c r="E7753"/>
      <c r="G7753"/>
      <c r="H7753"/>
      <c r="I7753"/>
      <c r="K7753"/>
      <c r="O7753"/>
      <c r="R7753"/>
      <c r="W7753" s="4"/>
      <c r="X7753" s="4"/>
      <c r="Y7753" s="4"/>
    </row>
    <row r="7754" spans="5:25">
      <c r="E7754"/>
      <c r="G7754"/>
      <c r="H7754"/>
      <c r="I7754"/>
      <c r="K7754"/>
      <c r="O7754"/>
      <c r="R7754"/>
      <c r="W7754" s="4"/>
      <c r="X7754" s="4"/>
      <c r="Y7754" s="4"/>
    </row>
    <row r="7755" spans="5:25">
      <c r="E7755"/>
      <c r="G7755"/>
      <c r="H7755"/>
      <c r="I7755"/>
      <c r="K7755"/>
      <c r="O7755"/>
      <c r="R7755"/>
      <c r="W7755" s="4"/>
      <c r="X7755" s="4"/>
      <c r="Y7755" s="4"/>
    </row>
    <row r="7756" spans="5:25">
      <c r="E7756"/>
      <c r="G7756"/>
      <c r="H7756"/>
      <c r="I7756"/>
      <c r="K7756"/>
      <c r="O7756"/>
      <c r="R7756"/>
      <c r="W7756" s="4"/>
      <c r="X7756" s="4"/>
      <c r="Y7756" s="4"/>
    </row>
    <row r="7757" spans="5:25">
      <c r="E7757"/>
      <c r="G7757"/>
      <c r="H7757"/>
      <c r="I7757"/>
      <c r="K7757"/>
      <c r="O7757"/>
      <c r="R7757"/>
      <c r="W7757" s="4"/>
      <c r="X7757" s="4"/>
      <c r="Y7757" s="4"/>
    </row>
    <row r="7758" spans="5:25">
      <c r="E7758"/>
      <c r="G7758"/>
      <c r="H7758"/>
      <c r="I7758"/>
      <c r="K7758"/>
      <c r="O7758"/>
      <c r="R7758"/>
      <c r="W7758" s="4"/>
      <c r="X7758" s="4"/>
      <c r="Y7758" s="4"/>
    </row>
    <row r="7759" spans="5:25">
      <c r="E7759"/>
      <c r="G7759"/>
      <c r="H7759"/>
      <c r="I7759"/>
      <c r="K7759"/>
      <c r="O7759"/>
      <c r="R7759"/>
      <c r="W7759" s="4"/>
      <c r="X7759" s="4"/>
      <c r="Y7759" s="4"/>
    </row>
    <row r="7760" spans="5:25">
      <c r="E7760"/>
      <c r="G7760"/>
      <c r="H7760"/>
      <c r="I7760"/>
      <c r="K7760"/>
      <c r="O7760"/>
      <c r="R7760"/>
      <c r="W7760" s="4"/>
      <c r="X7760" s="4"/>
      <c r="Y7760" s="4"/>
    </row>
    <row r="7761" spans="5:25">
      <c r="E7761"/>
      <c r="G7761"/>
      <c r="H7761"/>
      <c r="I7761"/>
      <c r="K7761"/>
      <c r="O7761"/>
      <c r="R7761"/>
      <c r="W7761" s="4"/>
      <c r="X7761" s="4"/>
      <c r="Y7761" s="4"/>
    </row>
    <row r="7762" spans="5:25">
      <c r="E7762"/>
      <c r="G7762"/>
      <c r="H7762"/>
      <c r="I7762"/>
      <c r="K7762"/>
      <c r="O7762"/>
      <c r="R7762"/>
      <c r="W7762" s="4"/>
      <c r="X7762" s="4"/>
      <c r="Y7762" s="4"/>
    </row>
    <row r="7763" spans="5:25">
      <c r="E7763"/>
      <c r="G7763"/>
      <c r="H7763"/>
      <c r="I7763"/>
      <c r="K7763"/>
      <c r="O7763"/>
      <c r="R7763"/>
      <c r="W7763" s="4"/>
      <c r="X7763" s="4"/>
      <c r="Y7763" s="4"/>
    </row>
    <row r="7764" spans="5:25">
      <c r="E7764"/>
      <c r="G7764"/>
      <c r="H7764"/>
      <c r="I7764"/>
      <c r="K7764"/>
      <c r="O7764"/>
      <c r="R7764"/>
      <c r="W7764" s="4"/>
      <c r="X7764" s="4"/>
      <c r="Y7764" s="4"/>
    </row>
    <row r="7765" spans="5:25">
      <c r="E7765"/>
      <c r="G7765"/>
      <c r="H7765"/>
      <c r="I7765"/>
      <c r="K7765"/>
      <c r="O7765"/>
      <c r="R7765"/>
      <c r="W7765" s="4"/>
      <c r="X7765" s="4"/>
      <c r="Y7765" s="4"/>
    </row>
    <row r="7766" spans="5:25">
      <c r="E7766"/>
      <c r="G7766"/>
      <c r="H7766"/>
      <c r="I7766"/>
      <c r="K7766"/>
      <c r="O7766"/>
      <c r="R7766"/>
      <c r="W7766" s="4"/>
      <c r="X7766" s="4"/>
      <c r="Y7766" s="4"/>
    </row>
    <row r="7767" spans="5:25">
      <c r="E7767"/>
      <c r="G7767"/>
      <c r="H7767"/>
      <c r="I7767"/>
      <c r="K7767"/>
      <c r="O7767"/>
      <c r="R7767"/>
      <c r="W7767" s="4"/>
      <c r="X7767" s="4"/>
      <c r="Y7767" s="4"/>
    </row>
    <row r="7768" spans="5:25">
      <c r="E7768"/>
      <c r="G7768"/>
      <c r="H7768"/>
      <c r="I7768"/>
      <c r="K7768"/>
      <c r="O7768"/>
      <c r="R7768"/>
      <c r="W7768" s="4"/>
      <c r="X7768" s="4"/>
      <c r="Y7768" s="4"/>
    </row>
    <row r="7769" spans="5:25">
      <c r="E7769"/>
      <c r="G7769"/>
      <c r="H7769"/>
      <c r="I7769"/>
      <c r="K7769"/>
      <c r="O7769"/>
      <c r="R7769"/>
      <c r="W7769" s="4"/>
      <c r="X7769" s="4"/>
      <c r="Y7769" s="4"/>
    </row>
    <row r="7770" spans="5:25">
      <c r="E7770"/>
      <c r="G7770"/>
      <c r="H7770"/>
      <c r="I7770"/>
      <c r="K7770"/>
      <c r="O7770"/>
      <c r="R7770"/>
      <c r="W7770" s="4"/>
      <c r="X7770" s="4"/>
      <c r="Y7770" s="4"/>
    </row>
    <row r="7771" spans="5:25">
      <c r="E7771"/>
      <c r="G7771"/>
      <c r="H7771"/>
      <c r="I7771"/>
      <c r="K7771"/>
      <c r="O7771"/>
      <c r="R7771"/>
      <c r="W7771" s="4"/>
      <c r="X7771" s="4"/>
      <c r="Y7771" s="4"/>
    </row>
    <row r="7772" spans="5:25">
      <c r="E7772"/>
      <c r="G7772"/>
      <c r="H7772"/>
      <c r="I7772"/>
      <c r="K7772"/>
      <c r="O7772"/>
      <c r="R7772"/>
      <c r="W7772" s="4"/>
      <c r="X7772" s="4"/>
      <c r="Y7772" s="4"/>
    </row>
    <row r="7773" spans="5:25">
      <c r="E7773"/>
      <c r="G7773"/>
      <c r="H7773"/>
      <c r="I7773"/>
      <c r="K7773"/>
      <c r="O7773"/>
      <c r="R7773"/>
      <c r="W7773" s="4"/>
      <c r="X7773" s="4"/>
      <c r="Y7773" s="4"/>
    </row>
    <row r="7774" spans="5:25">
      <c r="E7774"/>
      <c r="G7774"/>
      <c r="H7774"/>
      <c r="I7774"/>
      <c r="K7774"/>
      <c r="O7774"/>
      <c r="R7774"/>
      <c r="W7774" s="4"/>
      <c r="X7774" s="4"/>
      <c r="Y7774" s="4"/>
    </row>
    <row r="7775" spans="5:25">
      <c r="E7775"/>
      <c r="G7775"/>
      <c r="H7775"/>
      <c r="I7775"/>
      <c r="K7775"/>
      <c r="O7775"/>
      <c r="R7775"/>
      <c r="W7775" s="4"/>
      <c r="X7775" s="4"/>
      <c r="Y7775" s="4"/>
    </row>
    <row r="7776" spans="5:25">
      <c r="E7776"/>
      <c r="G7776"/>
      <c r="H7776"/>
      <c r="I7776"/>
      <c r="K7776"/>
      <c r="O7776"/>
      <c r="R7776"/>
      <c r="W7776" s="4"/>
      <c r="X7776" s="4"/>
      <c r="Y7776" s="4"/>
    </row>
    <row r="7777" spans="5:25">
      <c r="E7777"/>
      <c r="G7777"/>
      <c r="H7777"/>
      <c r="I7777"/>
      <c r="K7777"/>
      <c r="O7777"/>
      <c r="R7777"/>
      <c r="W7777" s="4"/>
      <c r="X7777" s="4"/>
      <c r="Y7777" s="4"/>
    </row>
    <row r="7778" spans="5:25">
      <c r="E7778"/>
      <c r="G7778"/>
      <c r="H7778"/>
      <c r="I7778"/>
      <c r="K7778"/>
      <c r="O7778"/>
      <c r="R7778"/>
      <c r="W7778" s="4"/>
      <c r="X7778" s="4"/>
      <c r="Y7778" s="4"/>
    </row>
    <row r="7779" spans="5:25">
      <c r="E7779"/>
      <c r="G7779"/>
      <c r="H7779"/>
      <c r="I7779"/>
      <c r="K7779"/>
      <c r="O7779"/>
      <c r="R7779"/>
      <c r="W7779" s="4"/>
      <c r="X7779" s="4"/>
      <c r="Y7779" s="4"/>
    </row>
    <row r="7780" spans="5:25">
      <c r="E7780"/>
      <c r="G7780"/>
      <c r="H7780"/>
      <c r="I7780"/>
      <c r="K7780"/>
      <c r="O7780"/>
      <c r="R7780"/>
      <c r="W7780" s="4"/>
      <c r="X7780" s="4"/>
      <c r="Y7780" s="4"/>
    </row>
    <row r="7781" spans="5:25">
      <c r="E7781"/>
      <c r="G7781"/>
      <c r="H7781"/>
      <c r="I7781"/>
      <c r="K7781"/>
      <c r="O7781"/>
      <c r="R7781"/>
      <c r="W7781" s="4"/>
      <c r="X7781" s="4"/>
      <c r="Y7781" s="4"/>
    </row>
    <row r="7782" spans="5:25">
      <c r="E7782"/>
      <c r="G7782"/>
      <c r="H7782"/>
      <c r="I7782"/>
      <c r="K7782"/>
      <c r="O7782"/>
      <c r="R7782"/>
      <c r="W7782" s="4"/>
      <c r="X7782" s="4"/>
      <c r="Y7782" s="4"/>
    </row>
    <row r="7783" spans="5:25">
      <c r="E7783"/>
      <c r="G7783"/>
      <c r="H7783"/>
      <c r="I7783"/>
      <c r="K7783"/>
      <c r="O7783"/>
      <c r="R7783"/>
      <c r="W7783" s="4"/>
      <c r="X7783" s="4"/>
      <c r="Y7783" s="4"/>
    </row>
    <row r="7784" spans="5:25">
      <c r="E7784"/>
      <c r="G7784"/>
      <c r="H7784"/>
      <c r="I7784"/>
      <c r="K7784"/>
      <c r="O7784"/>
      <c r="R7784"/>
      <c r="W7784" s="4"/>
      <c r="X7784" s="4"/>
      <c r="Y7784" s="4"/>
    </row>
    <row r="7785" spans="5:25">
      <c r="E7785"/>
      <c r="G7785"/>
      <c r="H7785"/>
      <c r="I7785"/>
      <c r="K7785"/>
      <c r="O7785"/>
      <c r="R7785"/>
      <c r="W7785" s="4"/>
      <c r="X7785" s="4"/>
      <c r="Y7785" s="4"/>
    </row>
    <row r="7786" spans="5:25">
      <c r="E7786"/>
      <c r="G7786"/>
      <c r="H7786"/>
      <c r="I7786"/>
      <c r="K7786"/>
      <c r="O7786"/>
      <c r="R7786"/>
      <c r="W7786" s="4"/>
      <c r="X7786" s="4"/>
      <c r="Y7786" s="4"/>
    </row>
    <row r="7787" spans="5:25">
      <c r="E7787"/>
      <c r="G7787"/>
      <c r="H7787"/>
      <c r="I7787"/>
      <c r="K7787"/>
      <c r="O7787"/>
      <c r="R7787"/>
      <c r="W7787" s="4"/>
      <c r="X7787" s="4"/>
      <c r="Y7787" s="4"/>
    </row>
    <row r="7788" spans="5:25">
      <c r="E7788"/>
      <c r="G7788"/>
      <c r="H7788"/>
      <c r="I7788"/>
      <c r="K7788"/>
      <c r="O7788"/>
      <c r="R7788"/>
      <c r="W7788" s="4"/>
      <c r="X7788" s="4"/>
      <c r="Y7788" s="4"/>
    </row>
    <row r="7789" spans="5:25">
      <c r="E7789"/>
      <c r="G7789"/>
      <c r="H7789"/>
      <c r="I7789"/>
      <c r="K7789"/>
      <c r="O7789"/>
      <c r="R7789"/>
      <c r="W7789" s="4"/>
      <c r="X7789" s="4"/>
      <c r="Y7789" s="4"/>
    </row>
    <row r="7790" spans="5:25">
      <c r="E7790"/>
      <c r="G7790"/>
      <c r="H7790"/>
      <c r="I7790"/>
      <c r="K7790"/>
      <c r="O7790"/>
      <c r="R7790"/>
      <c r="W7790" s="4"/>
      <c r="X7790" s="4"/>
      <c r="Y7790" s="4"/>
    </row>
    <row r="7791" spans="5:25">
      <c r="E7791"/>
      <c r="G7791"/>
      <c r="H7791"/>
      <c r="I7791"/>
      <c r="K7791"/>
      <c r="O7791"/>
      <c r="R7791"/>
      <c r="W7791" s="4"/>
      <c r="X7791" s="4"/>
      <c r="Y7791" s="4"/>
    </row>
    <row r="7792" spans="5:25">
      <c r="E7792"/>
      <c r="G7792"/>
      <c r="H7792"/>
      <c r="I7792"/>
      <c r="K7792"/>
      <c r="O7792"/>
      <c r="R7792"/>
      <c r="W7792" s="4"/>
      <c r="X7792" s="4"/>
      <c r="Y7792" s="4"/>
    </row>
    <row r="7793" spans="5:25">
      <c r="E7793"/>
      <c r="G7793"/>
      <c r="H7793"/>
      <c r="I7793"/>
      <c r="K7793"/>
      <c r="O7793"/>
      <c r="R7793"/>
      <c r="W7793" s="4"/>
      <c r="X7793" s="4"/>
      <c r="Y7793" s="4"/>
    </row>
    <row r="7794" spans="5:25">
      <c r="E7794"/>
      <c r="G7794"/>
      <c r="H7794"/>
      <c r="I7794"/>
      <c r="K7794"/>
      <c r="O7794"/>
      <c r="R7794"/>
      <c r="W7794" s="4"/>
      <c r="X7794" s="4"/>
      <c r="Y7794" s="4"/>
    </row>
    <row r="7795" spans="5:25">
      <c r="E7795"/>
      <c r="G7795"/>
      <c r="H7795"/>
      <c r="I7795"/>
      <c r="K7795"/>
      <c r="O7795"/>
      <c r="R7795"/>
      <c r="W7795" s="4"/>
      <c r="X7795" s="4"/>
      <c r="Y7795" s="4"/>
    </row>
    <row r="7796" spans="5:25">
      <c r="E7796"/>
      <c r="G7796"/>
      <c r="H7796"/>
      <c r="I7796"/>
      <c r="K7796"/>
      <c r="O7796"/>
      <c r="R7796"/>
      <c r="W7796" s="4"/>
      <c r="X7796" s="4"/>
      <c r="Y7796" s="4"/>
    </row>
    <row r="7797" spans="5:25">
      <c r="E7797"/>
      <c r="G7797"/>
      <c r="H7797"/>
      <c r="I7797"/>
      <c r="K7797"/>
      <c r="O7797"/>
      <c r="R7797"/>
      <c r="W7797" s="4"/>
      <c r="X7797" s="4"/>
      <c r="Y7797" s="4"/>
    </row>
    <row r="7798" spans="5:25">
      <c r="E7798"/>
      <c r="G7798"/>
      <c r="H7798"/>
      <c r="I7798"/>
      <c r="K7798"/>
      <c r="O7798"/>
      <c r="R7798"/>
      <c r="W7798" s="4"/>
      <c r="X7798" s="4"/>
      <c r="Y7798" s="4"/>
    </row>
    <row r="7799" spans="5:25">
      <c r="E7799"/>
      <c r="G7799"/>
      <c r="H7799"/>
      <c r="I7799"/>
      <c r="K7799"/>
      <c r="O7799"/>
      <c r="R7799"/>
      <c r="W7799" s="4"/>
      <c r="X7799" s="4"/>
      <c r="Y7799" s="4"/>
    </row>
    <row r="7800" spans="5:25">
      <c r="E7800"/>
      <c r="G7800"/>
      <c r="H7800"/>
      <c r="I7800"/>
      <c r="K7800"/>
      <c r="O7800"/>
      <c r="R7800"/>
      <c r="W7800" s="4"/>
      <c r="X7800" s="4"/>
      <c r="Y7800" s="4"/>
    </row>
    <row r="7801" spans="5:25">
      <c r="E7801"/>
      <c r="G7801"/>
      <c r="H7801"/>
      <c r="I7801"/>
      <c r="K7801"/>
      <c r="O7801"/>
      <c r="R7801"/>
      <c r="W7801" s="4"/>
      <c r="X7801" s="4"/>
      <c r="Y7801" s="4"/>
    </row>
    <row r="7802" spans="5:25">
      <c r="E7802"/>
      <c r="G7802"/>
      <c r="H7802"/>
      <c r="I7802"/>
      <c r="K7802"/>
      <c r="O7802"/>
      <c r="R7802"/>
      <c r="W7802" s="4"/>
      <c r="X7802" s="4"/>
      <c r="Y7802" s="4"/>
    </row>
    <row r="7803" spans="5:25">
      <c r="E7803"/>
      <c r="G7803"/>
      <c r="H7803"/>
      <c r="I7803"/>
      <c r="K7803"/>
      <c r="O7803"/>
      <c r="R7803"/>
      <c r="W7803" s="4"/>
      <c r="X7803" s="4"/>
      <c r="Y7803" s="4"/>
    </row>
    <row r="7804" spans="5:25">
      <c r="E7804"/>
      <c r="G7804"/>
      <c r="H7804"/>
      <c r="I7804"/>
      <c r="K7804"/>
      <c r="O7804"/>
      <c r="R7804"/>
      <c r="W7804" s="4"/>
      <c r="X7804" s="4"/>
      <c r="Y7804" s="4"/>
    </row>
    <row r="7805" spans="5:25">
      <c r="E7805"/>
      <c r="G7805"/>
      <c r="H7805"/>
      <c r="I7805"/>
      <c r="K7805"/>
      <c r="O7805"/>
      <c r="R7805"/>
      <c r="W7805" s="4"/>
      <c r="X7805" s="4"/>
      <c r="Y7805" s="4"/>
    </row>
    <row r="7806" spans="5:25">
      <c r="E7806"/>
      <c r="G7806"/>
      <c r="H7806"/>
      <c r="I7806"/>
      <c r="K7806"/>
      <c r="O7806"/>
      <c r="R7806"/>
      <c r="W7806" s="4"/>
      <c r="X7806" s="4"/>
      <c r="Y7806" s="4"/>
    </row>
    <row r="7807" spans="5:25">
      <c r="E7807"/>
      <c r="G7807"/>
      <c r="H7807"/>
      <c r="I7807"/>
      <c r="K7807"/>
      <c r="O7807"/>
      <c r="R7807"/>
      <c r="W7807" s="4"/>
      <c r="X7807" s="4"/>
      <c r="Y7807" s="4"/>
    </row>
    <row r="7808" spans="5:25">
      <c r="E7808"/>
      <c r="G7808"/>
      <c r="H7808"/>
      <c r="I7808"/>
      <c r="K7808"/>
      <c r="O7808"/>
      <c r="R7808"/>
      <c r="W7808" s="4"/>
      <c r="X7808" s="4"/>
      <c r="Y7808" s="4"/>
    </row>
    <row r="7809" spans="5:25">
      <c r="E7809"/>
      <c r="G7809"/>
      <c r="H7809"/>
      <c r="I7809"/>
      <c r="K7809"/>
      <c r="O7809"/>
      <c r="R7809"/>
      <c r="W7809" s="4"/>
      <c r="X7809" s="4"/>
      <c r="Y7809" s="4"/>
    </row>
    <row r="7810" spans="5:25">
      <c r="E7810"/>
      <c r="G7810"/>
      <c r="H7810"/>
      <c r="I7810"/>
      <c r="K7810"/>
      <c r="O7810"/>
      <c r="R7810"/>
      <c r="W7810" s="4"/>
      <c r="X7810" s="4"/>
      <c r="Y7810" s="4"/>
    </row>
    <row r="7811" spans="5:25">
      <c r="E7811"/>
      <c r="G7811"/>
      <c r="H7811"/>
      <c r="I7811"/>
      <c r="K7811"/>
      <c r="O7811"/>
      <c r="R7811"/>
      <c r="W7811" s="4"/>
      <c r="X7811" s="4"/>
      <c r="Y7811" s="4"/>
    </row>
    <row r="7812" spans="5:25">
      <c r="E7812"/>
      <c r="G7812"/>
      <c r="H7812"/>
      <c r="I7812"/>
      <c r="K7812"/>
      <c r="O7812"/>
      <c r="R7812"/>
      <c r="W7812" s="4"/>
      <c r="X7812" s="4"/>
      <c r="Y7812" s="4"/>
    </row>
    <row r="7813" spans="5:25">
      <c r="E7813"/>
      <c r="G7813"/>
      <c r="H7813"/>
      <c r="I7813"/>
      <c r="K7813"/>
      <c r="O7813"/>
      <c r="R7813"/>
      <c r="W7813" s="4"/>
      <c r="X7813" s="4"/>
      <c r="Y7813" s="4"/>
    </row>
    <row r="7814" spans="5:25">
      <c r="E7814"/>
      <c r="G7814"/>
      <c r="H7814"/>
      <c r="I7814"/>
      <c r="K7814"/>
      <c r="O7814"/>
      <c r="R7814"/>
      <c r="W7814" s="4"/>
      <c r="X7814" s="4"/>
      <c r="Y7814" s="4"/>
    </row>
    <row r="7815" spans="5:25">
      <c r="E7815"/>
      <c r="G7815"/>
      <c r="H7815"/>
      <c r="I7815"/>
      <c r="K7815"/>
      <c r="O7815"/>
      <c r="R7815"/>
      <c r="W7815" s="4"/>
      <c r="X7815" s="4"/>
      <c r="Y7815" s="4"/>
    </row>
    <row r="7816" spans="5:25">
      <c r="E7816"/>
      <c r="G7816"/>
      <c r="H7816"/>
      <c r="I7816"/>
      <c r="K7816"/>
      <c r="O7816"/>
      <c r="R7816"/>
      <c r="W7816" s="4"/>
      <c r="X7816" s="4"/>
      <c r="Y7816" s="4"/>
    </row>
    <row r="7817" spans="5:25">
      <c r="E7817"/>
      <c r="G7817"/>
      <c r="H7817"/>
      <c r="I7817"/>
      <c r="K7817"/>
      <c r="O7817"/>
      <c r="R7817"/>
      <c r="W7817" s="4"/>
      <c r="X7817" s="4"/>
      <c r="Y7817" s="4"/>
    </row>
    <row r="7818" spans="5:25">
      <c r="E7818"/>
      <c r="G7818"/>
      <c r="H7818"/>
      <c r="I7818"/>
      <c r="K7818"/>
      <c r="O7818"/>
      <c r="R7818"/>
      <c r="W7818" s="4"/>
      <c r="X7818" s="4"/>
      <c r="Y7818" s="4"/>
    </row>
    <row r="7819" spans="5:25">
      <c r="E7819"/>
      <c r="G7819"/>
      <c r="H7819"/>
      <c r="I7819"/>
      <c r="K7819"/>
      <c r="O7819"/>
      <c r="R7819"/>
      <c r="W7819" s="4"/>
      <c r="X7819" s="4"/>
      <c r="Y7819" s="4"/>
    </row>
    <row r="7820" spans="5:25">
      <c r="E7820"/>
      <c r="G7820"/>
      <c r="H7820"/>
      <c r="I7820"/>
      <c r="K7820"/>
      <c r="O7820"/>
      <c r="R7820"/>
      <c r="W7820" s="4"/>
      <c r="X7820" s="4"/>
      <c r="Y7820" s="4"/>
    </row>
    <row r="7821" spans="5:25">
      <c r="E7821"/>
      <c r="G7821"/>
      <c r="H7821"/>
      <c r="I7821"/>
      <c r="K7821"/>
      <c r="O7821"/>
      <c r="R7821"/>
      <c r="W7821" s="4"/>
      <c r="X7821" s="4"/>
      <c r="Y7821" s="4"/>
    </row>
    <row r="7822" spans="5:25">
      <c r="E7822"/>
      <c r="G7822"/>
      <c r="H7822"/>
      <c r="I7822"/>
      <c r="K7822"/>
      <c r="O7822"/>
      <c r="R7822"/>
      <c r="W7822" s="4"/>
      <c r="X7822" s="4"/>
      <c r="Y7822" s="4"/>
    </row>
    <row r="7823" spans="5:25">
      <c r="E7823"/>
      <c r="G7823"/>
      <c r="H7823"/>
      <c r="I7823"/>
      <c r="K7823"/>
      <c r="O7823"/>
      <c r="R7823"/>
      <c r="W7823" s="4"/>
      <c r="X7823" s="4"/>
      <c r="Y7823" s="4"/>
    </row>
    <row r="7824" spans="5:25">
      <c r="E7824"/>
      <c r="G7824"/>
      <c r="H7824"/>
      <c r="I7824"/>
      <c r="K7824"/>
      <c r="O7824"/>
      <c r="R7824"/>
      <c r="W7824" s="4"/>
      <c r="X7824" s="4"/>
      <c r="Y7824" s="4"/>
    </row>
    <row r="7825" spans="5:25">
      <c r="E7825"/>
      <c r="G7825"/>
      <c r="H7825"/>
      <c r="I7825"/>
      <c r="K7825"/>
      <c r="O7825"/>
      <c r="R7825"/>
      <c r="W7825" s="4"/>
      <c r="X7825" s="4"/>
      <c r="Y7825" s="4"/>
    </row>
    <row r="7826" spans="5:25">
      <c r="E7826"/>
      <c r="G7826"/>
      <c r="H7826"/>
      <c r="I7826"/>
      <c r="K7826"/>
      <c r="O7826"/>
      <c r="R7826"/>
      <c r="W7826" s="4"/>
      <c r="X7826" s="4"/>
      <c r="Y7826" s="4"/>
    </row>
    <row r="7827" spans="5:25">
      <c r="E7827"/>
      <c r="G7827"/>
      <c r="H7827"/>
      <c r="I7827"/>
      <c r="K7827"/>
      <c r="O7827"/>
      <c r="R7827"/>
      <c r="W7827" s="4"/>
      <c r="X7827" s="4"/>
      <c r="Y7827" s="4"/>
    </row>
    <row r="7828" spans="5:25">
      <c r="E7828"/>
      <c r="G7828"/>
      <c r="H7828"/>
      <c r="I7828"/>
      <c r="K7828"/>
      <c r="O7828"/>
      <c r="R7828"/>
      <c r="W7828" s="4"/>
      <c r="X7828" s="4"/>
      <c r="Y7828" s="4"/>
    </row>
    <row r="7829" spans="5:25">
      <c r="E7829"/>
      <c r="G7829"/>
      <c r="H7829"/>
      <c r="I7829"/>
      <c r="K7829"/>
      <c r="O7829"/>
      <c r="R7829"/>
      <c r="W7829" s="4"/>
      <c r="X7829" s="4"/>
      <c r="Y7829" s="4"/>
    </row>
    <row r="7830" spans="5:25">
      <c r="E7830"/>
      <c r="G7830"/>
      <c r="H7830"/>
      <c r="I7830"/>
      <c r="K7830"/>
      <c r="O7830"/>
      <c r="R7830"/>
      <c r="W7830" s="4"/>
      <c r="X7830" s="4"/>
      <c r="Y7830" s="4"/>
    </row>
    <row r="7831" spans="5:25">
      <c r="E7831"/>
      <c r="G7831"/>
      <c r="H7831"/>
      <c r="I7831"/>
      <c r="K7831"/>
      <c r="O7831"/>
      <c r="R7831"/>
      <c r="W7831" s="4"/>
      <c r="X7831" s="4"/>
      <c r="Y7831" s="4"/>
    </row>
    <row r="7832" spans="5:25">
      <c r="E7832"/>
      <c r="G7832"/>
      <c r="H7832"/>
      <c r="I7832"/>
      <c r="K7832"/>
      <c r="O7832"/>
      <c r="R7832"/>
      <c r="W7832" s="4"/>
      <c r="X7832" s="4"/>
      <c r="Y7832" s="4"/>
    </row>
    <row r="7833" spans="5:25">
      <c r="E7833"/>
      <c r="G7833"/>
      <c r="H7833"/>
      <c r="I7833"/>
      <c r="K7833"/>
      <c r="O7833"/>
      <c r="R7833"/>
      <c r="W7833" s="4"/>
      <c r="X7833" s="4"/>
      <c r="Y7833" s="4"/>
    </row>
    <row r="7834" spans="5:25">
      <c r="E7834"/>
      <c r="G7834"/>
      <c r="H7834"/>
      <c r="I7834"/>
      <c r="K7834"/>
      <c r="O7834"/>
      <c r="R7834"/>
      <c r="W7834" s="4"/>
      <c r="X7834" s="4"/>
      <c r="Y7834" s="4"/>
    </row>
    <row r="7835" spans="5:25">
      <c r="E7835"/>
      <c r="G7835"/>
      <c r="H7835"/>
      <c r="I7835"/>
      <c r="K7835"/>
      <c r="O7835"/>
      <c r="R7835"/>
      <c r="W7835" s="4"/>
      <c r="X7835" s="4"/>
      <c r="Y7835" s="4"/>
    </row>
    <row r="7836" spans="5:25">
      <c r="E7836"/>
      <c r="G7836"/>
      <c r="H7836"/>
      <c r="I7836"/>
      <c r="K7836"/>
      <c r="O7836"/>
      <c r="R7836"/>
      <c r="W7836" s="4"/>
      <c r="X7836" s="4"/>
      <c r="Y7836" s="4"/>
    </row>
    <row r="7837" spans="5:25">
      <c r="E7837"/>
      <c r="G7837"/>
      <c r="H7837"/>
      <c r="I7837"/>
      <c r="K7837"/>
      <c r="O7837"/>
      <c r="R7837"/>
      <c r="W7837" s="4"/>
      <c r="X7837" s="4"/>
      <c r="Y7837" s="4"/>
    </row>
    <row r="7838" spans="5:25">
      <c r="E7838"/>
      <c r="G7838"/>
      <c r="H7838"/>
      <c r="I7838"/>
      <c r="K7838"/>
      <c r="O7838"/>
      <c r="R7838"/>
      <c r="W7838" s="4"/>
      <c r="X7838" s="4"/>
      <c r="Y7838" s="4"/>
    </row>
    <row r="7839" spans="5:25">
      <c r="E7839"/>
      <c r="G7839"/>
      <c r="H7839"/>
      <c r="I7839"/>
      <c r="K7839"/>
      <c r="O7839"/>
      <c r="R7839"/>
      <c r="W7839" s="4"/>
      <c r="X7839" s="4"/>
      <c r="Y7839" s="4"/>
    </row>
    <row r="7840" spans="5:25">
      <c r="E7840"/>
      <c r="G7840"/>
      <c r="H7840"/>
      <c r="I7840"/>
      <c r="K7840"/>
      <c r="O7840"/>
      <c r="R7840"/>
      <c r="W7840" s="4"/>
      <c r="X7840" s="4"/>
      <c r="Y7840" s="4"/>
    </row>
    <row r="7841" spans="5:25">
      <c r="E7841"/>
      <c r="G7841"/>
      <c r="H7841"/>
      <c r="I7841"/>
      <c r="K7841"/>
      <c r="O7841"/>
      <c r="R7841"/>
      <c r="W7841" s="4"/>
      <c r="X7841" s="4"/>
      <c r="Y7841" s="4"/>
    </row>
    <row r="7842" spans="5:25">
      <c r="E7842"/>
      <c r="G7842"/>
      <c r="H7842"/>
      <c r="I7842"/>
      <c r="K7842"/>
      <c r="O7842"/>
      <c r="R7842"/>
      <c r="W7842" s="4"/>
      <c r="X7842" s="4"/>
      <c r="Y7842" s="4"/>
    </row>
    <row r="7843" spans="5:25">
      <c r="E7843"/>
      <c r="G7843"/>
      <c r="H7843"/>
      <c r="I7843"/>
      <c r="K7843"/>
      <c r="O7843"/>
      <c r="R7843"/>
      <c r="W7843" s="4"/>
      <c r="X7843" s="4"/>
      <c r="Y7843" s="4"/>
    </row>
    <row r="7844" spans="5:25">
      <c r="E7844"/>
      <c r="G7844"/>
      <c r="H7844"/>
      <c r="I7844"/>
      <c r="K7844"/>
      <c r="O7844"/>
      <c r="R7844"/>
      <c r="W7844" s="4"/>
      <c r="X7844" s="4"/>
      <c r="Y7844" s="4"/>
    </row>
    <row r="7845" spans="5:25">
      <c r="E7845"/>
      <c r="G7845"/>
      <c r="H7845"/>
      <c r="I7845"/>
      <c r="K7845"/>
      <c r="O7845"/>
      <c r="R7845"/>
      <c r="W7845" s="4"/>
      <c r="X7845" s="4"/>
      <c r="Y7845" s="4"/>
    </row>
    <row r="7846" spans="5:25">
      <c r="E7846"/>
      <c r="G7846"/>
      <c r="H7846"/>
      <c r="I7846"/>
      <c r="K7846"/>
      <c r="O7846"/>
      <c r="R7846"/>
      <c r="W7846" s="4"/>
      <c r="X7846" s="4"/>
      <c r="Y7846" s="4"/>
    </row>
    <row r="7847" spans="5:25">
      <c r="E7847"/>
      <c r="G7847"/>
      <c r="H7847"/>
      <c r="I7847"/>
      <c r="K7847"/>
      <c r="O7847"/>
      <c r="R7847"/>
      <c r="W7847" s="4"/>
      <c r="X7847" s="4"/>
      <c r="Y7847" s="4"/>
    </row>
    <row r="7848" spans="5:25">
      <c r="E7848"/>
      <c r="G7848"/>
      <c r="H7848"/>
      <c r="I7848"/>
      <c r="K7848"/>
      <c r="O7848"/>
      <c r="R7848"/>
      <c r="W7848" s="4"/>
      <c r="X7848" s="4"/>
      <c r="Y7848" s="4"/>
    </row>
    <row r="7849" spans="5:25">
      <c r="E7849"/>
      <c r="G7849"/>
      <c r="H7849"/>
      <c r="I7849"/>
      <c r="K7849"/>
      <c r="O7849"/>
      <c r="R7849"/>
      <c r="W7849" s="4"/>
      <c r="X7849" s="4"/>
      <c r="Y7849" s="4"/>
    </row>
    <row r="7850" spans="5:25">
      <c r="E7850"/>
      <c r="G7850"/>
      <c r="H7850"/>
      <c r="I7850"/>
      <c r="K7850"/>
      <c r="O7850"/>
      <c r="R7850"/>
      <c r="W7850" s="4"/>
      <c r="X7850" s="4"/>
      <c r="Y7850" s="4"/>
    </row>
    <row r="7851" spans="5:25">
      <c r="E7851"/>
      <c r="G7851"/>
      <c r="H7851"/>
      <c r="I7851"/>
      <c r="K7851"/>
      <c r="O7851"/>
      <c r="R7851"/>
      <c r="W7851" s="4"/>
      <c r="X7851" s="4"/>
      <c r="Y7851" s="4"/>
    </row>
    <row r="7852" spans="5:25">
      <c r="E7852"/>
      <c r="G7852"/>
      <c r="H7852"/>
      <c r="I7852"/>
      <c r="K7852"/>
      <c r="O7852"/>
      <c r="R7852"/>
      <c r="W7852" s="4"/>
      <c r="X7852" s="4"/>
      <c r="Y7852" s="4"/>
    </row>
    <row r="7853" spans="5:25">
      <c r="E7853"/>
      <c r="G7853"/>
      <c r="H7853"/>
      <c r="I7853"/>
      <c r="K7853"/>
      <c r="O7853"/>
      <c r="R7853"/>
      <c r="W7853" s="4"/>
      <c r="X7853" s="4"/>
      <c r="Y7853" s="4"/>
    </row>
    <row r="7854" spans="5:25">
      <c r="E7854"/>
      <c r="G7854"/>
      <c r="H7854"/>
      <c r="I7854"/>
      <c r="K7854"/>
      <c r="O7854"/>
      <c r="R7854"/>
      <c r="W7854" s="4"/>
      <c r="X7854" s="4"/>
      <c r="Y7854" s="4"/>
    </row>
    <row r="7855" spans="5:25">
      <c r="E7855"/>
      <c r="G7855"/>
      <c r="H7855"/>
      <c r="I7855"/>
      <c r="K7855"/>
      <c r="O7855"/>
      <c r="R7855"/>
      <c r="W7855" s="4"/>
      <c r="X7855" s="4"/>
      <c r="Y7855" s="4"/>
    </row>
    <row r="7856" spans="5:25">
      <c r="E7856"/>
      <c r="G7856"/>
      <c r="H7856"/>
      <c r="I7856"/>
      <c r="K7856"/>
      <c r="O7856"/>
      <c r="R7856"/>
      <c r="W7856" s="4"/>
      <c r="X7856" s="4"/>
      <c r="Y7856" s="4"/>
    </row>
    <row r="7857" spans="5:25">
      <c r="E7857"/>
      <c r="G7857"/>
      <c r="H7857"/>
      <c r="I7857"/>
      <c r="K7857"/>
      <c r="O7857"/>
      <c r="R7857"/>
      <c r="W7857" s="4"/>
      <c r="X7857" s="4"/>
      <c r="Y7857" s="4"/>
    </row>
    <row r="7858" spans="5:25">
      <c r="E7858"/>
      <c r="G7858"/>
      <c r="H7858"/>
      <c r="I7858"/>
      <c r="K7858"/>
      <c r="O7858"/>
      <c r="R7858"/>
      <c r="W7858" s="4"/>
      <c r="X7858" s="4"/>
      <c r="Y7858" s="4"/>
    </row>
    <row r="7859" spans="5:25">
      <c r="E7859"/>
      <c r="G7859"/>
      <c r="H7859"/>
      <c r="I7859"/>
      <c r="K7859"/>
      <c r="O7859"/>
      <c r="R7859"/>
      <c r="W7859" s="4"/>
      <c r="X7859" s="4"/>
      <c r="Y7859" s="4"/>
    </row>
    <row r="7860" spans="5:25">
      <c r="E7860"/>
      <c r="G7860"/>
      <c r="H7860"/>
      <c r="I7860"/>
      <c r="K7860"/>
      <c r="O7860"/>
      <c r="R7860"/>
      <c r="W7860" s="4"/>
      <c r="X7860" s="4"/>
      <c r="Y7860" s="4"/>
    </row>
    <row r="7861" spans="5:25">
      <c r="E7861"/>
      <c r="G7861"/>
      <c r="H7861"/>
      <c r="I7861"/>
      <c r="K7861"/>
      <c r="O7861"/>
      <c r="R7861"/>
      <c r="W7861" s="4"/>
      <c r="X7861" s="4"/>
      <c r="Y7861" s="4"/>
    </row>
    <row r="7862" spans="5:25">
      <c r="E7862"/>
      <c r="G7862"/>
      <c r="H7862"/>
      <c r="I7862"/>
      <c r="K7862"/>
      <c r="O7862"/>
      <c r="R7862"/>
      <c r="W7862" s="4"/>
      <c r="X7862" s="4"/>
      <c r="Y7862" s="4"/>
    </row>
    <row r="7863" spans="5:25">
      <c r="E7863"/>
      <c r="G7863"/>
      <c r="H7863"/>
      <c r="I7863"/>
      <c r="K7863"/>
      <c r="O7863"/>
      <c r="R7863"/>
      <c r="W7863" s="4"/>
      <c r="X7863" s="4"/>
      <c r="Y7863" s="4"/>
    </row>
    <row r="7864" spans="5:25">
      <c r="E7864"/>
      <c r="G7864"/>
      <c r="H7864"/>
      <c r="I7864"/>
      <c r="K7864"/>
      <c r="O7864"/>
      <c r="R7864"/>
      <c r="W7864" s="4"/>
      <c r="X7864" s="4"/>
      <c r="Y7864" s="4"/>
    </row>
    <row r="7865" spans="5:25">
      <c r="E7865"/>
      <c r="G7865"/>
      <c r="H7865"/>
      <c r="I7865"/>
      <c r="K7865"/>
      <c r="O7865"/>
      <c r="R7865"/>
      <c r="W7865" s="4"/>
      <c r="X7865" s="4"/>
      <c r="Y7865" s="4"/>
    </row>
    <row r="7866" spans="5:25">
      <c r="E7866"/>
      <c r="G7866"/>
      <c r="H7866"/>
      <c r="I7866"/>
      <c r="K7866"/>
      <c r="O7866"/>
      <c r="R7866"/>
      <c r="W7866" s="4"/>
      <c r="X7866" s="4"/>
      <c r="Y7866" s="4"/>
    </row>
    <row r="7867" spans="5:25">
      <c r="E7867"/>
      <c r="G7867"/>
      <c r="H7867"/>
      <c r="I7867"/>
      <c r="K7867"/>
      <c r="O7867"/>
      <c r="R7867"/>
      <c r="W7867" s="4"/>
      <c r="X7867" s="4"/>
      <c r="Y7867" s="4"/>
    </row>
    <row r="7868" spans="5:25">
      <c r="E7868"/>
      <c r="G7868"/>
      <c r="H7868"/>
      <c r="I7868"/>
      <c r="K7868"/>
      <c r="O7868"/>
      <c r="R7868"/>
      <c r="W7868" s="4"/>
      <c r="X7868" s="4"/>
      <c r="Y7868" s="4"/>
    </row>
    <row r="7869" spans="5:25">
      <c r="E7869"/>
      <c r="G7869"/>
      <c r="H7869"/>
      <c r="I7869"/>
      <c r="K7869"/>
      <c r="O7869"/>
      <c r="R7869"/>
      <c r="W7869" s="4"/>
      <c r="X7869" s="4"/>
      <c r="Y7869" s="4"/>
    </row>
    <row r="7870" spans="5:25">
      <c r="E7870"/>
      <c r="G7870"/>
      <c r="H7870"/>
      <c r="I7870"/>
      <c r="K7870"/>
      <c r="O7870"/>
      <c r="R7870"/>
      <c r="W7870" s="4"/>
      <c r="X7870" s="4"/>
      <c r="Y7870" s="4"/>
    </row>
    <row r="7871" spans="5:25">
      <c r="E7871"/>
      <c r="G7871"/>
      <c r="H7871"/>
      <c r="I7871"/>
      <c r="K7871"/>
      <c r="O7871"/>
      <c r="R7871"/>
      <c r="W7871" s="4"/>
      <c r="X7871" s="4"/>
      <c r="Y7871" s="4"/>
    </row>
    <row r="7872" spans="5:25">
      <c r="E7872"/>
      <c r="G7872"/>
      <c r="H7872"/>
      <c r="I7872"/>
      <c r="K7872"/>
      <c r="O7872"/>
      <c r="R7872"/>
      <c r="W7872" s="4"/>
      <c r="X7872" s="4"/>
      <c r="Y7872" s="4"/>
    </row>
    <row r="7873" spans="5:25">
      <c r="E7873"/>
      <c r="G7873"/>
      <c r="H7873"/>
      <c r="I7873"/>
      <c r="K7873"/>
      <c r="O7873"/>
      <c r="R7873"/>
      <c r="W7873" s="4"/>
      <c r="X7873" s="4"/>
      <c r="Y7873" s="4"/>
    </row>
    <row r="7874" spans="5:25">
      <c r="E7874"/>
      <c r="G7874"/>
      <c r="H7874"/>
      <c r="I7874"/>
      <c r="K7874"/>
      <c r="O7874"/>
      <c r="R7874"/>
      <c r="W7874" s="4"/>
      <c r="X7874" s="4"/>
      <c r="Y7874" s="4"/>
    </row>
    <row r="7875" spans="5:25">
      <c r="E7875"/>
      <c r="G7875"/>
      <c r="H7875"/>
      <c r="I7875"/>
      <c r="K7875"/>
      <c r="O7875"/>
      <c r="R7875"/>
      <c r="W7875" s="4"/>
      <c r="X7875" s="4"/>
      <c r="Y7875" s="4"/>
    </row>
    <row r="7876" spans="5:25">
      <c r="E7876"/>
      <c r="G7876"/>
      <c r="H7876"/>
      <c r="I7876"/>
      <c r="K7876"/>
      <c r="O7876"/>
      <c r="R7876"/>
      <c r="W7876" s="4"/>
      <c r="X7876" s="4"/>
      <c r="Y7876" s="4"/>
    </row>
    <row r="7877" spans="5:25">
      <c r="E7877"/>
      <c r="G7877"/>
      <c r="H7877"/>
      <c r="I7877"/>
      <c r="K7877"/>
      <c r="O7877"/>
      <c r="R7877"/>
      <c r="W7877" s="4"/>
      <c r="X7877" s="4"/>
      <c r="Y7877" s="4"/>
    </row>
    <row r="7878" spans="5:25">
      <c r="E7878"/>
      <c r="G7878"/>
      <c r="H7878"/>
      <c r="I7878"/>
      <c r="K7878"/>
      <c r="O7878"/>
      <c r="R7878"/>
      <c r="W7878" s="4"/>
      <c r="X7878" s="4"/>
      <c r="Y7878" s="4"/>
    </row>
    <row r="7879" spans="5:25">
      <c r="E7879"/>
      <c r="G7879"/>
      <c r="H7879"/>
      <c r="I7879"/>
      <c r="K7879"/>
      <c r="O7879"/>
      <c r="R7879"/>
      <c r="W7879" s="4"/>
      <c r="X7879" s="4"/>
      <c r="Y7879" s="4"/>
    </row>
    <row r="7880" spans="5:25">
      <c r="E7880"/>
      <c r="G7880"/>
      <c r="H7880"/>
      <c r="I7880"/>
      <c r="K7880"/>
      <c r="O7880"/>
      <c r="R7880"/>
      <c r="W7880" s="4"/>
      <c r="X7880" s="4"/>
      <c r="Y7880" s="4"/>
    </row>
    <row r="7881" spans="5:25">
      <c r="E7881"/>
      <c r="G7881"/>
      <c r="H7881"/>
      <c r="I7881"/>
      <c r="K7881"/>
      <c r="O7881"/>
      <c r="R7881"/>
      <c r="W7881" s="4"/>
      <c r="X7881" s="4"/>
      <c r="Y7881" s="4"/>
    </row>
    <row r="7882" spans="5:25">
      <c r="E7882"/>
      <c r="G7882"/>
      <c r="H7882"/>
      <c r="I7882"/>
      <c r="K7882"/>
      <c r="O7882"/>
      <c r="R7882"/>
      <c r="W7882" s="4"/>
      <c r="X7882" s="4"/>
      <c r="Y7882" s="4"/>
    </row>
    <row r="7883" spans="5:25">
      <c r="E7883"/>
      <c r="G7883"/>
      <c r="H7883"/>
      <c r="I7883"/>
      <c r="K7883"/>
      <c r="O7883"/>
      <c r="R7883"/>
      <c r="W7883" s="4"/>
      <c r="X7883" s="4"/>
      <c r="Y7883" s="4"/>
    </row>
    <row r="7884" spans="5:25">
      <c r="E7884"/>
      <c r="G7884"/>
      <c r="H7884"/>
      <c r="I7884"/>
      <c r="K7884"/>
      <c r="O7884"/>
      <c r="R7884"/>
      <c r="W7884" s="4"/>
      <c r="X7884" s="4"/>
      <c r="Y7884" s="4"/>
    </row>
    <row r="7885" spans="5:25">
      <c r="E7885"/>
      <c r="G7885"/>
      <c r="H7885"/>
      <c r="I7885"/>
      <c r="K7885"/>
      <c r="O7885"/>
      <c r="R7885"/>
      <c r="W7885" s="4"/>
      <c r="X7885" s="4"/>
      <c r="Y7885" s="4"/>
    </row>
    <row r="7886" spans="5:25">
      <c r="E7886"/>
      <c r="G7886"/>
      <c r="H7886"/>
      <c r="I7886"/>
      <c r="K7886"/>
      <c r="O7886"/>
      <c r="R7886"/>
      <c r="W7886" s="4"/>
      <c r="X7886" s="4"/>
      <c r="Y7886" s="4"/>
    </row>
    <row r="7887" spans="5:25">
      <c r="E7887"/>
      <c r="G7887"/>
      <c r="H7887"/>
      <c r="I7887"/>
      <c r="K7887"/>
      <c r="O7887"/>
      <c r="R7887"/>
      <c r="W7887" s="4"/>
      <c r="X7887" s="4"/>
      <c r="Y7887" s="4"/>
    </row>
    <row r="7888" spans="5:25">
      <c r="E7888"/>
      <c r="G7888"/>
      <c r="H7888"/>
      <c r="I7888"/>
      <c r="K7888"/>
      <c r="O7888"/>
      <c r="R7888"/>
      <c r="W7888" s="4"/>
      <c r="X7888" s="4"/>
      <c r="Y7888" s="4"/>
    </row>
    <row r="7889" spans="5:25">
      <c r="E7889"/>
      <c r="G7889"/>
      <c r="H7889"/>
      <c r="I7889"/>
      <c r="K7889"/>
      <c r="O7889"/>
      <c r="R7889"/>
      <c r="W7889" s="4"/>
      <c r="X7889" s="4"/>
      <c r="Y7889" s="4"/>
    </row>
    <row r="7890" spans="5:25">
      <c r="E7890"/>
      <c r="G7890"/>
      <c r="H7890"/>
      <c r="I7890"/>
      <c r="K7890"/>
      <c r="O7890"/>
      <c r="R7890"/>
      <c r="W7890" s="4"/>
      <c r="X7890" s="4"/>
      <c r="Y7890" s="4"/>
    </row>
    <row r="7891" spans="5:25">
      <c r="E7891"/>
      <c r="G7891"/>
      <c r="H7891"/>
      <c r="I7891"/>
      <c r="K7891"/>
      <c r="O7891"/>
      <c r="R7891"/>
      <c r="W7891" s="4"/>
      <c r="X7891" s="4"/>
      <c r="Y7891" s="4"/>
    </row>
    <row r="7892" spans="5:25">
      <c r="E7892"/>
      <c r="G7892"/>
      <c r="H7892"/>
      <c r="I7892"/>
      <c r="K7892"/>
      <c r="O7892"/>
      <c r="R7892"/>
      <c r="W7892" s="4"/>
      <c r="X7892" s="4"/>
      <c r="Y7892" s="4"/>
    </row>
    <row r="7893" spans="5:25">
      <c r="E7893"/>
      <c r="G7893"/>
      <c r="H7893"/>
      <c r="I7893"/>
      <c r="K7893"/>
      <c r="O7893"/>
      <c r="R7893"/>
      <c r="W7893" s="4"/>
      <c r="X7893" s="4"/>
      <c r="Y7893" s="4"/>
    </row>
    <row r="7894" spans="5:25">
      <c r="E7894"/>
      <c r="G7894"/>
      <c r="H7894"/>
      <c r="I7894"/>
      <c r="K7894"/>
      <c r="O7894"/>
      <c r="R7894"/>
      <c r="W7894" s="4"/>
      <c r="X7894" s="4"/>
      <c r="Y7894" s="4"/>
    </row>
    <row r="7895" spans="5:25">
      <c r="E7895"/>
      <c r="G7895"/>
      <c r="H7895"/>
      <c r="I7895"/>
      <c r="K7895"/>
      <c r="O7895"/>
      <c r="R7895"/>
      <c r="W7895" s="4"/>
      <c r="X7895" s="4"/>
      <c r="Y7895" s="4"/>
    </row>
    <row r="7896" spans="5:25">
      <c r="E7896"/>
      <c r="G7896"/>
      <c r="H7896"/>
      <c r="I7896"/>
      <c r="K7896"/>
      <c r="O7896"/>
      <c r="R7896"/>
      <c r="W7896" s="4"/>
      <c r="X7896" s="4"/>
      <c r="Y7896" s="4"/>
    </row>
    <row r="7897" spans="5:25">
      <c r="E7897"/>
      <c r="G7897"/>
      <c r="H7897"/>
      <c r="I7897"/>
      <c r="K7897"/>
      <c r="O7897"/>
      <c r="R7897"/>
      <c r="W7897" s="4"/>
      <c r="X7897" s="4"/>
      <c r="Y7897" s="4"/>
    </row>
    <row r="7898" spans="5:25">
      <c r="E7898"/>
      <c r="G7898"/>
      <c r="H7898"/>
      <c r="I7898"/>
      <c r="K7898"/>
      <c r="O7898"/>
      <c r="R7898"/>
      <c r="W7898" s="4"/>
      <c r="X7898" s="4"/>
      <c r="Y7898" s="4"/>
    </row>
    <row r="7899" spans="5:25">
      <c r="E7899"/>
      <c r="G7899"/>
      <c r="H7899"/>
      <c r="I7899"/>
      <c r="K7899"/>
      <c r="O7899"/>
      <c r="R7899"/>
      <c r="W7899" s="4"/>
      <c r="X7899" s="4"/>
      <c r="Y7899" s="4"/>
    </row>
    <row r="7900" spans="5:25">
      <c r="E7900"/>
      <c r="G7900"/>
      <c r="H7900"/>
      <c r="I7900"/>
      <c r="K7900"/>
      <c r="O7900"/>
      <c r="R7900"/>
      <c r="W7900" s="4"/>
      <c r="X7900" s="4"/>
      <c r="Y7900" s="4"/>
    </row>
    <row r="7901" spans="5:25">
      <c r="E7901"/>
      <c r="G7901"/>
      <c r="H7901"/>
      <c r="I7901"/>
      <c r="K7901"/>
      <c r="O7901"/>
      <c r="R7901"/>
      <c r="W7901" s="4"/>
      <c r="X7901" s="4"/>
      <c r="Y7901" s="4"/>
    </row>
    <row r="7902" spans="5:25">
      <c r="E7902"/>
      <c r="G7902"/>
      <c r="H7902"/>
      <c r="I7902"/>
      <c r="K7902"/>
      <c r="O7902"/>
      <c r="R7902"/>
      <c r="W7902" s="4"/>
      <c r="X7902" s="4"/>
      <c r="Y7902" s="4"/>
    </row>
    <row r="7903" spans="5:25">
      <c r="E7903"/>
      <c r="G7903"/>
      <c r="H7903"/>
      <c r="I7903"/>
      <c r="K7903"/>
      <c r="O7903"/>
      <c r="R7903"/>
      <c r="W7903" s="4"/>
      <c r="X7903" s="4"/>
      <c r="Y7903" s="4"/>
    </row>
    <row r="7904" spans="5:25">
      <c r="E7904"/>
      <c r="G7904"/>
      <c r="H7904"/>
      <c r="I7904"/>
      <c r="K7904"/>
      <c r="O7904"/>
      <c r="R7904"/>
      <c r="W7904" s="4"/>
      <c r="X7904" s="4"/>
      <c r="Y7904" s="4"/>
    </row>
    <row r="7905" spans="5:25">
      <c r="E7905"/>
      <c r="G7905"/>
      <c r="H7905"/>
      <c r="I7905"/>
      <c r="K7905"/>
      <c r="O7905"/>
      <c r="R7905"/>
      <c r="W7905" s="4"/>
      <c r="X7905" s="4"/>
      <c r="Y7905" s="4"/>
    </row>
    <row r="7906" spans="5:25">
      <c r="E7906"/>
      <c r="G7906"/>
      <c r="H7906"/>
      <c r="I7906"/>
      <c r="K7906"/>
      <c r="O7906"/>
      <c r="R7906"/>
      <c r="W7906" s="4"/>
      <c r="X7906" s="4"/>
      <c r="Y7906" s="4"/>
    </row>
    <row r="7907" spans="5:25">
      <c r="E7907"/>
      <c r="G7907"/>
      <c r="H7907"/>
      <c r="I7907"/>
      <c r="K7907"/>
      <c r="O7907"/>
      <c r="R7907"/>
      <c r="W7907" s="4"/>
      <c r="X7907" s="4"/>
      <c r="Y7907" s="4"/>
    </row>
    <row r="7908" spans="5:25">
      <c r="E7908"/>
      <c r="G7908"/>
      <c r="H7908"/>
      <c r="I7908"/>
      <c r="K7908"/>
      <c r="O7908"/>
      <c r="R7908"/>
      <c r="W7908" s="4"/>
      <c r="X7908" s="4"/>
      <c r="Y7908" s="4"/>
    </row>
    <row r="7909" spans="5:25">
      <c r="E7909"/>
      <c r="G7909"/>
      <c r="H7909"/>
      <c r="I7909"/>
      <c r="K7909"/>
      <c r="O7909"/>
      <c r="R7909"/>
      <c r="W7909" s="4"/>
      <c r="X7909" s="4"/>
      <c r="Y7909" s="4"/>
    </row>
    <row r="7910" spans="5:25">
      <c r="E7910"/>
      <c r="G7910"/>
      <c r="H7910"/>
      <c r="I7910"/>
      <c r="K7910"/>
      <c r="O7910"/>
      <c r="R7910"/>
      <c r="W7910" s="4"/>
      <c r="X7910" s="4"/>
      <c r="Y7910" s="4"/>
    </row>
    <row r="7911" spans="5:25">
      <c r="E7911"/>
      <c r="G7911"/>
      <c r="H7911"/>
      <c r="I7911"/>
      <c r="K7911"/>
      <c r="O7911"/>
      <c r="R7911"/>
      <c r="W7911" s="4"/>
      <c r="X7911" s="4"/>
      <c r="Y7911" s="4"/>
    </row>
    <row r="7912" spans="5:25">
      <c r="E7912"/>
      <c r="G7912"/>
      <c r="H7912"/>
      <c r="I7912"/>
      <c r="K7912"/>
      <c r="O7912"/>
      <c r="R7912"/>
      <c r="W7912" s="4"/>
      <c r="X7912" s="4"/>
      <c r="Y7912" s="4"/>
    </row>
    <row r="7913" spans="5:25">
      <c r="E7913"/>
      <c r="G7913"/>
      <c r="H7913"/>
      <c r="I7913"/>
      <c r="K7913"/>
      <c r="O7913"/>
      <c r="R7913"/>
      <c r="W7913" s="4"/>
      <c r="X7913" s="4"/>
      <c r="Y7913" s="4"/>
    </row>
    <row r="7914" spans="5:25">
      <c r="E7914"/>
      <c r="G7914"/>
      <c r="H7914"/>
      <c r="I7914"/>
      <c r="K7914"/>
      <c r="O7914"/>
      <c r="R7914"/>
      <c r="W7914" s="4"/>
      <c r="X7914" s="4"/>
      <c r="Y7914" s="4"/>
    </row>
    <row r="7915" spans="5:25">
      <c r="E7915"/>
      <c r="G7915"/>
      <c r="H7915"/>
      <c r="I7915"/>
      <c r="K7915"/>
      <c r="O7915"/>
      <c r="R7915"/>
      <c r="W7915" s="4"/>
      <c r="X7915" s="4"/>
      <c r="Y7915" s="4"/>
    </row>
    <row r="7916" spans="5:25">
      <c r="E7916"/>
      <c r="G7916"/>
      <c r="H7916"/>
      <c r="I7916"/>
      <c r="K7916"/>
      <c r="O7916"/>
      <c r="R7916"/>
      <c r="W7916" s="4"/>
      <c r="X7916" s="4"/>
      <c r="Y7916" s="4"/>
    </row>
    <row r="7917" spans="5:25">
      <c r="E7917"/>
      <c r="G7917"/>
      <c r="H7917"/>
      <c r="I7917"/>
      <c r="K7917"/>
      <c r="O7917"/>
      <c r="R7917"/>
      <c r="W7917" s="4"/>
      <c r="X7917" s="4"/>
      <c r="Y7917" s="4"/>
    </row>
    <row r="7918" spans="5:25">
      <c r="E7918"/>
      <c r="G7918"/>
      <c r="H7918"/>
      <c r="I7918"/>
      <c r="K7918"/>
      <c r="O7918"/>
      <c r="R7918"/>
      <c r="W7918" s="4"/>
      <c r="X7918" s="4"/>
      <c r="Y7918" s="4"/>
    </row>
    <row r="7919" spans="5:25">
      <c r="E7919"/>
      <c r="G7919"/>
      <c r="H7919"/>
      <c r="I7919"/>
      <c r="K7919"/>
      <c r="O7919"/>
      <c r="R7919"/>
      <c r="W7919" s="4"/>
      <c r="X7919" s="4"/>
      <c r="Y7919" s="4"/>
    </row>
    <row r="7920" spans="5:25">
      <c r="E7920"/>
      <c r="G7920"/>
      <c r="H7920"/>
      <c r="I7920"/>
      <c r="K7920"/>
      <c r="O7920"/>
      <c r="R7920"/>
      <c r="W7920" s="4"/>
      <c r="X7920" s="4"/>
      <c r="Y7920" s="4"/>
    </row>
    <row r="7921" spans="5:25">
      <c r="E7921"/>
      <c r="G7921"/>
      <c r="H7921"/>
      <c r="I7921"/>
      <c r="K7921"/>
      <c r="O7921"/>
      <c r="R7921"/>
      <c r="W7921" s="4"/>
      <c r="X7921" s="4"/>
      <c r="Y7921" s="4"/>
    </row>
    <row r="7922" spans="5:25">
      <c r="E7922"/>
      <c r="G7922"/>
      <c r="H7922"/>
      <c r="I7922"/>
      <c r="K7922"/>
      <c r="O7922"/>
      <c r="R7922"/>
      <c r="W7922" s="4"/>
      <c r="X7922" s="4"/>
      <c r="Y7922" s="4"/>
    </row>
    <row r="7923" spans="5:25">
      <c r="E7923"/>
      <c r="G7923"/>
      <c r="H7923"/>
      <c r="I7923"/>
      <c r="K7923"/>
      <c r="O7923"/>
      <c r="R7923"/>
      <c r="W7923" s="4"/>
      <c r="X7923" s="4"/>
      <c r="Y7923" s="4"/>
    </row>
    <row r="7924" spans="5:25">
      <c r="E7924"/>
      <c r="G7924"/>
      <c r="H7924"/>
      <c r="I7924"/>
      <c r="K7924"/>
      <c r="O7924"/>
      <c r="R7924"/>
      <c r="W7924" s="4"/>
      <c r="X7924" s="4"/>
      <c r="Y7924" s="4"/>
    </row>
    <row r="7925" spans="5:25">
      <c r="E7925"/>
      <c r="G7925"/>
      <c r="H7925"/>
      <c r="I7925"/>
      <c r="K7925"/>
      <c r="O7925"/>
      <c r="R7925"/>
      <c r="W7925" s="4"/>
      <c r="X7925" s="4"/>
      <c r="Y7925" s="4"/>
    </row>
    <row r="7926" spans="5:25">
      <c r="E7926"/>
      <c r="G7926"/>
      <c r="H7926"/>
      <c r="I7926"/>
      <c r="K7926"/>
      <c r="O7926"/>
      <c r="R7926"/>
      <c r="W7926" s="4"/>
      <c r="X7926" s="4"/>
      <c r="Y7926" s="4"/>
    </row>
    <row r="7927" spans="5:25">
      <c r="E7927"/>
      <c r="G7927"/>
      <c r="H7927"/>
      <c r="I7927"/>
      <c r="K7927"/>
      <c r="O7927"/>
      <c r="R7927"/>
      <c r="W7927" s="4"/>
      <c r="X7927" s="4"/>
      <c r="Y7927" s="4"/>
    </row>
    <row r="7928" spans="5:25">
      <c r="E7928"/>
      <c r="G7928"/>
      <c r="H7928"/>
      <c r="I7928"/>
      <c r="K7928"/>
      <c r="O7928"/>
      <c r="R7928"/>
      <c r="W7928" s="4"/>
      <c r="X7928" s="4"/>
      <c r="Y7928" s="4"/>
    </row>
    <row r="7929" spans="5:25">
      <c r="E7929"/>
      <c r="G7929"/>
      <c r="H7929"/>
      <c r="I7929"/>
      <c r="K7929"/>
      <c r="O7929"/>
      <c r="R7929"/>
      <c r="W7929" s="4"/>
      <c r="X7929" s="4"/>
      <c r="Y7929" s="4"/>
    </row>
    <row r="7930" spans="5:25">
      <c r="E7930"/>
      <c r="G7930"/>
      <c r="H7930"/>
      <c r="I7930"/>
      <c r="K7930"/>
      <c r="O7930"/>
      <c r="R7930"/>
      <c r="W7930" s="4"/>
      <c r="X7930" s="4"/>
      <c r="Y7930" s="4"/>
    </row>
    <row r="7931" spans="5:25">
      <c r="E7931"/>
      <c r="G7931"/>
      <c r="H7931"/>
      <c r="I7931"/>
      <c r="K7931"/>
      <c r="O7931"/>
      <c r="R7931"/>
      <c r="W7931" s="4"/>
      <c r="X7931" s="4"/>
      <c r="Y7931" s="4"/>
    </row>
    <row r="7932" spans="5:25">
      <c r="E7932"/>
      <c r="G7932"/>
      <c r="H7932"/>
      <c r="I7932"/>
      <c r="K7932"/>
      <c r="O7932"/>
      <c r="R7932"/>
      <c r="W7932" s="4"/>
      <c r="X7932" s="4"/>
      <c r="Y7932" s="4"/>
    </row>
    <row r="7933" spans="5:25">
      <c r="E7933"/>
      <c r="G7933"/>
      <c r="H7933"/>
      <c r="I7933"/>
      <c r="K7933"/>
      <c r="O7933"/>
      <c r="R7933"/>
      <c r="W7933" s="4"/>
      <c r="X7933" s="4"/>
      <c r="Y7933" s="4"/>
    </row>
    <row r="7934" spans="5:25">
      <c r="E7934"/>
      <c r="G7934"/>
      <c r="H7934"/>
      <c r="I7934"/>
      <c r="K7934"/>
      <c r="O7934"/>
      <c r="R7934"/>
      <c r="W7934" s="4"/>
      <c r="X7934" s="4"/>
      <c r="Y7934" s="4"/>
    </row>
    <row r="7935" spans="5:25">
      <c r="E7935"/>
      <c r="G7935"/>
      <c r="H7935"/>
      <c r="I7935"/>
      <c r="K7935"/>
      <c r="O7935"/>
      <c r="R7935"/>
      <c r="W7935" s="4"/>
      <c r="X7935" s="4"/>
      <c r="Y7935" s="4"/>
    </row>
    <row r="7936" spans="5:25">
      <c r="E7936"/>
      <c r="G7936"/>
      <c r="H7936"/>
      <c r="I7936"/>
      <c r="K7936"/>
      <c r="O7936"/>
      <c r="R7936"/>
      <c r="W7936" s="4"/>
      <c r="X7936" s="4"/>
      <c r="Y7936" s="4"/>
    </row>
    <row r="7937" spans="5:25">
      <c r="E7937"/>
      <c r="G7937"/>
      <c r="H7937"/>
      <c r="I7937"/>
      <c r="K7937"/>
      <c r="O7937"/>
      <c r="R7937"/>
      <c r="W7937" s="4"/>
      <c r="X7937" s="4"/>
      <c r="Y7937" s="4"/>
    </row>
    <row r="7938" spans="5:25">
      <c r="E7938"/>
      <c r="G7938"/>
      <c r="H7938"/>
      <c r="I7938"/>
      <c r="K7938"/>
      <c r="O7938"/>
      <c r="R7938"/>
      <c r="W7938" s="4"/>
      <c r="X7938" s="4"/>
      <c r="Y7938" s="4"/>
    </row>
    <row r="7939" spans="5:25">
      <c r="E7939"/>
      <c r="G7939"/>
      <c r="H7939"/>
      <c r="I7939"/>
      <c r="K7939"/>
      <c r="O7939"/>
      <c r="R7939"/>
      <c r="W7939" s="4"/>
      <c r="X7939" s="4"/>
      <c r="Y7939" s="4"/>
    </row>
    <row r="7940" spans="5:25">
      <c r="E7940"/>
      <c r="G7940"/>
      <c r="H7940"/>
      <c r="I7940"/>
      <c r="K7940"/>
      <c r="O7940"/>
      <c r="R7940"/>
      <c r="W7940" s="4"/>
      <c r="X7940" s="4"/>
      <c r="Y7940" s="4"/>
    </row>
    <row r="7941" spans="5:25">
      <c r="E7941"/>
      <c r="G7941"/>
      <c r="H7941"/>
      <c r="I7941"/>
      <c r="K7941"/>
      <c r="O7941"/>
      <c r="R7941"/>
      <c r="W7941" s="4"/>
      <c r="X7941" s="4"/>
      <c r="Y7941" s="4"/>
    </row>
    <row r="7942" spans="5:25">
      <c r="E7942"/>
      <c r="G7942"/>
      <c r="H7942"/>
      <c r="I7942"/>
      <c r="K7942"/>
      <c r="O7942"/>
      <c r="R7942"/>
      <c r="W7942" s="4"/>
      <c r="X7942" s="4"/>
      <c r="Y7942" s="4"/>
    </row>
    <row r="7943" spans="5:25">
      <c r="E7943"/>
      <c r="G7943"/>
      <c r="H7943"/>
      <c r="I7943"/>
      <c r="K7943"/>
      <c r="O7943"/>
      <c r="R7943"/>
      <c r="W7943" s="4"/>
      <c r="X7943" s="4"/>
      <c r="Y7943" s="4"/>
    </row>
    <row r="7944" spans="5:25">
      <c r="E7944"/>
      <c r="G7944"/>
      <c r="H7944"/>
      <c r="I7944"/>
      <c r="K7944"/>
      <c r="O7944"/>
      <c r="R7944"/>
      <c r="W7944" s="4"/>
      <c r="X7944" s="4"/>
      <c r="Y7944" s="4"/>
    </row>
    <row r="7945" spans="5:25">
      <c r="E7945"/>
      <c r="G7945"/>
      <c r="H7945"/>
      <c r="I7945"/>
      <c r="K7945"/>
      <c r="O7945"/>
      <c r="R7945"/>
      <c r="W7945" s="4"/>
      <c r="X7945" s="4"/>
      <c r="Y7945" s="4"/>
    </row>
    <row r="7946" spans="5:25">
      <c r="E7946"/>
      <c r="G7946"/>
      <c r="H7946"/>
      <c r="I7946"/>
      <c r="K7946"/>
      <c r="O7946"/>
      <c r="R7946"/>
      <c r="W7946" s="4"/>
      <c r="X7946" s="4"/>
      <c r="Y7946" s="4"/>
    </row>
    <row r="7947" spans="5:25">
      <c r="E7947"/>
      <c r="G7947"/>
      <c r="H7947"/>
      <c r="I7947"/>
      <c r="K7947"/>
      <c r="O7947"/>
      <c r="R7947"/>
      <c r="W7947" s="4"/>
      <c r="X7947" s="4"/>
      <c r="Y7947" s="4"/>
    </row>
    <row r="7948" spans="5:25">
      <c r="E7948"/>
      <c r="G7948"/>
      <c r="H7948"/>
      <c r="I7948"/>
      <c r="K7948"/>
      <c r="O7948"/>
      <c r="R7948"/>
      <c r="W7948" s="4"/>
      <c r="X7948" s="4"/>
      <c r="Y7948" s="4"/>
    </row>
    <row r="7949" spans="5:25">
      <c r="E7949"/>
      <c r="G7949"/>
      <c r="H7949"/>
      <c r="I7949"/>
      <c r="K7949"/>
      <c r="O7949"/>
      <c r="R7949"/>
      <c r="W7949" s="4"/>
      <c r="X7949" s="4"/>
      <c r="Y7949" s="4"/>
    </row>
    <row r="7950" spans="5:25">
      <c r="E7950"/>
      <c r="G7950"/>
      <c r="H7950"/>
      <c r="I7950"/>
      <c r="K7950"/>
      <c r="O7950"/>
      <c r="R7950"/>
      <c r="W7950" s="4"/>
      <c r="X7950" s="4"/>
      <c r="Y7950" s="4"/>
    </row>
    <row r="7951" spans="5:25">
      <c r="E7951"/>
      <c r="G7951"/>
      <c r="H7951"/>
      <c r="I7951"/>
      <c r="K7951"/>
      <c r="O7951"/>
      <c r="R7951"/>
      <c r="W7951" s="4"/>
      <c r="X7951" s="4"/>
      <c r="Y7951" s="4"/>
    </row>
    <row r="7952" spans="5:25">
      <c r="E7952"/>
      <c r="G7952"/>
      <c r="H7952"/>
      <c r="I7952"/>
      <c r="K7952"/>
      <c r="O7952"/>
      <c r="R7952"/>
      <c r="W7952" s="4"/>
      <c r="X7952" s="4"/>
      <c r="Y7952" s="4"/>
    </row>
    <row r="7953" spans="5:25">
      <c r="E7953"/>
      <c r="G7953"/>
      <c r="H7953"/>
      <c r="I7953"/>
      <c r="K7953"/>
      <c r="O7953"/>
      <c r="R7953"/>
      <c r="W7953" s="4"/>
      <c r="X7953" s="4"/>
      <c r="Y7953" s="4"/>
    </row>
    <row r="7954" spans="5:25">
      <c r="E7954"/>
      <c r="G7954"/>
      <c r="H7954"/>
      <c r="I7954"/>
      <c r="K7954"/>
      <c r="O7954"/>
      <c r="R7954"/>
      <c r="W7954" s="4"/>
      <c r="X7954" s="4"/>
      <c r="Y7954" s="4"/>
    </row>
    <row r="7955" spans="5:25">
      <c r="E7955"/>
      <c r="G7955"/>
      <c r="H7955"/>
      <c r="I7955"/>
      <c r="K7955"/>
      <c r="O7955"/>
      <c r="R7955"/>
      <c r="W7955" s="4"/>
      <c r="X7955" s="4"/>
      <c r="Y7955" s="4"/>
    </row>
    <row r="7956" spans="5:25">
      <c r="E7956"/>
      <c r="G7956"/>
      <c r="H7956"/>
      <c r="I7956"/>
      <c r="K7956"/>
      <c r="O7956"/>
      <c r="R7956"/>
      <c r="W7956" s="4"/>
      <c r="X7956" s="4"/>
      <c r="Y7956" s="4"/>
    </row>
    <row r="7957" spans="5:25">
      <c r="E7957"/>
      <c r="G7957"/>
      <c r="H7957"/>
      <c r="I7957"/>
      <c r="K7957"/>
      <c r="O7957"/>
      <c r="R7957"/>
      <c r="W7957" s="4"/>
      <c r="X7957" s="4"/>
      <c r="Y7957" s="4"/>
    </row>
    <row r="7958" spans="5:25">
      <c r="E7958"/>
      <c r="G7958"/>
      <c r="H7958"/>
      <c r="I7958"/>
      <c r="K7958"/>
      <c r="O7958"/>
      <c r="R7958"/>
      <c r="W7958" s="4"/>
      <c r="X7958" s="4"/>
      <c r="Y7958" s="4"/>
    </row>
    <row r="7959" spans="5:25">
      <c r="E7959"/>
      <c r="G7959"/>
      <c r="H7959"/>
      <c r="I7959"/>
      <c r="K7959"/>
      <c r="O7959"/>
      <c r="R7959"/>
      <c r="W7959" s="4"/>
      <c r="X7959" s="4"/>
      <c r="Y7959" s="4"/>
    </row>
    <row r="7960" spans="5:25">
      <c r="E7960"/>
      <c r="G7960"/>
      <c r="H7960"/>
      <c r="I7960"/>
      <c r="K7960"/>
      <c r="O7960"/>
      <c r="R7960"/>
      <c r="W7960" s="4"/>
      <c r="X7960" s="4"/>
      <c r="Y7960" s="4"/>
    </row>
    <row r="7961" spans="5:25">
      <c r="E7961"/>
      <c r="G7961"/>
      <c r="H7961"/>
      <c r="I7961"/>
      <c r="K7961"/>
      <c r="O7961"/>
      <c r="R7961"/>
      <c r="W7961" s="4"/>
      <c r="X7961" s="4"/>
      <c r="Y7961" s="4"/>
    </row>
    <row r="7962" spans="5:25">
      <c r="E7962"/>
      <c r="G7962"/>
      <c r="H7962"/>
      <c r="I7962"/>
      <c r="K7962"/>
      <c r="O7962"/>
      <c r="R7962"/>
      <c r="W7962" s="4"/>
      <c r="X7962" s="4"/>
      <c r="Y7962" s="4"/>
    </row>
    <row r="7963" spans="5:25">
      <c r="E7963"/>
      <c r="G7963"/>
      <c r="H7963"/>
      <c r="I7963"/>
      <c r="K7963"/>
      <c r="O7963"/>
      <c r="R7963"/>
      <c r="W7963" s="4"/>
      <c r="X7963" s="4"/>
      <c r="Y7963" s="4"/>
    </row>
    <row r="7964" spans="5:25">
      <c r="E7964"/>
      <c r="G7964"/>
      <c r="H7964"/>
      <c r="I7964"/>
      <c r="K7964"/>
      <c r="O7964"/>
      <c r="R7964"/>
      <c r="W7964" s="4"/>
      <c r="X7964" s="4"/>
      <c r="Y7964" s="4"/>
    </row>
    <row r="7965" spans="5:25">
      <c r="E7965"/>
      <c r="G7965"/>
      <c r="H7965"/>
      <c r="I7965"/>
      <c r="K7965"/>
      <c r="O7965"/>
      <c r="R7965"/>
      <c r="W7965" s="4"/>
      <c r="X7965" s="4"/>
      <c r="Y7965" s="4"/>
    </row>
    <row r="7966" spans="5:25">
      <c r="E7966"/>
      <c r="G7966"/>
      <c r="H7966"/>
      <c r="I7966"/>
      <c r="K7966"/>
      <c r="O7966"/>
      <c r="R7966"/>
      <c r="W7966" s="4"/>
      <c r="X7966" s="4"/>
      <c r="Y7966" s="4"/>
    </row>
    <row r="7967" spans="5:25">
      <c r="E7967"/>
      <c r="G7967"/>
      <c r="H7967"/>
      <c r="I7967"/>
      <c r="K7967"/>
      <c r="O7967"/>
      <c r="R7967"/>
      <c r="W7967" s="4"/>
      <c r="X7967" s="4"/>
      <c r="Y7967" s="4"/>
    </row>
    <row r="7968" spans="5:25">
      <c r="E7968"/>
      <c r="G7968"/>
      <c r="H7968"/>
      <c r="I7968"/>
      <c r="K7968"/>
      <c r="O7968"/>
      <c r="R7968"/>
      <c r="W7968" s="4"/>
      <c r="X7968" s="4"/>
      <c r="Y7968" s="4"/>
    </row>
    <row r="7969" spans="5:25">
      <c r="E7969"/>
      <c r="G7969"/>
      <c r="H7969"/>
      <c r="I7969"/>
      <c r="K7969"/>
      <c r="O7969"/>
      <c r="R7969"/>
      <c r="W7969" s="4"/>
      <c r="X7969" s="4"/>
      <c r="Y7969" s="4"/>
    </row>
    <row r="7970" spans="5:25">
      <c r="E7970"/>
      <c r="G7970"/>
      <c r="H7970"/>
      <c r="I7970"/>
      <c r="K7970"/>
      <c r="O7970"/>
      <c r="R7970"/>
      <c r="W7970" s="4"/>
      <c r="X7970" s="4"/>
      <c r="Y7970" s="4"/>
    </row>
    <row r="7971" spans="5:25">
      <c r="E7971"/>
      <c r="G7971"/>
      <c r="H7971"/>
      <c r="I7971"/>
      <c r="K7971"/>
      <c r="O7971"/>
      <c r="R7971"/>
      <c r="W7971" s="4"/>
      <c r="X7971" s="4"/>
      <c r="Y7971" s="4"/>
    </row>
    <row r="7972" spans="5:25">
      <c r="E7972"/>
      <c r="G7972"/>
      <c r="H7972"/>
      <c r="I7972"/>
      <c r="K7972"/>
      <c r="O7972"/>
      <c r="R7972"/>
      <c r="W7972" s="4"/>
      <c r="X7972" s="4"/>
      <c r="Y7972" s="4"/>
    </row>
    <row r="7973" spans="5:25">
      <c r="E7973"/>
      <c r="G7973"/>
      <c r="H7973"/>
      <c r="I7973"/>
      <c r="K7973"/>
      <c r="O7973"/>
      <c r="R7973"/>
      <c r="W7973" s="4"/>
      <c r="X7973" s="4"/>
      <c r="Y7973" s="4"/>
    </row>
    <row r="7974" spans="5:25">
      <c r="E7974"/>
      <c r="G7974"/>
      <c r="H7974"/>
      <c r="I7974"/>
      <c r="K7974"/>
      <c r="O7974"/>
      <c r="R7974"/>
      <c r="W7974" s="4"/>
      <c r="X7974" s="4"/>
      <c r="Y7974" s="4"/>
    </row>
    <row r="7975" spans="5:25">
      <c r="E7975"/>
      <c r="G7975"/>
      <c r="H7975"/>
      <c r="I7975"/>
      <c r="K7975"/>
      <c r="O7975"/>
      <c r="R7975"/>
      <c r="W7975" s="4"/>
      <c r="X7975" s="4"/>
      <c r="Y7975" s="4"/>
    </row>
    <row r="7976" spans="5:25">
      <c r="E7976"/>
      <c r="G7976"/>
      <c r="H7976"/>
      <c r="I7976"/>
      <c r="K7976"/>
      <c r="O7976"/>
      <c r="R7976"/>
      <c r="W7976" s="4"/>
      <c r="X7976" s="4"/>
      <c r="Y7976" s="4"/>
    </row>
    <row r="7977" spans="5:25">
      <c r="E7977"/>
      <c r="G7977"/>
      <c r="H7977"/>
      <c r="I7977"/>
      <c r="K7977"/>
      <c r="O7977"/>
      <c r="R7977"/>
      <c r="W7977" s="4"/>
      <c r="X7977" s="4"/>
      <c r="Y7977" s="4"/>
    </row>
    <row r="7978" spans="5:25">
      <c r="E7978"/>
      <c r="G7978"/>
      <c r="H7978"/>
      <c r="I7978"/>
      <c r="K7978"/>
      <c r="O7978"/>
      <c r="R7978"/>
      <c r="W7978" s="4"/>
      <c r="X7978" s="4"/>
      <c r="Y7978" s="4"/>
    </row>
    <row r="7979" spans="5:25">
      <c r="E7979"/>
      <c r="G7979"/>
      <c r="H7979"/>
      <c r="I7979"/>
      <c r="K7979"/>
      <c r="O7979"/>
      <c r="R7979"/>
      <c r="W7979" s="4"/>
      <c r="X7979" s="4"/>
      <c r="Y7979" s="4"/>
    </row>
    <row r="7980" spans="5:25">
      <c r="E7980"/>
      <c r="G7980"/>
      <c r="H7980"/>
      <c r="I7980"/>
      <c r="K7980"/>
      <c r="O7980"/>
      <c r="R7980"/>
      <c r="W7980" s="4"/>
      <c r="X7980" s="4"/>
      <c r="Y7980" s="4"/>
    </row>
    <row r="7981" spans="5:25">
      <c r="E7981"/>
      <c r="G7981"/>
      <c r="H7981"/>
      <c r="I7981"/>
      <c r="K7981"/>
      <c r="O7981"/>
      <c r="R7981"/>
      <c r="W7981" s="4"/>
      <c r="X7981" s="4"/>
      <c r="Y7981" s="4"/>
    </row>
    <row r="7982" spans="5:25">
      <c r="E7982"/>
      <c r="G7982"/>
      <c r="H7982"/>
      <c r="I7982"/>
      <c r="K7982"/>
      <c r="O7982"/>
      <c r="R7982"/>
      <c r="W7982" s="4"/>
      <c r="X7982" s="4"/>
      <c r="Y7982" s="4"/>
    </row>
    <row r="7983" spans="5:25">
      <c r="E7983"/>
      <c r="G7983"/>
      <c r="H7983"/>
      <c r="I7983"/>
      <c r="K7983"/>
      <c r="O7983"/>
      <c r="R7983"/>
      <c r="W7983" s="4"/>
      <c r="X7983" s="4"/>
      <c r="Y7983" s="4"/>
    </row>
    <row r="7984" spans="5:25">
      <c r="E7984"/>
      <c r="G7984"/>
      <c r="H7984"/>
      <c r="I7984"/>
      <c r="K7984"/>
      <c r="O7984"/>
      <c r="R7984"/>
      <c r="W7984" s="4"/>
      <c r="X7984" s="4"/>
      <c r="Y7984" s="4"/>
    </row>
    <row r="7985" spans="5:25">
      <c r="E7985"/>
      <c r="G7985"/>
      <c r="H7985"/>
      <c r="I7985"/>
      <c r="K7985"/>
      <c r="O7985"/>
      <c r="R7985"/>
      <c r="W7985" s="4"/>
      <c r="X7985" s="4"/>
      <c r="Y7985" s="4"/>
    </row>
    <row r="7986" spans="5:25">
      <c r="E7986"/>
      <c r="G7986"/>
      <c r="H7986"/>
      <c r="I7986"/>
      <c r="K7986"/>
      <c r="O7986"/>
      <c r="R7986"/>
      <c r="W7986" s="4"/>
      <c r="X7986" s="4"/>
      <c r="Y7986" s="4"/>
    </row>
    <row r="7987" spans="5:25">
      <c r="E7987"/>
      <c r="G7987"/>
      <c r="H7987"/>
      <c r="I7987"/>
      <c r="K7987"/>
      <c r="O7987"/>
      <c r="R7987"/>
      <c r="W7987" s="4"/>
      <c r="X7987" s="4"/>
      <c r="Y7987" s="4"/>
    </row>
    <row r="7988" spans="5:25">
      <c r="E7988"/>
      <c r="G7988"/>
      <c r="H7988"/>
      <c r="I7988"/>
      <c r="K7988"/>
      <c r="O7988"/>
      <c r="R7988"/>
      <c r="W7988" s="4"/>
      <c r="X7988" s="4"/>
      <c r="Y7988" s="4"/>
    </row>
    <row r="7989" spans="5:25">
      <c r="E7989"/>
      <c r="G7989"/>
      <c r="H7989"/>
      <c r="I7989"/>
      <c r="K7989"/>
      <c r="O7989"/>
      <c r="R7989"/>
      <c r="W7989" s="4"/>
      <c r="X7989" s="4"/>
      <c r="Y7989" s="4"/>
    </row>
    <row r="7990" spans="5:25">
      <c r="E7990"/>
      <c r="G7990"/>
      <c r="H7990"/>
      <c r="I7990"/>
      <c r="K7990"/>
      <c r="O7990"/>
      <c r="R7990"/>
      <c r="W7990" s="4"/>
      <c r="X7990" s="4"/>
      <c r="Y7990" s="4"/>
    </row>
    <row r="7991" spans="5:25">
      <c r="E7991"/>
      <c r="G7991"/>
      <c r="H7991"/>
      <c r="I7991"/>
      <c r="K7991"/>
      <c r="O7991"/>
      <c r="R7991"/>
      <c r="W7991" s="4"/>
      <c r="X7991" s="4"/>
      <c r="Y7991" s="4"/>
    </row>
    <row r="7992" spans="5:25">
      <c r="E7992"/>
      <c r="G7992"/>
      <c r="H7992"/>
      <c r="I7992"/>
      <c r="K7992"/>
      <c r="O7992"/>
      <c r="R7992"/>
      <c r="W7992" s="4"/>
      <c r="X7992" s="4"/>
      <c r="Y7992" s="4"/>
    </row>
    <row r="7993" spans="5:25">
      <c r="E7993"/>
      <c r="G7993"/>
      <c r="H7993"/>
      <c r="I7993"/>
      <c r="K7993"/>
      <c r="O7993"/>
      <c r="R7993"/>
      <c r="W7993" s="4"/>
      <c r="X7993" s="4"/>
      <c r="Y7993" s="4"/>
    </row>
    <row r="7994" spans="5:25">
      <c r="E7994"/>
      <c r="G7994"/>
      <c r="H7994"/>
      <c r="I7994"/>
      <c r="K7994"/>
      <c r="O7994"/>
      <c r="R7994"/>
      <c r="W7994" s="4"/>
      <c r="X7994" s="4"/>
      <c r="Y7994" s="4"/>
    </row>
    <row r="7995" spans="5:25">
      <c r="E7995"/>
      <c r="G7995"/>
      <c r="H7995"/>
      <c r="I7995"/>
      <c r="K7995"/>
      <c r="O7995"/>
      <c r="R7995"/>
      <c r="W7995" s="4"/>
      <c r="X7995" s="4"/>
      <c r="Y7995" s="4"/>
    </row>
    <row r="7996" spans="5:25">
      <c r="E7996"/>
      <c r="G7996"/>
      <c r="H7996"/>
      <c r="I7996"/>
      <c r="K7996"/>
      <c r="O7996"/>
      <c r="R7996"/>
      <c r="W7996" s="4"/>
      <c r="X7996" s="4"/>
      <c r="Y7996" s="4"/>
    </row>
    <row r="7997" spans="5:25">
      <c r="E7997"/>
      <c r="G7997"/>
      <c r="H7997"/>
      <c r="I7997"/>
      <c r="K7997"/>
      <c r="O7997"/>
      <c r="R7997"/>
      <c r="W7997" s="4"/>
      <c r="X7997" s="4"/>
      <c r="Y7997" s="4"/>
    </row>
    <row r="7998" spans="5:25">
      <c r="E7998"/>
      <c r="G7998"/>
      <c r="H7998"/>
      <c r="I7998"/>
      <c r="K7998"/>
      <c r="O7998"/>
      <c r="R7998"/>
      <c r="W7998" s="4"/>
      <c r="X7998" s="4"/>
      <c r="Y7998" s="4"/>
    </row>
    <row r="7999" spans="5:25">
      <c r="E7999"/>
      <c r="G7999"/>
      <c r="H7999"/>
      <c r="I7999"/>
      <c r="K7999"/>
      <c r="O7999"/>
      <c r="R7999"/>
      <c r="W7999" s="4"/>
      <c r="X7999" s="4"/>
      <c r="Y7999" s="4"/>
    </row>
    <row r="8000" spans="5:25">
      <c r="E8000"/>
      <c r="G8000"/>
      <c r="H8000"/>
      <c r="I8000"/>
      <c r="K8000"/>
      <c r="O8000"/>
      <c r="R8000"/>
      <c r="W8000" s="4"/>
      <c r="X8000" s="4"/>
      <c r="Y8000" s="4"/>
    </row>
    <row r="8001" spans="5:25">
      <c r="E8001"/>
      <c r="G8001"/>
      <c r="H8001"/>
      <c r="I8001"/>
      <c r="K8001"/>
      <c r="O8001"/>
      <c r="R8001"/>
      <c r="W8001" s="4"/>
      <c r="X8001" s="4"/>
      <c r="Y8001" s="4"/>
    </row>
    <row r="8002" spans="5:25">
      <c r="E8002"/>
      <c r="G8002"/>
      <c r="H8002"/>
      <c r="I8002"/>
      <c r="K8002"/>
      <c r="O8002"/>
      <c r="R8002"/>
      <c r="W8002" s="4"/>
      <c r="X8002" s="4"/>
      <c r="Y8002" s="4"/>
    </row>
    <row r="8003" spans="5:25">
      <c r="E8003"/>
      <c r="G8003"/>
      <c r="H8003"/>
      <c r="I8003"/>
      <c r="K8003"/>
      <c r="O8003"/>
      <c r="R8003"/>
      <c r="W8003" s="4"/>
      <c r="X8003" s="4"/>
      <c r="Y8003" s="4"/>
    </row>
    <row r="8004" spans="5:25">
      <c r="E8004"/>
      <c r="G8004"/>
      <c r="H8004"/>
      <c r="I8004"/>
      <c r="K8004"/>
      <c r="O8004"/>
      <c r="R8004"/>
      <c r="W8004" s="4"/>
      <c r="X8004" s="4"/>
      <c r="Y8004" s="4"/>
    </row>
    <row r="8005" spans="5:25">
      <c r="E8005"/>
      <c r="G8005"/>
      <c r="H8005"/>
      <c r="I8005"/>
      <c r="K8005"/>
      <c r="O8005"/>
      <c r="R8005"/>
      <c r="W8005" s="4"/>
      <c r="X8005" s="4"/>
      <c r="Y8005" s="4"/>
    </row>
    <row r="8006" spans="5:25">
      <c r="E8006"/>
      <c r="G8006"/>
      <c r="H8006"/>
      <c r="I8006"/>
      <c r="K8006"/>
      <c r="O8006"/>
      <c r="R8006"/>
      <c r="W8006" s="4"/>
      <c r="X8006" s="4"/>
      <c r="Y8006" s="4"/>
    </row>
    <row r="8007" spans="5:25">
      <c r="E8007"/>
      <c r="G8007"/>
      <c r="H8007"/>
      <c r="I8007"/>
      <c r="K8007"/>
      <c r="O8007"/>
      <c r="R8007"/>
      <c r="W8007" s="4"/>
      <c r="X8007" s="4"/>
      <c r="Y8007" s="4"/>
    </row>
    <row r="8008" spans="5:25">
      <c r="E8008"/>
      <c r="G8008"/>
      <c r="H8008"/>
      <c r="I8008"/>
      <c r="K8008"/>
      <c r="O8008"/>
      <c r="R8008"/>
      <c r="W8008" s="4"/>
      <c r="X8008" s="4"/>
      <c r="Y8008" s="4"/>
    </row>
    <row r="8009" spans="5:25">
      <c r="E8009"/>
      <c r="G8009"/>
      <c r="H8009"/>
      <c r="I8009"/>
      <c r="K8009"/>
      <c r="O8009"/>
      <c r="R8009"/>
      <c r="W8009" s="4"/>
      <c r="X8009" s="4"/>
      <c r="Y8009" s="4"/>
    </row>
    <row r="8010" spans="5:25">
      <c r="E8010"/>
      <c r="G8010"/>
      <c r="H8010"/>
      <c r="I8010"/>
      <c r="K8010"/>
      <c r="O8010"/>
      <c r="R8010"/>
      <c r="W8010" s="4"/>
      <c r="X8010" s="4"/>
      <c r="Y8010" s="4"/>
    </row>
    <row r="8011" spans="5:25">
      <c r="E8011"/>
      <c r="G8011"/>
      <c r="H8011"/>
      <c r="I8011"/>
      <c r="K8011"/>
      <c r="O8011"/>
      <c r="R8011"/>
      <c r="W8011" s="4"/>
      <c r="X8011" s="4"/>
      <c r="Y8011" s="4"/>
    </row>
    <row r="8012" spans="5:25">
      <c r="E8012"/>
      <c r="G8012"/>
      <c r="H8012"/>
      <c r="I8012"/>
      <c r="K8012"/>
      <c r="O8012"/>
      <c r="R8012"/>
      <c r="W8012" s="4"/>
      <c r="X8012" s="4"/>
      <c r="Y8012" s="4"/>
    </row>
    <row r="8013" spans="5:25">
      <c r="E8013"/>
      <c r="G8013"/>
      <c r="H8013"/>
      <c r="I8013"/>
      <c r="K8013"/>
      <c r="O8013"/>
      <c r="R8013"/>
      <c r="W8013" s="4"/>
      <c r="X8013" s="4"/>
      <c r="Y8013" s="4"/>
    </row>
    <row r="8014" spans="5:25">
      <c r="E8014"/>
      <c r="G8014"/>
      <c r="H8014"/>
      <c r="I8014"/>
      <c r="K8014"/>
      <c r="O8014"/>
      <c r="R8014"/>
      <c r="W8014" s="4"/>
      <c r="X8014" s="4"/>
      <c r="Y8014" s="4"/>
    </row>
    <row r="8015" spans="5:25">
      <c r="E8015"/>
      <c r="G8015"/>
      <c r="H8015"/>
      <c r="I8015"/>
      <c r="K8015"/>
      <c r="O8015"/>
      <c r="R8015"/>
      <c r="W8015" s="4"/>
      <c r="X8015" s="4"/>
      <c r="Y8015" s="4"/>
    </row>
    <row r="8016" spans="5:25">
      <c r="E8016"/>
      <c r="G8016"/>
      <c r="H8016"/>
      <c r="I8016"/>
      <c r="K8016"/>
      <c r="O8016"/>
      <c r="R8016"/>
      <c r="W8016" s="4"/>
      <c r="X8016" s="4"/>
      <c r="Y8016" s="4"/>
    </row>
    <row r="8017" spans="5:25">
      <c r="E8017"/>
      <c r="G8017"/>
      <c r="H8017"/>
      <c r="I8017"/>
      <c r="K8017"/>
      <c r="O8017"/>
      <c r="R8017"/>
      <c r="W8017" s="4"/>
      <c r="X8017" s="4"/>
      <c r="Y8017" s="4"/>
    </row>
    <row r="8018" spans="5:25">
      <c r="E8018"/>
      <c r="G8018"/>
      <c r="H8018"/>
      <c r="I8018"/>
      <c r="K8018"/>
      <c r="O8018"/>
      <c r="R8018"/>
      <c r="W8018" s="4"/>
      <c r="X8018" s="4"/>
      <c r="Y8018" s="4"/>
    </row>
    <row r="8019" spans="5:25">
      <c r="E8019"/>
      <c r="G8019"/>
      <c r="H8019"/>
      <c r="I8019"/>
      <c r="K8019"/>
      <c r="O8019"/>
      <c r="R8019"/>
      <c r="W8019" s="4"/>
      <c r="X8019" s="4"/>
      <c r="Y8019" s="4"/>
    </row>
    <row r="8020" spans="5:25">
      <c r="E8020"/>
      <c r="G8020"/>
      <c r="H8020"/>
      <c r="I8020"/>
      <c r="K8020"/>
      <c r="O8020"/>
      <c r="R8020"/>
      <c r="W8020" s="4"/>
      <c r="X8020" s="4"/>
      <c r="Y8020" s="4"/>
    </row>
    <row r="8021" spans="5:25">
      <c r="E8021"/>
      <c r="G8021"/>
      <c r="H8021"/>
      <c r="I8021"/>
      <c r="K8021"/>
      <c r="O8021"/>
      <c r="R8021"/>
      <c r="W8021" s="4"/>
      <c r="X8021" s="4"/>
      <c r="Y8021" s="4"/>
    </row>
    <row r="8022" spans="5:25">
      <c r="E8022"/>
      <c r="G8022"/>
      <c r="H8022"/>
      <c r="I8022"/>
      <c r="K8022"/>
      <c r="O8022"/>
      <c r="R8022"/>
      <c r="W8022" s="4"/>
      <c r="X8022" s="4"/>
      <c r="Y8022" s="4"/>
    </row>
    <row r="8023" spans="5:25">
      <c r="E8023"/>
      <c r="G8023"/>
      <c r="H8023"/>
      <c r="I8023"/>
      <c r="K8023"/>
      <c r="O8023"/>
      <c r="R8023"/>
      <c r="W8023" s="4"/>
      <c r="X8023" s="4"/>
      <c r="Y8023" s="4"/>
    </row>
    <row r="8024" spans="5:25">
      <c r="E8024"/>
      <c r="G8024"/>
      <c r="H8024"/>
      <c r="I8024"/>
      <c r="K8024"/>
      <c r="O8024"/>
      <c r="R8024"/>
      <c r="W8024" s="4"/>
      <c r="X8024" s="4"/>
      <c r="Y8024" s="4"/>
    </row>
    <row r="8025" spans="5:25">
      <c r="E8025"/>
      <c r="G8025"/>
      <c r="H8025"/>
      <c r="I8025"/>
      <c r="K8025"/>
      <c r="O8025"/>
      <c r="R8025"/>
      <c r="W8025" s="4"/>
      <c r="X8025" s="4"/>
      <c r="Y8025" s="4"/>
    </row>
    <row r="8026" spans="5:25">
      <c r="E8026"/>
      <c r="G8026"/>
      <c r="H8026"/>
      <c r="I8026"/>
      <c r="K8026"/>
      <c r="O8026"/>
      <c r="R8026"/>
      <c r="W8026" s="4"/>
      <c r="X8026" s="4"/>
      <c r="Y8026" s="4"/>
    </row>
    <row r="8027" spans="5:25">
      <c r="E8027"/>
      <c r="G8027"/>
      <c r="H8027"/>
      <c r="I8027"/>
      <c r="K8027"/>
      <c r="O8027"/>
      <c r="R8027"/>
      <c r="W8027" s="4"/>
      <c r="X8027" s="4"/>
      <c r="Y8027" s="4"/>
    </row>
    <row r="8028" spans="5:25">
      <c r="E8028"/>
      <c r="G8028"/>
      <c r="H8028"/>
      <c r="I8028"/>
      <c r="K8028"/>
      <c r="O8028"/>
      <c r="R8028"/>
      <c r="W8028" s="4"/>
      <c r="X8028" s="4"/>
      <c r="Y8028" s="4"/>
    </row>
    <row r="8029" spans="5:25">
      <c r="E8029"/>
      <c r="G8029"/>
      <c r="H8029"/>
      <c r="I8029"/>
      <c r="K8029"/>
      <c r="O8029"/>
      <c r="R8029"/>
      <c r="W8029" s="4"/>
      <c r="X8029" s="4"/>
      <c r="Y8029" s="4"/>
    </row>
    <row r="8030" spans="5:25">
      <c r="E8030"/>
      <c r="G8030"/>
      <c r="H8030"/>
      <c r="I8030"/>
      <c r="K8030"/>
      <c r="O8030"/>
      <c r="R8030"/>
      <c r="W8030" s="4"/>
      <c r="X8030" s="4"/>
      <c r="Y8030" s="4"/>
    </row>
    <row r="8031" spans="5:25">
      <c r="E8031"/>
      <c r="G8031"/>
      <c r="H8031"/>
      <c r="I8031"/>
      <c r="K8031"/>
      <c r="O8031"/>
      <c r="R8031"/>
      <c r="W8031" s="4"/>
      <c r="X8031" s="4"/>
      <c r="Y8031" s="4"/>
    </row>
    <row r="8032" spans="5:25">
      <c r="E8032"/>
      <c r="G8032"/>
      <c r="H8032"/>
      <c r="I8032"/>
      <c r="K8032"/>
      <c r="O8032"/>
      <c r="R8032"/>
      <c r="W8032" s="4"/>
      <c r="X8032" s="4"/>
      <c r="Y8032" s="4"/>
    </row>
    <row r="8033" spans="5:25">
      <c r="E8033"/>
      <c r="G8033"/>
      <c r="H8033"/>
      <c r="I8033"/>
      <c r="K8033"/>
      <c r="O8033"/>
      <c r="R8033"/>
      <c r="W8033" s="4"/>
      <c r="X8033" s="4"/>
      <c r="Y8033" s="4"/>
    </row>
    <row r="8034" spans="5:25">
      <c r="E8034"/>
      <c r="G8034"/>
      <c r="H8034"/>
      <c r="I8034"/>
      <c r="K8034"/>
      <c r="O8034"/>
      <c r="R8034"/>
      <c r="W8034" s="4"/>
      <c r="X8034" s="4"/>
      <c r="Y8034" s="4"/>
    </row>
    <row r="8035" spans="5:25">
      <c r="E8035"/>
      <c r="G8035"/>
      <c r="H8035"/>
      <c r="I8035"/>
      <c r="K8035"/>
      <c r="O8035"/>
      <c r="R8035"/>
      <c r="W8035" s="4"/>
      <c r="X8035" s="4"/>
      <c r="Y8035" s="4"/>
    </row>
    <row r="8036" spans="5:25">
      <c r="E8036"/>
      <c r="G8036"/>
      <c r="H8036"/>
      <c r="I8036"/>
      <c r="K8036"/>
      <c r="O8036"/>
      <c r="R8036"/>
      <c r="W8036" s="4"/>
      <c r="X8036" s="4"/>
      <c r="Y8036" s="4"/>
    </row>
    <row r="8037" spans="5:25">
      <c r="E8037"/>
      <c r="G8037"/>
      <c r="H8037"/>
      <c r="I8037"/>
      <c r="K8037"/>
      <c r="O8037"/>
      <c r="R8037"/>
      <c r="W8037" s="4"/>
      <c r="X8037" s="4"/>
      <c r="Y8037" s="4"/>
    </row>
    <row r="8038" spans="5:25">
      <c r="E8038"/>
      <c r="G8038"/>
      <c r="H8038"/>
      <c r="I8038"/>
      <c r="K8038"/>
      <c r="O8038"/>
      <c r="R8038"/>
      <c r="W8038" s="4"/>
      <c r="X8038" s="4"/>
      <c r="Y8038" s="4"/>
    </row>
    <row r="8039" spans="5:25">
      <c r="E8039"/>
      <c r="G8039"/>
      <c r="H8039"/>
      <c r="I8039"/>
      <c r="K8039"/>
      <c r="O8039"/>
      <c r="R8039"/>
      <c r="W8039" s="4"/>
      <c r="X8039" s="4"/>
      <c r="Y8039" s="4"/>
    </row>
    <row r="8040" spans="5:25">
      <c r="E8040"/>
      <c r="G8040"/>
      <c r="H8040"/>
      <c r="I8040"/>
      <c r="K8040"/>
      <c r="O8040"/>
      <c r="R8040"/>
      <c r="W8040" s="4"/>
      <c r="X8040" s="4"/>
      <c r="Y8040" s="4"/>
    </row>
    <row r="8041" spans="5:25">
      <c r="E8041"/>
      <c r="G8041"/>
      <c r="H8041"/>
      <c r="I8041"/>
      <c r="K8041"/>
      <c r="O8041"/>
      <c r="R8041"/>
      <c r="W8041" s="4"/>
      <c r="X8041" s="4"/>
      <c r="Y8041" s="4"/>
    </row>
    <row r="8042" spans="5:25">
      <c r="E8042"/>
      <c r="G8042"/>
      <c r="H8042"/>
      <c r="I8042"/>
      <c r="K8042"/>
      <c r="O8042"/>
      <c r="R8042"/>
      <c r="W8042" s="4"/>
      <c r="X8042" s="4"/>
      <c r="Y8042" s="4"/>
    </row>
    <row r="8043" spans="5:25">
      <c r="E8043"/>
      <c r="G8043"/>
      <c r="H8043"/>
      <c r="I8043"/>
      <c r="K8043"/>
      <c r="O8043"/>
      <c r="R8043"/>
      <c r="W8043" s="4"/>
      <c r="X8043" s="4"/>
      <c r="Y8043" s="4"/>
    </row>
    <row r="8044" spans="5:25">
      <c r="E8044"/>
      <c r="G8044"/>
      <c r="H8044"/>
      <c r="I8044"/>
      <c r="K8044"/>
      <c r="O8044"/>
      <c r="R8044"/>
      <c r="W8044" s="4"/>
      <c r="X8044" s="4"/>
      <c r="Y8044" s="4"/>
    </row>
    <row r="8045" spans="5:25">
      <c r="E8045"/>
      <c r="G8045"/>
      <c r="H8045"/>
      <c r="I8045"/>
      <c r="K8045"/>
      <c r="O8045"/>
      <c r="R8045"/>
      <c r="W8045" s="4"/>
      <c r="X8045" s="4"/>
      <c r="Y8045" s="4"/>
    </row>
    <row r="8046" spans="5:25">
      <c r="E8046"/>
      <c r="G8046"/>
      <c r="H8046"/>
      <c r="I8046"/>
      <c r="K8046"/>
      <c r="O8046"/>
      <c r="R8046"/>
      <c r="W8046" s="4"/>
      <c r="X8046" s="4"/>
      <c r="Y8046" s="4"/>
    </row>
    <row r="8047" spans="5:25">
      <c r="E8047"/>
      <c r="G8047"/>
      <c r="H8047"/>
      <c r="I8047"/>
      <c r="K8047"/>
      <c r="O8047"/>
      <c r="R8047"/>
      <c r="W8047" s="4"/>
      <c r="X8047" s="4"/>
      <c r="Y8047" s="4"/>
    </row>
    <row r="8048" spans="5:25">
      <c r="E8048"/>
      <c r="G8048"/>
      <c r="H8048"/>
      <c r="I8048"/>
      <c r="K8048"/>
      <c r="O8048"/>
      <c r="R8048"/>
      <c r="W8048" s="4"/>
      <c r="X8048" s="4"/>
      <c r="Y8048" s="4"/>
    </row>
    <row r="8049" spans="5:25">
      <c r="E8049"/>
      <c r="G8049"/>
      <c r="H8049"/>
      <c r="I8049"/>
      <c r="K8049"/>
      <c r="O8049"/>
      <c r="R8049"/>
      <c r="W8049" s="4"/>
      <c r="X8049" s="4"/>
      <c r="Y8049" s="4"/>
    </row>
    <row r="8050" spans="5:25">
      <c r="E8050"/>
      <c r="G8050"/>
      <c r="H8050"/>
      <c r="I8050"/>
      <c r="K8050"/>
      <c r="O8050"/>
      <c r="R8050"/>
      <c r="W8050" s="4"/>
      <c r="X8050" s="4"/>
      <c r="Y8050" s="4"/>
    </row>
    <row r="8051" spans="5:25">
      <c r="E8051"/>
      <c r="G8051"/>
      <c r="H8051"/>
      <c r="I8051"/>
      <c r="K8051"/>
      <c r="O8051"/>
      <c r="R8051"/>
      <c r="W8051" s="4"/>
      <c r="X8051" s="4"/>
      <c r="Y8051" s="4"/>
    </row>
    <row r="8052" spans="5:25">
      <c r="E8052"/>
      <c r="G8052"/>
      <c r="H8052"/>
      <c r="I8052"/>
      <c r="K8052"/>
      <c r="O8052"/>
      <c r="R8052"/>
      <c r="W8052" s="4"/>
      <c r="X8052" s="4"/>
      <c r="Y8052" s="4"/>
    </row>
    <row r="8053" spans="5:25">
      <c r="E8053"/>
      <c r="G8053"/>
      <c r="H8053"/>
      <c r="I8053"/>
      <c r="K8053"/>
      <c r="O8053"/>
      <c r="R8053"/>
      <c r="W8053" s="4"/>
      <c r="X8053" s="4"/>
      <c r="Y8053" s="4"/>
    </row>
    <row r="8054" spans="5:25">
      <c r="E8054"/>
      <c r="G8054"/>
      <c r="H8054"/>
      <c r="I8054"/>
      <c r="K8054"/>
      <c r="O8054"/>
      <c r="R8054"/>
      <c r="W8054" s="4"/>
      <c r="X8054" s="4"/>
      <c r="Y8054" s="4"/>
    </row>
    <row r="8055" spans="5:25">
      <c r="E8055"/>
      <c r="G8055"/>
      <c r="H8055"/>
      <c r="I8055"/>
      <c r="K8055"/>
      <c r="O8055"/>
      <c r="R8055"/>
      <c r="W8055" s="4"/>
      <c r="X8055" s="4"/>
      <c r="Y8055" s="4"/>
    </row>
    <row r="8056" spans="5:25">
      <c r="E8056"/>
      <c r="G8056"/>
      <c r="H8056"/>
      <c r="I8056"/>
      <c r="K8056"/>
      <c r="O8056"/>
      <c r="R8056"/>
      <c r="W8056" s="4"/>
      <c r="X8056" s="4"/>
      <c r="Y8056" s="4"/>
    </row>
    <row r="8057" spans="5:25">
      <c r="E8057"/>
      <c r="G8057"/>
      <c r="H8057"/>
      <c r="I8057"/>
      <c r="K8057"/>
      <c r="O8057"/>
      <c r="R8057"/>
      <c r="W8057" s="4"/>
      <c r="X8057" s="4"/>
      <c r="Y8057" s="4"/>
    </row>
    <row r="8058" spans="5:25">
      <c r="E8058"/>
      <c r="G8058"/>
      <c r="H8058"/>
      <c r="I8058"/>
      <c r="K8058"/>
      <c r="O8058"/>
      <c r="R8058"/>
      <c r="W8058" s="4"/>
      <c r="X8058" s="4"/>
      <c r="Y8058" s="4"/>
    </row>
    <row r="8059" spans="5:25">
      <c r="E8059"/>
      <c r="G8059"/>
      <c r="H8059"/>
      <c r="I8059"/>
      <c r="K8059"/>
      <c r="O8059"/>
      <c r="R8059"/>
      <c r="W8059" s="4"/>
      <c r="X8059" s="4"/>
      <c r="Y8059" s="4"/>
    </row>
    <row r="8060" spans="5:25">
      <c r="E8060"/>
      <c r="G8060"/>
      <c r="H8060"/>
      <c r="I8060"/>
      <c r="K8060"/>
      <c r="O8060"/>
      <c r="R8060"/>
      <c r="W8060" s="4"/>
      <c r="X8060" s="4"/>
      <c r="Y8060" s="4"/>
    </row>
    <row r="8061" spans="5:25">
      <c r="E8061"/>
      <c r="G8061"/>
      <c r="H8061"/>
      <c r="I8061"/>
      <c r="K8061"/>
      <c r="O8061"/>
      <c r="R8061"/>
      <c r="W8061" s="4"/>
      <c r="X8061" s="4"/>
      <c r="Y8061" s="4"/>
    </row>
    <row r="8062" spans="5:25">
      <c r="E8062"/>
      <c r="G8062"/>
      <c r="H8062"/>
      <c r="I8062"/>
      <c r="K8062"/>
      <c r="O8062"/>
      <c r="R8062"/>
      <c r="W8062" s="4"/>
      <c r="X8062" s="4"/>
      <c r="Y8062" s="4"/>
    </row>
    <row r="8063" spans="5:25">
      <c r="E8063"/>
      <c r="G8063"/>
      <c r="H8063"/>
      <c r="I8063"/>
      <c r="K8063"/>
      <c r="O8063"/>
      <c r="R8063"/>
      <c r="W8063" s="4"/>
      <c r="X8063" s="4"/>
      <c r="Y8063" s="4"/>
    </row>
    <row r="8064" spans="5:25">
      <c r="E8064"/>
      <c r="G8064"/>
      <c r="H8064"/>
      <c r="I8064"/>
      <c r="K8064"/>
      <c r="O8064"/>
      <c r="R8064"/>
      <c r="W8064" s="4"/>
      <c r="X8064" s="4"/>
      <c r="Y8064" s="4"/>
    </row>
    <row r="8065" spans="5:25">
      <c r="E8065"/>
      <c r="G8065"/>
      <c r="H8065"/>
      <c r="I8065"/>
      <c r="K8065"/>
      <c r="O8065"/>
      <c r="R8065"/>
      <c r="W8065" s="4"/>
      <c r="X8065" s="4"/>
      <c r="Y8065" s="4"/>
    </row>
    <row r="8066" spans="5:25">
      <c r="E8066"/>
      <c r="G8066"/>
      <c r="H8066"/>
      <c r="I8066"/>
      <c r="K8066"/>
      <c r="O8066"/>
      <c r="R8066"/>
      <c r="W8066" s="4"/>
      <c r="X8066" s="4"/>
      <c r="Y8066" s="4"/>
    </row>
    <row r="8067" spans="5:25">
      <c r="E8067"/>
      <c r="G8067"/>
      <c r="H8067"/>
      <c r="I8067"/>
      <c r="K8067"/>
      <c r="O8067"/>
      <c r="R8067"/>
      <c r="W8067" s="4"/>
      <c r="X8067" s="4"/>
      <c r="Y8067" s="4"/>
    </row>
    <row r="8068" spans="5:25">
      <c r="E8068"/>
      <c r="G8068"/>
      <c r="H8068"/>
      <c r="I8068"/>
      <c r="K8068"/>
      <c r="O8068"/>
      <c r="R8068"/>
      <c r="W8068" s="4"/>
      <c r="X8068" s="4"/>
      <c r="Y8068" s="4"/>
    </row>
    <row r="8069" spans="5:25">
      <c r="E8069"/>
      <c r="G8069"/>
      <c r="H8069"/>
      <c r="I8069"/>
      <c r="K8069"/>
      <c r="O8069"/>
      <c r="R8069"/>
      <c r="W8069" s="4"/>
      <c r="X8069" s="4"/>
      <c r="Y8069" s="4"/>
    </row>
    <row r="8070" spans="5:25">
      <c r="E8070"/>
      <c r="G8070"/>
      <c r="H8070"/>
      <c r="I8070"/>
      <c r="K8070"/>
      <c r="O8070"/>
      <c r="R8070"/>
      <c r="W8070" s="4"/>
      <c r="X8070" s="4"/>
      <c r="Y8070" s="4"/>
    </row>
    <row r="8071" spans="5:25">
      <c r="E8071"/>
      <c r="G8071"/>
      <c r="H8071"/>
      <c r="I8071"/>
      <c r="K8071"/>
      <c r="O8071"/>
      <c r="R8071"/>
      <c r="W8071" s="4"/>
      <c r="X8071" s="4"/>
      <c r="Y8071" s="4"/>
    </row>
    <row r="8072" spans="5:25">
      <c r="E8072"/>
      <c r="G8072"/>
      <c r="H8072"/>
      <c r="I8072"/>
      <c r="K8072"/>
      <c r="O8072"/>
      <c r="R8072"/>
      <c r="W8072" s="4"/>
      <c r="X8072" s="4"/>
      <c r="Y8072" s="4"/>
    </row>
    <row r="8073" spans="5:25">
      <c r="E8073"/>
      <c r="G8073"/>
      <c r="H8073"/>
      <c r="I8073"/>
      <c r="K8073"/>
      <c r="O8073"/>
      <c r="R8073"/>
      <c r="W8073" s="4"/>
      <c r="X8073" s="4"/>
      <c r="Y8073" s="4"/>
    </row>
    <row r="8074" spans="5:25">
      <c r="E8074"/>
      <c r="G8074"/>
      <c r="H8074"/>
      <c r="I8074"/>
      <c r="K8074"/>
      <c r="O8074"/>
      <c r="R8074"/>
      <c r="W8074" s="4"/>
      <c r="X8074" s="4"/>
      <c r="Y8074" s="4"/>
    </row>
    <row r="8075" spans="5:25">
      <c r="E8075"/>
      <c r="G8075"/>
      <c r="H8075"/>
      <c r="I8075"/>
      <c r="K8075"/>
      <c r="O8075"/>
      <c r="R8075"/>
      <c r="W8075" s="4"/>
      <c r="X8075" s="4"/>
      <c r="Y8075" s="4"/>
    </row>
    <row r="8076" spans="5:25">
      <c r="E8076"/>
      <c r="G8076"/>
      <c r="H8076"/>
      <c r="I8076"/>
      <c r="K8076"/>
      <c r="O8076"/>
      <c r="R8076"/>
      <c r="W8076" s="4"/>
      <c r="X8076" s="4"/>
      <c r="Y8076" s="4"/>
    </row>
    <row r="8077" spans="5:25">
      <c r="E8077"/>
      <c r="G8077"/>
      <c r="H8077"/>
      <c r="I8077"/>
      <c r="K8077"/>
      <c r="O8077"/>
      <c r="R8077"/>
      <c r="W8077" s="4"/>
      <c r="X8077" s="4"/>
      <c r="Y8077" s="4"/>
    </row>
    <row r="8078" spans="5:25">
      <c r="E8078"/>
      <c r="G8078"/>
      <c r="H8078"/>
      <c r="I8078"/>
      <c r="K8078"/>
      <c r="O8078"/>
      <c r="R8078"/>
      <c r="W8078" s="4"/>
      <c r="X8078" s="4"/>
      <c r="Y8078" s="4"/>
    </row>
    <row r="8079" spans="5:25">
      <c r="E8079"/>
      <c r="G8079"/>
      <c r="H8079"/>
      <c r="I8079"/>
      <c r="K8079"/>
      <c r="O8079"/>
      <c r="R8079"/>
      <c r="W8079" s="4"/>
      <c r="X8079" s="4"/>
      <c r="Y8079" s="4"/>
    </row>
    <row r="8080" spans="5:25">
      <c r="E8080"/>
      <c r="G8080"/>
      <c r="H8080"/>
      <c r="I8080"/>
      <c r="K8080"/>
      <c r="O8080"/>
      <c r="R8080"/>
      <c r="W8080" s="4"/>
      <c r="X8080" s="4"/>
      <c r="Y8080" s="4"/>
    </row>
    <row r="8081" spans="5:25">
      <c r="E8081"/>
      <c r="G8081"/>
      <c r="H8081"/>
      <c r="I8081"/>
      <c r="K8081"/>
      <c r="O8081"/>
      <c r="R8081"/>
      <c r="W8081" s="4"/>
      <c r="X8081" s="4"/>
      <c r="Y8081" s="4"/>
    </row>
    <row r="8082" spans="5:25">
      <c r="E8082"/>
      <c r="G8082"/>
      <c r="H8082"/>
      <c r="I8082"/>
      <c r="K8082"/>
      <c r="O8082"/>
      <c r="R8082"/>
      <c r="W8082" s="4"/>
      <c r="X8082" s="4"/>
      <c r="Y8082" s="4"/>
    </row>
    <row r="8083" spans="5:25">
      <c r="E8083"/>
      <c r="G8083"/>
      <c r="H8083"/>
      <c r="I8083"/>
      <c r="K8083"/>
      <c r="O8083"/>
      <c r="R8083"/>
      <c r="W8083" s="4"/>
      <c r="X8083" s="4"/>
      <c r="Y8083" s="4"/>
    </row>
    <row r="8084" spans="5:25">
      <c r="E8084"/>
      <c r="G8084"/>
      <c r="H8084"/>
      <c r="I8084"/>
      <c r="K8084"/>
      <c r="O8084"/>
      <c r="R8084"/>
      <c r="W8084" s="4"/>
      <c r="X8084" s="4"/>
      <c r="Y8084" s="4"/>
    </row>
    <row r="8085" spans="5:25">
      <c r="E8085"/>
      <c r="G8085"/>
      <c r="H8085"/>
      <c r="I8085"/>
      <c r="K8085"/>
      <c r="O8085"/>
      <c r="R8085"/>
      <c r="W8085" s="4"/>
      <c r="X8085" s="4"/>
      <c r="Y8085" s="4"/>
    </row>
    <row r="8086" spans="5:25">
      <c r="E8086"/>
      <c r="G8086"/>
      <c r="H8086"/>
      <c r="I8086"/>
      <c r="K8086"/>
      <c r="O8086"/>
      <c r="R8086"/>
      <c r="W8086" s="4"/>
      <c r="X8086" s="4"/>
      <c r="Y8086" s="4"/>
    </row>
    <row r="8087" spans="5:25">
      <c r="E8087"/>
      <c r="G8087"/>
      <c r="H8087"/>
      <c r="I8087"/>
      <c r="K8087"/>
      <c r="O8087"/>
      <c r="R8087"/>
      <c r="W8087" s="4"/>
      <c r="X8087" s="4"/>
      <c r="Y8087" s="4"/>
    </row>
    <row r="8088" spans="5:25">
      <c r="E8088"/>
      <c r="G8088"/>
      <c r="H8088"/>
      <c r="I8088"/>
      <c r="K8088"/>
      <c r="O8088"/>
      <c r="R8088"/>
      <c r="W8088" s="4"/>
      <c r="X8088" s="4"/>
      <c r="Y8088" s="4"/>
    </row>
    <row r="8089" spans="5:25">
      <c r="E8089"/>
      <c r="G8089"/>
      <c r="H8089"/>
      <c r="I8089"/>
      <c r="K8089"/>
      <c r="O8089"/>
      <c r="R8089"/>
      <c r="W8089" s="4"/>
      <c r="X8089" s="4"/>
      <c r="Y8089" s="4"/>
    </row>
    <row r="8090" spans="5:25">
      <c r="E8090"/>
      <c r="G8090"/>
      <c r="H8090"/>
      <c r="I8090"/>
      <c r="K8090"/>
      <c r="O8090"/>
      <c r="R8090"/>
      <c r="W8090" s="4"/>
      <c r="X8090" s="4"/>
      <c r="Y8090" s="4"/>
    </row>
    <row r="8091" spans="5:25">
      <c r="E8091"/>
      <c r="G8091"/>
      <c r="H8091"/>
      <c r="I8091"/>
      <c r="K8091"/>
      <c r="O8091"/>
      <c r="R8091"/>
      <c r="W8091" s="4"/>
      <c r="X8091" s="4"/>
      <c r="Y8091" s="4"/>
    </row>
    <row r="8092" spans="5:25">
      <c r="E8092"/>
      <c r="G8092"/>
      <c r="H8092"/>
      <c r="I8092"/>
      <c r="K8092"/>
      <c r="O8092"/>
      <c r="R8092"/>
      <c r="W8092" s="4"/>
      <c r="X8092" s="4"/>
      <c r="Y8092" s="4"/>
    </row>
    <row r="8093" spans="5:25">
      <c r="E8093"/>
      <c r="G8093"/>
      <c r="H8093"/>
      <c r="I8093"/>
      <c r="K8093"/>
      <c r="O8093"/>
      <c r="R8093"/>
      <c r="W8093" s="4"/>
      <c r="X8093" s="4"/>
      <c r="Y8093" s="4"/>
    </row>
    <row r="8094" spans="5:25">
      <c r="E8094"/>
      <c r="G8094"/>
      <c r="H8094"/>
      <c r="I8094"/>
      <c r="K8094"/>
      <c r="O8094"/>
      <c r="R8094"/>
      <c r="W8094" s="4"/>
      <c r="X8094" s="4"/>
      <c r="Y8094" s="4"/>
    </row>
    <row r="8095" spans="5:25">
      <c r="E8095"/>
      <c r="G8095"/>
      <c r="H8095"/>
      <c r="I8095"/>
      <c r="K8095"/>
      <c r="O8095"/>
      <c r="R8095"/>
      <c r="W8095" s="4"/>
      <c r="X8095" s="4"/>
      <c r="Y8095" s="4"/>
    </row>
    <row r="8096" spans="5:25">
      <c r="E8096"/>
      <c r="G8096"/>
      <c r="H8096"/>
      <c r="I8096"/>
      <c r="K8096"/>
      <c r="O8096"/>
      <c r="R8096"/>
      <c r="W8096" s="4"/>
      <c r="X8096" s="4"/>
      <c r="Y8096" s="4"/>
    </row>
    <row r="8097" spans="5:25">
      <c r="E8097"/>
      <c r="G8097"/>
      <c r="H8097"/>
      <c r="I8097"/>
      <c r="K8097"/>
      <c r="O8097"/>
      <c r="R8097"/>
      <c r="W8097" s="4"/>
      <c r="X8097" s="4"/>
      <c r="Y8097" s="4"/>
    </row>
    <row r="8098" spans="5:25">
      <c r="E8098"/>
      <c r="G8098"/>
      <c r="H8098"/>
      <c r="I8098"/>
      <c r="K8098"/>
      <c r="O8098"/>
      <c r="R8098"/>
      <c r="W8098" s="4"/>
      <c r="X8098" s="4"/>
      <c r="Y8098" s="4"/>
    </row>
    <row r="8099" spans="5:25">
      <c r="E8099"/>
      <c r="G8099"/>
      <c r="H8099"/>
      <c r="I8099"/>
      <c r="K8099"/>
      <c r="O8099"/>
      <c r="R8099"/>
      <c r="W8099" s="4"/>
      <c r="X8099" s="4"/>
      <c r="Y8099" s="4"/>
    </row>
    <row r="8100" spans="5:25">
      <c r="E8100"/>
      <c r="G8100"/>
      <c r="H8100"/>
      <c r="I8100"/>
      <c r="K8100"/>
      <c r="O8100"/>
      <c r="R8100"/>
      <c r="W8100" s="4"/>
      <c r="X8100" s="4"/>
      <c r="Y8100" s="4"/>
    </row>
    <row r="8101" spans="5:25">
      <c r="E8101"/>
      <c r="G8101"/>
      <c r="H8101"/>
      <c r="I8101"/>
      <c r="K8101"/>
      <c r="O8101"/>
      <c r="R8101"/>
      <c r="W8101" s="4"/>
      <c r="X8101" s="4"/>
      <c r="Y8101" s="4"/>
    </row>
    <row r="8102" spans="5:25">
      <c r="E8102"/>
      <c r="G8102"/>
      <c r="H8102"/>
      <c r="I8102"/>
      <c r="K8102"/>
      <c r="O8102"/>
      <c r="R8102"/>
      <c r="W8102" s="4"/>
      <c r="X8102" s="4"/>
      <c r="Y8102" s="4"/>
    </row>
    <row r="8103" spans="5:25">
      <c r="E8103"/>
      <c r="G8103"/>
      <c r="H8103"/>
      <c r="I8103"/>
      <c r="K8103"/>
      <c r="O8103"/>
      <c r="R8103"/>
      <c r="W8103" s="4"/>
      <c r="X8103" s="4"/>
      <c r="Y8103" s="4"/>
    </row>
    <row r="8104" spans="5:25">
      <c r="E8104"/>
      <c r="G8104"/>
      <c r="H8104"/>
      <c r="I8104"/>
      <c r="K8104"/>
      <c r="O8104"/>
      <c r="R8104"/>
      <c r="W8104" s="4"/>
      <c r="X8104" s="4"/>
      <c r="Y8104" s="4"/>
    </row>
    <row r="8105" spans="5:25">
      <c r="E8105"/>
      <c r="G8105"/>
      <c r="H8105"/>
      <c r="I8105"/>
      <c r="K8105"/>
      <c r="O8105"/>
      <c r="R8105"/>
      <c r="W8105" s="4"/>
      <c r="X8105" s="4"/>
      <c r="Y8105" s="4"/>
    </row>
    <row r="8106" spans="5:25">
      <c r="E8106"/>
      <c r="G8106"/>
      <c r="H8106"/>
      <c r="I8106"/>
      <c r="K8106"/>
      <c r="O8106"/>
      <c r="R8106"/>
      <c r="W8106" s="4"/>
      <c r="X8106" s="4"/>
      <c r="Y8106" s="4"/>
    </row>
    <row r="8107" spans="5:25">
      <c r="E8107"/>
      <c r="G8107"/>
      <c r="H8107"/>
      <c r="I8107"/>
      <c r="K8107"/>
      <c r="O8107"/>
      <c r="R8107"/>
      <c r="W8107" s="4"/>
      <c r="X8107" s="4"/>
      <c r="Y8107" s="4"/>
    </row>
    <row r="8108" spans="5:25">
      <c r="E8108"/>
      <c r="G8108"/>
      <c r="H8108"/>
      <c r="I8108"/>
      <c r="K8108"/>
      <c r="O8108"/>
      <c r="R8108"/>
      <c r="W8108" s="4"/>
      <c r="X8108" s="4"/>
      <c r="Y8108" s="4"/>
    </row>
    <row r="8109" spans="5:25">
      <c r="E8109"/>
      <c r="G8109"/>
      <c r="H8109"/>
      <c r="I8109"/>
      <c r="K8109"/>
      <c r="O8109"/>
      <c r="R8109"/>
      <c r="W8109" s="4"/>
      <c r="X8109" s="4"/>
      <c r="Y8109" s="4"/>
    </row>
    <row r="8110" spans="5:25">
      <c r="E8110"/>
      <c r="G8110"/>
      <c r="H8110"/>
      <c r="I8110"/>
      <c r="K8110"/>
      <c r="O8110"/>
      <c r="R8110"/>
      <c r="W8110" s="4"/>
      <c r="X8110" s="4"/>
      <c r="Y8110" s="4"/>
    </row>
    <row r="8111" spans="5:25">
      <c r="E8111"/>
      <c r="G8111"/>
      <c r="H8111"/>
      <c r="I8111"/>
      <c r="K8111"/>
      <c r="O8111"/>
      <c r="R8111"/>
      <c r="W8111" s="4"/>
      <c r="X8111" s="4"/>
      <c r="Y8111" s="4"/>
    </row>
    <row r="8112" spans="5:25">
      <c r="E8112"/>
      <c r="G8112"/>
      <c r="H8112"/>
      <c r="I8112"/>
      <c r="K8112"/>
      <c r="O8112"/>
      <c r="R8112"/>
      <c r="W8112" s="4"/>
      <c r="X8112" s="4"/>
      <c r="Y8112" s="4"/>
    </row>
    <row r="8113" spans="5:25">
      <c r="E8113"/>
      <c r="G8113"/>
      <c r="H8113"/>
      <c r="I8113"/>
      <c r="K8113"/>
      <c r="O8113"/>
      <c r="R8113"/>
      <c r="W8113" s="4"/>
      <c r="X8113" s="4"/>
      <c r="Y8113" s="4"/>
    </row>
    <row r="8114" spans="5:25">
      <c r="E8114"/>
      <c r="G8114"/>
      <c r="H8114"/>
      <c r="I8114"/>
      <c r="K8114"/>
      <c r="O8114"/>
      <c r="R8114"/>
      <c r="W8114" s="4"/>
      <c r="X8114" s="4"/>
      <c r="Y8114" s="4"/>
    </row>
    <row r="8115" spans="5:25">
      <c r="E8115"/>
      <c r="G8115"/>
      <c r="H8115"/>
      <c r="I8115"/>
      <c r="K8115"/>
      <c r="O8115"/>
      <c r="R8115"/>
      <c r="W8115" s="4"/>
      <c r="X8115" s="4"/>
      <c r="Y8115" s="4"/>
    </row>
    <row r="8116" spans="5:25">
      <c r="E8116"/>
      <c r="G8116"/>
      <c r="H8116"/>
      <c r="I8116"/>
      <c r="K8116"/>
      <c r="O8116"/>
      <c r="R8116"/>
      <c r="W8116" s="4"/>
      <c r="X8116" s="4"/>
      <c r="Y8116" s="4"/>
    </row>
    <row r="8117" spans="5:25">
      <c r="E8117"/>
      <c r="G8117"/>
      <c r="H8117"/>
      <c r="I8117"/>
      <c r="K8117"/>
      <c r="O8117"/>
      <c r="R8117"/>
      <c r="W8117" s="4"/>
      <c r="X8117" s="4"/>
      <c r="Y8117" s="4"/>
    </row>
    <row r="8118" spans="5:25">
      <c r="E8118"/>
      <c r="G8118"/>
      <c r="H8118"/>
      <c r="I8118"/>
      <c r="K8118"/>
      <c r="O8118"/>
      <c r="R8118"/>
      <c r="W8118" s="4"/>
      <c r="X8118" s="4"/>
      <c r="Y8118" s="4"/>
    </row>
    <row r="8119" spans="5:25">
      <c r="E8119"/>
      <c r="G8119"/>
      <c r="H8119"/>
      <c r="I8119"/>
      <c r="K8119"/>
      <c r="O8119"/>
      <c r="R8119"/>
      <c r="W8119" s="4"/>
      <c r="X8119" s="4"/>
      <c r="Y8119" s="4"/>
    </row>
    <row r="8120" spans="5:25">
      <c r="E8120"/>
      <c r="G8120"/>
      <c r="H8120"/>
      <c r="I8120"/>
      <c r="K8120"/>
      <c r="O8120"/>
      <c r="R8120"/>
      <c r="W8120" s="4"/>
      <c r="X8120" s="4"/>
      <c r="Y8120" s="4"/>
    </row>
    <row r="8121" spans="5:25">
      <c r="E8121"/>
      <c r="G8121"/>
      <c r="H8121"/>
      <c r="I8121"/>
      <c r="K8121"/>
      <c r="O8121"/>
      <c r="R8121"/>
      <c r="W8121" s="4"/>
      <c r="X8121" s="4"/>
      <c r="Y8121" s="4"/>
    </row>
    <row r="8122" spans="5:25">
      <c r="E8122"/>
      <c r="G8122"/>
      <c r="H8122"/>
      <c r="I8122"/>
      <c r="K8122"/>
      <c r="O8122"/>
      <c r="R8122"/>
      <c r="W8122" s="4"/>
      <c r="X8122" s="4"/>
      <c r="Y8122" s="4"/>
    </row>
    <row r="8123" spans="5:25">
      <c r="E8123"/>
      <c r="G8123"/>
      <c r="H8123"/>
      <c r="I8123"/>
      <c r="K8123"/>
      <c r="O8123"/>
      <c r="R8123"/>
      <c r="W8123" s="4"/>
      <c r="X8123" s="4"/>
      <c r="Y8123" s="4"/>
    </row>
    <row r="8124" spans="5:25">
      <c r="E8124"/>
      <c r="G8124"/>
      <c r="H8124"/>
      <c r="I8124"/>
      <c r="K8124"/>
      <c r="O8124"/>
      <c r="R8124"/>
      <c r="W8124" s="4"/>
      <c r="X8124" s="4"/>
      <c r="Y8124" s="4"/>
    </row>
    <row r="8125" spans="5:25">
      <c r="E8125"/>
      <c r="G8125"/>
      <c r="H8125"/>
      <c r="I8125"/>
      <c r="K8125"/>
      <c r="O8125"/>
      <c r="R8125"/>
      <c r="W8125" s="4"/>
      <c r="X8125" s="4"/>
      <c r="Y8125" s="4"/>
    </row>
    <row r="8126" spans="5:25">
      <c r="E8126"/>
      <c r="G8126"/>
      <c r="H8126"/>
      <c r="I8126"/>
      <c r="K8126"/>
      <c r="O8126"/>
      <c r="R8126"/>
      <c r="W8126" s="4"/>
      <c r="X8126" s="4"/>
      <c r="Y8126" s="4"/>
    </row>
    <row r="8127" spans="5:25">
      <c r="E8127"/>
      <c r="G8127"/>
      <c r="H8127"/>
      <c r="I8127"/>
      <c r="K8127"/>
      <c r="O8127"/>
      <c r="R8127"/>
      <c r="W8127" s="4"/>
      <c r="X8127" s="4"/>
      <c r="Y8127" s="4"/>
    </row>
    <row r="8128" spans="5:25">
      <c r="E8128"/>
      <c r="G8128"/>
      <c r="H8128"/>
      <c r="I8128"/>
      <c r="K8128"/>
      <c r="O8128"/>
      <c r="R8128"/>
      <c r="W8128" s="4"/>
      <c r="X8128" s="4"/>
      <c r="Y8128" s="4"/>
    </row>
    <row r="8129" spans="5:25">
      <c r="E8129"/>
      <c r="G8129"/>
      <c r="H8129"/>
      <c r="I8129"/>
      <c r="K8129"/>
      <c r="O8129"/>
      <c r="R8129"/>
      <c r="W8129" s="4"/>
      <c r="X8129" s="4"/>
      <c r="Y8129" s="4"/>
    </row>
    <row r="8130" spans="5:25">
      <c r="E8130"/>
      <c r="G8130"/>
      <c r="H8130"/>
      <c r="I8130"/>
      <c r="K8130"/>
      <c r="O8130"/>
      <c r="R8130"/>
      <c r="W8130" s="4"/>
      <c r="X8130" s="4"/>
      <c r="Y8130" s="4"/>
    </row>
    <row r="8131" spans="5:25">
      <c r="E8131"/>
      <c r="G8131"/>
      <c r="H8131"/>
      <c r="I8131"/>
      <c r="K8131"/>
      <c r="O8131"/>
      <c r="R8131"/>
      <c r="W8131" s="4"/>
      <c r="X8131" s="4"/>
      <c r="Y8131" s="4"/>
    </row>
    <row r="8132" spans="5:25">
      <c r="E8132"/>
      <c r="G8132"/>
      <c r="H8132"/>
      <c r="I8132"/>
      <c r="K8132"/>
      <c r="O8132"/>
      <c r="R8132"/>
      <c r="W8132" s="4"/>
      <c r="X8132" s="4"/>
      <c r="Y8132" s="4"/>
    </row>
    <row r="8133" spans="5:25">
      <c r="E8133"/>
      <c r="G8133"/>
      <c r="H8133"/>
      <c r="I8133"/>
      <c r="K8133"/>
      <c r="O8133"/>
      <c r="R8133"/>
      <c r="W8133" s="4"/>
      <c r="X8133" s="4"/>
      <c r="Y8133" s="4"/>
    </row>
    <row r="8134" spans="5:25">
      <c r="E8134"/>
      <c r="G8134"/>
      <c r="H8134"/>
      <c r="I8134"/>
      <c r="K8134"/>
      <c r="O8134"/>
      <c r="R8134"/>
      <c r="W8134" s="4"/>
      <c r="X8134" s="4"/>
      <c r="Y8134" s="4"/>
    </row>
    <row r="8135" spans="5:25">
      <c r="E8135"/>
      <c r="G8135"/>
      <c r="H8135"/>
      <c r="I8135"/>
      <c r="K8135"/>
      <c r="O8135"/>
      <c r="R8135"/>
      <c r="W8135" s="4"/>
      <c r="X8135" s="4"/>
      <c r="Y8135" s="4"/>
    </row>
    <row r="8136" spans="5:25">
      <c r="E8136"/>
      <c r="G8136"/>
      <c r="H8136"/>
      <c r="I8136"/>
      <c r="K8136"/>
      <c r="O8136"/>
      <c r="R8136"/>
      <c r="W8136" s="4"/>
      <c r="X8136" s="4"/>
      <c r="Y8136" s="4"/>
    </row>
    <row r="8137" spans="5:25">
      <c r="E8137"/>
      <c r="G8137"/>
      <c r="H8137"/>
      <c r="I8137"/>
      <c r="K8137"/>
      <c r="O8137"/>
      <c r="R8137"/>
      <c r="W8137" s="4"/>
      <c r="X8137" s="4"/>
      <c r="Y8137" s="4"/>
    </row>
    <row r="8138" spans="5:25">
      <c r="E8138"/>
      <c r="G8138"/>
      <c r="H8138"/>
      <c r="I8138"/>
      <c r="K8138"/>
      <c r="O8138"/>
      <c r="R8138"/>
      <c r="W8138" s="4"/>
      <c r="X8138" s="4"/>
      <c r="Y8138" s="4"/>
    </row>
    <row r="8139" spans="5:25">
      <c r="E8139"/>
      <c r="G8139"/>
      <c r="H8139"/>
      <c r="I8139"/>
      <c r="K8139"/>
      <c r="O8139"/>
      <c r="R8139"/>
      <c r="W8139" s="4"/>
      <c r="X8139" s="4"/>
      <c r="Y8139" s="4"/>
    </row>
    <row r="8140" spans="5:25">
      <c r="E8140"/>
      <c r="G8140"/>
      <c r="H8140"/>
      <c r="I8140"/>
      <c r="K8140"/>
      <c r="O8140"/>
      <c r="R8140"/>
      <c r="W8140" s="4"/>
      <c r="X8140" s="4"/>
      <c r="Y8140" s="4"/>
    </row>
    <row r="8141" spans="5:25">
      <c r="E8141"/>
      <c r="G8141"/>
      <c r="H8141"/>
      <c r="I8141"/>
      <c r="K8141"/>
      <c r="O8141"/>
      <c r="R8141"/>
      <c r="W8141" s="4"/>
      <c r="X8141" s="4"/>
      <c r="Y8141" s="4"/>
    </row>
    <row r="8142" spans="5:25">
      <c r="E8142"/>
      <c r="G8142"/>
      <c r="H8142"/>
      <c r="I8142"/>
      <c r="K8142"/>
      <c r="O8142"/>
      <c r="R8142"/>
      <c r="W8142" s="4"/>
      <c r="X8142" s="4"/>
      <c r="Y8142" s="4"/>
    </row>
    <row r="8143" spans="5:25">
      <c r="E8143"/>
      <c r="G8143"/>
      <c r="H8143"/>
      <c r="I8143"/>
      <c r="K8143"/>
      <c r="O8143"/>
      <c r="R8143"/>
      <c r="W8143" s="4"/>
      <c r="X8143" s="4"/>
      <c r="Y8143" s="4"/>
    </row>
    <row r="8144" spans="5:25">
      <c r="E8144"/>
      <c r="G8144"/>
      <c r="H8144"/>
      <c r="I8144"/>
      <c r="K8144"/>
      <c r="O8144"/>
      <c r="R8144"/>
      <c r="W8144" s="4"/>
      <c r="X8144" s="4"/>
      <c r="Y8144" s="4"/>
    </row>
    <row r="8145" spans="5:25">
      <c r="E8145"/>
      <c r="G8145"/>
      <c r="H8145"/>
      <c r="I8145"/>
      <c r="K8145"/>
      <c r="O8145"/>
      <c r="R8145"/>
      <c r="W8145" s="4"/>
      <c r="X8145" s="4"/>
      <c r="Y8145" s="4"/>
    </row>
    <row r="8146" spans="5:25">
      <c r="E8146"/>
      <c r="G8146"/>
      <c r="H8146"/>
      <c r="I8146"/>
      <c r="K8146"/>
      <c r="O8146"/>
      <c r="R8146"/>
      <c r="W8146" s="4"/>
      <c r="X8146" s="4"/>
      <c r="Y8146" s="4"/>
    </row>
    <row r="8147" spans="5:25">
      <c r="E8147"/>
      <c r="G8147"/>
      <c r="H8147"/>
      <c r="I8147"/>
      <c r="K8147"/>
      <c r="O8147"/>
      <c r="R8147"/>
      <c r="W8147" s="4"/>
      <c r="X8147" s="4"/>
      <c r="Y8147" s="4"/>
    </row>
    <row r="8148" spans="5:25">
      <c r="E8148"/>
      <c r="G8148"/>
      <c r="H8148"/>
      <c r="I8148"/>
      <c r="K8148"/>
      <c r="O8148"/>
      <c r="R8148"/>
      <c r="W8148" s="4"/>
      <c r="X8148" s="4"/>
      <c r="Y8148" s="4"/>
    </row>
    <row r="8149" spans="5:25">
      <c r="E8149"/>
      <c r="G8149"/>
      <c r="H8149"/>
      <c r="I8149"/>
      <c r="K8149"/>
      <c r="O8149"/>
      <c r="R8149"/>
      <c r="W8149" s="4"/>
      <c r="X8149" s="4"/>
      <c r="Y8149" s="4"/>
    </row>
    <row r="8150" spans="5:25">
      <c r="E8150"/>
      <c r="G8150"/>
      <c r="H8150"/>
      <c r="I8150"/>
      <c r="K8150"/>
      <c r="O8150"/>
      <c r="R8150"/>
      <c r="W8150" s="4"/>
      <c r="X8150" s="4"/>
      <c r="Y8150" s="4"/>
    </row>
    <row r="8151" spans="5:25">
      <c r="E8151"/>
      <c r="G8151"/>
      <c r="H8151"/>
      <c r="I8151"/>
      <c r="K8151"/>
      <c r="O8151"/>
      <c r="R8151"/>
      <c r="W8151" s="4"/>
      <c r="X8151" s="4"/>
      <c r="Y8151" s="4"/>
    </row>
    <row r="8152" spans="5:25">
      <c r="E8152"/>
      <c r="G8152"/>
      <c r="H8152"/>
      <c r="I8152"/>
      <c r="K8152"/>
      <c r="O8152"/>
      <c r="R8152"/>
      <c r="W8152" s="4"/>
      <c r="X8152" s="4"/>
      <c r="Y8152" s="4"/>
    </row>
    <row r="8153" spans="5:25">
      <c r="E8153"/>
      <c r="G8153"/>
      <c r="H8153"/>
      <c r="I8153"/>
      <c r="K8153"/>
      <c r="O8153"/>
      <c r="R8153"/>
      <c r="W8153" s="4"/>
      <c r="X8153" s="4"/>
      <c r="Y8153" s="4"/>
    </row>
    <row r="8154" spans="5:25">
      <c r="E8154"/>
      <c r="G8154"/>
      <c r="H8154"/>
      <c r="I8154"/>
      <c r="K8154"/>
      <c r="O8154"/>
      <c r="R8154"/>
      <c r="W8154" s="4"/>
      <c r="X8154" s="4"/>
      <c r="Y8154" s="4"/>
    </row>
    <row r="8155" spans="5:25">
      <c r="E8155"/>
      <c r="G8155"/>
      <c r="H8155"/>
      <c r="I8155"/>
      <c r="K8155"/>
      <c r="O8155"/>
      <c r="R8155"/>
      <c r="W8155" s="4"/>
      <c r="X8155" s="4"/>
      <c r="Y8155" s="4"/>
    </row>
    <row r="8156" spans="5:25">
      <c r="E8156"/>
      <c r="G8156"/>
      <c r="H8156"/>
      <c r="I8156"/>
      <c r="K8156"/>
      <c r="O8156"/>
      <c r="R8156"/>
      <c r="W8156" s="4"/>
      <c r="X8156" s="4"/>
      <c r="Y8156" s="4"/>
    </row>
    <row r="8157" spans="5:25">
      <c r="E8157"/>
      <c r="G8157"/>
      <c r="H8157"/>
      <c r="I8157"/>
      <c r="K8157"/>
      <c r="O8157"/>
      <c r="R8157"/>
      <c r="W8157" s="4"/>
      <c r="X8157" s="4"/>
      <c r="Y8157" s="4"/>
    </row>
    <row r="8158" spans="5:25">
      <c r="E8158"/>
      <c r="G8158"/>
      <c r="H8158"/>
      <c r="I8158"/>
      <c r="K8158"/>
      <c r="O8158"/>
      <c r="R8158"/>
      <c r="W8158" s="4"/>
      <c r="X8158" s="4"/>
      <c r="Y8158" s="4"/>
    </row>
    <row r="8159" spans="5:25">
      <c r="E8159"/>
      <c r="G8159"/>
      <c r="H8159"/>
      <c r="I8159"/>
      <c r="K8159"/>
      <c r="O8159"/>
      <c r="R8159"/>
      <c r="W8159" s="4"/>
      <c r="X8159" s="4"/>
      <c r="Y8159" s="4"/>
    </row>
    <row r="8160" spans="5:25">
      <c r="E8160"/>
      <c r="G8160"/>
      <c r="H8160"/>
      <c r="I8160"/>
      <c r="K8160"/>
      <c r="O8160"/>
      <c r="R8160"/>
      <c r="W8160" s="4"/>
      <c r="X8160" s="4"/>
      <c r="Y8160" s="4"/>
    </row>
    <row r="8161" spans="5:25">
      <c r="E8161"/>
      <c r="G8161"/>
      <c r="H8161"/>
      <c r="I8161"/>
      <c r="K8161"/>
      <c r="O8161"/>
      <c r="R8161"/>
      <c r="W8161" s="4"/>
      <c r="X8161" s="4"/>
      <c r="Y8161" s="4"/>
    </row>
    <row r="8162" spans="5:25">
      <c r="E8162"/>
      <c r="G8162"/>
      <c r="H8162"/>
      <c r="I8162"/>
      <c r="K8162"/>
      <c r="O8162"/>
      <c r="R8162"/>
      <c r="W8162" s="4"/>
      <c r="X8162" s="4"/>
      <c r="Y8162" s="4"/>
    </row>
    <row r="8163" spans="5:25">
      <c r="E8163"/>
      <c r="G8163"/>
      <c r="H8163"/>
      <c r="I8163"/>
      <c r="K8163"/>
      <c r="O8163"/>
      <c r="R8163"/>
      <c r="W8163" s="4"/>
      <c r="X8163" s="4"/>
      <c r="Y8163" s="4"/>
    </row>
    <row r="8164" spans="5:25">
      <c r="E8164"/>
      <c r="G8164"/>
      <c r="H8164"/>
      <c r="I8164"/>
      <c r="K8164"/>
      <c r="O8164"/>
      <c r="R8164"/>
      <c r="W8164" s="4"/>
      <c r="X8164" s="4"/>
      <c r="Y8164" s="4"/>
    </row>
    <row r="8165" spans="5:25">
      <c r="E8165"/>
      <c r="G8165"/>
      <c r="H8165"/>
      <c r="I8165"/>
      <c r="K8165"/>
      <c r="O8165"/>
      <c r="R8165"/>
      <c r="W8165" s="4"/>
      <c r="X8165" s="4"/>
      <c r="Y8165" s="4"/>
    </row>
    <row r="8166" spans="5:25">
      <c r="E8166"/>
      <c r="G8166"/>
      <c r="H8166"/>
      <c r="I8166"/>
      <c r="K8166"/>
      <c r="O8166"/>
      <c r="R8166"/>
      <c r="W8166" s="4"/>
      <c r="X8166" s="4"/>
      <c r="Y8166" s="4"/>
    </row>
    <row r="8167" spans="5:25">
      <c r="E8167"/>
      <c r="G8167"/>
      <c r="H8167"/>
      <c r="I8167"/>
      <c r="K8167"/>
      <c r="O8167"/>
      <c r="R8167"/>
      <c r="W8167" s="4"/>
      <c r="X8167" s="4"/>
      <c r="Y8167" s="4"/>
    </row>
    <row r="8168" spans="5:25">
      <c r="E8168"/>
      <c r="G8168"/>
      <c r="H8168"/>
      <c r="I8168"/>
      <c r="K8168"/>
      <c r="O8168"/>
      <c r="R8168"/>
      <c r="W8168" s="4"/>
      <c r="X8168" s="4"/>
      <c r="Y8168" s="4"/>
    </row>
    <row r="8169" spans="5:25">
      <c r="E8169"/>
      <c r="G8169"/>
      <c r="H8169"/>
      <c r="I8169"/>
      <c r="K8169"/>
      <c r="O8169"/>
      <c r="R8169"/>
      <c r="W8169" s="4"/>
      <c r="X8169" s="4"/>
      <c r="Y8169" s="4"/>
    </row>
    <row r="8170" spans="5:25">
      <c r="E8170"/>
      <c r="G8170"/>
      <c r="H8170"/>
      <c r="I8170"/>
      <c r="K8170"/>
      <c r="O8170"/>
      <c r="R8170"/>
      <c r="W8170" s="4"/>
      <c r="X8170" s="4"/>
      <c r="Y8170" s="4"/>
    </row>
    <row r="8171" spans="5:25">
      <c r="E8171"/>
      <c r="G8171"/>
      <c r="H8171"/>
      <c r="I8171"/>
      <c r="K8171"/>
      <c r="O8171"/>
      <c r="R8171"/>
      <c r="W8171" s="4"/>
      <c r="X8171" s="4"/>
      <c r="Y8171" s="4"/>
    </row>
    <row r="8172" spans="5:25">
      <c r="E8172"/>
      <c r="G8172"/>
      <c r="H8172"/>
      <c r="I8172"/>
      <c r="K8172"/>
      <c r="O8172"/>
      <c r="R8172"/>
      <c r="W8172" s="4"/>
      <c r="X8172" s="4"/>
      <c r="Y8172" s="4"/>
    </row>
    <row r="8173" spans="5:25">
      <c r="E8173"/>
      <c r="G8173"/>
      <c r="H8173"/>
      <c r="I8173"/>
      <c r="K8173"/>
      <c r="O8173"/>
      <c r="R8173"/>
      <c r="W8173" s="4"/>
      <c r="X8173" s="4"/>
      <c r="Y8173" s="4"/>
    </row>
    <row r="8174" spans="5:25">
      <c r="E8174"/>
      <c r="G8174"/>
      <c r="H8174"/>
      <c r="I8174"/>
      <c r="K8174"/>
      <c r="O8174"/>
      <c r="R8174"/>
      <c r="W8174" s="4"/>
      <c r="X8174" s="4"/>
      <c r="Y8174" s="4"/>
    </row>
    <row r="8175" spans="5:25">
      <c r="E8175"/>
      <c r="G8175"/>
      <c r="H8175"/>
      <c r="I8175"/>
      <c r="K8175"/>
      <c r="O8175"/>
      <c r="R8175"/>
      <c r="W8175" s="4"/>
      <c r="X8175" s="4"/>
      <c r="Y8175" s="4"/>
    </row>
    <row r="8176" spans="5:25">
      <c r="E8176"/>
      <c r="G8176"/>
      <c r="H8176"/>
      <c r="I8176"/>
      <c r="K8176"/>
      <c r="O8176"/>
      <c r="R8176"/>
      <c r="W8176" s="4"/>
      <c r="X8176" s="4"/>
      <c r="Y8176" s="4"/>
    </row>
    <row r="8177" spans="5:25">
      <c r="E8177"/>
      <c r="G8177"/>
      <c r="H8177"/>
      <c r="I8177"/>
      <c r="K8177"/>
      <c r="O8177"/>
      <c r="R8177"/>
      <c r="W8177" s="4"/>
      <c r="X8177" s="4"/>
      <c r="Y8177" s="4"/>
    </row>
    <row r="8178" spans="5:25">
      <c r="E8178"/>
      <c r="G8178"/>
      <c r="H8178"/>
      <c r="I8178"/>
      <c r="K8178"/>
      <c r="O8178"/>
      <c r="R8178"/>
      <c r="W8178" s="4"/>
      <c r="X8178" s="4"/>
      <c r="Y8178" s="4"/>
    </row>
    <row r="8179" spans="5:25">
      <c r="E8179"/>
      <c r="G8179"/>
      <c r="H8179"/>
      <c r="I8179"/>
      <c r="K8179"/>
      <c r="O8179"/>
      <c r="R8179"/>
      <c r="W8179" s="4"/>
      <c r="X8179" s="4"/>
      <c r="Y8179" s="4"/>
    </row>
    <row r="8180" spans="5:25">
      <c r="E8180"/>
      <c r="G8180"/>
      <c r="H8180"/>
      <c r="I8180"/>
      <c r="K8180"/>
      <c r="O8180"/>
      <c r="R8180"/>
      <c r="W8180" s="4"/>
      <c r="X8180" s="4"/>
      <c r="Y8180" s="4"/>
    </row>
    <row r="8181" spans="5:25">
      <c r="E8181"/>
      <c r="G8181"/>
      <c r="H8181"/>
      <c r="I8181"/>
      <c r="K8181"/>
      <c r="O8181"/>
      <c r="R8181"/>
      <c r="W8181" s="4"/>
      <c r="X8181" s="4"/>
      <c r="Y8181" s="4"/>
    </row>
    <row r="8182" spans="5:25">
      <c r="E8182"/>
      <c r="G8182"/>
      <c r="H8182"/>
      <c r="I8182"/>
      <c r="K8182"/>
      <c r="O8182"/>
      <c r="R8182"/>
      <c r="W8182" s="4"/>
      <c r="X8182" s="4"/>
      <c r="Y8182" s="4"/>
    </row>
    <row r="8183" spans="5:25">
      <c r="E8183"/>
      <c r="G8183"/>
      <c r="H8183"/>
      <c r="I8183"/>
      <c r="K8183"/>
      <c r="O8183"/>
      <c r="R8183"/>
      <c r="W8183" s="4"/>
      <c r="X8183" s="4"/>
      <c r="Y8183" s="4"/>
    </row>
    <row r="8184" spans="5:25">
      <c r="E8184"/>
      <c r="G8184"/>
      <c r="H8184"/>
      <c r="I8184"/>
      <c r="K8184"/>
      <c r="O8184"/>
      <c r="R8184"/>
      <c r="W8184" s="4"/>
      <c r="X8184" s="4"/>
      <c r="Y8184" s="4"/>
    </row>
    <row r="8185" spans="5:25">
      <c r="E8185"/>
      <c r="G8185"/>
      <c r="H8185"/>
      <c r="I8185"/>
      <c r="K8185"/>
      <c r="O8185"/>
      <c r="R8185"/>
      <c r="W8185" s="4"/>
      <c r="X8185" s="4"/>
      <c r="Y8185" s="4"/>
    </row>
    <row r="8186" spans="5:25">
      <c r="E8186"/>
      <c r="G8186"/>
      <c r="H8186"/>
      <c r="I8186"/>
      <c r="K8186"/>
      <c r="O8186"/>
      <c r="R8186"/>
      <c r="W8186" s="4"/>
      <c r="X8186" s="4"/>
      <c r="Y8186" s="4"/>
    </row>
    <row r="8187" spans="5:25">
      <c r="E8187"/>
      <c r="G8187"/>
      <c r="H8187"/>
      <c r="I8187"/>
      <c r="K8187"/>
      <c r="O8187"/>
      <c r="R8187"/>
      <c r="W8187" s="4"/>
      <c r="X8187" s="4"/>
      <c r="Y8187" s="4"/>
    </row>
    <row r="8188" spans="5:25">
      <c r="E8188"/>
      <c r="G8188"/>
      <c r="H8188"/>
      <c r="I8188"/>
      <c r="K8188"/>
      <c r="O8188"/>
      <c r="R8188"/>
      <c r="W8188" s="4"/>
      <c r="X8188" s="4"/>
      <c r="Y8188" s="4"/>
    </row>
    <row r="8189" spans="5:25">
      <c r="E8189"/>
      <c r="G8189"/>
      <c r="H8189"/>
      <c r="I8189"/>
      <c r="K8189"/>
      <c r="O8189"/>
      <c r="R8189"/>
      <c r="W8189" s="4"/>
      <c r="X8189" s="4"/>
      <c r="Y8189" s="4"/>
    </row>
    <row r="8190" spans="5:25">
      <c r="E8190"/>
      <c r="G8190"/>
      <c r="H8190"/>
      <c r="I8190"/>
      <c r="K8190"/>
      <c r="O8190"/>
      <c r="R8190"/>
      <c r="W8190" s="4"/>
      <c r="X8190" s="4"/>
      <c r="Y8190" s="4"/>
    </row>
    <row r="8191" spans="5:25">
      <c r="E8191"/>
      <c r="G8191"/>
      <c r="H8191"/>
      <c r="I8191"/>
      <c r="K8191"/>
      <c r="O8191"/>
      <c r="R8191"/>
      <c r="W8191" s="4"/>
      <c r="X8191" s="4"/>
      <c r="Y8191" s="4"/>
    </row>
    <row r="8192" spans="5:25">
      <c r="E8192"/>
      <c r="G8192"/>
      <c r="H8192"/>
      <c r="I8192"/>
      <c r="K8192"/>
      <c r="O8192"/>
      <c r="R8192"/>
      <c r="W8192" s="4"/>
      <c r="X8192" s="4"/>
      <c r="Y8192" s="4"/>
    </row>
    <row r="8193" spans="5:25">
      <c r="E8193"/>
      <c r="G8193"/>
      <c r="H8193"/>
      <c r="I8193"/>
      <c r="K8193"/>
      <c r="O8193"/>
      <c r="R8193"/>
      <c r="W8193" s="4"/>
      <c r="X8193" s="4"/>
      <c r="Y8193" s="4"/>
    </row>
    <row r="8194" spans="5:25">
      <c r="E8194"/>
      <c r="G8194"/>
      <c r="H8194"/>
      <c r="I8194"/>
      <c r="K8194"/>
      <c r="O8194"/>
      <c r="R8194"/>
      <c r="W8194" s="4"/>
      <c r="X8194" s="4"/>
      <c r="Y8194" s="4"/>
    </row>
    <row r="8195" spans="5:25">
      <c r="E8195"/>
      <c r="G8195"/>
      <c r="H8195"/>
      <c r="I8195"/>
      <c r="K8195"/>
      <c r="O8195"/>
      <c r="R8195"/>
      <c r="W8195" s="4"/>
      <c r="X8195" s="4"/>
      <c r="Y8195" s="4"/>
    </row>
    <row r="8196" spans="5:25">
      <c r="E8196"/>
      <c r="G8196"/>
      <c r="H8196"/>
      <c r="I8196"/>
      <c r="K8196"/>
      <c r="O8196"/>
      <c r="R8196"/>
      <c r="W8196" s="4"/>
      <c r="X8196" s="4"/>
      <c r="Y8196" s="4"/>
    </row>
    <row r="8197" spans="5:25">
      <c r="E8197"/>
      <c r="G8197"/>
      <c r="H8197"/>
      <c r="I8197"/>
      <c r="K8197"/>
      <c r="O8197"/>
      <c r="R8197"/>
      <c r="W8197" s="4"/>
      <c r="X8197" s="4"/>
      <c r="Y8197" s="4"/>
    </row>
    <row r="8198" spans="5:25">
      <c r="E8198"/>
      <c r="G8198"/>
      <c r="H8198"/>
      <c r="I8198"/>
      <c r="K8198"/>
      <c r="O8198"/>
      <c r="R8198"/>
      <c r="W8198" s="4"/>
      <c r="X8198" s="4"/>
      <c r="Y8198" s="4"/>
    </row>
    <row r="8199" spans="5:25">
      <c r="E8199"/>
      <c r="G8199"/>
      <c r="H8199"/>
      <c r="I8199"/>
      <c r="K8199"/>
      <c r="O8199"/>
      <c r="R8199"/>
      <c r="W8199" s="4"/>
      <c r="X8199" s="4"/>
      <c r="Y8199" s="4"/>
    </row>
    <row r="8200" spans="5:25">
      <c r="E8200"/>
      <c r="G8200"/>
      <c r="H8200"/>
      <c r="I8200"/>
      <c r="K8200"/>
      <c r="O8200"/>
      <c r="R8200"/>
      <c r="W8200" s="4"/>
      <c r="X8200" s="4"/>
      <c r="Y8200" s="4"/>
    </row>
    <row r="8201" spans="5:25">
      <c r="E8201"/>
      <c r="G8201"/>
      <c r="H8201"/>
      <c r="I8201"/>
      <c r="K8201"/>
      <c r="O8201"/>
      <c r="R8201"/>
      <c r="W8201" s="4"/>
      <c r="X8201" s="4"/>
      <c r="Y8201" s="4"/>
    </row>
    <row r="8202" spans="5:25">
      <c r="E8202"/>
      <c r="G8202"/>
      <c r="H8202"/>
      <c r="I8202"/>
      <c r="K8202"/>
      <c r="O8202"/>
      <c r="R8202"/>
      <c r="W8202" s="4"/>
      <c r="X8202" s="4"/>
      <c r="Y8202" s="4"/>
    </row>
    <row r="8203" spans="5:25">
      <c r="E8203"/>
      <c r="G8203"/>
      <c r="H8203"/>
      <c r="I8203"/>
      <c r="K8203"/>
      <c r="O8203"/>
      <c r="R8203"/>
      <c r="W8203" s="4"/>
      <c r="X8203" s="4"/>
      <c r="Y8203" s="4"/>
    </row>
    <row r="8204" spans="5:25">
      <c r="E8204"/>
      <c r="G8204"/>
      <c r="H8204"/>
      <c r="I8204"/>
      <c r="K8204"/>
      <c r="O8204"/>
      <c r="R8204"/>
      <c r="W8204" s="4"/>
      <c r="X8204" s="4"/>
      <c r="Y8204" s="4"/>
    </row>
    <row r="8205" spans="5:25">
      <c r="E8205"/>
      <c r="G8205"/>
      <c r="H8205"/>
      <c r="I8205"/>
      <c r="K8205"/>
      <c r="O8205"/>
      <c r="R8205"/>
      <c r="W8205" s="4"/>
      <c r="X8205" s="4"/>
      <c r="Y8205" s="4"/>
    </row>
    <row r="8206" spans="5:25">
      <c r="E8206"/>
      <c r="G8206"/>
      <c r="H8206"/>
      <c r="I8206"/>
      <c r="K8206"/>
      <c r="O8206"/>
      <c r="R8206"/>
      <c r="W8206" s="4"/>
      <c r="X8206" s="4"/>
      <c r="Y8206" s="4"/>
    </row>
    <row r="8207" spans="5:25">
      <c r="E8207"/>
      <c r="G8207"/>
      <c r="H8207"/>
      <c r="I8207"/>
      <c r="K8207"/>
      <c r="O8207"/>
      <c r="R8207"/>
      <c r="W8207" s="4"/>
      <c r="X8207" s="4"/>
      <c r="Y8207" s="4"/>
    </row>
    <row r="8208" spans="5:25">
      <c r="E8208"/>
      <c r="G8208"/>
      <c r="H8208"/>
      <c r="I8208"/>
      <c r="K8208"/>
      <c r="O8208"/>
      <c r="R8208"/>
      <c r="W8208" s="4"/>
      <c r="X8208" s="4"/>
      <c r="Y8208" s="4"/>
    </row>
    <row r="8209" spans="5:25">
      <c r="E8209"/>
      <c r="G8209"/>
      <c r="H8209"/>
      <c r="I8209"/>
      <c r="K8209"/>
      <c r="O8209"/>
      <c r="R8209"/>
      <c r="W8209" s="4"/>
      <c r="X8209" s="4"/>
      <c r="Y8209" s="4"/>
    </row>
    <row r="8210" spans="5:25">
      <c r="E8210"/>
      <c r="G8210"/>
      <c r="H8210"/>
      <c r="I8210"/>
      <c r="K8210"/>
      <c r="O8210"/>
      <c r="R8210"/>
      <c r="W8210" s="4"/>
      <c r="X8210" s="4"/>
      <c r="Y8210" s="4"/>
    </row>
    <row r="8211" spans="5:25">
      <c r="E8211"/>
      <c r="G8211"/>
      <c r="H8211"/>
      <c r="I8211"/>
      <c r="K8211"/>
      <c r="O8211"/>
      <c r="R8211"/>
      <c r="W8211" s="4"/>
      <c r="X8211" s="4"/>
      <c r="Y8211" s="4"/>
    </row>
    <row r="8212" spans="5:25">
      <c r="E8212"/>
      <c r="G8212"/>
      <c r="H8212"/>
      <c r="I8212"/>
      <c r="K8212"/>
      <c r="O8212"/>
      <c r="R8212"/>
      <c r="W8212" s="4"/>
      <c r="X8212" s="4"/>
      <c r="Y8212" s="4"/>
    </row>
    <row r="8213" spans="5:25">
      <c r="E8213"/>
      <c r="G8213"/>
      <c r="H8213"/>
      <c r="I8213"/>
      <c r="K8213"/>
      <c r="O8213"/>
      <c r="R8213"/>
      <c r="W8213" s="4"/>
      <c r="X8213" s="4"/>
      <c r="Y8213" s="4"/>
    </row>
    <row r="8214" spans="5:25">
      <c r="E8214"/>
      <c r="G8214"/>
      <c r="H8214"/>
      <c r="I8214"/>
      <c r="K8214"/>
      <c r="O8214"/>
      <c r="R8214"/>
      <c r="W8214" s="4"/>
      <c r="X8214" s="4"/>
      <c r="Y8214" s="4"/>
    </row>
    <row r="8215" spans="5:25">
      <c r="E8215"/>
      <c r="G8215"/>
      <c r="H8215"/>
      <c r="I8215"/>
      <c r="K8215"/>
      <c r="O8215"/>
      <c r="R8215"/>
      <c r="W8215" s="4"/>
      <c r="X8215" s="4"/>
      <c r="Y8215" s="4"/>
    </row>
    <row r="8216" spans="5:25">
      <c r="E8216"/>
      <c r="G8216"/>
      <c r="H8216"/>
      <c r="I8216"/>
      <c r="K8216"/>
      <c r="O8216"/>
      <c r="R8216"/>
      <c r="W8216" s="4"/>
      <c r="X8216" s="4"/>
      <c r="Y8216" s="4"/>
    </row>
    <row r="8217" spans="5:25">
      <c r="E8217"/>
      <c r="G8217"/>
      <c r="H8217"/>
      <c r="I8217"/>
      <c r="K8217"/>
      <c r="O8217"/>
      <c r="R8217"/>
      <c r="W8217" s="4"/>
      <c r="X8217" s="4"/>
      <c r="Y8217" s="4"/>
    </row>
    <row r="8218" spans="5:25">
      <c r="E8218"/>
      <c r="G8218"/>
      <c r="H8218"/>
      <c r="I8218"/>
      <c r="K8218"/>
      <c r="O8218"/>
      <c r="R8218"/>
      <c r="W8218" s="4"/>
      <c r="X8218" s="4"/>
      <c r="Y8218" s="4"/>
    </row>
    <row r="8219" spans="5:25">
      <c r="E8219"/>
      <c r="G8219"/>
      <c r="H8219"/>
      <c r="I8219"/>
      <c r="K8219"/>
      <c r="O8219"/>
      <c r="R8219"/>
      <c r="W8219" s="4"/>
      <c r="X8219" s="4"/>
      <c r="Y8219" s="4"/>
    </row>
    <row r="8220" spans="5:25">
      <c r="E8220"/>
      <c r="G8220"/>
      <c r="H8220"/>
      <c r="I8220"/>
      <c r="K8220"/>
      <c r="O8220"/>
      <c r="R8220"/>
      <c r="W8220" s="4"/>
      <c r="X8220" s="4"/>
      <c r="Y8220" s="4"/>
    </row>
    <row r="8221" spans="5:25">
      <c r="E8221"/>
      <c r="G8221"/>
      <c r="H8221"/>
      <c r="I8221"/>
      <c r="K8221"/>
      <c r="O8221"/>
      <c r="R8221"/>
      <c r="W8221" s="4"/>
      <c r="X8221" s="4"/>
      <c r="Y8221" s="4"/>
    </row>
    <row r="8222" spans="5:25">
      <c r="E8222"/>
      <c r="G8222"/>
      <c r="H8222"/>
      <c r="I8222"/>
      <c r="K8222"/>
      <c r="O8222"/>
      <c r="R8222"/>
      <c r="W8222" s="4"/>
      <c r="X8222" s="4"/>
      <c r="Y8222" s="4"/>
    </row>
    <row r="8223" spans="5:25">
      <c r="E8223"/>
      <c r="G8223"/>
      <c r="H8223"/>
      <c r="I8223"/>
      <c r="K8223"/>
      <c r="O8223"/>
      <c r="R8223"/>
      <c r="W8223" s="4"/>
      <c r="X8223" s="4"/>
      <c r="Y8223" s="4"/>
    </row>
    <row r="8224" spans="5:25">
      <c r="E8224"/>
      <c r="G8224"/>
      <c r="H8224"/>
      <c r="I8224"/>
      <c r="K8224"/>
      <c r="O8224"/>
      <c r="R8224"/>
      <c r="W8224" s="4"/>
      <c r="X8224" s="4"/>
      <c r="Y8224" s="4"/>
    </row>
    <row r="8225" spans="5:25">
      <c r="E8225"/>
      <c r="G8225"/>
      <c r="H8225"/>
      <c r="I8225"/>
      <c r="K8225"/>
      <c r="O8225"/>
      <c r="R8225"/>
      <c r="W8225" s="4"/>
      <c r="X8225" s="4"/>
      <c r="Y8225" s="4"/>
    </row>
    <row r="8226" spans="5:25">
      <c r="E8226"/>
      <c r="G8226"/>
      <c r="H8226"/>
      <c r="I8226"/>
      <c r="K8226"/>
      <c r="O8226"/>
      <c r="R8226"/>
      <c r="W8226" s="4"/>
      <c r="X8226" s="4"/>
      <c r="Y8226" s="4"/>
    </row>
    <row r="8227" spans="5:25">
      <c r="E8227"/>
      <c r="G8227"/>
      <c r="H8227"/>
      <c r="I8227"/>
      <c r="K8227"/>
      <c r="O8227"/>
      <c r="R8227"/>
      <c r="W8227" s="4"/>
      <c r="X8227" s="4"/>
      <c r="Y8227" s="4"/>
    </row>
    <row r="8228" spans="5:25">
      <c r="E8228"/>
      <c r="G8228"/>
      <c r="H8228"/>
      <c r="I8228"/>
      <c r="K8228"/>
      <c r="O8228"/>
      <c r="R8228"/>
      <c r="W8228" s="4"/>
      <c r="X8228" s="4"/>
      <c r="Y8228" s="4"/>
    </row>
    <row r="8229" spans="5:25">
      <c r="E8229"/>
      <c r="G8229"/>
      <c r="H8229"/>
      <c r="I8229"/>
      <c r="K8229"/>
      <c r="O8229"/>
      <c r="R8229"/>
      <c r="W8229" s="4"/>
      <c r="X8229" s="4"/>
      <c r="Y8229" s="4"/>
    </row>
    <row r="8230" spans="5:25">
      <c r="E8230"/>
      <c r="G8230"/>
      <c r="H8230"/>
      <c r="I8230"/>
      <c r="K8230"/>
      <c r="O8230"/>
      <c r="R8230"/>
      <c r="W8230" s="4"/>
      <c r="X8230" s="4"/>
      <c r="Y8230" s="4"/>
    </row>
    <row r="8231" spans="5:25">
      <c r="E8231"/>
      <c r="G8231"/>
      <c r="H8231"/>
      <c r="I8231"/>
      <c r="K8231"/>
      <c r="O8231"/>
      <c r="R8231"/>
      <c r="W8231" s="4"/>
      <c r="X8231" s="4"/>
      <c r="Y8231" s="4"/>
    </row>
    <row r="8232" spans="5:25">
      <c r="E8232"/>
      <c r="G8232"/>
      <c r="H8232"/>
      <c r="I8232"/>
      <c r="K8232"/>
      <c r="O8232"/>
      <c r="R8232"/>
      <c r="W8232" s="4"/>
      <c r="X8232" s="4"/>
      <c r="Y8232" s="4"/>
    </row>
    <row r="8233" spans="5:25">
      <c r="E8233"/>
      <c r="G8233"/>
      <c r="H8233"/>
      <c r="I8233"/>
      <c r="K8233"/>
      <c r="O8233"/>
      <c r="R8233"/>
      <c r="W8233" s="4"/>
      <c r="X8233" s="4"/>
      <c r="Y8233" s="4"/>
    </row>
    <row r="8234" spans="5:25">
      <c r="E8234"/>
      <c r="G8234"/>
      <c r="H8234"/>
      <c r="I8234"/>
      <c r="K8234"/>
      <c r="O8234"/>
      <c r="R8234"/>
      <c r="W8234" s="4"/>
      <c r="X8234" s="4"/>
      <c r="Y8234" s="4"/>
    </row>
    <row r="8235" spans="5:25">
      <c r="E8235"/>
      <c r="G8235"/>
      <c r="H8235"/>
      <c r="I8235"/>
      <c r="K8235"/>
      <c r="O8235"/>
      <c r="R8235"/>
      <c r="W8235" s="4"/>
      <c r="X8235" s="4"/>
      <c r="Y8235" s="4"/>
    </row>
    <row r="8236" spans="5:25">
      <c r="E8236"/>
      <c r="G8236"/>
      <c r="H8236"/>
      <c r="I8236"/>
      <c r="K8236"/>
      <c r="O8236"/>
      <c r="R8236"/>
      <c r="W8236" s="4"/>
      <c r="X8236" s="4"/>
      <c r="Y8236" s="4"/>
    </row>
    <row r="8237" spans="5:25">
      <c r="E8237"/>
      <c r="G8237"/>
      <c r="H8237"/>
      <c r="I8237"/>
      <c r="K8237"/>
      <c r="O8237"/>
      <c r="R8237"/>
      <c r="W8237" s="4"/>
      <c r="X8237" s="4"/>
      <c r="Y8237" s="4"/>
    </row>
    <row r="8238" spans="5:25">
      <c r="E8238"/>
      <c r="G8238"/>
      <c r="H8238"/>
      <c r="I8238"/>
      <c r="K8238"/>
      <c r="O8238"/>
      <c r="R8238"/>
      <c r="W8238" s="4"/>
      <c r="X8238" s="4"/>
      <c r="Y8238" s="4"/>
    </row>
    <row r="8239" spans="5:25">
      <c r="E8239"/>
      <c r="G8239"/>
      <c r="H8239"/>
      <c r="I8239"/>
      <c r="K8239"/>
      <c r="O8239"/>
      <c r="R8239"/>
      <c r="W8239" s="4"/>
      <c r="X8239" s="4"/>
      <c r="Y8239" s="4"/>
    </row>
    <row r="8240" spans="5:25">
      <c r="E8240"/>
      <c r="G8240"/>
      <c r="H8240"/>
      <c r="I8240"/>
      <c r="K8240"/>
      <c r="O8240"/>
      <c r="R8240"/>
      <c r="W8240" s="4"/>
      <c r="X8240" s="4"/>
      <c r="Y8240" s="4"/>
    </row>
    <row r="8241" spans="5:25">
      <c r="E8241"/>
      <c r="G8241"/>
      <c r="H8241"/>
      <c r="I8241"/>
      <c r="K8241"/>
      <c r="O8241"/>
      <c r="R8241"/>
      <c r="W8241" s="4"/>
      <c r="X8241" s="4"/>
      <c r="Y8241" s="4"/>
    </row>
    <row r="8242" spans="5:25">
      <c r="E8242"/>
      <c r="G8242"/>
      <c r="H8242"/>
      <c r="I8242"/>
      <c r="K8242"/>
      <c r="O8242"/>
      <c r="R8242"/>
      <c r="W8242" s="4"/>
      <c r="X8242" s="4"/>
      <c r="Y8242" s="4"/>
    </row>
    <row r="8243" spans="5:25">
      <c r="E8243"/>
      <c r="G8243"/>
      <c r="H8243"/>
      <c r="I8243"/>
      <c r="K8243"/>
      <c r="O8243"/>
      <c r="R8243"/>
      <c r="W8243" s="4"/>
      <c r="X8243" s="4"/>
      <c r="Y8243" s="4"/>
    </row>
    <row r="8244" spans="5:25">
      <c r="E8244"/>
      <c r="G8244"/>
      <c r="H8244"/>
      <c r="I8244"/>
      <c r="K8244"/>
      <c r="O8244"/>
      <c r="R8244"/>
      <c r="W8244" s="4"/>
      <c r="X8244" s="4"/>
      <c r="Y8244" s="4"/>
    </row>
    <row r="8245" spans="5:25">
      <c r="E8245"/>
      <c r="G8245"/>
      <c r="H8245"/>
      <c r="I8245"/>
      <c r="K8245"/>
      <c r="O8245"/>
      <c r="R8245"/>
      <c r="W8245" s="4"/>
      <c r="X8245" s="4"/>
      <c r="Y8245" s="4"/>
    </row>
    <row r="8246" spans="5:25">
      <c r="E8246"/>
      <c r="G8246"/>
      <c r="H8246"/>
      <c r="I8246"/>
      <c r="K8246"/>
      <c r="O8246"/>
      <c r="R8246"/>
      <c r="W8246" s="4"/>
      <c r="X8246" s="4"/>
      <c r="Y8246" s="4"/>
    </row>
    <row r="8247" spans="5:25">
      <c r="E8247"/>
      <c r="G8247"/>
      <c r="H8247"/>
      <c r="I8247"/>
      <c r="K8247"/>
      <c r="O8247"/>
      <c r="R8247"/>
      <c r="W8247" s="4"/>
      <c r="X8247" s="4"/>
      <c r="Y8247" s="4"/>
    </row>
    <row r="8248" spans="5:25">
      <c r="E8248"/>
      <c r="G8248"/>
      <c r="H8248"/>
      <c r="I8248"/>
      <c r="K8248"/>
      <c r="O8248"/>
      <c r="R8248"/>
      <c r="W8248" s="4"/>
      <c r="X8248" s="4"/>
      <c r="Y8248" s="4"/>
    </row>
    <row r="8249" spans="5:25">
      <c r="E8249"/>
      <c r="G8249"/>
      <c r="H8249"/>
      <c r="I8249"/>
      <c r="K8249"/>
      <c r="O8249"/>
      <c r="R8249"/>
      <c r="W8249" s="4"/>
      <c r="X8249" s="4"/>
      <c r="Y8249" s="4"/>
    </row>
    <row r="8250" spans="5:25">
      <c r="E8250"/>
      <c r="G8250"/>
      <c r="H8250"/>
      <c r="I8250"/>
      <c r="K8250"/>
      <c r="O8250"/>
      <c r="R8250"/>
      <c r="W8250" s="4"/>
      <c r="X8250" s="4"/>
      <c r="Y8250" s="4"/>
    </row>
    <row r="8251" spans="5:25">
      <c r="E8251"/>
      <c r="G8251"/>
      <c r="H8251"/>
      <c r="I8251"/>
      <c r="K8251"/>
      <c r="O8251"/>
      <c r="R8251"/>
      <c r="W8251" s="4"/>
      <c r="X8251" s="4"/>
      <c r="Y8251" s="4"/>
    </row>
    <row r="8252" spans="5:25">
      <c r="E8252"/>
      <c r="G8252"/>
      <c r="H8252"/>
      <c r="I8252"/>
      <c r="K8252"/>
      <c r="O8252"/>
      <c r="R8252"/>
      <c r="W8252" s="4"/>
      <c r="X8252" s="4"/>
      <c r="Y8252" s="4"/>
    </row>
    <row r="8253" spans="5:25">
      <c r="E8253"/>
      <c r="G8253"/>
      <c r="H8253"/>
      <c r="I8253"/>
      <c r="K8253"/>
      <c r="O8253"/>
      <c r="R8253"/>
      <c r="W8253" s="4"/>
      <c r="X8253" s="4"/>
      <c r="Y8253" s="4"/>
    </row>
    <row r="8254" spans="5:25">
      <c r="E8254"/>
      <c r="G8254"/>
      <c r="H8254"/>
      <c r="I8254"/>
      <c r="K8254"/>
      <c r="O8254"/>
      <c r="R8254"/>
      <c r="W8254" s="4"/>
      <c r="X8254" s="4"/>
      <c r="Y8254" s="4"/>
    </row>
    <row r="8255" spans="5:25">
      <c r="E8255"/>
      <c r="G8255"/>
      <c r="H8255"/>
      <c r="I8255"/>
      <c r="K8255"/>
      <c r="O8255"/>
      <c r="R8255"/>
      <c r="W8255" s="4"/>
      <c r="X8255" s="4"/>
      <c r="Y8255" s="4"/>
    </row>
    <row r="8256" spans="5:25">
      <c r="E8256"/>
      <c r="G8256"/>
      <c r="H8256"/>
      <c r="I8256"/>
      <c r="K8256"/>
      <c r="O8256"/>
      <c r="R8256"/>
      <c r="W8256" s="4"/>
      <c r="X8256" s="4"/>
      <c r="Y8256" s="4"/>
    </row>
    <row r="8257" spans="5:25">
      <c r="E8257"/>
      <c r="G8257"/>
      <c r="H8257"/>
      <c r="I8257"/>
      <c r="K8257"/>
      <c r="O8257"/>
      <c r="R8257"/>
      <c r="W8257" s="4"/>
      <c r="X8257" s="4"/>
      <c r="Y8257" s="4"/>
    </row>
    <row r="8258" spans="5:25">
      <c r="E8258"/>
      <c r="G8258"/>
      <c r="H8258"/>
      <c r="I8258"/>
      <c r="K8258"/>
      <c r="O8258"/>
      <c r="R8258"/>
      <c r="W8258" s="4"/>
      <c r="X8258" s="4"/>
      <c r="Y8258" s="4"/>
    </row>
    <row r="8259" spans="5:25">
      <c r="E8259"/>
      <c r="G8259"/>
      <c r="H8259"/>
      <c r="I8259"/>
      <c r="K8259"/>
      <c r="O8259"/>
      <c r="R8259"/>
      <c r="W8259" s="4"/>
      <c r="X8259" s="4"/>
      <c r="Y8259" s="4"/>
    </row>
    <row r="8260" spans="5:25">
      <c r="E8260"/>
      <c r="G8260"/>
      <c r="H8260"/>
      <c r="I8260"/>
      <c r="K8260"/>
      <c r="O8260"/>
      <c r="R8260"/>
      <c r="W8260" s="4"/>
      <c r="X8260" s="4"/>
      <c r="Y8260" s="4"/>
    </row>
    <row r="8261" spans="5:25">
      <c r="E8261"/>
      <c r="G8261"/>
      <c r="H8261"/>
      <c r="I8261"/>
      <c r="K8261"/>
      <c r="O8261"/>
      <c r="R8261"/>
      <c r="W8261" s="4"/>
      <c r="X8261" s="4"/>
      <c r="Y8261" s="4"/>
    </row>
    <row r="8262" spans="5:25">
      <c r="E8262"/>
      <c r="G8262"/>
      <c r="H8262"/>
      <c r="I8262"/>
      <c r="K8262"/>
      <c r="O8262"/>
      <c r="R8262"/>
      <c r="W8262" s="4"/>
      <c r="X8262" s="4"/>
      <c r="Y8262" s="4"/>
    </row>
    <row r="8263" spans="5:25">
      <c r="E8263"/>
      <c r="G8263"/>
      <c r="H8263"/>
      <c r="I8263"/>
      <c r="K8263"/>
      <c r="O8263"/>
      <c r="R8263"/>
      <c r="W8263" s="4"/>
      <c r="X8263" s="4"/>
      <c r="Y8263" s="4"/>
    </row>
    <row r="8264" spans="5:25">
      <c r="E8264"/>
      <c r="G8264"/>
      <c r="H8264"/>
      <c r="I8264"/>
      <c r="K8264"/>
      <c r="O8264"/>
      <c r="R8264"/>
      <c r="W8264" s="4"/>
      <c r="X8264" s="4"/>
      <c r="Y8264" s="4"/>
    </row>
    <row r="8265" spans="5:25">
      <c r="E8265"/>
      <c r="G8265"/>
      <c r="H8265"/>
      <c r="I8265"/>
      <c r="K8265"/>
      <c r="O8265"/>
      <c r="R8265"/>
      <c r="W8265" s="4"/>
      <c r="X8265" s="4"/>
      <c r="Y8265" s="4"/>
    </row>
    <row r="8266" spans="5:25">
      <c r="E8266"/>
      <c r="G8266"/>
      <c r="H8266"/>
      <c r="I8266"/>
      <c r="K8266"/>
      <c r="O8266"/>
      <c r="R8266"/>
      <c r="W8266" s="4"/>
      <c r="X8266" s="4"/>
      <c r="Y8266" s="4"/>
    </row>
    <row r="8267" spans="5:25">
      <c r="E8267"/>
      <c r="G8267"/>
      <c r="H8267"/>
      <c r="I8267"/>
      <c r="K8267"/>
      <c r="O8267"/>
      <c r="R8267"/>
      <c r="W8267" s="4"/>
      <c r="X8267" s="4"/>
      <c r="Y8267" s="4"/>
    </row>
    <row r="8268" spans="5:25">
      <c r="E8268"/>
      <c r="G8268"/>
      <c r="H8268"/>
      <c r="I8268"/>
      <c r="K8268"/>
      <c r="O8268"/>
      <c r="R8268"/>
      <c r="W8268" s="4"/>
      <c r="X8268" s="4"/>
      <c r="Y8268" s="4"/>
    </row>
    <row r="8269" spans="5:25">
      <c r="E8269"/>
      <c r="G8269"/>
      <c r="H8269"/>
      <c r="I8269"/>
      <c r="K8269"/>
      <c r="O8269"/>
      <c r="R8269"/>
      <c r="W8269" s="4"/>
      <c r="X8269" s="4"/>
      <c r="Y8269" s="4"/>
    </row>
    <row r="8270" spans="5:25">
      <c r="E8270"/>
      <c r="G8270"/>
      <c r="H8270"/>
      <c r="I8270"/>
      <c r="K8270"/>
      <c r="O8270"/>
      <c r="R8270"/>
      <c r="W8270" s="4"/>
      <c r="X8270" s="4"/>
      <c r="Y8270" s="4"/>
    </row>
    <row r="8271" spans="5:25">
      <c r="E8271"/>
      <c r="G8271"/>
      <c r="H8271"/>
      <c r="I8271"/>
      <c r="K8271"/>
      <c r="O8271"/>
      <c r="R8271"/>
      <c r="W8271" s="4"/>
      <c r="X8271" s="4"/>
      <c r="Y8271" s="4"/>
    </row>
    <row r="8272" spans="5:25">
      <c r="E8272"/>
      <c r="G8272"/>
      <c r="H8272"/>
      <c r="I8272"/>
      <c r="K8272"/>
      <c r="O8272"/>
      <c r="R8272"/>
      <c r="W8272" s="4"/>
      <c r="X8272" s="4"/>
      <c r="Y8272" s="4"/>
    </row>
    <row r="8273" spans="5:25">
      <c r="E8273"/>
      <c r="G8273"/>
      <c r="H8273"/>
      <c r="I8273"/>
      <c r="K8273"/>
      <c r="O8273"/>
      <c r="R8273"/>
      <c r="W8273" s="4"/>
      <c r="X8273" s="4"/>
      <c r="Y8273" s="4"/>
    </row>
    <row r="8274" spans="5:25">
      <c r="E8274"/>
      <c r="G8274"/>
      <c r="H8274"/>
      <c r="I8274"/>
      <c r="K8274"/>
      <c r="O8274"/>
      <c r="R8274"/>
      <c r="W8274" s="4"/>
      <c r="X8274" s="4"/>
      <c r="Y8274" s="4"/>
    </row>
    <row r="8275" spans="5:25">
      <c r="E8275"/>
      <c r="G8275"/>
      <c r="H8275"/>
      <c r="I8275"/>
      <c r="K8275"/>
      <c r="O8275"/>
      <c r="R8275"/>
      <c r="W8275" s="4"/>
      <c r="X8275" s="4"/>
      <c r="Y8275" s="4"/>
    </row>
    <row r="8276" spans="5:25">
      <c r="E8276"/>
      <c r="G8276"/>
      <c r="H8276"/>
      <c r="I8276"/>
      <c r="K8276"/>
      <c r="O8276"/>
      <c r="R8276"/>
      <c r="W8276" s="4"/>
      <c r="X8276" s="4"/>
      <c r="Y8276" s="4"/>
    </row>
    <row r="8277" spans="5:25">
      <c r="E8277"/>
      <c r="G8277"/>
      <c r="H8277"/>
      <c r="I8277"/>
      <c r="K8277"/>
      <c r="O8277"/>
      <c r="R8277"/>
      <c r="W8277" s="4"/>
      <c r="X8277" s="4"/>
      <c r="Y8277" s="4"/>
    </row>
    <row r="8278" spans="5:25">
      <c r="E8278"/>
      <c r="G8278"/>
      <c r="H8278"/>
      <c r="I8278"/>
      <c r="K8278"/>
      <c r="O8278"/>
      <c r="R8278"/>
      <c r="W8278" s="4"/>
      <c r="X8278" s="4"/>
      <c r="Y8278" s="4"/>
    </row>
    <row r="8279" spans="5:25">
      <c r="E8279"/>
      <c r="G8279"/>
      <c r="H8279"/>
      <c r="I8279"/>
      <c r="K8279"/>
      <c r="O8279"/>
      <c r="R8279"/>
      <c r="W8279" s="4"/>
      <c r="X8279" s="4"/>
      <c r="Y8279" s="4"/>
    </row>
    <row r="8280" spans="5:25">
      <c r="E8280"/>
      <c r="G8280"/>
      <c r="H8280"/>
      <c r="I8280"/>
      <c r="K8280"/>
      <c r="O8280"/>
      <c r="R8280"/>
      <c r="W8280" s="4"/>
      <c r="X8280" s="4"/>
      <c r="Y8280" s="4"/>
    </row>
    <row r="8281" spans="5:25">
      <c r="E8281"/>
      <c r="G8281"/>
      <c r="H8281"/>
      <c r="I8281"/>
      <c r="K8281"/>
      <c r="O8281"/>
      <c r="R8281"/>
      <c r="W8281" s="4"/>
      <c r="X8281" s="4"/>
      <c r="Y8281" s="4"/>
    </row>
    <row r="8282" spans="5:25">
      <c r="E8282"/>
      <c r="G8282"/>
      <c r="H8282"/>
      <c r="I8282"/>
      <c r="K8282"/>
      <c r="O8282"/>
      <c r="R8282"/>
      <c r="W8282" s="4"/>
      <c r="X8282" s="4"/>
      <c r="Y8282" s="4"/>
    </row>
    <row r="8283" spans="5:25">
      <c r="E8283"/>
      <c r="G8283"/>
      <c r="H8283"/>
      <c r="I8283"/>
      <c r="K8283"/>
      <c r="O8283"/>
      <c r="R8283"/>
      <c r="W8283" s="4"/>
      <c r="X8283" s="4"/>
      <c r="Y8283" s="4"/>
    </row>
    <row r="8284" spans="5:25">
      <c r="E8284"/>
      <c r="G8284"/>
      <c r="H8284"/>
      <c r="I8284"/>
      <c r="K8284"/>
      <c r="O8284"/>
      <c r="R8284"/>
      <c r="W8284" s="4"/>
      <c r="X8284" s="4"/>
      <c r="Y8284" s="4"/>
    </row>
    <row r="8285" spans="5:25">
      <c r="E8285"/>
      <c r="G8285"/>
      <c r="H8285"/>
      <c r="I8285"/>
      <c r="K8285"/>
      <c r="O8285"/>
      <c r="R8285"/>
      <c r="W8285" s="4"/>
      <c r="X8285" s="4"/>
      <c r="Y8285" s="4"/>
    </row>
    <row r="8286" spans="5:25">
      <c r="E8286"/>
      <c r="G8286"/>
      <c r="H8286"/>
      <c r="I8286"/>
      <c r="K8286"/>
      <c r="O8286"/>
      <c r="R8286"/>
      <c r="W8286" s="4"/>
      <c r="X8286" s="4"/>
      <c r="Y8286" s="4"/>
    </row>
    <row r="8287" spans="5:25">
      <c r="E8287"/>
      <c r="G8287"/>
      <c r="H8287"/>
      <c r="I8287"/>
      <c r="K8287"/>
      <c r="O8287"/>
      <c r="R8287"/>
      <c r="W8287" s="4"/>
      <c r="X8287" s="4"/>
      <c r="Y8287" s="4"/>
    </row>
    <row r="8288" spans="5:25">
      <c r="E8288"/>
      <c r="G8288"/>
      <c r="H8288"/>
      <c r="I8288"/>
      <c r="K8288"/>
      <c r="O8288"/>
      <c r="R8288"/>
      <c r="W8288" s="4"/>
      <c r="X8288" s="4"/>
      <c r="Y8288" s="4"/>
    </row>
    <row r="8289" spans="5:25">
      <c r="E8289"/>
      <c r="G8289"/>
      <c r="H8289"/>
      <c r="I8289"/>
      <c r="K8289"/>
      <c r="O8289"/>
      <c r="R8289"/>
      <c r="W8289" s="4"/>
      <c r="X8289" s="4"/>
      <c r="Y8289" s="4"/>
    </row>
    <row r="8290" spans="5:25">
      <c r="E8290"/>
      <c r="G8290"/>
      <c r="H8290"/>
      <c r="I8290"/>
      <c r="K8290"/>
      <c r="O8290"/>
      <c r="R8290"/>
      <c r="W8290" s="4"/>
      <c r="X8290" s="4"/>
      <c r="Y8290" s="4"/>
    </row>
    <row r="8291" spans="5:25">
      <c r="E8291"/>
      <c r="G8291"/>
      <c r="H8291"/>
      <c r="I8291"/>
      <c r="K8291"/>
      <c r="O8291"/>
      <c r="R8291"/>
      <c r="W8291" s="4"/>
      <c r="X8291" s="4"/>
      <c r="Y8291" s="4"/>
    </row>
    <row r="8292" spans="5:25">
      <c r="E8292"/>
      <c r="G8292"/>
      <c r="H8292"/>
      <c r="I8292"/>
      <c r="K8292"/>
      <c r="O8292"/>
      <c r="R8292"/>
      <c r="W8292" s="4"/>
      <c r="X8292" s="4"/>
      <c r="Y8292" s="4"/>
    </row>
    <row r="8293" spans="5:25">
      <c r="E8293"/>
      <c r="G8293"/>
      <c r="H8293"/>
      <c r="I8293"/>
      <c r="K8293"/>
      <c r="O8293"/>
      <c r="R8293"/>
      <c r="W8293" s="4"/>
      <c r="X8293" s="4"/>
      <c r="Y8293" s="4"/>
    </row>
    <row r="8294" spans="5:25">
      <c r="E8294"/>
      <c r="G8294"/>
      <c r="H8294"/>
      <c r="I8294"/>
      <c r="K8294"/>
      <c r="O8294"/>
      <c r="R8294"/>
      <c r="W8294" s="4"/>
      <c r="X8294" s="4"/>
      <c r="Y8294" s="4"/>
    </row>
    <row r="8295" spans="5:25">
      <c r="E8295"/>
      <c r="G8295"/>
      <c r="H8295"/>
      <c r="I8295"/>
      <c r="K8295"/>
      <c r="O8295"/>
      <c r="R8295"/>
      <c r="W8295" s="4"/>
      <c r="X8295" s="4"/>
      <c r="Y8295" s="4"/>
    </row>
    <row r="8296" spans="5:25">
      <c r="E8296"/>
      <c r="G8296"/>
      <c r="H8296"/>
      <c r="I8296"/>
      <c r="K8296"/>
      <c r="O8296"/>
      <c r="R8296"/>
      <c r="W8296" s="4"/>
      <c r="X8296" s="4"/>
      <c r="Y8296" s="4"/>
    </row>
    <row r="8297" spans="5:25">
      <c r="E8297"/>
      <c r="G8297"/>
      <c r="H8297"/>
      <c r="I8297"/>
      <c r="K8297"/>
      <c r="O8297"/>
      <c r="R8297"/>
      <c r="W8297" s="4"/>
      <c r="X8297" s="4"/>
      <c r="Y8297" s="4"/>
    </row>
    <row r="8298" spans="5:25">
      <c r="E8298"/>
      <c r="G8298"/>
      <c r="H8298"/>
      <c r="I8298"/>
      <c r="K8298"/>
      <c r="O8298"/>
      <c r="R8298"/>
      <c r="W8298" s="4"/>
      <c r="X8298" s="4"/>
      <c r="Y8298" s="4"/>
    </row>
    <row r="8299" spans="5:25">
      <c r="E8299"/>
      <c r="G8299"/>
      <c r="H8299"/>
      <c r="I8299"/>
      <c r="K8299"/>
      <c r="O8299"/>
      <c r="R8299"/>
      <c r="W8299" s="4"/>
      <c r="X8299" s="4"/>
      <c r="Y8299" s="4"/>
    </row>
    <row r="8300" spans="5:25">
      <c r="E8300"/>
      <c r="G8300"/>
      <c r="H8300"/>
      <c r="I8300"/>
      <c r="K8300"/>
      <c r="O8300"/>
      <c r="R8300"/>
      <c r="W8300" s="4"/>
      <c r="X8300" s="4"/>
      <c r="Y8300" s="4"/>
    </row>
    <row r="8301" spans="5:25">
      <c r="E8301"/>
      <c r="G8301"/>
      <c r="H8301"/>
      <c r="I8301"/>
      <c r="K8301"/>
      <c r="O8301"/>
      <c r="R8301"/>
      <c r="W8301" s="4"/>
      <c r="X8301" s="4"/>
      <c r="Y8301" s="4"/>
    </row>
    <row r="8302" spans="5:25">
      <c r="E8302"/>
      <c r="G8302"/>
      <c r="H8302"/>
      <c r="I8302"/>
      <c r="K8302"/>
      <c r="O8302"/>
      <c r="R8302"/>
      <c r="W8302" s="4"/>
      <c r="X8302" s="4"/>
      <c r="Y8302" s="4"/>
    </row>
    <row r="8303" spans="5:25">
      <c r="E8303"/>
      <c r="G8303"/>
      <c r="H8303"/>
      <c r="I8303"/>
      <c r="K8303"/>
      <c r="O8303"/>
      <c r="R8303"/>
      <c r="W8303" s="4"/>
      <c r="X8303" s="4"/>
      <c r="Y8303" s="4"/>
    </row>
    <row r="8304" spans="5:25">
      <c r="E8304"/>
      <c r="G8304"/>
      <c r="H8304"/>
      <c r="I8304"/>
      <c r="K8304"/>
      <c r="O8304"/>
      <c r="R8304"/>
      <c r="W8304" s="4"/>
      <c r="X8304" s="4"/>
      <c r="Y8304" s="4"/>
    </row>
    <row r="8305" spans="5:25">
      <c r="E8305"/>
      <c r="G8305"/>
      <c r="H8305"/>
      <c r="I8305"/>
      <c r="K8305"/>
      <c r="O8305"/>
      <c r="R8305"/>
      <c r="W8305" s="4"/>
      <c r="X8305" s="4"/>
      <c r="Y8305" s="4"/>
    </row>
    <row r="8306" spans="5:25">
      <c r="E8306"/>
      <c r="G8306"/>
      <c r="H8306"/>
      <c r="I8306"/>
      <c r="K8306"/>
      <c r="O8306"/>
      <c r="R8306"/>
      <c r="W8306" s="4"/>
      <c r="X8306" s="4"/>
      <c r="Y8306" s="4"/>
    </row>
    <row r="8307" spans="5:25">
      <c r="E8307"/>
      <c r="G8307"/>
      <c r="H8307"/>
      <c r="I8307"/>
      <c r="K8307"/>
      <c r="O8307"/>
      <c r="R8307"/>
      <c r="W8307" s="4"/>
      <c r="X8307" s="4"/>
      <c r="Y8307" s="4"/>
    </row>
    <row r="8308" spans="5:25">
      <c r="E8308"/>
      <c r="G8308"/>
      <c r="H8308"/>
      <c r="I8308"/>
      <c r="K8308"/>
      <c r="O8308"/>
      <c r="R8308"/>
      <c r="W8308" s="4"/>
      <c r="X8308" s="4"/>
      <c r="Y8308" s="4"/>
    </row>
    <row r="8309" spans="5:25">
      <c r="E8309"/>
      <c r="G8309"/>
      <c r="H8309"/>
      <c r="I8309"/>
      <c r="K8309"/>
      <c r="O8309"/>
      <c r="R8309"/>
      <c r="W8309" s="4"/>
      <c r="X8309" s="4"/>
      <c r="Y8309" s="4"/>
    </row>
    <row r="8310" spans="5:25">
      <c r="E8310"/>
      <c r="G8310"/>
      <c r="H8310"/>
      <c r="I8310"/>
      <c r="K8310"/>
      <c r="O8310"/>
      <c r="R8310"/>
      <c r="W8310" s="4"/>
      <c r="X8310" s="4"/>
      <c r="Y8310" s="4"/>
    </row>
    <row r="8311" spans="5:25">
      <c r="E8311"/>
      <c r="G8311"/>
      <c r="H8311"/>
      <c r="I8311"/>
      <c r="K8311"/>
      <c r="O8311"/>
      <c r="R8311"/>
      <c r="W8311" s="4"/>
      <c r="X8311" s="4"/>
      <c r="Y8311" s="4"/>
    </row>
    <row r="8312" spans="5:25">
      <c r="E8312"/>
      <c r="G8312"/>
      <c r="H8312"/>
      <c r="I8312"/>
      <c r="K8312"/>
      <c r="O8312"/>
      <c r="R8312"/>
      <c r="W8312" s="4"/>
      <c r="X8312" s="4"/>
      <c r="Y8312" s="4"/>
    </row>
    <row r="8313" spans="5:25">
      <c r="E8313"/>
      <c r="G8313"/>
      <c r="H8313"/>
      <c r="I8313"/>
      <c r="K8313"/>
      <c r="O8313"/>
      <c r="R8313"/>
      <c r="W8313" s="4"/>
      <c r="X8313" s="4"/>
      <c r="Y8313" s="4"/>
    </row>
    <row r="8314" spans="5:25">
      <c r="E8314"/>
      <c r="G8314"/>
      <c r="H8314"/>
      <c r="I8314"/>
      <c r="K8314"/>
      <c r="O8314"/>
      <c r="R8314"/>
      <c r="W8314" s="4"/>
      <c r="X8314" s="4"/>
      <c r="Y8314" s="4"/>
    </row>
    <row r="8315" spans="5:25">
      <c r="E8315"/>
      <c r="G8315"/>
      <c r="H8315"/>
      <c r="I8315"/>
      <c r="K8315"/>
      <c r="O8315"/>
      <c r="R8315"/>
      <c r="W8315" s="4"/>
      <c r="X8315" s="4"/>
      <c r="Y8315" s="4"/>
    </row>
    <row r="8316" spans="5:25">
      <c r="E8316"/>
      <c r="G8316"/>
      <c r="H8316"/>
      <c r="I8316"/>
      <c r="K8316"/>
      <c r="O8316"/>
      <c r="R8316"/>
      <c r="W8316" s="4"/>
      <c r="X8316" s="4"/>
      <c r="Y8316" s="4"/>
    </row>
    <row r="8317" spans="5:25">
      <c r="E8317"/>
      <c r="G8317"/>
      <c r="H8317"/>
      <c r="I8317"/>
      <c r="K8317"/>
      <c r="O8317"/>
      <c r="R8317"/>
      <c r="W8317" s="4"/>
      <c r="X8317" s="4"/>
      <c r="Y8317" s="4"/>
    </row>
    <row r="8318" spans="5:25">
      <c r="E8318"/>
      <c r="G8318"/>
      <c r="H8318"/>
      <c r="I8318"/>
      <c r="K8318"/>
      <c r="O8318"/>
      <c r="R8318"/>
      <c r="W8318" s="4"/>
      <c r="X8318" s="4"/>
      <c r="Y8318" s="4"/>
    </row>
    <row r="8319" spans="5:25">
      <c r="E8319"/>
      <c r="G8319"/>
      <c r="H8319"/>
      <c r="I8319"/>
      <c r="K8319"/>
      <c r="O8319"/>
      <c r="R8319"/>
      <c r="W8319" s="4"/>
      <c r="X8319" s="4"/>
      <c r="Y8319" s="4"/>
    </row>
    <row r="8320" spans="5:25">
      <c r="E8320"/>
      <c r="G8320"/>
      <c r="H8320"/>
      <c r="I8320"/>
      <c r="K8320"/>
      <c r="O8320"/>
      <c r="R8320"/>
      <c r="W8320" s="4"/>
      <c r="X8320" s="4"/>
      <c r="Y8320" s="4"/>
    </row>
    <row r="8321" spans="5:25">
      <c r="E8321"/>
      <c r="G8321"/>
      <c r="H8321"/>
      <c r="I8321"/>
      <c r="K8321"/>
      <c r="O8321"/>
      <c r="R8321"/>
      <c r="W8321" s="4"/>
      <c r="X8321" s="4"/>
      <c r="Y8321" s="4"/>
    </row>
    <row r="8322" spans="5:25">
      <c r="E8322"/>
      <c r="G8322"/>
      <c r="H8322"/>
      <c r="I8322"/>
      <c r="K8322"/>
      <c r="O8322"/>
      <c r="R8322"/>
      <c r="W8322" s="4"/>
      <c r="X8322" s="4"/>
      <c r="Y8322" s="4"/>
    </row>
    <row r="8323" spans="5:25">
      <c r="E8323"/>
      <c r="G8323"/>
      <c r="H8323"/>
      <c r="I8323"/>
      <c r="K8323"/>
      <c r="O8323"/>
      <c r="R8323"/>
      <c r="W8323" s="4"/>
      <c r="X8323" s="4"/>
      <c r="Y8323" s="4"/>
    </row>
    <row r="8324" spans="5:25">
      <c r="E8324"/>
      <c r="G8324"/>
      <c r="H8324"/>
      <c r="I8324"/>
      <c r="K8324"/>
      <c r="O8324"/>
      <c r="R8324"/>
      <c r="W8324" s="4"/>
      <c r="X8324" s="4"/>
      <c r="Y8324" s="4"/>
    </row>
    <row r="8325" spans="5:25">
      <c r="E8325"/>
      <c r="G8325"/>
      <c r="H8325"/>
      <c r="I8325"/>
      <c r="K8325"/>
      <c r="O8325"/>
      <c r="R8325"/>
      <c r="W8325" s="4"/>
      <c r="X8325" s="4"/>
      <c r="Y8325" s="4"/>
    </row>
    <row r="8326" spans="5:25">
      <c r="E8326"/>
      <c r="G8326"/>
      <c r="H8326"/>
      <c r="I8326"/>
      <c r="K8326"/>
      <c r="O8326"/>
      <c r="R8326"/>
      <c r="W8326" s="4"/>
      <c r="X8326" s="4"/>
      <c r="Y8326" s="4"/>
    </row>
    <row r="8327" spans="5:25">
      <c r="E8327"/>
      <c r="G8327"/>
      <c r="H8327"/>
      <c r="I8327"/>
      <c r="K8327"/>
      <c r="O8327"/>
      <c r="R8327"/>
      <c r="W8327" s="4"/>
      <c r="X8327" s="4"/>
      <c r="Y8327" s="4"/>
    </row>
    <row r="8328" spans="5:25">
      <c r="E8328"/>
      <c r="G8328"/>
      <c r="H8328"/>
      <c r="I8328"/>
      <c r="K8328"/>
      <c r="O8328"/>
      <c r="R8328"/>
      <c r="W8328" s="4"/>
      <c r="X8328" s="4"/>
      <c r="Y8328" s="4"/>
    </row>
    <row r="8329" spans="5:25">
      <c r="E8329"/>
      <c r="G8329"/>
      <c r="H8329"/>
      <c r="I8329"/>
      <c r="K8329"/>
      <c r="O8329"/>
      <c r="R8329"/>
      <c r="W8329" s="4"/>
      <c r="X8329" s="4"/>
      <c r="Y8329" s="4"/>
    </row>
    <row r="8330" spans="5:25">
      <c r="E8330"/>
      <c r="G8330"/>
      <c r="H8330"/>
      <c r="I8330"/>
      <c r="K8330"/>
      <c r="O8330"/>
      <c r="R8330"/>
      <c r="W8330" s="4"/>
      <c r="X8330" s="4"/>
      <c r="Y8330" s="4"/>
    </row>
    <row r="8331" spans="5:25">
      <c r="E8331"/>
      <c r="G8331"/>
      <c r="H8331"/>
      <c r="I8331"/>
      <c r="K8331"/>
      <c r="O8331"/>
      <c r="R8331"/>
      <c r="W8331" s="4"/>
      <c r="X8331" s="4"/>
      <c r="Y8331" s="4"/>
    </row>
    <row r="8332" spans="5:25">
      <c r="E8332"/>
      <c r="G8332"/>
      <c r="H8332"/>
      <c r="I8332"/>
      <c r="K8332"/>
      <c r="O8332"/>
      <c r="R8332"/>
      <c r="W8332" s="4"/>
      <c r="X8332" s="4"/>
      <c r="Y8332" s="4"/>
    </row>
    <row r="8333" spans="5:25">
      <c r="E8333"/>
      <c r="G8333"/>
      <c r="H8333"/>
      <c r="I8333"/>
      <c r="K8333"/>
      <c r="O8333"/>
      <c r="R8333"/>
      <c r="W8333" s="4"/>
      <c r="X8333" s="4"/>
      <c r="Y8333" s="4"/>
    </row>
    <row r="8334" spans="5:25">
      <c r="E8334"/>
      <c r="G8334"/>
      <c r="H8334"/>
      <c r="I8334"/>
      <c r="K8334"/>
      <c r="O8334"/>
      <c r="R8334"/>
      <c r="W8334" s="4"/>
      <c r="X8334" s="4"/>
      <c r="Y8334" s="4"/>
    </row>
    <row r="8335" spans="5:25">
      <c r="E8335"/>
      <c r="G8335"/>
      <c r="H8335"/>
      <c r="I8335"/>
      <c r="K8335"/>
      <c r="O8335"/>
      <c r="R8335"/>
      <c r="W8335" s="4"/>
      <c r="X8335" s="4"/>
      <c r="Y8335" s="4"/>
    </row>
    <row r="8336" spans="5:25">
      <c r="E8336"/>
      <c r="G8336"/>
      <c r="H8336"/>
      <c r="I8336"/>
      <c r="K8336"/>
      <c r="O8336"/>
      <c r="R8336"/>
      <c r="W8336" s="4"/>
      <c r="X8336" s="4"/>
      <c r="Y8336" s="4"/>
    </row>
    <row r="8337" spans="5:25">
      <c r="E8337"/>
      <c r="G8337"/>
      <c r="H8337"/>
      <c r="I8337"/>
      <c r="K8337"/>
      <c r="O8337"/>
      <c r="R8337"/>
      <c r="W8337" s="4"/>
      <c r="X8337" s="4"/>
      <c r="Y8337" s="4"/>
    </row>
    <row r="8338" spans="5:25">
      <c r="E8338"/>
      <c r="G8338"/>
      <c r="H8338"/>
      <c r="I8338"/>
      <c r="K8338"/>
      <c r="O8338"/>
      <c r="R8338"/>
      <c r="W8338" s="4"/>
      <c r="X8338" s="4"/>
      <c r="Y8338" s="4"/>
    </row>
    <row r="8339" spans="5:25">
      <c r="E8339"/>
      <c r="G8339"/>
      <c r="H8339"/>
      <c r="I8339"/>
      <c r="K8339"/>
      <c r="O8339"/>
      <c r="R8339"/>
      <c r="W8339" s="4"/>
      <c r="X8339" s="4"/>
      <c r="Y8339" s="4"/>
    </row>
    <row r="8340" spans="5:25">
      <c r="E8340"/>
      <c r="G8340"/>
      <c r="H8340"/>
      <c r="I8340"/>
      <c r="K8340"/>
      <c r="O8340"/>
      <c r="R8340"/>
      <c r="W8340" s="4"/>
      <c r="X8340" s="4"/>
      <c r="Y8340" s="4"/>
    </row>
    <row r="8341" spans="5:25">
      <c r="E8341"/>
      <c r="G8341"/>
      <c r="H8341"/>
      <c r="I8341"/>
      <c r="K8341"/>
      <c r="O8341"/>
      <c r="R8341"/>
      <c r="W8341" s="4"/>
      <c r="X8341" s="4"/>
      <c r="Y8341" s="4"/>
    </row>
    <row r="8342" spans="5:25">
      <c r="E8342"/>
      <c r="G8342"/>
      <c r="H8342"/>
      <c r="I8342"/>
      <c r="K8342"/>
      <c r="O8342"/>
      <c r="R8342"/>
      <c r="W8342" s="4"/>
      <c r="X8342" s="4"/>
      <c r="Y8342" s="4"/>
    </row>
    <row r="8343" spans="5:25">
      <c r="E8343"/>
      <c r="G8343"/>
      <c r="H8343"/>
      <c r="I8343"/>
      <c r="K8343"/>
      <c r="O8343"/>
      <c r="R8343"/>
      <c r="W8343" s="4"/>
      <c r="X8343" s="4"/>
      <c r="Y8343" s="4"/>
    </row>
    <row r="8344" spans="5:25">
      <c r="E8344"/>
      <c r="G8344"/>
      <c r="H8344"/>
      <c r="I8344"/>
      <c r="K8344"/>
      <c r="O8344"/>
      <c r="R8344"/>
      <c r="W8344" s="4"/>
      <c r="X8344" s="4"/>
      <c r="Y8344" s="4"/>
    </row>
    <row r="8345" spans="5:25">
      <c r="E8345"/>
      <c r="G8345"/>
      <c r="H8345"/>
      <c r="I8345"/>
      <c r="K8345"/>
      <c r="O8345"/>
      <c r="R8345"/>
      <c r="W8345" s="4"/>
      <c r="X8345" s="4"/>
      <c r="Y8345" s="4"/>
    </row>
    <row r="8346" spans="5:25">
      <c r="E8346"/>
      <c r="G8346"/>
      <c r="H8346"/>
      <c r="I8346"/>
      <c r="K8346"/>
      <c r="O8346"/>
      <c r="R8346"/>
      <c r="W8346" s="4"/>
      <c r="X8346" s="4"/>
      <c r="Y8346" s="4"/>
    </row>
    <row r="8347" spans="5:25">
      <c r="E8347"/>
      <c r="G8347"/>
      <c r="H8347"/>
      <c r="I8347"/>
      <c r="K8347"/>
      <c r="O8347"/>
      <c r="R8347"/>
      <c r="W8347" s="4"/>
      <c r="X8347" s="4"/>
      <c r="Y8347" s="4"/>
    </row>
    <row r="8348" spans="5:25">
      <c r="E8348"/>
      <c r="G8348"/>
      <c r="H8348"/>
      <c r="I8348"/>
      <c r="K8348"/>
      <c r="O8348"/>
      <c r="R8348"/>
      <c r="W8348" s="4"/>
      <c r="X8348" s="4"/>
      <c r="Y8348" s="4"/>
    </row>
    <row r="8349" spans="5:25">
      <c r="E8349"/>
      <c r="G8349"/>
      <c r="H8349"/>
      <c r="I8349"/>
      <c r="K8349"/>
      <c r="O8349"/>
      <c r="R8349"/>
      <c r="W8349" s="4"/>
      <c r="X8349" s="4"/>
      <c r="Y8349" s="4"/>
    </row>
    <row r="8350" spans="5:25">
      <c r="E8350"/>
      <c r="G8350"/>
      <c r="H8350"/>
      <c r="I8350"/>
      <c r="K8350"/>
      <c r="O8350"/>
      <c r="R8350"/>
      <c r="W8350" s="4"/>
      <c r="X8350" s="4"/>
      <c r="Y8350" s="4"/>
    </row>
    <row r="8351" spans="5:25">
      <c r="E8351"/>
      <c r="G8351"/>
      <c r="H8351"/>
      <c r="I8351"/>
      <c r="K8351"/>
      <c r="O8351"/>
      <c r="R8351"/>
      <c r="W8351" s="4"/>
      <c r="X8351" s="4"/>
      <c r="Y8351" s="4"/>
    </row>
    <row r="8352" spans="5:25">
      <c r="E8352"/>
      <c r="G8352"/>
      <c r="H8352"/>
      <c r="I8352"/>
      <c r="K8352"/>
      <c r="O8352"/>
      <c r="R8352"/>
      <c r="W8352" s="4"/>
      <c r="X8352" s="4"/>
      <c r="Y8352" s="4"/>
    </row>
    <row r="8353" spans="5:25">
      <c r="E8353"/>
      <c r="G8353"/>
      <c r="H8353"/>
      <c r="I8353"/>
      <c r="K8353"/>
      <c r="O8353"/>
      <c r="R8353"/>
      <c r="W8353" s="4"/>
      <c r="X8353" s="4"/>
      <c r="Y8353" s="4"/>
    </row>
    <row r="8354" spans="5:25">
      <c r="E8354"/>
      <c r="G8354"/>
      <c r="H8354"/>
      <c r="I8354"/>
      <c r="K8354"/>
      <c r="O8354"/>
      <c r="R8354"/>
      <c r="W8354" s="4"/>
      <c r="X8354" s="4"/>
      <c r="Y8354" s="4"/>
    </row>
    <row r="8355" spans="5:25">
      <c r="E8355"/>
      <c r="G8355"/>
      <c r="H8355"/>
      <c r="I8355"/>
      <c r="K8355"/>
      <c r="O8355"/>
      <c r="R8355"/>
      <c r="W8355" s="4"/>
      <c r="X8355" s="4"/>
      <c r="Y8355" s="4"/>
    </row>
    <row r="8356" spans="5:25">
      <c r="E8356"/>
      <c r="G8356"/>
      <c r="H8356"/>
      <c r="I8356"/>
      <c r="K8356"/>
      <c r="O8356"/>
      <c r="R8356"/>
      <c r="W8356" s="4"/>
      <c r="X8356" s="4"/>
      <c r="Y8356" s="4"/>
    </row>
    <row r="8357" spans="5:25">
      <c r="E8357"/>
      <c r="G8357"/>
      <c r="H8357"/>
      <c r="I8357"/>
      <c r="K8357"/>
      <c r="O8357"/>
      <c r="R8357"/>
      <c r="W8357" s="4"/>
      <c r="X8357" s="4"/>
      <c r="Y8357" s="4"/>
    </row>
    <row r="8358" spans="5:25">
      <c r="E8358"/>
      <c r="G8358"/>
      <c r="H8358"/>
      <c r="I8358"/>
      <c r="K8358"/>
      <c r="O8358"/>
      <c r="R8358"/>
      <c r="W8358" s="4"/>
      <c r="X8358" s="4"/>
      <c r="Y8358" s="4"/>
    </row>
    <row r="8359" spans="5:25">
      <c r="E8359"/>
      <c r="G8359"/>
      <c r="H8359"/>
      <c r="I8359"/>
      <c r="K8359"/>
      <c r="O8359"/>
      <c r="R8359"/>
      <c r="W8359" s="4"/>
      <c r="X8359" s="4"/>
      <c r="Y8359" s="4"/>
    </row>
    <row r="8360" spans="5:25">
      <c r="E8360"/>
      <c r="G8360"/>
      <c r="H8360"/>
      <c r="I8360"/>
      <c r="K8360"/>
      <c r="O8360"/>
      <c r="R8360"/>
      <c r="W8360" s="4"/>
      <c r="X8360" s="4"/>
      <c r="Y8360" s="4"/>
    </row>
    <row r="8361" spans="5:25">
      <c r="E8361"/>
      <c r="G8361"/>
      <c r="H8361"/>
      <c r="I8361"/>
      <c r="K8361"/>
      <c r="O8361"/>
      <c r="R8361"/>
      <c r="W8361" s="4"/>
      <c r="X8361" s="4"/>
      <c r="Y8361" s="4"/>
    </row>
    <row r="8362" spans="5:25">
      <c r="E8362"/>
      <c r="G8362"/>
      <c r="H8362"/>
      <c r="I8362"/>
      <c r="K8362"/>
      <c r="O8362"/>
      <c r="R8362"/>
      <c r="W8362" s="4"/>
      <c r="X8362" s="4"/>
      <c r="Y8362" s="4"/>
    </row>
    <row r="8363" spans="5:25">
      <c r="E8363"/>
      <c r="G8363"/>
      <c r="H8363"/>
      <c r="I8363"/>
      <c r="K8363"/>
      <c r="O8363"/>
      <c r="R8363"/>
      <c r="W8363" s="4"/>
      <c r="X8363" s="4"/>
      <c r="Y8363" s="4"/>
    </row>
    <row r="8364" spans="5:25">
      <c r="E8364"/>
      <c r="G8364"/>
      <c r="H8364"/>
      <c r="I8364"/>
      <c r="K8364"/>
      <c r="O8364"/>
      <c r="R8364"/>
      <c r="W8364" s="4"/>
      <c r="X8364" s="4"/>
      <c r="Y8364" s="4"/>
    </row>
    <row r="8365" spans="5:25">
      <c r="E8365"/>
      <c r="G8365"/>
      <c r="H8365"/>
      <c r="I8365"/>
      <c r="K8365"/>
      <c r="O8365"/>
      <c r="R8365"/>
      <c r="W8365" s="4"/>
      <c r="X8365" s="4"/>
      <c r="Y8365" s="4"/>
    </row>
    <row r="8366" spans="5:25">
      <c r="E8366"/>
      <c r="G8366"/>
      <c r="H8366"/>
      <c r="I8366"/>
      <c r="K8366"/>
      <c r="O8366"/>
      <c r="R8366"/>
      <c r="W8366" s="4"/>
      <c r="X8366" s="4"/>
      <c r="Y8366" s="4"/>
    </row>
    <row r="8367" spans="5:25">
      <c r="E8367"/>
      <c r="G8367"/>
      <c r="H8367"/>
      <c r="I8367"/>
      <c r="K8367"/>
      <c r="O8367"/>
      <c r="R8367"/>
      <c r="W8367" s="4"/>
      <c r="X8367" s="4"/>
      <c r="Y8367" s="4"/>
    </row>
    <row r="8368" spans="5:25">
      <c r="E8368"/>
      <c r="G8368"/>
      <c r="H8368"/>
      <c r="I8368"/>
      <c r="K8368"/>
      <c r="O8368"/>
      <c r="R8368"/>
      <c r="W8368" s="4"/>
      <c r="X8368" s="4"/>
      <c r="Y8368" s="4"/>
    </row>
    <row r="8369" spans="5:25">
      <c r="E8369"/>
      <c r="G8369"/>
      <c r="H8369"/>
      <c r="I8369"/>
      <c r="K8369"/>
      <c r="O8369"/>
      <c r="R8369"/>
      <c r="W8369" s="4"/>
      <c r="X8369" s="4"/>
      <c r="Y8369" s="4"/>
    </row>
    <row r="8370" spans="5:25">
      <c r="E8370"/>
      <c r="G8370"/>
      <c r="H8370"/>
      <c r="I8370"/>
      <c r="K8370"/>
      <c r="O8370"/>
      <c r="R8370"/>
      <c r="W8370" s="4"/>
      <c r="X8370" s="4"/>
      <c r="Y8370" s="4"/>
    </row>
    <row r="8371" spans="5:25">
      <c r="E8371"/>
      <c r="G8371"/>
      <c r="H8371"/>
      <c r="I8371"/>
      <c r="K8371"/>
      <c r="O8371"/>
      <c r="R8371"/>
      <c r="W8371" s="4"/>
      <c r="X8371" s="4"/>
      <c r="Y8371" s="4"/>
    </row>
    <row r="8372" spans="5:25">
      <c r="E8372"/>
      <c r="G8372"/>
      <c r="H8372"/>
      <c r="I8372"/>
      <c r="K8372"/>
      <c r="O8372"/>
      <c r="R8372"/>
      <c r="W8372" s="4"/>
      <c r="X8372" s="4"/>
      <c r="Y8372" s="4"/>
    </row>
    <row r="8373" spans="5:25">
      <c r="E8373"/>
      <c r="G8373"/>
      <c r="H8373"/>
      <c r="I8373"/>
      <c r="K8373"/>
      <c r="O8373"/>
      <c r="R8373"/>
      <c r="W8373" s="4"/>
      <c r="X8373" s="4"/>
      <c r="Y8373" s="4"/>
    </row>
    <row r="8374" spans="5:25">
      <c r="E8374"/>
      <c r="G8374"/>
      <c r="H8374"/>
      <c r="I8374"/>
      <c r="K8374"/>
      <c r="O8374"/>
      <c r="R8374"/>
      <c r="W8374" s="4"/>
      <c r="X8374" s="4"/>
      <c r="Y8374" s="4"/>
    </row>
    <row r="8375" spans="5:25">
      <c r="E8375"/>
      <c r="G8375"/>
      <c r="H8375"/>
      <c r="I8375"/>
      <c r="K8375"/>
      <c r="O8375"/>
      <c r="R8375"/>
      <c r="W8375" s="4"/>
      <c r="X8375" s="4"/>
      <c r="Y8375" s="4"/>
    </row>
    <row r="8376" spans="5:25">
      <c r="E8376"/>
      <c r="G8376"/>
      <c r="H8376"/>
      <c r="I8376"/>
      <c r="K8376"/>
      <c r="O8376"/>
      <c r="R8376"/>
      <c r="W8376" s="4"/>
      <c r="X8376" s="4"/>
      <c r="Y8376" s="4"/>
    </row>
    <row r="8377" spans="5:25">
      <c r="E8377"/>
      <c r="G8377"/>
      <c r="H8377"/>
      <c r="I8377"/>
      <c r="K8377"/>
      <c r="O8377"/>
      <c r="R8377"/>
      <c r="W8377" s="4"/>
      <c r="X8377" s="4"/>
      <c r="Y8377" s="4"/>
    </row>
    <row r="8378" spans="5:25">
      <c r="E8378"/>
      <c r="G8378"/>
      <c r="H8378"/>
      <c r="I8378"/>
      <c r="K8378"/>
      <c r="O8378"/>
      <c r="R8378"/>
      <c r="W8378" s="4"/>
      <c r="X8378" s="4"/>
      <c r="Y8378" s="4"/>
    </row>
    <row r="8379" spans="5:25">
      <c r="E8379"/>
      <c r="G8379"/>
      <c r="H8379"/>
      <c r="I8379"/>
      <c r="K8379"/>
      <c r="O8379"/>
      <c r="R8379"/>
      <c r="W8379" s="4"/>
      <c r="X8379" s="4"/>
      <c r="Y8379" s="4"/>
    </row>
    <row r="8380" spans="5:25">
      <c r="E8380"/>
      <c r="G8380"/>
      <c r="H8380"/>
      <c r="I8380"/>
      <c r="K8380"/>
      <c r="O8380"/>
      <c r="R8380"/>
      <c r="W8380" s="4"/>
      <c r="X8380" s="4"/>
      <c r="Y8380" s="4"/>
    </row>
    <row r="8381" spans="5:25">
      <c r="E8381"/>
      <c r="G8381"/>
      <c r="H8381"/>
      <c r="I8381"/>
      <c r="K8381"/>
      <c r="O8381"/>
      <c r="R8381"/>
      <c r="W8381" s="4"/>
      <c r="X8381" s="4"/>
      <c r="Y8381" s="4"/>
    </row>
    <row r="8382" spans="5:25">
      <c r="E8382"/>
      <c r="G8382"/>
      <c r="H8382"/>
      <c r="I8382"/>
      <c r="K8382"/>
      <c r="O8382"/>
      <c r="R8382"/>
      <c r="W8382" s="4"/>
      <c r="X8382" s="4"/>
      <c r="Y8382" s="4"/>
    </row>
    <row r="8383" spans="5:25">
      <c r="E8383"/>
      <c r="G8383"/>
      <c r="H8383"/>
      <c r="I8383"/>
      <c r="K8383"/>
      <c r="O8383"/>
      <c r="R8383"/>
      <c r="W8383" s="4"/>
      <c r="X8383" s="4"/>
      <c r="Y8383" s="4"/>
    </row>
    <row r="8384" spans="5:25">
      <c r="E8384"/>
      <c r="G8384"/>
      <c r="H8384"/>
      <c r="I8384"/>
      <c r="K8384"/>
      <c r="O8384"/>
      <c r="R8384"/>
      <c r="W8384" s="4"/>
      <c r="X8384" s="4"/>
      <c r="Y8384" s="4"/>
    </row>
    <row r="8385" spans="5:25">
      <c r="E8385"/>
      <c r="G8385"/>
      <c r="H8385"/>
      <c r="I8385"/>
      <c r="K8385"/>
      <c r="O8385"/>
      <c r="R8385"/>
      <c r="W8385" s="4"/>
      <c r="X8385" s="4"/>
      <c r="Y8385" s="4"/>
    </row>
    <row r="8386" spans="5:25">
      <c r="E8386"/>
      <c r="G8386"/>
      <c r="H8386"/>
      <c r="I8386"/>
      <c r="K8386"/>
      <c r="O8386"/>
      <c r="R8386"/>
      <c r="W8386" s="4"/>
      <c r="X8386" s="4"/>
      <c r="Y8386" s="4"/>
    </row>
    <row r="8387" spans="5:25">
      <c r="E8387"/>
      <c r="G8387"/>
      <c r="H8387"/>
      <c r="I8387"/>
      <c r="K8387"/>
      <c r="O8387"/>
      <c r="R8387"/>
      <c r="W8387" s="4"/>
      <c r="X8387" s="4"/>
      <c r="Y8387" s="4"/>
    </row>
    <row r="8388" spans="5:25">
      <c r="E8388"/>
      <c r="G8388"/>
      <c r="H8388"/>
      <c r="I8388"/>
      <c r="K8388"/>
      <c r="O8388"/>
      <c r="R8388"/>
      <c r="W8388" s="4"/>
      <c r="X8388" s="4"/>
      <c r="Y8388" s="4"/>
    </row>
    <row r="8389" spans="5:25">
      <c r="E8389"/>
      <c r="G8389"/>
      <c r="H8389"/>
      <c r="I8389"/>
      <c r="K8389"/>
      <c r="O8389"/>
      <c r="R8389"/>
      <c r="W8389" s="4"/>
      <c r="X8389" s="4"/>
      <c r="Y8389" s="4"/>
    </row>
    <row r="8390" spans="5:25">
      <c r="E8390"/>
      <c r="G8390"/>
      <c r="H8390"/>
      <c r="I8390"/>
      <c r="K8390"/>
      <c r="O8390"/>
      <c r="R8390"/>
      <c r="W8390" s="4"/>
      <c r="X8390" s="4"/>
      <c r="Y8390" s="4"/>
    </row>
    <row r="8391" spans="5:25">
      <c r="E8391"/>
      <c r="G8391"/>
      <c r="H8391"/>
      <c r="I8391"/>
      <c r="K8391"/>
      <c r="O8391"/>
      <c r="R8391"/>
      <c r="W8391" s="4"/>
      <c r="X8391" s="4"/>
      <c r="Y8391" s="4"/>
    </row>
    <row r="8392" spans="5:25">
      <c r="E8392"/>
      <c r="G8392"/>
      <c r="H8392"/>
      <c r="I8392"/>
      <c r="K8392"/>
      <c r="O8392"/>
      <c r="R8392"/>
      <c r="W8392" s="4"/>
      <c r="X8392" s="4"/>
      <c r="Y8392" s="4"/>
    </row>
    <row r="8393" spans="5:25">
      <c r="E8393"/>
      <c r="G8393"/>
      <c r="H8393"/>
      <c r="I8393"/>
      <c r="K8393"/>
      <c r="O8393"/>
      <c r="R8393"/>
      <c r="W8393" s="4"/>
      <c r="X8393" s="4"/>
      <c r="Y8393" s="4"/>
    </row>
    <row r="8394" spans="5:25">
      <c r="E8394"/>
      <c r="G8394"/>
      <c r="H8394"/>
      <c r="I8394"/>
      <c r="K8394"/>
      <c r="O8394"/>
      <c r="R8394"/>
      <c r="W8394" s="4"/>
      <c r="X8394" s="4"/>
      <c r="Y8394" s="4"/>
    </row>
    <row r="8395" spans="5:25">
      <c r="E8395"/>
      <c r="G8395"/>
      <c r="H8395"/>
      <c r="I8395"/>
      <c r="K8395"/>
      <c r="O8395"/>
      <c r="R8395"/>
      <c r="W8395" s="4"/>
      <c r="X8395" s="4"/>
      <c r="Y8395" s="4"/>
    </row>
    <row r="8396" spans="5:25">
      <c r="E8396"/>
      <c r="G8396"/>
      <c r="H8396"/>
      <c r="I8396"/>
      <c r="K8396"/>
      <c r="O8396"/>
      <c r="R8396"/>
      <c r="W8396" s="4"/>
      <c r="X8396" s="4"/>
      <c r="Y8396" s="4"/>
    </row>
    <row r="8397" spans="5:25">
      <c r="E8397"/>
      <c r="G8397"/>
      <c r="H8397"/>
      <c r="I8397"/>
      <c r="K8397"/>
      <c r="O8397"/>
      <c r="R8397"/>
      <c r="W8397" s="4"/>
      <c r="X8397" s="4"/>
      <c r="Y8397" s="4"/>
    </row>
    <row r="8398" spans="5:25">
      <c r="E8398"/>
      <c r="G8398"/>
      <c r="H8398"/>
      <c r="I8398"/>
      <c r="K8398"/>
      <c r="O8398"/>
      <c r="R8398"/>
      <c r="W8398" s="4"/>
      <c r="X8398" s="4"/>
      <c r="Y8398" s="4"/>
    </row>
    <row r="8399" spans="5:25">
      <c r="E8399"/>
      <c r="G8399"/>
      <c r="H8399"/>
      <c r="I8399"/>
      <c r="K8399"/>
      <c r="O8399"/>
      <c r="R8399"/>
      <c r="W8399" s="4"/>
      <c r="X8399" s="4"/>
      <c r="Y8399" s="4"/>
    </row>
    <row r="8400" spans="5:25">
      <c r="E8400"/>
      <c r="G8400"/>
      <c r="H8400"/>
      <c r="I8400"/>
      <c r="K8400"/>
      <c r="O8400"/>
      <c r="R8400"/>
      <c r="W8400" s="4"/>
      <c r="X8400" s="4"/>
      <c r="Y8400" s="4"/>
    </row>
    <row r="8401" spans="5:25">
      <c r="E8401"/>
      <c r="G8401"/>
      <c r="H8401"/>
      <c r="I8401"/>
      <c r="K8401"/>
      <c r="O8401"/>
      <c r="R8401"/>
      <c r="W8401" s="4"/>
      <c r="X8401" s="4"/>
      <c r="Y8401" s="4"/>
    </row>
    <row r="8402" spans="5:25">
      <c r="E8402"/>
      <c r="G8402"/>
      <c r="H8402"/>
      <c r="I8402"/>
      <c r="K8402"/>
      <c r="O8402"/>
      <c r="R8402"/>
      <c r="W8402" s="4"/>
      <c r="X8402" s="4"/>
      <c r="Y8402" s="4"/>
    </row>
    <row r="8403" spans="5:25">
      <c r="E8403"/>
      <c r="G8403"/>
      <c r="H8403"/>
      <c r="I8403"/>
      <c r="K8403"/>
      <c r="O8403"/>
      <c r="R8403"/>
      <c r="W8403" s="4"/>
      <c r="X8403" s="4"/>
      <c r="Y8403" s="4"/>
    </row>
    <row r="8404" spans="5:25">
      <c r="E8404"/>
      <c r="G8404"/>
      <c r="H8404"/>
      <c r="I8404"/>
      <c r="K8404"/>
      <c r="O8404"/>
      <c r="R8404"/>
      <c r="W8404" s="4"/>
      <c r="X8404" s="4"/>
      <c r="Y8404" s="4"/>
    </row>
    <row r="8405" spans="5:25">
      <c r="E8405"/>
      <c r="G8405"/>
      <c r="H8405"/>
      <c r="I8405"/>
      <c r="K8405"/>
      <c r="O8405"/>
      <c r="R8405"/>
      <c r="W8405" s="4"/>
      <c r="X8405" s="4"/>
      <c r="Y8405" s="4"/>
    </row>
    <row r="8406" spans="5:25">
      <c r="E8406"/>
      <c r="G8406"/>
      <c r="H8406"/>
      <c r="I8406"/>
      <c r="K8406"/>
      <c r="O8406"/>
      <c r="R8406"/>
      <c r="W8406" s="4"/>
      <c r="X8406" s="4"/>
      <c r="Y8406" s="4"/>
    </row>
    <row r="8407" spans="5:25">
      <c r="E8407"/>
      <c r="G8407"/>
      <c r="H8407"/>
      <c r="I8407"/>
      <c r="K8407"/>
      <c r="O8407"/>
      <c r="R8407"/>
      <c r="W8407" s="4"/>
      <c r="X8407" s="4"/>
      <c r="Y8407" s="4"/>
    </row>
    <row r="8408" spans="5:25">
      <c r="E8408"/>
      <c r="G8408"/>
      <c r="H8408"/>
      <c r="I8408"/>
      <c r="K8408"/>
      <c r="O8408"/>
      <c r="R8408"/>
      <c r="W8408" s="4"/>
      <c r="X8408" s="4"/>
      <c r="Y8408" s="4"/>
    </row>
    <row r="8409" spans="5:25">
      <c r="E8409"/>
      <c r="G8409"/>
      <c r="H8409"/>
      <c r="I8409"/>
      <c r="K8409"/>
      <c r="O8409"/>
      <c r="R8409"/>
      <c r="W8409" s="4"/>
      <c r="X8409" s="4"/>
      <c r="Y8409" s="4"/>
    </row>
    <row r="8410" spans="5:25">
      <c r="E8410"/>
      <c r="G8410"/>
      <c r="H8410"/>
      <c r="I8410"/>
      <c r="K8410"/>
      <c r="O8410"/>
      <c r="R8410"/>
      <c r="W8410" s="4"/>
      <c r="X8410" s="4"/>
      <c r="Y8410" s="4"/>
    </row>
    <row r="8411" spans="5:25">
      <c r="E8411"/>
      <c r="G8411"/>
      <c r="H8411"/>
      <c r="I8411"/>
      <c r="K8411"/>
      <c r="O8411"/>
      <c r="R8411"/>
      <c r="W8411" s="4"/>
      <c r="X8411" s="4"/>
      <c r="Y8411" s="4"/>
    </row>
    <row r="8412" spans="5:25">
      <c r="E8412"/>
      <c r="G8412"/>
      <c r="H8412"/>
      <c r="I8412"/>
      <c r="K8412"/>
      <c r="O8412"/>
      <c r="R8412"/>
      <c r="W8412" s="4"/>
      <c r="X8412" s="4"/>
      <c r="Y8412" s="4"/>
    </row>
    <row r="8413" spans="5:25">
      <c r="E8413"/>
      <c r="G8413"/>
      <c r="H8413"/>
      <c r="I8413"/>
      <c r="K8413"/>
      <c r="O8413"/>
      <c r="R8413"/>
      <c r="W8413" s="4"/>
      <c r="X8413" s="4"/>
      <c r="Y8413" s="4"/>
    </row>
    <row r="8414" spans="5:25">
      <c r="E8414"/>
      <c r="G8414"/>
      <c r="H8414"/>
      <c r="I8414"/>
      <c r="K8414"/>
      <c r="O8414"/>
      <c r="R8414"/>
      <c r="W8414" s="4"/>
      <c r="X8414" s="4"/>
      <c r="Y8414" s="4"/>
    </row>
    <row r="8415" spans="5:25">
      <c r="E8415"/>
      <c r="G8415"/>
      <c r="H8415"/>
      <c r="I8415"/>
      <c r="K8415"/>
      <c r="O8415"/>
      <c r="R8415"/>
      <c r="W8415" s="4"/>
      <c r="X8415" s="4"/>
      <c r="Y8415" s="4"/>
    </row>
    <row r="8416" spans="5:25">
      <c r="E8416"/>
      <c r="G8416"/>
      <c r="H8416"/>
      <c r="I8416"/>
      <c r="K8416"/>
      <c r="O8416"/>
      <c r="R8416"/>
      <c r="W8416" s="4"/>
      <c r="X8416" s="4"/>
      <c r="Y8416" s="4"/>
    </row>
    <row r="8417" spans="5:25">
      <c r="E8417"/>
      <c r="G8417"/>
      <c r="H8417"/>
      <c r="I8417"/>
      <c r="K8417"/>
      <c r="O8417"/>
      <c r="R8417"/>
      <c r="W8417" s="4"/>
      <c r="X8417" s="4"/>
      <c r="Y8417" s="4"/>
    </row>
    <row r="8418" spans="5:25">
      <c r="E8418"/>
      <c r="G8418"/>
      <c r="H8418"/>
      <c r="I8418"/>
      <c r="K8418"/>
      <c r="O8418"/>
      <c r="R8418"/>
      <c r="W8418" s="4"/>
      <c r="X8418" s="4"/>
      <c r="Y8418" s="4"/>
    </row>
    <row r="8419" spans="5:25">
      <c r="E8419"/>
      <c r="G8419"/>
      <c r="H8419"/>
      <c r="I8419"/>
      <c r="K8419"/>
      <c r="O8419"/>
      <c r="R8419"/>
      <c r="W8419" s="4"/>
      <c r="X8419" s="4"/>
      <c r="Y8419" s="4"/>
    </row>
    <row r="8420" spans="5:25">
      <c r="E8420"/>
      <c r="G8420"/>
      <c r="H8420"/>
      <c r="I8420"/>
      <c r="K8420"/>
      <c r="O8420"/>
      <c r="R8420"/>
      <c r="W8420" s="4"/>
      <c r="X8420" s="4"/>
      <c r="Y8420" s="4"/>
    </row>
    <row r="8421" spans="5:25">
      <c r="E8421"/>
      <c r="G8421"/>
      <c r="H8421"/>
      <c r="I8421"/>
      <c r="K8421"/>
      <c r="O8421"/>
      <c r="R8421"/>
      <c r="W8421" s="4"/>
      <c r="X8421" s="4"/>
      <c r="Y8421" s="4"/>
    </row>
    <row r="8422" spans="5:25">
      <c r="E8422"/>
      <c r="G8422"/>
      <c r="H8422"/>
      <c r="I8422"/>
      <c r="K8422"/>
      <c r="O8422"/>
      <c r="R8422"/>
      <c r="W8422" s="4"/>
      <c r="X8422" s="4"/>
      <c r="Y8422" s="4"/>
    </row>
    <row r="8423" spans="5:25">
      <c r="E8423"/>
      <c r="G8423"/>
      <c r="H8423"/>
      <c r="I8423"/>
      <c r="K8423"/>
      <c r="O8423"/>
      <c r="R8423"/>
      <c r="W8423" s="4"/>
      <c r="X8423" s="4"/>
      <c r="Y8423" s="4"/>
    </row>
    <row r="8424" spans="5:25">
      <c r="E8424"/>
      <c r="G8424"/>
      <c r="H8424"/>
      <c r="I8424"/>
      <c r="K8424"/>
      <c r="O8424"/>
      <c r="R8424"/>
      <c r="W8424" s="4"/>
      <c r="X8424" s="4"/>
      <c r="Y8424" s="4"/>
    </row>
    <row r="8425" spans="5:25">
      <c r="E8425"/>
      <c r="G8425"/>
      <c r="H8425"/>
      <c r="I8425"/>
      <c r="K8425"/>
      <c r="O8425"/>
      <c r="R8425"/>
      <c r="W8425" s="4"/>
      <c r="X8425" s="4"/>
      <c r="Y8425" s="4"/>
    </row>
    <row r="8426" spans="5:25">
      <c r="E8426"/>
      <c r="G8426"/>
      <c r="H8426"/>
      <c r="I8426"/>
      <c r="K8426"/>
      <c r="O8426"/>
      <c r="R8426"/>
      <c r="W8426" s="4"/>
      <c r="X8426" s="4"/>
      <c r="Y8426" s="4"/>
    </row>
    <row r="8427" spans="5:25">
      <c r="E8427"/>
      <c r="G8427"/>
      <c r="H8427"/>
      <c r="I8427"/>
      <c r="K8427"/>
      <c r="O8427"/>
      <c r="R8427"/>
      <c r="W8427" s="4"/>
      <c r="X8427" s="4"/>
      <c r="Y8427" s="4"/>
    </row>
    <row r="8428" spans="5:25">
      <c r="E8428"/>
      <c r="G8428"/>
      <c r="H8428"/>
      <c r="I8428"/>
      <c r="K8428"/>
      <c r="O8428"/>
      <c r="R8428"/>
      <c r="W8428" s="4"/>
      <c r="X8428" s="4"/>
      <c r="Y8428" s="4"/>
    </row>
    <row r="8429" spans="5:25">
      <c r="E8429"/>
      <c r="G8429"/>
      <c r="H8429"/>
      <c r="I8429"/>
      <c r="K8429"/>
      <c r="O8429"/>
      <c r="R8429"/>
      <c r="W8429" s="4"/>
      <c r="X8429" s="4"/>
      <c r="Y8429" s="4"/>
    </row>
    <row r="8430" spans="5:25">
      <c r="E8430"/>
      <c r="G8430"/>
      <c r="H8430"/>
      <c r="I8430"/>
      <c r="K8430"/>
      <c r="O8430"/>
      <c r="R8430"/>
      <c r="W8430" s="4"/>
      <c r="X8430" s="4"/>
      <c r="Y8430" s="4"/>
    </row>
    <row r="8431" spans="5:25">
      <c r="E8431"/>
      <c r="G8431"/>
      <c r="H8431"/>
      <c r="I8431"/>
      <c r="K8431"/>
      <c r="O8431"/>
      <c r="R8431"/>
      <c r="W8431" s="4"/>
      <c r="X8431" s="4"/>
      <c r="Y8431" s="4"/>
    </row>
    <row r="8432" spans="5:25">
      <c r="E8432"/>
      <c r="G8432"/>
      <c r="H8432"/>
      <c r="I8432"/>
      <c r="K8432"/>
      <c r="O8432"/>
      <c r="R8432"/>
      <c r="W8432" s="4"/>
      <c r="X8432" s="4"/>
      <c r="Y8432" s="4"/>
    </row>
    <row r="8433" spans="5:25">
      <c r="E8433"/>
      <c r="G8433"/>
      <c r="H8433"/>
      <c r="I8433"/>
      <c r="K8433"/>
      <c r="O8433"/>
      <c r="R8433"/>
      <c r="W8433" s="4"/>
      <c r="X8433" s="4"/>
      <c r="Y8433" s="4"/>
    </row>
    <row r="8434" spans="5:25">
      <c r="E8434"/>
      <c r="G8434"/>
      <c r="H8434"/>
      <c r="I8434"/>
      <c r="K8434"/>
      <c r="O8434"/>
      <c r="R8434"/>
      <c r="W8434" s="4"/>
      <c r="X8434" s="4"/>
      <c r="Y8434" s="4"/>
    </row>
    <row r="8435" spans="5:25">
      <c r="E8435"/>
      <c r="G8435"/>
      <c r="H8435"/>
      <c r="I8435"/>
      <c r="K8435"/>
      <c r="O8435"/>
      <c r="R8435"/>
      <c r="W8435" s="4"/>
      <c r="X8435" s="4"/>
      <c r="Y8435" s="4"/>
    </row>
    <row r="8436" spans="5:25">
      <c r="E8436"/>
      <c r="G8436"/>
      <c r="H8436"/>
      <c r="I8436"/>
      <c r="K8436"/>
      <c r="O8436"/>
      <c r="R8436"/>
      <c r="W8436" s="4"/>
      <c r="X8436" s="4"/>
      <c r="Y8436" s="4"/>
    </row>
    <row r="8437" spans="5:25">
      <c r="E8437"/>
      <c r="G8437"/>
      <c r="H8437"/>
      <c r="I8437"/>
      <c r="K8437"/>
      <c r="O8437"/>
      <c r="R8437"/>
      <c r="W8437" s="4"/>
      <c r="X8437" s="4"/>
      <c r="Y8437" s="4"/>
    </row>
    <row r="8438" spans="5:25">
      <c r="E8438"/>
      <c r="G8438"/>
      <c r="H8438"/>
      <c r="I8438"/>
      <c r="K8438"/>
      <c r="O8438"/>
      <c r="R8438"/>
      <c r="W8438" s="4"/>
      <c r="X8438" s="4"/>
      <c r="Y8438" s="4"/>
    </row>
    <row r="8439" spans="5:25">
      <c r="E8439"/>
      <c r="G8439"/>
      <c r="H8439"/>
      <c r="I8439"/>
      <c r="K8439"/>
      <c r="O8439"/>
      <c r="R8439"/>
      <c r="W8439" s="4"/>
      <c r="X8439" s="4"/>
      <c r="Y8439" s="4"/>
    </row>
    <row r="8440" spans="5:25">
      <c r="E8440"/>
      <c r="G8440"/>
      <c r="H8440"/>
      <c r="I8440"/>
      <c r="K8440"/>
      <c r="O8440"/>
      <c r="R8440"/>
      <c r="W8440" s="4"/>
      <c r="X8440" s="4"/>
      <c r="Y8440" s="4"/>
    </row>
    <row r="8441" spans="5:25">
      <c r="E8441"/>
      <c r="G8441"/>
      <c r="H8441"/>
      <c r="I8441"/>
      <c r="K8441"/>
      <c r="O8441"/>
      <c r="R8441"/>
      <c r="W8441" s="4"/>
      <c r="X8441" s="4"/>
      <c r="Y8441" s="4"/>
    </row>
    <row r="8442" spans="5:25">
      <c r="E8442"/>
      <c r="G8442"/>
      <c r="H8442"/>
      <c r="I8442"/>
      <c r="K8442"/>
      <c r="O8442"/>
      <c r="R8442"/>
      <c r="W8442" s="4"/>
      <c r="X8442" s="4"/>
      <c r="Y8442" s="4"/>
    </row>
    <row r="8443" spans="5:25">
      <c r="E8443"/>
      <c r="G8443"/>
      <c r="H8443"/>
      <c r="I8443"/>
      <c r="K8443"/>
      <c r="O8443"/>
      <c r="R8443"/>
      <c r="W8443" s="4"/>
      <c r="X8443" s="4"/>
      <c r="Y8443" s="4"/>
    </row>
    <row r="8444" spans="5:25">
      <c r="E8444"/>
      <c r="G8444"/>
      <c r="H8444"/>
      <c r="I8444"/>
      <c r="K8444"/>
      <c r="O8444"/>
      <c r="R8444"/>
      <c r="W8444" s="4"/>
      <c r="X8444" s="4"/>
      <c r="Y8444" s="4"/>
    </row>
    <row r="8445" spans="5:25">
      <c r="E8445"/>
      <c r="G8445"/>
      <c r="H8445"/>
      <c r="I8445"/>
      <c r="K8445"/>
      <c r="O8445"/>
      <c r="R8445"/>
      <c r="W8445" s="4"/>
      <c r="X8445" s="4"/>
      <c r="Y8445" s="4"/>
    </row>
    <row r="8446" spans="5:25">
      <c r="E8446"/>
      <c r="G8446"/>
      <c r="H8446"/>
      <c r="I8446"/>
      <c r="K8446"/>
      <c r="O8446"/>
      <c r="R8446"/>
      <c r="W8446" s="4"/>
      <c r="X8446" s="4"/>
      <c r="Y8446" s="4"/>
    </row>
    <row r="8447" spans="5:25">
      <c r="E8447"/>
      <c r="G8447"/>
      <c r="H8447"/>
      <c r="I8447"/>
      <c r="K8447"/>
      <c r="O8447"/>
      <c r="R8447"/>
      <c r="W8447" s="4"/>
      <c r="X8447" s="4"/>
      <c r="Y8447" s="4"/>
    </row>
    <row r="8448" spans="5:25">
      <c r="E8448"/>
      <c r="G8448"/>
      <c r="H8448"/>
      <c r="I8448"/>
      <c r="K8448"/>
      <c r="O8448"/>
      <c r="R8448"/>
      <c r="W8448" s="4"/>
      <c r="X8448" s="4"/>
      <c r="Y8448" s="4"/>
    </row>
    <row r="8449" spans="5:25">
      <c r="E8449"/>
      <c r="G8449"/>
      <c r="H8449"/>
      <c r="I8449"/>
      <c r="K8449"/>
      <c r="O8449"/>
      <c r="R8449"/>
      <c r="W8449" s="4"/>
      <c r="X8449" s="4"/>
      <c r="Y8449" s="4"/>
    </row>
    <row r="8450" spans="5:25">
      <c r="E8450"/>
      <c r="G8450"/>
      <c r="H8450"/>
      <c r="I8450"/>
      <c r="K8450"/>
      <c r="O8450"/>
      <c r="R8450"/>
      <c r="W8450" s="4"/>
      <c r="X8450" s="4"/>
      <c r="Y8450" s="4"/>
    </row>
    <row r="8451" spans="5:25">
      <c r="E8451"/>
      <c r="G8451"/>
      <c r="H8451"/>
      <c r="I8451"/>
      <c r="K8451"/>
      <c r="O8451"/>
      <c r="R8451"/>
      <c r="W8451" s="4"/>
      <c r="X8451" s="4"/>
      <c r="Y8451" s="4"/>
    </row>
    <row r="8452" spans="5:25">
      <c r="E8452"/>
      <c r="G8452"/>
      <c r="H8452"/>
      <c r="I8452"/>
      <c r="K8452"/>
      <c r="O8452"/>
      <c r="R8452"/>
      <c r="W8452" s="4"/>
      <c r="X8452" s="4"/>
      <c r="Y8452" s="4"/>
    </row>
    <row r="8453" spans="5:25">
      <c r="E8453"/>
      <c r="G8453"/>
      <c r="H8453"/>
      <c r="I8453"/>
      <c r="K8453"/>
      <c r="O8453"/>
      <c r="R8453"/>
      <c r="W8453" s="4"/>
      <c r="X8453" s="4"/>
      <c r="Y8453" s="4"/>
    </row>
    <row r="8454" spans="5:25">
      <c r="E8454"/>
      <c r="G8454"/>
      <c r="H8454"/>
      <c r="I8454"/>
      <c r="K8454"/>
      <c r="O8454"/>
      <c r="R8454"/>
      <c r="W8454" s="4"/>
      <c r="X8454" s="4"/>
      <c r="Y8454" s="4"/>
    </row>
    <row r="8455" spans="5:25">
      <c r="E8455"/>
      <c r="G8455"/>
      <c r="H8455"/>
      <c r="I8455"/>
      <c r="K8455"/>
      <c r="O8455"/>
      <c r="R8455"/>
      <c r="W8455" s="4"/>
      <c r="X8455" s="4"/>
      <c r="Y8455" s="4"/>
    </row>
    <row r="8456" spans="5:25">
      <c r="E8456"/>
      <c r="G8456"/>
      <c r="H8456"/>
      <c r="I8456"/>
      <c r="K8456"/>
      <c r="O8456"/>
      <c r="R8456"/>
      <c r="W8456" s="4"/>
      <c r="X8456" s="4"/>
      <c r="Y8456" s="4"/>
    </row>
    <row r="8457" spans="5:25">
      <c r="E8457"/>
      <c r="G8457"/>
      <c r="H8457"/>
      <c r="I8457"/>
      <c r="K8457"/>
      <c r="O8457"/>
      <c r="R8457"/>
      <c r="W8457" s="4"/>
      <c r="X8457" s="4"/>
      <c r="Y8457" s="4"/>
    </row>
    <row r="8458" spans="5:25">
      <c r="E8458"/>
      <c r="G8458"/>
      <c r="H8458"/>
      <c r="I8458"/>
      <c r="K8458"/>
      <c r="O8458"/>
      <c r="R8458"/>
      <c r="W8458" s="4"/>
      <c r="X8458" s="4"/>
      <c r="Y8458" s="4"/>
    </row>
    <row r="8459" spans="5:25">
      <c r="E8459"/>
      <c r="G8459"/>
      <c r="H8459"/>
      <c r="I8459"/>
      <c r="K8459"/>
      <c r="O8459"/>
      <c r="R8459"/>
      <c r="W8459" s="4"/>
      <c r="X8459" s="4"/>
      <c r="Y8459" s="4"/>
    </row>
    <row r="8460" spans="5:25">
      <c r="E8460"/>
      <c r="G8460"/>
      <c r="H8460"/>
      <c r="I8460"/>
      <c r="K8460"/>
      <c r="O8460"/>
      <c r="R8460"/>
      <c r="W8460" s="4"/>
      <c r="X8460" s="4"/>
      <c r="Y8460" s="4"/>
    </row>
    <row r="8461" spans="5:25">
      <c r="E8461"/>
      <c r="G8461"/>
      <c r="H8461"/>
      <c r="I8461"/>
      <c r="K8461"/>
      <c r="O8461"/>
      <c r="R8461"/>
      <c r="W8461" s="4"/>
      <c r="X8461" s="4"/>
      <c r="Y8461" s="4"/>
    </row>
    <row r="8462" spans="5:25">
      <c r="E8462"/>
      <c r="G8462"/>
      <c r="H8462"/>
      <c r="I8462"/>
      <c r="K8462"/>
      <c r="O8462"/>
      <c r="R8462"/>
      <c r="W8462" s="4"/>
      <c r="X8462" s="4"/>
      <c r="Y8462" s="4"/>
    </row>
    <row r="8463" spans="5:25">
      <c r="E8463"/>
      <c r="G8463"/>
      <c r="H8463"/>
      <c r="I8463"/>
      <c r="K8463"/>
      <c r="O8463"/>
      <c r="R8463"/>
      <c r="W8463" s="4"/>
      <c r="X8463" s="4"/>
      <c r="Y8463" s="4"/>
    </row>
    <row r="8464" spans="5:25">
      <c r="E8464"/>
      <c r="G8464"/>
      <c r="H8464"/>
      <c r="I8464"/>
      <c r="K8464"/>
      <c r="O8464"/>
      <c r="R8464"/>
      <c r="W8464" s="4"/>
      <c r="X8464" s="4"/>
      <c r="Y8464" s="4"/>
    </row>
    <row r="8465" spans="5:25">
      <c r="E8465"/>
      <c r="G8465"/>
      <c r="H8465"/>
      <c r="I8465"/>
      <c r="K8465"/>
      <c r="O8465"/>
      <c r="R8465"/>
      <c r="W8465" s="4"/>
      <c r="X8465" s="4"/>
      <c r="Y8465" s="4"/>
    </row>
    <row r="8466" spans="5:25">
      <c r="E8466"/>
      <c r="G8466"/>
      <c r="H8466"/>
      <c r="I8466"/>
      <c r="K8466"/>
      <c r="O8466"/>
      <c r="R8466"/>
      <c r="W8466" s="4"/>
      <c r="X8466" s="4"/>
      <c r="Y8466" s="4"/>
    </row>
    <row r="8467" spans="5:25">
      <c r="E8467"/>
      <c r="G8467"/>
      <c r="H8467"/>
      <c r="I8467"/>
      <c r="K8467"/>
      <c r="O8467"/>
      <c r="R8467"/>
      <c r="W8467" s="4"/>
      <c r="X8467" s="4"/>
      <c r="Y8467" s="4"/>
    </row>
    <row r="8468" spans="5:25">
      <c r="E8468"/>
      <c r="G8468"/>
      <c r="H8468"/>
      <c r="I8468"/>
      <c r="K8468"/>
      <c r="O8468"/>
      <c r="R8468"/>
      <c r="W8468" s="4"/>
      <c r="X8468" s="4"/>
      <c r="Y8468" s="4"/>
    </row>
    <row r="8469" spans="5:25">
      <c r="E8469"/>
      <c r="G8469"/>
      <c r="H8469"/>
      <c r="I8469"/>
      <c r="K8469"/>
      <c r="O8469"/>
      <c r="R8469"/>
      <c r="W8469" s="4"/>
      <c r="X8469" s="4"/>
      <c r="Y8469" s="4"/>
    </row>
    <row r="8470" spans="5:25">
      <c r="E8470"/>
      <c r="G8470"/>
      <c r="H8470"/>
      <c r="I8470"/>
      <c r="K8470"/>
      <c r="O8470"/>
      <c r="R8470"/>
      <c r="W8470" s="4"/>
      <c r="X8470" s="4"/>
      <c r="Y8470" s="4"/>
    </row>
    <row r="8471" spans="5:25">
      <c r="E8471"/>
      <c r="G8471"/>
      <c r="H8471"/>
      <c r="I8471"/>
      <c r="K8471"/>
      <c r="O8471"/>
      <c r="R8471"/>
      <c r="W8471" s="4"/>
      <c r="X8471" s="4"/>
      <c r="Y8471" s="4"/>
    </row>
    <row r="8472" spans="5:25">
      <c r="E8472"/>
      <c r="G8472"/>
      <c r="H8472"/>
      <c r="I8472"/>
      <c r="K8472"/>
      <c r="O8472"/>
      <c r="R8472"/>
      <c r="W8472" s="4"/>
      <c r="X8472" s="4"/>
      <c r="Y8472" s="4"/>
    </row>
    <row r="8473" spans="5:25">
      <c r="E8473"/>
      <c r="G8473"/>
      <c r="H8473"/>
      <c r="I8473"/>
      <c r="K8473"/>
      <c r="O8473"/>
      <c r="R8473"/>
      <c r="W8473" s="4"/>
      <c r="X8473" s="4"/>
      <c r="Y8473" s="4"/>
    </row>
    <row r="8474" spans="5:25">
      <c r="E8474"/>
      <c r="G8474"/>
      <c r="H8474"/>
      <c r="I8474"/>
      <c r="K8474"/>
      <c r="O8474"/>
      <c r="R8474"/>
      <c r="W8474" s="4"/>
      <c r="X8474" s="4"/>
      <c r="Y8474" s="4"/>
    </row>
    <row r="8475" spans="5:25">
      <c r="E8475"/>
      <c r="G8475"/>
      <c r="H8475"/>
      <c r="I8475"/>
      <c r="K8475"/>
      <c r="O8475"/>
      <c r="R8475"/>
      <c r="W8475" s="4"/>
      <c r="X8475" s="4"/>
      <c r="Y8475" s="4"/>
    </row>
    <row r="8476" spans="5:25">
      <c r="E8476"/>
      <c r="G8476"/>
      <c r="H8476"/>
      <c r="I8476"/>
      <c r="K8476"/>
      <c r="O8476"/>
      <c r="R8476"/>
      <c r="W8476" s="4"/>
      <c r="X8476" s="4"/>
      <c r="Y8476" s="4"/>
    </row>
    <row r="8477" spans="5:25">
      <c r="E8477"/>
      <c r="G8477"/>
      <c r="H8477"/>
      <c r="I8477"/>
      <c r="K8477"/>
      <c r="O8477"/>
      <c r="R8477"/>
      <c r="W8477" s="4"/>
      <c r="X8477" s="4"/>
      <c r="Y8477" s="4"/>
    </row>
    <row r="8478" spans="5:25">
      <c r="E8478"/>
      <c r="G8478"/>
      <c r="H8478"/>
      <c r="I8478"/>
      <c r="K8478"/>
      <c r="O8478"/>
      <c r="R8478"/>
      <c r="W8478" s="4"/>
      <c r="X8478" s="4"/>
      <c r="Y8478" s="4"/>
    </row>
    <row r="8479" spans="5:25">
      <c r="E8479"/>
      <c r="G8479"/>
      <c r="H8479"/>
      <c r="I8479"/>
      <c r="K8479"/>
      <c r="O8479"/>
      <c r="R8479"/>
      <c r="W8479" s="4"/>
      <c r="X8479" s="4"/>
      <c r="Y8479" s="4"/>
    </row>
    <row r="8480" spans="5:25">
      <c r="E8480"/>
      <c r="G8480"/>
      <c r="H8480"/>
      <c r="I8480"/>
      <c r="K8480"/>
      <c r="O8480"/>
      <c r="R8480"/>
      <c r="W8480" s="4"/>
      <c r="X8480" s="4"/>
      <c r="Y8480" s="4"/>
    </row>
    <row r="8481" spans="5:25">
      <c r="E8481"/>
      <c r="G8481"/>
      <c r="H8481"/>
      <c r="I8481"/>
      <c r="K8481"/>
      <c r="O8481"/>
      <c r="R8481"/>
      <c r="W8481" s="4"/>
      <c r="X8481" s="4"/>
      <c r="Y8481" s="4"/>
    </row>
    <row r="8482" spans="5:25">
      <c r="E8482"/>
      <c r="G8482"/>
      <c r="H8482"/>
      <c r="I8482"/>
      <c r="K8482"/>
      <c r="O8482"/>
      <c r="R8482"/>
      <c r="W8482" s="4"/>
      <c r="X8482" s="4"/>
      <c r="Y8482" s="4"/>
    </row>
    <row r="8483" spans="5:25">
      <c r="E8483"/>
      <c r="G8483"/>
      <c r="H8483"/>
      <c r="I8483"/>
      <c r="K8483"/>
      <c r="O8483"/>
      <c r="R8483"/>
      <c r="W8483" s="4"/>
      <c r="X8483" s="4"/>
      <c r="Y8483" s="4"/>
    </row>
    <row r="8484" spans="5:25">
      <c r="E8484"/>
      <c r="G8484"/>
      <c r="H8484"/>
      <c r="I8484"/>
      <c r="K8484"/>
      <c r="O8484"/>
      <c r="R8484"/>
      <c r="W8484" s="4"/>
      <c r="X8484" s="4"/>
      <c r="Y8484" s="4"/>
    </row>
    <row r="8485" spans="5:25">
      <c r="E8485"/>
      <c r="G8485"/>
      <c r="H8485"/>
      <c r="I8485"/>
      <c r="K8485"/>
      <c r="O8485"/>
      <c r="R8485"/>
      <c r="W8485" s="4"/>
      <c r="X8485" s="4"/>
      <c r="Y8485" s="4"/>
    </row>
    <row r="8486" spans="5:25">
      <c r="E8486"/>
      <c r="G8486"/>
      <c r="H8486"/>
      <c r="I8486"/>
      <c r="K8486"/>
      <c r="O8486"/>
      <c r="R8486"/>
      <c r="W8486" s="4"/>
      <c r="X8486" s="4"/>
      <c r="Y8486" s="4"/>
    </row>
    <row r="8487" spans="5:25">
      <c r="E8487"/>
      <c r="G8487"/>
      <c r="H8487"/>
      <c r="I8487"/>
      <c r="K8487"/>
      <c r="O8487"/>
      <c r="R8487"/>
      <c r="W8487" s="4"/>
      <c r="X8487" s="4"/>
      <c r="Y8487" s="4"/>
    </row>
    <row r="8488" spans="5:25">
      <c r="E8488"/>
      <c r="G8488"/>
      <c r="H8488"/>
      <c r="I8488"/>
      <c r="K8488"/>
      <c r="O8488"/>
      <c r="R8488"/>
      <c r="W8488" s="4"/>
      <c r="X8488" s="4"/>
      <c r="Y8488" s="4"/>
    </row>
    <row r="8489" spans="5:25">
      <c r="E8489"/>
      <c r="G8489"/>
      <c r="H8489"/>
      <c r="I8489"/>
      <c r="K8489"/>
      <c r="O8489"/>
      <c r="R8489"/>
      <c r="W8489" s="4"/>
      <c r="X8489" s="4"/>
      <c r="Y8489" s="4"/>
    </row>
    <row r="8490" spans="5:25">
      <c r="E8490"/>
      <c r="G8490"/>
      <c r="H8490"/>
      <c r="I8490"/>
      <c r="K8490"/>
      <c r="O8490"/>
      <c r="R8490"/>
      <c r="W8490" s="4"/>
      <c r="X8490" s="4"/>
      <c r="Y8490" s="4"/>
    </row>
    <row r="8491" spans="5:25">
      <c r="E8491"/>
      <c r="G8491"/>
      <c r="H8491"/>
      <c r="I8491"/>
      <c r="K8491"/>
      <c r="O8491"/>
      <c r="R8491"/>
      <c r="W8491" s="4"/>
      <c r="X8491" s="4"/>
      <c r="Y8491" s="4"/>
    </row>
    <row r="8492" spans="5:25">
      <c r="E8492"/>
      <c r="G8492"/>
      <c r="H8492"/>
      <c r="I8492"/>
      <c r="K8492"/>
      <c r="O8492"/>
      <c r="R8492"/>
      <c r="W8492" s="4"/>
      <c r="X8492" s="4"/>
      <c r="Y8492" s="4"/>
    </row>
    <row r="8493" spans="5:25">
      <c r="E8493"/>
      <c r="G8493"/>
      <c r="H8493"/>
      <c r="I8493"/>
      <c r="K8493"/>
      <c r="O8493"/>
      <c r="R8493"/>
      <c r="W8493" s="4"/>
      <c r="X8493" s="4"/>
      <c r="Y8493" s="4"/>
    </row>
    <row r="8494" spans="5:25">
      <c r="E8494"/>
      <c r="G8494"/>
      <c r="H8494"/>
      <c r="I8494"/>
      <c r="K8494"/>
      <c r="O8494"/>
      <c r="R8494"/>
      <c r="W8494" s="4"/>
      <c r="X8494" s="4"/>
      <c r="Y8494" s="4"/>
    </row>
    <row r="8495" spans="5:25">
      <c r="E8495"/>
      <c r="G8495"/>
      <c r="H8495"/>
      <c r="I8495"/>
      <c r="K8495"/>
      <c r="O8495"/>
      <c r="R8495"/>
      <c r="W8495" s="4"/>
      <c r="X8495" s="4"/>
      <c r="Y8495" s="4"/>
    </row>
    <row r="8496" spans="5:25">
      <c r="E8496"/>
      <c r="G8496"/>
      <c r="H8496"/>
      <c r="I8496"/>
      <c r="K8496"/>
      <c r="O8496"/>
      <c r="R8496"/>
      <c r="W8496" s="4"/>
      <c r="X8496" s="4"/>
      <c r="Y8496" s="4"/>
    </row>
    <row r="8497" spans="5:25">
      <c r="E8497"/>
      <c r="G8497"/>
      <c r="H8497"/>
      <c r="I8497"/>
      <c r="K8497"/>
      <c r="O8497"/>
      <c r="R8497"/>
      <c r="W8497" s="4"/>
      <c r="X8497" s="4"/>
      <c r="Y8497" s="4"/>
    </row>
    <row r="8498" spans="5:25">
      <c r="E8498"/>
      <c r="G8498"/>
      <c r="H8498"/>
      <c r="I8498"/>
      <c r="K8498"/>
      <c r="O8498"/>
      <c r="R8498"/>
      <c r="W8498" s="4"/>
      <c r="X8498" s="4"/>
      <c r="Y8498" s="4"/>
    </row>
    <row r="8499" spans="5:25">
      <c r="E8499"/>
      <c r="G8499"/>
      <c r="H8499"/>
      <c r="I8499"/>
      <c r="K8499"/>
      <c r="O8499"/>
      <c r="R8499"/>
      <c r="W8499" s="4"/>
      <c r="X8499" s="4"/>
      <c r="Y8499" s="4"/>
    </row>
    <row r="8500" spans="5:25">
      <c r="E8500"/>
      <c r="G8500"/>
      <c r="H8500"/>
      <c r="I8500"/>
      <c r="K8500"/>
      <c r="O8500"/>
      <c r="R8500"/>
      <c r="W8500" s="4"/>
      <c r="X8500" s="4"/>
      <c r="Y8500" s="4"/>
    </row>
    <row r="8501" spans="5:25">
      <c r="E8501"/>
      <c r="G8501"/>
      <c r="H8501"/>
      <c r="I8501"/>
      <c r="K8501"/>
      <c r="O8501"/>
      <c r="R8501"/>
      <c r="W8501" s="4"/>
      <c r="X8501" s="4"/>
      <c r="Y8501" s="4"/>
    </row>
    <row r="8502" spans="5:25">
      <c r="E8502"/>
      <c r="G8502"/>
      <c r="H8502"/>
      <c r="I8502"/>
      <c r="K8502"/>
      <c r="O8502"/>
      <c r="R8502"/>
      <c r="W8502" s="4"/>
      <c r="X8502" s="4"/>
      <c r="Y8502" s="4"/>
    </row>
    <row r="8503" spans="5:25">
      <c r="E8503"/>
      <c r="G8503"/>
      <c r="H8503"/>
      <c r="I8503"/>
      <c r="K8503"/>
      <c r="O8503"/>
      <c r="R8503"/>
      <c r="W8503" s="4"/>
      <c r="X8503" s="4"/>
      <c r="Y8503" s="4"/>
    </row>
    <row r="8504" spans="5:25">
      <c r="E8504"/>
      <c r="G8504"/>
      <c r="H8504"/>
      <c r="I8504"/>
      <c r="K8504"/>
      <c r="O8504"/>
      <c r="R8504"/>
      <c r="W8504" s="4"/>
      <c r="X8504" s="4"/>
      <c r="Y8504" s="4"/>
    </row>
    <row r="8505" spans="5:25">
      <c r="E8505"/>
      <c r="G8505"/>
      <c r="H8505"/>
      <c r="I8505"/>
      <c r="K8505"/>
      <c r="O8505"/>
      <c r="R8505"/>
      <c r="W8505" s="4"/>
      <c r="X8505" s="4"/>
      <c r="Y8505" s="4"/>
    </row>
    <row r="8506" spans="5:25">
      <c r="E8506"/>
      <c r="G8506"/>
      <c r="H8506"/>
      <c r="I8506"/>
      <c r="K8506"/>
      <c r="O8506"/>
      <c r="R8506"/>
      <c r="W8506" s="4"/>
      <c r="X8506" s="4"/>
      <c r="Y8506" s="4"/>
    </row>
    <row r="8507" spans="5:25">
      <c r="E8507"/>
      <c r="G8507"/>
      <c r="H8507"/>
      <c r="I8507"/>
      <c r="K8507"/>
      <c r="O8507"/>
      <c r="R8507"/>
      <c r="W8507" s="4"/>
      <c r="X8507" s="4"/>
      <c r="Y8507" s="4"/>
    </row>
    <row r="8508" spans="5:25">
      <c r="E8508"/>
      <c r="G8508"/>
      <c r="H8508"/>
      <c r="I8508"/>
      <c r="K8508"/>
      <c r="O8508"/>
      <c r="R8508"/>
      <c r="W8508" s="4"/>
      <c r="X8508" s="4"/>
      <c r="Y8508" s="4"/>
    </row>
    <row r="8509" spans="5:25">
      <c r="E8509"/>
      <c r="G8509"/>
      <c r="H8509"/>
      <c r="I8509"/>
      <c r="K8509"/>
      <c r="O8509"/>
      <c r="R8509"/>
      <c r="W8509" s="4"/>
      <c r="X8509" s="4"/>
      <c r="Y8509" s="4"/>
    </row>
    <row r="8510" spans="5:25">
      <c r="E8510"/>
      <c r="G8510"/>
      <c r="H8510"/>
      <c r="I8510"/>
      <c r="K8510"/>
      <c r="O8510"/>
      <c r="R8510"/>
      <c r="W8510" s="4"/>
      <c r="X8510" s="4"/>
      <c r="Y8510" s="4"/>
    </row>
    <row r="8511" spans="5:25">
      <c r="E8511"/>
      <c r="G8511"/>
      <c r="H8511"/>
      <c r="I8511"/>
      <c r="K8511"/>
      <c r="O8511"/>
      <c r="R8511"/>
      <c r="W8511" s="4"/>
      <c r="X8511" s="4"/>
      <c r="Y8511" s="4"/>
    </row>
    <row r="8512" spans="5:25">
      <c r="E8512"/>
      <c r="G8512"/>
      <c r="H8512"/>
      <c r="I8512"/>
      <c r="K8512"/>
      <c r="O8512"/>
      <c r="R8512"/>
      <c r="W8512" s="4"/>
      <c r="X8512" s="4"/>
      <c r="Y8512" s="4"/>
    </row>
    <row r="8513" spans="5:25">
      <c r="E8513"/>
      <c r="G8513"/>
      <c r="H8513"/>
      <c r="I8513"/>
      <c r="K8513"/>
      <c r="O8513"/>
      <c r="R8513"/>
      <c r="W8513" s="4"/>
      <c r="X8513" s="4"/>
      <c r="Y8513" s="4"/>
    </row>
    <row r="8514" spans="5:25">
      <c r="E8514"/>
      <c r="G8514"/>
      <c r="H8514"/>
      <c r="I8514"/>
      <c r="K8514"/>
      <c r="O8514"/>
      <c r="R8514"/>
      <c r="W8514" s="4"/>
      <c r="X8514" s="4"/>
      <c r="Y8514" s="4"/>
    </row>
    <row r="8515" spans="5:25">
      <c r="E8515"/>
      <c r="G8515"/>
      <c r="H8515"/>
      <c r="I8515"/>
      <c r="K8515"/>
      <c r="O8515"/>
      <c r="R8515"/>
      <c r="W8515" s="4"/>
      <c r="X8515" s="4"/>
      <c r="Y8515" s="4"/>
    </row>
    <row r="8516" spans="5:25">
      <c r="E8516"/>
      <c r="G8516"/>
      <c r="H8516"/>
      <c r="I8516"/>
      <c r="K8516"/>
      <c r="O8516"/>
      <c r="R8516"/>
      <c r="W8516" s="4"/>
      <c r="X8516" s="4"/>
      <c r="Y8516" s="4"/>
    </row>
    <row r="8517" spans="5:25">
      <c r="E8517"/>
      <c r="G8517"/>
      <c r="H8517"/>
      <c r="I8517"/>
      <c r="K8517"/>
      <c r="O8517"/>
      <c r="R8517"/>
      <c r="W8517" s="4"/>
      <c r="X8517" s="4"/>
      <c r="Y8517" s="4"/>
    </row>
    <row r="8518" spans="5:25">
      <c r="E8518"/>
      <c r="G8518"/>
      <c r="H8518"/>
      <c r="I8518"/>
      <c r="K8518"/>
      <c r="O8518"/>
      <c r="R8518"/>
      <c r="W8518" s="4"/>
      <c r="X8518" s="4"/>
      <c r="Y8518" s="4"/>
    </row>
    <row r="8519" spans="5:25">
      <c r="E8519"/>
      <c r="G8519"/>
      <c r="H8519"/>
      <c r="I8519"/>
      <c r="K8519"/>
      <c r="O8519"/>
      <c r="R8519"/>
      <c r="W8519" s="4"/>
      <c r="X8519" s="4"/>
      <c r="Y8519" s="4"/>
    </row>
    <row r="8520" spans="5:25">
      <c r="E8520"/>
      <c r="G8520"/>
      <c r="H8520"/>
      <c r="I8520"/>
      <c r="K8520"/>
      <c r="O8520"/>
      <c r="R8520"/>
      <c r="W8520" s="4"/>
      <c r="X8520" s="4"/>
      <c r="Y8520" s="4"/>
    </row>
    <row r="8521" spans="5:25">
      <c r="E8521"/>
      <c r="G8521"/>
      <c r="H8521"/>
      <c r="I8521"/>
      <c r="K8521"/>
      <c r="O8521"/>
      <c r="R8521"/>
      <c r="W8521" s="4"/>
      <c r="X8521" s="4"/>
      <c r="Y8521" s="4"/>
    </row>
    <row r="8522" spans="5:25">
      <c r="E8522"/>
      <c r="G8522"/>
      <c r="H8522"/>
      <c r="I8522"/>
      <c r="K8522"/>
      <c r="O8522"/>
      <c r="R8522"/>
      <c r="W8522" s="4"/>
      <c r="X8522" s="4"/>
      <c r="Y8522" s="4"/>
    </row>
    <row r="8523" spans="5:25">
      <c r="E8523"/>
      <c r="G8523"/>
      <c r="H8523"/>
      <c r="I8523"/>
      <c r="K8523"/>
      <c r="O8523"/>
      <c r="R8523"/>
      <c r="W8523" s="4"/>
      <c r="X8523" s="4"/>
      <c r="Y8523" s="4"/>
    </row>
    <row r="8524" spans="5:25">
      <c r="E8524"/>
      <c r="G8524"/>
      <c r="H8524"/>
      <c r="I8524"/>
      <c r="K8524"/>
      <c r="O8524"/>
      <c r="R8524"/>
      <c r="W8524" s="4"/>
      <c r="X8524" s="4"/>
      <c r="Y8524" s="4"/>
    </row>
    <row r="8525" spans="5:25">
      <c r="E8525"/>
      <c r="G8525"/>
      <c r="H8525"/>
      <c r="I8525"/>
      <c r="K8525"/>
      <c r="O8525"/>
      <c r="R8525"/>
      <c r="W8525" s="4"/>
      <c r="X8525" s="4"/>
      <c r="Y8525" s="4"/>
    </row>
    <row r="8526" spans="5:25">
      <c r="E8526"/>
      <c r="G8526"/>
      <c r="H8526"/>
      <c r="I8526"/>
      <c r="K8526"/>
      <c r="O8526"/>
      <c r="R8526"/>
      <c r="W8526" s="4"/>
      <c r="X8526" s="4"/>
      <c r="Y8526" s="4"/>
    </row>
    <row r="8527" spans="5:25">
      <c r="E8527"/>
      <c r="G8527"/>
      <c r="H8527"/>
      <c r="I8527"/>
      <c r="K8527"/>
      <c r="O8527"/>
      <c r="R8527"/>
      <c r="W8527" s="4"/>
      <c r="X8527" s="4"/>
      <c r="Y8527" s="4"/>
    </row>
    <row r="8528" spans="5:25">
      <c r="E8528"/>
      <c r="G8528"/>
      <c r="H8528"/>
      <c r="I8528"/>
      <c r="K8528"/>
      <c r="O8528"/>
      <c r="R8528"/>
      <c r="W8528" s="4"/>
      <c r="X8528" s="4"/>
      <c r="Y8528" s="4"/>
    </row>
    <row r="8529" spans="5:25">
      <c r="E8529"/>
      <c r="G8529"/>
      <c r="H8529"/>
      <c r="I8529"/>
      <c r="K8529"/>
      <c r="O8529"/>
      <c r="R8529"/>
      <c r="W8529" s="4"/>
      <c r="X8529" s="4"/>
      <c r="Y8529" s="4"/>
    </row>
    <row r="8530" spans="5:25">
      <c r="E8530"/>
      <c r="G8530"/>
      <c r="H8530"/>
      <c r="I8530"/>
      <c r="K8530"/>
      <c r="O8530"/>
      <c r="R8530"/>
      <c r="W8530" s="4"/>
      <c r="X8530" s="4"/>
      <c r="Y8530" s="4"/>
    </row>
    <row r="8531" spans="5:25">
      <c r="E8531"/>
      <c r="G8531"/>
      <c r="H8531"/>
      <c r="I8531"/>
      <c r="K8531"/>
      <c r="O8531"/>
      <c r="R8531"/>
      <c r="W8531" s="4"/>
      <c r="X8531" s="4"/>
      <c r="Y8531" s="4"/>
    </row>
    <row r="8532" spans="5:25">
      <c r="E8532"/>
      <c r="G8532"/>
      <c r="H8532"/>
      <c r="I8532"/>
      <c r="K8532"/>
      <c r="O8532"/>
      <c r="R8532"/>
      <c r="W8532" s="4"/>
      <c r="X8532" s="4"/>
      <c r="Y8532" s="4"/>
    </row>
    <row r="8533" spans="5:25">
      <c r="E8533"/>
      <c r="G8533"/>
      <c r="H8533"/>
      <c r="I8533"/>
      <c r="K8533"/>
      <c r="O8533"/>
      <c r="R8533"/>
      <c r="W8533" s="4"/>
      <c r="X8533" s="4"/>
      <c r="Y8533" s="4"/>
    </row>
    <row r="8534" spans="5:25">
      <c r="E8534"/>
      <c r="G8534"/>
      <c r="H8534"/>
      <c r="I8534"/>
      <c r="K8534"/>
      <c r="O8534"/>
      <c r="R8534"/>
      <c r="W8534" s="4"/>
      <c r="X8534" s="4"/>
      <c r="Y8534" s="4"/>
    </row>
    <row r="8535" spans="5:25">
      <c r="E8535"/>
      <c r="G8535"/>
      <c r="H8535"/>
      <c r="I8535"/>
      <c r="K8535"/>
      <c r="O8535"/>
      <c r="R8535"/>
      <c r="W8535" s="4"/>
      <c r="X8535" s="4"/>
      <c r="Y8535" s="4"/>
    </row>
    <row r="8536" spans="5:25">
      <c r="E8536"/>
      <c r="G8536"/>
      <c r="H8536"/>
      <c r="I8536"/>
      <c r="K8536"/>
      <c r="O8536"/>
      <c r="R8536"/>
      <c r="W8536" s="4"/>
      <c r="X8536" s="4"/>
      <c r="Y8536" s="4"/>
    </row>
    <row r="8537" spans="5:25">
      <c r="E8537"/>
      <c r="G8537"/>
      <c r="H8537"/>
      <c r="I8537"/>
      <c r="K8537"/>
      <c r="O8537"/>
      <c r="R8537"/>
      <c r="W8537" s="4"/>
      <c r="X8537" s="4"/>
      <c r="Y8537" s="4"/>
    </row>
    <row r="8538" spans="5:25">
      <c r="E8538"/>
      <c r="G8538"/>
      <c r="H8538"/>
      <c r="I8538"/>
      <c r="K8538"/>
      <c r="O8538"/>
      <c r="R8538"/>
      <c r="W8538" s="4"/>
      <c r="X8538" s="4"/>
      <c r="Y8538" s="4"/>
    </row>
    <row r="8539" spans="5:25">
      <c r="E8539"/>
      <c r="G8539"/>
      <c r="H8539"/>
      <c r="I8539"/>
      <c r="K8539"/>
      <c r="O8539"/>
      <c r="R8539"/>
      <c r="W8539" s="4"/>
      <c r="X8539" s="4"/>
      <c r="Y8539" s="4"/>
    </row>
    <row r="8540" spans="5:25">
      <c r="E8540"/>
      <c r="G8540"/>
      <c r="H8540"/>
      <c r="I8540"/>
      <c r="K8540"/>
      <c r="O8540"/>
      <c r="R8540"/>
      <c r="W8540" s="4"/>
      <c r="X8540" s="4"/>
      <c r="Y8540" s="4"/>
    </row>
    <row r="8541" spans="5:25">
      <c r="E8541"/>
      <c r="G8541"/>
      <c r="H8541"/>
      <c r="I8541"/>
      <c r="K8541"/>
      <c r="O8541"/>
      <c r="R8541"/>
      <c r="W8541" s="4"/>
      <c r="X8541" s="4"/>
      <c r="Y8541" s="4"/>
    </row>
    <row r="8542" spans="5:25">
      <c r="E8542"/>
      <c r="G8542"/>
      <c r="H8542"/>
      <c r="I8542"/>
      <c r="K8542"/>
      <c r="O8542"/>
      <c r="R8542"/>
      <c r="W8542" s="4"/>
      <c r="X8542" s="4"/>
      <c r="Y8542" s="4"/>
    </row>
    <row r="8543" spans="5:25">
      <c r="E8543"/>
      <c r="G8543"/>
      <c r="H8543"/>
      <c r="I8543"/>
      <c r="K8543"/>
      <c r="O8543"/>
      <c r="R8543"/>
      <c r="W8543" s="4"/>
      <c r="X8543" s="4"/>
      <c r="Y8543" s="4"/>
    </row>
    <row r="8544" spans="5:25">
      <c r="E8544"/>
      <c r="G8544"/>
      <c r="H8544"/>
      <c r="I8544"/>
      <c r="K8544"/>
      <c r="O8544"/>
      <c r="R8544"/>
      <c r="W8544" s="4"/>
      <c r="X8544" s="4"/>
      <c r="Y8544" s="4"/>
    </row>
    <row r="8545" spans="5:25">
      <c r="E8545"/>
      <c r="G8545"/>
      <c r="H8545"/>
      <c r="I8545"/>
      <c r="K8545"/>
      <c r="O8545"/>
      <c r="R8545"/>
      <c r="W8545" s="4"/>
      <c r="X8545" s="4"/>
      <c r="Y8545" s="4"/>
    </row>
    <row r="8546" spans="5:25">
      <c r="E8546"/>
      <c r="G8546"/>
      <c r="H8546"/>
      <c r="I8546"/>
      <c r="K8546"/>
      <c r="O8546"/>
      <c r="R8546"/>
      <c r="W8546" s="4"/>
      <c r="X8546" s="4"/>
      <c r="Y8546" s="4"/>
    </row>
    <row r="8547" spans="5:25">
      <c r="E8547"/>
      <c r="G8547"/>
      <c r="H8547"/>
      <c r="I8547"/>
      <c r="K8547"/>
      <c r="O8547"/>
      <c r="R8547"/>
      <c r="W8547" s="4"/>
      <c r="X8547" s="4"/>
      <c r="Y8547" s="4"/>
    </row>
    <row r="8548" spans="5:25">
      <c r="E8548"/>
      <c r="G8548"/>
      <c r="H8548"/>
      <c r="I8548"/>
      <c r="K8548"/>
      <c r="O8548"/>
      <c r="R8548"/>
      <c r="W8548" s="4"/>
      <c r="X8548" s="4"/>
      <c r="Y8548" s="4"/>
    </row>
    <row r="8549" spans="5:25">
      <c r="E8549"/>
      <c r="G8549"/>
      <c r="H8549"/>
      <c r="I8549"/>
      <c r="K8549"/>
      <c r="O8549"/>
      <c r="R8549"/>
      <c r="W8549" s="4"/>
      <c r="X8549" s="4"/>
      <c r="Y8549" s="4"/>
    </row>
    <row r="8550" spans="5:25">
      <c r="E8550"/>
      <c r="G8550"/>
      <c r="H8550"/>
      <c r="I8550"/>
      <c r="K8550"/>
      <c r="O8550"/>
      <c r="R8550"/>
      <c r="W8550" s="4"/>
      <c r="X8550" s="4"/>
      <c r="Y8550" s="4"/>
    </row>
    <row r="8551" spans="5:25">
      <c r="E8551"/>
      <c r="G8551"/>
      <c r="H8551"/>
      <c r="I8551"/>
      <c r="K8551"/>
      <c r="O8551"/>
      <c r="R8551"/>
      <c r="W8551" s="4"/>
      <c r="X8551" s="4"/>
      <c r="Y8551" s="4"/>
    </row>
    <row r="8552" spans="5:25">
      <c r="E8552"/>
      <c r="G8552"/>
      <c r="H8552"/>
      <c r="I8552"/>
      <c r="K8552"/>
      <c r="O8552"/>
      <c r="R8552"/>
      <c r="W8552" s="4"/>
      <c r="X8552" s="4"/>
      <c r="Y8552" s="4"/>
    </row>
    <row r="8553" spans="5:25">
      <c r="E8553"/>
      <c r="G8553"/>
      <c r="H8553"/>
      <c r="I8553"/>
      <c r="K8553"/>
      <c r="O8553"/>
      <c r="R8553"/>
      <c r="W8553" s="4"/>
      <c r="X8553" s="4"/>
      <c r="Y8553" s="4"/>
    </row>
    <row r="8554" spans="5:25">
      <c r="E8554"/>
      <c r="G8554"/>
      <c r="H8554"/>
      <c r="I8554"/>
      <c r="K8554"/>
      <c r="O8554"/>
      <c r="R8554"/>
      <c r="W8554" s="4"/>
      <c r="X8554" s="4"/>
      <c r="Y8554" s="4"/>
    </row>
    <row r="8555" spans="5:25">
      <c r="E8555"/>
      <c r="G8555"/>
      <c r="H8555"/>
      <c r="I8555"/>
      <c r="K8555"/>
      <c r="O8555"/>
      <c r="R8555"/>
      <c r="W8555" s="4"/>
      <c r="X8555" s="4"/>
      <c r="Y8555" s="4"/>
    </row>
    <row r="8556" spans="5:25">
      <c r="E8556"/>
      <c r="G8556"/>
      <c r="H8556"/>
      <c r="I8556"/>
      <c r="K8556"/>
      <c r="O8556"/>
      <c r="R8556"/>
      <c r="W8556" s="4"/>
      <c r="X8556" s="4"/>
      <c r="Y8556" s="4"/>
    </row>
    <row r="8557" spans="5:25">
      <c r="E8557"/>
      <c r="G8557"/>
      <c r="H8557"/>
      <c r="I8557"/>
      <c r="K8557"/>
      <c r="O8557"/>
      <c r="R8557"/>
      <c r="W8557" s="4"/>
      <c r="X8557" s="4"/>
      <c r="Y8557" s="4"/>
    </row>
    <row r="8558" spans="5:25">
      <c r="E8558"/>
      <c r="G8558"/>
      <c r="H8558"/>
      <c r="I8558"/>
      <c r="K8558"/>
      <c r="O8558"/>
      <c r="R8558"/>
      <c r="W8558" s="4"/>
      <c r="X8558" s="4"/>
      <c r="Y8558" s="4"/>
    </row>
    <row r="8559" spans="5:25">
      <c r="E8559"/>
      <c r="G8559"/>
      <c r="H8559"/>
      <c r="I8559"/>
      <c r="K8559"/>
      <c r="O8559"/>
      <c r="R8559"/>
      <c r="W8559" s="4"/>
      <c r="X8559" s="4"/>
      <c r="Y8559" s="4"/>
    </row>
    <row r="8560" spans="5:25">
      <c r="E8560"/>
      <c r="G8560"/>
      <c r="H8560"/>
      <c r="I8560"/>
      <c r="K8560"/>
      <c r="O8560"/>
      <c r="R8560"/>
      <c r="W8560" s="4"/>
      <c r="X8560" s="4"/>
      <c r="Y8560" s="4"/>
    </row>
    <row r="8561" spans="5:25">
      <c r="E8561"/>
      <c r="G8561"/>
      <c r="H8561"/>
      <c r="I8561"/>
      <c r="K8561"/>
      <c r="O8561"/>
      <c r="R8561"/>
      <c r="W8561" s="4"/>
      <c r="X8561" s="4"/>
      <c r="Y8561" s="4"/>
    </row>
    <row r="8562" spans="5:25">
      <c r="E8562"/>
      <c r="G8562"/>
      <c r="H8562"/>
      <c r="I8562"/>
      <c r="K8562"/>
      <c r="O8562"/>
      <c r="R8562"/>
      <c r="W8562" s="4"/>
      <c r="X8562" s="4"/>
      <c r="Y8562" s="4"/>
    </row>
    <row r="8563" spans="5:25">
      <c r="E8563"/>
      <c r="G8563"/>
      <c r="H8563"/>
      <c r="I8563"/>
      <c r="K8563"/>
      <c r="O8563"/>
      <c r="R8563"/>
      <c r="W8563" s="4"/>
      <c r="X8563" s="4"/>
      <c r="Y8563" s="4"/>
    </row>
    <row r="8564" spans="5:25">
      <c r="E8564"/>
      <c r="G8564"/>
      <c r="H8564"/>
      <c r="I8564"/>
      <c r="K8564"/>
      <c r="O8564"/>
      <c r="R8564"/>
      <c r="W8564" s="4"/>
      <c r="X8564" s="4"/>
      <c r="Y8564" s="4"/>
    </row>
    <row r="8565" spans="5:25">
      <c r="E8565"/>
      <c r="G8565"/>
      <c r="H8565"/>
      <c r="I8565"/>
      <c r="K8565"/>
      <c r="O8565"/>
      <c r="R8565"/>
      <c r="W8565" s="4"/>
      <c r="X8565" s="4"/>
      <c r="Y8565" s="4"/>
    </row>
    <row r="8566" spans="5:25">
      <c r="E8566"/>
      <c r="G8566"/>
      <c r="H8566"/>
      <c r="I8566"/>
      <c r="K8566"/>
      <c r="O8566"/>
      <c r="R8566"/>
      <c r="W8566" s="4"/>
      <c r="X8566" s="4"/>
      <c r="Y8566" s="4"/>
    </row>
    <row r="8567" spans="5:25">
      <c r="E8567"/>
      <c r="G8567"/>
      <c r="H8567"/>
      <c r="I8567"/>
      <c r="K8567"/>
      <c r="O8567"/>
      <c r="R8567"/>
      <c r="W8567" s="4"/>
      <c r="X8567" s="4"/>
      <c r="Y8567" s="4"/>
    </row>
    <row r="8568" spans="5:25">
      <c r="E8568"/>
      <c r="G8568"/>
      <c r="H8568"/>
      <c r="I8568"/>
      <c r="K8568"/>
      <c r="O8568"/>
      <c r="R8568"/>
      <c r="W8568" s="4"/>
      <c r="X8568" s="4"/>
      <c r="Y8568" s="4"/>
    </row>
    <row r="8569" spans="5:25">
      <c r="E8569"/>
      <c r="G8569"/>
      <c r="H8569"/>
      <c r="I8569"/>
      <c r="K8569"/>
      <c r="O8569"/>
      <c r="R8569"/>
      <c r="W8569" s="4"/>
      <c r="X8569" s="4"/>
      <c r="Y8569" s="4"/>
    </row>
    <row r="8570" spans="5:25">
      <c r="E8570"/>
      <c r="G8570"/>
      <c r="H8570"/>
      <c r="I8570"/>
      <c r="K8570"/>
      <c r="O8570"/>
      <c r="R8570"/>
      <c r="W8570" s="4"/>
      <c r="X8570" s="4"/>
      <c r="Y8570" s="4"/>
    </row>
    <row r="8571" spans="5:25">
      <c r="E8571"/>
      <c r="G8571"/>
      <c r="H8571"/>
      <c r="I8571"/>
      <c r="K8571"/>
      <c r="O8571"/>
      <c r="R8571"/>
      <c r="W8571" s="4"/>
      <c r="X8571" s="4"/>
      <c r="Y8571" s="4"/>
    </row>
    <row r="8572" spans="5:25">
      <c r="E8572"/>
      <c r="G8572"/>
      <c r="H8572"/>
      <c r="I8572"/>
      <c r="K8572"/>
      <c r="O8572"/>
      <c r="R8572"/>
      <c r="W8572" s="4"/>
      <c r="X8572" s="4"/>
      <c r="Y8572" s="4"/>
    </row>
    <row r="8573" spans="5:25">
      <c r="E8573"/>
      <c r="G8573"/>
      <c r="H8573"/>
      <c r="I8573"/>
      <c r="K8573"/>
      <c r="O8573"/>
      <c r="R8573"/>
      <c r="W8573" s="4"/>
      <c r="X8573" s="4"/>
      <c r="Y8573" s="4"/>
    </row>
    <row r="8574" spans="5:25">
      <c r="E8574"/>
      <c r="G8574"/>
      <c r="H8574"/>
      <c r="I8574"/>
      <c r="K8574"/>
      <c r="O8574"/>
      <c r="R8574"/>
      <c r="W8574" s="4"/>
      <c r="X8574" s="4"/>
      <c r="Y8574" s="4"/>
    </row>
    <row r="8575" spans="5:25">
      <c r="E8575"/>
      <c r="G8575"/>
      <c r="H8575"/>
      <c r="I8575"/>
      <c r="K8575"/>
      <c r="O8575"/>
      <c r="R8575"/>
      <c r="W8575" s="4"/>
      <c r="X8575" s="4"/>
      <c r="Y8575" s="4"/>
    </row>
    <row r="8576" spans="5:25">
      <c r="E8576"/>
      <c r="G8576"/>
      <c r="H8576"/>
      <c r="I8576"/>
      <c r="K8576"/>
      <c r="O8576"/>
      <c r="R8576"/>
      <c r="W8576" s="4"/>
      <c r="X8576" s="4"/>
      <c r="Y8576" s="4"/>
    </row>
    <row r="8577" spans="5:25">
      <c r="E8577"/>
      <c r="G8577"/>
      <c r="H8577"/>
      <c r="I8577"/>
      <c r="K8577"/>
      <c r="O8577"/>
      <c r="R8577"/>
      <c r="W8577" s="4"/>
      <c r="X8577" s="4"/>
      <c r="Y8577" s="4"/>
    </row>
    <row r="8578" spans="5:25">
      <c r="E8578"/>
      <c r="G8578"/>
      <c r="H8578"/>
      <c r="I8578"/>
      <c r="K8578"/>
      <c r="O8578"/>
      <c r="R8578"/>
      <c r="W8578" s="4"/>
      <c r="X8578" s="4"/>
      <c r="Y8578" s="4"/>
    </row>
    <row r="8579" spans="5:25">
      <c r="E8579"/>
      <c r="G8579"/>
      <c r="H8579"/>
      <c r="I8579"/>
      <c r="K8579"/>
      <c r="O8579"/>
      <c r="R8579"/>
      <c r="W8579" s="4"/>
      <c r="X8579" s="4"/>
      <c r="Y8579" s="4"/>
    </row>
    <row r="8580" spans="5:25">
      <c r="E8580"/>
      <c r="G8580"/>
      <c r="H8580"/>
      <c r="I8580"/>
      <c r="K8580"/>
      <c r="O8580"/>
      <c r="R8580"/>
      <c r="W8580" s="4"/>
      <c r="X8580" s="4"/>
      <c r="Y8580" s="4"/>
    </row>
    <row r="8581" spans="5:25">
      <c r="E8581"/>
      <c r="G8581"/>
      <c r="H8581"/>
      <c r="I8581"/>
      <c r="K8581"/>
      <c r="O8581"/>
      <c r="R8581"/>
      <c r="W8581" s="4"/>
      <c r="X8581" s="4"/>
      <c r="Y8581" s="4"/>
    </row>
    <row r="8582" spans="5:25">
      <c r="E8582"/>
      <c r="G8582"/>
      <c r="H8582"/>
      <c r="I8582"/>
      <c r="K8582"/>
      <c r="O8582"/>
      <c r="R8582"/>
      <c r="W8582" s="4"/>
      <c r="X8582" s="4"/>
      <c r="Y8582" s="4"/>
    </row>
    <row r="8583" spans="5:25">
      <c r="E8583"/>
      <c r="G8583"/>
      <c r="H8583"/>
      <c r="I8583"/>
      <c r="K8583"/>
      <c r="O8583"/>
      <c r="R8583"/>
      <c r="W8583" s="4"/>
      <c r="X8583" s="4"/>
      <c r="Y8583" s="4"/>
    </row>
    <row r="8584" spans="5:25">
      <c r="E8584"/>
      <c r="G8584"/>
      <c r="H8584"/>
      <c r="I8584"/>
      <c r="K8584"/>
      <c r="O8584"/>
      <c r="R8584"/>
      <c r="W8584" s="4"/>
      <c r="X8584" s="4"/>
      <c r="Y8584" s="4"/>
    </row>
    <row r="8585" spans="5:25">
      <c r="E8585"/>
      <c r="G8585"/>
      <c r="H8585"/>
      <c r="I8585"/>
      <c r="K8585"/>
      <c r="O8585"/>
      <c r="R8585"/>
      <c r="W8585" s="4"/>
      <c r="X8585" s="4"/>
      <c r="Y8585" s="4"/>
    </row>
    <row r="8586" spans="5:25">
      <c r="E8586"/>
      <c r="G8586"/>
      <c r="H8586"/>
      <c r="I8586"/>
      <c r="K8586"/>
      <c r="O8586"/>
      <c r="R8586"/>
      <c r="W8586" s="4"/>
      <c r="X8586" s="4"/>
      <c r="Y8586" s="4"/>
    </row>
    <row r="8587" spans="5:25">
      <c r="E8587"/>
      <c r="G8587"/>
      <c r="H8587"/>
      <c r="I8587"/>
      <c r="K8587"/>
      <c r="O8587"/>
      <c r="R8587"/>
      <c r="W8587" s="4"/>
      <c r="X8587" s="4"/>
      <c r="Y8587" s="4"/>
    </row>
    <row r="8588" spans="5:25">
      <c r="E8588"/>
      <c r="G8588"/>
      <c r="H8588"/>
      <c r="I8588"/>
      <c r="K8588"/>
      <c r="O8588"/>
      <c r="R8588"/>
      <c r="W8588" s="4"/>
      <c r="X8588" s="4"/>
      <c r="Y8588" s="4"/>
    </row>
    <row r="8589" spans="5:25">
      <c r="E8589"/>
      <c r="G8589"/>
      <c r="H8589"/>
      <c r="I8589"/>
      <c r="K8589"/>
      <c r="O8589"/>
      <c r="R8589"/>
      <c r="W8589" s="4"/>
      <c r="X8589" s="4"/>
      <c r="Y8589" s="4"/>
    </row>
    <row r="8590" spans="5:25">
      <c r="E8590"/>
      <c r="G8590"/>
      <c r="H8590"/>
      <c r="I8590"/>
      <c r="K8590"/>
      <c r="O8590"/>
      <c r="R8590"/>
      <c r="W8590" s="4"/>
      <c r="X8590" s="4"/>
      <c r="Y8590" s="4"/>
    </row>
    <row r="8591" spans="5:25">
      <c r="E8591"/>
      <c r="G8591"/>
      <c r="H8591"/>
      <c r="I8591"/>
      <c r="K8591"/>
      <c r="O8591"/>
      <c r="R8591"/>
      <c r="W8591" s="4"/>
      <c r="X8591" s="4"/>
      <c r="Y8591" s="4"/>
    </row>
    <row r="8592" spans="5:25">
      <c r="E8592"/>
      <c r="G8592"/>
      <c r="H8592"/>
      <c r="I8592"/>
      <c r="K8592"/>
      <c r="O8592"/>
      <c r="R8592"/>
      <c r="W8592" s="4"/>
      <c r="X8592" s="4"/>
      <c r="Y8592" s="4"/>
    </row>
    <row r="8593" spans="5:25">
      <c r="E8593"/>
      <c r="G8593"/>
      <c r="H8593"/>
      <c r="I8593"/>
      <c r="K8593"/>
      <c r="O8593"/>
      <c r="R8593"/>
      <c r="W8593" s="4"/>
      <c r="X8593" s="4"/>
      <c r="Y8593" s="4"/>
    </row>
    <row r="8594" spans="5:25">
      <c r="E8594"/>
      <c r="G8594"/>
      <c r="H8594"/>
      <c r="I8594"/>
      <c r="K8594"/>
      <c r="O8594"/>
      <c r="R8594"/>
      <c r="W8594" s="4"/>
      <c r="X8594" s="4"/>
      <c r="Y8594" s="4"/>
    </row>
    <row r="8595" spans="5:25">
      <c r="E8595"/>
      <c r="G8595"/>
      <c r="H8595"/>
      <c r="I8595"/>
      <c r="K8595"/>
      <c r="O8595"/>
      <c r="R8595"/>
      <c r="W8595" s="4"/>
      <c r="X8595" s="4"/>
      <c r="Y8595" s="4"/>
    </row>
    <row r="8596" spans="5:25">
      <c r="E8596"/>
      <c r="G8596"/>
      <c r="H8596"/>
      <c r="I8596"/>
      <c r="K8596"/>
      <c r="O8596"/>
      <c r="R8596"/>
      <c r="W8596" s="4"/>
      <c r="X8596" s="4"/>
      <c r="Y8596" s="4"/>
    </row>
    <row r="8597" spans="5:25">
      <c r="E8597"/>
      <c r="G8597"/>
      <c r="H8597"/>
      <c r="I8597"/>
      <c r="K8597"/>
      <c r="O8597"/>
      <c r="R8597"/>
      <c r="W8597" s="4"/>
      <c r="X8597" s="4"/>
      <c r="Y8597" s="4"/>
    </row>
    <row r="8598" spans="5:25">
      <c r="E8598"/>
      <c r="G8598"/>
      <c r="H8598"/>
      <c r="I8598"/>
      <c r="K8598"/>
      <c r="O8598"/>
      <c r="R8598"/>
      <c r="W8598" s="4"/>
      <c r="X8598" s="4"/>
      <c r="Y8598" s="4"/>
    </row>
    <row r="8599" spans="5:25">
      <c r="E8599"/>
      <c r="G8599"/>
      <c r="H8599"/>
      <c r="I8599"/>
      <c r="K8599"/>
      <c r="O8599"/>
      <c r="R8599"/>
      <c r="W8599" s="4"/>
      <c r="X8599" s="4"/>
      <c r="Y8599" s="4"/>
    </row>
    <row r="8600" spans="5:25">
      <c r="E8600"/>
      <c r="G8600"/>
      <c r="H8600"/>
      <c r="I8600"/>
      <c r="K8600"/>
      <c r="O8600"/>
      <c r="R8600"/>
      <c r="W8600" s="4"/>
      <c r="X8600" s="4"/>
      <c r="Y8600" s="4"/>
    </row>
    <row r="8601" spans="5:25">
      <c r="E8601"/>
      <c r="G8601"/>
      <c r="H8601"/>
      <c r="I8601"/>
      <c r="K8601"/>
      <c r="O8601"/>
      <c r="R8601"/>
      <c r="W8601" s="4"/>
      <c r="X8601" s="4"/>
      <c r="Y8601" s="4"/>
    </row>
    <row r="8602" spans="5:25">
      <c r="E8602"/>
      <c r="G8602"/>
      <c r="H8602"/>
      <c r="I8602"/>
      <c r="K8602"/>
      <c r="O8602"/>
      <c r="R8602"/>
      <c r="W8602" s="4"/>
      <c r="X8602" s="4"/>
      <c r="Y8602" s="4"/>
    </row>
    <row r="8603" spans="5:25">
      <c r="E8603"/>
      <c r="G8603"/>
      <c r="H8603"/>
      <c r="I8603"/>
      <c r="K8603"/>
      <c r="O8603"/>
      <c r="R8603"/>
      <c r="W8603" s="4"/>
      <c r="X8603" s="4"/>
      <c r="Y8603" s="4"/>
    </row>
    <row r="8604" spans="5:25">
      <c r="E8604"/>
      <c r="G8604"/>
      <c r="H8604"/>
      <c r="I8604"/>
      <c r="K8604"/>
      <c r="O8604"/>
      <c r="R8604"/>
      <c r="W8604" s="4"/>
      <c r="X8604" s="4"/>
      <c r="Y8604" s="4"/>
    </row>
    <row r="8605" spans="5:25">
      <c r="E8605"/>
      <c r="G8605"/>
      <c r="H8605"/>
      <c r="I8605"/>
      <c r="K8605"/>
      <c r="O8605"/>
      <c r="R8605"/>
      <c r="W8605" s="4"/>
      <c r="X8605" s="4"/>
      <c r="Y8605" s="4"/>
    </row>
    <row r="8606" spans="5:25">
      <c r="E8606"/>
      <c r="G8606"/>
      <c r="H8606"/>
      <c r="I8606"/>
      <c r="K8606"/>
      <c r="O8606"/>
      <c r="R8606"/>
      <c r="W8606" s="4"/>
      <c r="X8606" s="4"/>
      <c r="Y8606" s="4"/>
    </row>
    <row r="8607" spans="5:25">
      <c r="E8607"/>
      <c r="G8607"/>
      <c r="H8607"/>
      <c r="I8607"/>
      <c r="K8607"/>
      <c r="O8607"/>
      <c r="R8607"/>
      <c r="W8607" s="4"/>
      <c r="X8607" s="4"/>
      <c r="Y8607" s="4"/>
    </row>
    <row r="8608" spans="5:25">
      <c r="E8608"/>
      <c r="G8608"/>
      <c r="H8608"/>
      <c r="I8608"/>
      <c r="K8608"/>
      <c r="O8608"/>
      <c r="R8608"/>
      <c r="W8608" s="4"/>
      <c r="X8608" s="4"/>
      <c r="Y8608" s="4"/>
    </row>
    <row r="8609" spans="5:25">
      <c r="E8609"/>
      <c r="G8609"/>
      <c r="H8609"/>
      <c r="I8609"/>
      <c r="K8609"/>
      <c r="O8609"/>
      <c r="R8609"/>
      <c r="W8609" s="4"/>
      <c r="X8609" s="4"/>
      <c r="Y8609" s="4"/>
    </row>
    <row r="8610" spans="5:25">
      <c r="E8610"/>
      <c r="G8610"/>
      <c r="H8610"/>
      <c r="I8610"/>
      <c r="K8610"/>
      <c r="O8610"/>
      <c r="R8610"/>
      <c r="W8610" s="4"/>
      <c r="X8610" s="4"/>
      <c r="Y8610" s="4"/>
    </row>
    <row r="8611" spans="5:25">
      <c r="E8611"/>
      <c r="G8611"/>
      <c r="H8611"/>
      <c r="I8611"/>
      <c r="K8611"/>
      <c r="O8611"/>
      <c r="R8611"/>
      <c r="W8611" s="4"/>
      <c r="X8611" s="4"/>
      <c r="Y8611" s="4"/>
    </row>
    <row r="8612" spans="5:25">
      <c r="E8612"/>
      <c r="G8612"/>
      <c r="H8612"/>
      <c r="I8612"/>
      <c r="K8612"/>
      <c r="O8612"/>
      <c r="R8612"/>
      <c r="W8612" s="4"/>
      <c r="X8612" s="4"/>
      <c r="Y8612" s="4"/>
    </row>
    <row r="8613" spans="5:25">
      <c r="E8613"/>
      <c r="G8613"/>
      <c r="H8613"/>
      <c r="I8613"/>
      <c r="K8613"/>
      <c r="O8613"/>
      <c r="R8613"/>
      <c r="W8613" s="4"/>
      <c r="X8613" s="4"/>
      <c r="Y8613" s="4"/>
    </row>
    <row r="8614" spans="5:25">
      <c r="E8614"/>
      <c r="G8614"/>
      <c r="H8614"/>
      <c r="I8614"/>
      <c r="K8614"/>
      <c r="O8614"/>
      <c r="R8614"/>
      <c r="W8614" s="4"/>
      <c r="X8614" s="4"/>
      <c r="Y8614" s="4"/>
    </row>
    <row r="8615" spans="5:25">
      <c r="E8615"/>
      <c r="G8615"/>
      <c r="H8615"/>
      <c r="I8615"/>
      <c r="K8615"/>
      <c r="O8615"/>
      <c r="R8615"/>
      <c r="W8615" s="4"/>
      <c r="X8615" s="4"/>
      <c r="Y8615" s="4"/>
    </row>
    <row r="8616" spans="5:25">
      <c r="E8616"/>
      <c r="G8616"/>
      <c r="H8616"/>
      <c r="I8616"/>
      <c r="K8616"/>
      <c r="O8616"/>
      <c r="R8616"/>
      <c r="W8616" s="4"/>
      <c r="X8616" s="4"/>
      <c r="Y8616" s="4"/>
    </row>
    <row r="8617" spans="5:25">
      <c r="E8617"/>
      <c r="G8617"/>
      <c r="H8617"/>
      <c r="I8617"/>
      <c r="K8617"/>
      <c r="O8617"/>
      <c r="R8617"/>
      <c r="W8617" s="4"/>
      <c r="X8617" s="4"/>
      <c r="Y8617" s="4"/>
    </row>
    <row r="8618" spans="5:25">
      <c r="E8618"/>
      <c r="G8618"/>
      <c r="H8618"/>
      <c r="I8618"/>
      <c r="K8618"/>
      <c r="O8618"/>
      <c r="R8618"/>
      <c r="W8618" s="4"/>
      <c r="X8618" s="4"/>
      <c r="Y8618" s="4"/>
    </row>
    <row r="8619" spans="5:25">
      <c r="E8619"/>
      <c r="G8619"/>
      <c r="H8619"/>
      <c r="I8619"/>
      <c r="K8619"/>
      <c r="O8619"/>
      <c r="R8619"/>
      <c r="W8619" s="4"/>
      <c r="X8619" s="4"/>
      <c r="Y8619" s="4"/>
    </row>
    <row r="8620" spans="5:25">
      <c r="E8620"/>
      <c r="G8620"/>
      <c r="H8620"/>
      <c r="I8620"/>
      <c r="K8620"/>
      <c r="O8620"/>
      <c r="R8620"/>
      <c r="W8620" s="4"/>
      <c r="X8620" s="4"/>
      <c r="Y8620" s="4"/>
    </row>
    <row r="8621" spans="5:25">
      <c r="E8621"/>
      <c r="G8621"/>
      <c r="H8621"/>
      <c r="I8621"/>
      <c r="K8621"/>
      <c r="O8621"/>
      <c r="R8621"/>
      <c r="W8621" s="4"/>
      <c r="X8621" s="4"/>
      <c r="Y8621" s="4"/>
    </row>
    <row r="8622" spans="5:25">
      <c r="E8622"/>
      <c r="G8622"/>
      <c r="H8622"/>
      <c r="I8622"/>
      <c r="K8622"/>
      <c r="O8622"/>
      <c r="R8622"/>
      <c r="W8622" s="4"/>
      <c r="X8622" s="4"/>
      <c r="Y8622" s="4"/>
    </row>
    <row r="8623" spans="5:25">
      <c r="E8623"/>
      <c r="G8623"/>
      <c r="H8623"/>
      <c r="I8623"/>
      <c r="K8623"/>
      <c r="O8623"/>
      <c r="R8623"/>
      <c r="W8623" s="4"/>
      <c r="X8623" s="4"/>
      <c r="Y8623" s="4"/>
    </row>
    <row r="8624" spans="5:25">
      <c r="E8624"/>
      <c r="G8624"/>
      <c r="H8624"/>
      <c r="I8624"/>
      <c r="K8624"/>
      <c r="O8624"/>
      <c r="R8624"/>
      <c r="W8624" s="4"/>
      <c r="X8624" s="4"/>
      <c r="Y8624" s="4"/>
    </row>
    <row r="8625" spans="5:25">
      <c r="E8625"/>
      <c r="G8625"/>
      <c r="H8625"/>
      <c r="I8625"/>
      <c r="K8625"/>
      <c r="O8625"/>
      <c r="R8625"/>
      <c r="W8625" s="4"/>
      <c r="X8625" s="4"/>
      <c r="Y8625" s="4"/>
    </row>
    <row r="8626" spans="5:25">
      <c r="E8626"/>
      <c r="G8626"/>
      <c r="H8626"/>
      <c r="I8626"/>
      <c r="K8626"/>
      <c r="O8626"/>
      <c r="R8626"/>
      <c r="W8626" s="4"/>
      <c r="X8626" s="4"/>
      <c r="Y8626" s="4"/>
    </row>
    <row r="8627" spans="5:25">
      <c r="E8627"/>
      <c r="G8627"/>
      <c r="H8627"/>
      <c r="I8627"/>
      <c r="K8627"/>
      <c r="O8627"/>
      <c r="R8627"/>
      <c r="W8627" s="4"/>
      <c r="X8627" s="4"/>
      <c r="Y8627" s="4"/>
    </row>
    <row r="8628" spans="5:25">
      <c r="E8628"/>
      <c r="G8628"/>
      <c r="H8628"/>
      <c r="I8628"/>
      <c r="K8628"/>
      <c r="O8628"/>
      <c r="R8628"/>
      <c r="W8628" s="4"/>
      <c r="X8628" s="4"/>
      <c r="Y8628" s="4"/>
    </row>
    <row r="8629" spans="5:25">
      <c r="E8629"/>
      <c r="G8629"/>
      <c r="H8629"/>
      <c r="I8629"/>
      <c r="K8629"/>
      <c r="O8629"/>
      <c r="R8629"/>
      <c r="W8629" s="4"/>
      <c r="X8629" s="4"/>
      <c r="Y8629" s="4"/>
    </row>
    <row r="8630" spans="5:25">
      <c r="E8630"/>
      <c r="G8630"/>
      <c r="H8630"/>
      <c r="I8630"/>
      <c r="K8630"/>
      <c r="O8630"/>
      <c r="R8630"/>
      <c r="W8630" s="4"/>
      <c r="X8630" s="4"/>
      <c r="Y8630" s="4"/>
    </row>
    <row r="8631" spans="5:25">
      <c r="E8631"/>
      <c r="G8631"/>
      <c r="H8631"/>
      <c r="I8631"/>
      <c r="K8631"/>
      <c r="O8631"/>
      <c r="R8631"/>
      <c r="W8631" s="4"/>
      <c r="X8631" s="4"/>
      <c r="Y8631" s="4"/>
    </row>
    <row r="8632" spans="5:25">
      <c r="E8632"/>
      <c r="G8632"/>
      <c r="H8632"/>
      <c r="I8632"/>
      <c r="K8632"/>
      <c r="O8632"/>
      <c r="R8632"/>
      <c r="W8632" s="4"/>
      <c r="X8632" s="4"/>
      <c r="Y8632" s="4"/>
    </row>
    <row r="8633" spans="5:25">
      <c r="E8633"/>
      <c r="G8633"/>
      <c r="H8633"/>
      <c r="I8633"/>
      <c r="K8633"/>
      <c r="O8633"/>
      <c r="R8633"/>
      <c r="W8633" s="4"/>
      <c r="X8633" s="4"/>
      <c r="Y8633" s="4"/>
    </row>
    <row r="8634" spans="5:25">
      <c r="E8634"/>
      <c r="G8634"/>
      <c r="H8634"/>
      <c r="I8634"/>
      <c r="K8634"/>
      <c r="O8634"/>
      <c r="R8634"/>
      <c r="W8634" s="4"/>
      <c r="X8634" s="4"/>
      <c r="Y8634" s="4"/>
    </row>
    <row r="8635" spans="5:25">
      <c r="E8635"/>
      <c r="G8635"/>
      <c r="H8635"/>
      <c r="I8635"/>
      <c r="K8635"/>
      <c r="O8635"/>
      <c r="R8635"/>
      <c r="W8635" s="4"/>
      <c r="X8635" s="4"/>
      <c r="Y8635" s="4"/>
    </row>
    <row r="8636" spans="5:25">
      <c r="E8636"/>
      <c r="G8636"/>
      <c r="H8636"/>
      <c r="I8636"/>
      <c r="K8636"/>
      <c r="O8636"/>
      <c r="R8636"/>
      <c r="W8636" s="4"/>
      <c r="X8636" s="4"/>
      <c r="Y8636" s="4"/>
    </row>
    <row r="8637" spans="5:25">
      <c r="E8637"/>
      <c r="G8637"/>
      <c r="H8637"/>
      <c r="I8637"/>
      <c r="K8637"/>
      <c r="O8637"/>
      <c r="R8637"/>
      <c r="W8637" s="4"/>
      <c r="X8637" s="4"/>
      <c r="Y8637" s="4"/>
    </row>
    <row r="8638" spans="5:25">
      <c r="E8638"/>
      <c r="G8638"/>
      <c r="H8638"/>
      <c r="I8638"/>
      <c r="K8638"/>
      <c r="O8638"/>
      <c r="R8638"/>
      <c r="W8638" s="4"/>
      <c r="X8638" s="4"/>
      <c r="Y8638" s="4"/>
    </row>
    <row r="8639" spans="5:25">
      <c r="E8639"/>
      <c r="G8639"/>
      <c r="H8639"/>
      <c r="I8639"/>
      <c r="K8639"/>
      <c r="O8639"/>
      <c r="R8639"/>
      <c r="W8639" s="4"/>
      <c r="X8639" s="4"/>
      <c r="Y8639" s="4"/>
    </row>
    <row r="8640" spans="5:25">
      <c r="E8640"/>
      <c r="G8640"/>
      <c r="H8640"/>
      <c r="I8640"/>
      <c r="K8640"/>
      <c r="O8640"/>
      <c r="R8640"/>
      <c r="W8640" s="4"/>
      <c r="X8640" s="4"/>
      <c r="Y8640" s="4"/>
    </row>
    <row r="8641" spans="5:25">
      <c r="E8641"/>
      <c r="G8641"/>
      <c r="H8641"/>
      <c r="I8641"/>
      <c r="K8641"/>
      <c r="O8641"/>
      <c r="R8641"/>
      <c r="W8641" s="4"/>
      <c r="X8641" s="4"/>
      <c r="Y8641" s="4"/>
    </row>
    <row r="8642" spans="5:25">
      <c r="E8642"/>
      <c r="G8642"/>
      <c r="H8642"/>
      <c r="I8642"/>
      <c r="K8642"/>
      <c r="O8642"/>
      <c r="R8642"/>
      <c r="W8642" s="4"/>
      <c r="X8642" s="4"/>
      <c r="Y8642" s="4"/>
    </row>
    <row r="8643" spans="5:25">
      <c r="E8643"/>
      <c r="G8643"/>
      <c r="H8643"/>
      <c r="I8643"/>
      <c r="K8643"/>
      <c r="O8643"/>
      <c r="R8643"/>
      <c r="W8643" s="4"/>
      <c r="X8643" s="4"/>
      <c r="Y8643" s="4"/>
    </row>
    <row r="8644" spans="5:25">
      <c r="E8644"/>
      <c r="G8644"/>
      <c r="H8644"/>
      <c r="I8644"/>
      <c r="K8644"/>
      <c r="O8644"/>
      <c r="R8644"/>
      <c r="W8644" s="4"/>
      <c r="X8644" s="4"/>
      <c r="Y8644" s="4"/>
    </row>
    <row r="8645" spans="5:25">
      <c r="E8645"/>
      <c r="G8645"/>
      <c r="H8645"/>
      <c r="I8645"/>
      <c r="K8645"/>
      <c r="O8645"/>
      <c r="R8645"/>
      <c r="W8645" s="4"/>
      <c r="X8645" s="4"/>
      <c r="Y8645" s="4"/>
    </row>
    <row r="8646" spans="5:25">
      <c r="E8646"/>
      <c r="G8646"/>
      <c r="H8646"/>
      <c r="I8646"/>
      <c r="K8646"/>
      <c r="O8646"/>
      <c r="R8646"/>
      <c r="W8646" s="4"/>
      <c r="X8646" s="4"/>
      <c r="Y8646" s="4"/>
    </row>
    <row r="8647" spans="5:25">
      <c r="E8647"/>
      <c r="G8647"/>
      <c r="H8647"/>
      <c r="I8647"/>
      <c r="K8647"/>
      <c r="O8647"/>
      <c r="R8647"/>
      <c r="W8647" s="4"/>
      <c r="X8647" s="4"/>
      <c r="Y8647" s="4"/>
    </row>
    <row r="8648" spans="5:25">
      <c r="E8648"/>
      <c r="G8648"/>
      <c r="H8648"/>
      <c r="I8648"/>
      <c r="K8648"/>
      <c r="O8648"/>
      <c r="R8648"/>
      <c r="W8648" s="4"/>
      <c r="X8648" s="4"/>
      <c r="Y8648" s="4"/>
    </row>
    <row r="8649" spans="5:25">
      <c r="E8649"/>
      <c r="G8649"/>
      <c r="H8649"/>
      <c r="I8649"/>
      <c r="K8649"/>
      <c r="O8649"/>
      <c r="R8649"/>
      <c r="W8649" s="4"/>
      <c r="X8649" s="4"/>
      <c r="Y8649" s="4"/>
    </row>
    <row r="8650" spans="5:25">
      <c r="E8650"/>
      <c r="G8650"/>
      <c r="H8650"/>
      <c r="I8650"/>
      <c r="K8650"/>
      <c r="O8650"/>
      <c r="R8650"/>
      <c r="W8650" s="4"/>
      <c r="X8650" s="4"/>
      <c r="Y8650" s="4"/>
    </row>
    <row r="8651" spans="5:25">
      <c r="E8651"/>
      <c r="G8651"/>
      <c r="H8651"/>
      <c r="I8651"/>
      <c r="K8651"/>
      <c r="O8651"/>
      <c r="R8651"/>
      <c r="W8651" s="4"/>
      <c r="X8651" s="4"/>
      <c r="Y8651" s="4"/>
    </row>
    <row r="8652" spans="5:25">
      <c r="E8652"/>
      <c r="G8652"/>
      <c r="H8652"/>
      <c r="I8652"/>
      <c r="K8652"/>
      <c r="O8652"/>
      <c r="R8652"/>
      <c r="W8652" s="4"/>
      <c r="X8652" s="4"/>
      <c r="Y8652" s="4"/>
    </row>
    <row r="8653" spans="5:25">
      <c r="E8653"/>
      <c r="G8653"/>
      <c r="H8653"/>
      <c r="I8653"/>
      <c r="K8653"/>
      <c r="O8653"/>
      <c r="R8653"/>
      <c r="W8653" s="4"/>
      <c r="X8653" s="4"/>
      <c r="Y8653" s="4"/>
    </row>
    <row r="8654" spans="5:25">
      <c r="E8654"/>
      <c r="G8654"/>
      <c r="H8654"/>
      <c r="I8654"/>
      <c r="K8654"/>
      <c r="O8654"/>
      <c r="R8654"/>
      <c r="W8654" s="4"/>
      <c r="X8654" s="4"/>
      <c r="Y8654" s="4"/>
    </row>
    <row r="8655" spans="5:25">
      <c r="E8655"/>
      <c r="G8655"/>
      <c r="H8655"/>
      <c r="I8655"/>
      <c r="K8655"/>
      <c r="O8655"/>
      <c r="R8655"/>
      <c r="W8655" s="4"/>
      <c r="X8655" s="4"/>
      <c r="Y8655" s="4"/>
    </row>
    <row r="8656" spans="5:25">
      <c r="E8656"/>
      <c r="G8656"/>
      <c r="H8656"/>
      <c r="I8656"/>
      <c r="K8656"/>
      <c r="O8656"/>
      <c r="R8656"/>
      <c r="W8656" s="4"/>
      <c r="X8656" s="4"/>
      <c r="Y8656" s="4"/>
    </row>
    <row r="8657" spans="5:25">
      <c r="E8657"/>
      <c r="G8657"/>
      <c r="H8657"/>
      <c r="I8657"/>
      <c r="K8657"/>
      <c r="O8657"/>
      <c r="R8657"/>
      <c r="W8657" s="4"/>
      <c r="X8657" s="4"/>
      <c r="Y8657" s="4"/>
    </row>
    <row r="8658" spans="5:25">
      <c r="E8658"/>
      <c r="G8658"/>
      <c r="H8658"/>
      <c r="I8658"/>
      <c r="K8658"/>
      <c r="O8658"/>
      <c r="R8658"/>
      <c r="W8658" s="4"/>
      <c r="X8658" s="4"/>
      <c r="Y8658" s="4"/>
    </row>
    <row r="8659" spans="5:25">
      <c r="E8659"/>
      <c r="G8659"/>
      <c r="H8659"/>
      <c r="I8659"/>
      <c r="K8659"/>
      <c r="O8659"/>
      <c r="R8659"/>
      <c r="W8659" s="4"/>
      <c r="X8659" s="4"/>
      <c r="Y8659" s="4"/>
    </row>
    <row r="8660" spans="5:25">
      <c r="E8660"/>
      <c r="G8660"/>
      <c r="H8660"/>
      <c r="I8660"/>
      <c r="K8660"/>
      <c r="O8660"/>
      <c r="R8660"/>
      <c r="W8660" s="4"/>
      <c r="X8660" s="4"/>
      <c r="Y8660" s="4"/>
    </row>
    <row r="8661" spans="5:25">
      <c r="E8661"/>
      <c r="G8661"/>
      <c r="H8661"/>
      <c r="I8661"/>
      <c r="K8661"/>
      <c r="O8661"/>
      <c r="R8661"/>
      <c r="W8661" s="4"/>
      <c r="X8661" s="4"/>
      <c r="Y8661" s="4"/>
    </row>
    <row r="8662" spans="5:25">
      <c r="E8662"/>
      <c r="G8662"/>
      <c r="H8662"/>
      <c r="I8662"/>
      <c r="K8662"/>
      <c r="O8662"/>
      <c r="R8662"/>
      <c r="W8662" s="4"/>
      <c r="X8662" s="4"/>
      <c r="Y8662" s="4"/>
    </row>
    <row r="8663" spans="5:25">
      <c r="E8663"/>
      <c r="G8663"/>
      <c r="H8663"/>
      <c r="I8663"/>
      <c r="K8663"/>
      <c r="O8663"/>
      <c r="R8663"/>
      <c r="W8663" s="4"/>
      <c r="X8663" s="4"/>
      <c r="Y8663" s="4"/>
    </row>
    <row r="8664" spans="5:25">
      <c r="E8664"/>
      <c r="G8664"/>
      <c r="H8664"/>
      <c r="I8664"/>
      <c r="K8664"/>
      <c r="O8664"/>
      <c r="R8664"/>
      <c r="W8664" s="4"/>
      <c r="X8664" s="4"/>
      <c r="Y8664" s="4"/>
    </row>
    <row r="8665" spans="5:25">
      <c r="E8665"/>
      <c r="G8665"/>
      <c r="H8665"/>
      <c r="I8665"/>
      <c r="K8665"/>
      <c r="O8665"/>
      <c r="R8665"/>
      <c r="W8665" s="4"/>
      <c r="X8665" s="4"/>
      <c r="Y8665" s="4"/>
    </row>
    <row r="8666" spans="5:25">
      <c r="E8666"/>
      <c r="G8666"/>
      <c r="H8666"/>
      <c r="I8666"/>
      <c r="K8666"/>
      <c r="O8666"/>
      <c r="R8666"/>
      <c r="W8666" s="4"/>
      <c r="X8666" s="4"/>
      <c r="Y8666" s="4"/>
    </row>
    <row r="8667" spans="5:25">
      <c r="E8667"/>
      <c r="G8667"/>
      <c r="H8667"/>
      <c r="I8667"/>
      <c r="K8667"/>
      <c r="O8667"/>
      <c r="R8667"/>
      <c r="W8667" s="4"/>
      <c r="X8667" s="4"/>
      <c r="Y8667" s="4"/>
    </row>
    <row r="8668" spans="5:25">
      <c r="E8668"/>
      <c r="G8668"/>
      <c r="H8668"/>
      <c r="I8668"/>
      <c r="K8668"/>
      <c r="O8668"/>
      <c r="R8668"/>
      <c r="W8668" s="4"/>
      <c r="X8668" s="4"/>
      <c r="Y8668" s="4"/>
    </row>
    <row r="8669" spans="5:25">
      <c r="E8669"/>
      <c r="G8669"/>
      <c r="H8669"/>
      <c r="I8669"/>
      <c r="K8669"/>
      <c r="O8669"/>
      <c r="R8669"/>
      <c r="W8669" s="4"/>
      <c r="X8669" s="4"/>
      <c r="Y8669" s="4"/>
    </row>
    <row r="8670" spans="5:25">
      <c r="E8670"/>
      <c r="G8670"/>
      <c r="H8670"/>
      <c r="I8670"/>
      <c r="K8670"/>
      <c r="O8670"/>
      <c r="R8670"/>
      <c r="W8670" s="4"/>
      <c r="X8670" s="4"/>
      <c r="Y8670" s="4"/>
    </row>
    <row r="8671" spans="5:25">
      <c r="E8671"/>
      <c r="G8671"/>
      <c r="H8671"/>
      <c r="I8671"/>
      <c r="K8671"/>
      <c r="O8671"/>
      <c r="R8671"/>
      <c r="W8671" s="4"/>
      <c r="X8671" s="4"/>
      <c r="Y8671" s="4"/>
    </row>
    <row r="8672" spans="5:25">
      <c r="E8672"/>
      <c r="G8672"/>
      <c r="H8672"/>
      <c r="I8672"/>
      <c r="K8672"/>
      <c r="O8672"/>
      <c r="R8672"/>
      <c r="W8672" s="4"/>
      <c r="X8672" s="4"/>
      <c r="Y8672" s="4"/>
    </row>
    <row r="8673" spans="5:25">
      <c r="E8673"/>
      <c r="G8673"/>
      <c r="H8673"/>
      <c r="I8673"/>
      <c r="K8673"/>
      <c r="O8673"/>
      <c r="R8673"/>
      <c r="W8673" s="4"/>
      <c r="X8673" s="4"/>
      <c r="Y8673" s="4"/>
    </row>
    <row r="8674" spans="5:25">
      <c r="E8674"/>
      <c r="G8674"/>
      <c r="H8674"/>
      <c r="I8674"/>
      <c r="K8674"/>
      <c r="O8674"/>
      <c r="R8674"/>
      <c r="W8674" s="4"/>
      <c r="X8674" s="4"/>
      <c r="Y8674" s="4"/>
    </row>
    <row r="8675" spans="5:25">
      <c r="E8675"/>
      <c r="G8675"/>
      <c r="H8675"/>
      <c r="I8675"/>
      <c r="K8675"/>
      <c r="O8675"/>
      <c r="R8675"/>
      <c r="W8675" s="4"/>
      <c r="X8675" s="4"/>
      <c r="Y8675" s="4"/>
    </row>
    <row r="8676" spans="5:25">
      <c r="E8676"/>
      <c r="G8676"/>
      <c r="H8676"/>
      <c r="I8676"/>
      <c r="K8676"/>
      <c r="O8676"/>
      <c r="R8676"/>
      <c r="W8676" s="4"/>
      <c r="X8676" s="4"/>
      <c r="Y8676" s="4"/>
    </row>
    <row r="8677" spans="5:25">
      <c r="E8677"/>
      <c r="G8677"/>
      <c r="H8677"/>
      <c r="I8677"/>
      <c r="K8677"/>
      <c r="O8677"/>
      <c r="R8677"/>
      <c r="W8677" s="4"/>
      <c r="X8677" s="4"/>
      <c r="Y8677" s="4"/>
    </row>
    <row r="8678" spans="5:25">
      <c r="E8678"/>
      <c r="G8678"/>
      <c r="H8678"/>
      <c r="I8678"/>
      <c r="K8678"/>
      <c r="O8678"/>
      <c r="R8678"/>
      <c r="W8678" s="4"/>
      <c r="X8678" s="4"/>
      <c r="Y8678" s="4"/>
    </row>
    <row r="8679" spans="5:25">
      <c r="E8679"/>
      <c r="G8679"/>
      <c r="H8679"/>
      <c r="I8679"/>
      <c r="K8679"/>
      <c r="O8679"/>
      <c r="R8679"/>
      <c r="W8679" s="4"/>
      <c r="X8679" s="4"/>
      <c r="Y8679" s="4"/>
    </row>
    <row r="8680" spans="5:25">
      <c r="E8680"/>
      <c r="G8680"/>
      <c r="H8680"/>
      <c r="I8680"/>
      <c r="K8680"/>
      <c r="O8680"/>
      <c r="R8680"/>
      <c r="W8680" s="4"/>
      <c r="X8680" s="4"/>
      <c r="Y8680" s="4"/>
    </row>
    <row r="8681" spans="5:25">
      <c r="E8681"/>
      <c r="G8681"/>
      <c r="H8681"/>
      <c r="I8681"/>
      <c r="K8681"/>
      <c r="O8681"/>
      <c r="R8681"/>
      <c r="W8681" s="4"/>
      <c r="X8681" s="4"/>
      <c r="Y8681" s="4"/>
    </row>
    <row r="8682" spans="5:25">
      <c r="E8682"/>
      <c r="G8682"/>
      <c r="H8682"/>
      <c r="I8682"/>
      <c r="K8682"/>
      <c r="O8682"/>
      <c r="R8682"/>
      <c r="W8682" s="4"/>
      <c r="X8682" s="4"/>
      <c r="Y8682" s="4"/>
    </row>
    <row r="8683" spans="5:25">
      <c r="E8683"/>
      <c r="G8683"/>
      <c r="H8683"/>
      <c r="I8683"/>
      <c r="K8683"/>
      <c r="O8683"/>
      <c r="R8683"/>
      <c r="W8683" s="4"/>
      <c r="X8683" s="4"/>
      <c r="Y8683" s="4"/>
    </row>
    <row r="8684" spans="5:25">
      <c r="E8684"/>
      <c r="G8684"/>
      <c r="H8684"/>
      <c r="I8684"/>
      <c r="K8684"/>
      <c r="O8684"/>
      <c r="R8684"/>
      <c r="W8684" s="4"/>
      <c r="X8684" s="4"/>
      <c r="Y8684" s="4"/>
    </row>
    <row r="8685" spans="5:25">
      <c r="E8685"/>
      <c r="G8685"/>
      <c r="H8685"/>
      <c r="I8685"/>
      <c r="K8685"/>
      <c r="O8685"/>
      <c r="R8685"/>
      <c r="W8685" s="4"/>
      <c r="X8685" s="4"/>
      <c r="Y8685" s="4"/>
    </row>
    <row r="8686" spans="5:25">
      <c r="E8686"/>
      <c r="G8686"/>
      <c r="H8686"/>
      <c r="I8686"/>
      <c r="K8686"/>
      <c r="O8686"/>
      <c r="R8686"/>
      <c r="W8686" s="4"/>
      <c r="X8686" s="4"/>
      <c r="Y8686" s="4"/>
    </row>
    <row r="8687" spans="5:25">
      <c r="E8687"/>
      <c r="G8687"/>
      <c r="H8687"/>
      <c r="I8687"/>
      <c r="K8687"/>
      <c r="O8687"/>
      <c r="R8687"/>
      <c r="W8687" s="4"/>
      <c r="X8687" s="4"/>
      <c r="Y8687" s="4"/>
    </row>
    <row r="8688" spans="5:25">
      <c r="E8688"/>
      <c r="G8688"/>
      <c r="H8688"/>
      <c r="I8688"/>
      <c r="K8688"/>
      <c r="O8688"/>
      <c r="R8688"/>
      <c r="W8688" s="4"/>
      <c r="X8688" s="4"/>
      <c r="Y8688" s="4"/>
    </row>
    <row r="8689" spans="5:25">
      <c r="E8689"/>
      <c r="G8689"/>
      <c r="H8689"/>
      <c r="I8689"/>
      <c r="K8689"/>
      <c r="O8689"/>
      <c r="R8689"/>
      <c r="W8689" s="4"/>
      <c r="X8689" s="4"/>
      <c r="Y8689" s="4"/>
    </row>
    <row r="8690" spans="5:25">
      <c r="E8690"/>
      <c r="G8690"/>
      <c r="H8690"/>
      <c r="I8690"/>
      <c r="K8690"/>
      <c r="O8690"/>
      <c r="R8690"/>
      <c r="W8690" s="4"/>
      <c r="X8690" s="4"/>
      <c r="Y8690" s="4"/>
    </row>
    <row r="8691" spans="5:25">
      <c r="E8691"/>
      <c r="G8691"/>
      <c r="H8691"/>
      <c r="I8691"/>
      <c r="K8691"/>
      <c r="O8691"/>
      <c r="R8691"/>
      <c r="W8691" s="4"/>
      <c r="X8691" s="4"/>
      <c r="Y8691" s="4"/>
    </row>
    <row r="8692" spans="5:25">
      <c r="E8692"/>
      <c r="G8692"/>
      <c r="H8692"/>
      <c r="I8692"/>
      <c r="K8692"/>
      <c r="O8692"/>
      <c r="R8692"/>
      <c r="W8692" s="4"/>
      <c r="X8692" s="4"/>
      <c r="Y8692" s="4"/>
    </row>
    <row r="8693" spans="5:25">
      <c r="E8693"/>
      <c r="G8693"/>
      <c r="H8693"/>
      <c r="I8693"/>
      <c r="K8693"/>
      <c r="O8693"/>
      <c r="R8693"/>
      <c r="W8693" s="4"/>
      <c r="X8693" s="4"/>
      <c r="Y8693" s="4"/>
    </row>
    <row r="8694" spans="5:25">
      <c r="E8694"/>
      <c r="G8694"/>
      <c r="H8694"/>
      <c r="I8694"/>
      <c r="K8694"/>
      <c r="O8694"/>
      <c r="R8694"/>
      <c r="W8694" s="4"/>
      <c r="X8694" s="4"/>
      <c r="Y8694" s="4"/>
    </row>
    <row r="8695" spans="5:25">
      <c r="E8695"/>
      <c r="G8695"/>
      <c r="H8695"/>
      <c r="I8695"/>
      <c r="K8695"/>
      <c r="O8695"/>
      <c r="R8695"/>
      <c r="W8695" s="4"/>
      <c r="X8695" s="4"/>
      <c r="Y8695" s="4"/>
    </row>
    <row r="8696" spans="5:25">
      <c r="E8696"/>
      <c r="G8696"/>
      <c r="H8696"/>
      <c r="I8696"/>
      <c r="K8696"/>
      <c r="O8696"/>
      <c r="R8696"/>
      <c r="W8696" s="4"/>
      <c r="X8696" s="4"/>
      <c r="Y8696" s="4"/>
    </row>
    <row r="8697" spans="5:25">
      <c r="E8697"/>
      <c r="G8697"/>
      <c r="H8697"/>
      <c r="I8697"/>
      <c r="K8697"/>
      <c r="O8697"/>
      <c r="R8697"/>
      <c r="W8697" s="4"/>
      <c r="X8697" s="4"/>
      <c r="Y8697" s="4"/>
    </row>
    <row r="8698" spans="5:25">
      <c r="E8698"/>
      <c r="G8698"/>
      <c r="H8698"/>
      <c r="I8698"/>
      <c r="K8698"/>
      <c r="O8698"/>
      <c r="R8698"/>
      <c r="W8698" s="4"/>
      <c r="X8698" s="4"/>
      <c r="Y8698" s="4"/>
    </row>
    <row r="8699" spans="5:25">
      <c r="E8699"/>
      <c r="G8699"/>
      <c r="H8699"/>
      <c r="I8699"/>
      <c r="K8699"/>
      <c r="O8699"/>
      <c r="R8699"/>
      <c r="W8699" s="4"/>
      <c r="X8699" s="4"/>
      <c r="Y8699" s="4"/>
    </row>
    <row r="8700" spans="5:25">
      <c r="E8700"/>
      <c r="G8700"/>
      <c r="H8700"/>
      <c r="I8700"/>
      <c r="K8700"/>
      <c r="O8700"/>
      <c r="R8700"/>
      <c r="W8700" s="4"/>
      <c r="X8700" s="4"/>
      <c r="Y8700" s="4"/>
    </row>
    <row r="8701" spans="5:25">
      <c r="E8701"/>
      <c r="G8701"/>
      <c r="H8701"/>
      <c r="I8701"/>
      <c r="K8701"/>
      <c r="O8701"/>
      <c r="R8701"/>
      <c r="W8701" s="4"/>
      <c r="X8701" s="4"/>
      <c r="Y8701" s="4"/>
    </row>
    <row r="8702" spans="5:25">
      <c r="E8702"/>
      <c r="G8702"/>
      <c r="H8702"/>
      <c r="I8702"/>
      <c r="K8702"/>
      <c r="O8702"/>
      <c r="R8702"/>
      <c r="W8702" s="4"/>
      <c r="X8702" s="4"/>
      <c r="Y8702" s="4"/>
    </row>
    <row r="8703" spans="5:25">
      <c r="E8703"/>
      <c r="G8703"/>
      <c r="H8703"/>
      <c r="I8703"/>
      <c r="K8703"/>
      <c r="O8703"/>
      <c r="R8703"/>
      <c r="W8703" s="4"/>
      <c r="X8703" s="4"/>
      <c r="Y8703" s="4"/>
    </row>
    <row r="8704" spans="5:25">
      <c r="E8704"/>
      <c r="G8704"/>
      <c r="H8704"/>
      <c r="I8704"/>
      <c r="K8704"/>
      <c r="O8704"/>
      <c r="R8704"/>
      <c r="W8704" s="4"/>
      <c r="X8704" s="4"/>
      <c r="Y8704" s="4"/>
    </row>
    <row r="8705" spans="5:25">
      <c r="E8705"/>
      <c r="G8705"/>
      <c r="H8705"/>
      <c r="I8705"/>
      <c r="K8705"/>
      <c r="O8705"/>
      <c r="R8705"/>
      <c r="W8705" s="4"/>
      <c r="X8705" s="4"/>
      <c r="Y8705" s="4"/>
    </row>
    <row r="8706" spans="5:25">
      <c r="E8706"/>
      <c r="G8706"/>
      <c r="H8706"/>
      <c r="I8706"/>
      <c r="K8706"/>
      <c r="O8706"/>
      <c r="R8706"/>
      <c r="W8706" s="4"/>
      <c r="X8706" s="4"/>
      <c r="Y8706" s="4"/>
    </row>
    <row r="8707" spans="5:25">
      <c r="E8707"/>
      <c r="G8707"/>
      <c r="H8707"/>
      <c r="I8707"/>
      <c r="K8707"/>
      <c r="O8707"/>
      <c r="R8707"/>
      <c r="W8707" s="4"/>
      <c r="X8707" s="4"/>
      <c r="Y8707" s="4"/>
    </row>
    <row r="8708" spans="5:25">
      <c r="E8708"/>
      <c r="G8708"/>
      <c r="H8708"/>
      <c r="I8708"/>
      <c r="K8708"/>
      <c r="O8708"/>
      <c r="R8708"/>
      <c r="W8708" s="4"/>
      <c r="X8708" s="4"/>
      <c r="Y8708" s="4"/>
    </row>
    <row r="8709" spans="5:25">
      <c r="E8709"/>
      <c r="G8709"/>
      <c r="H8709"/>
      <c r="I8709"/>
      <c r="K8709"/>
      <c r="O8709"/>
      <c r="R8709"/>
      <c r="W8709" s="4"/>
      <c r="X8709" s="4"/>
      <c r="Y8709" s="4"/>
    </row>
    <row r="8710" spans="5:25">
      <c r="E8710"/>
      <c r="G8710"/>
      <c r="H8710"/>
      <c r="I8710"/>
      <c r="K8710"/>
      <c r="O8710"/>
      <c r="R8710"/>
      <c r="W8710" s="4"/>
      <c r="X8710" s="4"/>
      <c r="Y8710" s="4"/>
    </row>
    <row r="8711" spans="5:25">
      <c r="E8711"/>
      <c r="G8711"/>
      <c r="H8711"/>
      <c r="I8711"/>
      <c r="K8711"/>
      <c r="O8711"/>
      <c r="R8711"/>
      <c r="W8711" s="4"/>
      <c r="X8711" s="4"/>
      <c r="Y8711" s="4"/>
    </row>
    <row r="8712" spans="5:25">
      <c r="E8712"/>
      <c r="G8712"/>
      <c r="H8712"/>
      <c r="I8712"/>
      <c r="K8712"/>
      <c r="O8712"/>
      <c r="R8712"/>
      <c r="W8712" s="4"/>
      <c r="X8712" s="4"/>
      <c r="Y8712" s="4"/>
    </row>
    <row r="8713" spans="5:25">
      <c r="E8713"/>
      <c r="G8713"/>
      <c r="H8713"/>
      <c r="I8713"/>
      <c r="K8713"/>
      <c r="O8713"/>
      <c r="R8713"/>
      <c r="W8713" s="4"/>
      <c r="X8713" s="4"/>
      <c r="Y8713" s="4"/>
    </row>
    <row r="8714" spans="5:25">
      <c r="E8714"/>
      <c r="G8714"/>
      <c r="H8714"/>
      <c r="I8714"/>
      <c r="K8714"/>
      <c r="O8714"/>
      <c r="R8714"/>
      <c r="W8714" s="4"/>
      <c r="X8714" s="4"/>
      <c r="Y8714" s="4"/>
    </row>
    <row r="8715" spans="5:25">
      <c r="E8715"/>
      <c r="G8715"/>
      <c r="H8715"/>
      <c r="I8715"/>
      <c r="K8715"/>
      <c r="O8715"/>
      <c r="R8715"/>
      <c r="W8715" s="4"/>
      <c r="X8715" s="4"/>
      <c r="Y8715" s="4"/>
    </row>
    <row r="8716" spans="5:25">
      <c r="E8716"/>
      <c r="G8716"/>
      <c r="H8716"/>
      <c r="I8716"/>
      <c r="K8716"/>
      <c r="O8716"/>
      <c r="R8716"/>
      <c r="W8716" s="4"/>
      <c r="X8716" s="4"/>
      <c r="Y8716" s="4"/>
    </row>
    <row r="8717" spans="5:25">
      <c r="E8717"/>
      <c r="G8717"/>
      <c r="H8717"/>
      <c r="I8717"/>
      <c r="K8717"/>
      <c r="O8717"/>
      <c r="R8717"/>
      <c r="W8717" s="4"/>
      <c r="X8717" s="4"/>
      <c r="Y8717" s="4"/>
    </row>
    <row r="8718" spans="5:25">
      <c r="E8718"/>
      <c r="G8718"/>
      <c r="H8718"/>
      <c r="I8718"/>
      <c r="K8718"/>
      <c r="O8718"/>
      <c r="R8718"/>
      <c r="W8718" s="4"/>
      <c r="X8718" s="4"/>
      <c r="Y8718" s="4"/>
    </row>
    <row r="8719" spans="5:25">
      <c r="E8719"/>
      <c r="G8719"/>
      <c r="H8719"/>
      <c r="I8719"/>
      <c r="K8719"/>
      <c r="O8719"/>
      <c r="R8719"/>
      <c r="W8719" s="4"/>
      <c r="X8719" s="4"/>
      <c r="Y8719" s="4"/>
    </row>
    <row r="8720" spans="5:25">
      <c r="E8720"/>
      <c r="G8720"/>
      <c r="H8720"/>
      <c r="I8720"/>
      <c r="K8720"/>
      <c r="O8720"/>
      <c r="R8720"/>
      <c r="W8720" s="4"/>
      <c r="X8720" s="4"/>
      <c r="Y8720" s="4"/>
    </row>
    <row r="8721" spans="5:25">
      <c r="E8721"/>
      <c r="G8721"/>
      <c r="H8721"/>
      <c r="I8721"/>
      <c r="K8721"/>
      <c r="O8721"/>
      <c r="R8721"/>
      <c r="W8721" s="4"/>
      <c r="X8721" s="4"/>
      <c r="Y8721" s="4"/>
    </row>
    <row r="8722" spans="5:25">
      <c r="E8722"/>
      <c r="G8722"/>
      <c r="H8722"/>
      <c r="I8722"/>
      <c r="K8722"/>
      <c r="O8722"/>
      <c r="R8722"/>
      <c r="W8722" s="4"/>
      <c r="X8722" s="4"/>
      <c r="Y8722" s="4"/>
    </row>
    <row r="8723" spans="5:25">
      <c r="E8723"/>
      <c r="G8723"/>
      <c r="H8723"/>
      <c r="I8723"/>
      <c r="K8723"/>
      <c r="O8723"/>
      <c r="R8723"/>
      <c r="W8723" s="4"/>
      <c r="X8723" s="4"/>
      <c r="Y8723" s="4"/>
    </row>
    <row r="8724" spans="5:25">
      <c r="E8724"/>
      <c r="G8724"/>
      <c r="H8724"/>
      <c r="I8724"/>
      <c r="K8724"/>
      <c r="O8724"/>
      <c r="R8724"/>
      <c r="W8724" s="4"/>
      <c r="X8724" s="4"/>
      <c r="Y8724" s="4"/>
    </row>
    <row r="8725" spans="5:25">
      <c r="E8725"/>
      <c r="G8725"/>
      <c r="H8725"/>
      <c r="I8725"/>
      <c r="K8725"/>
      <c r="O8725"/>
      <c r="R8725"/>
      <c r="W8725" s="4"/>
      <c r="X8725" s="4"/>
      <c r="Y8725" s="4"/>
    </row>
    <row r="8726" spans="5:25">
      <c r="E8726"/>
      <c r="G8726"/>
      <c r="H8726"/>
      <c r="I8726"/>
      <c r="K8726"/>
      <c r="O8726"/>
      <c r="R8726"/>
      <c r="W8726" s="4"/>
      <c r="X8726" s="4"/>
      <c r="Y8726" s="4"/>
    </row>
    <row r="8727" spans="5:25">
      <c r="E8727"/>
      <c r="G8727"/>
      <c r="H8727"/>
      <c r="I8727"/>
      <c r="K8727"/>
      <c r="O8727"/>
      <c r="R8727"/>
      <c r="W8727" s="4"/>
      <c r="X8727" s="4"/>
      <c r="Y8727" s="4"/>
    </row>
    <row r="8728" spans="5:25">
      <c r="E8728"/>
      <c r="G8728"/>
      <c r="H8728"/>
      <c r="I8728"/>
      <c r="K8728"/>
      <c r="O8728"/>
      <c r="R8728"/>
      <c r="W8728" s="4"/>
      <c r="X8728" s="4"/>
      <c r="Y8728" s="4"/>
    </row>
    <row r="8729" spans="5:25">
      <c r="E8729"/>
      <c r="G8729"/>
      <c r="H8729"/>
      <c r="I8729"/>
      <c r="K8729"/>
      <c r="O8729"/>
      <c r="R8729"/>
      <c r="W8729" s="4"/>
      <c r="X8729" s="4"/>
      <c r="Y8729" s="4"/>
    </row>
    <row r="8730" spans="5:25">
      <c r="E8730"/>
      <c r="G8730"/>
      <c r="H8730"/>
      <c r="I8730"/>
      <c r="K8730"/>
      <c r="O8730"/>
      <c r="R8730"/>
      <c r="W8730" s="4"/>
      <c r="X8730" s="4"/>
      <c r="Y8730" s="4"/>
    </row>
    <row r="8731" spans="5:25">
      <c r="E8731"/>
      <c r="G8731"/>
      <c r="H8731"/>
      <c r="I8731"/>
      <c r="K8731"/>
      <c r="O8731"/>
      <c r="R8731"/>
      <c r="W8731" s="4"/>
      <c r="X8731" s="4"/>
      <c r="Y8731" s="4"/>
    </row>
    <row r="8732" spans="5:25">
      <c r="E8732"/>
      <c r="G8732"/>
      <c r="H8732"/>
      <c r="I8732"/>
      <c r="K8732"/>
      <c r="O8732"/>
      <c r="R8732"/>
      <c r="W8732" s="4"/>
      <c r="X8732" s="4"/>
      <c r="Y8732" s="4"/>
    </row>
    <row r="8733" spans="5:25">
      <c r="E8733"/>
      <c r="G8733"/>
      <c r="H8733"/>
      <c r="I8733"/>
      <c r="K8733"/>
      <c r="O8733"/>
      <c r="R8733"/>
      <c r="W8733" s="4"/>
      <c r="X8733" s="4"/>
      <c r="Y8733" s="4"/>
    </row>
    <row r="8734" spans="5:25">
      <c r="E8734"/>
      <c r="G8734"/>
      <c r="H8734"/>
      <c r="I8734"/>
      <c r="K8734"/>
      <c r="O8734"/>
      <c r="R8734"/>
      <c r="W8734" s="4"/>
      <c r="X8734" s="4"/>
      <c r="Y8734" s="4"/>
    </row>
    <row r="8735" spans="5:25">
      <c r="E8735"/>
      <c r="G8735"/>
      <c r="H8735"/>
      <c r="I8735"/>
      <c r="K8735"/>
      <c r="O8735"/>
      <c r="R8735"/>
      <c r="W8735" s="4"/>
      <c r="X8735" s="4"/>
      <c r="Y8735" s="4"/>
    </row>
    <row r="8736" spans="5:25">
      <c r="E8736"/>
      <c r="G8736"/>
      <c r="H8736"/>
      <c r="I8736"/>
      <c r="K8736"/>
      <c r="O8736"/>
      <c r="R8736"/>
      <c r="W8736" s="4"/>
      <c r="X8736" s="4"/>
      <c r="Y8736" s="4"/>
    </row>
    <row r="8737" spans="5:25">
      <c r="E8737"/>
      <c r="G8737"/>
      <c r="H8737"/>
      <c r="I8737"/>
      <c r="K8737"/>
      <c r="O8737"/>
      <c r="R8737"/>
      <c r="W8737" s="4"/>
      <c r="X8737" s="4"/>
      <c r="Y8737" s="4"/>
    </row>
    <row r="8738" spans="5:25">
      <c r="E8738"/>
      <c r="G8738"/>
      <c r="H8738"/>
      <c r="I8738"/>
      <c r="K8738"/>
      <c r="O8738"/>
      <c r="R8738"/>
      <c r="W8738" s="4"/>
      <c r="X8738" s="4"/>
      <c r="Y8738" s="4"/>
    </row>
    <row r="8739" spans="5:25">
      <c r="E8739"/>
      <c r="G8739"/>
      <c r="H8739"/>
      <c r="I8739"/>
      <c r="K8739"/>
      <c r="O8739"/>
      <c r="R8739"/>
      <c r="W8739" s="4"/>
      <c r="X8739" s="4"/>
      <c r="Y8739" s="4"/>
    </row>
    <row r="8740" spans="5:25">
      <c r="E8740"/>
      <c r="G8740"/>
      <c r="H8740"/>
      <c r="I8740"/>
      <c r="K8740"/>
      <c r="O8740"/>
      <c r="R8740"/>
      <c r="W8740" s="4"/>
      <c r="X8740" s="4"/>
      <c r="Y8740" s="4"/>
    </row>
    <row r="8741" spans="5:25">
      <c r="E8741"/>
      <c r="G8741"/>
      <c r="H8741"/>
      <c r="I8741"/>
      <c r="K8741"/>
      <c r="O8741"/>
      <c r="R8741"/>
      <c r="W8741" s="4"/>
      <c r="X8741" s="4"/>
      <c r="Y8741" s="4"/>
    </row>
    <row r="8742" spans="5:25">
      <c r="E8742"/>
      <c r="G8742"/>
      <c r="H8742"/>
      <c r="I8742"/>
      <c r="K8742"/>
      <c r="O8742"/>
      <c r="R8742"/>
      <c r="W8742" s="4"/>
      <c r="X8742" s="4"/>
      <c r="Y8742" s="4"/>
    </row>
    <row r="8743" spans="5:25">
      <c r="E8743"/>
      <c r="G8743"/>
      <c r="H8743"/>
      <c r="I8743"/>
      <c r="K8743"/>
      <c r="O8743"/>
      <c r="R8743"/>
      <c r="W8743" s="4"/>
      <c r="X8743" s="4"/>
      <c r="Y8743" s="4"/>
    </row>
    <row r="8744" spans="5:25">
      <c r="E8744"/>
      <c r="G8744"/>
      <c r="H8744"/>
      <c r="I8744"/>
      <c r="K8744"/>
      <c r="O8744"/>
      <c r="R8744"/>
      <c r="W8744" s="4"/>
      <c r="X8744" s="4"/>
      <c r="Y8744" s="4"/>
    </row>
    <row r="8745" spans="5:25">
      <c r="E8745"/>
      <c r="G8745"/>
      <c r="H8745"/>
      <c r="I8745"/>
      <c r="K8745"/>
      <c r="O8745"/>
      <c r="R8745"/>
      <c r="W8745" s="4"/>
      <c r="X8745" s="4"/>
      <c r="Y8745" s="4"/>
    </row>
    <row r="8746" spans="5:25">
      <c r="E8746"/>
      <c r="G8746"/>
      <c r="H8746"/>
      <c r="I8746"/>
      <c r="K8746"/>
      <c r="O8746"/>
      <c r="R8746"/>
      <c r="W8746" s="4"/>
      <c r="X8746" s="4"/>
      <c r="Y8746" s="4"/>
    </row>
    <row r="8747" spans="5:25">
      <c r="E8747"/>
      <c r="G8747"/>
      <c r="H8747"/>
      <c r="I8747"/>
      <c r="K8747"/>
      <c r="O8747"/>
      <c r="R8747"/>
      <c r="W8747" s="4"/>
      <c r="X8747" s="4"/>
      <c r="Y8747" s="4"/>
    </row>
    <row r="8748" spans="5:25">
      <c r="E8748"/>
      <c r="G8748"/>
      <c r="H8748"/>
      <c r="I8748"/>
      <c r="K8748"/>
      <c r="O8748"/>
      <c r="R8748"/>
      <c r="W8748" s="4"/>
      <c r="X8748" s="4"/>
      <c r="Y8748" s="4"/>
    </row>
    <row r="8749" spans="5:25">
      <c r="E8749"/>
      <c r="G8749"/>
      <c r="H8749"/>
      <c r="I8749"/>
      <c r="K8749"/>
      <c r="O8749"/>
      <c r="R8749"/>
      <c r="W8749" s="4"/>
      <c r="X8749" s="4"/>
      <c r="Y8749" s="4"/>
    </row>
    <row r="8750" spans="5:25">
      <c r="E8750"/>
      <c r="G8750"/>
      <c r="H8750"/>
      <c r="I8750"/>
      <c r="K8750"/>
      <c r="O8750"/>
      <c r="R8750"/>
      <c r="W8750" s="4"/>
      <c r="X8750" s="4"/>
      <c r="Y8750" s="4"/>
    </row>
    <row r="8751" spans="5:25">
      <c r="E8751"/>
      <c r="G8751"/>
      <c r="H8751"/>
      <c r="I8751"/>
      <c r="K8751"/>
      <c r="O8751"/>
      <c r="R8751"/>
      <c r="W8751" s="4"/>
      <c r="X8751" s="4"/>
      <c r="Y8751" s="4"/>
    </row>
    <row r="8752" spans="5:25">
      <c r="E8752"/>
      <c r="G8752"/>
      <c r="H8752"/>
      <c r="I8752"/>
      <c r="K8752"/>
      <c r="O8752"/>
      <c r="R8752"/>
      <c r="W8752" s="4"/>
      <c r="X8752" s="4"/>
      <c r="Y8752" s="4"/>
    </row>
    <row r="8753" spans="5:25">
      <c r="E8753"/>
      <c r="G8753"/>
      <c r="H8753"/>
      <c r="I8753"/>
      <c r="K8753"/>
      <c r="O8753"/>
      <c r="R8753"/>
      <c r="W8753" s="4"/>
      <c r="X8753" s="4"/>
      <c r="Y8753" s="4"/>
    </row>
    <row r="8754" spans="5:25">
      <c r="E8754"/>
      <c r="G8754"/>
      <c r="H8754"/>
      <c r="I8754"/>
      <c r="K8754"/>
      <c r="O8754"/>
      <c r="R8754"/>
      <c r="W8754" s="4"/>
      <c r="X8754" s="4"/>
      <c r="Y8754" s="4"/>
    </row>
    <row r="8755" spans="5:25">
      <c r="E8755"/>
      <c r="G8755"/>
      <c r="H8755"/>
      <c r="I8755"/>
      <c r="K8755"/>
      <c r="O8755"/>
      <c r="R8755"/>
      <c r="W8755" s="4"/>
      <c r="X8755" s="4"/>
      <c r="Y8755" s="4"/>
    </row>
    <row r="8756" spans="5:25">
      <c r="E8756"/>
      <c r="G8756"/>
      <c r="H8756"/>
      <c r="I8756"/>
      <c r="K8756"/>
      <c r="O8756"/>
      <c r="R8756"/>
      <c r="W8756" s="4"/>
      <c r="X8756" s="4"/>
      <c r="Y8756" s="4"/>
    </row>
    <row r="8757" spans="5:25">
      <c r="E8757"/>
      <c r="G8757"/>
      <c r="H8757"/>
      <c r="I8757"/>
      <c r="K8757"/>
      <c r="O8757"/>
      <c r="R8757"/>
      <c r="W8757" s="4"/>
      <c r="X8757" s="4"/>
      <c r="Y8757" s="4"/>
    </row>
    <row r="8758" spans="5:25">
      <c r="E8758"/>
      <c r="G8758"/>
      <c r="H8758"/>
      <c r="I8758"/>
      <c r="K8758"/>
      <c r="O8758"/>
      <c r="R8758"/>
      <c r="W8758" s="4"/>
      <c r="X8758" s="4"/>
      <c r="Y8758" s="4"/>
    </row>
    <row r="8759" spans="5:25">
      <c r="E8759"/>
      <c r="G8759"/>
      <c r="H8759"/>
      <c r="I8759"/>
      <c r="K8759"/>
      <c r="O8759"/>
      <c r="R8759"/>
      <c r="W8759" s="4"/>
      <c r="X8759" s="4"/>
      <c r="Y8759" s="4"/>
    </row>
    <row r="8760" spans="5:25">
      <c r="E8760"/>
      <c r="G8760"/>
      <c r="H8760"/>
      <c r="I8760"/>
      <c r="K8760"/>
      <c r="O8760"/>
      <c r="R8760"/>
      <c r="W8760" s="4"/>
      <c r="X8760" s="4"/>
      <c r="Y8760" s="4"/>
    </row>
    <row r="8761" spans="5:25">
      <c r="E8761"/>
      <c r="G8761"/>
      <c r="H8761"/>
      <c r="I8761"/>
      <c r="K8761"/>
      <c r="O8761"/>
      <c r="R8761"/>
      <c r="W8761" s="4"/>
      <c r="X8761" s="4"/>
      <c r="Y8761" s="4"/>
    </row>
    <row r="8762" spans="5:25">
      <c r="E8762"/>
      <c r="G8762"/>
      <c r="H8762"/>
      <c r="I8762"/>
      <c r="K8762"/>
      <c r="O8762"/>
      <c r="R8762"/>
      <c r="W8762" s="4"/>
      <c r="X8762" s="4"/>
      <c r="Y8762" s="4"/>
    </row>
    <row r="8763" spans="5:25">
      <c r="E8763"/>
      <c r="G8763"/>
      <c r="H8763"/>
      <c r="I8763"/>
      <c r="K8763"/>
      <c r="O8763"/>
      <c r="R8763"/>
      <c r="W8763" s="4"/>
      <c r="X8763" s="4"/>
      <c r="Y8763" s="4"/>
    </row>
    <row r="8764" spans="5:25">
      <c r="E8764"/>
      <c r="G8764"/>
      <c r="H8764"/>
      <c r="I8764"/>
      <c r="K8764"/>
      <c r="O8764"/>
      <c r="R8764"/>
      <c r="W8764" s="4"/>
      <c r="X8764" s="4"/>
      <c r="Y8764" s="4"/>
    </row>
    <row r="8765" spans="5:25">
      <c r="E8765"/>
      <c r="G8765"/>
      <c r="H8765"/>
      <c r="I8765"/>
      <c r="K8765"/>
      <c r="O8765"/>
      <c r="R8765"/>
      <c r="W8765" s="4"/>
      <c r="X8765" s="4"/>
      <c r="Y8765" s="4"/>
    </row>
    <row r="8766" spans="5:25">
      <c r="E8766"/>
      <c r="G8766"/>
      <c r="H8766"/>
      <c r="I8766"/>
      <c r="K8766"/>
      <c r="O8766"/>
      <c r="R8766"/>
      <c r="W8766" s="4"/>
      <c r="X8766" s="4"/>
      <c r="Y8766" s="4"/>
    </row>
    <row r="8767" spans="5:25">
      <c r="E8767"/>
      <c r="G8767"/>
      <c r="H8767"/>
      <c r="I8767"/>
      <c r="K8767"/>
      <c r="O8767"/>
      <c r="R8767"/>
      <c r="W8767" s="4"/>
      <c r="X8767" s="4"/>
      <c r="Y8767" s="4"/>
    </row>
    <row r="8768" spans="5:25">
      <c r="E8768"/>
      <c r="G8768"/>
      <c r="H8768"/>
      <c r="I8768"/>
      <c r="K8768"/>
      <c r="O8768"/>
      <c r="R8768"/>
      <c r="W8768" s="4"/>
      <c r="X8768" s="4"/>
      <c r="Y8768" s="4"/>
    </row>
    <row r="8769" spans="5:25">
      <c r="E8769"/>
      <c r="G8769"/>
      <c r="H8769"/>
      <c r="I8769"/>
      <c r="K8769"/>
      <c r="O8769"/>
      <c r="R8769"/>
      <c r="W8769" s="4"/>
      <c r="X8769" s="4"/>
      <c r="Y8769" s="4"/>
    </row>
    <row r="8770" spans="5:25">
      <c r="E8770"/>
      <c r="G8770"/>
      <c r="H8770"/>
      <c r="I8770"/>
      <c r="K8770"/>
      <c r="O8770"/>
      <c r="R8770"/>
      <c r="W8770" s="4"/>
      <c r="X8770" s="4"/>
      <c r="Y8770" s="4"/>
    </row>
    <row r="8771" spans="5:25">
      <c r="E8771"/>
      <c r="G8771"/>
      <c r="H8771"/>
      <c r="I8771"/>
      <c r="K8771"/>
      <c r="O8771"/>
      <c r="R8771"/>
      <c r="W8771" s="4"/>
      <c r="X8771" s="4"/>
      <c r="Y8771" s="4"/>
    </row>
    <row r="8772" spans="5:25">
      <c r="E8772"/>
      <c r="G8772"/>
      <c r="H8772"/>
      <c r="I8772"/>
      <c r="K8772"/>
      <c r="O8772"/>
      <c r="R8772"/>
      <c r="W8772" s="4"/>
      <c r="X8772" s="4"/>
      <c r="Y8772" s="4"/>
    </row>
    <row r="8773" spans="5:25">
      <c r="E8773"/>
      <c r="G8773"/>
      <c r="H8773"/>
      <c r="I8773"/>
      <c r="K8773"/>
      <c r="O8773"/>
      <c r="R8773"/>
      <c r="W8773" s="4"/>
      <c r="X8773" s="4"/>
      <c r="Y8773" s="4"/>
    </row>
    <row r="8774" spans="5:25">
      <c r="E8774"/>
      <c r="G8774"/>
      <c r="H8774"/>
      <c r="I8774"/>
      <c r="K8774"/>
      <c r="O8774"/>
      <c r="R8774"/>
      <c r="W8774" s="4"/>
      <c r="X8774" s="4"/>
      <c r="Y8774" s="4"/>
    </row>
    <row r="8775" spans="5:25">
      <c r="E8775"/>
      <c r="G8775"/>
      <c r="H8775"/>
      <c r="I8775"/>
      <c r="K8775"/>
      <c r="O8775"/>
      <c r="R8775"/>
      <c r="W8775" s="4"/>
      <c r="X8775" s="4"/>
      <c r="Y8775" s="4"/>
    </row>
    <row r="8776" spans="5:25">
      <c r="E8776"/>
      <c r="G8776"/>
      <c r="H8776"/>
      <c r="I8776"/>
      <c r="K8776"/>
      <c r="O8776"/>
      <c r="R8776"/>
      <c r="W8776" s="4"/>
      <c r="X8776" s="4"/>
      <c r="Y8776" s="4"/>
    </row>
    <row r="8777" spans="5:25">
      <c r="E8777"/>
      <c r="G8777"/>
      <c r="H8777"/>
      <c r="I8777"/>
      <c r="K8777"/>
      <c r="O8777"/>
      <c r="R8777"/>
      <c r="W8777" s="4"/>
      <c r="X8777" s="4"/>
      <c r="Y8777" s="4"/>
    </row>
    <row r="8778" spans="5:25">
      <c r="E8778"/>
      <c r="G8778"/>
      <c r="H8778"/>
      <c r="I8778"/>
      <c r="K8778"/>
      <c r="O8778"/>
      <c r="R8778"/>
      <c r="W8778" s="4"/>
      <c r="X8778" s="4"/>
      <c r="Y8778" s="4"/>
    </row>
    <row r="8779" spans="5:25">
      <c r="E8779"/>
      <c r="G8779"/>
      <c r="H8779"/>
      <c r="I8779"/>
      <c r="K8779"/>
      <c r="O8779"/>
      <c r="R8779"/>
      <c r="W8779" s="4"/>
      <c r="X8779" s="4"/>
      <c r="Y8779" s="4"/>
    </row>
    <row r="8780" spans="5:25">
      <c r="E8780"/>
      <c r="G8780"/>
      <c r="H8780"/>
      <c r="I8780"/>
      <c r="K8780"/>
      <c r="O8780"/>
      <c r="R8780"/>
      <c r="W8780" s="4"/>
      <c r="X8780" s="4"/>
      <c r="Y8780" s="4"/>
    </row>
    <row r="8781" spans="5:25">
      <c r="E8781"/>
      <c r="G8781"/>
      <c r="H8781"/>
      <c r="I8781"/>
      <c r="K8781"/>
      <c r="O8781"/>
      <c r="R8781"/>
      <c r="W8781" s="4"/>
      <c r="X8781" s="4"/>
      <c r="Y8781" s="4"/>
    </row>
    <row r="8782" spans="5:25">
      <c r="E8782"/>
      <c r="G8782"/>
      <c r="H8782"/>
      <c r="I8782"/>
      <c r="K8782"/>
      <c r="O8782"/>
      <c r="R8782"/>
      <c r="W8782" s="4"/>
      <c r="X8782" s="4"/>
      <c r="Y8782" s="4"/>
    </row>
    <row r="8783" spans="5:25">
      <c r="E8783"/>
      <c r="G8783"/>
      <c r="H8783"/>
      <c r="I8783"/>
      <c r="K8783"/>
      <c r="O8783"/>
      <c r="R8783"/>
      <c r="W8783" s="4"/>
      <c r="X8783" s="4"/>
      <c r="Y8783" s="4"/>
    </row>
    <row r="8784" spans="5:25">
      <c r="E8784"/>
      <c r="G8784"/>
      <c r="H8784"/>
      <c r="I8784"/>
      <c r="K8784"/>
      <c r="O8784"/>
      <c r="R8784"/>
      <c r="W8784" s="4"/>
      <c r="X8784" s="4"/>
      <c r="Y8784" s="4"/>
    </row>
    <row r="8785" spans="5:25">
      <c r="E8785"/>
      <c r="G8785"/>
      <c r="H8785"/>
      <c r="I8785"/>
      <c r="K8785"/>
      <c r="O8785"/>
      <c r="R8785"/>
      <c r="W8785" s="4"/>
      <c r="X8785" s="4"/>
      <c r="Y8785" s="4"/>
    </row>
    <row r="8786" spans="5:25">
      <c r="E8786"/>
      <c r="G8786"/>
      <c r="H8786"/>
      <c r="I8786"/>
      <c r="K8786"/>
      <c r="O8786"/>
      <c r="R8786"/>
      <c r="W8786" s="4"/>
      <c r="X8786" s="4"/>
      <c r="Y8786" s="4"/>
    </row>
    <row r="8787" spans="5:25">
      <c r="E8787"/>
      <c r="G8787"/>
      <c r="H8787"/>
      <c r="I8787"/>
      <c r="K8787"/>
      <c r="O8787"/>
      <c r="R8787"/>
      <c r="W8787" s="4"/>
      <c r="X8787" s="4"/>
      <c r="Y8787" s="4"/>
    </row>
    <row r="8788" spans="5:25">
      <c r="E8788"/>
      <c r="G8788"/>
      <c r="H8788"/>
      <c r="I8788"/>
      <c r="K8788"/>
      <c r="O8788"/>
      <c r="R8788"/>
      <c r="W8788" s="4"/>
      <c r="X8788" s="4"/>
      <c r="Y8788" s="4"/>
    </row>
    <row r="8789" spans="5:25">
      <c r="E8789"/>
      <c r="G8789"/>
      <c r="H8789"/>
      <c r="I8789"/>
      <c r="K8789"/>
      <c r="O8789"/>
      <c r="R8789"/>
      <c r="W8789" s="4"/>
      <c r="X8789" s="4"/>
      <c r="Y8789" s="4"/>
    </row>
    <row r="8790" spans="5:25">
      <c r="E8790"/>
      <c r="G8790"/>
      <c r="H8790"/>
      <c r="I8790"/>
      <c r="K8790"/>
      <c r="O8790"/>
      <c r="R8790"/>
      <c r="W8790" s="4"/>
      <c r="X8790" s="4"/>
      <c r="Y8790" s="4"/>
    </row>
    <row r="8791" spans="5:25">
      <c r="E8791"/>
      <c r="G8791"/>
      <c r="H8791"/>
      <c r="I8791"/>
      <c r="K8791"/>
      <c r="O8791"/>
      <c r="R8791"/>
      <c r="W8791" s="4"/>
      <c r="X8791" s="4"/>
      <c r="Y8791" s="4"/>
    </row>
    <row r="8792" spans="5:25">
      <c r="E8792"/>
      <c r="G8792"/>
      <c r="H8792"/>
      <c r="I8792"/>
      <c r="K8792"/>
      <c r="O8792"/>
      <c r="R8792"/>
      <c r="W8792" s="4"/>
      <c r="X8792" s="4"/>
      <c r="Y8792" s="4"/>
    </row>
    <row r="8793" spans="5:25">
      <c r="E8793"/>
      <c r="G8793"/>
      <c r="H8793"/>
      <c r="I8793"/>
      <c r="K8793"/>
      <c r="O8793"/>
      <c r="R8793"/>
      <c r="W8793" s="4"/>
      <c r="X8793" s="4"/>
      <c r="Y8793" s="4"/>
    </row>
    <row r="8794" spans="5:25">
      <c r="E8794"/>
      <c r="G8794"/>
      <c r="H8794"/>
      <c r="I8794"/>
      <c r="K8794"/>
      <c r="O8794"/>
      <c r="R8794"/>
      <c r="W8794" s="4"/>
      <c r="X8794" s="4"/>
      <c r="Y8794" s="4"/>
    </row>
    <row r="8795" spans="5:25">
      <c r="E8795"/>
      <c r="G8795"/>
      <c r="H8795"/>
      <c r="I8795"/>
      <c r="K8795"/>
      <c r="O8795"/>
      <c r="R8795"/>
      <c r="W8795" s="4"/>
      <c r="X8795" s="4"/>
      <c r="Y8795" s="4"/>
    </row>
    <row r="8796" spans="5:25">
      <c r="E8796"/>
      <c r="G8796"/>
      <c r="H8796"/>
      <c r="I8796"/>
      <c r="K8796"/>
      <c r="O8796"/>
      <c r="R8796"/>
      <c r="W8796" s="4"/>
      <c r="X8796" s="4"/>
      <c r="Y8796" s="4"/>
    </row>
    <row r="8797" spans="5:25">
      <c r="E8797"/>
      <c r="G8797"/>
      <c r="H8797"/>
      <c r="I8797"/>
      <c r="K8797"/>
      <c r="O8797"/>
      <c r="R8797"/>
      <c r="W8797" s="4"/>
      <c r="X8797" s="4"/>
      <c r="Y8797" s="4"/>
    </row>
    <row r="8798" spans="5:25">
      <c r="E8798"/>
      <c r="G8798"/>
      <c r="H8798"/>
      <c r="I8798"/>
      <c r="K8798"/>
      <c r="O8798"/>
      <c r="R8798"/>
      <c r="W8798" s="4"/>
      <c r="X8798" s="4"/>
      <c r="Y8798" s="4"/>
    </row>
    <row r="8799" spans="5:25">
      <c r="E8799"/>
      <c r="G8799"/>
      <c r="H8799"/>
      <c r="I8799"/>
      <c r="K8799"/>
      <c r="O8799"/>
      <c r="R8799"/>
      <c r="W8799" s="4"/>
      <c r="X8799" s="4"/>
      <c r="Y8799" s="4"/>
    </row>
    <row r="8800" spans="5:25">
      <c r="E8800"/>
      <c r="G8800"/>
      <c r="H8800"/>
      <c r="I8800"/>
      <c r="K8800"/>
      <c r="O8800"/>
      <c r="R8800"/>
      <c r="W8800" s="4"/>
      <c r="X8800" s="4"/>
      <c r="Y8800" s="4"/>
    </row>
    <row r="8801" spans="5:25">
      <c r="E8801"/>
      <c r="G8801"/>
      <c r="H8801"/>
      <c r="I8801"/>
      <c r="K8801"/>
      <c r="O8801"/>
      <c r="R8801"/>
      <c r="W8801" s="4"/>
      <c r="X8801" s="4"/>
      <c r="Y8801" s="4"/>
    </row>
    <row r="8802" spans="5:25">
      <c r="E8802"/>
      <c r="G8802"/>
      <c r="H8802"/>
      <c r="I8802"/>
      <c r="K8802"/>
      <c r="O8802"/>
      <c r="R8802"/>
      <c r="W8802" s="4"/>
      <c r="X8802" s="4"/>
      <c r="Y8802" s="4"/>
    </row>
    <row r="8803" spans="5:25">
      <c r="E8803"/>
      <c r="G8803"/>
      <c r="H8803"/>
      <c r="I8803"/>
      <c r="K8803"/>
      <c r="O8803"/>
      <c r="R8803"/>
      <c r="W8803" s="4"/>
      <c r="X8803" s="4"/>
      <c r="Y8803" s="4"/>
    </row>
    <row r="8804" spans="5:25">
      <c r="E8804"/>
      <c r="G8804"/>
      <c r="H8804"/>
      <c r="I8804"/>
      <c r="K8804"/>
      <c r="O8804"/>
      <c r="R8804"/>
      <c r="W8804" s="4"/>
      <c r="X8804" s="4"/>
      <c r="Y8804" s="4"/>
    </row>
    <row r="8805" spans="5:25">
      <c r="E8805"/>
      <c r="G8805"/>
      <c r="H8805"/>
      <c r="I8805"/>
      <c r="K8805"/>
      <c r="O8805"/>
      <c r="R8805"/>
      <c r="W8805" s="4"/>
      <c r="X8805" s="4"/>
      <c r="Y8805" s="4"/>
    </row>
    <row r="8806" spans="5:25">
      <c r="E8806"/>
      <c r="G8806"/>
      <c r="H8806"/>
      <c r="I8806"/>
      <c r="K8806"/>
      <c r="O8806"/>
      <c r="R8806"/>
      <c r="W8806" s="4"/>
      <c r="X8806" s="4"/>
      <c r="Y8806" s="4"/>
    </row>
    <row r="8807" spans="5:25">
      <c r="E8807"/>
      <c r="G8807"/>
      <c r="H8807"/>
      <c r="I8807"/>
      <c r="K8807"/>
      <c r="O8807"/>
      <c r="R8807"/>
      <c r="W8807" s="4"/>
      <c r="X8807" s="4"/>
      <c r="Y8807" s="4"/>
    </row>
    <row r="8808" spans="5:25">
      <c r="E8808"/>
      <c r="G8808"/>
      <c r="H8808"/>
      <c r="I8808"/>
      <c r="K8808"/>
      <c r="O8808"/>
      <c r="R8808"/>
      <c r="W8808" s="4"/>
      <c r="X8808" s="4"/>
      <c r="Y8808" s="4"/>
    </row>
    <row r="8809" spans="5:25">
      <c r="E8809"/>
      <c r="G8809"/>
      <c r="H8809"/>
      <c r="I8809"/>
      <c r="K8809"/>
      <c r="O8809"/>
      <c r="R8809"/>
      <c r="W8809" s="4"/>
      <c r="X8809" s="4"/>
      <c r="Y8809" s="4"/>
    </row>
    <row r="8810" spans="5:25">
      <c r="E8810"/>
      <c r="G8810"/>
      <c r="H8810"/>
      <c r="I8810"/>
      <c r="K8810"/>
      <c r="O8810"/>
      <c r="R8810"/>
      <c r="W8810" s="4"/>
      <c r="X8810" s="4"/>
      <c r="Y8810" s="4"/>
    </row>
    <row r="8811" spans="5:25">
      <c r="E8811"/>
      <c r="G8811"/>
      <c r="H8811"/>
      <c r="I8811"/>
      <c r="K8811"/>
      <c r="O8811"/>
      <c r="R8811"/>
      <c r="W8811" s="4"/>
      <c r="X8811" s="4"/>
      <c r="Y8811" s="4"/>
    </row>
    <row r="8812" spans="5:25">
      <c r="E8812"/>
      <c r="G8812"/>
      <c r="H8812"/>
      <c r="I8812"/>
      <c r="K8812"/>
      <c r="O8812"/>
      <c r="R8812"/>
      <c r="W8812" s="4"/>
      <c r="X8812" s="4"/>
      <c r="Y8812" s="4"/>
    </row>
    <row r="8813" spans="5:25">
      <c r="E8813"/>
      <c r="G8813"/>
      <c r="H8813"/>
      <c r="I8813"/>
      <c r="K8813"/>
      <c r="O8813"/>
      <c r="R8813"/>
      <c r="W8813" s="4"/>
      <c r="X8813" s="4"/>
      <c r="Y8813" s="4"/>
    </row>
    <row r="8814" spans="5:25">
      <c r="E8814"/>
      <c r="G8814"/>
      <c r="H8814"/>
      <c r="I8814"/>
      <c r="K8814"/>
      <c r="O8814"/>
      <c r="R8814"/>
      <c r="W8814" s="4"/>
      <c r="X8814" s="4"/>
      <c r="Y8814" s="4"/>
    </row>
    <row r="8815" spans="5:25">
      <c r="E8815"/>
      <c r="G8815"/>
      <c r="H8815"/>
      <c r="I8815"/>
      <c r="K8815"/>
      <c r="O8815"/>
      <c r="R8815"/>
      <c r="W8815" s="4"/>
      <c r="X8815" s="4"/>
      <c r="Y8815" s="4"/>
    </row>
    <row r="8816" spans="5:25">
      <c r="E8816"/>
      <c r="G8816"/>
      <c r="H8816"/>
      <c r="I8816"/>
      <c r="K8816"/>
      <c r="O8816"/>
      <c r="R8816"/>
      <c r="W8816" s="4"/>
      <c r="X8816" s="4"/>
      <c r="Y8816" s="4"/>
    </row>
    <row r="8817" spans="5:25">
      <c r="E8817"/>
      <c r="G8817"/>
      <c r="H8817"/>
      <c r="I8817"/>
      <c r="K8817"/>
      <c r="O8817"/>
      <c r="R8817"/>
      <c r="W8817" s="4"/>
      <c r="X8817" s="4"/>
      <c r="Y8817" s="4"/>
    </row>
    <row r="8818" spans="5:25">
      <c r="E8818"/>
      <c r="G8818"/>
      <c r="H8818"/>
      <c r="I8818"/>
      <c r="K8818"/>
      <c r="O8818"/>
      <c r="R8818"/>
      <c r="W8818" s="4"/>
      <c r="X8818" s="4"/>
      <c r="Y8818" s="4"/>
    </row>
    <row r="8819" spans="5:25">
      <c r="E8819"/>
      <c r="G8819"/>
      <c r="H8819"/>
      <c r="I8819"/>
      <c r="K8819"/>
      <c r="O8819"/>
      <c r="R8819"/>
      <c r="W8819" s="4"/>
      <c r="X8819" s="4"/>
      <c r="Y8819" s="4"/>
    </row>
    <row r="8820" spans="5:25">
      <c r="E8820"/>
      <c r="G8820"/>
      <c r="H8820"/>
      <c r="I8820"/>
      <c r="K8820"/>
      <c r="O8820"/>
      <c r="R8820"/>
      <c r="W8820" s="4"/>
      <c r="X8820" s="4"/>
      <c r="Y8820" s="4"/>
    </row>
    <row r="8821" spans="5:25">
      <c r="E8821"/>
      <c r="G8821"/>
      <c r="H8821"/>
      <c r="I8821"/>
      <c r="K8821"/>
      <c r="O8821"/>
      <c r="R8821"/>
      <c r="W8821" s="4"/>
      <c r="X8821" s="4"/>
      <c r="Y8821" s="4"/>
    </row>
    <row r="8822" spans="5:25">
      <c r="E8822"/>
      <c r="G8822"/>
      <c r="H8822"/>
      <c r="I8822"/>
      <c r="K8822"/>
      <c r="O8822"/>
      <c r="R8822"/>
      <c r="W8822" s="4"/>
      <c r="X8822" s="4"/>
      <c r="Y8822" s="4"/>
    </row>
    <row r="8823" spans="5:25">
      <c r="E8823"/>
      <c r="G8823"/>
      <c r="H8823"/>
      <c r="I8823"/>
      <c r="K8823"/>
      <c r="O8823"/>
      <c r="R8823"/>
      <c r="W8823" s="4"/>
      <c r="X8823" s="4"/>
      <c r="Y8823" s="4"/>
    </row>
    <row r="8824" spans="5:25">
      <c r="E8824"/>
      <c r="G8824"/>
      <c r="H8824"/>
      <c r="I8824"/>
      <c r="K8824"/>
      <c r="O8824"/>
      <c r="R8824"/>
      <c r="W8824" s="4"/>
      <c r="X8824" s="4"/>
      <c r="Y8824" s="4"/>
    </row>
    <row r="8825" spans="5:25">
      <c r="E8825"/>
      <c r="G8825"/>
      <c r="H8825"/>
      <c r="I8825"/>
      <c r="K8825"/>
      <c r="O8825"/>
      <c r="R8825"/>
      <c r="W8825" s="4"/>
      <c r="X8825" s="4"/>
      <c r="Y8825" s="4"/>
    </row>
    <row r="8826" spans="5:25">
      <c r="E8826"/>
      <c r="G8826"/>
      <c r="H8826"/>
      <c r="I8826"/>
      <c r="K8826"/>
      <c r="O8826"/>
      <c r="R8826"/>
      <c r="W8826" s="4"/>
      <c r="X8826" s="4"/>
      <c r="Y8826" s="4"/>
    </row>
    <row r="8827" spans="5:25">
      <c r="E8827"/>
      <c r="G8827"/>
      <c r="H8827"/>
      <c r="I8827"/>
      <c r="K8827"/>
      <c r="O8827"/>
      <c r="R8827"/>
      <c r="W8827" s="4"/>
      <c r="X8827" s="4"/>
      <c r="Y8827" s="4"/>
    </row>
    <row r="8828" spans="5:25">
      <c r="E8828"/>
      <c r="G8828"/>
      <c r="H8828"/>
      <c r="I8828"/>
      <c r="K8828"/>
      <c r="O8828"/>
      <c r="R8828"/>
      <c r="W8828" s="4"/>
      <c r="X8828" s="4"/>
      <c r="Y8828" s="4"/>
    </row>
    <row r="8829" spans="5:25">
      <c r="E8829"/>
      <c r="G8829"/>
      <c r="H8829"/>
      <c r="I8829"/>
      <c r="K8829"/>
      <c r="O8829"/>
      <c r="R8829"/>
      <c r="W8829" s="4"/>
      <c r="X8829" s="4"/>
      <c r="Y8829" s="4"/>
    </row>
    <row r="8830" spans="5:25">
      <c r="E8830"/>
      <c r="G8830"/>
      <c r="H8830"/>
      <c r="I8830"/>
      <c r="K8830"/>
      <c r="O8830"/>
      <c r="R8830"/>
      <c r="W8830" s="4"/>
      <c r="X8830" s="4"/>
      <c r="Y8830" s="4"/>
    </row>
    <row r="8831" spans="5:25">
      <c r="E8831"/>
      <c r="G8831"/>
      <c r="H8831"/>
      <c r="I8831"/>
      <c r="K8831"/>
      <c r="O8831"/>
      <c r="R8831"/>
      <c r="W8831" s="4"/>
      <c r="X8831" s="4"/>
      <c r="Y8831" s="4"/>
    </row>
    <row r="8832" spans="5:25">
      <c r="E8832"/>
      <c r="G8832"/>
      <c r="H8832"/>
      <c r="I8832"/>
      <c r="K8832"/>
      <c r="O8832"/>
      <c r="R8832"/>
      <c r="W8832" s="4"/>
      <c r="X8832" s="4"/>
      <c r="Y8832" s="4"/>
    </row>
    <row r="8833" spans="5:25">
      <c r="E8833"/>
      <c r="G8833"/>
      <c r="H8833"/>
      <c r="I8833"/>
      <c r="K8833"/>
      <c r="O8833"/>
      <c r="R8833"/>
      <c r="W8833" s="4"/>
      <c r="X8833" s="4"/>
      <c r="Y8833" s="4"/>
    </row>
    <row r="8834" spans="5:25">
      <c r="E8834"/>
      <c r="G8834"/>
      <c r="H8834"/>
      <c r="I8834"/>
      <c r="K8834"/>
      <c r="O8834"/>
      <c r="R8834"/>
      <c r="W8834" s="4"/>
      <c r="X8834" s="4"/>
      <c r="Y8834" s="4"/>
    </row>
    <row r="8835" spans="5:25">
      <c r="E8835"/>
      <c r="G8835"/>
      <c r="H8835"/>
      <c r="I8835"/>
      <c r="K8835"/>
      <c r="O8835"/>
      <c r="R8835"/>
      <c r="W8835" s="4"/>
      <c r="X8835" s="4"/>
      <c r="Y8835" s="4"/>
    </row>
    <row r="8836" spans="5:25">
      <c r="E8836"/>
      <c r="G8836"/>
      <c r="H8836"/>
      <c r="I8836"/>
      <c r="K8836"/>
      <c r="O8836"/>
      <c r="R8836"/>
      <c r="W8836" s="4"/>
      <c r="X8836" s="4"/>
      <c r="Y8836" s="4"/>
    </row>
    <row r="8837" spans="5:25">
      <c r="E8837"/>
      <c r="G8837"/>
      <c r="H8837"/>
      <c r="I8837"/>
      <c r="K8837"/>
      <c r="O8837"/>
      <c r="R8837"/>
      <c r="W8837" s="4"/>
      <c r="X8837" s="4"/>
      <c r="Y8837" s="4"/>
    </row>
    <row r="8838" spans="5:25">
      <c r="E8838"/>
      <c r="G8838"/>
      <c r="H8838"/>
      <c r="I8838"/>
      <c r="K8838"/>
      <c r="O8838"/>
      <c r="R8838"/>
      <c r="W8838" s="4"/>
      <c r="X8838" s="4"/>
      <c r="Y8838" s="4"/>
    </row>
    <row r="8839" spans="5:25">
      <c r="E8839"/>
      <c r="G8839"/>
      <c r="H8839"/>
      <c r="I8839"/>
      <c r="K8839"/>
      <c r="O8839"/>
      <c r="R8839"/>
      <c r="W8839" s="4"/>
      <c r="X8839" s="4"/>
      <c r="Y8839" s="4"/>
    </row>
    <row r="8840" spans="5:25">
      <c r="E8840"/>
      <c r="G8840"/>
      <c r="H8840"/>
      <c r="I8840"/>
      <c r="K8840"/>
      <c r="O8840"/>
      <c r="R8840"/>
      <c r="W8840" s="4"/>
      <c r="X8840" s="4"/>
      <c r="Y8840" s="4"/>
    </row>
    <row r="8841" spans="5:25">
      <c r="E8841"/>
      <c r="G8841"/>
      <c r="H8841"/>
      <c r="I8841"/>
      <c r="K8841"/>
      <c r="O8841"/>
      <c r="R8841"/>
      <c r="W8841" s="4"/>
      <c r="X8841" s="4"/>
      <c r="Y8841" s="4"/>
    </row>
    <row r="8842" spans="5:25">
      <c r="E8842"/>
      <c r="G8842"/>
      <c r="H8842"/>
      <c r="I8842"/>
      <c r="K8842"/>
      <c r="O8842"/>
      <c r="R8842"/>
      <c r="W8842" s="4"/>
      <c r="X8842" s="4"/>
      <c r="Y8842" s="4"/>
    </row>
    <row r="8843" spans="5:25">
      <c r="E8843"/>
      <c r="G8843"/>
      <c r="H8843"/>
      <c r="I8843"/>
      <c r="K8843"/>
      <c r="O8843"/>
      <c r="R8843"/>
      <c r="W8843" s="4"/>
      <c r="X8843" s="4"/>
      <c r="Y8843" s="4"/>
    </row>
    <row r="8844" spans="5:25">
      <c r="E8844"/>
      <c r="G8844"/>
      <c r="H8844"/>
      <c r="I8844"/>
      <c r="K8844"/>
      <c r="O8844"/>
      <c r="R8844"/>
      <c r="W8844" s="4"/>
      <c r="X8844" s="4"/>
      <c r="Y8844" s="4"/>
    </row>
    <row r="8845" spans="5:25">
      <c r="E8845"/>
      <c r="G8845"/>
      <c r="H8845"/>
      <c r="I8845"/>
      <c r="K8845"/>
      <c r="O8845"/>
      <c r="R8845"/>
      <c r="W8845" s="4"/>
      <c r="X8845" s="4"/>
      <c r="Y8845" s="4"/>
    </row>
    <row r="8846" spans="5:25">
      <c r="E8846"/>
      <c r="G8846"/>
      <c r="H8846"/>
      <c r="I8846"/>
      <c r="K8846"/>
      <c r="O8846"/>
      <c r="R8846"/>
      <c r="W8846" s="4"/>
      <c r="X8846" s="4"/>
      <c r="Y8846" s="4"/>
    </row>
    <row r="8847" spans="5:25">
      <c r="E8847"/>
      <c r="G8847"/>
      <c r="H8847"/>
      <c r="I8847"/>
      <c r="K8847"/>
      <c r="O8847"/>
      <c r="R8847"/>
      <c r="W8847" s="4"/>
      <c r="X8847" s="4"/>
      <c r="Y8847" s="4"/>
    </row>
    <row r="8848" spans="5:25">
      <c r="E8848"/>
      <c r="G8848"/>
      <c r="H8848"/>
      <c r="I8848"/>
      <c r="K8848"/>
      <c r="O8848"/>
      <c r="R8848"/>
      <c r="W8848" s="4"/>
      <c r="X8848" s="4"/>
      <c r="Y8848" s="4"/>
    </row>
    <row r="8849" spans="5:25">
      <c r="E8849"/>
      <c r="G8849"/>
      <c r="H8849"/>
      <c r="I8849"/>
      <c r="K8849"/>
      <c r="O8849"/>
      <c r="R8849"/>
      <c r="W8849" s="4"/>
      <c r="X8849" s="4"/>
      <c r="Y8849" s="4"/>
    </row>
    <row r="8850" spans="5:25">
      <c r="E8850"/>
      <c r="G8850"/>
      <c r="H8850"/>
      <c r="I8850"/>
      <c r="K8850"/>
      <c r="O8850"/>
      <c r="R8850"/>
      <c r="W8850" s="4"/>
      <c r="X8850" s="4"/>
      <c r="Y8850" s="4"/>
    </row>
    <row r="8851" spans="5:25">
      <c r="E8851"/>
      <c r="G8851"/>
      <c r="H8851"/>
      <c r="I8851"/>
      <c r="K8851"/>
      <c r="O8851"/>
      <c r="R8851"/>
      <c r="W8851" s="4"/>
      <c r="X8851" s="4"/>
      <c r="Y8851" s="4"/>
    </row>
    <row r="8852" spans="5:25">
      <c r="E8852"/>
      <c r="G8852"/>
      <c r="H8852"/>
      <c r="I8852"/>
      <c r="K8852"/>
      <c r="O8852"/>
      <c r="R8852"/>
      <c r="W8852" s="4"/>
      <c r="X8852" s="4"/>
      <c r="Y8852" s="4"/>
    </row>
    <row r="8853" spans="5:25">
      <c r="E8853"/>
      <c r="G8853"/>
      <c r="H8853"/>
      <c r="I8853"/>
      <c r="K8853"/>
      <c r="O8853"/>
      <c r="R8853"/>
      <c r="W8853" s="4"/>
      <c r="X8853" s="4"/>
      <c r="Y8853" s="4"/>
    </row>
    <row r="8854" spans="5:25">
      <c r="E8854"/>
      <c r="G8854"/>
      <c r="H8854"/>
      <c r="I8854"/>
      <c r="K8854"/>
      <c r="O8854"/>
      <c r="R8854"/>
      <c r="W8854" s="4"/>
      <c r="X8854" s="4"/>
      <c r="Y8854" s="4"/>
    </row>
    <row r="8855" spans="5:25">
      <c r="E8855"/>
      <c r="G8855"/>
      <c r="H8855"/>
      <c r="I8855"/>
      <c r="K8855"/>
      <c r="O8855"/>
      <c r="R8855"/>
      <c r="W8855" s="4"/>
      <c r="X8855" s="4"/>
      <c r="Y8855" s="4"/>
    </row>
    <row r="8856" spans="5:25">
      <c r="E8856"/>
      <c r="G8856"/>
      <c r="H8856"/>
      <c r="I8856"/>
      <c r="K8856"/>
      <c r="O8856"/>
      <c r="R8856"/>
      <c r="W8856" s="4"/>
      <c r="X8856" s="4"/>
      <c r="Y8856" s="4"/>
    </row>
    <row r="8857" spans="5:25">
      <c r="E8857"/>
      <c r="G8857"/>
      <c r="H8857"/>
      <c r="I8857"/>
      <c r="K8857"/>
      <c r="O8857"/>
      <c r="R8857"/>
      <c r="W8857" s="4"/>
      <c r="X8857" s="4"/>
      <c r="Y8857" s="4"/>
    </row>
    <row r="8858" spans="5:25">
      <c r="E8858"/>
      <c r="G8858"/>
      <c r="H8858"/>
      <c r="I8858"/>
      <c r="K8858"/>
      <c r="O8858"/>
      <c r="R8858"/>
      <c r="W8858" s="4"/>
      <c r="X8858" s="4"/>
      <c r="Y8858" s="4"/>
    </row>
    <row r="8859" spans="5:25">
      <c r="E8859"/>
      <c r="G8859"/>
      <c r="H8859"/>
      <c r="I8859"/>
      <c r="K8859"/>
      <c r="O8859"/>
      <c r="R8859"/>
      <c r="W8859" s="4"/>
      <c r="X8859" s="4"/>
      <c r="Y8859" s="4"/>
    </row>
    <row r="8860" spans="5:25">
      <c r="E8860"/>
      <c r="G8860"/>
      <c r="H8860"/>
      <c r="I8860"/>
      <c r="K8860"/>
      <c r="O8860"/>
      <c r="R8860"/>
      <c r="W8860" s="4"/>
      <c r="X8860" s="4"/>
      <c r="Y8860" s="4"/>
    </row>
    <row r="8861" spans="5:25">
      <c r="E8861"/>
      <c r="G8861"/>
      <c r="H8861"/>
      <c r="I8861"/>
      <c r="K8861"/>
      <c r="O8861"/>
      <c r="R8861"/>
      <c r="W8861" s="4"/>
      <c r="X8861" s="4"/>
      <c r="Y8861" s="4"/>
    </row>
    <row r="8862" spans="5:25">
      <c r="E8862"/>
      <c r="G8862"/>
      <c r="H8862"/>
      <c r="I8862"/>
      <c r="K8862"/>
      <c r="O8862"/>
      <c r="R8862"/>
      <c r="W8862" s="4"/>
      <c r="X8862" s="4"/>
      <c r="Y8862" s="4"/>
    </row>
    <row r="8863" spans="5:25">
      <c r="E8863"/>
      <c r="G8863"/>
      <c r="H8863"/>
      <c r="I8863"/>
      <c r="K8863"/>
      <c r="O8863"/>
      <c r="R8863"/>
      <c r="W8863" s="4"/>
      <c r="X8863" s="4"/>
      <c r="Y8863" s="4"/>
    </row>
    <row r="8864" spans="5:25">
      <c r="E8864"/>
      <c r="G8864"/>
      <c r="H8864"/>
      <c r="I8864"/>
      <c r="K8864"/>
      <c r="O8864"/>
      <c r="R8864"/>
      <c r="W8864" s="4"/>
      <c r="X8864" s="4"/>
      <c r="Y8864" s="4"/>
    </row>
    <row r="8865" spans="5:25">
      <c r="E8865"/>
      <c r="G8865"/>
      <c r="H8865"/>
      <c r="I8865"/>
      <c r="K8865"/>
      <c r="O8865"/>
      <c r="R8865"/>
      <c r="W8865" s="4"/>
      <c r="X8865" s="4"/>
      <c r="Y8865" s="4"/>
    </row>
    <row r="8866" spans="5:25">
      <c r="E8866"/>
      <c r="G8866"/>
      <c r="H8866"/>
      <c r="I8866"/>
      <c r="K8866"/>
      <c r="O8866"/>
      <c r="R8866"/>
      <c r="W8866" s="4"/>
      <c r="X8866" s="4"/>
      <c r="Y8866" s="4"/>
    </row>
    <row r="8867" spans="5:25">
      <c r="E8867"/>
      <c r="G8867"/>
      <c r="H8867"/>
      <c r="I8867"/>
      <c r="K8867"/>
      <c r="O8867"/>
      <c r="R8867"/>
      <c r="W8867" s="4"/>
      <c r="X8867" s="4"/>
      <c r="Y8867" s="4"/>
    </row>
    <row r="8868" spans="5:25">
      <c r="E8868"/>
      <c r="G8868"/>
      <c r="H8868"/>
      <c r="I8868"/>
      <c r="K8868"/>
      <c r="O8868"/>
      <c r="R8868"/>
      <c r="W8868" s="4"/>
      <c r="X8868" s="4"/>
      <c r="Y8868" s="4"/>
    </row>
    <row r="8869" spans="5:25">
      <c r="E8869"/>
      <c r="G8869"/>
      <c r="H8869"/>
      <c r="I8869"/>
      <c r="K8869"/>
      <c r="O8869"/>
      <c r="R8869"/>
      <c r="W8869" s="4"/>
      <c r="X8869" s="4"/>
      <c r="Y8869" s="4"/>
    </row>
    <row r="8870" spans="5:25">
      <c r="E8870"/>
      <c r="G8870"/>
      <c r="H8870"/>
      <c r="I8870"/>
      <c r="K8870"/>
      <c r="O8870"/>
      <c r="R8870"/>
      <c r="W8870" s="4"/>
      <c r="X8870" s="4"/>
      <c r="Y8870" s="4"/>
    </row>
    <row r="8871" spans="5:25">
      <c r="E8871"/>
      <c r="G8871"/>
      <c r="H8871"/>
      <c r="I8871"/>
      <c r="K8871"/>
      <c r="O8871"/>
      <c r="R8871"/>
      <c r="W8871" s="4"/>
      <c r="X8871" s="4"/>
      <c r="Y8871" s="4"/>
    </row>
    <row r="8872" spans="5:25">
      <c r="E8872"/>
      <c r="G8872"/>
      <c r="H8872"/>
      <c r="I8872"/>
      <c r="K8872"/>
      <c r="O8872"/>
      <c r="R8872"/>
      <c r="W8872" s="4"/>
      <c r="X8872" s="4"/>
      <c r="Y8872" s="4"/>
    </row>
    <row r="8873" spans="5:25">
      <c r="E8873"/>
      <c r="G8873"/>
      <c r="H8873"/>
      <c r="I8873"/>
      <c r="K8873"/>
      <c r="O8873"/>
      <c r="R8873"/>
      <c r="W8873" s="4"/>
      <c r="X8873" s="4"/>
      <c r="Y8873" s="4"/>
    </row>
    <row r="8874" spans="5:25">
      <c r="E8874"/>
      <c r="G8874"/>
      <c r="H8874"/>
      <c r="I8874"/>
      <c r="K8874"/>
      <c r="O8874"/>
      <c r="R8874"/>
      <c r="W8874" s="4"/>
      <c r="X8874" s="4"/>
      <c r="Y8874" s="4"/>
    </row>
    <row r="8875" spans="5:25">
      <c r="E8875"/>
      <c r="G8875"/>
      <c r="H8875"/>
      <c r="I8875"/>
      <c r="K8875"/>
      <c r="O8875"/>
      <c r="R8875"/>
      <c r="W8875" s="4"/>
      <c r="X8875" s="4"/>
      <c r="Y8875" s="4"/>
    </row>
    <row r="8876" spans="5:25">
      <c r="E8876"/>
      <c r="G8876"/>
      <c r="H8876"/>
      <c r="I8876"/>
      <c r="K8876"/>
      <c r="O8876"/>
      <c r="R8876"/>
      <c r="W8876" s="4"/>
      <c r="X8876" s="4"/>
      <c r="Y8876" s="4"/>
    </row>
    <row r="8877" spans="5:25">
      <c r="E8877"/>
      <c r="G8877"/>
      <c r="H8877"/>
      <c r="I8877"/>
      <c r="K8877"/>
      <c r="O8877"/>
      <c r="R8877"/>
      <c r="W8877" s="4"/>
      <c r="X8877" s="4"/>
      <c r="Y8877" s="4"/>
    </row>
    <row r="8878" spans="5:25">
      <c r="E8878"/>
      <c r="G8878"/>
      <c r="H8878"/>
      <c r="I8878"/>
      <c r="K8878"/>
      <c r="O8878"/>
      <c r="R8878"/>
      <c r="W8878" s="4"/>
      <c r="X8878" s="4"/>
      <c r="Y8878" s="4"/>
    </row>
    <row r="8879" spans="5:25">
      <c r="E8879"/>
      <c r="G8879"/>
      <c r="H8879"/>
      <c r="I8879"/>
      <c r="K8879"/>
      <c r="O8879"/>
      <c r="R8879"/>
      <c r="W8879" s="4"/>
      <c r="X8879" s="4"/>
      <c r="Y8879" s="4"/>
    </row>
    <row r="8880" spans="5:25">
      <c r="E8880"/>
      <c r="G8880"/>
      <c r="H8880"/>
      <c r="I8880"/>
      <c r="K8880"/>
      <c r="O8880"/>
      <c r="R8880"/>
      <c r="W8880" s="4"/>
      <c r="X8880" s="4"/>
      <c r="Y8880" s="4"/>
    </row>
    <row r="8881" spans="5:25">
      <c r="E8881"/>
      <c r="G8881"/>
      <c r="H8881"/>
      <c r="I8881"/>
      <c r="K8881"/>
      <c r="O8881"/>
      <c r="R8881"/>
      <c r="W8881" s="4"/>
      <c r="X8881" s="4"/>
      <c r="Y8881" s="4"/>
    </row>
    <row r="8882" spans="5:25">
      <c r="E8882"/>
      <c r="G8882"/>
      <c r="H8882"/>
      <c r="I8882"/>
      <c r="K8882"/>
      <c r="O8882"/>
      <c r="R8882"/>
      <c r="W8882" s="4"/>
      <c r="X8882" s="4"/>
      <c r="Y8882" s="4"/>
    </row>
    <row r="8883" spans="5:25">
      <c r="E8883"/>
      <c r="G8883"/>
      <c r="H8883"/>
      <c r="I8883"/>
      <c r="K8883"/>
      <c r="O8883"/>
      <c r="R8883"/>
      <c r="W8883" s="4"/>
      <c r="X8883" s="4"/>
      <c r="Y8883" s="4"/>
    </row>
    <row r="8884" spans="5:25">
      <c r="E8884"/>
      <c r="G8884"/>
      <c r="H8884"/>
      <c r="I8884"/>
      <c r="K8884"/>
      <c r="O8884"/>
      <c r="R8884"/>
      <c r="W8884" s="4"/>
      <c r="X8884" s="4"/>
      <c r="Y8884" s="4"/>
    </row>
    <row r="8885" spans="5:25">
      <c r="E8885"/>
      <c r="G8885"/>
      <c r="H8885"/>
      <c r="I8885"/>
      <c r="K8885"/>
      <c r="O8885"/>
      <c r="R8885"/>
      <c r="W8885" s="4"/>
      <c r="X8885" s="4"/>
      <c r="Y8885" s="4"/>
    </row>
    <row r="8886" spans="5:25">
      <c r="E8886"/>
      <c r="G8886"/>
      <c r="H8886"/>
      <c r="I8886"/>
      <c r="K8886"/>
      <c r="O8886"/>
      <c r="R8886"/>
      <c r="W8886" s="4"/>
      <c r="X8886" s="4"/>
      <c r="Y8886" s="4"/>
    </row>
    <row r="8887" spans="5:25">
      <c r="E8887"/>
      <c r="G8887"/>
      <c r="H8887"/>
      <c r="I8887"/>
      <c r="K8887"/>
      <c r="O8887"/>
      <c r="R8887"/>
      <c r="W8887" s="4"/>
      <c r="X8887" s="4"/>
      <c r="Y8887" s="4"/>
    </row>
    <row r="8888" spans="5:25">
      <c r="E8888"/>
      <c r="G8888"/>
      <c r="H8888"/>
      <c r="I8888"/>
      <c r="K8888"/>
      <c r="O8888"/>
      <c r="R8888"/>
      <c r="W8888" s="4"/>
      <c r="X8888" s="4"/>
      <c r="Y8888" s="4"/>
    </row>
    <row r="8889" spans="5:25">
      <c r="E8889"/>
      <c r="G8889"/>
      <c r="H8889"/>
      <c r="I8889"/>
      <c r="K8889"/>
      <c r="O8889"/>
      <c r="R8889"/>
      <c r="W8889" s="4"/>
      <c r="X8889" s="4"/>
      <c r="Y8889" s="4"/>
    </row>
    <row r="8890" spans="5:25">
      <c r="E8890"/>
      <c r="G8890"/>
      <c r="H8890"/>
      <c r="I8890"/>
      <c r="K8890"/>
      <c r="O8890"/>
      <c r="R8890"/>
      <c r="W8890" s="4"/>
      <c r="X8890" s="4"/>
      <c r="Y8890" s="4"/>
    </row>
    <row r="8891" spans="5:25">
      <c r="E8891"/>
      <c r="G8891"/>
      <c r="H8891"/>
      <c r="I8891"/>
      <c r="K8891"/>
      <c r="O8891"/>
      <c r="R8891"/>
      <c r="W8891" s="4"/>
      <c r="X8891" s="4"/>
      <c r="Y8891" s="4"/>
    </row>
    <row r="8892" spans="5:25">
      <c r="E8892"/>
      <c r="G8892"/>
      <c r="H8892"/>
      <c r="I8892"/>
      <c r="K8892"/>
      <c r="O8892"/>
      <c r="R8892"/>
      <c r="W8892" s="4"/>
      <c r="X8892" s="4"/>
      <c r="Y8892" s="4"/>
    </row>
    <row r="8893" spans="5:25">
      <c r="E8893"/>
      <c r="G8893"/>
      <c r="H8893"/>
      <c r="I8893"/>
      <c r="K8893"/>
      <c r="O8893"/>
      <c r="R8893"/>
      <c r="W8893" s="4"/>
      <c r="X8893" s="4"/>
      <c r="Y8893" s="4"/>
    </row>
    <row r="8894" spans="5:25">
      <c r="E8894"/>
      <c r="G8894"/>
      <c r="H8894"/>
      <c r="I8894"/>
      <c r="K8894"/>
      <c r="O8894"/>
      <c r="R8894"/>
      <c r="W8894" s="4"/>
      <c r="X8894" s="4"/>
      <c r="Y8894" s="4"/>
    </row>
    <row r="8895" spans="5:25">
      <c r="E8895"/>
      <c r="G8895"/>
      <c r="H8895"/>
      <c r="I8895"/>
      <c r="K8895"/>
      <c r="O8895"/>
      <c r="R8895"/>
      <c r="W8895" s="4"/>
      <c r="X8895" s="4"/>
      <c r="Y8895" s="4"/>
    </row>
    <row r="8896" spans="5:25">
      <c r="E8896"/>
      <c r="G8896"/>
      <c r="H8896"/>
      <c r="I8896"/>
      <c r="K8896"/>
      <c r="O8896"/>
      <c r="R8896"/>
      <c r="W8896" s="4"/>
      <c r="X8896" s="4"/>
      <c r="Y8896" s="4"/>
    </row>
    <row r="8897" spans="5:25">
      <c r="E8897"/>
      <c r="G8897"/>
      <c r="H8897"/>
      <c r="I8897"/>
      <c r="K8897"/>
      <c r="O8897"/>
      <c r="R8897"/>
      <c r="W8897" s="4"/>
      <c r="X8897" s="4"/>
      <c r="Y8897" s="4"/>
    </row>
    <row r="8898" spans="5:25">
      <c r="E8898"/>
      <c r="G8898"/>
      <c r="H8898"/>
      <c r="I8898"/>
      <c r="K8898"/>
      <c r="O8898"/>
      <c r="R8898"/>
      <c r="W8898" s="4"/>
      <c r="X8898" s="4"/>
      <c r="Y8898" s="4"/>
    </row>
    <row r="8899" spans="5:25">
      <c r="E8899"/>
      <c r="G8899"/>
      <c r="H8899"/>
      <c r="I8899"/>
      <c r="K8899"/>
      <c r="O8899"/>
      <c r="R8899"/>
      <c r="W8899" s="4"/>
      <c r="X8899" s="4"/>
      <c r="Y8899" s="4"/>
    </row>
    <row r="8900" spans="5:25">
      <c r="E8900"/>
      <c r="G8900"/>
      <c r="H8900"/>
      <c r="I8900"/>
      <c r="K8900"/>
      <c r="O8900"/>
      <c r="R8900"/>
      <c r="W8900" s="4"/>
      <c r="X8900" s="4"/>
      <c r="Y8900" s="4"/>
    </row>
    <row r="8901" spans="5:25">
      <c r="E8901"/>
      <c r="G8901"/>
      <c r="H8901"/>
      <c r="I8901"/>
      <c r="K8901"/>
      <c r="O8901"/>
      <c r="R8901"/>
      <c r="W8901" s="4"/>
      <c r="X8901" s="4"/>
      <c r="Y8901" s="4"/>
    </row>
    <row r="8902" spans="5:25">
      <c r="E8902"/>
      <c r="G8902"/>
      <c r="H8902"/>
      <c r="I8902"/>
      <c r="K8902"/>
      <c r="O8902"/>
      <c r="R8902"/>
      <c r="W8902" s="4"/>
      <c r="X8902" s="4"/>
      <c r="Y8902" s="4"/>
    </row>
    <row r="8903" spans="5:25">
      <c r="E8903"/>
      <c r="G8903"/>
      <c r="H8903"/>
      <c r="I8903"/>
      <c r="K8903"/>
      <c r="O8903"/>
      <c r="R8903"/>
      <c r="W8903" s="4"/>
      <c r="X8903" s="4"/>
      <c r="Y8903" s="4"/>
    </row>
    <row r="8904" spans="5:25">
      <c r="E8904"/>
      <c r="G8904"/>
      <c r="H8904"/>
      <c r="I8904"/>
      <c r="K8904"/>
      <c r="O8904"/>
      <c r="R8904"/>
      <c r="W8904" s="4"/>
      <c r="X8904" s="4"/>
      <c r="Y8904" s="4"/>
    </row>
    <row r="8905" spans="5:25">
      <c r="E8905"/>
      <c r="G8905"/>
      <c r="H8905"/>
      <c r="I8905"/>
      <c r="K8905"/>
      <c r="O8905"/>
      <c r="R8905"/>
      <c r="W8905" s="4"/>
      <c r="X8905" s="4"/>
      <c r="Y8905" s="4"/>
    </row>
    <row r="8906" spans="5:25">
      <c r="E8906"/>
      <c r="G8906"/>
      <c r="H8906"/>
      <c r="I8906"/>
      <c r="K8906"/>
      <c r="O8906"/>
      <c r="R8906"/>
      <c r="W8906" s="4"/>
      <c r="X8906" s="4"/>
      <c r="Y8906" s="4"/>
    </row>
    <row r="8907" spans="5:25">
      <c r="E8907"/>
      <c r="G8907"/>
      <c r="H8907"/>
      <c r="I8907"/>
      <c r="K8907"/>
      <c r="O8907"/>
      <c r="R8907"/>
      <c r="W8907" s="4"/>
      <c r="X8907" s="4"/>
      <c r="Y8907" s="4"/>
    </row>
    <row r="8908" spans="5:25">
      <c r="E8908"/>
      <c r="G8908"/>
      <c r="H8908"/>
      <c r="I8908"/>
      <c r="K8908"/>
      <c r="O8908"/>
      <c r="R8908"/>
      <c r="W8908" s="4"/>
      <c r="X8908" s="4"/>
      <c r="Y8908" s="4"/>
    </row>
    <row r="8909" spans="5:25">
      <c r="E8909"/>
      <c r="G8909"/>
      <c r="H8909"/>
      <c r="I8909"/>
      <c r="K8909"/>
      <c r="O8909"/>
      <c r="R8909"/>
      <c r="W8909" s="4"/>
      <c r="X8909" s="4"/>
      <c r="Y8909" s="4"/>
    </row>
    <row r="8910" spans="5:25">
      <c r="E8910"/>
      <c r="G8910"/>
      <c r="H8910"/>
      <c r="I8910"/>
      <c r="K8910"/>
      <c r="O8910"/>
      <c r="R8910"/>
      <c r="W8910" s="4"/>
      <c r="X8910" s="4"/>
      <c r="Y8910" s="4"/>
    </row>
    <row r="8911" spans="5:25">
      <c r="E8911"/>
      <c r="G8911"/>
      <c r="H8911"/>
      <c r="I8911"/>
      <c r="K8911"/>
      <c r="O8911"/>
      <c r="R8911"/>
      <c r="W8911" s="4"/>
      <c r="X8911" s="4"/>
      <c r="Y8911" s="4"/>
    </row>
    <row r="8912" spans="5:25">
      <c r="E8912"/>
      <c r="G8912"/>
      <c r="H8912"/>
      <c r="I8912"/>
      <c r="K8912"/>
      <c r="O8912"/>
      <c r="R8912"/>
      <c r="W8912" s="4"/>
      <c r="X8912" s="4"/>
      <c r="Y8912" s="4"/>
    </row>
    <row r="8913" spans="5:25">
      <c r="E8913"/>
      <c r="G8913"/>
      <c r="H8913"/>
      <c r="I8913"/>
      <c r="K8913"/>
      <c r="O8913"/>
      <c r="R8913"/>
      <c r="W8913" s="4"/>
      <c r="X8913" s="4"/>
      <c r="Y8913" s="4"/>
    </row>
    <row r="8914" spans="5:25">
      <c r="E8914"/>
      <c r="G8914"/>
      <c r="H8914"/>
      <c r="I8914"/>
      <c r="K8914"/>
      <c r="O8914"/>
      <c r="R8914"/>
      <c r="W8914" s="4"/>
      <c r="X8914" s="4"/>
      <c r="Y8914" s="4"/>
    </row>
    <row r="8915" spans="5:25">
      <c r="E8915"/>
      <c r="G8915"/>
      <c r="H8915"/>
      <c r="I8915"/>
      <c r="K8915"/>
      <c r="O8915"/>
      <c r="R8915"/>
      <c r="W8915" s="4"/>
      <c r="X8915" s="4"/>
      <c r="Y8915" s="4"/>
    </row>
    <row r="8916" spans="5:25">
      <c r="E8916"/>
      <c r="G8916"/>
      <c r="H8916"/>
      <c r="I8916"/>
      <c r="K8916"/>
      <c r="O8916"/>
      <c r="R8916"/>
      <c r="W8916" s="4"/>
      <c r="X8916" s="4"/>
      <c r="Y8916" s="4"/>
    </row>
    <row r="8917" spans="5:25">
      <c r="E8917"/>
      <c r="G8917"/>
      <c r="H8917"/>
      <c r="I8917"/>
      <c r="K8917"/>
      <c r="O8917"/>
      <c r="R8917"/>
      <c r="W8917" s="4"/>
      <c r="X8917" s="4"/>
      <c r="Y8917" s="4"/>
    </row>
    <row r="8918" spans="5:25">
      <c r="E8918"/>
      <c r="G8918"/>
      <c r="H8918"/>
      <c r="I8918"/>
      <c r="K8918"/>
      <c r="O8918"/>
      <c r="R8918"/>
      <c r="W8918" s="4"/>
      <c r="X8918" s="4"/>
      <c r="Y8918" s="4"/>
    </row>
    <row r="8919" spans="5:25">
      <c r="E8919"/>
      <c r="G8919"/>
      <c r="H8919"/>
      <c r="I8919"/>
      <c r="K8919"/>
      <c r="O8919"/>
      <c r="R8919"/>
      <c r="W8919" s="4"/>
      <c r="X8919" s="4"/>
      <c r="Y8919" s="4"/>
    </row>
    <row r="8920" spans="5:25">
      <c r="E8920"/>
      <c r="G8920"/>
      <c r="H8920"/>
      <c r="I8920"/>
      <c r="K8920"/>
      <c r="O8920"/>
      <c r="R8920"/>
      <c r="W8920" s="4"/>
      <c r="X8920" s="4"/>
      <c r="Y8920" s="4"/>
    </row>
    <row r="8921" spans="5:25">
      <c r="E8921"/>
      <c r="G8921"/>
      <c r="H8921"/>
      <c r="I8921"/>
      <c r="K8921"/>
      <c r="O8921"/>
      <c r="R8921"/>
      <c r="W8921" s="4"/>
      <c r="X8921" s="4"/>
      <c r="Y8921" s="4"/>
    </row>
    <row r="8922" spans="5:25">
      <c r="E8922"/>
      <c r="G8922"/>
      <c r="H8922"/>
      <c r="I8922"/>
      <c r="K8922"/>
      <c r="O8922"/>
      <c r="R8922"/>
      <c r="W8922" s="4"/>
      <c r="X8922" s="4"/>
      <c r="Y8922" s="4"/>
    </row>
    <row r="8923" spans="5:25">
      <c r="E8923"/>
      <c r="G8923"/>
      <c r="H8923"/>
      <c r="I8923"/>
      <c r="K8923"/>
      <c r="O8923"/>
      <c r="R8923"/>
      <c r="W8923" s="4"/>
      <c r="X8923" s="4"/>
      <c r="Y8923" s="4"/>
    </row>
    <row r="8924" spans="5:25">
      <c r="E8924"/>
      <c r="G8924"/>
      <c r="H8924"/>
      <c r="I8924"/>
      <c r="K8924"/>
      <c r="O8924"/>
      <c r="R8924"/>
      <c r="W8924" s="4"/>
      <c r="X8924" s="4"/>
      <c r="Y8924" s="4"/>
    </row>
    <row r="8925" spans="5:25">
      <c r="E8925"/>
      <c r="G8925"/>
      <c r="H8925"/>
      <c r="I8925"/>
      <c r="K8925"/>
      <c r="O8925"/>
      <c r="R8925"/>
      <c r="W8925" s="4"/>
      <c r="X8925" s="4"/>
      <c r="Y8925" s="4"/>
    </row>
    <row r="8926" spans="5:25">
      <c r="E8926"/>
      <c r="G8926"/>
      <c r="H8926"/>
      <c r="I8926"/>
      <c r="K8926"/>
      <c r="O8926"/>
      <c r="R8926"/>
      <c r="W8926" s="4"/>
      <c r="X8926" s="4"/>
      <c r="Y8926" s="4"/>
    </row>
    <row r="8927" spans="5:25">
      <c r="E8927"/>
      <c r="G8927"/>
      <c r="H8927"/>
      <c r="I8927"/>
      <c r="K8927"/>
      <c r="O8927"/>
      <c r="R8927"/>
      <c r="W8927" s="4"/>
      <c r="X8927" s="4"/>
      <c r="Y8927" s="4"/>
    </row>
    <row r="8928" spans="5:25">
      <c r="E8928"/>
      <c r="G8928"/>
      <c r="H8928"/>
      <c r="I8928"/>
      <c r="K8928"/>
      <c r="O8928"/>
      <c r="R8928"/>
      <c r="W8928" s="4"/>
      <c r="X8928" s="4"/>
      <c r="Y8928" s="4"/>
    </row>
    <row r="8929" spans="5:25">
      <c r="E8929"/>
      <c r="G8929"/>
      <c r="H8929"/>
      <c r="I8929"/>
      <c r="K8929"/>
      <c r="O8929"/>
      <c r="R8929"/>
      <c r="W8929" s="4"/>
      <c r="X8929" s="4"/>
      <c r="Y8929" s="4"/>
    </row>
    <row r="8930" spans="5:25">
      <c r="E8930"/>
      <c r="G8930"/>
      <c r="H8930"/>
      <c r="I8930"/>
      <c r="K8930"/>
      <c r="O8930"/>
      <c r="R8930"/>
      <c r="W8930" s="4"/>
      <c r="X8930" s="4"/>
      <c r="Y8930" s="4"/>
    </row>
    <row r="8931" spans="5:25">
      <c r="E8931"/>
      <c r="G8931"/>
      <c r="H8931"/>
      <c r="I8931"/>
      <c r="K8931"/>
      <c r="O8931"/>
      <c r="R8931"/>
      <c r="W8931" s="4"/>
      <c r="X8931" s="4"/>
      <c r="Y8931" s="4"/>
    </row>
    <row r="8932" spans="5:25">
      <c r="E8932"/>
      <c r="G8932"/>
      <c r="H8932"/>
      <c r="I8932"/>
      <c r="K8932"/>
      <c r="O8932"/>
      <c r="R8932"/>
      <c r="W8932" s="4"/>
      <c r="X8932" s="4"/>
      <c r="Y8932" s="4"/>
    </row>
    <row r="8933" spans="5:25">
      <c r="E8933"/>
      <c r="G8933"/>
      <c r="H8933"/>
      <c r="I8933"/>
      <c r="K8933"/>
      <c r="O8933"/>
      <c r="R8933"/>
      <c r="W8933" s="4"/>
      <c r="X8933" s="4"/>
      <c r="Y8933" s="4"/>
    </row>
    <row r="8934" spans="5:25">
      <c r="E8934"/>
      <c r="G8934"/>
      <c r="H8934"/>
      <c r="I8934"/>
      <c r="K8934"/>
      <c r="O8934"/>
      <c r="R8934"/>
      <c r="W8934" s="4"/>
      <c r="X8934" s="4"/>
      <c r="Y8934" s="4"/>
    </row>
    <row r="8935" spans="5:25">
      <c r="E8935"/>
      <c r="G8935"/>
      <c r="H8935"/>
      <c r="I8935"/>
      <c r="K8935"/>
      <c r="O8935"/>
      <c r="R8935"/>
      <c r="W8935" s="4"/>
      <c r="X8935" s="4"/>
      <c r="Y8935" s="4"/>
    </row>
    <row r="8936" spans="5:25">
      <c r="E8936"/>
      <c r="G8936"/>
      <c r="H8936"/>
      <c r="I8936"/>
      <c r="K8936"/>
      <c r="O8936"/>
      <c r="R8936"/>
      <c r="W8936" s="4"/>
      <c r="X8936" s="4"/>
      <c r="Y8936" s="4"/>
    </row>
    <row r="8937" spans="5:25">
      <c r="E8937"/>
      <c r="G8937"/>
      <c r="H8937"/>
      <c r="I8937"/>
      <c r="K8937"/>
      <c r="O8937"/>
      <c r="R8937"/>
      <c r="W8937" s="4"/>
      <c r="X8937" s="4"/>
      <c r="Y8937" s="4"/>
    </row>
    <row r="8938" spans="5:25">
      <c r="E8938"/>
      <c r="G8938"/>
      <c r="H8938"/>
      <c r="I8938"/>
      <c r="K8938"/>
      <c r="O8938"/>
      <c r="R8938"/>
      <c r="W8938" s="4"/>
      <c r="X8938" s="4"/>
      <c r="Y8938" s="4"/>
    </row>
    <row r="8939" spans="5:25">
      <c r="E8939"/>
      <c r="G8939"/>
      <c r="H8939"/>
      <c r="I8939"/>
      <c r="K8939"/>
      <c r="O8939"/>
      <c r="R8939"/>
      <c r="W8939" s="4"/>
      <c r="X8939" s="4"/>
      <c r="Y8939" s="4"/>
    </row>
    <row r="8940" spans="5:25">
      <c r="E8940"/>
      <c r="G8940"/>
      <c r="H8940"/>
      <c r="I8940"/>
      <c r="K8940"/>
      <c r="O8940"/>
      <c r="R8940"/>
      <c r="W8940" s="4"/>
      <c r="X8940" s="4"/>
      <c r="Y8940" s="4"/>
    </row>
    <row r="8941" spans="5:25">
      <c r="E8941"/>
      <c r="G8941"/>
      <c r="H8941"/>
      <c r="I8941"/>
      <c r="K8941"/>
      <c r="O8941"/>
      <c r="R8941"/>
      <c r="W8941" s="4"/>
      <c r="X8941" s="4"/>
      <c r="Y8941" s="4"/>
    </row>
    <row r="8942" spans="5:25">
      <c r="E8942"/>
      <c r="G8942"/>
      <c r="H8942"/>
      <c r="I8942"/>
      <c r="K8942"/>
      <c r="O8942"/>
      <c r="R8942"/>
      <c r="W8942" s="4"/>
      <c r="X8942" s="4"/>
      <c r="Y8942" s="4"/>
    </row>
    <row r="8943" spans="5:25">
      <c r="E8943"/>
      <c r="G8943"/>
      <c r="H8943"/>
      <c r="I8943"/>
      <c r="K8943"/>
      <c r="O8943"/>
      <c r="R8943"/>
      <c r="W8943" s="4"/>
      <c r="X8943" s="4"/>
      <c r="Y8943" s="4"/>
    </row>
    <row r="8944" spans="5:25">
      <c r="E8944"/>
      <c r="G8944"/>
      <c r="H8944"/>
      <c r="I8944"/>
      <c r="K8944"/>
      <c r="O8944"/>
      <c r="R8944"/>
      <c r="W8944" s="4"/>
      <c r="X8944" s="4"/>
      <c r="Y8944" s="4"/>
    </row>
    <row r="8945" spans="5:25">
      <c r="E8945"/>
      <c r="G8945"/>
      <c r="H8945"/>
      <c r="I8945"/>
      <c r="K8945"/>
      <c r="O8945"/>
      <c r="R8945"/>
      <c r="W8945" s="4"/>
      <c r="X8945" s="4"/>
      <c r="Y8945" s="4"/>
    </row>
    <row r="8946" spans="5:25">
      <c r="E8946"/>
      <c r="G8946"/>
      <c r="H8946"/>
      <c r="I8946"/>
      <c r="K8946"/>
      <c r="O8946"/>
      <c r="R8946"/>
      <c r="W8946" s="4"/>
      <c r="X8946" s="4"/>
      <c r="Y8946" s="4"/>
    </row>
    <row r="8947" spans="5:25">
      <c r="E8947"/>
      <c r="G8947"/>
      <c r="H8947"/>
      <c r="I8947"/>
      <c r="K8947"/>
      <c r="O8947"/>
      <c r="R8947"/>
      <c r="W8947" s="4"/>
      <c r="X8947" s="4"/>
      <c r="Y8947" s="4"/>
    </row>
    <row r="8948" spans="5:25">
      <c r="E8948"/>
      <c r="G8948"/>
      <c r="H8948"/>
      <c r="I8948"/>
      <c r="K8948"/>
      <c r="O8948"/>
      <c r="R8948"/>
      <c r="W8948" s="4"/>
      <c r="X8948" s="4"/>
      <c r="Y8948" s="4"/>
    </row>
    <row r="8949" spans="5:25">
      <c r="E8949"/>
      <c r="G8949"/>
      <c r="H8949"/>
      <c r="I8949"/>
      <c r="K8949"/>
      <c r="O8949"/>
      <c r="R8949"/>
      <c r="W8949" s="4"/>
      <c r="X8949" s="4"/>
      <c r="Y8949" s="4"/>
    </row>
    <row r="8950" spans="5:25">
      <c r="E8950"/>
      <c r="G8950"/>
      <c r="H8950"/>
      <c r="I8950"/>
      <c r="K8950"/>
      <c r="O8950"/>
      <c r="R8950"/>
      <c r="W8950" s="4"/>
      <c r="X8950" s="4"/>
      <c r="Y8950" s="4"/>
    </row>
    <row r="8951" spans="5:25">
      <c r="E8951"/>
      <c r="G8951"/>
      <c r="H8951"/>
      <c r="I8951"/>
      <c r="K8951"/>
      <c r="O8951"/>
      <c r="R8951"/>
      <c r="W8951" s="4"/>
      <c r="X8951" s="4"/>
      <c r="Y8951" s="4"/>
    </row>
    <row r="8952" spans="5:25">
      <c r="E8952"/>
      <c r="G8952"/>
      <c r="H8952"/>
      <c r="I8952"/>
      <c r="K8952"/>
      <c r="O8952"/>
      <c r="R8952"/>
      <c r="W8952" s="4"/>
      <c r="X8952" s="4"/>
      <c r="Y8952" s="4"/>
    </row>
    <row r="8953" spans="5:25">
      <c r="E8953"/>
      <c r="G8953"/>
      <c r="H8953"/>
      <c r="I8953"/>
      <c r="K8953"/>
      <c r="O8953"/>
      <c r="R8953"/>
      <c r="W8953" s="4"/>
      <c r="X8953" s="4"/>
      <c r="Y8953" s="4"/>
    </row>
    <row r="8954" spans="5:25">
      <c r="E8954"/>
      <c r="G8954"/>
      <c r="H8954"/>
      <c r="I8954"/>
      <c r="K8954"/>
      <c r="O8954"/>
      <c r="R8954"/>
      <c r="W8954" s="4"/>
      <c r="X8954" s="4"/>
      <c r="Y8954" s="4"/>
    </row>
    <row r="8955" spans="5:25">
      <c r="E8955"/>
      <c r="G8955"/>
      <c r="H8955"/>
      <c r="I8955"/>
      <c r="K8955"/>
      <c r="O8955"/>
      <c r="R8955"/>
      <c r="W8955" s="4"/>
      <c r="X8955" s="4"/>
      <c r="Y8955" s="4"/>
    </row>
    <row r="8956" spans="5:25">
      <c r="E8956"/>
      <c r="G8956"/>
      <c r="H8956"/>
      <c r="I8956"/>
      <c r="K8956"/>
      <c r="O8956"/>
      <c r="R8956"/>
      <c r="W8956" s="4"/>
      <c r="X8956" s="4"/>
      <c r="Y8956" s="4"/>
    </row>
    <row r="8957" spans="5:25">
      <c r="E8957"/>
      <c r="G8957"/>
      <c r="H8957"/>
      <c r="I8957"/>
      <c r="K8957"/>
      <c r="O8957"/>
      <c r="R8957"/>
      <c r="W8957" s="4"/>
      <c r="X8957" s="4"/>
      <c r="Y8957" s="4"/>
    </row>
    <row r="8958" spans="5:25">
      <c r="E8958"/>
      <c r="G8958"/>
      <c r="H8958"/>
      <c r="I8958"/>
      <c r="K8958"/>
      <c r="O8958"/>
      <c r="R8958"/>
      <c r="W8958" s="4"/>
      <c r="X8958" s="4"/>
      <c r="Y8958" s="4"/>
    </row>
    <row r="8959" spans="5:25">
      <c r="E8959"/>
      <c r="G8959"/>
      <c r="H8959"/>
      <c r="I8959"/>
      <c r="K8959"/>
      <c r="O8959"/>
      <c r="R8959"/>
      <c r="W8959" s="4"/>
      <c r="X8959" s="4"/>
      <c r="Y8959" s="4"/>
    </row>
    <row r="8960" spans="5:25">
      <c r="E8960"/>
      <c r="G8960"/>
      <c r="H8960"/>
      <c r="I8960"/>
      <c r="K8960"/>
      <c r="O8960"/>
      <c r="R8960"/>
      <c r="W8960" s="4"/>
      <c r="X8960" s="4"/>
      <c r="Y8960" s="4"/>
    </row>
    <row r="8961" spans="5:25">
      <c r="E8961"/>
      <c r="G8961"/>
      <c r="H8961"/>
      <c r="I8961"/>
      <c r="K8961"/>
      <c r="O8961"/>
      <c r="R8961"/>
      <c r="W8961" s="4"/>
      <c r="X8961" s="4"/>
      <c r="Y8961" s="4"/>
    </row>
    <row r="8962" spans="5:25">
      <c r="E8962"/>
      <c r="G8962"/>
      <c r="H8962"/>
      <c r="I8962"/>
      <c r="K8962"/>
      <c r="O8962"/>
      <c r="R8962"/>
      <c r="W8962" s="4"/>
      <c r="X8962" s="4"/>
      <c r="Y8962" s="4"/>
    </row>
    <row r="8963" spans="5:25">
      <c r="E8963"/>
      <c r="G8963"/>
      <c r="H8963"/>
      <c r="I8963"/>
      <c r="K8963"/>
      <c r="O8963"/>
      <c r="R8963"/>
      <c r="W8963" s="4"/>
      <c r="X8963" s="4"/>
      <c r="Y8963" s="4"/>
    </row>
    <row r="8964" spans="5:25">
      <c r="E8964"/>
      <c r="G8964"/>
      <c r="H8964"/>
      <c r="I8964"/>
      <c r="K8964"/>
      <c r="O8964"/>
      <c r="R8964"/>
      <c r="W8964" s="4"/>
      <c r="X8964" s="4"/>
      <c r="Y8964" s="4"/>
    </row>
    <row r="8965" spans="5:25">
      <c r="E8965"/>
      <c r="G8965"/>
      <c r="H8965"/>
      <c r="I8965"/>
      <c r="K8965"/>
      <c r="O8965"/>
      <c r="R8965"/>
      <c r="W8965" s="4"/>
      <c r="X8965" s="4"/>
      <c r="Y8965" s="4"/>
    </row>
    <row r="8966" spans="5:25">
      <c r="E8966"/>
      <c r="G8966"/>
      <c r="H8966"/>
      <c r="I8966"/>
      <c r="K8966"/>
      <c r="O8966"/>
      <c r="R8966"/>
      <c r="W8966" s="4"/>
      <c r="X8966" s="4"/>
      <c r="Y8966" s="4"/>
    </row>
    <row r="8967" spans="5:25">
      <c r="E8967"/>
      <c r="G8967"/>
      <c r="H8967"/>
      <c r="I8967"/>
      <c r="K8967"/>
      <c r="O8967"/>
      <c r="R8967"/>
      <c r="W8967" s="4"/>
      <c r="X8967" s="4"/>
      <c r="Y8967" s="4"/>
    </row>
    <row r="8968" spans="5:25">
      <c r="E8968"/>
      <c r="G8968"/>
      <c r="H8968"/>
      <c r="I8968"/>
      <c r="K8968"/>
      <c r="O8968"/>
      <c r="R8968"/>
      <c r="W8968" s="4"/>
      <c r="X8968" s="4"/>
      <c r="Y8968" s="4"/>
    </row>
    <row r="8969" spans="5:25">
      <c r="E8969"/>
      <c r="G8969"/>
      <c r="H8969"/>
      <c r="I8969"/>
      <c r="K8969"/>
      <c r="O8969"/>
      <c r="R8969"/>
      <c r="W8969" s="4"/>
      <c r="X8969" s="4"/>
      <c r="Y8969" s="4"/>
    </row>
    <row r="8970" spans="5:25">
      <c r="E8970"/>
      <c r="G8970"/>
      <c r="H8970"/>
      <c r="I8970"/>
      <c r="K8970"/>
      <c r="O8970"/>
      <c r="R8970"/>
      <c r="W8970" s="4"/>
      <c r="X8970" s="4"/>
      <c r="Y8970" s="4"/>
    </row>
    <row r="8971" spans="5:25">
      <c r="E8971"/>
      <c r="G8971"/>
      <c r="H8971"/>
      <c r="I8971"/>
      <c r="K8971"/>
      <c r="O8971"/>
      <c r="R8971"/>
      <c r="W8971" s="4"/>
      <c r="X8971" s="4"/>
      <c r="Y8971" s="4"/>
    </row>
    <row r="8972" spans="5:25">
      <c r="E8972"/>
      <c r="G8972"/>
      <c r="H8972"/>
      <c r="I8972"/>
      <c r="K8972"/>
      <c r="O8972"/>
      <c r="R8972"/>
      <c r="W8972" s="4"/>
      <c r="X8972" s="4"/>
      <c r="Y8972" s="4"/>
    </row>
    <row r="8973" spans="5:25">
      <c r="E8973"/>
      <c r="G8973"/>
      <c r="H8973"/>
      <c r="I8973"/>
      <c r="K8973"/>
      <c r="O8973"/>
      <c r="R8973"/>
      <c r="W8973" s="4"/>
      <c r="X8973" s="4"/>
      <c r="Y8973" s="4"/>
    </row>
    <row r="8974" spans="5:25">
      <c r="E8974"/>
      <c r="G8974"/>
      <c r="H8974"/>
      <c r="I8974"/>
      <c r="K8974"/>
      <c r="O8974"/>
      <c r="R8974"/>
      <c r="W8974" s="4"/>
      <c r="X8974" s="4"/>
      <c r="Y8974" s="4"/>
    </row>
    <row r="8975" spans="5:25">
      <c r="E8975"/>
      <c r="G8975"/>
      <c r="H8975"/>
      <c r="I8975"/>
      <c r="K8975"/>
      <c r="O8975"/>
      <c r="R8975"/>
      <c r="W8975" s="4"/>
      <c r="X8975" s="4"/>
      <c r="Y8975" s="4"/>
    </row>
    <row r="8976" spans="5:25">
      <c r="E8976"/>
      <c r="G8976"/>
      <c r="H8976"/>
      <c r="I8976"/>
      <c r="K8976"/>
      <c r="O8976"/>
      <c r="R8976"/>
      <c r="W8976" s="4"/>
      <c r="X8976" s="4"/>
      <c r="Y8976" s="4"/>
    </row>
    <row r="8977" spans="5:25">
      <c r="E8977"/>
      <c r="G8977"/>
      <c r="H8977"/>
      <c r="I8977"/>
      <c r="K8977"/>
      <c r="O8977"/>
      <c r="R8977"/>
      <c r="W8977" s="4"/>
      <c r="X8977" s="4"/>
      <c r="Y8977" s="4"/>
    </row>
    <row r="8978" spans="5:25">
      <c r="E8978"/>
      <c r="G8978"/>
      <c r="H8978"/>
      <c r="I8978"/>
      <c r="K8978"/>
      <c r="O8978"/>
      <c r="R8978"/>
      <c r="W8978" s="4"/>
      <c r="X8978" s="4"/>
      <c r="Y8978" s="4"/>
    </row>
    <row r="8979" spans="5:25">
      <c r="E8979"/>
      <c r="G8979"/>
      <c r="H8979"/>
      <c r="I8979"/>
      <c r="K8979"/>
      <c r="O8979"/>
      <c r="R8979"/>
      <c r="W8979" s="4"/>
      <c r="X8979" s="4"/>
      <c r="Y8979" s="4"/>
    </row>
    <row r="8980" spans="5:25">
      <c r="E8980"/>
      <c r="G8980"/>
      <c r="H8980"/>
      <c r="I8980"/>
      <c r="K8980"/>
      <c r="O8980"/>
      <c r="R8980"/>
      <c r="W8980" s="4"/>
      <c r="X8980" s="4"/>
      <c r="Y8980" s="4"/>
    </row>
    <row r="8981" spans="5:25">
      <c r="E8981"/>
      <c r="G8981"/>
      <c r="H8981"/>
      <c r="I8981"/>
      <c r="K8981"/>
      <c r="O8981"/>
      <c r="R8981"/>
      <c r="W8981" s="4"/>
      <c r="X8981" s="4"/>
      <c r="Y8981" s="4"/>
    </row>
    <row r="8982" spans="5:25">
      <c r="E8982"/>
      <c r="G8982"/>
      <c r="H8982"/>
      <c r="I8982"/>
      <c r="K8982"/>
      <c r="O8982"/>
      <c r="R8982"/>
      <c r="W8982" s="4"/>
      <c r="X8982" s="4"/>
      <c r="Y8982" s="4"/>
    </row>
    <row r="8983" spans="5:25">
      <c r="E8983"/>
      <c r="G8983"/>
      <c r="H8983"/>
      <c r="I8983"/>
      <c r="K8983"/>
      <c r="O8983"/>
      <c r="R8983"/>
      <c r="W8983" s="4"/>
      <c r="X8983" s="4"/>
      <c r="Y8983" s="4"/>
    </row>
    <row r="8984" spans="5:25">
      <c r="E8984"/>
      <c r="G8984"/>
      <c r="H8984"/>
      <c r="I8984"/>
      <c r="K8984"/>
      <c r="O8984"/>
      <c r="R8984"/>
      <c r="W8984" s="4"/>
      <c r="X8984" s="4"/>
      <c r="Y8984" s="4"/>
    </row>
    <row r="8985" spans="5:25">
      <c r="E8985"/>
      <c r="G8985"/>
      <c r="H8985"/>
      <c r="I8985"/>
      <c r="K8985"/>
      <c r="O8985"/>
      <c r="R8985"/>
      <c r="W8985" s="4"/>
      <c r="X8985" s="4"/>
      <c r="Y8985" s="4"/>
    </row>
    <row r="8986" spans="5:25">
      <c r="E8986"/>
      <c r="G8986"/>
      <c r="H8986"/>
      <c r="I8986"/>
      <c r="K8986"/>
      <c r="O8986"/>
      <c r="R8986"/>
      <c r="W8986" s="4"/>
      <c r="X8986" s="4"/>
      <c r="Y8986" s="4"/>
    </row>
    <row r="8987" spans="5:25">
      <c r="E8987"/>
      <c r="G8987"/>
      <c r="H8987"/>
      <c r="I8987"/>
      <c r="K8987"/>
      <c r="O8987"/>
      <c r="R8987"/>
      <c r="W8987" s="4"/>
      <c r="X8987" s="4"/>
      <c r="Y8987" s="4"/>
    </row>
    <row r="8988" spans="5:25">
      <c r="E8988"/>
      <c r="G8988"/>
      <c r="H8988"/>
      <c r="I8988"/>
      <c r="K8988"/>
      <c r="O8988"/>
      <c r="R8988"/>
      <c r="W8988" s="4"/>
      <c r="X8988" s="4"/>
      <c r="Y8988" s="4"/>
    </row>
    <row r="8989" spans="5:25">
      <c r="E8989"/>
      <c r="G8989"/>
      <c r="H8989"/>
      <c r="I8989"/>
      <c r="K8989"/>
      <c r="O8989"/>
      <c r="R8989"/>
      <c r="W8989" s="4"/>
      <c r="X8989" s="4"/>
      <c r="Y8989" s="4"/>
    </row>
    <row r="8990" spans="5:25">
      <c r="E8990"/>
      <c r="G8990"/>
      <c r="H8990"/>
      <c r="I8990"/>
      <c r="K8990"/>
      <c r="O8990"/>
      <c r="R8990"/>
      <c r="W8990" s="4"/>
      <c r="X8990" s="4"/>
      <c r="Y8990" s="4"/>
    </row>
    <row r="8991" spans="5:25">
      <c r="E8991"/>
      <c r="G8991"/>
      <c r="H8991"/>
      <c r="I8991"/>
      <c r="K8991"/>
      <c r="O8991"/>
      <c r="R8991"/>
      <c r="W8991" s="4"/>
      <c r="X8991" s="4"/>
      <c r="Y8991" s="4"/>
    </row>
    <row r="8992" spans="5:25">
      <c r="E8992"/>
      <c r="G8992"/>
      <c r="H8992"/>
      <c r="I8992"/>
      <c r="K8992"/>
      <c r="O8992"/>
      <c r="R8992"/>
      <c r="W8992" s="4"/>
      <c r="X8992" s="4"/>
      <c r="Y8992" s="4"/>
    </row>
    <row r="8993" spans="5:25">
      <c r="E8993"/>
      <c r="G8993"/>
      <c r="H8993"/>
      <c r="I8993"/>
      <c r="K8993"/>
      <c r="O8993"/>
      <c r="R8993"/>
      <c r="W8993" s="4"/>
      <c r="X8993" s="4"/>
      <c r="Y8993" s="4"/>
    </row>
    <row r="8994" spans="5:25">
      <c r="E8994"/>
      <c r="G8994"/>
      <c r="H8994"/>
      <c r="I8994"/>
      <c r="K8994"/>
      <c r="O8994"/>
      <c r="R8994"/>
      <c r="W8994" s="4"/>
      <c r="X8994" s="4"/>
      <c r="Y8994" s="4"/>
    </row>
    <row r="8995" spans="5:25">
      <c r="E8995"/>
      <c r="G8995"/>
      <c r="H8995"/>
      <c r="I8995"/>
      <c r="K8995"/>
      <c r="O8995"/>
      <c r="R8995"/>
      <c r="W8995" s="4"/>
      <c r="X8995" s="4"/>
      <c r="Y8995" s="4"/>
    </row>
    <row r="8996" spans="5:25">
      <c r="E8996"/>
      <c r="G8996"/>
      <c r="H8996"/>
      <c r="I8996"/>
      <c r="K8996"/>
      <c r="O8996"/>
      <c r="R8996"/>
      <c r="W8996" s="4"/>
      <c r="X8996" s="4"/>
      <c r="Y8996" s="4"/>
    </row>
    <row r="8997" spans="5:25">
      <c r="E8997"/>
      <c r="G8997"/>
      <c r="H8997"/>
      <c r="I8997"/>
      <c r="K8997"/>
      <c r="O8997"/>
      <c r="R8997"/>
      <c r="W8997" s="4"/>
      <c r="X8997" s="4"/>
      <c r="Y8997" s="4"/>
    </row>
    <row r="8998" spans="5:25">
      <c r="E8998"/>
      <c r="G8998"/>
      <c r="H8998"/>
      <c r="I8998"/>
      <c r="K8998"/>
      <c r="O8998"/>
      <c r="R8998"/>
      <c r="W8998" s="4"/>
      <c r="X8998" s="4"/>
      <c r="Y8998" s="4"/>
    </row>
    <row r="8999" spans="5:25">
      <c r="E8999"/>
      <c r="G8999"/>
      <c r="H8999"/>
      <c r="I8999"/>
      <c r="K8999"/>
      <c r="O8999"/>
      <c r="R8999"/>
      <c r="W8999" s="4"/>
      <c r="X8999" s="4"/>
      <c r="Y8999" s="4"/>
    </row>
    <row r="9000" spans="5:25">
      <c r="E9000"/>
      <c r="G9000"/>
      <c r="H9000"/>
      <c r="I9000"/>
      <c r="K9000"/>
      <c r="O9000"/>
      <c r="R9000"/>
      <c r="W9000" s="4"/>
      <c r="X9000" s="4"/>
      <c r="Y9000" s="4"/>
    </row>
    <row r="9001" spans="5:25">
      <c r="E9001"/>
      <c r="G9001"/>
      <c r="H9001"/>
      <c r="I9001"/>
      <c r="K9001"/>
      <c r="O9001"/>
      <c r="R9001"/>
      <c r="W9001" s="4"/>
      <c r="X9001" s="4"/>
      <c r="Y9001" s="4"/>
    </row>
    <row r="9002" spans="5:25">
      <c r="E9002"/>
      <c r="G9002"/>
      <c r="H9002"/>
      <c r="I9002"/>
      <c r="K9002"/>
      <c r="O9002"/>
      <c r="R9002"/>
      <c r="W9002" s="4"/>
      <c r="X9002" s="4"/>
      <c r="Y9002" s="4"/>
    </row>
    <row r="9003" spans="5:25">
      <c r="E9003"/>
      <c r="G9003"/>
      <c r="H9003"/>
      <c r="I9003"/>
      <c r="K9003"/>
      <c r="O9003"/>
      <c r="R9003"/>
      <c r="W9003" s="4"/>
      <c r="X9003" s="4"/>
      <c r="Y9003" s="4"/>
    </row>
    <row r="9004" spans="5:25">
      <c r="E9004"/>
      <c r="G9004"/>
      <c r="H9004"/>
      <c r="I9004"/>
      <c r="K9004"/>
      <c r="O9004"/>
      <c r="R9004"/>
      <c r="W9004" s="4"/>
      <c r="X9004" s="4"/>
      <c r="Y9004" s="4"/>
    </row>
    <row r="9005" spans="5:25">
      <c r="E9005"/>
      <c r="G9005"/>
      <c r="H9005"/>
      <c r="I9005"/>
      <c r="K9005"/>
      <c r="O9005"/>
      <c r="R9005"/>
      <c r="W9005" s="4"/>
      <c r="X9005" s="4"/>
      <c r="Y9005" s="4"/>
    </row>
    <row r="9006" spans="5:25">
      <c r="E9006"/>
      <c r="G9006"/>
      <c r="H9006"/>
      <c r="I9006"/>
      <c r="K9006"/>
      <c r="O9006"/>
      <c r="R9006"/>
      <c r="W9006" s="4"/>
      <c r="X9006" s="4"/>
      <c r="Y9006" s="4"/>
    </row>
    <row r="9007" spans="5:25">
      <c r="E9007"/>
      <c r="G9007"/>
      <c r="H9007"/>
      <c r="I9007"/>
      <c r="K9007"/>
      <c r="O9007"/>
      <c r="R9007"/>
      <c r="W9007" s="4"/>
      <c r="X9007" s="4"/>
      <c r="Y9007" s="4"/>
    </row>
    <row r="9008" spans="5:25">
      <c r="E9008"/>
      <c r="G9008"/>
      <c r="H9008"/>
      <c r="I9008"/>
      <c r="K9008"/>
      <c r="O9008"/>
      <c r="R9008"/>
      <c r="W9008" s="4"/>
      <c r="X9008" s="4"/>
      <c r="Y9008" s="4"/>
    </row>
    <row r="9009" spans="5:25">
      <c r="E9009"/>
      <c r="G9009"/>
      <c r="H9009"/>
      <c r="I9009"/>
      <c r="K9009"/>
      <c r="O9009"/>
      <c r="R9009"/>
      <c r="W9009" s="4"/>
      <c r="X9009" s="4"/>
      <c r="Y9009" s="4"/>
    </row>
    <row r="9010" spans="5:25">
      <c r="E9010"/>
      <c r="G9010"/>
      <c r="H9010"/>
      <c r="I9010"/>
      <c r="K9010"/>
      <c r="O9010"/>
      <c r="R9010"/>
      <c r="W9010" s="4"/>
      <c r="X9010" s="4"/>
      <c r="Y9010" s="4"/>
    </row>
    <row r="9011" spans="5:25">
      <c r="E9011"/>
      <c r="G9011"/>
      <c r="H9011"/>
      <c r="I9011"/>
      <c r="K9011"/>
      <c r="O9011"/>
      <c r="R9011"/>
      <c r="W9011" s="4"/>
      <c r="X9011" s="4"/>
      <c r="Y9011" s="4"/>
    </row>
    <row r="9012" spans="5:25">
      <c r="E9012"/>
      <c r="G9012"/>
      <c r="H9012"/>
      <c r="I9012"/>
      <c r="K9012"/>
      <c r="O9012"/>
      <c r="R9012"/>
      <c r="W9012" s="4"/>
      <c r="X9012" s="4"/>
      <c r="Y9012" s="4"/>
    </row>
    <row r="9013" spans="5:25">
      <c r="E9013"/>
      <c r="G9013"/>
      <c r="H9013"/>
      <c r="I9013"/>
      <c r="K9013"/>
      <c r="O9013"/>
      <c r="R9013"/>
      <c r="W9013" s="4"/>
      <c r="X9013" s="4"/>
      <c r="Y9013" s="4"/>
    </row>
    <row r="9014" spans="5:25">
      <c r="E9014"/>
      <c r="G9014"/>
      <c r="H9014"/>
      <c r="I9014"/>
      <c r="K9014"/>
      <c r="O9014"/>
      <c r="R9014"/>
      <c r="W9014" s="4"/>
      <c r="X9014" s="4"/>
      <c r="Y9014" s="4"/>
    </row>
    <row r="9015" spans="5:25">
      <c r="E9015"/>
      <c r="G9015"/>
      <c r="H9015"/>
      <c r="I9015"/>
      <c r="K9015"/>
      <c r="O9015"/>
      <c r="R9015"/>
      <c r="W9015" s="4"/>
      <c r="X9015" s="4"/>
      <c r="Y9015" s="4"/>
    </row>
    <row r="9016" spans="5:25">
      <c r="E9016"/>
      <c r="G9016"/>
      <c r="H9016"/>
      <c r="I9016"/>
      <c r="K9016"/>
      <c r="O9016"/>
      <c r="R9016"/>
      <c r="W9016" s="4"/>
      <c r="X9016" s="4"/>
      <c r="Y9016" s="4"/>
    </row>
    <row r="9017" spans="5:25">
      <c r="E9017"/>
      <c r="G9017"/>
      <c r="H9017"/>
      <c r="I9017"/>
      <c r="K9017"/>
      <c r="O9017"/>
      <c r="R9017"/>
      <c r="W9017" s="4"/>
      <c r="X9017" s="4"/>
      <c r="Y9017" s="4"/>
    </row>
    <row r="9018" spans="5:25">
      <c r="E9018"/>
      <c r="G9018"/>
      <c r="H9018"/>
      <c r="I9018"/>
      <c r="K9018"/>
      <c r="O9018"/>
      <c r="R9018"/>
      <c r="W9018" s="4"/>
      <c r="X9018" s="4"/>
      <c r="Y9018" s="4"/>
    </row>
    <row r="9019" spans="5:25">
      <c r="E9019"/>
      <c r="G9019"/>
      <c r="H9019"/>
      <c r="I9019"/>
      <c r="K9019"/>
      <c r="O9019"/>
      <c r="R9019"/>
      <c r="W9019" s="4"/>
      <c r="X9019" s="4"/>
      <c r="Y9019" s="4"/>
    </row>
    <row r="9020" spans="5:25">
      <c r="E9020"/>
      <c r="G9020"/>
      <c r="H9020"/>
      <c r="I9020"/>
      <c r="K9020"/>
      <c r="O9020"/>
      <c r="R9020"/>
      <c r="W9020" s="4"/>
      <c r="X9020" s="4"/>
      <c r="Y9020" s="4"/>
    </row>
    <row r="9021" spans="5:25">
      <c r="E9021"/>
      <c r="G9021"/>
      <c r="H9021"/>
      <c r="I9021"/>
      <c r="K9021"/>
      <c r="O9021"/>
      <c r="R9021"/>
      <c r="W9021" s="4"/>
      <c r="X9021" s="4"/>
      <c r="Y9021" s="4"/>
    </row>
    <row r="9022" spans="5:25">
      <c r="E9022"/>
      <c r="G9022"/>
      <c r="H9022"/>
      <c r="I9022"/>
      <c r="K9022"/>
      <c r="O9022"/>
      <c r="R9022"/>
      <c r="W9022" s="4"/>
      <c r="X9022" s="4"/>
      <c r="Y9022" s="4"/>
    </row>
    <row r="9023" spans="5:25">
      <c r="E9023"/>
      <c r="G9023"/>
      <c r="H9023"/>
      <c r="I9023"/>
      <c r="K9023"/>
      <c r="O9023"/>
      <c r="R9023"/>
      <c r="W9023" s="4"/>
      <c r="X9023" s="4"/>
      <c r="Y9023" s="4"/>
    </row>
    <row r="9024" spans="5:25">
      <c r="E9024"/>
      <c r="G9024"/>
      <c r="H9024"/>
      <c r="I9024"/>
      <c r="K9024"/>
      <c r="O9024"/>
      <c r="R9024"/>
      <c r="W9024" s="4"/>
      <c r="X9024" s="4"/>
      <c r="Y9024" s="4"/>
    </row>
    <row r="9025" spans="5:25">
      <c r="E9025"/>
      <c r="G9025"/>
      <c r="H9025"/>
      <c r="I9025"/>
      <c r="K9025"/>
      <c r="O9025"/>
      <c r="R9025"/>
      <c r="W9025" s="4"/>
      <c r="X9025" s="4"/>
      <c r="Y9025" s="4"/>
    </row>
    <row r="9026" spans="5:25">
      <c r="E9026"/>
      <c r="G9026"/>
      <c r="H9026"/>
      <c r="I9026"/>
      <c r="K9026"/>
      <c r="O9026"/>
      <c r="R9026"/>
      <c r="W9026" s="4"/>
      <c r="X9026" s="4"/>
      <c r="Y9026" s="4"/>
    </row>
    <row r="9027" spans="5:25">
      <c r="E9027"/>
      <c r="G9027"/>
      <c r="H9027"/>
      <c r="I9027"/>
      <c r="K9027"/>
      <c r="O9027"/>
      <c r="R9027"/>
      <c r="W9027" s="4"/>
      <c r="X9027" s="4"/>
      <c r="Y9027" s="4"/>
    </row>
    <row r="9028" spans="5:25">
      <c r="E9028"/>
      <c r="G9028"/>
      <c r="H9028"/>
      <c r="I9028"/>
      <c r="K9028"/>
      <c r="O9028"/>
      <c r="R9028"/>
      <c r="W9028" s="4"/>
      <c r="X9028" s="4"/>
      <c r="Y9028" s="4"/>
    </row>
    <row r="9029" spans="5:25">
      <c r="E9029"/>
      <c r="G9029"/>
      <c r="H9029"/>
      <c r="I9029"/>
      <c r="K9029"/>
      <c r="O9029"/>
      <c r="R9029"/>
      <c r="W9029" s="4"/>
      <c r="X9029" s="4"/>
      <c r="Y9029" s="4"/>
    </row>
    <row r="9030" spans="5:25">
      <c r="E9030"/>
      <c r="G9030"/>
      <c r="H9030"/>
      <c r="I9030"/>
      <c r="K9030"/>
      <c r="O9030"/>
      <c r="R9030"/>
      <c r="W9030" s="4"/>
      <c r="X9030" s="4"/>
      <c r="Y9030" s="4"/>
    </row>
    <row r="9031" spans="5:25">
      <c r="E9031"/>
      <c r="G9031"/>
      <c r="H9031"/>
      <c r="I9031"/>
      <c r="K9031"/>
      <c r="O9031"/>
      <c r="R9031"/>
      <c r="W9031" s="4"/>
      <c r="X9031" s="4"/>
      <c r="Y9031" s="4"/>
    </row>
    <row r="9032" spans="5:25">
      <c r="E9032"/>
      <c r="G9032"/>
      <c r="H9032"/>
      <c r="I9032"/>
      <c r="K9032"/>
      <c r="O9032"/>
      <c r="R9032"/>
      <c r="W9032" s="4"/>
      <c r="X9032" s="4"/>
      <c r="Y9032" s="4"/>
    </row>
    <row r="9033" spans="5:25">
      <c r="E9033"/>
      <c r="G9033"/>
      <c r="H9033"/>
      <c r="I9033"/>
      <c r="K9033"/>
      <c r="O9033"/>
      <c r="R9033"/>
      <c r="W9033" s="4"/>
      <c r="X9033" s="4"/>
      <c r="Y9033" s="4"/>
    </row>
    <row r="9034" spans="5:25">
      <c r="E9034"/>
      <c r="G9034"/>
      <c r="H9034"/>
      <c r="I9034"/>
      <c r="K9034"/>
      <c r="O9034"/>
      <c r="R9034"/>
      <c r="W9034" s="4"/>
      <c r="X9034" s="4"/>
      <c r="Y9034" s="4"/>
    </row>
    <row r="9035" spans="5:25">
      <c r="E9035"/>
      <c r="G9035"/>
      <c r="H9035"/>
      <c r="I9035"/>
      <c r="K9035"/>
      <c r="O9035"/>
      <c r="R9035"/>
      <c r="W9035" s="4"/>
      <c r="X9035" s="4"/>
      <c r="Y9035" s="4"/>
    </row>
    <row r="9036" spans="5:25">
      <c r="E9036"/>
      <c r="G9036"/>
      <c r="H9036"/>
      <c r="I9036"/>
      <c r="K9036"/>
      <c r="O9036"/>
      <c r="R9036"/>
      <c r="W9036" s="4"/>
      <c r="X9036" s="4"/>
      <c r="Y9036" s="4"/>
    </row>
    <row r="9037" spans="5:25">
      <c r="E9037"/>
      <c r="G9037"/>
      <c r="H9037"/>
      <c r="I9037"/>
      <c r="K9037"/>
      <c r="O9037"/>
      <c r="R9037"/>
      <c r="W9037" s="4"/>
      <c r="X9037" s="4"/>
      <c r="Y9037" s="4"/>
    </row>
    <row r="9038" spans="5:25">
      <c r="E9038"/>
      <c r="G9038"/>
      <c r="H9038"/>
      <c r="I9038"/>
      <c r="K9038"/>
      <c r="O9038"/>
      <c r="R9038"/>
      <c r="W9038" s="4"/>
      <c r="X9038" s="4"/>
      <c r="Y9038" s="4"/>
    </row>
    <row r="9039" spans="5:25">
      <c r="E9039"/>
      <c r="G9039"/>
      <c r="H9039"/>
      <c r="I9039"/>
      <c r="K9039"/>
      <c r="O9039"/>
      <c r="R9039"/>
      <c r="W9039" s="4"/>
      <c r="X9039" s="4"/>
      <c r="Y9039" s="4"/>
    </row>
    <row r="9040" spans="5:25">
      <c r="E9040"/>
      <c r="G9040"/>
      <c r="H9040"/>
      <c r="I9040"/>
      <c r="K9040"/>
      <c r="O9040"/>
      <c r="R9040"/>
      <c r="W9040" s="4"/>
      <c r="X9040" s="4"/>
      <c r="Y9040" s="4"/>
    </row>
    <row r="9041" spans="5:25">
      <c r="E9041"/>
      <c r="G9041"/>
      <c r="H9041"/>
      <c r="I9041"/>
      <c r="K9041"/>
      <c r="O9041"/>
      <c r="R9041"/>
      <c r="W9041" s="4"/>
      <c r="X9041" s="4"/>
      <c r="Y9041" s="4"/>
    </row>
    <row r="9042" spans="5:25">
      <c r="E9042"/>
      <c r="G9042"/>
      <c r="H9042"/>
      <c r="I9042"/>
      <c r="K9042"/>
      <c r="O9042"/>
      <c r="R9042"/>
      <c r="W9042" s="4"/>
      <c r="X9042" s="4"/>
      <c r="Y9042" s="4"/>
    </row>
    <row r="9043" spans="5:25">
      <c r="E9043"/>
      <c r="G9043"/>
      <c r="H9043"/>
      <c r="I9043"/>
      <c r="K9043"/>
      <c r="O9043"/>
      <c r="R9043"/>
      <c r="W9043" s="4"/>
      <c r="X9043" s="4"/>
      <c r="Y9043" s="4"/>
    </row>
    <row r="9044" spans="5:25">
      <c r="E9044"/>
      <c r="G9044"/>
      <c r="H9044"/>
      <c r="I9044"/>
      <c r="K9044"/>
      <c r="O9044"/>
      <c r="R9044"/>
      <c r="W9044" s="4"/>
      <c r="X9044" s="4"/>
      <c r="Y9044" s="4"/>
    </row>
    <row r="9045" spans="5:25">
      <c r="E9045"/>
      <c r="G9045"/>
      <c r="H9045"/>
      <c r="I9045"/>
      <c r="K9045"/>
      <c r="O9045"/>
      <c r="R9045"/>
      <c r="W9045" s="4"/>
      <c r="X9045" s="4"/>
      <c r="Y9045" s="4"/>
    </row>
    <row r="9046" spans="5:25">
      <c r="E9046"/>
      <c r="G9046"/>
      <c r="H9046"/>
      <c r="I9046"/>
      <c r="K9046"/>
      <c r="O9046"/>
      <c r="R9046"/>
      <c r="W9046" s="4"/>
      <c r="X9046" s="4"/>
      <c r="Y9046" s="4"/>
    </row>
    <row r="9047" spans="5:25">
      <c r="E9047"/>
      <c r="G9047"/>
      <c r="H9047"/>
      <c r="I9047"/>
      <c r="K9047"/>
      <c r="O9047"/>
      <c r="R9047"/>
      <c r="W9047" s="4"/>
      <c r="X9047" s="4"/>
      <c r="Y9047" s="4"/>
    </row>
    <row r="9048" spans="5:25">
      <c r="E9048"/>
      <c r="G9048"/>
      <c r="H9048"/>
      <c r="I9048"/>
      <c r="K9048"/>
      <c r="O9048"/>
      <c r="R9048"/>
      <c r="W9048" s="4"/>
      <c r="X9048" s="4"/>
      <c r="Y9048" s="4"/>
    </row>
    <row r="9049" spans="5:25">
      <c r="E9049"/>
      <c r="G9049"/>
      <c r="H9049"/>
      <c r="I9049"/>
      <c r="K9049"/>
      <c r="O9049"/>
      <c r="R9049"/>
      <c r="W9049" s="4"/>
      <c r="X9049" s="4"/>
      <c r="Y9049" s="4"/>
    </row>
    <row r="9050" spans="5:25">
      <c r="E9050"/>
      <c r="G9050"/>
      <c r="H9050"/>
      <c r="I9050"/>
      <c r="K9050"/>
      <c r="O9050"/>
      <c r="R9050"/>
      <c r="W9050" s="4"/>
      <c r="X9050" s="4"/>
      <c r="Y9050" s="4"/>
    </row>
    <row r="9051" spans="5:25">
      <c r="E9051"/>
      <c r="G9051"/>
      <c r="H9051"/>
      <c r="I9051"/>
      <c r="K9051"/>
      <c r="O9051"/>
      <c r="R9051"/>
      <c r="W9051" s="4"/>
      <c r="X9051" s="4"/>
      <c r="Y9051" s="4"/>
    </row>
    <row r="9052" spans="5:25">
      <c r="E9052"/>
      <c r="G9052"/>
      <c r="H9052"/>
      <c r="I9052"/>
      <c r="K9052"/>
      <c r="O9052"/>
      <c r="R9052"/>
      <c r="W9052" s="4"/>
      <c r="X9052" s="4"/>
      <c r="Y9052" s="4"/>
    </row>
    <row r="9053" spans="5:25">
      <c r="E9053"/>
      <c r="G9053"/>
      <c r="H9053"/>
      <c r="I9053"/>
      <c r="K9053"/>
      <c r="O9053"/>
      <c r="R9053"/>
      <c r="W9053" s="4"/>
      <c r="X9053" s="4"/>
      <c r="Y9053" s="4"/>
    </row>
    <row r="9054" spans="5:25">
      <c r="E9054"/>
      <c r="G9054"/>
      <c r="H9054"/>
      <c r="I9054"/>
      <c r="K9054"/>
      <c r="O9054"/>
      <c r="R9054"/>
      <c r="W9054" s="4"/>
      <c r="X9054" s="4"/>
      <c r="Y9054" s="4"/>
    </row>
    <row r="9055" spans="5:25">
      <c r="E9055"/>
      <c r="G9055"/>
      <c r="H9055"/>
      <c r="I9055"/>
      <c r="K9055"/>
      <c r="O9055"/>
      <c r="R9055"/>
      <c r="W9055" s="4"/>
      <c r="X9055" s="4"/>
      <c r="Y9055" s="4"/>
    </row>
    <row r="9056" spans="5:25">
      <c r="E9056"/>
      <c r="G9056"/>
      <c r="H9056"/>
      <c r="I9056"/>
      <c r="K9056"/>
      <c r="O9056"/>
      <c r="R9056"/>
      <c r="W9056" s="4"/>
      <c r="X9056" s="4"/>
      <c r="Y9056" s="4"/>
    </row>
    <row r="9057" spans="5:25">
      <c r="E9057"/>
      <c r="G9057"/>
      <c r="H9057"/>
      <c r="I9057"/>
      <c r="K9057"/>
      <c r="O9057"/>
      <c r="R9057"/>
      <c r="W9057" s="4"/>
      <c r="X9057" s="4"/>
      <c r="Y9057" s="4"/>
    </row>
    <row r="9058" spans="5:25">
      <c r="E9058"/>
      <c r="G9058"/>
      <c r="H9058"/>
      <c r="I9058"/>
      <c r="K9058"/>
      <c r="O9058"/>
      <c r="R9058"/>
      <c r="W9058" s="4"/>
      <c r="X9058" s="4"/>
      <c r="Y9058" s="4"/>
    </row>
    <row r="9059" spans="5:25">
      <c r="E9059"/>
      <c r="G9059"/>
      <c r="H9059"/>
      <c r="I9059"/>
      <c r="K9059"/>
      <c r="O9059"/>
      <c r="R9059"/>
      <c r="W9059" s="4"/>
      <c r="X9059" s="4"/>
      <c r="Y9059" s="4"/>
    </row>
    <row r="9060" spans="5:25">
      <c r="E9060"/>
      <c r="G9060"/>
      <c r="H9060"/>
      <c r="I9060"/>
      <c r="K9060"/>
      <c r="O9060"/>
      <c r="R9060"/>
      <c r="W9060" s="4"/>
      <c r="X9060" s="4"/>
      <c r="Y9060" s="4"/>
    </row>
    <row r="9061" spans="5:25">
      <c r="E9061"/>
      <c r="G9061"/>
      <c r="H9061"/>
      <c r="I9061"/>
      <c r="K9061"/>
      <c r="O9061"/>
      <c r="R9061"/>
      <c r="W9061" s="4"/>
      <c r="X9061" s="4"/>
      <c r="Y9061" s="4"/>
    </row>
    <row r="9062" spans="5:25">
      <c r="E9062"/>
      <c r="G9062"/>
      <c r="H9062"/>
      <c r="I9062"/>
      <c r="K9062"/>
      <c r="O9062"/>
      <c r="R9062"/>
      <c r="W9062" s="4"/>
      <c r="X9062" s="4"/>
      <c r="Y9062" s="4"/>
    </row>
    <row r="9063" spans="5:25">
      <c r="E9063"/>
      <c r="G9063"/>
      <c r="H9063"/>
      <c r="I9063"/>
      <c r="K9063"/>
      <c r="O9063"/>
      <c r="R9063"/>
      <c r="W9063" s="4"/>
      <c r="X9063" s="4"/>
      <c r="Y9063" s="4"/>
    </row>
    <row r="9064" spans="5:25">
      <c r="E9064"/>
      <c r="G9064"/>
      <c r="H9064"/>
      <c r="I9064"/>
      <c r="K9064"/>
      <c r="O9064"/>
      <c r="R9064"/>
      <c r="W9064" s="4"/>
      <c r="X9064" s="4"/>
      <c r="Y9064" s="4"/>
    </row>
    <row r="9065" spans="5:25">
      <c r="E9065"/>
      <c r="G9065"/>
      <c r="H9065"/>
      <c r="I9065"/>
      <c r="K9065"/>
      <c r="O9065"/>
      <c r="R9065"/>
      <c r="W9065" s="4"/>
      <c r="X9065" s="4"/>
      <c r="Y9065" s="4"/>
    </row>
    <row r="9066" spans="5:25">
      <c r="E9066"/>
      <c r="G9066"/>
      <c r="H9066"/>
      <c r="I9066"/>
      <c r="K9066"/>
      <c r="O9066"/>
      <c r="R9066"/>
      <c r="W9066" s="4"/>
      <c r="X9066" s="4"/>
      <c r="Y9066" s="4"/>
    </row>
    <row r="9067" spans="5:25">
      <c r="E9067"/>
      <c r="G9067"/>
      <c r="H9067"/>
      <c r="I9067"/>
      <c r="K9067"/>
      <c r="O9067"/>
      <c r="R9067"/>
      <c r="W9067" s="4"/>
      <c r="X9067" s="4"/>
      <c r="Y9067" s="4"/>
    </row>
    <row r="9068" spans="5:25">
      <c r="E9068"/>
      <c r="G9068"/>
      <c r="H9068"/>
      <c r="I9068"/>
      <c r="K9068"/>
      <c r="O9068"/>
      <c r="R9068"/>
      <c r="W9068" s="4"/>
      <c r="X9068" s="4"/>
      <c r="Y9068" s="4"/>
    </row>
    <row r="9069" spans="5:25">
      <c r="E9069"/>
      <c r="G9069"/>
      <c r="H9069"/>
      <c r="I9069"/>
      <c r="K9069"/>
      <c r="O9069"/>
      <c r="R9069"/>
      <c r="W9069" s="4"/>
      <c r="X9069" s="4"/>
      <c r="Y9069" s="4"/>
    </row>
    <row r="9070" spans="5:25">
      <c r="E9070"/>
      <c r="G9070"/>
      <c r="H9070"/>
      <c r="I9070"/>
      <c r="K9070"/>
      <c r="O9070"/>
      <c r="R9070"/>
      <c r="W9070" s="4"/>
      <c r="X9070" s="4"/>
      <c r="Y9070" s="4"/>
    </row>
    <row r="9071" spans="5:25">
      <c r="E9071"/>
      <c r="G9071"/>
      <c r="H9071"/>
      <c r="I9071"/>
      <c r="K9071"/>
      <c r="O9071"/>
      <c r="R9071"/>
      <c r="W9071" s="4"/>
      <c r="X9071" s="4"/>
      <c r="Y9071" s="4"/>
    </row>
    <row r="9072" spans="5:25">
      <c r="E9072"/>
      <c r="G9072"/>
      <c r="H9072"/>
      <c r="I9072"/>
      <c r="K9072"/>
      <c r="O9072"/>
      <c r="R9072"/>
      <c r="W9072" s="4"/>
      <c r="X9072" s="4"/>
      <c r="Y9072" s="4"/>
    </row>
    <row r="9073" spans="5:25">
      <c r="E9073"/>
      <c r="G9073"/>
      <c r="H9073"/>
      <c r="I9073"/>
      <c r="K9073"/>
      <c r="O9073"/>
      <c r="R9073"/>
      <c r="W9073" s="4"/>
      <c r="X9073" s="4"/>
      <c r="Y9073" s="4"/>
    </row>
    <row r="9074" spans="5:25">
      <c r="E9074"/>
      <c r="G9074"/>
      <c r="H9074"/>
      <c r="I9074"/>
      <c r="K9074"/>
      <c r="O9074"/>
      <c r="R9074"/>
      <c r="W9074" s="4"/>
      <c r="X9074" s="4"/>
      <c r="Y9074" s="4"/>
    </row>
    <row r="9075" spans="5:25">
      <c r="E9075"/>
      <c r="G9075"/>
      <c r="H9075"/>
      <c r="I9075"/>
      <c r="K9075"/>
      <c r="O9075"/>
      <c r="R9075"/>
      <c r="W9075" s="4"/>
      <c r="X9075" s="4"/>
      <c r="Y9075" s="4"/>
    </row>
    <row r="9076" spans="5:25">
      <c r="E9076"/>
      <c r="G9076"/>
      <c r="H9076"/>
      <c r="I9076"/>
      <c r="K9076"/>
      <c r="O9076"/>
      <c r="R9076"/>
      <c r="W9076" s="4"/>
      <c r="X9076" s="4"/>
      <c r="Y9076" s="4"/>
    </row>
    <row r="9077" spans="5:25">
      <c r="E9077"/>
      <c r="G9077"/>
      <c r="H9077"/>
      <c r="I9077"/>
      <c r="K9077"/>
      <c r="O9077"/>
      <c r="R9077"/>
      <c r="W9077" s="4"/>
      <c r="X9077" s="4"/>
      <c r="Y9077" s="4"/>
    </row>
    <row r="9078" spans="5:25">
      <c r="E9078"/>
      <c r="G9078"/>
      <c r="H9078"/>
      <c r="I9078"/>
      <c r="K9078"/>
      <c r="O9078"/>
      <c r="R9078"/>
      <c r="W9078" s="4"/>
      <c r="X9078" s="4"/>
      <c r="Y9078" s="4"/>
    </row>
    <row r="9079" spans="5:25">
      <c r="E9079"/>
      <c r="G9079"/>
      <c r="H9079"/>
      <c r="I9079"/>
      <c r="K9079"/>
      <c r="O9079"/>
      <c r="R9079"/>
      <c r="W9079" s="4"/>
      <c r="X9079" s="4"/>
      <c r="Y9079" s="4"/>
    </row>
    <row r="9080" spans="5:25">
      <c r="E9080"/>
      <c r="G9080"/>
      <c r="H9080"/>
      <c r="I9080"/>
      <c r="K9080"/>
      <c r="O9080"/>
      <c r="R9080"/>
      <c r="W9080" s="4"/>
      <c r="X9080" s="4"/>
      <c r="Y9080" s="4"/>
    </row>
    <row r="9081" spans="5:25">
      <c r="E9081"/>
      <c r="G9081"/>
      <c r="H9081"/>
      <c r="I9081"/>
      <c r="K9081"/>
      <c r="O9081"/>
      <c r="R9081"/>
      <c r="W9081" s="4"/>
      <c r="X9081" s="4"/>
      <c r="Y9081" s="4"/>
    </row>
    <row r="9082" spans="5:25">
      <c r="E9082"/>
      <c r="G9082"/>
      <c r="H9082"/>
      <c r="I9082"/>
      <c r="K9082"/>
      <c r="O9082"/>
      <c r="R9082"/>
      <c r="W9082" s="4"/>
      <c r="X9082" s="4"/>
      <c r="Y9082" s="4"/>
    </row>
    <row r="9083" spans="5:25">
      <c r="E9083"/>
      <c r="G9083"/>
      <c r="H9083"/>
      <c r="I9083"/>
      <c r="K9083"/>
      <c r="O9083"/>
      <c r="R9083"/>
      <c r="W9083" s="4"/>
      <c r="X9083" s="4"/>
      <c r="Y9083" s="4"/>
    </row>
    <row r="9084" spans="5:25">
      <c r="E9084"/>
      <c r="G9084"/>
      <c r="H9084"/>
      <c r="I9084"/>
      <c r="K9084"/>
      <c r="O9084"/>
      <c r="R9084"/>
      <c r="W9084" s="4"/>
      <c r="X9084" s="4"/>
      <c r="Y9084" s="4"/>
    </row>
    <row r="9085" spans="5:25">
      <c r="E9085"/>
      <c r="G9085"/>
      <c r="H9085"/>
      <c r="I9085"/>
      <c r="K9085"/>
      <c r="O9085"/>
      <c r="R9085"/>
      <c r="W9085" s="4"/>
      <c r="X9085" s="4"/>
      <c r="Y9085" s="4"/>
    </row>
    <row r="9086" spans="5:25">
      <c r="E9086"/>
      <c r="G9086"/>
      <c r="H9086"/>
      <c r="I9086"/>
      <c r="K9086"/>
      <c r="O9086"/>
      <c r="R9086"/>
      <c r="W9086" s="4"/>
      <c r="X9086" s="4"/>
      <c r="Y9086" s="4"/>
    </row>
    <row r="9087" spans="5:25">
      <c r="E9087"/>
      <c r="G9087"/>
      <c r="H9087"/>
      <c r="I9087"/>
      <c r="K9087"/>
      <c r="O9087"/>
      <c r="R9087"/>
      <c r="W9087" s="4"/>
      <c r="X9087" s="4"/>
      <c r="Y9087" s="4"/>
    </row>
    <row r="9088" spans="5:25">
      <c r="E9088"/>
      <c r="G9088"/>
      <c r="H9088"/>
      <c r="I9088"/>
      <c r="K9088"/>
      <c r="O9088"/>
      <c r="R9088"/>
      <c r="W9088" s="4"/>
      <c r="X9088" s="4"/>
      <c r="Y9088" s="4"/>
    </row>
    <row r="9089" spans="5:25">
      <c r="E9089"/>
      <c r="G9089"/>
      <c r="H9089"/>
      <c r="I9089"/>
      <c r="K9089"/>
      <c r="O9089"/>
      <c r="R9089"/>
      <c r="W9089" s="4"/>
      <c r="X9089" s="4"/>
      <c r="Y9089" s="4"/>
    </row>
    <row r="9090" spans="5:25">
      <c r="E9090"/>
      <c r="G9090"/>
      <c r="H9090"/>
      <c r="I9090"/>
      <c r="K9090"/>
      <c r="O9090"/>
      <c r="R9090"/>
      <c r="W9090" s="4"/>
      <c r="X9090" s="4"/>
      <c r="Y9090" s="4"/>
    </row>
    <row r="9091" spans="5:25">
      <c r="E9091"/>
      <c r="G9091"/>
      <c r="H9091"/>
      <c r="I9091"/>
      <c r="K9091"/>
      <c r="O9091"/>
      <c r="R9091"/>
      <c r="W9091" s="4"/>
      <c r="X9091" s="4"/>
      <c r="Y9091" s="4"/>
    </row>
    <row r="9092" spans="5:25">
      <c r="E9092"/>
      <c r="G9092"/>
      <c r="H9092"/>
      <c r="I9092"/>
      <c r="K9092"/>
      <c r="O9092"/>
      <c r="R9092"/>
      <c r="W9092" s="4"/>
      <c r="X9092" s="4"/>
      <c r="Y9092" s="4"/>
    </row>
    <row r="9093" spans="5:25">
      <c r="E9093"/>
      <c r="G9093"/>
      <c r="H9093"/>
      <c r="I9093"/>
      <c r="K9093"/>
      <c r="O9093"/>
      <c r="R9093"/>
      <c r="W9093" s="4"/>
      <c r="X9093" s="4"/>
      <c r="Y9093" s="4"/>
    </row>
    <row r="9094" spans="5:25">
      <c r="E9094"/>
      <c r="G9094"/>
      <c r="H9094"/>
      <c r="I9094"/>
      <c r="K9094"/>
      <c r="O9094"/>
      <c r="R9094"/>
      <c r="W9094" s="4"/>
      <c r="X9094" s="4"/>
      <c r="Y9094" s="4"/>
    </row>
    <row r="9095" spans="5:25">
      <c r="E9095"/>
      <c r="G9095"/>
      <c r="H9095"/>
      <c r="I9095"/>
      <c r="K9095"/>
      <c r="O9095"/>
      <c r="R9095"/>
      <c r="W9095" s="4"/>
      <c r="X9095" s="4"/>
      <c r="Y9095" s="4"/>
    </row>
    <row r="9096" spans="5:25">
      <c r="E9096"/>
      <c r="G9096"/>
      <c r="H9096"/>
      <c r="I9096"/>
      <c r="K9096"/>
      <c r="O9096"/>
      <c r="R9096"/>
      <c r="W9096" s="4"/>
      <c r="X9096" s="4"/>
      <c r="Y9096" s="4"/>
    </row>
    <row r="9097" spans="5:25">
      <c r="E9097"/>
      <c r="G9097"/>
      <c r="H9097"/>
      <c r="I9097"/>
      <c r="K9097"/>
      <c r="O9097"/>
      <c r="R9097"/>
      <c r="W9097" s="4"/>
      <c r="X9097" s="4"/>
      <c r="Y9097" s="4"/>
    </row>
    <row r="9098" spans="5:25">
      <c r="E9098"/>
      <c r="G9098"/>
      <c r="H9098"/>
      <c r="I9098"/>
      <c r="K9098"/>
      <c r="O9098"/>
      <c r="R9098"/>
      <c r="W9098" s="4"/>
      <c r="X9098" s="4"/>
      <c r="Y9098" s="4"/>
    </row>
    <row r="9099" spans="5:25">
      <c r="E9099"/>
      <c r="G9099"/>
      <c r="H9099"/>
      <c r="I9099"/>
      <c r="K9099"/>
      <c r="O9099"/>
      <c r="R9099"/>
      <c r="W9099" s="4"/>
      <c r="X9099" s="4"/>
      <c r="Y9099" s="4"/>
    </row>
    <row r="9100" spans="5:25">
      <c r="E9100"/>
      <c r="G9100"/>
      <c r="H9100"/>
      <c r="I9100"/>
      <c r="K9100"/>
      <c r="O9100"/>
      <c r="R9100"/>
      <c r="W9100" s="4"/>
      <c r="X9100" s="4"/>
      <c r="Y9100" s="4"/>
    </row>
    <row r="9101" spans="5:25">
      <c r="E9101"/>
      <c r="G9101"/>
      <c r="H9101"/>
      <c r="I9101"/>
      <c r="K9101"/>
      <c r="O9101"/>
      <c r="R9101"/>
      <c r="W9101" s="4"/>
      <c r="X9101" s="4"/>
      <c r="Y9101" s="4"/>
    </row>
    <row r="9102" spans="5:25">
      <c r="E9102"/>
      <c r="G9102"/>
      <c r="H9102"/>
      <c r="I9102"/>
      <c r="K9102"/>
      <c r="O9102"/>
      <c r="R9102"/>
      <c r="W9102" s="4"/>
      <c r="X9102" s="4"/>
      <c r="Y9102" s="4"/>
    </row>
    <row r="9103" spans="5:25">
      <c r="E9103"/>
      <c r="G9103"/>
      <c r="H9103"/>
      <c r="I9103"/>
      <c r="K9103"/>
      <c r="O9103"/>
      <c r="R9103"/>
      <c r="W9103" s="4"/>
      <c r="X9103" s="4"/>
      <c r="Y9103" s="4"/>
    </row>
    <row r="9104" spans="5:25">
      <c r="E9104"/>
      <c r="G9104"/>
      <c r="H9104"/>
      <c r="I9104"/>
      <c r="K9104"/>
      <c r="O9104"/>
      <c r="R9104"/>
      <c r="W9104" s="4"/>
      <c r="X9104" s="4"/>
      <c r="Y9104" s="4"/>
    </row>
    <row r="9105" spans="5:25">
      <c r="E9105"/>
      <c r="G9105"/>
      <c r="H9105"/>
      <c r="I9105"/>
      <c r="K9105"/>
      <c r="O9105"/>
      <c r="R9105"/>
      <c r="W9105" s="4"/>
      <c r="X9105" s="4"/>
      <c r="Y9105" s="4"/>
    </row>
    <row r="9106" spans="5:25">
      <c r="E9106"/>
      <c r="G9106"/>
      <c r="H9106"/>
      <c r="I9106"/>
      <c r="K9106"/>
      <c r="O9106"/>
      <c r="R9106"/>
      <c r="W9106" s="4"/>
      <c r="X9106" s="4"/>
      <c r="Y9106" s="4"/>
    </row>
    <row r="9107" spans="5:25">
      <c r="E9107"/>
      <c r="G9107"/>
      <c r="H9107"/>
      <c r="I9107"/>
      <c r="K9107"/>
      <c r="O9107"/>
      <c r="R9107"/>
      <c r="W9107" s="4"/>
      <c r="X9107" s="4"/>
      <c r="Y9107" s="4"/>
    </row>
    <row r="9108" spans="5:25">
      <c r="E9108"/>
      <c r="G9108"/>
      <c r="H9108"/>
      <c r="I9108"/>
      <c r="K9108"/>
      <c r="O9108"/>
      <c r="R9108"/>
      <c r="W9108" s="4"/>
      <c r="X9108" s="4"/>
      <c r="Y9108" s="4"/>
    </row>
    <row r="9109" spans="5:25">
      <c r="E9109"/>
      <c r="G9109"/>
      <c r="H9109"/>
      <c r="I9109"/>
      <c r="K9109"/>
      <c r="O9109"/>
      <c r="R9109"/>
      <c r="W9109" s="4"/>
      <c r="X9109" s="4"/>
      <c r="Y9109" s="4"/>
    </row>
    <row r="9110" spans="5:25">
      <c r="E9110"/>
      <c r="G9110"/>
      <c r="H9110"/>
      <c r="I9110"/>
      <c r="K9110"/>
      <c r="O9110"/>
      <c r="R9110"/>
      <c r="W9110" s="4"/>
      <c r="X9110" s="4"/>
      <c r="Y9110" s="4"/>
    </row>
    <row r="9111" spans="5:25">
      <c r="E9111"/>
      <c r="G9111"/>
      <c r="H9111"/>
      <c r="I9111"/>
      <c r="K9111"/>
      <c r="O9111"/>
      <c r="R9111"/>
      <c r="W9111" s="4"/>
      <c r="X9111" s="4"/>
      <c r="Y9111" s="4"/>
    </row>
    <row r="9112" spans="5:25">
      <c r="E9112"/>
      <c r="G9112"/>
      <c r="H9112"/>
      <c r="I9112"/>
      <c r="K9112"/>
      <c r="O9112"/>
      <c r="R9112"/>
      <c r="W9112" s="4"/>
      <c r="X9112" s="4"/>
      <c r="Y9112" s="4"/>
    </row>
    <row r="9113" spans="5:25">
      <c r="E9113"/>
      <c r="G9113"/>
      <c r="H9113"/>
      <c r="I9113"/>
      <c r="K9113"/>
      <c r="O9113"/>
      <c r="R9113"/>
      <c r="W9113" s="4"/>
      <c r="X9113" s="4"/>
      <c r="Y9113" s="4"/>
    </row>
    <row r="9114" spans="5:25">
      <c r="E9114"/>
      <c r="G9114"/>
      <c r="H9114"/>
      <c r="I9114"/>
      <c r="K9114"/>
      <c r="O9114"/>
      <c r="R9114"/>
      <c r="W9114" s="4"/>
      <c r="X9114" s="4"/>
      <c r="Y9114" s="4"/>
    </row>
    <row r="9115" spans="5:25">
      <c r="E9115"/>
      <c r="G9115"/>
      <c r="H9115"/>
      <c r="I9115"/>
      <c r="K9115"/>
      <c r="O9115"/>
      <c r="R9115"/>
      <c r="W9115" s="4"/>
      <c r="X9115" s="4"/>
      <c r="Y9115" s="4"/>
    </row>
    <row r="9116" spans="5:25">
      <c r="E9116"/>
      <c r="G9116"/>
      <c r="H9116"/>
      <c r="I9116"/>
      <c r="K9116"/>
      <c r="O9116"/>
      <c r="R9116"/>
      <c r="W9116" s="4"/>
      <c r="X9116" s="4"/>
      <c r="Y9116" s="4"/>
    </row>
    <row r="9117" spans="5:25">
      <c r="E9117"/>
      <c r="G9117"/>
      <c r="H9117"/>
      <c r="I9117"/>
      <c r="K9117"/>
      <c r="O9117"/>
      <c r="R9117"/>
      <c r="W9117" s="4"/>
      <c r="X9117" s="4"/>
      <c r="Y9117" s="4"/>
    </row>
    <row r="9118" spans="5:25">
      <c r="E9118"/>
      <c r="G9118"/>
      <c r="H9118"/>
      <c r="I9118"/>
      <c r="K9118"/>
      <c r="O9118"/>
      <c r="R9118"/>
      <c r="W9118" s="4"/>
      <c r="X9118" s="4"/>
      <c r="Y9118" s="4"/>
    </row>
    <row r="9119" spans="5:25">
      <c r="E9119"/>
      <c r="G9119"/>
      <c r="H9119"/>
      <c r="I9119"/>
      <c r="K9119"/>
      <c r="O9119"/>
      <c r="R9119"/>
      <c r="W9119" s="4"/>
      <c r="X9119" s="4"/>
      <c r="Y9119" s="4"/>
    </row>
    <row r="9120" spans="5:25">
      <c r="E9120"/>
      <c r="G9120"/>
      <c r="H9120"/>
      <c r="I9120"/>
      <c r="K9120"/>
      <c r="O9120"/>
      <c r="R9120"/>
      <c r="W9120" s="4"/>
      <c r="X9120" s="4"/>
      <c r="Y9120" s="4"/>
    </row>
    <row r="9121" spans="5:25">
      <c r="E9121"/>
      <c r="G9121"/>
      <c r="H9121"/>
      <c r="I9121"/>
      <c r="K9121"/>
      <c r="O9121"/>
      <c r="R9121"/>
      <c r="W9121" s="4"/>
      <c r="X9121" s="4"/>
      <c r="Y9121" s="4"/>
    </row>
    <row r="9122" spans="5:25">
      <c r="E9122"/>
      <c r="G9122"/>
      <c r="H9122"/>
      <c r="I9122"/>
      <c r="K9122"/>
      <c r="O9122"/>
      <c r="R9122"/>
      <c r="W9122" s="4"/>
      <c r="X9122" s="4"/>
      <c r="Y9122" s="4"/>
    </row>
    <row r="9123" spans="5:25">
      <c r="E9123"/>
      <c r="G9123"/>
      <c r="H9123"/>
      <c r="I9123"/>
      <c r="K9123"/>
      <c r="O9123"/>
      <c r="R9123"/>
      <c r="W9123" s="4"/>
      <c r="X9123" s="4"/>
      <c r="Y9123" s="4"/>
    </row>
    <row r="9124" spans="5:25">
      <c r="E9124"/>
      <c r="G9124"/>
      <c r="H9124"/>
      <c r="I9124"/>
      <c r="K9124"/>
      <c r="O9124"/>
      <c r="R9124"/>
      <c r="W9124" s="4"/>
      <c r="X9124" s="4"/>
      <c r="Y9124" s="4"/>
    </row>
    <row r="9125" spans="5:25">
      <c r="E9125"/>
      <c r="G9125"/>
      <c r="H9125"/>
      <c r="I9125"/>
      <c r="K9125"/>
      <c r="O9125"/>
      <c r="R9125"/>
      <c r="W9125" s="4"/>
      <c r="X9125" s="4"/>
      <c r="Y9125" s="4"/>
    </row>
    <row r="9126" spans="5:25">
      <c r="E9126"/>
      <c r="G9126"/>
      <c r="H9126"/>
      <c r="I9126"/>
      <c r="K9126"/>
      <c r="O9126"/>
      <c r="R9126"/>
      <c r="W9126" s="4"/>
      <c r="X9126" s="4"/>
      <c r="Y9126" s="4"/>
    </row>
    <row r="9127" spans="5:25">
      <c r="E9127"/>
      <c r="G9127"/>
      <c r="H9127"/>
      <c r="I9127"/>
      <c r="K9127"/>
      <c r="O9127"/>
      <c r="R9127"/>
      <c r="W9127" s="4"/>
      <c r="X9127" s="4"/>
      <c r="Y9127" s="4"/>
    </row>
    <row r="9128" spans="5:25">
      <c r="E9128"/>
      <c r="G9128"/>
      <c r="H9128"/>
      <c r="I9128"/>
      <c r="K9128"/>
      <c r="O9128"/>
      <c r="R9128"/>
      <c r="W9128" s="4"/>
      <c r="X9128" s="4"/>
      <c r="Y9128" s="4"/>
    </row>
    <row r="9129" spans="5:25">
      <c r="E9129"/>
      <c r="G9129"/>
      <c r="H9129"/>
      <c r="I9129"/>
      <c r="K9129"/>
      <c r="O9129"/>
      <c r="R9129"/>
      <c r="W9129" s="4"/>
      <c r="X9129" s="4"/>
      <c r="Y9129" s="4"/>
    </row>
    <row r="9130" spans="5:25">
      <c r="E9130"/>
      <c r="G9130"/>
      <c r="H9130"/>
      <c r="I9130"/>
      <c r="K9130"/>
      <c r="O9130"/>
      <c r="R9130"/>
      <c r="W9130" s="4"/>
      <c r="X9130" s="4"/>
      <c r="Y9130" s="4"/>
    </row>
    <row r="9131" spans="5:25">
      <c r="E9131"/>
      <c r="G9131"/>
      <c r="H9131"/>
      <c r="I9131"/>
      <c r="K9131"/>
      <c r="O9131"/>
      <c r="R9131"/>
      <c r="W9131" s="4"/>
      <c r="X9131" s="4"/>
      <c r="Y9131" s="4"/>
    </row>
    <row r="9132" spans="5:25">
      <c r="E9132"/>
      <c r="G9132"/>
      <c r="H9132"/>
      <c r="I9132"/>
      <c r="K9132"/>
      <c r="O9132"/>
      <c r="R9132"/>
      <c r="W9132" s="4"/>
      <c r="X9132" s="4"/>
      <c r="Y9132" s="4"/>
    </row>
    <row r="9133" spans="5:25">
      <c r="E9133"/>
      <c r="G9133"/>
      <c r="H9133"/>
      <c r="I9133"/>
      <c r="K9133"/>
      <c r="O9133"/>
      <c r="R9133"/>
      <c r="W9133" s="4"/>
      <c r="X9133" s="4"/>
      <c r="Y9133" s="4"/>
    </row>
    <row r="9134" spans="5:25">
      <c r="E9134"/>
      <c r="G9134"/>
      <c r="H9134"/>
      <c r="I9134"/>
      <c r="K9134"/>
      <c r="O9134"/>
      <c r="R9134"/>
      <c r="W9134" s="4"/>
      <c r="X9134" s="4"/>
      <c r="Y9134" s="4"/>
    </row>
    <row r="9135" spans="5:25">
      <c r="E9135"/>
      <c r="G9135"/>
      <c r="H9135"/>
      <c r="I9135"/>
      <c r="K9135"/>
      <c r="O9135"/>
      <c r="R9135"/>
      <c r="W9135" s="4"/>
      <c r="X9135" s="4"/>
      <c r="Y9135" s="4"/>
    </row>
    <row r="9136" spans="5:25">
      <c r="E9136"/>
      <c r="G9136"/>
      <c r="H9136"/>
      <c r="I9136"/>
      <c r="K9136"/>
      <c r="O9136"/>
      <c r="R9136"/>
      <c r="W9136" s="4"/>
      <c r="X9136" s="4"/>
      <c r="Y9136" s="4"/>
    </row>
    <row r="9137" spans="5:25">
      <c r="E9137"/>
      <c r="G9137"/>
      <c r="H9137"/>
      <c r="I9137"/>
      <c r="K9137"/>
      <c r="O9137"/>
      <c r="R9137"/>
      <c r="W9137" s="4"/>
      <c r="X9137" s="4"/>
      <c r="Y9137" s="4"/>
    </row>
    <row r="9138" spans="5:25">
      <c r="E9138"/>
      <c r="G9138"/>
      <c r="H9138"/>
      <c r="I9138"/>
      <c r="K9138"/>
      <c r="O9138"/>
      <c r="R9138"/>
      <c r="W9138" s="4"/>
      <c r="X9138" s="4"/>
      <c r="Y9138" s="4"/>
    </row>
    <row r="9139" spans="5:25">
      <c r="E9139"/>
      <c r="G9139"/>
      <c r="H9139"/>
      <c r="I9139"/>
      <c r="K9139"/>
      <c r="O9139"/>
      <c r="R9139"/>
      <c r="W9139" s="4"/>
      <c r="X9139" s="4"/>
      <c r="Y9139" s="4"/>
    </row>
    <row r="9140" spans="5:25">
      <c r="E9140"/>
      <c r="G9140"/>
      <c r="H9140"/>
      <c r="I9140"/>
      <c r="K9140"/>
      <c r="O9140"/>
      <c r="R9140"/>
      <c r="W9140" s="4"/>
      <c r="X9140" s="4"/>
      <c r="Y9140" s="4"/>
    </row>
    <row r="9141" spans="5:25">
      <c r="E9141"/>
      <c r="G9141"/>
      <c r="H9141"/>
      <c r="I9141"/>
      <c r="K9141"/>
      <c r="O9141"/>
      <c r="R9141"/>
      <c r="W9141" s="4"/>
      <c r="X9141" s="4"/>
      <c r="Y9141" s="4"/>
    </row>
    <row r="9142" spans="5:25">
      <c r="E9142"/>
      <c r="G9142"/>
      <c r="H9142"/>
      <c r="I9142"/>
      <c r="K9142"/>
      <c r="O9142"/>
      <c r="R9142"/>
      <c r="W9142" s="4"/>
      <c r="X9142" s="4"/>
      <c r="Y9142" s="4"/>
    </row>
    <row r="9143" spans="5:25">
      <c r="E9143"/>
      <c r="G9143"/>
      <c r="H9143"/>
      <c r="I9143"/>
      <c r="K9143"/>
      <c r="O9143"/>
      <c r="R9143"/>
      <c r="W9143" s="4"/>
      <c r="X9143" s="4"/>
      <c r="Y9143" s="4"/>
    </row>
    <row r="9144" spans="5:25">
      <c r="E9144"/>
      <c r="G9144"/>
      <c r="H9144"/>
      <c r="I9144"/>
      <c r="K9144"/>
      <c r="O9144"/>
      <c r="R9144"/>
      <c r="W9144" s="4"/>
      <c r="X9144" s="4"/>
      <c r="Y9144" s="4"/>
    </row>
    <row r="9145" spans="5:25">
      <c r="E9145"/>
      <c r="G9145"/>
      <c r="H9145"/>
      <c r="I9145"/>
      <c r="K9145"/>
      <c r="O9145"/>
      <c r="R9145"/>
      <c r="W9145" s="4"/>
      <c r="X9145" s="4"/>
      <c r="Y9145" s="4"/>
    </row>
    <row r="9146" spans="5:25">
      <c r="E9146"/>
      <c r="G9146"/>
      <c r="H9146"/>
      <c r="I9146"/>
      <c r="K9146"/>
      <c r="O9146"/>
      <c r="R9146"/>
      <c r="W9146" s="4"/>
      <c r="X9146" s="4"/>
      <c r="Y9146" s="4"/>
    </row>
    <row r="9147" spans="5:25">
      <c r="E9147"/>
      <c r="G9147"/>
      <c r="H9147"/>
      <c r="I9147"/>
      <c r="K9147"/>
      <c r="O9147"/>
      <c r="R9147"/>
      <c r="W9147" s="4"/>
      <c r="X9147" s="4"/>
      <c r="Y9147" s="4"/>
    </row>
    <row r="9148" spans="5:25">
      <c r="E9148"/>
      <c r="G9148"/>
      <c r="H9148"/>
      <c r="I9148"/>
      <c r="K9148"/>
      <c r="O9148"/>
      <c r="R9148"/>
      <c r="W9148" s="4"/>
      <c r="X9148" s="4"/>
      <c r="Y9148" s="4"/>
    </row>
    <row r="9149" spans="5:25">
      <c r="E9149"/>
      <c r="G9149"/>
      <c r="H9149"/>
      <c r="I9149"/>
      <c r="K9149"/>
      <c r="O9149"/>
      <c r="R9149"/>
      <c r="W9149" s="4"/>
      <c r="X9149" s="4"/>
      <c r="Y9149" s="4"/>
    </row>
    <row r="9150" spans="5:25">
      <c r="E9150"/>
      <c r="G9150"/>
      <c r="H9150"/>
      <c r="I9150"/>
      <c r="K9150"/>
      <c r="O9150"/>
      <c r="R9150"/>
      <c r="W9150" s="4"/>
      <c r="X9150" s="4"/>
      <c r="Y9150" s="4"/>
    </row>
    <row r="9151" spans="5:25">
      <c r="E9151"/>
      <c r="G9151"/>
      <c r="H9151"/>
      <c r="I9151"/>
      <c r="K9151"/>
      <c r="O9151"/>
      <c r="R9151"/>
      <c r="W9151" s="4"/>
      <c r="X9151" s="4"/>
      <c r="Y9151" s="4"/>
    </row>
    <row r="9152" spans="5:25">
      <c r="E9152"/>
      <c r="G9152"/>
      <c r="H9152"/>
      <c r="I9152"/>
      <c r="K9152"/>
      <c r="O9152"/>
      <c r="R9152"/>
      <c r="W9152" s="4"/>
      <c r="X9152" s="4"/>
      <c r="Y9152" s="4"/>
    </row>
    <row r="9153" spans="5:25">
      <c r="E9153"/>
      <c r="G9153"/>
      <c r="H9153"/>
      <c r="I9153"/>
      <c r="K9153"/>
      <c r="O9153"/>
      <c r="R9153"/>
      <c r="W9153" s="4"/>
      <c r="X9153" s="4"/>
      <c r="Y9153" s="4"/>
    </row>
    <row r="9154" spans="5:25">
      <c r="E9154"/>
      <c r="G9154"/>
      <c r="H9154"/>
      <c r="I9154"/>
      <c r="K9154"/>
      <c r="O9154"/>
      <c r="R9154"/>
      <c r="W9154" s="4"/>
      <c r="X9154" s="4"/>
      <c r="Y9154" s="4"/>
    </row>
    <row r="9155" spans="5:25">
      <c r="E9155"/>
      <c r="G9155"/>
      <c r="H9155"/>
      <c r="I9155"/>
      <c r="K9155"/>
      <c r="O9155"/>
      <c r="R9155"/>
      <c r="W9155" s="4"/>
      <c r="X9155" s="4"/>
      <c r="Y9155" s="4"/>
    </row>
    <row r="9156" spans="5:25">
      <c r="E9156"/>
      <c r="G9156"/>
      <c r="H9156"/>
      <c r="I9156"/>
      <c r="K9156"/>
      <c r="O9156"/>
      <c r="R9156"/>
      <c r="W9156" s="4"/>
      <c r="X9156" s="4"/>
      <c r="Y9156" s="4"/>
    </row>
    <row r="9157" spans="5:25">
      <c r="E9157"/>
      <c r="G9157"/>
      <c r="H9157"/>
      <c r="I9157"/>
      <c r="K9157"/>
      <c r="O9157"/>
      <c r="R9157"/>
      <c r="W9157" s="4"/>
      <c r="X9157" s="4"/>
      <c r="Y9157" s="4"/>
    </row>
    <row r="9158" spans="5:25">
      <c r="E9158"/>
      <c r="G9158"/>
      <c r="H9158"/>
      <c r="I9158"/>
      <c r="K9158"/>
      <c r="O9158"/>
      <c r="R9158"/>
      <c r="W9158" s="4"/>
      <c r="X9158" s="4"/>
      <c r="Y9158" s="4"/>
    </row>
    <row r="9159" spans="5:25">
      <c r="E9159"/>
      <c r="G9159"/>
      <c r="H9159"/>
      <c r="I9159"/>
      <c r="K9159"/>
      <c r="O9159"/>
      <c r="R9159"/>
      <c r="W9159" s="4"/>
      <c r="X9159" s="4"/>
      <c r="Y9159" s="4"/>
    </row>
    <row r="9160" spans="5:25">
      <c r="E9160"/>
      <c r="G9160"/>
      <c r="H9160"/>
      <c r="I9160"/>
      <c r="K9160"/>
      <c r="O9160"/>
      <c r="R9160"/>
      <c r="W9160" s="4"/>
      <c r="X9160" s="4"/>
      <c r="Y9160" s="4"/>
    </row>
    <row r="9161" spans="5:25">
      <c r="E9161"/>
      <c r="G9161"/>
      <c r="H9161"/>
      <c r="I9161"/>
      <c r="K9161"/>
      <c r="O9161"/>
      <c r="R9161"/>
      <c r="W9161" s="4"/>
      <c r="X9161" s="4"/>
      <c r="Y9161" s="4"/>
    </row>
    <row r="9162" spans="5:25">
      <c r="E9162"/>
      <c r="G9162"/>
      <c r="H9162"/>
      <c r="I9162"/>
      <c r="K9162"/>
      <c r="O9162"/>
      <c r="R9162"/>
      <c r="W9162" s="4"/>
      <c r="X9162" s="4"/>
      <c r="Y9162" s="4"/>
    </row>
    <row r="9163" spans="5:25">
      <c r="E9163"/>
      <c r="G9163"/>
      <c r="H9163"/>
      <c r="I9163"/>
      <c r="K9163"/>
      <c r="O9163"/>
      <c r="R9163"/>
      <c r="W9163" s="4"/>
      <c r="X9163" s="4"/>
      <c r="Y9163" s="4"/>
    </row>
    <row r="9164" spans="5:25">
      <c r="E9164"/>
      <c r="G9164"/>
      <c r="H9164"/>
      <c r="I9164"/>
      <c r="K9164"/>
      <c r="O9164"/>
      <c r="R9164"/>
      <c r="W9164" s="4"/>
      <c r="X9164" s="4"/>
      <c r="Y9164" s="4"/>
    </row>
    <row r="9165" spans="5:25">
      <c r="E9165"/>
      <c r="G9165"/>
      <c r="H9165"/>
      <c r="I9165"/>
      <c r="K9165"/>
      <c r="O9165"/>
      <c r="R9165"/>
      <c r="W9165" s="4"/>
      <c r="X9165" s="4"/>
      <c r="Y9165" s="4"/>
    </row>
    <row r="9166" spans="5:25">
      <c r="E9166"/>
      <c r="G9166"/>
      <c r="H9166"/>
      <c r="I9166"/>
      <c r="K9166"/>
      <c r="O9166"/>
      <c r="R9166"/>
      <c r="W9166" s="4"/>
      <c r="X9166" s="4"/>
      <c r="Y9166" s="4"/>
    </row>
    <row r="9167" spans="5:25">
      <c r="E9167"/>
      <c r="G9167"/>
      <c r="H9167"/>
      <c r="I9167"/>
      <c r="K9167"/>
      <c r="O9167"/>
      <c r="R9167"/>
      <c r="W9167" s="4"/>
      <c r="X9167" s="4"/>
      <c r="Y9167" s="4"/>
    </row>
    <row r="9168" spans="5:25">
      <c r="E9168"/>
      <c r="G9168"/>
      <c r="H9168"/>
      <c r="I9168"/>
      <c r="K9168"/>
      <c r="O9168"/>
      <c r="R9168"/>
      <c r="W9168" s="4"/>
      <c r="X9168" s="4"/>
      <c r="Y9168" s="4"/>
    </row>
    <row r="9169" spans="5:25">
      <c r="E9169"/>
      <c r="G9169"/>
      <c r="H9169"/>
      <c r="I9169"/>
      <c r="K9169"/>
      <c r="O9169"/>
      <c r="R9169"/>
      <c r="W9169" s="4"/>
      <c r="X9169" s="4"/>
      <c r="Y9169" s="4"/>
    </row>
    <row r="9170" spans="5:25">
      <c r="E9170"/>
      <c r="G9170"/>
      <c r="H9170"/>
      <c r="I9170"/>
      <c r="K9170"/>
      <c r="O9170"/>
      <c r="R9170"/>
      <c r="W9170" s="4"/>
      <c r="X9170" s="4"/>
      <c r="Y9170" s="4"/>
    </row>
    <row r="9171" spans="5:25">
      <c r="E9171"/>
      <c r="G9171"/>
      <c r="H9171"/>
      <c r="I9171"/>
      <c r="K9171"/>
      <c r="O9171"/>
      <c r="R9171"/>
      <c r="W9171" s="4"/>
      <c r="X9171" s="4"/>
      <c r="Y9171" s="4"/>
    </row>
    <row r="9172" spans="5:25">
      <c r="E9172"/>
      <c r="G9172"/>
      <c r="H9172"/>
      <c r="I9172"/>
      <c r="K9172"/>
      <c r="O9172"/>
      <c r="R9172"/>
      <c r="W9172" s="4"/>
      <c r="X9172" s="4"/>
      <c r="Y9172" s="4"/>
    </row>
    <row r="9173" spans="5:25">
      <c r="E9173"/>
      <c r="G9173"/>
      <c r="H9173"/>
      <c r="I9173"/>
      <c r="K9173"/>
      <c r="O9173"/>
      <c r="R9173"/>
      <c r="W9173" s="4"/>
      <c r="X9173" s="4"/>
      <c r="Y9173" s="4"/>
    </row>
    <row r="9174" spans="5:25">
      <c r="E9174"/>
      <c r="G9174"/>
      <c r="H9174"/>
      <c r="I9174"/>
      <c r="K9174"/>
      <c r="O9174"/>
      <c r="R9174"/>
      <c r="W9174" s="4"/>
      <c r="X9174" s="4"/>
      <c r="Y9174" s="4"/>
    </row>
    <row r="9175" spans="5:25">
      <c r="E9175"/>
      <c r="G9175"/>
      <c r="H9175"/>
      <c r="I9175"/>
      <c r="K9175"/>
      <c r="O9175"/>
      <c r="R9175"/>
      <c r="W9175" s="4"/>
      <c r="X9175" s="4"/>
      <c r="Y9175" s="4"/>
    </row>
    <row r="9176" spans="5:25">
      <c r="E9176"/>
      <c r="G9176"/>
      <c r="H9176"/>
      <c r="I9176"/>
      <c r="K9176"/>
      <c r="O9176"/>
      <c r="R9176"/>
      <c r="W9176" s="4"/>
      <c r="X9176" s="4"/>
      <c r="Y9176" s="4"/>
    </row>
    <row r="9177" spans="5:25">
      <c r="E9177"/>
      <c r="G9177"/>
      <c r="H9177"/>
      <c r="I9177"/>
      <c r="K9177"/>
      <c r="O9177"/>
      <c r="R9177"/>
      <c r="W9177" s="4"/>
      <c r="X9177" s="4"/>
      <c r="Y9177" s="4"/>
    </row>
    <row r="9178" spans="5:25">
      <c r="E9178"/>
      <c r="G9178"/>
      <c r="H9178"/>
      <c r="I9178"/>
      <c r="K9178"/>
      <c r="O9178"/>
      <c r="R9178"/>
      <c r="W9178" s="4"/>
      <c r="X9178" s="4"/>
      <c r="Y9178" s="4"/>
    </row>
    <row r="9179" spans="5:25">
      <c r="E9179"/>
      <c r="G9179"/>
      <c r="H9179"/>
      <c r="I9179"/>
      <c r="K9179"/>
      <c r="O9179"/>
      <c r="R9179"/>
      <c r="W9179" s="4"/>
      <c r="X9179" s="4"/>
      <c r="Y9179" s="4"/>
    </row>
    <row r="9180" spans="5:25">
      <c r="E9180"/>
      <c r="G9180"/>
      <c r="H9180"/>
      <c r="I9180"/>
      <c r="K9180"/>
      <c r="O9180"/>
      <c r="R9180"/>
      <c r="W9180" s="4"/>
      <c r="X9180" s="4"/>
      <c r="Y9180" s="4"/>
    </row>
    <row r="9181" spans="5:25">
      <c r="E9181"/>
      <c r="G9181"/>
      <c r="H9181"/>
      <c r="I9181"/>
      <c r="K9181"/>
      <c r="O9181"/>
      <c r="R9181"/>
      <c r="W9181" s="4"/>
      <c r="X9181" s="4"/>
      <c r="Y9181" s="4"/>
    </row>
    <row r="9182" spans="5:25">
      <c r="E9182"/>
      <c r="G9182"/>
      <c r="H9182"/>
      <c r="I9182"/>
      <c r="K9182"/>
      <c r="O9182"/>
      <c r="R9182"/>
      <c r="W9182" s="4"/>
      <c r="X9182" s="4"/>
      <c r="Y9182" s="4"/>
    </row>
    <row r="9183" spans="5:25">
      <c r="E9183"/>
      <c r="G9183"/>
      <c r="H9183"/>
      <c r="I9183"/>
      <c r="K9183"/>
      <c r="O9183"/>
      <c r="R9183"/>
      <c r="W9183" s="4"/>
      <c r="X9183" s="4"/>
      <c r="Y9183" s="4"/>
    </row>
    <row r="9184" spans="5:25">
      <c r="E9184"/>
      <c r="G9184"/>
      <c r="H9184"/>
      <c r="I9184"/>
      <c r="K9184"/>
      <c r="O9184"/>
      <c r="R9184"/>
      <c r="W9184" s="4"/>
      <c r="X9184" s="4"/>
      <c r="Y9184" s="4"/>
    </row>
    <row r="9185" spans="5:25">
      <c r="E9185"/>
      <c r="G9185"/>
      <c r="H9185"/>
      <c r="I9185"/>
      <c r="K9185"/>
      <c r="O9185"/>
      <c r="R9185"/>
      <c r="W9185" s="4"/>
      <c r="X9185" s="4"/>
      <c r="Y9185" s="4"/>
    </row>
    <row r="9186" spans="5:25">
      <c r="E9186"/>
      <c r="G9186"/>
      <c r="H9186"/>
      <c r="I9186"/>
      <c r="K9186"/>
      <c r="O9186"/>
      <c r="R9186"/>
      <c r="W9186" s="4"/>
      <c r="X9186" s="4"/>
      <c r="Y9186" s="4"/>
    </row>
    <row r="9187" spans="5:25">
      <c r="E9187"/>
      <c r="G9187"/>
      <c r="H9187"/>
      <c r="I9187"/>
      <c r="K9187"/>
      <c r="O9187"/>
      <c r="R9187"/>
      <c r="W9187" s="4"/>
      <c r="X9187" s="4"/>
      <c r="Y9187" s="4"/>
    </row>
    <row r="9188" spans="5:25">
      <c r="E9188"/>
      <c r="G9188"/>
      <c r="H9188"/>
      <c r="I9188"/>
      <c r="K9188"/>
      <c r="O9188"/>
      <c r="R9188"/>
      <c r="W9188" s="4"/>
      <c r="X9188" s="4"/>
      <c r="Y9188" s="4"/>
    </row>
    <row r="9189" spans="5:25">
      <c r="E9189"/>
      <c r="G9189"/>
      <c r="H9189"/>
      <c r="I9189"/>
      <c r="K9189"/>
      <c r="O9189"/>
      <c r="R9189"/>
      <c r="W9189" s="4"/>
      <c r="X9189" s="4"/>
      <c r="Y9189" s="4"/>
    </row>
    <row r="9190" spans="5:25">
      <c r="E9190"/>
      <c r="G9190"/>
      <c r="H9190"/>
      <c r="I9190"/>
      <c r="K9190"/>
      <c r="O9190"/>
      <c r="R9190"/>
      <c r="W9190" s="4"/>
      <c r="X9190" s="4"/>
      <c r="Y9190" s="4"/>
    </row>
    <row r="9191" spans="5:25">
      <c r="E9191"/>
      <c r="G9191"/>
      <c r="H9191"/>
      <c r="I9191"/>
      <c r="K9191"/>
      <c r="O9191"/>
      <c r="R9191"/>
      <c r="W9191" s="4"/>
      <c r="X9191" s="4"/>
      <c r="Y9191" s="4"/>
    </row>
    <row r="9192" spans="5:25">
      <c r="E9192"/>
      <c r="G9192"/>
      <c r="H9192"/>
      <c r="I9192"/>
      <c r="K9192"/>
      <c r="O9192"/>
      <c r="R9192"/>
      <c r="W9192" s="4"/>
      <c r="X9192" s="4"/>
      <c r="Y9192" s="4"/>
    </row>
    <row r="9193" spans="5:25">
      <c r="E9193"/>
      <c r="G9193"/>
      <c r="H9193"/>
      <c r="I9193"/>
      <c r="K9193"/>
      <c r="O9193"/>
      <c r="R9193"/>
      <c r="W9193" s="4"/>
      <c r="X9193" s="4"/>
      <c r="Y9193" s="4"/>
    </row>
    <row r="9194" spans="5:25">
      <c r="E9194"/>
      <c r="G9194"/>
      <c r="H9194"/>
      <c r="I9194"/>
      <c r="K9194"/>
      <c r="O9194"/>
      <c r="R9194"/>
      <c r="W9194" s="4"/>
      <c r="X9194" s="4"/>
      <c r="Y9194" s="4"/>
    </row>
    <row r="9195" spans="5:25">
      <c r="E9195"/>
      <c r="G9195"/>
      <c r="H9195"/>
      <c r="I9195"/>
      <c r="K9195"/>
      <c r="O9195"/>
      <c r="R9195"/>
      <c r="W9195" s="4"/>
      <c r="X9195" s="4"/>
      <c r="Y9195" s="4"/>
    </row>
    <row r="9196" spans="5:25">
      <c r="E9196"/>
      <c r="G9196"/>
      <c r="H9196"/>
      <c r="I9196"/>
      <c r="K9196"/>
      <c r="O9196"/>
      <c r="R9196"/>
      <c r="W9196" s="4"/>
      <c r="X9196" s="4"/>
      <c r="Y9196" s="4"/>
    </row>
    <row r="9197" spans="5:25">
      <c r="E9197"/>
      <c r="G9197"/>
      <c r="H9197"/>
      <c r="I9197"/>
      <c r="K9197"/>
      <c r="O9197"/>
      <c r="R9197"/>
      <c r="W9197" s="4"/>
      <c r="X9197" s="4"/>
      <c r="Y9197" s="4"/>
    </row>
    <row r="9198" spans="5:25">
      <c r="E9198"/>
      <c r="G9198"/>
      <c r="H9198"/>
      <c r="I9198"/>
      <c r="K9198"/>
      <c r="O9198"/>
      <c r="R9198"/>
      <c r="W9198" s="4"/>
      <c r="X9198" s="4"/>
      <c r="Y9198" s="4"/>
    </row>
    <row r="9199" spans="5:25">
      <c r="E9199"/>
      <c r="G9199"/>
      <c r="H9199"/>
      <c r="I9199"/>
      <c r="K9199"/>
      <c r="O9199"/>
      <c r="R9199"/>
      <c r="W9199" s="4"/>
      <c r="X9199" s="4"/>
      <c r="Y9199" s="4"/>
    </row>
    <row r="9200" spans="5:25">
      <c r="E9200"/>
      <c r="G9200"/>
      <c r="H9200"/>
      <c r="I9200"/>
      <c r="K9200"/>
      <c r="O9200"/>
      <c r="R9200"/>
      <c r="W9200" s="4"/>
      <c r="X9200" s="4"/>
      <c r="Y9200" s="4"/>
    </row>
    <row r="9201" spans="5:25">
      <c r="E9201"/>
      <c r="G9201"/>
      <c r="H9201"/>
      <c r="I9201"/>
      <c r="K9201"/>
      <c r="O9201"/>
      <c r="R9201"/>
      <c r="W9201" s="4"/>
      <c r="X9201" s="4"/>
      <c r="Y9201" s="4"/>
    </row>
    <row r="9202" spans="5:25">
      <c r="E9202"/>
      <c r="G9202"/>
      <c r="H9202"/>
      <c r="I9202"/>
      <c r="K9202"/>
      <c r="O9202"/>
      <c r="R9202"/>
      <c r="W9202" s="4"/>
      <c r="X9202" s="4"/>
      <c r="Y9202" s="4"/>
    </row>
    <row r="9203" spans="5:25">
      <c r="E9203"/>
      <c r="G9203"/>
      <c r="H9203"/>
      <c r="I9203"/>
      <c r="K9203"/>
      <c r="O9203"/>
      <c r="R9203"/>
      <c r="W9203" s="4"/>
      <c r="X9203" s="4"/>
      <c r="Y9203" s="4"/>
    </row>
    <row r="9204" spans="5:25">
      <c r="E9204"/>
      <c r="G9204"/>
      <c r="H9204"/>
      <c r="I9204"/>
      <c r="K9204"/>
      <c r="O9204"/>
      <c r="R9204"/>
      <c r="W9204" s="4"/>
      <c r="X9204" s="4"/>
      <c r="Y9204" s="4"/>
    </row>
    <row r="9205" spans="5:25">
      <c r="E9205"/>
      <c r="G9205"/>
      <c r="H9205"/>
      <c r="I9205"/>
      <c r="K9205"/>
      <c r="O9205"/>
      <c r="R9205"/>
      <c r="W9205" s="4"/>
      <c r="X9205" s="4"/>
      <c r="Y9205" s="4"/>
    </row>
    <row r="9206" spans="5:25">
      <c r="E9206"/>
      <c r="G9206"/>
      <c r="H9206"/>
      <c r="I9206"/>
      <c r="K9206"/>
      <c r="O9206"/>
      <c r="R9206"/>
      <c r="W9206" s="4"/>
      <c r="X9206" s="4"/>
      <c r="Y9206" s="4"/>
    </row>
    <row r="9207" spans="5:25">
      <c r="E9207"/>
      <c r="G9207"/>
      <c r="H9207"/>
      <c r="I9207"/>
      <c r="K9207"/>
      <c r="O9207"/>
      <c r="R9207"/>
      <c r="W9207" s="4"/>
      <c r="X9207" s="4"/>
      <c r="Y9207" s="4"/>
    </row>
    <row r="9208" spans="5:25">
      <c r="E9208"/>
      <c r="G9208"/>
      <c r="H9208"/>
      <c r="I9208"/>
      <c r="K9208"/>
      <c r="O9208"/>
      <c r="R9208"/>
      <c r="W9208" s="4"/>
      <c r="X9208" s="4"/>
      <c r="Y9208" s="4"/>
    </row>
    <row r="9209" spans="5:25">
      <c r="E9209"/>
      <c r="G9209"/>
      <c r="H9209"/>
      <c r="I9209"/>
      <c r="K9209"/>
      <c r="O9209"/>
      <c r="R9209"/>
      <c r="W9209" s="4"/>
      <c r="X9209" s="4"/>
      <c r="Y9209" s="4"/>
    </row>
    <row r="9210" spans="5:25">
      <c r="E9210"/>
      <c r="G9210"/>
      <c r="H9210"/>
      <c r="I9210"/>
      <c r="K9210"/>
      <c r="O9210"/>
      <c r="R9210"/>
      <c r="W9210" s="4"/>
      <c r="X9210" s="4"/>
      <c r="Y9210" s="4"/>
    </row>
    <row r="9211" spans="5:25">
      <c r="E9211"/>
      <c r="G9211"/>
      <c r="H9211"/>
      <c r="I9211"/>
      <c r="K9211"/>
      <c r="O9211"/>
      <c r="R9211"/>
      <c r="W9211" s="4"/>
      <c r="X9211" s="4"/>
      <c r="Y9211" s="4"/>
    </row>
    <row r="9212" spans="5:25">
      <c r="E9212"/>
      <c r="G9212"/>
      <c r="H9212"/>
      <c r="I9212"/>
      <c r="K9212"/>
      <c r="O9212"/>
      <c r="R9212"/>
      <c r="W9212" s="4"/>
      <c r="X9212" s="4"/>
      <c r="Y9212" s="4"/>
    </row>
    <row r="9213" spans="5:25">
      <c r="E9213"/>
      <c r="G9213"/>
      <c r="H9213"/>
      <c r="I9213"/>
      <c r="K9213"/>
      <c r="O9213"/>
      <c r="R9213"/>
      <c r="W9213" s="4"/>
      <c r="X9213" s="4"/>
      <c r="Y9213" s="4"/>
    </row>
    <row r="9214" spans="5:25">
      <c r="E9214"/>
      <c r="G9214"/>
      <c r="H9214"/>
      <c r="I9214"/>
      <c r="K9214"/>
      <c r="O9214"/>
      <c r="R9214"/>
      <c r="W9214" s="4"/>
      <c r="X9214" s="4"/>
      <c r="Y9214" s="4"/>
    </row>
    <row r="9215" spans="5:25">
      <c r="E9215"/>
      <c r="G9215"/>
      <c r="H9215"/>
      <c r="I9215"/>
      <c r="K9215"/>
      <c r="O9215"/>
      <c r="R9215"/>
      <c r="W9215" s="4"/>
      <c r="X9215" s="4"/>
      <c r="Y9215" s="4"/>
    </row>
    <row r="9216" spans="5:25">
      <c r="E9216"/>
      <c r="G9216"/>
      <c r="H9216"/>
      <c r="I9216"/>
      <c r="K9216"/>
      <c r="O9216"/>
      <c r="R9216"/>
      <c r="W9216" s="4"/>
      <c r="X9216" s="4"/>
      <c r="Y9216" s="4"/>
    </row>
    <row r="9217" spans="5:25">
      <c r="E9217"/>
      <c r="G9217"/>
      <c r="H9217"/>
      <c r="I9217"/>
      <c r="K9217"/>
      <c r="O9217"/>
      <c r="R9217"/>
      <c r="W9217" s="4"/>
      <c r="X9217" s="4"/>
      <c r="Y9217" s="4"/>
    </row>
    <row r="9218" spans="5:25">
      <c r="E9218"/>
      <c r="G9218"/>
      <c r="H9218"/>
      <c r="I9218"/>
      <c r="K9218"/>
      <c r="O9218"/>
      <c r="R9218"/>
      <c r="W9218" s="4"/>
      <c r="X9218" s="4"/>
      <c r="Y9218" s="4"/>
    </row>
    <row r="9219" spans="5:25">
      <c r="E9219"/>
      <c r="G9219"/>
      <c r="H9219"/>
      <c r="I9219"/>
      <c r="K9219"/>
      <c r="O9219"/>
      <c r="R9219"/>
      <c r="W9219" s="4"/>
      <c r="X9219" s="4"/>
      <c r="Y9219" s="4"/>
    </row>
    <row r="9220" spans="5:25">
      <c r="E9220"/>
      <c r="G9220"/>
      <c r="H9220"/>
      <c r="I9220"/>
      <c r="K9220"/>
      <c r="O9220"/>
      <c r="R9220"/>
      <c r="W9220" s="4"/>
      <c r="X9220" s="4"/>
      <c r="Y9220" s="4"/>
    </row>
    <row r="9221" spans="5:25">
      <c r="E9221"/>
      <c r="G9221"/>
      <c r="H9221"/>
      <c r="I9221"/>
      <c r="K9221"/>
      <c r="O9221"/>
      <c r="R9221"/>
      <c r="W9221" s="4"/>
      <c r="X9221" s="4"/>
      <c r="Y9221" s="4"/>
    </row>
    <row r="9222" spans="5:25">
      <c r="E9222"/>
      <c r="G9222"/>
      <c r="H9222"/>
      <c r="I9222"/>
      <c r="K9222"/>
      <c r="O9222"/>
      <c r="R9222"/>
      <c r="W9222" s="4"/>
      <c r="X9222" s="4"/>
      <c r="Y9222" s="4"/>
    </row>
    <row r="9223" spans="5:25">
      <c r="E9223"/>
      <c r="G9223"/>
      <c r="H9223"/>
      <c r="I9223"/>
      <c r="K9223"/>
      <c r="O9223"/>
      <c r="R9223"/>
      <c r="W9223" s="4"/>
      <c r="X9223" s="4"/>
      <c r="Y9223" s="4"/>
    </row>
    <row r="9224" spans="5:25">
      <c r="E9224"/>
      <c r="G9224"/>
      <c r="H9224"/>
      <c r="I9224"/>
      <c r="K9224"/>
      <c r="O9224"/>
      <c r="R9224"/>
      <c r="W9224" s="4"/>
      <c r="X9224" s="4"/>
      <c r="Y9224" s="4"/>
    </row>
    <row r="9225" spans="5:25">
      <c r="E9225"/>
      <c r="G9225"/>
      <c r="H9225"/>
      <c r="I9225"/>
      <c r="K9225"/>
      <c r="O9225"/>
      <c r="R9225"/>
      <c r="W9225" s="4"/>
      <c r="X9225" s="4"/>
      <c r="Y9225" s="4"/>
    </row>
    <row r="9226" spans="5:25">
      <c r="E9226"/>
      <c r="G9226"/>
      <c r="H9226"/>
      <c r="I9226"/>
      <c r="K9226"/>
      <c r="O9226"/>
      <c r="R9226"/>
      <c r="W9226" s="4"/>
      <c r="X9226" s="4"/>
      <c r="Y9226" s="4"/>
    </row>
    <row r="9227" spans="5:25">
      <c r="E9227"/>
      <c r="G9227"/>
      <c r="H9227"/>
      <c r="I9227"/>
      <c r="K9227"/>
      <c r="O9227"/>
      <c r="R9227"/>
      <c r="W9227" s="4"/>
      <c r="X9227" s="4"/>
      <c r="Y9227" s="4"/>
    </row>
    <row r="9228" spans="5:25">
      <c r="E9228"/>
      <c r="G9228"/>
      <c r="H9228"/>
      <c r="I9228"/>
      <c r="K9228"/>
      <c r="O9228"/>
      <c r="R9228"/>
      <c r="W9228" s="4"/>
      <c r="X9228" s="4"/>
      <c r="Y9228" s="4"/>
    </row>
    <row r="9229" spans="5:25">
      <c r="E9229"/>
      <c r="G9229"/>
      <c r="H9229"/>
      <c r="I9229"/>
      <c r="K9229"/>
      <c r="O9229"/>
      <c r="R9229"/>
      <c r="W9229" s="4"/>
      <c r="X9229" s="4"/>
      <c r="Y9229" s="4"/>
    </row>
    <row r="9230" spans="5:25">
      <c r="E9230"/>
      <c r="G9230"/>
      <c r="H9230"/>
      <c r="I9230"/>
      <c r="K9230"/>
      <c r="O9230"/>
      <c r="R9230"/>
      <c r="W9230" s="4"/>
      <c r="X9230" s="4"/>
      <c r="Y9230" s="4"/>
    </row>
    <row r="9231" spans="5:25">
      <c r="E9231"/>
      <c r="G9231"/>
      <c r="H9231"/>
      <c r="I9231"/>
      <c r="K9231"/>
      <c r="O9231"/>
      <c r="R9231"/>
      <c r="W9231" s="4"/>
      <c r="X9231" s="4"/>
      <c r="Y9231" s="4"/>
    </row>
    <row r="9232" spans="5:25">
      <c r="E9232"/>
      <c r="G9232"/>
      <c r="H9232"/>
      <c r="I9232"/>
      <c r="K9232"/>
      <c r="O9232"/>
      <c r="R9232"/>
      <c r="W9232" s="4"/>
      <c r="X9232" s="4"/>
      <c r="Y9232" s="4"/>
    </row>
    <row r="9233" spans="5:25">
      <c r="E9233"/>
      <c r="G9233"/>
      <c r="H9233"/>
      <c r="I9233"/>
      <c r="K9233"/>
      <c r="O9233"/>
      <c r="R9233"/>
      <c r="W9233" s="4"/>
      <c r="X9233" s="4"/>
      <c r="Y9233" s="4"/>
    </row>
    <row r="9234" spans="5:25">
      <c r="E9234"/>
      <c r="G9234"/>
      <c r="H9234"/>
      <c r="I9234"/>
      <c r="K9234"/>
      <c r="O9234"/>
      <c r="R9234"/>
      <c r="W9234" s="4"/>
      <c r="X9234" s="4"/>
      <c r="Y9234" s="4"/>
    </row>
    <row r="9235" spans="5:25">
      <c r="E9235"/>
      <c r="G9235"/>
      <c r="H9235"/>
      <c r="I9235"/>
      <c r="K9235"/>
      <c r="O9235"/>
      <c r="R9235"/>
      <c r="W9235" s="4"/>
      <c r="X9235" s="4"/>
      <c r="Y9235" s="4"/>
    </row>
    <row r="9236" spans="5:25">
      <c r="E9236"/>
      <c r="G9236"/>
      <c r="H9236"/>
      <c r="I9236"/>
      <c r="K9236"/>
      <c r="O9236"/>
      <c r="R9236"/>
      <c r="W9236" s="4"/>
      <c r="X9236" s="4"/>
      <c r="Y9236" s="4"/>
    </row>
    <row r="9237" spans="5:25">
      <c r="E9237"/>
      <c r="G9237"/>
      <c r="H9237"/>
      <c r="I9237"/>
      <c r="K9237"/>
      <c r="O9237"/>
      <c r="R9237"/>
      <c r="W9237" s="4"/>
      <c r="X9237" s="4"/>
      <c r="Y9237" s="4"/>
    </row>
    <row r="9238" spans="5:25">
      <c r="E9238"/>
      <c r="G9238"/>
      <c r="H9238"/>
      <c r="I9238"/>
      <c r="K9238"/>
      <c r="O9238"/>
      <c r="R9238"/>
      <c r="W9238" s="4"/>
      <c r="X9238" s="4"/>
      <c r="Y9238" s="4"/>
    </row>
    <row r="9239" spans="5:25">
      <c r="E9239"/>
      <c r="G9239"/>
      <c r="H9239"/>
      <c r="I9239"/>
      <c r="K9239"/>
      <c r="O9239"/>
      <c r="R9239"/>
      <c r="W9239" s="4"/>
      <c r="X9239" s="4"/>
      <c r="Y9239" s="4"/>
    </row>
    <row r="9240" spans="5:25">
      <c r="E9240"/>
      <c r="G9240"/>
      <c r="H9240"/>
      <c r="I9240"/>
      <c r="K9240"/>
      <c r="O9240"/>
      <c r="R9240"/>
      <c r="W9240" s="4"/>
      <c r="X9240" s="4"/>
      <c r="Y9240" s="4"/>
    </row>
    <row r="9241" spans="5:25">
      <c r="E9241"/>
      <c r="G9241"/>
      <c r="H9241"/>
      <c r="I9241"/>
      <c r="K9241"/>
      <c r="O9241"/>
      <c r="R9241"/>
      <c r="W9241" s="4"/>
      <c r="X9241" s="4"/>
      <c r="Y9241" s="4"/>
    </row>
    <row r="9242" spans="5:25">
      <c r="E9242"/>
      <c r="G9242"/>
      <c r="H9242"/>
      <c r="I9242"/>
      <c r="K9242"/>
      <c r="O9242"/>
      <c r="R9242"/>
      <c r="W9242" s="4"/>
      <c r="X9242" s="4"/>
      <c r="Y9242" s="4"/>
    </row>
    <row r="9243" spans="5:25">
      <c r="E9243"/>
      <c r="G9243"/>
      <c r="H9243"/>
      <c r="I9243"/>
      <c r="K9243"/>
      <c r="O9243"/>
      <c r="R9243"/>
      <c r="W9243" s="4"/>
      <c r="X9243" s="4"/>
      <c r="Y9243" s="4"/>
    </row>
    <row r="9244" spans="5:25">
      <c r="E9244"/>
      <c r="G9244"/>
      <c r="H9244"/>
      <c r="I9244"/>
      <c r="K9244"/>
      <c r="O9244"/>
      <c r="R9244"/>
      <c r="W9244" s="4"/>
      <c r="X9244" s="4"/>
      <c r="Y9244" s="4"/>
    </row>
    <row r="9245" spans="5:25">
      <c r="E9245"/>
      <c r="G9245"/>
      <c r="H9245"/>
      <c r="I9245"/>
      <c r="K9245"/>
      <c r="O9245"/>
      <c r="R9245"/>
      <c r="W9245" s="4"/>
      <c r="X9245" s="4"/>
      <c r="Y9245" s="4"/>
    </row>
    <row r="9246" spans="5:25">
      <c r="E9246"/>
      <c r="G9246"/>
      <c r="H9246"/>
      <c r="I9246"/>
      <c r="K9246"/>
      <c r="O9246"/>
      <c r="R9246"/>
      <c r="W9246" s="4"/>
      <c r="X9246" s="4"/>
      <c r="Y9246" s="4"/>
    </row>
    <row r="9247" spans="5:25">
      <c r="E9247"/>
      <c r="G9247"/>
      <c r="H9247"/>
      <c r="I9247"/>
      <c r="K9247"/>
      <c r="O9247"/>
      <c r="R9247"/>
      <c r="W9247" s="4"/>
      <c r="X9247" s="4"/>
      <c r="Y9247" s="4"/>
    </row>
    <row r="9248" spans="5:25">
      <c r="E9248"/>
      <c r="G9248"/>
      <c r="H9248"/>
      <c r="I9248"/>
      <c r="K9248"/>
      <c r="O9248"/>
      <c r="R9248"/>
      <c r="W9248" s="4"/>
      <c r="X9248" s="4"/>
      <c r="Y9248" s="4"/>
    </row>
    <row r="9249" spans="5:25">
      <c r="E9249"/>
      <c r="G9249"/>
      <c r="H9249"/>
      <c r="I9249"/>
      <c r="K9249"/>
      <c r="O9249"/>
      <c r="R9249"/>
      <c r="W9249" s="4"/>
      <c r="X9249" s="4"/>
      <c r="Y9249" s="4"/>
    </row>
    <row r="9250" spans="5:25">
      <c r="E9250"/>
      <c r="G9250"/>
      <c r="H9250"/>
      <c r="I9250"/>
      <c r="K9250"/>
      <c r="O9250"/>
      <c r="R9250"/>
      <c r="W9250" s="4"/>
      <c r="X9250" s="4"/>
      <c r="Y9250" s="4"/>
    </row>
    <row r="9251" spans="5:25">
      <c r="E9251"/>
      <c r="G9251"/>
      <c r="H9251"/>
      <c r="I9251"/>
      <c r="K9251"/>
      <c r="O9251"/>
      <c r="R9251"/>
      <c r="W9251" s="4"/>
      <c r="X9251" s="4"/>
      <c r="Y9251" s="4"/>
    </row>
    <row r="9252" spans="5:25">
      <c r="E9252"/>
      <c r="G9252"/>
      <c r="H9252"/>
      <c r="I9252"/>
      <c r="K9252"/>
      <c r="O9252"/>
      <c r="R9252"/>
      <c r="W9252" s="4"/>
      <c r="X9252" s="4"/>
      <c r="Y9252" s="4"/>
    </row>
    <row r="9253" spans="5:25">
      <c r="E9253"/>
      <c r="G9253"/>
      <c r="H9253"/>
      <c r="I9253"/>
      <c r="K9253"/>
      <c r="O9253"/>
      <c r="R9253"/>
      <c r="W9253" s="4"/>
      <c r="X9253" s="4"/>
      <c r="Y9253" s="4"/>
    </row>
    <row r="9254" spans="5:25">
      <c r="E9254"/>
      <c r="G9254"/>
      <c r="H9254"/>
      <c r="I9254"/>
      <c r="K9254"/>
      <c r="O9254"/>
      <c r="R9254"/>
      <c r="W9254" s="4"/>
      <c r="X9254" s="4"/>
      <c r="Y9254" s="4"/>
    </row>
    <row r="9255" spans="5:25">
      <c r="E9255"/>
      <c r="G9255"/>
      <c r="H9255"/>
      <c r="I9255"/>
      <c r="K9255"/>
      <c r="O9255"/>
      <c r="R9255"/>
      <c r="W9255" s="4"/>
      <c r="X9255" s="4"/>
      <c r="Y9255" s="4"/>
    </row>
    <row r="9256" spans="5:25">
      <c r="E9256"/>
      <c r="G9256"/>
      <c r="H9256"/>
      <c r="I9256"/>
      <c r="K9256"/>
      <c r="O9256"/>
      <c r="R9256"/>
      <c r="W9256" s="4"/>
      <c r="X9256" s="4"/>
      <c r="Y9256" s="4"/>
    </row>
    <row r="9257" spans="5:25">
      <c r="E9257"/>
      <c r="G9257"/>
      <c r="H9257"/>
      <c r="I9257"/>
      <c r="K9257"/>
      <c r="O9257"/>
      <c r="R9257"/>
      <c r="W9257" s="4"/>
      <c r="X9257" s="4"/>
      <c r="Y9257" s="4"/>
    </row>
    <row r="9258" spans="5:25">
      <c r="E9258"/>
      <c r="G9258"/>
      <c r="H9258"/>
      <c r="I9258"/>
      <c r="K9258"/>
      <c r="O9258"/>
      <c r="R9258"/>
      <c r="W9258" s="4"/>
      <c r="X9258" s="4"/>
      <c r="Y9258" s="4"/>
    </row>
    <row r="9259" spans="5:25">
      <c r="E9259"/>
      <c r="G9259"/>
      <c r="H9259"/>
      <c r="I9259"/>
      <c r="K9259"/>
      <c r="O9259"/>
      <c r="R9259"/>
      <c r="W9259" s="4"/>
      <c r="X9259" s="4"/>
      <c r="Y9259" s="4"/>
    </row>
    <row r="9260" spans="5:25">
      <c r="E9260"/>
      <c r="G9260"/>
      <c r="H9260"/>
      <c r="I9260"/>
      <c r="K9260"/>
      <c r="O9260"/>
      <c r="R9260"/>
      <c r="W9260" s="4"/>
      <c r="X9260" s="4"/>
      <c r="Y9260" s="4"/>
    </row>
    <row r="9261" spans="5:25">
      <c r="E9261"/>
      <c r="G9261"/>
      <c r="H9261"/>
      <c r="I9261"/>
      <c r="K9261"/>
      <c r="O9261"/>
      <c r="R9261"/>
      <c r="W9261" s="4"/>
      <c r="X9261" s="4"/>
      <c r="Y9261" s="4"/>
    </row>
    <row r="9262" spans="5:25">
      <c r="E9262"/>
      <c r="G9262"/>
      <c r="H9262"/>
      <c r="I9262"/>
      <c r="K9262"/>
      <c r="O9262"/>
      <c r="R9262"/>
      <c r="W9262" s="4"/>
      <c r="X9262" s="4"/>
      <c r="Y9262" s="4"/>
    </row>
    <row r="9263" spans="5:25">
      <c r="E9263"/>
      <c r="G9263"/>
      <c r="H9263"/>
      <c r="I9263"/>
      <c r="K9263"/>
      <c r="O9263"/>
      <c r="R9263"/>
      <c r="W9263" s="4"/>
      <c r="X9263" s="4"/>
      <c r="Y9263" s="4"/>
    </row>
    <row r="9264" spans="5:25">
      <c r="E9264"/>
      <c r="G9264"/>
      <c r="H9264"/>
      <c r="I9264"/>
      <c r="K9264"/>
      <c r="O9264"/>
      <c r="R9264"/>
      <c r="W9264" s="4"/>
      <c r="X9264" s="4"/>
      <c r="Y9264" s="4"/>
    </row>
    <row r="9265" spans="5:25">
      <c r="E9265"/>
      <c r="G9265"/>
      <c r="H9265"/>
      <c r="I9265"/>
      <c r="K9265"/>
      <c r="O9265"/>
      <c r="R9265"/>
      <c r="W9265" s="4"/>
      <c r="X9265" s="4"/>
      <c r="Y9265" s="4"/>
    </row>
    <row r="9266" spans="5:25">
      <c r="E9266"/>
      <c r="G9266"/>
      <c r="H9266"/>
      <c r="I9266"/>
      <c r="K9266"/>
      <c r="O9266"/>
      <c r="R9266"/>
      <c r="W9266" s="4"/>
      <c r="X9266" s="4"/>
      <c r="Y9266" s="4"/>
    </row>
    <row r="9267" spans="5:25">
      <c r="E9267"/>
      <c r="G9267"/>
      <c r="H9267"/>
      <c r="I9267"/>
      <c r="K9267"/>
      <c r="O9267"/>
      <c r="R9267"/>
      <c r="W9267" s="4"/>
      <c r="X9267" s="4"/>
      <c r="Y9267" s="4"/>
    </row>
    <row r="9268" spans="5:25">
      <c r="E9268"/>
      <c r="G9268"/>
      <c r="H9268"/>
      <c r="I9268"/>
      <c r="K9268"/>
      <c r="O9268"/>
      <c r="R9268"/>
      <c r="W9268" s="4"/>
      <c r="X9268" s="4"/>
      <c r="Y9268" s="4"/>
    </row>
    <row r="9269" spans="5:25">
      <c r="E9269"/>
      <c r="G9269"/>
      <c r="H9269"/>
      <c r="I9269"/>
      <c r="K9269"/>
      <c r="O9269"/>
      <c r="R9269"/>
      <c r="W9269" s="4"/>
      <c r="X9269" s="4"/>
      <c r="Y9269" s="4"/>
    </row>
    <row r="9270" spans="5:25">
      <c r="E9270"/>
      <c r="G9270"/>
      <c r="H9270"/>
      <c r="I9270"/>
      <c r="K9270"/>
      <c r="O9270"/>
      <c r="R9270"/>
      <c r="W9270" s="4"/>
      <c r="X9270" s="4"/>
      <c r="Y9270" s="4"/>
    </row>
    <row r="9271" spans="5:25">
      <c r="E9271"/>
      <c r="G9271"/>
      <c r="H9271"/>
      <c r="I9271"/>
      <c r="K9271"/>
      <c r="O9271"/>
      <c r="R9271"/>
      <c r="W9271" s="4"/>
      <c r="X9271" s="4"/>
      <c r="Y9271" s="4"/>
    </row>
    <row r="9272" spans="5:25">
      <c r="E9272"/>
      <c r="G9272"/>
      <c r="H9272"/>
      <c r="I9272"/>
      <c r="K9272"/>
      <c r="O9272"/>
      <c r="R9272"/>
      <c r="W9272" s="4"/>
      <c r="X9272" s="4"/>
      <c r="Y9272" s="4"/>
    </row>
    <row r="9273" spans="5:25">
      <c r="E9273"/>
      <c r="G9273"/>
      <c r="H9273"/>
      <c r="I9273"/>
      <c r="K9273"/>
      <c r="O9273"/>
      <c r="R9273"/>
      <c r="W9273" s="4"/>
      <c r="X9273" s="4"/>
      <c r="Y9273" s="4"/>
    </row>
    <row r="9274" spans="5:25">
      <c r="E9274"/>
      <c r="G9274"/>
      <c r="H9274"/>
      <c r="I9274"/>
      <c r="K9274"/>
      <c r="O9274"/>
      <c r="R9274"/>
      <c r="W9274" s="4"/>
      <c r="X9274" s="4"/>
      <c r="Y9274" s="4"/>
    </row>
    <row r="9275" spans="5:25">
      <c r="E9275"/>
      <c r="G9275"/>
      <c r="H9275"/>
      <c r="I9275"/>
      <c r="K9275"/>
      <c r="O9275"/>
      <c r="R9275"/>
      <c r="W9275" s="4"/>
      <c r="X9275" s="4"/>
      <c r="Y9275" s="4"/>
    </row>
    <row r="9276" spans="5:25">
      <c r="E9276"/>
      <c r="G9276"/>
      <c r="H9276"/>
      <c r="I9276"/>
      <c r="K9276"/>
      <c r="O9276"/>
      <c r="R9276"/>
      <c r="W9276" s="4"/>
      <c r="X9276" s="4"/>
      <c r="Y9276" s="4"/>
    </row>
    <row r="9277" spans="5:25">
      <c r="E9277"/>
      <c r="G9277"/>
      <c r="H9277"/>
      <c r="I9277"/>
      <c r="K9277"/>
      <c r="O9277"/>
      <c r="R9277"/>
      <c r="W9277" s="4"/>
      <c r="X9277" s="4"/>
      <c r="Y9277" s="4"/>
    </row>
    <row r="9278" spans="5:25">
      <c r="E9278"/>
      <c r="G9278"/>
      <c r="H9278"/>
      <c r="I9278"/>
      <c r="K9278"/>
      <c r="O9278"/>
      <c r="R9278"/>
      <c r="W9278" s="4"/>
      <c r="X9278" s="4"/>
      <c r="Y9278" s="4"/>
    </row>
    <row r="9279" spans="5:25">
      <c r="E9279"/>
      <c r="G9279"/>
      <c r="H9279"/>
      <c r="I9279"/>
      <c r="K9279"/>
      <c r="O9279"/>
      <c r="R9279"/>
      <c r="W9279" s="4"/>
      <c r="X9279" s="4"/>
      <c r="Y9279" s="4"/>
    </row>
    <row r="9280" spans="5:25">
      <c r="E9280"/>
      <c r="G9280"/>
      <c r="H9280"/>
      <c r="I9280"/>
      <c r="K9280"/>
      <c r="O9280"/>
      <c r="R9280"/>
      <c r="W9280" s="4"/>
      <c r="X9280" s="4"/>
      <c r="Y9280" s="4"/>
    </row>
    <row r="9281" spans="5:25">
      <c r="E9281"/>
      <c r="G9281"/>
      <c r="H9281"/>
      <c r="I9281"/>
      <c r="K9281"/>
      <c r="O9281"/>
      <c r="R9281"/>
      <c r="W9281" s="4"/>
      <c r="X9281" s="4"/>
      <c r="Y9281" s="4"/>
    </row>
    <row r="9282" spans="5:25">
      <c r="E9282"/>
      <c r="G9282"/>
      <c r="H9282"/>
      <c r="I9282"/>
      <c r="K9282"/>
      <c r="O9282"/>
      <c r="R9282"/>
      <c r="W9282" s="4"/>
      <c r="X9282" s="4"/>
      <c r="Y9282" s="4"/>
    </row>
    <row r="9283" spans="5:25">
      <c r="E9283"/>
      <c r="G9283"/>
      <c r="H9283"/>
      <c r="I9283"/>
      <c r="K9283"/>
      <c r="O9283"/>
      <c r="R9283"/>
      <c r="W9283" s="4"/>
      <c r="X9283" s="4"/>
      <c r="Y9283" s="4"/>
    </row>
    <row r="9284" spans="5:25">
      <c r="E9284"/>
      <c r="G9284"/>
      <c r="H9284"/>
      <c r="I9284"/>
      <c r="K9284"/>
      <c r="O9284"/>
      <c r="R9284"/>
      <c r="W9284" s="4"/>
      <c r="X9284" s="4"/>
      <c r="Y9284" s="4"/>
    </row>
    <row r="9285" spans="5:25">
      <c r="E9285"/>
      <c r="G9285"/>
      <c r="H9285"/>
      <c r="I9285"/>
      <c r="K9285"/>
      <c r="O9285"/>
      <c r="R9285"/>
      <c r="W9285" s="4"/>
      <c r="X9285" s="4"/>
      <c r="Y9285" s="4"/>
    </row>
    <row r="9286" spans="5:25">
      <c r="E9286"/>
      <c r="G9286"/>
      <c r="H9286"/>
      <c r="I9286"/>
      <c r="K9286"/>
      <c r="O9286"/>
      <c r="R9286"/>
      <c r="W9286" s="4"/>
      <c r="X9286" s="4"/>
      <c r="Y9286" s="4"/>
    </row>
    <row r="9287" spans="5:25">
      <c r="E9287"/>
      <c r="G9287"/>
      <c r="H9287"/>
      <c r="I9287"/>
      <c r="K9287"/>
      <c r="O9287"/>
      <c r="R9287"/>
      <c r="W9287" s="4"/>
      <c r="X9287" s="4"/>
      <c r="Y9287" s="4"/>
    </row>
    <row r="9288" spans="5:25">
      <c r="E9288"/>
      <c r="G9288"/>
      <c r="H9288"/>
      <c r="I9288"/>
      <c r="K9288"/>
      <c r="O9288"/>
      <c r="R9288"/>
      <c r="W9288" s="4"/>
      <c r="X9288" s="4"/>
      <c r="Y9288" s="4"/>
    </row>
    <row r="9289" spans="5:25">
      <c r="E9289"/>
      <c r="G9289"/>
      <c r="H9289"/>
      <c r="I9289"/>
      <c r="K9289"/>
      <c r="O9289"/>
      <c r="R9289"/>
      <c r="W9289" s="4"/>
      <c r="X9289" s="4"/>
      <c r="Y9289" s="4"/>
    </row>
    <row r="9290" spans="5:25">
      <c r="E9290"/>
      <c r="G9290"/>
      <c r="H9290"/>
      <c r="I9290"/>
      <c r="K9290"/>
      <c r="O9290"/>
      <c r="R9290"/>
      <c r="W9290" s="4"/>
      <c r="X9290" s="4"/>
      <c r="Y9290" s="4"/>
    </row>
    <row r="9291" spans="5:25">
      <c r="E9291"/>
      <c r="G9291"/>
      <c r="H9291"/>
      <c r="I9291"/>
      <c r="K9291"/>
      <c r="O9291"/>
      <c r="R9291"/>
      <c r="W9291" s="4"/>
      <c r="X9291" s="4"/>
      <c r="Y9291" s="4"/>
    </row>
    <row r="9292" spans="5:25">
      <c r="E9292"/>
      <c r="G9292"/>
      <c r="H9292"/>
      <c r="I9292"/>
      <c r="K9292"/>
      <c r="O9292"/>
      <c r="R9292"/>
      <c r="W9292" s="4"/>
      <c r="X9292" s="4"/>
      <c r="Y9292" s="4"/>
    </row>
    <row r="9293" spans="5:25">
      <c r="E9293"/>
      <c r="G9293"/>
      <c r="H9293"/>
      <c r="I9293"/>
      <c r="K9293"/>
      <c r="O9293"/>
      <c r="R9293"/>
      <c r="W9293" s="4"/>
      <c r="X9293" s="4"/>
      <c r="Y9293" s="4"/>
    </row>
    <row r="9294" spans="5:25">
      <c r="E9294"/>
      <c r="G9294"/>
      <c r="H9294"/>
      <c r="I9294"/>
      <c r="K9294"/>
      <c r="O9294"/>
      <c r="R9294"/>
      <c r="W9294" s="4"/>
      <c r="X9294" s="4"/>
      <c r="Y9294" s="4"/>
    </row>
    <row r="9295" spans="5:25">
      <c r="E9295"/>
      <c r="G9295"/>
      <c r="H9295"/>
      <c r="I9295"/>
      <c r="K9295"/>
      <c r="O9295"/>
      <c r="R9295"/>
      <c r="W9295" s="4"/>
      <c r="X9295" s="4"/>
      <c r="Y9295" s="4"/>
    </row>
    <row r="9296" spans="5:25">
      <c r="E9296"/>
      <c r="G9296"/>
      <c r="H9296"/>
      <c r="I9296"/>
      <c r="K9296"/>
      <c r="O9296"/>
      <c r="R9296"/>
      <c r="W9296" s="4"/>
      <c r="X9296" s="4"/>
      <c r="Y9296" s="4"/>
    </row>
    <row r="9297" spans="5:25">
      <c r="E9297"/>
      <c r="G9297"/>
      <c r="H9297"/>
      <c r="I9297"/>
      <c r="K9297"/>
      <c r="O9297"/>
      <c r="R9297"/>
      <c r="W9297" s="4"/>
      <c r="X9297" s="4"/>
      <c r="Y9297" s="4"/>
    </row>
    <row r="9298" spans="5:25">
      <c r="E9298"/>
      <c r="G9298"/>
      <c r="H9298"/>
      <c r="I9298"/>
      <c r="K9298"/>
      <c r="O9298"/>
      <c r="R9298"/>
      <c r="W9298" s="4"/>
      <c r="X9298" s="4"/>
      <c r="Y9298" s="4"/>
    </row>
    <row r="9299" spans="5:25">
      <c r="E9299"/>
      <c r="G9299"/>
      <c r="H9299"/>
      <c r="I9299"/>
      <c r="K9299"/>
      <c r="O9299"/>
      <c r="R9299"/>
      <c r="W9299" s="4"/>
      <c r="X9299" s="4"/>
      <c r="Y9299" s="4"/>
    </row>
    <row r="9300" spans="5:25">
      <c r="E9300"/>
      <c r="G9300"/>
      <c r="H9300"/>
      <c r="I9300"/>
      <c r="K9300"/>
      <c r="O9300"/>
      <c r="R9300"/>
      <c r="W9300" s="4"/>
      <c r="X9300" s="4"/>
      <c r="Y9300" s="4"/>
    </row>
    <row r="9301" spans="5:25">
      <c r="E9301"/>
      <c r="G9301"/>
      <c r="H9301"/>
      <c r="I9301"/>
      <c r="K9301"/>
      <c r="O9301"/>
      <c r="R9301"/>
      <c r="W9301" s="4"/>
      <c r="X9301" s="4"/>
      <c r="Y9301" s="4"/>
    </row>
    <row r="9302" spans="5:25">
      <c r="E9302"/>
      <c r="G9302"/>
      <c r="H9302"/>
      <c r="I9302"/>
      <c r="K9302"/>
      <c r="O9302"/>
      <c r="R9302"/>
      <c r="W9302" s="4"/>
      <c r="X9302" s="4"/>
      <c r="Y9302" s="4"/>
    </row>
    <row r="9303" spans="5:25">
      <c r="E9303"/>
      <c r="G9303"/>
      <c r="H9303"/>
      <c r="I9303"/>
      <c r="K9303"/>
      <c r="O9303"/>
      <c r="R9303"/>
      <c r="W9303" s="4"/>
      <c r="X9303" s="4"/>
      <c r="Y9303" s="4"/>
    </row>
    <row r="9304" spans="5:25">
      <c r="E9304"/>
      <c r="G9304"/>
      <c r="H9304"/>
      <c r="I9304"/>
      <c r="K9304"/>
      <c r="O9304"/>
      <c r="R9304"/>
      <c r="W9304" s="4"/>
      <c r="X9304" s="4"/>
      <c r="Y9304" s="4"/>
    </row>
    <row r="9305" spans="5:25">
      <c r="E9305"/>
      <c r="G9305"/>
      <c r="H9305"/>
      <c r="I9305"/>
      <c r="K9305"/>
      <c r="O9305"/>
      <c r="R9305"/>
      <c r="W9305" s="4"/>
      <c r="X9305" s="4"/>
      <c r="Y9305" s="4"/>
    </row>
    <row r="9306" spans="5:25">
      <c r="E9306"/>
      <c r="G9306"/>
      <c r="H9306"/>
      <c r="I9306"/>
      <c r="K9306"/>
      <c r="O9306"/>
      <c r="R9306"/>
      <c r="W9306" s="4"/>
      <c r="X9306" s="4"/>
      <c r="Y9306" s="4"/>
    </row>
    <row r="9307" spans="5:25">
      <c r="E9307"/>
      <c r="G9307"/>
      <c r="H9307"/>
      <c r="I9307"/>
      <c r="K9307"/>
      <c r="O9307"/>
      <c r="R9307"/>
      <c r="W9307" s="4"/>
      <c r="X9307" s="4"/>
      <c r="Y9307" s="4"/>
    </row>
    <row r="9308" spans="5:25">
      <c r="E9308"/>
      <c r="G9308"/>
      <c r="H9308"/>
      <c r="I9308"/>
      <c r="K9308"/>
      <c r="O9308"/>
      <c r="R9308"/>
      <c r="W9308" s="4"/>
      <c r="X9308" s="4"/>
      <c r="Y9308" s="4"/>
    </row>
    <row r="9309" spans="5:25">
      <c r="E9309"/>
      <c r="G9309"/>
      <c r="H9309"/>
      <c r="I9309"/>
      <c r="K9309"/>
      <c r="O9309"/>
      <c r="R9309"/>
      <c r="W9309" s="4"/>
      <c r="X9309" s="4"/>
      <c r="Y9309" s="4"/>
    </row>
    <row r="9310" spans="5:25">
      <c r="E9310"/>
      <c r="G9310"/>
      <c r="H9310"/>
      <c r="I9310"/>
      <c r="K9310"/>
      <c r="O9310"/>
      <c r="R9310"/>
      <c r="W9310" s="4"/>
      <c r="X9310" s="4"/>
      <c r="Y9310" s="4"/>
    </row>
    <row r="9311" spans="5:25">
      <c r="E9311"/>
      <c r="G9311"/>
      <c r="H9311"/>
      <c r="I9311"/>
      <c r="K9311"/>
      <c r="O9311"/>
      <c r="R9311"/>
      <c r="W9311" s="4"/>
      <c r="X9311" s="4"/>
      <c r="Y9311" s="4"/>
    </row>
    <row r="9312" spans="5:25">
      <c r="E9312"/>
      <c r="G9312"/>
      <c r="H9312"/>
      <c r="I9312"/>
      <c r="K9312"/>
      <c r="O9312"/>
      <c r="R9312"/>
      <c r="W9312" s="4"/>
      <c r="X9312" s="4"/>
      <c r="Y9312" s="4"/>
    </row>
    <row r="9313" spans="5:25">
      <c r="E9313"/>
      <c r="G9313"/>
      <c r="H9313"/>
      <c r="I9313"/>
      <c r="K9313"/>
      <c r="O9313"/>
      <c r="R9313"/>
      <c r="W9313" s="4"/>
      <c r="X9313" s="4"/>
      <c r="Y9313" s="4"/>
    </row>
    <row r="9314" spans="5:25">
      <c r="E9314"/>
      <c r="G9314"/>
      <c r="H9314"/>
      <c r="I9314"/>
      <c r="K9314"/>
      <c r="O9314"/>
      <c r="R9314"/>
      <c r="W9314" s="4"/>
      <c r="X9314" s="4"/>
      <c r="Y9314" s="4"/>
    </row>
    <row r="9315" spans="5:25">
      <c r="E9315"/>
      <c r="G9315"/>
      <c r="H9315"/>
      <c r="I9315"/>
      <c r="K9315"/>
      <c r="O9315"/>
      <c r="R9315"/>
      <c r="W9315" s="4"/>
      <c r="X9315" s="4"/>
      <c r="Y9315" s="4"/>
    </row>
    <row r="9316" spans="5:25">
      <c r="E9316"/>
      <c r="G9316"/>
      <c r="H9316"/>
      <c r="I9316"/>
      <c r="K9316"/>
      <c r="O9316"/>
      <c r="R9316"/>
      <c r="W9316" s="4"/>
      <c r="X9316" s="4"/>
      <c r="Y9316" s="4"/>
    </row>
    <row r="9317" spans="5:25">
      <c r="E9317"/>
      <c r="G9317"/>
      <c r="H9317"/>
      <c r="I9317"/>
      <c r="K9317"/>
      <c r="O9317"/>
      <c r="R9317"/>
      <c r="W9317" s="4"/>
      <c r="X9317" s="4"/>
      <c r="Y9317" s="4"/>
    </row>
    <row r="9318" spans="5:25">
      <c r="E9318"/>
      <c r="G9318"/>
      <c r="H9318"/>
      <c r="I9318"/>
      <c r="K9318"/>
      <c r="O9318"/>
      <c r="R9318"/>
      <c r="W9318" s="4"/>
      <c r="X9318" s="4"/>
      <c r="Y9318" s="4"/>
    </row>
    <row r="9319" spans="5:25">
      <c r="E9319"/>
      <c r="G9319"/>
      <c r="H9319"/>
      <c r="I9319"/>
      <c r="K9319"/>
      <c r="O9319"/>
      <c r="R9319"/>
      <c r="W9319" s="4"/>
      <c r="X9319" s="4"/>
      <c r="Y9319" s="4"/>
    </row>
    <row r="9320" spans="5:25">
      <c r="E9320"/>
      <c r="G9320"/>
      <c r="H9320"/>
      <c r="I9320"/>
      <c r="K9320"/>
      <c r="O9320"/>
      <c r="R9320"/>
      <c r="W9320" s="4"/>
      <c r="X9320" s="4"/>
      <c r="Y9320" s="4"/>
    </row>
    <row r="9321" spans="5:25">
      <c r="E9321"/>
      <c r="G9321"/>
      <c r="H9321"/>
      <c r="I9321"/>
      <c r="K9321"/>
      <c r="O9321"/>
      <c r="R9321"/>
      <c r="W9321" s="4"/>
      <c r="X9321" s="4"/>
      <c r="Y9321" s="4"/>
    </row>
    <row r="9322" spans="5:25">
      <c r="E9322"/>
      <c r="G9322"/>
      <c r="H9322"/>
      <c r="I9322"/>
      <c r="K9322"/>
      <c r="O9322"/>
      <c r="R9322"/>
      <c r="W9322" s="4"/>
      <c r="X9322" s="4"/>
      <c r="Y9322" s="4"/>
    </row>
    <row r="9323" spans="5:25">
      <c r="E9323"/>
      <c r="G9323"/>
      <c r="H9323"/>
      <c r="I9323"/>
      <c r="K9323"/>
      <c r="O9323"/>
      <c r="R9323"/>
      <c r="W9323" s="4"/>
      <c r="X9323" s="4"/>
      <c r="Y9323" s="4"/>
    </row>
    <row r="9324" spans="5:25">
      <c r="E9324"/>
      <c r="G9324"/>
      <c r="H9324"/>
      <c r="I9324"/>
      <c r="K9324"/>
      <c r="O9324"/>
      <c r="R9324"/>
      <c r="W9324" s="4"/>
      <c r="X9324" s="4"/>
      <c r="Y9324" s="4"/>
    </row>
    <row r="9325" spans="5:25">
      <c r="E9325"/>
      <c r="G9325"/>
      <c r="H9325"/>
      <c r="I9325"/>
      <c r="K9325"/>
      <c r="O9325"/>
      <c r="R9325"/>
      <c r="W9325" s="4"/>
      <c r="X9325" s="4"/>
      <c r="Y9325" s="4"/>
    </row>
    <row r="9326" spans="5:25">
      <c r="E9326"/>
      <c r="G9326"/>
      <c r="H9326"/>
      <c r="I9326"/>
      <c r="K9326"/>
      <c r="O9326"/>
      <c r="R9326"/>
      <c r="W9326" s="4"/>
      <c r="X9326" s="4"/>
      <c r="Y9326" s="4"/>
    </row>
    <row r="9327" spans="5:25">
      <c r="E9327"/>
      <c r="G9327"/>
      <c r="H9327"/>
      <c r="I9327"/>
      <c r="K9327"/>
      <c r="O9327"/>
      <c r="R9327"/>
      <c r="W9327" s="4"/>
      <c r="X9327" s="4"/>
      <c r="Y9327" s="4"/>
    </row>
    <row r="9328" spans="5:25">
      <c r="E9328"/>
      <c r="G9328"/>
      <c r="H9328"/>
      <c r="I9328"/>
      <c r="K9328"/>
      <c r="O9328"/>
      <c r="R9328"/>
      <c r="W9328" s="4"/>
      <c r="X9328" s="4"/>
      <c r="Y9328" s="4"/>
    </row>
    <row r="9329" spans="5:25">
      <c r="E9329"/>
      <c r="G9329"/>
      <c r="H9329"/>
      <c r="I9329"/>
      <c r="K9329"/>
      <c r="O9329"/>
      <c r="R9329"/>
      <c r="W9329" s="4"/>
      <c r="X9329" s="4"/>
      <c r="Y9329" s="4"/>
    </row>
    <row r="9330" spans="5:25">
      <c r="E9330"/>
      <c r="G9330"/>
      <c r="H9330"/>
      <c r="I9330"/>
      <c r="K9330"/>
      <c r="O9330"/>
      <c r="R9330"/>
      <c r="W9330" s="4"/>
      <c r="X9330" s="4"/>
      <c r="Y9330" s="4"/>
    </row>
    <row r="9331" spans="5:25">
      <c r="E9331"/>
      <c r="G9331"/>
      <c r="H9331"/>
      <c r="I9331"/>
      <c r="K9331"/>
      <c r="O9331"/>
      <c r="R9331"/>
      <c r="W9331" s="4"/>
      <c r="X9331" s="4"/>
      <c r="Y9331" s="4"/>
    </row>
    <row r="9332" spans="5:25">
      <c r="E9332"/>
      <c r="G9332"/>
      <c r="H9332"/>
      <c r="I9332"/>
      <c r="K9332"/>
      <c r="O9332"/>
      <c r="R9332"/>
      <c r="W9332" s="4"/>
      <c r="X9332" s="4"/>
      <c r="Y9332" s="4"/>
    </row>
    <row r="9333" spans="5:25">
      <c r="E9333"/>
      <c r="G9333"/>
      <c r="H9333"/>
      <c r="I9333"/>
      <c r="K9333"/>
      <c r="O9333"/>
      <c r="R9333"/>
      <c r="W9333" s="4"/>
      <c r="X9333" s="4"/>
      <c r="Y9333" s="4"/>
    </row>
    <row r="9334" spans="5:25">
      <c r="E9334"/>
      <c r="G9334"/>
      <c r="H9334"/>
      <c r="I9334"/>
      <c r="K9334"/>
      <c r="O9334"/>
      <c r="R9334"/>
      <c r="W9334" s="4"/>
      <c r="X9334" s="4"/>
      <c r="Y9334" s="4"/>
    </row>
    <row r="9335" spans="5:25">
      <c r="E9335"/>
      <c r="G9335"/>
      <c r="H9335"/>
      <c r="I9335"/>
      <c r="K9335"/>
      <c r="O9335"/>
      <c r="R9335"/>
      <c r="W9335" s="4"/>
      <c r="X9335" s="4"/>
      <c r="Y9335" s="4"/>
    </row>
    <row r="9336" spans="5:25">
      <c r="E9336"/>
      <c r="G9336"/>
      <c r="H9336"/>
      <c r="I9336"/>
      <c r="K9336"/>
      <c r="O9336"/>
      <c r="R9336"/>
      <c r="W9336" s="4"/>
      <c r="X9336" s="4"/>
      <c r="Y9336" s="4"/>
    </row>
    <row r="9337" spans="5:25">
      <c r="E9337"/>
      <c r="G9337"/>
      <c r="H9337"/>
      <c r="I9337"/>
      <c r="K9337"/>
      <c r="O9337"/>
      <c r="R9337"/>
      <c r="W9337" s="4"/>
      <c r="X9337" s="4"/>
      <c r="Y9337" s="4"/>
    </row>
    <row r="9338" spans="5:25">
      <c r="E9338"/>
      <c r="G9338"/>
      <c r="H9338"/>
      <c r="I9338"/>
      <c r="K9338"/>
      <c r="O9338"/>
      <c r="R9338"/>
      <c r="W9338" s="4"/>
      <c r="X9338" s="4"/>
      <c r="Y9338" s="4"/>
    </row>
    <row r="9339" spans="5:25">
      <c r="E9339"/>
      <c r="G9339"/>
      <c r="H9339"/>
      <c r="I9339"/>
      <c r="K9339"/>
      <c r="O9339"/>
      <c r="R9339"/>
      <c r="W9339" s="4"/>
      <c r="X9339" s="4"/>
      <c r="Y9339" s="4"/>
    </row>
    <row r="9340" spans="5:25">
      <c r="E9340"/>
      <c r="G9340"/>
      <c r="H9340"/>
      <c r="I9340"/>
      <c r="K9340"/>
      <c r="O9340"/>
      <c r="R9340"/>
      <c r="W9340" s="4"/>
      <c r="X9340" s="4"/>
      <c r="Y9340" s="4"/>
    </row>
    <row r="9341" spans="5:25">
      <c r="E9341"/>
      <c r="G9341"/>
      <c r="H9341"/>
      <c r="I9341"/>
      <c r="K9341"/>
      <c r="O9341"/>
      <c r="R9341"/>
      <c r="W9341" s="4"/>
      <c r="X9341" s="4"/>
      <c r="Y9341" s="4"/>
    </row>
    <row r="9342" spans="5:25">
      <c r="E9342"/>
      <c r="G9342"/>
      <c r="H9342"/>
      <c r="I9342"/>
      <c r="K9342"/>
      <c r="O9342"/>
      <c r="R9342"/>
      <c r="W9342" s="4"/>
      <c r="X9342" s="4"/>
      <c r="Y9342" s="4"/>
    </row>
    <row r="9343" spans="5:25">
      <c r="E9343"/>
      <c r="G9343"/>
      <c r="H9343"/>
      <c r="I9343"/>
      <c r="K9343"/>
      <c r="O9343"/>
      <c r="R9343"/>
      <c r="W9343" s="4"/>
      <c r="X9343" s="4"/>
      <c r="Y9343" s="4"/>
    </row>
    <row r="9344" spans="5:25">
      <c r="E9344"/>
      <c r="G9344"/>
      <c r="H9344"/>
      <c r="I9344"/>
      <c r="K9344"/>
      <c r="O9344"/>
      <c r="R9344"/>
      <c r="W9344" s="4"/>
      <c r="X9344" s="4"/>
      <c r="Y9344" s="4"/>
    </row>
    <row r="9345" spans="5:25">
      <c r="E9345"/>
      <c r="G9345"/>
      <c r="H9345"/>
      <c r="I9345"/>
      <c r="K9345"/>
      <c r="O9345"/>
      <c r="R9345"/>
      <c r="W9345" s="4"/>
      <c r="X9345" s="4"/>
      <c r="Y9345" s="4"/>
    </row>
    <row r="9346" spans="5:25">
      <c r="E9346"/>
      <c r="G9346"/>
      <c r="H9346"/>
      <c r="I9346"/>
      <c r="K9346"/>
      <c r="O9346"/>
      <c r="R9346"/>
      <c r="W9346" s="4"/>
      <c r="X9346" s="4"/>
      <c r="Y9346" s="4"/>
    </row>
    <row r="9347" spans="5:25">
      <c r="E9347"/>
      <c r="G9347"/>
      <c r="H9347"/>
      <c r="I9347"/>
      <c r="K9347"/>
      <c r="O9347"/>
      <c r="R9347"/>
      <c r="W9347" s="4"/>
      <c r="X9347" s="4"/>
      <c r="Y9347" s="4"/>
    </row>
    <row r="9348" spans="5:25">
      <c r="E9348"/>
      <c r="G9348"/>
      <c r="H9348"/>
      <c r="I9348"/>
      <c r="K9348"/>
      <c r="O9348"/>
      <c r="R9348"/>
      <c r="W9348" s="4"/>
      <c r="X9348" s="4"/>
      <c r="Y9348" s="4"/>
    </row>
    <row r="9349" spans="5:25">
      <c r="E9349"/>
      <c r="G9349"/>
      <c r="H9349"/>
      <c r="I9349"/>
      <c r="K9349"/>
      <c r="O9349"/>
      <c r="R9349"/>
      <c r="W9349" s="4"/>
      <c r="X9349" s="4"/>
      <c r="Y9349" s="4"/>
    </row>
    <row r="9350" spans="5:25">
      <c r="E9350"/>
      <c r="G9350"/>
      <c r="H9350"/>
      <c r="I9350"/>
      <c r="K9350"/>
      <c r="O9350"/>
      <c r="R9350"/>
      <c r="W9350" s="4"/>
      <c r="X9350" s="4"/>
      <c r="Y9350" s="4"/>
    </row>
    <row r="9351" spans="5:25">
      <c r="E9351"/>
      <c r="G9351"/>
      <c r="H9351"/>
      <c r="I9351"/>
      <c r="K9351"/>
      <c r="O9351"/>
      <c r="R9351"/>
      <c r="W9351" s="4"/>
      <c r="X9351" s="4"/>
      <c r="Y9351" s="4"/>
    </row>
    <row r="9352" spans="5:25">
      <c r="E9352"/>
      <c r="G9352"/>
      <c r="H9352"/>
      <c r="I9352"/>
      <c r="K9352"/>
      <c r="O9352"/>
      <c r="R9352"/>
      <c r="W9352" s="4"/>
      <c r="X9352" s="4"/>
      <c r="Y9352" s="4"/>
    </row>
    <row r="9353" spans="5:25">
      <c r="E9353"/>
      <c r="G9353"/>
      <c r="H9353"/>
      <c r="I9353"/>
      <c r="K9353"/>
      <c r="O9353"/>
      <c r="R9353"/>
      <c r="W9353" s="4"/>
      <c r="X9353" s="4"/>
      <c r="Y9353" s="4"/>
    </row>
    <row r="9354" spans="5:25">
      <c r="E9354"/>
      <c r="G9354"/>
      <c r="H9354"/>
      <c r="I9354"/>
      <c r="K9354"/>
      <c r="O9354"/>
      <c r="R9354"/>
      <c r="W9354" s="4"/>
      <c r="X9354" s="4"/>
      <c r="Y9354" s="4"/>
    </row>
    <row r="9355" spans="5:25">
      <c r="E9355"/>
      <c r="G9355"/>
      <c r="H9355"/>
      <c r="I9355"/>
      <c r="K9355"/>
      <c r="O9355"/>
      <c r="R9355"/>
      <c r="W9355" s="4"/>
      <c r="X9355" s="4"/>
      <c r="Y9355" s="4"/>
    </row>
    <row r="9356" spans="5:25">
      <c r="E9356"/>
      <c r="G9356"/>
      <c r="H9356"/>
      <c r="I9356"/>
      <c r="K9356"/>
      <c r="O9356"/>
      <c r="R9356"/>
      <c r="W9356" s="4"/>
      <c r="X9356" s="4"/>
      <c r="Y9356" s="4"/>
    </row>
    <row r="9357" spans="5:25">
      <c r="E9357"/>
      <c r="G9357"/>
      <c r="H9357"/>
      <c r="I9357"/>
      <c r="K9357"/>
      <c r="O9357"/>
      <c r="R9357"/>
      <c r="W9357" s="4"/>
      <c r="X9357" s="4"/>
      <c r="Y9357" s="4"/>
    </row>
    <row r="9358" spans="5:25">
      <c r="E9358"/>
      <c r="G9358"/>
      <c r="H9358"/>
      <c r="I9358"/>
      <c r="K9358"/>
      <c r="O9358"/>
      <c r="R9358"/>
      <c r="W9358" s="4"/>
      <c r="X9358" s="4"/>
      <c r="Y9358" s="4"/>
    </row>
    <row r="9359" spans="5:25">
      <c r="E9359"/>
      <c r="G9359"/>
      <c r="H9359"/>
      <c r="I9359"/>
      <c r="K9359"/>
      <c r="O9359"/>
      <c r="R9359"/>
      <c r="W9359" s="4"/>
      <c r="X9359" s="4"/>
      <c r="Y9359" s="4"/>
    </row>
    <row r="9360" spans="5:25">
      <c r="E9360"/>
      <c r="G9360"/>
      <c r="H9360"/>
      <c r="I9360"/>
      <c r="K9360"/>
      <c r="O9360"/>
      <c r="R9360"/>
      <c r="W9360" s="4"/>
      <c r="X9360" s="4"/>
      <c r="Y9360" s="4"/>
    </row>
    <row r="9361" spans="5:25">
      <c r="E9361"/>
      <c r="G9361"/>
      <c r="H9361"/>
      <c r="I9361"/>
      <c r="K9361"/>
      <c r="O9361"/>
      <c r="R9361"/>
      <c r="W9361" s="4"/>
      <c r="X9361" s="4"/>
      <c r="Y9361" s="4"/>
    </row>
    <row r="9362" spans="5:25">
      <c r="E9362"/>
      <c r="G9362"/>
      <c r="H9362"/>
      <c r="I9362"/>
      <c r="K9362"/>
      <c r="O9362"/>
      <c r="R9362"/>
      <c r="W9362" s="4"/>
      <c r="X9362" s="4"/>
      <c r="Y9362" s="4"/>
    </row>
    <row r="9363" spans="5:25">
      <c r="E9363"/>
      <c r="G9363"/>
      <c r="H9363"/>
      <c r="I9363"/>
      <c r="K9363"/>
      <c r="O9363"/>
      <c r="R9363"/>
      <c r="W9363" s="4"/>
      <c r="X9363" s="4"/>
      <c r="Y9363" s="4"/>
    </row>
    <row r="9364" spans="5:25">
      <c r="E9364"/>
      <c r="G9364"/>
      <c r="H9364"/>
      <c r="I9364"/>
      <c r="K9364"/>
      <c r="O9364"/>
      <c r="R9364"/>
      <c r="W9364" s="4"/>
      <c r="X9364" s="4"/>
      <c r="Y9364" s="4"/>
    </row>
    <row r="9365" spans="5:25">
      <c r="E9365"/>
      <c r="G9365"/>
      <c r="H9365"/>
      <c r="I9365"/>
      <c r="K9365"/>
      <c r="O9365"/>
      <c r="R9365"/>
      <c r="W9365" s="4"/>
      <c r="X9365" s="4"/>
      <c r="Y9365" s="4"/>
    </row>
    <row r="9366" spans="5:25">
      <c r="E9366"/>
      <c r="G9366"/>
      <c r="H9366"/>
      <c r="I9366"/>
      <c r="K9366"/>
      <c r="O9366"/>
      <c r="R9366"/>
      <c r="W9366" s="4"/>
      <c r="X9366" s="4"/>
      <c r="Y9366" s="4"/>
    </row>
    <row r="9367" spans="5:25">
      <c r="E9367"/>
      <c r="G9367"/>
      <c r="H9367"/>
      <c r="I9367"/>
      <c r="K9367"/>
      <c r="O9367"/>
      <c r="R9367"/>
      <c r="W9367" s="4"/>
      <c r="X9367" s="4"/>
      <c r="Y9367" s="4"/>
    </row>
    <row r="9368" spans="5:25">
      <c r="E9368"/>
      <c r="G9368"/>
      <c r="H9368"/>
      <c r="I9368"/>
      <c r="K9368"/>
      <c r="O9368"/>
      <c r="R9368"/>
      <c r="W9368" s="4"/>
      <c r="X9368" s="4"/>
      <c r="Y9368" s="4"/>
    </row>
    <row r="9369" spans="5:25">
      <c r="E9369"/>
      <c r="G9369"/>
      <c r="H9369"/>
      <c r="I9369"/>
      <c r="K9369"/>
      <c r="O9369"/>
      <c r="R9369"/>
      <c r="W9369" s="4"/>
      <c r="X9369" s="4"/>
      <c r="Y9369" s="4"/>
    </row>
    <row r="9370" spans="5:25">
      <c r="E9370"/>
      <c r="G9370"/>
      <c r="H9370"/>
      <c r="I9370"/>
      <c r="K9370"/>
      <c r="O9370"/>
      <c r="R9370"/>
      <c r="W9370" s="4"/>
      <c r="X9370" s="4"/>
      <c r="Y9370" s="4"/>
    </row>
    <row r="9371" spans="5:25">
      <c r="E9371"/>
      <c r="G9371"/>
      <c r="H9371"/>
      <c r="I9371"/>
      <c r="K9371"/>
      <c r="O9371"/>
      <c r="R9371"/>
      <c r="W9371" s="4"/>
      <c r="X9371" s="4"/>
      <c r="Y9371" s="4"/>
    </row>
    <row r="9372" spans="5:25">
      <c r="E9372"/>
      <c r="G9372"/>
      <c r="H9372"/>
      <c r="I9372"/>
      <c r="K9372"/>
      <c r="O9372"/>
      <c r="R9372"/>
      <c r="W9372" s="4"/>
      <c r="X9372" s="4"/>
      <c r="Y9372" s="4"/>
    </row>
    <row r="9373" spans="5:25">
      <c r="E9373"/>
      <c r="G9373"/>
      <c r="H9373"/>
      <c r="I9373"/>
      <c r="K9373"/>
      <c r="O9373"/>
      <c r="R9373"/>
      <c r="W9373" s="4"/>
      <c r="X9373" s="4"/>
      <c r="Y9373" s="4"/>
    </row>
    <row r="9374" spans="5:25">
      <c r="E9374"/>
      <c r="G9374"/>
      <c r="H9374"/>
      <c r="I9374"/>
      <c r="K9374"/>
      <c r="O9374"/>
      <c r="R9374"/>
      <c r="W9374" s="4"/>
      <c r="X9374" s="4"/>
      <c r="Y9374" s="4"/>
    </row>
    <row r="9375" spans="5:25">
      <c r="E9375"/>
      <c r="G9375"/>
      <c r="H9375"/>
      <c r="I9375"/>
      <c r="K9375"/>
      <c r="O9375"/>
      <c r="R9375"/>
      <c r="W9375" s="4"/>
      <c r="X9375" s="4"/>
      <c r="Y9375" s="4"/>
    </row>
    <row r="9376" spans="5:25">
      <c r="E9376"/>
      <c r="G9376"/>
      <c r="H9376"/>
      <c r="I9376"/>
      <c r="K9376"/>
      <c r="O9376"/>
      <c r="R9376"/>
      <c r="W9376" s="4"/>
      <c r="X9376" s="4"/>
      <c r="Y9376" s="4"/>
    </row>
    <row r="9377" spans="5:25">
      <c r="E9377"/>
      <c r="G9377"/>
      <c r="H9377"/>
      <c r="I9377"/>
      <c r="K9377"/>
      <c r="O9377"/>
      <c r="R9377"/>
      <c r="W9377" s="4"/>
      <c r="X9377" s="4"/>
      <c r="Y9377" s="4"/>
    </row>
    <row r="9378" spans="5:25">
      <c r="E9378"/>
      <c r="G9378"/>
      <c r="H9378"/>
      <c r="I9378"/>
      <c r="K9378"/>
      <c r="O9378"/>
      <c r="R9378"/>
      <c r="W9378" s="4"/>
      <c r="X9378" s="4"/>
      <c r="Y9378" s="4"/>
    </row>
    <row r="9379" spans="5:25">
      <c r="E9379"/>
      <c r="G9379"/>
      <c r="H9379"/>
      <c r="I9379"/>
      <c r="K9379"/>
      <c r="O9379"/>
      <c r="R9379"/>
      <c r="W9379" s="4"/>
      <c r="X9379" s="4"/>
      <c r="Y9379" s="4"/>
    </row>
    <row r="9380" spans="5:25">
      <c r="E9380"/>
      <c r="G9380"/>
      <c r="H9380"/>
      <c r="I9380"/>
      <c r="K9380"/>
      <c r="O9380"/>
      <c r="R9380"/>
      <c r="W9380" s="4"/>
      <c r="X9380" s="4"/>
      <c r="Y9380" s="4"/>
    </row>
    <row r="9381" spans="5:25">
      <c r="E9381"/>
      <c r="G9381"/>
      <c r="H9381"/>
      <c r="I9381"/>
      <c r="K9381"/>
      <c r="O9381"/>
      <c r="R9381"/>
      <c r="W9381" s="4"/>
      <c r="X9381" s="4"/>
      <c r="Y9381" s="4"/>
    </row>
    <row r="9382" spans="5:25">
      <c r="E9382"/>
      <c r="G9382"/>
      <c r="H9382"/>
      <c r="I9382"/>
      <c r="K9382"/>
      <c r="O9382"/>
      <c r="R9382"/>
      <c r="W9382" s="4"/>
      <c r="X9382" s="4"/>
      <c r="Y9382" s="4"/>
    </row>
    <row r="9383" spans="5:25">
      <c r="E9383"/>
      <c r="G9383"/>
      <c r="H9383"/>
      <c r="I9383"/>
      <c r="K9383"/>
      <c r="O9383"/>
      <c r="R9383"/>
      <c r="W9383" s="4"/>
      <c r="X9383" s="4"/>
      <c r="Y9383" s="4"/>
    </row>
    <row r="9384" spans="5:25">
      <c r="E9384"/>
      <c r="G9384"/>
      <c r="H9384"/>
      <c r="I9384"/>
      <c r="K9384"/>
      <c r="O9384"/>
      <c r="R9384"/>
      <c r="W9384" s="4"/>
      <c r="X9384" s="4"/>
      <c r="Y9384" s="4"/>
    </row>
    <row r="9385" spans="5:25">
      <c r="E9385"/>
      <c r="G9385"/>
      <c r="H9385"/>
      <c r="I9385"/>
      <c r="K9385"/>
      <c r="O9385"/>
      <c r="R9385"/>
      <c r="W9385" s="4"/>
      <c r="X9385" s="4"/>
      <c r="Y9385" s="4"/>
    </row>
    <row r="9386" spans="5:25">
      <c r="E9386"/>
      <c r="G9386"/>
      <c r="H9386"/>
      <c r="I9386"/>
      <c r="K9386"/>
      <c r="O9386"/>
      <c r="R9386"/>
      <c r="W9386" s="4"/>
      <c r="X9386" s="4"/>
      <c r="Y9386" s="4"/>
    </row>
    <row r="9387" spans="5:25">
      <c r="E9387"/>
      <c r="G9387"/>
      <c r="H9387"/>
      <c r="I9387"/>
      <c r="K9387"/>
      <c r="O9387"/>
      <c r="R9387"/>
      <c r="W9387" s="4"/>
      <c r="X9387" s="4"/>
      <c r="Y9387" s="4"/>
    </row>
    <row r="9388" spans="5:25">
      <c r="E9388"/>
      <c r="G9388"/>
      <c r="H9388"/>
      <c r="I9388"/>
      <c r="K9388"/>
      <c r="O9388"/>
      <c r="R9388"/>
      <c r="W9388" s="4"/>
      <c r="X9388" s="4"/>
      <c r="Y9388" s="4"/>
    </row>
    <row r="9389" spans="5:25">
      <c r="E9389"/>
      <c r="G9389"/>
      <c r="H9389"/>
      <c r="I9389"/>
      <c r="K9389"/>
      <c r="O9389"/>
      <c r="R9389"/>
      <c r="W9389" s="4"/>
      <c r="X9389" s="4"/>
      <c r="Y9389" s="4"/>
    </row>
    <row r="9390" spans="5:25">
      <c r="E9390"/>
      <c r="G9390"/>
      <c r="H9390"/>
      <c r="I9390"/>
      <c r="K9390"/>
      <c r="O9390"/>
      <c r="R9390"/>
      <c r="W9390" s="4"/>
      <c r="X9390" s="4"/>
      <c r="Y9390" s="4"/>
    </row>
    <row r="9391" spans="5:25">
      <c r="E9391"/>
      <c r="G9391"/>
      <c r="H9391"/>
      <c r="I9391"/>
      <c r="K9391"/>
      <c r="O9391"/>
      <c r="R9391"/>
      <c r="W9391" s="4"/>
      <c r="X9391" s="4"/>
      <c r="Y9391" s="4"/>
    </row>
    <row r="9392" spans="5:25">
      <c r="E9392"/>
      <c r="G9392"/>
      <c r="H9392"/>
      <c r="I9392"/>
      <c r="K9392"/>
      <c r="O9392"/>
      <c r="R9392"/>
      <c r="W9392" s="4"/>
      <c r="X9392" s="4"/>
      <c r="Y9392" s="4"/>
    </row>
    <row r="9393" spans="5:25">
      <c r="E9393"/>
      <c r="G9393"/>
      <c r="H9393"/>
      <c r="I9393"/>
      <c r="K9393"/>
      <c r="O9393"/>
      <c r="R9393"/>
      <c r="W9393" s="4"/>
      <c r="X9393" s="4"/>
      <c r="Y9393" s="4"/>
    </row>
    <row r="9394" spans="5:25">
      <c r="E9394"/>
      <c r="G9394"/>
      <c r="H9394"/>
      <c r="I9394"/>
      <c r="K9394"/>
      <c r="O9394"/>
      <c r="R9394"/>
      <c r="W9394" s="4"/>
      <c r="X9394" s="4"/>
      <c r="Y9394" s="4"/>
    </row>
    <row r="9395" spans="5:25">
      <c r="E9395"/>
      <c r="G9395"/>
      <c r="H9395"/>
      <c r="I9395"/>
      <c r="K9395"/>
      <c r="O9395"/>
      <c r="R9395"/>
      <c r="W9395" s="4"/>
      <c r="X9395" s="4"/>
      <c r="Y9395" s="4"/>
    </row>
    <row r="9396" spans="5:25">
      <c r="E9396"/>
      <c r="G9396"/>
      <c r="H9396"/>
      <c r="I9396"/>
      <c r="K9396"/>
      <c r="O9396"/>
      <c r="R9396"/>
      <c r="W9396" s="4"/>
      <c r="X9396" s="4"/>
      <c r="Y9396" s="4"/>
    </row>
    <row r="9397" spans="5:25">
      <c r="E9397"/>
      <c r="G9397"/>
      <c r="H9397"/>
      <c r="I9397"/>
      <c r="K9397"/>
      <c r="O9397"/>
      <c r="R9397"/>
      <c r="W9397" s="4"/>
      <c r="X9397" s="4"/>
      <c r="Y9397" s="4"/>
    </row>
    <row r="9398" spans="5:25">
      <c r="E9398"/>
      <c r="G9398"/>
      <c r="H9398"/>
      <c r="I9398"/>
      <c r="K9398"/>
      <c r="O9398"/>
      <c r="R9398"/>
      <c r="W9398" s="4"/>
      <c r="X9398" s="4"/>
      <c r="Y9398" s="4"/>
    </row>
    <row r="9399" spans="5:25">
      <c r="E9399"/>
      <c r="G9399"/>
      <c r="H9399"/>
      <c r="I9399"/>
      <c r="K9399"/>
      <c r="O9399"/>
      <c r="R9399"/>
      <c r="W9399" s="4"/>
      <c r="X9399" s="4"/>
      <c r="Y9399" s="4"/>
    </row>
    <row r="9400" spans="5:25">
      <c r="E9400"/>
      <c r="G9400"/>
      <c r="H9400"/>
      <c r="I9400"/>
      <c r="K9400"/>
      <c r="O9400"/>
      <c r="R9400"/>
      <c r="W9400" s="4"/>
      <c r="X9400" s="4"/>
      <c r="Y9400" s="4"/>
    </row>
    <row r="9401" spans="5:25">
      <c r="E9401"/>
      <c r="G9401"/>
      <c r="H9401"/>
      <c r="I9401"/>
      <c r="K9401"/>
      <c r="O9401"/>
      <c r="R9401"/>
      <c r="W9401" s="4"/>
      <c r="X9401" s="4"/>
      <c r="Y9401" s="4"/>
    </row>
    <row r="9402" spans="5:25">
      <c r="E9402"/>
      <c r="G9402"/>
      <c r="H9402"/>
      <c r="I9402"/>
      <c r="K9402"/>
      <c r="O9402"/>
      <c r="R9402"/>
      <c r="W9402" s="4"/>
      <c r="X9402" s="4"/>
      <c r="Y9402" s="4"/>
    </row>
    <row r="9403" spans="5:25">
      <c r="E9403"/>
      <c r="G9403"/>
      <c r="H9403"/>
      <c r="I9403"/>
      <c r="K9403"/>
      <c r="O9403"/>
      <c r="R9403"/>
      <c r="W9403" s="4"/>
      <c r="X9403" s="4"/>
      <c r="Y9403" s="4"/>
    </row>
    <row r="9404" spans="5:25">
      <c r="E9404"/>
      <c r="G9404"/>
      <c r="H9404"/>
      <c r="I9404"/>
      <c r="K9404"/>
      <c r="O9404"/>
      <c r="R9404"/>
      <c r="W9404" s="4"/>
      <c r="X9404" s="4"/>
      <c r="Y9404" s="4"/>
    </row>
    <row r="9405" spans="5:25">
      <c r="E9405"/>
      <c r="G9405"/>
      <c r="H9405"/>
      <c r="I9405"/>
      <c r="K9405"/>
      <c r="O9405"/>
      <c r="R9405"/>
      <c r="W9405" s="4"/>
      <c r="X9405" s="4"/>
      <c r="Y9405" s="4"/>
    </row>
    <row r="9406" spans="5:25">
      <c r="E9406"/>
      <c r="G9406"/>
      <c r="H9406"/>
      <c r="I9406"/>
      <c r="K9406"/>
      <c r="O9406"/>
      <c r="R9406"/>
      <c r="W9406" s="4"/>
      <c r="X9406" s="4"/>
      <c r="Y9406" s="4"/>
    </row>
    <row r="9407" spans="5:25">
      <c r="E9407"/>
      <c r="G9407"/>
      <c r="H9407"/>
      <c r="I9407"/>
      <c r="K9407"/>
      <c r="O9407"/>
      <c r="R9407"/>
      <c r="W9407" s="4"/>
      <c r="X9407" s="4"/>
      <c r="Y9407" s="4"/>
    </row>
    <row r="9408" spans="5:25">
      <c r="E9408"/>
      <c r="G9408"/>
      <c r="H9408"/>
      <c r="I9408"/>
      <c r="K9408"/>
      <c r="O9408"/>
      <c r="R9408"/>
      <c r="W9408" s="4"/>
      <c r="X9408" s="4"/>
      <c r="Y9408" s="4"/>
    </row>
    <row r="9409" spans="5:25">
      <c r="E9409"/>
      <c r="G9409"/>
      <c r="H9409"/>
      <c r="I9409"/>
      <c r="K9409"/>
      <c r="O9409"/>
      <c r="R9409"/>
      <c r="W9409" s="4"/>
      <c r="X9409" s="4"/>
      <c r="Y9409" s="4"/>
    </row>
    <row r="9410" spans="5:25">
      <c r="E9410"/>
      <c r="G9410"/>
      <c r="H9410"/>
      <c r="I9410"/>
      <c r="K9410"/>
      <c r="O9410"/>
      <c r="R9410"/>
      <c r="W9410" s="4"/>
      <c r="X9410" s="4"/>
      <c r="Y9410" s="4"/>
    </row>
    <row r="9411" spans="5:25">
      <c r="E9411"/>
      <c r="G9411"/>
      <c r="H9411"/>
      <c r="I9411"/>
      <c r="K9411"/>
      <c r="O9411"/>
      <c r="R9411"/>
      <c r="W9411" s="4"/>
      <c r="X9411" s="4"/>
      <c r="Y9411" s="4"/>
    </row>
    <row r="9412" spans="5:25">
      <c r="E9412"/>
      <c r="G9412"/>
      <c r="H9412"/>
      <c r="I9412"/>
      <c r="K9412"/>
      <c r="O9412"/>
      <c r="R9412"/>
      <c r="W9412" s="4"/>
      <c r="X9412" s="4"/>
      <c r="Y9412" s="4"/>
    </row>
    <row r="9413" spans="5:25">
      <c r="E9413"/>
      <c r="G9413"/>
      <c r="H9413"/>
      <c r="I9413"/>
      <c r="K9413"/>
      <c r="O9413"/>
      <c r="R9413"/>
      <c r="W9413" s="4"/>
      <c r="X9413" s="4"/>
      <c r="Y9413" s="4"/>
    </row>
    <row r="9414" spans="5:25">
      <c r="E9414"/>
      <c r="G9414"/>
      <c r="H9414"/>
      <c r="I9414"/>
      <c r="K9414"/>
      <c r="O9414"/>
      <c r="R9414"/>
      <c r="W9414" s="4"/>
      <c r="X9414" s="4"/>
      <c r="Y9414" s="4"/>
    </row>
    <row r="9415" spans="5:25">
      <c r="E9415"/>
      <c r="G9415"/>
      <c r="H9415"/>
      <c r="I9415"/>
      <c r="K9415"/>
      <c r="O9415"/>
      <c r="R9415"/>
      <c r="W9415" s="4"/>
      <c r="X9415" s="4"/>
      <c r="Y9415" s="4"/>
    </row>
    <row r="9416" spans="5:25">
      <c r="E9416"/>
      <c r="G9416"/>
      <c r="H9416"/>
      <c r="I9416"/>
      <c r="K9416"/>
      <c r="O9416"/>
      <c r="R9416"/>
      <c r="W9416" s="4"/>
      <c r="X9416" s="4"/>
      <c r="Y9416" s="4"/>
    </row>
    <row r="9417" spans="5:25">
      <c r="E9417"/>
      <c r="G9417"/>
      <c r="H9417"/>
      <c r="I9417"/>
      <c r="K9417"/>
      <c r="O9417"/>
      <c r="R9417"/>
      <c r="W9417" s="4"/>
      <c r="X9417" s="4"/>
      <c r="Y9417" s="4"/>
    </row>
    <row r="9418" spans="5:25">
      <c r="E9418"/>
      <c r="G9418"/>
      <c r="H9418"/>
      <c r="I9418"/>
      <c r="K9418"/>
      <c r="O9418"/>
      <c r="R9418"/>
      <c r="W9418" s="4"/>
      <c r="X9418" s="4"/>
      <c r="Y9418" s="4"/>
    </row>
    <row r="9419" spans="5:25">
      <c r="E9419"/>
      <c r="G9419"/>
      <c r="H9419"/>
      <c r="I9419"/>
      <c r="K9419"/>
      <c r="O9419"/>
      <c r="R9419"/>
      <c r="W9419" s="4"/>
      <c r="X9419" s="4"/>
      <c r="Y9419" s="4"/>
    </row>
    <row r="9420" spans="5:25">
      <c r="E9420"/>
      <c r="G9420"/>
      <c r="H9420"/>
      <c r="I9420"/>
      <c r="K9420"/>
      <c r="O9420"/>
      <c r="R9420"/>
      <c r="W9420" s="4"/>
      <c r="X9420" s="4"/>
      <c r="Y9420" s="4"/>
    </row>
    <row r="9421" spans="5:25">
      <c r="E9421"/>
      <c r="G9421"/>
      <c r="H9421"/>
      <c r="I9421"/>
      <c r="K9421"/>
      <c r="O9421"/>
      <c r="R9421"/>
      <c r="W9421" s="4"/>
      <c r="X9421" s="4"/>
      <c r="Y9421" s="4"/>
    </row>
    <row r="9422" spans="5:25">
      <c r="E9422"/>
      <c r="G9422"/>
      <c r="H9422"/>
      <c r="I9422"/>
      <c r="K9422"/>
      <c r="O9422"/>
      <c r="R9422"/>
      <c r="W9422" s="4"/>
      <c r="X9422" s="4"/>
      <c r="Y9422" s="4"/>
    </row>
    <row r="9423" spans="5:25">
      <c r="E9423"/>
      <c r="G9423"/>
      <c r="H9423"/>
      <c r="I9423"/>
      <c r="K9423"/>
      <c r="O9423"/>
      <c r="R9423"/>
      <c r="W9423" s="4"/>
      <c r="X9423" s="4"/>
      <c r="Y9423" s="4"/>
    </row>
    <row r="9424" spans="5:25">
      <c r="E9424"/>
      <c r="G9424"/>
      <c r="H9424"/>
      <c r="I9424"/>
      <c r="K9424"/>
      <c r="O9424"/>
      <c r="R9424"/>
      <c r="W9424" s="4"/>
      <c r="X9424" s="4"/>
      <c r="Y9424" s="4"/>
    </row>
    <row r="9425" spans="5:25">
      <c r="E9425"/>
      <c r="G9425"/>
      <c r="H9425"/>
      <c r="I9425"/>
      <c r="K9425"/>
      <c r="O9425"/>
      <c r="R9425"/>
      <c r="W9425" s="4"/>
      <c r="X9425" s="4"/>
      <c r="Y9425" s="4"/>
    </row>
    <row r="9426" spans="5:25">
      <c r="E9426"/>
      <c r="G9426"/>
      <c r="H9426"/>
      <c r="I9426"/>
      <c r="K9426"/>
      <c r="O9426"/>
      <c r="R9426"/>
      <c r="W9426" s="4"/>
      <c r="X9426" s="4"/>
      <c r="Y9426" s="4"/>
    </row>
    <row r="9427" spans="5:25">
      <c r="E9427"/>
      <c r="G9427"/>
      <c r="H9427"/>
      <c r="I9427"/>
      <c r="K9427"/>
      <c r="O9427"/>
      <c r="R9427"/>
      <c r="W9427" s="4"/>
      <c r="X9427" s="4"/>
      <c r="Y9427" s="4"/>
    </row>
    <row r="9428" spans="5:25">
      <c r="E9428"/>
      <c r="G9428"/>
      <c r="H9428"/>
      <c r="I9428"/>
      <c r="K9428"/>
      <c r="O9428"/>
      <c r="R9428"/>
      <c r="W9428" s="4"/>
      <c r="X9428" s="4"/>
      <c r="Y9428" s="4"/>
    </row>
    <row r="9429" spans="5:25">
      <c r="E9429"/>
      <c r="G9429"/>
      <c r="H9429"/>
      <c r="I9429"/>
      <c r="K9429"/>
      <c r="O9429"/>
      <c r="R9429"/>
      <c r="W9429" s="4"/>
      <c r="X9429" s="4"/>
      <c r="Y9429" s="4"/>
    </row>
    <row r="9430" spans="5:25">
      <c r="E9430"/>
      <c r="G9430"/>
      <c r="H9430"/>
      <c r="I9430"/>
      <c r="K9430"/>
      <c r="O9430"/>
      <c r="R9430"/>
      <c r="W9430" s="4"/>
      <c r="X9430" s="4"/>
      <c r="Y9430" s="4"/>
    </row>
    <row r="9431" spans="5:25">
      <c r="E9431"/>
      <c r="G9431"/>
      <c r="H9431"/>
      <c r="I9431"/>
      <c r="K9431"/>
      <c r="O9431"/>
      <c r="R9431"/>
      <c r="W9431" s="4"/>
      <c r="X9431" s="4"/>
      <c r="Y9431" s="4"/>
    </row>
    <row r="9432" spans="5:25">
      <c r="E9432"/>
      <c r="G9432"/>
      <c r="H9432"/>
      <c r="I9432"/>
      <c r="K9432"/>
      <c r="O9432"/>
      <c r="R9432"/>
      <c r="W9432" s="4"/>
      <c r="X9432" s="4"/>
      <c r="Y9432" s="4"/>
    </row>
    <row r="9433" spans="5:25">
      <c r="E9433"/>
      <c r="G9433"/>
      <c r="H9433"/>
      <c r="I9433"/>
      <c r="K9433"/>
      <c r="O9433"/>
      <c r="R9433"/>
      <c r="W9433" s="4"/>
      <c r="X9433" s="4"/>
      <c r="Y9433" s="4"/>
    </row>
    <row r="9434" spans="5:25">
      <c r="E9434"/>
      <c r="G9434"/>
      <c r="H9434"/>
      <c r="I9434"/>
      <c r="K9434"/>
      <c r="O9434"/>
      <c r="R9434"/>
      <c r="W9434" s="4"/>
      <c r="X9434" s="4"/>
      <c r="Y9434" s="4"/>
    </row>
    <row r="9435" spans="5:25">
      <c r="E9435"/>
      <c r="G9435"/>
      <c r="H9435"/>
      <c r="I9435"/>
      <c r="K9435"/>
      <c r="O9435"/>
      <c r="R9435"/>
      <c r="W9435" s="4"/>
      <c r="X9435" s="4"/>
      <c r="Y9435" s="4"/>
    </row>
    <row r="9436" spans="5:25">
      <c r="E9436"/>
      <c r="G9436"/>
      <c r="H9436"/>
      <c r="I9436"/>
      <c r="K9436"/>
      <c r="O9436"/>
      <c r="R9436"/>
      <c r="W9436" s="4"/>
      <c r="X9436" s="4"/>
      <c r="Y9436" s="4"/>
    </row>
    <row r="9437" spans="5:25">
      <c r="E9437"/>
      <c r="G9437"/>
      <c r="H9437"/>
      <c r="I9437"/>
      <c r="K9437"/>
      <c r="O9437"/>
      <c r="R9437"/>
      <c r="W9437" s="4"/>
      <c r="X9437" s="4"/>
      <c r="Y9437" s="4"/>
    </row>
    <row r="9438" spans="5:25">
      <c r="E9438"/>
      <c r="G9438"/>
      <c r="H9438"/>
      <c r="I9438"/>
      <c r="K9438"/>
      <c r="O9438"/>
      <c r="R9438"/>
      <c r="W9438" s="4"/>
      <c r="X9438" s="4"/>
      <c r="Y9438" s="4"/>
    </row>
    <row r="9439" spans="5:25">
      <c r="E9439"/>
      <c r="G9439"/>
      <c r="H9439"/>
      <c r="I9439"/>
      <c r="K9439"/>
      <c r="O9439"/>
      <c r="R9439"/>
      <c r="W9439" s="4"/>
      <c r="X9439" s="4"/>
      <c r="Y9439" s="4"/>
    </row>
    <row r="9440" spans="5:25">
      <c r="E9440"/>
      <c r="G9440"/>
      <c r="H9440"/>
      <c r="I9440"/>
      <c r="K9440"/>
      <c r="O9440"/>
      <c r="R9440"/>
      <c r="W9440" s="4"/>
      <c r="X9440" s="4"/>
      <c r="Y9440" s="4"/>
    </row>
    <row r="9441" spans="5:25">
      <c r="E9441"/>
      <c r="G9441"/>
      <c r="H9441"/>
      <c r="I9441"/>
      <c r="K9441"/>
      <c r="O9441"/>
      <c r="R9441"/>
      <c r="W9441" s="4"/>
      <c r="X9441" s="4"/>
      <c r="Y9441" s="4"/>
    </row>
    <row r="9442" spans="5:25">
      <c r="E9442"/>
      <c r="G9442"/>
      <c r="H9442"/>
      <c r="I9442"/>
      <c r="K9442"/>
      <c r="O9442"/>
      <c r="R9442"/>
      <c r="W9442" s="4"/>
      <c r="X9442" s="4"/>
      <c r="Y9442" s="4"/>
    </row>
    <row r="9443" spans="5:25">
      <c r="E9443"/>
      <c r="G9443"/>
      <c r="H9443"/>
      <c r="I9443"/>
      <c r="K9443"/>
      <c r="O9443"/>
      <c r="R9443"/>
      <c r="W9443" s="4"/>
      <c r="X9443" s="4"/>
      <c r="Y9443" s="4"/>
    </row>
    <row r="9444" spans="5:25">
      <c r="E9444"/>
      <c r="G9444"/>
      <c r="H9444"/>
      <c r="I9444"/>
      <c r="K9444"/>
      <c r="O9444"/>
      <c r="R9444"/>
      <c r="W9444" s="4"/>
      <c r="X9444" s="4"/>
      <c r="Y9444" s="4"/>
    </row>
    <row r="9445" spans="5:25">
      <c r="E9445"/>
      <c r="G9445"/>
      <c r="H9445"/>
      <c r="I9445"/>
      <c r="K9445"/>
      <c r="O9445"/>
      <c r="R9445"/>
      <c r="W9445" s="4"/>
      <c r="X9445" s="4"/>
      <c r="Y9445" s="4"/>
    </row>
    <row r="9446" spans="5:25">
      <c r="E9446"/>
      <c r="G9446"/>
      <c r="H9446"/>
      <c r="I9446"/>
      <c r="K9446"/>
      <c r="O9446"/>
      <c r="R9446"/>
      <c r="W9446" s="4"/>
      <c r="X9446" s="4"/>
      <c r="Y9446" s="4"/>
    </row>
    <row r="9447" spans="5:25">
      <c r="E9447"/>
      <c r="G9447"/>
      <c r="H9447"/>
      <c r="I9447"/>
      <c r="K9447"/>
      <c r="O9447"/>
      <c r="R9447"/>
      <c r="W9447" s="4"/>
      <c r="X9447" s="4"/>
      <c r="Y9447" s="4"/>
    </row>
    <row r="9448" spans="5:25">
      <c r="E9448"/>
      <c r="G9448"/>
      <c r="H9448"/>
      <c r="I9448"/>
      <c r="K9448"/>
      <c r="O9448"/>
      <c r="R9448"/>
      <c r="W9448" s="4"/>
      <c r="X9448" s="4"/>
      <c r="Y9448" s="4"/>
    </row>
    <row r="9449" spans="5:25">
      <c r="E9449"/>
      <c r="G9449"/>
      <c r="H9449"/>
      <c r="I9449"/>
      <c r="K9449"/>
      <c r="O9449"/>
      <c r="R9449"/>
      <c r="W9449" s="4"/>
      <c r="X9449" s="4"/>
      <c r="Y9449" s="4"/>
    </row>
    <row r="9450" spans="5:25">
      <c r="E9450"/>
      <c r="G9450"/>
      <c r="H9450"/>
      <c r="I9450"/>
      <c r="K9450"/>
      <c r="O9450"/>
      <c r="R9450"/>
      <c r="W9450" s="4"/>
      <c r="X9450" s="4"/>
      <c r="Y9450" s="4"/>
    </row>
    <row r="9451" spans="5:25">
      <c r="E9451"/>
      <c r="G9451"/>
      <c r="H9451"/>
      <c r="I9451"/>
      <c r="K9451"/>
      <c r="O9451"/>
      <c r="R9451"/>
      <c r="W9451" s="4"/>
      <c r="X9451" s="4"/>
      <c r="Y9451" s="4"/>
    </row>
    <row r="9452" spans="5:25">
      <c r="E9452"/>
      <c r="G9452"/>
      <c r="H9452"/>
      <c r="I9452"/>
      <c r="K9452"/>
      <c r="O9452"/>
      <c r="R9452"/>
      <c r="W9452" s="4"/>
      <c r="X9452" s="4"/>
      <c r="Y9452" s="4"/>
    </row>
    <row r="9453" spans="5:25">
      <c r="E9453"/>
      <c r="G9453"/>
      <c r="H9453"/>
      <c r="I9453"/>
      <c r="K9453"/>
      <c r="O9453"/>
      <c r="R9453"/>
      <c r="W9453" s="4"/>
      <c r="X9453" s="4"/>
      <c r="Y9453" s="4"/>
    </row>
    <row r="9454" spans="5:25">
      <c r="E9454"/>
      <c r="G9454"/>
      <c r="H9454"/>
      <c r="I9454"/>
      <c r="K9454"/>
      <c r="O9454"/>
      <c r="R9454"/>
      <c r="W9454" s="4"/>
      <c r="X9454" s="4"/>
      <c r="Y9454" s="4"/>
    </row>
    <row r="9455" spans="5:25">
      <c r="E9455"/>
      <c r="G9455"/>
      <c r="H9455"/>
      <c r="I9455"/>
      <c r="K9455"/>
      <c r="O9455"/>
      <c r="R9455"/>
      <c r="W9455" s="4"/>
      <c r="X9455" s="4"/>
      <c r="Y9455" s="4"/>
    </row>
    <row r="9456" spans="5:25">
      <c r="E9456"/>
      <c r="G9456"/>
      <c r="H9456"/>
      <c r="I9456"/>
      <c r="K9456"/>
      <c r="O9456"/>
      <c r="R9456"/>
      <c r="W9456" s="4"/>
      <c r="X9456" s="4"/>
      <c r="Y9456" s="4"/>
    </row>
    <row r="9457" spans="5:25">
      <c r="E9457"/>
      <c r="G9457"/>
      <c r="H9457"/>
      <c r="I9457"/>
      <c r="K9457"/>
      <c r="O9457"/>
      <c r="R9457"/>
      <c r="W9457" s="4"/>
      <c r="X9457" s="4"/>
      <c r="Y9457" s="4"/>
    </row>
    <row r="9458" spans="5:25">
      <c r="E9458"/>
      <c r="G9458"/>
      <c r="H9458"/>
      <c r="I9458"/>
      <c r="K9458"/>
      <c r="O9458"/>
      <c r="R9458"/>
      <c r="W9458" s="4"/>
      <c r="X9458" s="4"/>
      <c r="Y9458" s="4"/>
    </row>
    <row r="9459" spans="5:25">
      <c r="E9459"/>
      <c r="G9459"/>
      <c r="H9459"/>
      <c r="I9459"/>
      <c r="K9459"/>
      <c r="O9459"/>
      <c r="R9459"/>
      <c r="W9459" s="4"/>
      <c r="X9459" s="4"/>
      <c r="Y9459" s="4"/>
    </row>
    <row r="9460" spans="5:25">
      <c r="E9460"/>
      <c r="G9460"/>
      <c r="H9460"/>
      <c r="I9460"/>
      <c r="K9460"/>
      <c r="O9460"/>
      <c r="R9460"/>
      <c r="W9460" s="4"/>
      <c r="X9460" s="4"/>
      <c r="Y9460" s="4"/>
    </row>
    <row r="9461" spans="5:25">
      <c r="E9461"/>
      <c r="G9461"/>
      <c r="H9461"/>
      <c r="I9461"/>
      <c r="K9461"/>
      <c r="O9461"/>
      <c r="R9461"/>
      <c r="W9461" s="4"/>
      <c r="X9461" s="4"/>
      <c r="Y9461" s="4"/>
    </row>
    <row r="9462" spans="5:25">
      <c r="E9462"/>
      <c r="G9462"/>
      <c r="H9462"/>
      <c r="I9462"/>
      <c r="K9462"/>
      <c r="O9462"/>
      <c r="R9462"/>
      <c r="W9462" s="4"/>
      <c r="X9462" s="4"/>
      <c r="Y9462" s="4"/>
    </row>
    <row r="9463" spans="5:25">
      <c r="E9463"/>
      <c r="G9463"/>
      <c r="H9463"/>
      <c r="I9463"/>
      <c r="K9463"/>
      <c r="O9463"/>
      <c r="R9463"/>
      <c r="W9463" s="4"/>
      <c r="X9463" s="4"/>
      <c r="Y9463" s="4"/>
    </row>
    <row r="9464" spans="5:25">
      <c r="E9464"/>
      <c r="G9464"/>
      <c r="H9464"/>
      <c r="I9464"/>
      <c r="K9464"/>
      <c r="O9464"/>
      <c r="R9464"/>
      <c r="W9464" s="4"/>
      <c r="X9464" s="4"/>
      <c r="Y9464" s="4"/>
    </row>
    <row r="9465" spans="5:25">
      <c r="E9465"/>
      <c r="G9465"/>
      <c r="H9465"/>
      <c r="I9465"/>
      <c r="K9465"/>
      <c r="O9465"/>
      <c r="R9465"/>
      <c r="W9465" s="4"/>
      <c r="X9465" s="4"/>
      <c r="Y9465" s="4"/>
    </row>
    <row r="9466" spans="5:25">
      <c r="E9466"/>
      <c r="G9466"/>
      <c r="H9466"/>
      <c r="I9466"/>
      <c r="K9466"/>
      <c r="O9466"/>
      <c r="R9466"/>
      <c r="W9466" s="4"/>
      <c r="X9466" s="4"/>
      <c r="Y9466" s="4"/>
    </row>
    <row r="9467" spans="5:25">
      <c r="E9467"/>
      <c r="G9467"/>
      <c r="H9467"/>
      <c r="I9467"/>
      <c r="K9467"/>
      <c r="O9467"/>
      <c r="R9467"/>
      <c r="W9467" s="4"/>
      <c r="X9467" s="4"/>
      <c r="Y9467" s="4"/>
    </row>
    <row r="9468" spans="5:25">
      <c r="E9468"/>
      <c r="G9468"/>
      <c r="H9468"/>
      <c r="I9468"/>
      <c r="K9468"/>
      <c r="O9468"/>
      <c r="R9468"/>
      <c r="W9468" s="4"/>
      <c r="X9468" s="4"/>
      <c r="Y9468" s="4"/>
    </row>
    <row r="9469" spans="5:25">
      <c r="E9469"/>
      <c r="G9469"/>
      <c r="H9469"/>
      <c r="I9469"/>
      <c r="K9469"/>
      <c r="O9469"/>
      <c r="R9469"/>
      <c r="W9469" s="4"/>
      <c r="X9469" s="4"/>
      <c r="Y9469" s="4"/>
    </row>
    <row r="9470" spans="5:25">
      <c r="E9470"/>
      <c r="G9470"/>
      <c r="H9470"/>
      <c r="I9470"/>
      <c r="K9470"/>
      <c r="O9470"/>
      <c r="R9470"/>
      <c r="W9470" s="4"/>
      <c r="X9470" s="4"/>
      <c r="Y9470" s="4"/>
    </row>
    <row r="9471" spans="5:25">
      <c r="E9471"/>
      <c r="G9471"/>
      <c r="H9471"/>
      <c r="I9471"/>
      <c r="K9471"/>
      <c r="O9471"/>
      <c r="R9471"/>
      <c r="W9471" s="4"/>
      <c r="X9471" s="4"/>
      <c r="Y9471" s="4"/>
    </row>
    <row r="9472" spans="5:25">
      <c r="E9472"/>
      <c r="G9472"/>
      <c r="H9472"/>
      <c r="I9472"/>
      <c r="K9472"/>
      <c r="O9472"/>
      <c r="R9472"/>
      <c r="W9472" s="4"/>
      <c r="X9472" s="4"/>
      <c r="Y9472" s="4"/>
    </row>
    <row r="9473" spans="5:25">
      <c r="E9473"/>
      <c r="G9473"/>
      <c r="H9473"/>
      <c r="I9473"/>
      <c r="K9473"/>
      <c r="O9473"/>
      <c r="R9473"/>
      <c r="W9473" s="4"/>
      <c r="X9473" s="4"/>
      <c r="Y9473" s="4"/>
    </row>
    <row r="9474" spans="5:25">
      <c r="E9474"/>
      <c r="G9474"/>
      <c r="H9474"/>
      <c r="I9474"/>
      <c r="K9474"/>
      <c r="O9474"/>
      <c r="R9474"/>
      <c r="W9474" s="4"/>
      <c r="X9474" s="4"/>
      <c r="Y9474" s="4"/>
    </row>
    <row r="9475" spans="5:25">
      <c r="E9475"/>
      <c r="G9475"/>
      <c r="H9475"/>
      <c r="I9475"/>
      <c r="K9475"/>
      <c r="O9475"/>
      <c r="R9475"/>
      <c r="W9475" s="4"/>
      <c r="X9475" s="4"/>
      <c r="Y9475" s="4"/>
    </row>
    <row r="9476" spans="5:25">
      <c r="E9476"/>
      <c r="G9476"/>
      <c r="H9476"/>
      <c r="I9476"/>
      <c r="K9476"/>
      <c r="O9476"/>
      <c r="R9476"/>
      <c r="W9476" s="4"/>
      <c r="X9476" s="4"/>
      <c r="Y9476" s="4"/>
    </row>
    <row r="9477" spans="5:25">
      <c r="E9477"/>
      <c r="G9477"/>
      <c r="H9477"/>
      <c r="I9477"/>
      <c r="K9477"/>
      <c r="O9477"/>
      <c r="R9477"/>
      <c r="W9477" s="4"/>
      <c r="X9477" s="4"/>
      <c r="Y9477" s="4"/>
    </row>
    <row r="9478" spans="5:25">
      <c r="E9478"/>
      <c r="G9478"/>
      <c r="H9478"/>
      <c r="I9478"/>
      <c r="K9478"/>
      <c r="O9478"/>
      <c r="R9478"/>
      <c r="W9478" s="4"/>
      <c r="X9478" s="4"/>
      <c r="Y9478" s="4"/>
    </row>
    <row r="9479" spans="5:25">
      <c r="E9479"/>
      <c r="G9479"/>
      <c r="H9479"/>
      <c r="I9479"/>
      <c r="K9479"/>
      <c r="O9479"/>
      <c r="R9479"/>
      <c r="W9479" s="4"/>
      <c r="X9479" s="4"/>
      <c r="Y9479" s="4"/>
    </row>
    <row r="9480" spans="5:25">
      <c r="E9480"/>
      <c r="G9480"/>
      <c r="H9480"/>
      <c r="I9480"/>
      <c r="K9480"/>
      <c r="O9480"/>
      <c r="R9480"/>
      <c r="W9480" s="4"/>
      <c r="X9480" s="4"/>
      <c r="Y9480" s="4"/>
    </row>
    <row r="9481" spans="5:25">
      <c r="E9481"/>
      <c r="G9481"/>
      <c r="H9481"/>
      <c r="I9481"/>
      <c r="K9481"/>
      <c r="O9481"/>
      <c r="R9481"/>
      <c r="W9481" s="4"/>
      <c r="X9481" s="4"/>
      <c r="Y9481" s="4"/>
    </row>
    <row r="9482" spans="5:25">
      <c r="E9482"/>
      <c r="G9482"/>
      <c r="H9482"/>
      <c r="I9482"/>
      <c r="K9482"/>
      <c r="O9482"/>
      <c r="R9482"/>
      <c r="W9482" s="4"/>
      <c r="X9482" s="4"/>
      <c r="Y9482" s="4"/>
    </row>
    <row r="9483" spans="5:25">
      <c r="E9483"/>
      <c r="G9483"/>
      <c r="H9483"/>
      <c r="I9483"/>
      <c r="K9483"/>
      <c r="O9483"/>
      <c r="R9483"/>
      <c r="W9483" s="4"/>
      <c r="X9483" s="4"/>
      <c r="Y9483" s="4"/>
    </row>
    <row r="9484" spans="5:25">
      <c r="E9484"/>
      <c r="G9484"/>
      <c r="H9484"/>
      <c r="I9484"/>
      <c r="K9484"/>
      <c r="O9484"/>
      <c r="R9484"/>
      <c r="W9484" s="4"/>
      <c r="X9484" s="4"/>
      <c r="Y9484" s="4"/>
    </row>
    <row r="9485" spans="5:25">
      <c r="E9485"/>
      <c r="G9485"/>
      <c r="H9485"/>
      <c r="I9485"/>
      <c r="K9485"/>
      <c r="O9485"/>
      <c r="R9485"/>
      <c r="W9485" s="4"/>
      <c r="X9485" s="4"/>
      <c r="Y9485" s="4"/>
    </row>
    <row r="9486" spans="5:25">
      <c r="E9486"/>
      <c r="G9486"/>
      <c r="H9486"/>
      <c r="I9486"/>
      <c r="K9486"/>
      <c r="O9486"/>
      <c r="R9486"/>
      <c r="W9486" s="4"/>
      <c r="X9486" s="4"/>
      <c r="Y9486" s="4"/>
    </row>
    <row r="9487" spans="5:25">
      <c r="E9487"/>
      <c r="G9487"/>
      <c r="H9487"/>
      <c r="I9487"/>
      <c r="K9487"/>
      <c r="O9487"/>
      <c r="R9487"/>
      <c r="W9487" s="4"/>
      <c r="X9487" s="4"/>
      <c r="Y9487" s="4"/>
    </row>
    <row r="9488" spans="5:25">
      <c r="E9488"/>
      <c r="G9488"/>
      <c r="H9488"/>
      <c r="I9488"/>
      <c r="K9488"/>
      <c r="O9488"/>
      <c r="R9488"/>
      <c r="W9488" s="4"/>
      <c r="X9488" s="4"/>
      <c r="Y9488" s="4"/>
    </row>
    <row r="9489" spans="5:25">
      <c r="E9489"/>
      <c r="G9489"/>
      <c r="H9489"/>
      <c r="I9489"/>
      <c r="K9489"/>
      <c r="O9489"/>
      <c r="R9489"/>
      <c r="W9489" s="4"/>
      <c r="X9489" s="4"/>
      <c r="Y9489" s="4"/>
    </row>
    <row r="9490" spans="5:25">
      <c r="E9490"/>
      <c r="G9490"/>
      <c r="H9490"/>
      <c r="I9490"/>
      <c r="K9490"/>
      <c r="O9490"/>
      <c r="R9490"/>
      <c r="W9490" s="4"/>
      <c r="X9490" s="4"/>
      <c r="Y9490" s="4"/>
    </row>
    <row r="9491" spans="5:25">
      <c r="E9491"/>
      <c r="G9491"/>
      <c r="H9491"/>
      <c r="I9491"/>
      <c r="K9491"/>
      <c r="O9491"/>
      <c r="R9491"/>
      <c r="W9491" s="4"/>
      <c r="X9491" s="4"/>
      <c r="Y9491" s="4"/>
    </row>
    <row r="9492" spans="5:25">
      <c r="E9492"/>
      <c r="G9492"/>
      <c r="H9492"/>
      <c r="I9492"/>
      <c r="K9492"/>
      <c r="O9492"/>
      <c r="R9492"/>
      <c r="W9492" s="4"/>
      <c r="X9492" s="4"/>
      <c r="Y9492" s="4"/>
    </row>
    <row r="9493" spans="5:25">
      <c r="E9493"/>
      <c r="G9493"/>
      <c r="H9493"/>
      <c r="I9493"/>
      <c r="K9493"/>
      <c r="O9493"/>
      <c r="R9493"/>
      <c r="W9493" s="4"/>
      <c r="X9493" s="4"/>
      <c r="Y9493" s="4"/>
    </row>
    <row r="9494" spans="5:25">
      <c r="E9494"/>
      <c r="G9494"/>
      <c r="H9494"/>
      <c r="I9494"/>
      <c r="K9494"/>
      <c r="O9494"/>
      <c r="R9494"/>
      <c r="W9494" s="4"/>
      <c r="X9494" s="4"/>
      <c r="Y9494" s="4"/>
    </row>
    <row r="9495" spans="5:25">
      <c r="E9495"/>
      <c r="G9495"/>
      <c r="H9495"/>
      <c r="I9495"/>
      <c r="K9495"/>
      <c r="O9495"/>
      <c r="R9495"/>
      <c r="W9495" s="4"/>
      <c r="X9495" s="4"/>
      <c r="Y9495" s="4"/>
    </row>
    <row r="9496" spans="5:25">
      <c r="E9496"/>
      <c r="G9496"/>
      <c r="H9496"/>
      <c r="I9496"/>
      <c r="K9496"/>
      <c r="O9496"/>
      <c r="R9496"/>
      <c r="W9496" s="4"/>
      <c r="X9496" s="4"/>
      <c r="Y9496" s="4"/>
    </row>
    <row r="9497" spans="5:25">
      <c r="E9497"/>
      <c r="G9497"/>
      <c r="H9497"/>
      <c r="I9497"/>
      <c r="K9497"/>
      <c r="O9497"/>
      <c r="R9497"/>
      <c r="W9497" s="4"/>
      <c r="X9497" s="4"/>
      <c r="Y9497" s="4"/>
    </row>
    <row r="9498" spans="5:25">
      <c r="E9498"/>
      <c r="G9498"/>
      <c r="H9498"/>
      <c r="I9498"/>
      <c r="K9498"/>
      <c r="O9498"/>
      <c r="R9498"/>
      <c r="W9498" s="4"/>
      <c r="X9498" s="4"/>
      <c r="Y9498" s="4"/>
    </row>
    <row r="9499" spans="5:25">
      <c r="E9499"/>
      <c r="G9499"/>
      <c r="H9499"/>
      <c r="I9499"/>
      <c r="K9499"/>
      <c r="O9499"/>
      <c r="R9499"/>
      <c r="W9499" s="4"/>
      <c r="X9499" s="4"/>
      <c r="Y9499" s="4"/>
    </row>
    <row r="9500" spans="5:25">
      <c r="E9500"/>
      <c r="G9500"/>
      <c r="H9500"/>
      <c r="I9500"/>
      <c r="K9500"/>
      <c r="O9500"/>
      <c r="R9500"/>
      <c r="W9500" s="4"/>
      <c r="X9500" s="4"/>
      <c r="Y9500" s="4"/>
    </row>
    <row r="9501" spans="5:25">
      <c r="E9501"/>
      <c r="G9501"/>
      <c r="H9501"/>
      <c r="I9501"/>
      <c r="K9501"/>
      <c r="O9501"/>
      <c r="R9501"/>
      <c r="W9501" s="4"/>
      <c r="X9501" s="4"/>
      <c r="Y9501" s="4"/>
    </row>
    <row r="9502" spans="5:25">
      <c r="E9502"/>
      <c r="G9502"/>
      <c r="H9502"/>
      <c r="I9502"/>
      <c r="K9502"/>
      <c r="O9502"/>
      <c r="R9502"/>
      <c r="W9502" s="4"/>
      <c r="X9502" s="4"/>
      <c r="Y9502" s="4"/>
    </row>
    <row r="9503" spans="5:25">
      <c r="E9503"/>
      <c r="G9503"/>
      <c r="H9503"/>
      <c r="I9503"/>
      <c r="K9503"/>
      <c r="O9503"/>
      <c r="R9503"/>
      <c r="W9503" s="4"/>
      <c r="X9503" s="4"/>
      <c r="Y9503" s="4"/>
    </row>
    <row r="9504" spans="5:25">
      <c r="E9504"/>
      <c r="G9504"/>
      <c r="H9504"/>
      <c r="I9504"/>
      <c r="K9504"/>
      <c r="O9504"/>
      <c r="R9504"/>
      <c r="W9504" s="4"/>
      <c r="X9504" s="4"/>
      <c r="Y9504" s="4"/>
    </row>
    <row r="9505" spans="5:25">
      <c r="E9505"/>
      <c r="G9505"/>
      <c r="H9505"/>
      <c r="I9505"/>
      <c r="K9505"/>
      <c r="O9505"/>
      <c r="R9505"/>
      <c r="W9505" s="4"/>
      <c r="X9505" s="4"/>
      <c r="Y9505" s="4"/>
    </row>
    <row r="9506" spans="5:25">
      <c r="E9506"/>
      <c r="G9506"/>
      <c r="H9506"/>
      <c r="I9506"/>
      <c r="K9506"/>
      <c r="O9506"/>
      <c r="R9506"/>
      <c r="W9506" s="4"/>
      <c r="X9506" s="4"/>
      <c r="Y9506" s="4"/>
    </row>
    <row r="9507" spans="5:25">
      <c r="E9507"/>
      <c r="G9507"/>
      <c r="H9507"/>
      <c r="I9507"/>
      <c r="K9507"/>
      <c r="O9507"/>
      <c r="R9507"/>
      <c r="W9507" s="4"/>
      <c r="X9507" s="4"/>
      <c r="Y9507" s="4"/>
    </row>
    <row r="9508" spans="5:25">
      <c r="E9508"/>
      <c r="G9508"/>
      <c r="H9508"/>
      <c r="I9508"/>
      <c r="K9508"/>
      <c r="O9508"/>
      <c r="R9508"/>
      <c r="W9508" s="4"/>
      <c r="X9508" s="4"/>
      <c r="Y9508" s="4"/>
    </row>
    <row r="9509" spans="5:25">
      <c r="E9509"/>
      <c r="G9509"/>
      <c r="H9509"/>
      <c r="I9509"/>
      <c r="K9509"/>
      <c r="O9509"/>
      <c r="R9509"/>
      <c r="W9509" s="4"/>
      <c r="X9509" s="4"/>
      <c r="Y9509" s="4"/>
    </row>
    <row r="9510" spans="5:25">
      <c r="E9510"/>
      <c r="G9510"/>
      <c r="H9510"/>
      <c r="I9510"/>
      <c r="K9510"/>
      <c r="O9510"/>
      <c r="R9510"/>
      <c r="W9510" s="4"/>
      <c r="X9510" s="4"/>
      <c r="Y9510" s="4"/>
    </row>
    <row r="9511" spans="5:25">
      <c r="E9511"/>
      <c r="G9511"/>
      <c r="H9511"/>
      <c r="I9511"/>
      <c r="K9511"/>
      <c r="O9511"/>
      <c r="R9511"/>
      <c r="W9511" s="4"/>
      <c r="X9511" s="4"/>
      <c r="Y9511" s="4"/>
    </row>
    <row r="9512" spans="5:25">
      <c r="E9512"/>
      <c r="G9512"/>
      <c r="H9512"/>
      <c r="I9512"/>
      <c r="K9512"/>
      <c r="O9512"/>
      <c r="R9512"/>
      <c r="W9512" s="4"/>
      <c r="X9512" s="4"/>
      <c r="Y9512" s="4"/>
    </row>
    <row r="9513" spans="5:25">
      <c r="E9513"/>
      <c r="G9513"/>
      <c r="H9513"/>
      <c r="I9513"/>
      <c r="K9513"/>
      <c r="O9513"/>
      <c r="R9513"/>
      <c r="W9513" s="4"/>
      <c r="X9513" s="4"/>
      <c r="Y9513" s="4"/>
    </row>
    <row r="9514" spans="5:25">
      <c r="E9514"/>
      <c r="G9514"/>
      <c r="H9514"/>
      <c r="I9514"/>
      <c r="K9514"/>
      <c r="O9514"/>
      <c r="R9514"/>
      <c r="W9514" s="4"/>
      <c r="X9514" s="4"/>
      <c r="Y9514" s="4"/>
    </row>
    <row r="9515" spans="5:25">
      <c r="E9515"/>
      <c r="G9515"/>
      <c r="H9515"/>
      <c r="I9515"/>
      <c r="K9515"/>
      <c r="O9515"/>
      <c r="R9515"/>
      <c r="W9515" s="4"/>
      <c r="X9515" s="4"/>
      <c r="Y9515" s="4"/>
    </row>
    <row r="9516" spans="5:25">
      <c r="E9516"/>
      <c r="G9516"/>
      <c r="H9516"/>
      <c r="I9516"/>
      <c r="K9516"/>
      <c r="O9516"/>
      <c r="R9516"/>
      <c r="W9516" s="4"/>
      <c r="X9516" s="4"/>
      <c r="Y9516" s="4"/>
    </row>
    <row r="9517" spans="5:25">
      <c r="E9517"/>
      <c r="G9517"/>
      <c r="H9517"/>
      <c r="I9517"/>
      <c r="K9517"/>
      <c r="O9517"/>
      <c r="R9517"/>
      <c r="W9517" s="4"/>
      <c r="X9517" s="4"/>
      <c r="Y9517" s="4"/>
    </row>
    <row r="9518" spans="5:25">
      <c r="E9518"/>
      <c r="G9518"/>
      <c r="H9518"/>
      <c r="I9518"/>
      <c r="K9518"/>
      <c r="O9518"/>
      <c r="R9518"/>
      <c r="W9518" s="4"/>
      <c r="X9518" s="4"/>
      <c r="Y9518" s="4"/>
    </row>
    <row r="9519" spans="5:25">
      <c r="E9519"/>
      <c r="G9519"/>
      <c r="H9519"/>
      <c r="I9519"/>
      <c r="K9519"/>
      <c r="O9519"/>
      <c r="R9519"/>
      <c r="W9519" s="4"/>
      <c r="X9519" s="4"/>
      <c r="Y9519" s="4"/>
    </row>
    <row r="9520" spans="5:25">
      <c r="E9520"/>
      <c r="G9520"/>
      <c r="H9520"/>
      <c r="I9520"/>
      <c r="K9520"/>
      <c r="O9520"/>
      <c r="R9520"/>
      <c r="W9520" s="4"/>
      <c r="X9520" s="4"/>
      <c r="Y9520" s="4"/>
    </row>
    <row r="9521" spans="5:25">
      <c r="E9521"/>
      <c r="G9521"/>
      <c r="H9521"/>
      <c r="I9521"/>
      <c r="K9521"/>
      <c r="O9521"/>
      <c r="R9521"/>
      <c r="W9521" s="4"/>
      <c r="X9521" s="4"/>
      <c r="Y9521" s="4"/>
    </row>
    <row r="9522" spans="5:25">
      <c r="E9522"/>
      <c r="G9522"/>
      <c r="H9522"/>
      <c r="I9522"/>
      <c r="K9522"/>
      <c r="O9522"/>
      <c r="R9522"/>
      <c r="W9522" s="4"/>
      <c r="X9522" s="4"/>
      <c r="Y9522" s="4"/>
    </row>
    <row r="9523" spans="5:25">
      <c r="E9523"/>
      <c r="G9523"/>
      <c r="H9523"/>
      <c r="I9523"/>
      <c r="K9523"/>
      <c r="O9523"/>
      <c r="R9523"/>
      <c r="W9523" s="4"/>
      <c r="X9523" s="4"/>
      <c r="Y9523" s="4"/>
    </row>
    <row r="9524" spans="5:25">
      <c r="E9524"/>
      <c r="G9524"/>
      <c r="H9524"/>
      <c r="I9524"/>
      <c r="K9524"/>
      <c r="O9524"/>
      <c r="R9524"/>
      <c r="W9524" s="4"/>
      <c r="X9524" s="4"/>
      <c r="Y9524" s="4"/>
    </row>
    <row r="9525" spans="5:25">
      <c r="E9525"/>
      <c r="G9525"/>
      <c r="H9525"/>
      <c r="I9525"/>
      <c r="K9525"/>
      <c r="O9525"/>
      <c r="R9525"/>
      <c r="W9525" s="4"/>
      <c r="X9525" s="4"/>
      <c r="Y9525" s="4"/>
    </row>
    <row r="9526" spans="5:25">
      <c r="E9526"/>
      <c r="G9526"/>
      <c r="H9526"/>
      <c r="I9526"/>
      <c r="K9526"/>
      <c r="O9526"/>
      <c r="R9526"/>
      <c r="W9526" s="4"/>
      <c r="X9526" s="4"/>
      <c r="Y9526" s="4"/>
    </row>
    <row r="9527" spans="5:25">
      <c r="E9527"/>
      <c r="G9527"/>
      <c r="H9527"/>
      <c r="I9527"/>
      <c r="K9527"/>
      <c r="O9527"/>
      <c r="R9527"/>
      <c r="W9527" s="4"/>
      <c r="X9527" s="4"/>
      <c r="Y9527" s="4"/>
    </row>
    <row r="9528" spans="5:25">
      <c r="E9528"/>
      <c r="G9528"/>
      <c r="H9528"/>
      <c r="I9528"/>
      <c r="K9528"/>
      <c r="O9528"/>
      <c r="R9528"/>
      <c r="W9528" s="4"/>
      <c r="X9528" s="4"/>
      <c r="Y9528" s="4"/>
    </row>
    <row r="9529" spans="5:25">
      <c r="E9529"/>
      <c r="G9529"/>
      <c r="H9529"/>
      <c r="I9529"/>
      <c r="K9529"/>
      <c r="O9529"/>
      <c r="R9529"/>
      <c r="W9529" s="4"/>
      <c r="X9529" s="4"/>
      <c r="Y9529" s="4"/>
    </row>
    <row r="9530" spans="5:25">
      <c r="E9530"/>
      <c r="G9530"/>
      <c r="H9530"/>
      <c r="I9530"/>
      <c r="K9530"/>
      <c r="O9530"/>
      <c r="R9530"/>
      <c r="W9530" s="4"/>
      <c r="X9530" s="4"/>
      <c r="Y9530" s="4"/>
    </row>
    <row r="9531" spans="5:25">
      <c r="E9531"/>
      <c r="G9531"/>
      <c r="H9531"/>
      <c r="I9531"/>
      <c r="K9531"/>
      <c r="O9531"/>
      <c r="R9531"/>
      <c r="W9531" s="4"/>
      <c r="X9531" s="4"/>
      <c r="Y9531" s="4"/>
    </row>
    <row r="9532" spans="5:25">
      <c r="E9532"/>
      <c r="G9532"/>
      <c r="H9532"/>
      <c r="I9532"/>
      <c r="K9532"/>
      <c r="O9532"/>
      <c r="R9532"/>
      <c r="W9532" s="4"/>
      <c r="X9532" s="4"/>
      <c r="Y9532" s="4"/>
    </row>
    <row r="9533" spans="5:25">
      <c r="E9533"/>
      <c r="G9533"/>
      <c r="H9533"/>
      <c r="I9533"/>
      <c r="K9533"/>
      <c r="O9533"/>
      <c r="R9533"/>
      <c r="W9533" s="4"/>
      <c r="X9533" s="4"/>
      <c r="Y9533" s="4"/>
    </row>
    <row r="9534" spans="5:25">
      <c r="E9534"/>
      <c r="G9534"/>
      <c r="H9534"/>
      <c r="I9534"/>
      <c r="K9534"/>
      <c r="O9534"/>
      <c r="R9534"/>
      <c r="W9534" s="4"/>
      <c r="X9534" s="4"/>
      <c r="Y9534" s="4"/>
    </row>
    <row r="9535" spans="5:25">
      <c r="E9535"/>
      <c r="G9535"/>
      <c r="H9535"/>
      <c r="I9535"/>
      <c r="K9535"/>
      <c r="O9535"/>
      <c r="R9535"/>
      <c r="W9535" s="4"/>
      <c r="X9535" s="4"/>
      <c r="Y9535" s="4"/>
    </row>
    <row r="9536" spans="5:25">
      <c r="E9536"/>
      <c r="G9536"/>
      <c r="H9536"/>
      <c r="I9536"/>
      <c r="K9536"/>
      <c r="O9536"/>
      <c r="R9536"/>
      <c r="W9536" s="4"/>
      <c r="X9536" s="4"/>
      <c r="Y9536" s="4"/>
    </row>
    <row r="9537" spans="5:25">
      <c r="E9537"/>
      <c r="G9537"/>
      <c r="H9537"/>
      <c r="I9537"/>
      <c r="K9537"/>
      <c r="O9537"/>
      <c r="R9537"/>
      <c r="W9537" s="4"/>
      <c r="X9537" s="4"/>
      <c r="Y9537" s="4"/>
    </row>
    <row r="9538" spans="5:25">
      <c r="E9538"/>
      <c r="G9538"/>
      <c r="H9538"/>
      <c r="I9538"/>
      <c r="K9538"/>
      <c r="O9538"/>
      <c r="R9538"/>
      <c r="W9538" s="4"/>
      <c r="X9538" s="4"/>
      <c r="Y9538" s="4"/>
    </row>
    <row r="9539" spans="5:25">
      <c r="E9539"/>
      <c r="G9539"/>
      <c r="H9539"/>
      <c r="I9539"/>
      <c r="K9539"/>
      <c r="O9539"/>
      <c r="R9539"/>
      <c r="W9539" s="4"/>
      <c r="X9539" s="4"/>
      <c r="Y9539" s="4"/>
    </row>
    <row r="9540" spans="5:25">
      <c r="E9540"/>
      <c r="G9540"/>
      <c r="H9540"/>
      <c r="I9540"/>
      <c r="K9540"/>
      <c r="O9540"/>
      <c r="R9540"/>
      <c r="W9540" s="4"/>
      <c r="X9540" s="4"/>
      <c r="Y9540" s="4"/>
    </row>
    <row r="9541" spans="5:25">
      <c r="E9541"/>
      <c r="G9541"/>
      <c r="H9541"/>
      <c r="I9541"/>
      <c r="K9541"/>
      <c r="O9541"/>
      <c r="R9541"/>
      <c r="W9541" s="4"/>
      <c r="X9541" s="4"/>
      <c r="Y9541" s="4"/>
    </row>
    <row r="9542" spans="5:25">
      <c r="E9542"/>
      <c r="G9542"/>
      <c r="H9542"/>
      <c r="I9542"/>
      <c r="K9542"/>
      <c r="O9542"/>
      <c r="R9542"/>
      <c r="W9542" s="4"/>
      <c r="X9542" s="4"/>
      <c r="Y9542" s="4"/>
    </row>
    <row r="9543" spans="5:25">
      <c r="E9543"/>
      <c r="G9543"/>
      <c r="H9543"/>
      <c r="I9543"/>
      <c r="K9543"/>
      <c r="O9543"/>
      <c r="R9543"/>
      <c r="W9543" s="4"/>
      <c r="X9543" s="4"/>
      <c r="Y9543" s="4"/>
    </row>
    <row r="9544" spans="5:25">
      <c r="E9544"/>
      <c r="G9544"/>
      <c r="H9544"/>
      <c r="I9544"/>
      <c r="K9544"/>
      <c r="O9544"/>
      <c r="R9544"/>
      <c r="W9544" s="4"/>
      <c r="X9544" s="4"/>
      <c r="Y9544" s="4"/>
    </row>
    <row r="9545" spans="5:25">
      <c r="E9545"/>
      <c r="G9545"/>
      <c r="H9545"/>
      <c r="I9545"/>
      <c r="K9545"/>
      <c r="O9545"/>
      <c r="R9545"/>
      <c r="W9545" s="4"/>
      <c r="X9545" s="4"/>
      <c r="Y9545" s="4"/>
    </row>
    <row r="9546" spans="5:25">
      <c r="E9546"/>
      <c r="G9546"/>
      <c r="H9546"/>
      <c r="I9546"/>
      <c r="K9546"/>
      <c r="O9546"/>
      <c r="R9546"/>
      <c r="W9546" s="4"/>
      <c r="X9546" s="4"/>
      <c r="Y9546" s="4"/>
    </row>
    <row r="9547" spans="5:25">
      <c r="E9547"/>
      <c r="G9547"/>
      <c r="H9547"/>
      <c r="I9547"/>
      <c r="K9547"/>
      <c r="O9547"/>
      <c r="R9547"/>
      <c r="W9547" s="4"/>
      <c r="X9547" s="4"/>
      <c r="Y9547" s="4"/>
    </row>
    <row r="9548" spans="5:25">
      <c r="E9548"/>
      <c r="G9548"/>
      <c r="H9548"/>
      <c r="I9548"/>
      <c r="K9548"/>
      <c r="O9548"/>
      <c r="R9548"/>
      <c r="W9548" s="4"/>
      <c r="X9548" s="4"/>
      <c r="Y9548" s="4"/>
    </row>
    <row r="9549" spans="5:25">
      <c r="E9549"/>
      <c r="G9549"/>
      <c r="H9549"/>
      <c r="I9549"/>
      <c r="K9549"/>
      <c r="O9549"/>
      <c r="R9549"/>
      <c r="W9549" s="4"/>
      <c r="X9549" s="4"/>
      <c r="Y9549" s="4"/>
    </row>
    <row r="9550" spans="5:25">
      <c r="E9550"/>
      <c r="G9550"/>
      <c r="H9550"/>
      <c r="I9550"/>
      <c r="K9550"/>
      <c r="O9550"/>
      <c r="R9550"/>
      <c r="W9550" s="4"/>
      <c r="X9550" s="4"/>
      <c r="Y9550" s="4"/>
    </row>
    <row r="9551" spans="5:25">
      <c r="E9551"/>
      <c r="G9551"/>
      <c r="H9551"/>
      <c r="I9551"/>
      <c r="K9551"/>
      <c r="O9551"/>
      <c r="R9551"/>
      <c r="W9551" s="4"/>
      <c r="X9551" s="4"/>
      <c r="Y9551" s="4"/>
    </row>
    <row r="9552" spans="5:25">
      <c r="E9552"/>
      <c r="G9552"/>
      <c r="H9552"/>
      <c r="I9552"/>
      <c r="K9552"/>
      <c r="O9552"/>
      <c r="R9552"/>
      <c r="W9552" s="4"/>
      <c r="X9552" s="4"/>
      <c r="Y9552" s="4"/>
    </row>
    <row r="9553" spans="5:25">
      <c r="E9553"/>
      <c r="G9553"/>
      <c r="H9553"/>
      <c r="I9553"/>
      <c r="K9553"/>
      <c r="O9553"/>
      <c r="R9553"/>
      <c r="W9553" s="4"/>
      <c r="X9553" s="4"/>
      <c r="Y9553" s="4"/>
    </row>
    <row r="9554" spans="5:25">
      <c r="E9554"/>
      <c r="G9554"/>
      <c r="H9554"/>
      <c r="I9554"/>
      <c r="K9554"/>
      <c r="O9554"/>
      <c r="R9554"/>
      <c r="W9554" s="4"/>
      <c r="X9554" s="4"/>
      <c r="Y9554" s="4"/>
    </row>
    <row r="9555" spans="5:25">
      <c r="E9555"/>
      <c r="G9555"/>
      <c r="H9555"/>
      <c r="I9555"/>
      <c r="K9555"/>
      <c r="O9555"/>
      <c r="R9555"/>
      <c r="W9555" s="4"/>
      <c r="X9555" s="4"/>
      <c r="Y9555" s="4"/>
    </row>
    <row r="9556" spans="5:25">
      <c r="E9556"/>
      <c r="G9556"/>
      <c r="H9556"/>
      <c r="I9556"/>
      <c r="K9556"/>
      <c r="O9556"/>
      <c r="R9556"/>
      <c r="W9556" s="4"/>
      <c r="X9556" s="4"/>
      <c r="Y9556" s="4"/>
    </row>
    <row r="9557" spans="5:25">
      <c r="E9557"/>
      <c r="G9557"/>
      <c r="H9557"/>
      <c r="I9557"/>
      <c r="K9557"/>
      <c r="O9557"/>
      <c r="R9557"/>
      <c r="W9557" s="4"/>
      <c r="X9557" s="4"/>
      <c r="Y9557" s="4"/>
    </row>
    <row r="9558" spans="5:25">
      <c r="E9558"/>
      <c r="G9558"/>
      <c r="H9558"/>
      <c r="I9558"/>
      <c r="K9558"/>
      <c r="O9558"/>
      <c r="R9558"/>
      <c r="W9558" s="4"/>
      <c r="X9558" s="4"/>
      <c r="Y9558" s="4"/>
    </row>
    <row r="9559" spans="5:25">
      <c r="E9559"/>
      <c r="G9559"/>
      <c r="H9559"/>
      <c r="I9559"/>
      <c r="K9559"/>
      <c r="O9559"/>
      <c r="R9559"/>
      <c r="W9559" s="4"/>
      <c r="X9559" s="4"/>
      <c r="Y9559" s="4"/>
    </row>
    <row r="9560" spans="5:25">
      <c r="E9560"/>
      <c r="G9560"/>
      <c r="H9560"/>
      <c r="I9560"/>
      <c r="K9560"/>
      <c r="O9560"/>
      <c r="R9560"/>
      <c r="W9560" s="4"/>
      <c r="X9560" s="4"/>
      <c r="Y9560" s="4"/>
    </row>
    <row r="9561" spans="5:25">
      <c r="E9561"/>
      <c r="G9561"/>
      <c r="H9561"/>
      <c r="I9561"/>
      <c r="K9561"/>
      <c r="O9561"/>
      <c r="R9561"/>
      <c r="W9561" s="4"/>
      <c r="X9561" s="4"/>
      <c r="Y9561" s="4"/>
    </row>
    <row r="9562" spans="5:25">
      <c r="E9562"/>
      <c r="G9562"/>
      <c r="H9562"/>
      <c r="I9562"/>
      <c r="K9562"/>
      <c r="O9562"/>
      <c r="R9562"/>
      <c r="W9562" s="4"/>
      <c r="X9562" s="4"/>
      <c r="Y9562" s="4"/>
    </row>
    <row r="9563" spans="5:25">
      <c r="E9563"/>
      <c r="G9563"/>
      <c r="H9563"/>
      <c r="I9563"/>
      <c r="K9563"/>
      <c r="O9563"/>
      <c r="R9563"/>
      <c r="W9563" s="4"/>
      <c r="X9563" s="4"/>
      <c r="Y9563" s="4"/>
    </row>
    <row r="9564" spans="5:25">
      <c r="E9564"/>
      <c r="G9564"/>
      <c r="H9564"/>
      <c r="I9564"/>
      <c r="K9564"/>
      <c r="O9564"/>
      <c r="R9564"/>
      <c r="W9564" s="4"/>
      <c r="X9564" s="4"/>
      <c r="Y9564" s="4"/>
    </row>
    <row r="9565" spans="5:25">
      <c r="E9565"/>
      <c r="G9565"/>
      <c r="H9565"/>
      <c r="I9565"/>
      <c r="K9565"/>
      <c r="O9565"/>
      <c r="R9565"/>
      <c r="W9565" s="4"/>
      <c r="X9565" s="4"/>
      <c r="Y9565" s="4"/>
    </row>
    <row r="9566" spans="5:25">
      <c r="E9566"/>
      <c r="G9566"/>
      <c r="H9566"/>
      <c r="I9566"/>
      <c r="K9566"/>
      <c r="O9566"/>
      <c r="R9566"/>
      <c r="W9566" s="4"/>
      <c r="X9566" s="4"/>
      <c r="Y9566" s="4"/>
    </row>
    <row r="9567" spans="5:25">
      <c r="E9567"/>
      <c r="G9567"/>
      <c r="H9567"/>
      <c r="I9567"/>
      <c r="K9567"/>
      <c r="O9567"/>
      <c r="R9567"/>
      <c r="W9567" s="4"/>
      <c r="X9567" s="4"/>
      <c r="Y9567" s="4"/>
    </row>
    <row r="9568" spans="5:25">
      <c r="E9568"/>
      <c r="G9568"/>
      <c r="H9568"/>
      <c r="I9568"/>
      <c r="K9568"/>
      <c r="O9568"/>
      <c r="R9568"/>
      <c r="W9568" s="4"/>
      <c r="X9568" s="4"/>
      <c r="Y9568" s="4"/>
    </row>
    <row r="9569" spans="5:25">
      <c r="E9569"/>
      <c r="G9569"/>
      <c r="H9569"/>
      <c r="I9569"/>
      <c r="K9569"/>
      <c r="O9569"/>
      <c r="R9569"/>
      <c r="W9569" s="4"/>
      <c r="X9569" s="4"/>
      <c r="Y9569" s="4"/>
    </row>
    <row r="9570" spans="5:25">
      <c r="E9570"/>
      <c r="G9570"/>
      <c r="H9570"/>
      <c r="I9570"/>
      <c r="K9570"/>
      <c r="O9570"/>
      <c r="R9570"/>
      <c r="W9570" s="4"/>
      <c r="X9570" s="4"/>
      <c r="Y9570" s="4"/>
    </row>
    <row r="9571" spans="5:25">
      <c r="E9571"/>
      <c r="G9571"/>
      <c r="H9571"/>
      <c r="I9571"/>
      <c r="K9571"/>
      <c r="O9571"/>
      <c r="R9571"/>
      <c r="W9571" s="4"/>
      <c r="X9571" s="4"/>
      <c r="Y9571" s="4"/>
    </row>
    <row r="9572" spans="5:25">
      <c r="E9572"/>
      <c r="G9572"/>
      <c r="H9572"/>
      <c r="I9572"/>
      <c r="K9572"/>
      <c r="O9572"/>
      <c r="R9572"/>
      <c r="W9572" s="4"/>
      <c r="X9572" s="4"/>
      <c r="Y9572" s="4"/>
    </row>
    <row r="9573" spans="5:25">
      <c r="E9573"/>
      <c r="G9573"/>
      <c r="H9573"/>
      <c r="I9573"/>
      <c r="K9573"/>
      <c r="O9573"/>
      <c r="R9573"/>
      <c r="W9573" s="4"/>
      <c r="X9573" s="4"/>
      <c r="Y9573" s="4"/>
    </row>
    <row r="9574" spans="5:25">
      <c r="E9574"/>
      <c r="G9574"/>
      <c r="H9574"/>
      <c r="I9574"/>
      <c r="K9574"/>
      <c r="O9574"/>
      <c r="R9574"/>
      <c r="W9574" s="4"/>
      <c r="X9574" s="4"/>
      <c r="Y9574" s="4"/>
    </row>
    <row r="9575" spans="5:25">
      <c r="E9575"/>
      <c r="G9575"/>
      <c r="H9575"/>
      <c r="I9575"/>
      <c r="K9575"/>
      <c r="O9575"/>
      <c r="R9575"/>
      <c r="W9575" s="4"/>
      <c r="X9575" s="4"/>
      <c r="Y9575" s="4"/>
    </row>
    <row r="9576" spans="5:25">
      <c r="E9576"/>
      <c r="G9576"/>
      <c r="H9576"/>
      <c r="I9576"/>
      <c r="K9576"/>
      <c r="O9576"/>
      <c r="R9576"/>
      <c r="W9576" s="4"/>
      <c r="X9576" s="4"/>
      <c r="Y9576" s="4"/>
    </row>
    <row r="9577" spans="5:25">
      <c r="E9577"/>
      <c r="G9577"/>
      <c r="H9577"/>
      <c r="I9577"/>
      <c r="K9577"/>
      <c r="O9577"/>
      <c r="R9577"/>
      <c r="W9577" s="4"/>
      <c r="X9577" s="4"/>
      <c r="Y9577" s="4"/>
    </row>
    <row r="9578" spans="5:25">
      <c r="E9578"/>
      <c r="G9578"/>
      <c r="H9578"/>
      <c r="I9578"/>
      <c r="K9578"/>
      <c r="O9578"/>
      <c r="R9578"/>
      <c r="W9578" s="4"/>
      <c r="X9578" s="4"/>
      <c r="Y9578" s="4"/>
    </row>
    <row r="9579" spans="5:25">
      <c r="E9579"/>
      <c r="G9579"/>
      <c r="H9579"/>
      <c r="I9579"/>
      <c r="K9579"/>
      <c r="O9579"/>
      <c r="R9579"/>
      <c r="W9579" s="4"/>
      <c r="X9579" s="4"/>
      <c r="Y9579" s="4"/>
    </row>
    <row r="9580" spans="5:25">
      <c r="E9580"/>
      <c r="G9580"/>
      <c r="H9580"/>
      <c r="I9580"/>
      <c r="K9580"/>
      <c r="O9580"/>
      <c r="R9580"/>
      <c r="W9580" s="4"/>
      <c r="X9580" s="4"/>
      <c r="Y9580" s="4"/>
    </row>
    <row r="9581" spans="5:25">
      <c r="E9581"/>
      <c r="G9581"/>
      <c r="H9581"/>
      <c r="I9581"/>
      <c r="K9581"/>
      <c r="O9581"/>
      <c r="R9581"/>
      <c r="W9581" s="4"/>
      <c r="X9581" s="4"/>
      <c r="Y9581" s="4"/>
    </row>
    <row r="9582" spans="5:25">
      <c r="E9582"/>
      <c r="G9582"/>
      <c r="H9582"/>
      <c r="I9582"/>
      <c r="K9582"/>
      <c r="O9582"/>
      <c r="R9582"/>
      <c r="W9582" s="4"/>
      <c r="X9582" s="4"/>
      <c r="Y9582" s="4"/>
    </row>
    <row r="9583" spans="5:25">
      <c r="E9583"/>
      <c r="G9583"/>
      <c r="H9583"/>
      <c r="I9583"/>
      <c r="K9583"/>
      <c r="O9583"/>
      <c r="R9583"/>
      <c r="W9583" s="4"/>
      <c r="X9583" s="4"/>
      <c r="Y9583" s="4"/>
    </row>
    <row r="9584" spans="5:25">
      <c r="E9584"/>
      <c r="G9584"/>
      <c r="H9584"/>
      <c r="I9584"/>
      <c r="K9584"/>
      <c r="O9584"/>
      <c r="R9584"/>
      <c r="W9584" s="4"/>
      <c r="X9584" s="4"/>
      <c r="Y9584" s="4"/>
    </row>
    <row r="9585" spans="5:25">
      <c r="E9585"/>
      <c r="G9585"/>
      <c r="H9585"/>
      <c r="I9585"/>
      <c r="K9585"/>
      <c r="O9585"/>
      <c r="R9585"/>
      <c r="W9585" s="4"/>
      <c r="X9585" s="4"/>
      <c r="Y9585" s="4"/>
    </row>
    <row r="9586" spans="5:25">
      <c r="E9586"/>
      <c r="G9586"/>
      <c r="H9586"/>
      <c r="I9586"/>
      <c r="K9586"/>
      <c r="O9586"/>
      <c r="R9586"/>
      <c r="W9586" s="4"/>
      <c r="X9586" s="4"/>
      <c r="Y9586" s="4"/>
    </row>
    <row r="9587" spans="5:25">
      <c r="E9587"/>
      <c r="G9587"/>
      <c r="H9587"/>
      <c r="I9587"/>
      <c r="K9587"/>
      <c r="O9587"/>
      <c r="R9587"/>
      <c r="W9587" s="4"/>
      <c r="X9587" s="4"/>
      <c r="Y9587" s="4"/>
    </row>
    <row r="9588" spans="5:25">
      <c r="E9588"/>
      <c r="G9588"/>
      <c r="H9588"/>
      <c r="I9588"/>
      <c r="K9588"/>
      <c r="O9588"/>
      <c r="R9588"/>
      <c r="W9588" s="4"/>
      <c r="X9588" s="4"/>
      <c r="Y9588" s="4"/>
    </row>
    <row r="9589" spans="5:25">
      <c r="E9589"/>
      <c r="G9589"/>
      <c r="H9589"/>
      <c r="I9589"/>
      <c r="K9589"/>
      <c r="O9589"/>
      <c r="R9589"/>
      <c r="W9589" s="4"/>
      <c r="X9589" s="4"/>
      <c r="Y9589" s="4"/>
    </row>
    <row r="9590" spans="5:25">
      <c r="E9590"/>
      <c r="G9590"/>
      <c r="H9590"/>
      <c r="I9590"/>
      <c r="K9590"/>
      <c r="O9590"/>
      <c r="R9590"/>
      <c r="W9590" s="4"/>
      <c r="X9590" s="4"/>
      <c r="Y9590" s="4"/>
    </row>
    <row r="9591" spans="5:25">
      <c r="E9591"/>
      <c r="G9591"/>
      <c r="H9591"/>
      <c r="I9591"/>
      <c r="K9591"/>
      <c r="O9591"/>
      <c r="R9591"/>
      <c r="W9591" s="4"/>
      <c r="X9591" s="4"/>
      <c r="Y9591" s="4"/>
    </row>
    <row r="9592" spans="5:25">
      <c r="E9592"/>
      <c r="G9592"/>
      <c r="H9592"/>
      <c r="I9592"/>
      <c r="K9592"/>
      <c r="O9592"/>
      <c r="R9592"/>
      <c r="W9592" s="4"/>
      <c r="X9592" s="4"/>
      <c r="Y9592" s="4"/>
    </row>
    <row r="9593" spans="5:25">
      <c r="E9593"/>
      <c r="G9593"/>
      <c r="H9593"/>
      <c r="I9593"/>
      <c r="K9593"/>
      <c r="O9593"/>
      <c r="R9593"/>
      <c r="W9593" s="4"/>
      <c r="X9593" s="4"/>
      <c r="Y9593" s="4"/>
    </row>
    <row r="9594" spans="5:25">
      <c r="E9594"/>
      <c r="G9594"/>
      <c r="H9594"/>
      <c r="I9594"/>
      <c r="K9594"/>
      <c r="O9594"/>
      <c r="R9594"/>
      <c r="W9594" s="4"/>
      <c r="X9594" s="4"/>
      <c r="Y9594" s="4"/>
    </row>
    <row r="9595" spans="5:25">
      <c r="E9595"/>
      <c r="G9595"/>
      <c r="H9595"/>
      <c r="I9595"/>
      <c r="K9595"/>
      <c r="O9595"/>
      <c r="R9595"/>
      <c r="W9595" s="4"/>
      <c r="X9595" s="4"/>
      <c r="Y9595" s="4"/>
    </row>
    <row r="9596" spans="5:25">
      <c r="E9596"/>
      <c r="G9596"/>
      <c r="H9596"/>
      <c r="I9596"/>
      <c r="K9596"/>
      <c r="O9596"/>
      <c r="R9596"/>
      <c r="W9596" s="4"/>
      <c r="X9596" s="4"/>
      <c r="Y9596" s="4"/>
    </row>
    <row r="9597" spans="5:25">
      <c r="E9597"/>
      <c r="G9597"/>
      <c r="H9597"/>
      <c r="I9597"/>
      <c r="K9597"/>
      <c r="O9597"/>
      <c r="R9597"/>
      <c r="W9597" s="4"/>
      <c r="X9597" s="4"/>
      <c r="Y9597" s="4"/>
    </row>
    <row r="9598" spans="5:25">
      <c r="E9598"/>
      <c r="G9598"/>
      <c r="H9598"/>
      <c r="I9598"/>
      <c r="K9598"/>
      <c r="O9598"/>
      <c r="R9598"/>
      <c r="W9598" s="4"/>
      <c r="X9598" s="4"/>
      <c r="Y9598" s="4"/>
    </row>
    <row r="9599" spans="5:25">
      <c r="E9599"/>
      <c r="G9599"/>
      <c r="H9599"/>
      <c r="I9599"/>
      <c r="K9599"/>
      <c r="O9599"/>
      <c r="R9599"/>
      <c r="W9599" s="4"/>
      <c r="X9599" s="4"/>
      <c r="Y9599" s="4"/>
    </row>
    <row r="9600" spans="5:25">
      <c r="E9600"/>
      <c r="G9600"/>
      <c r="H9600"/>
      <c r="I9600"/>
      <c r="K9600"/>
      <c r="O9600"/>
      <c r="R9600"/>
      <c r="W9600" s="4"/>
      <c r="X9600" s="4"/>
      <c r="Y9600" s="4"/>
    </row>
    <row r="9601" spans="5:25">
      <c r="E9601"/>
      <c r="G9601"/>
      <c r="H9601"/>
      <c r="I9601"/>
      <c r="K9601"/>
      <c r="O9601"/>
      <c r="R9601"/>
      <c r="W9601" s="4"/>
      <c r="X9601" s="4"/>
      <c r="Y9601" s="4"/>
    </row>
    <row r="9602" spans="5:25">
      <c r="E9602"/>
      <c r="G9602"/>
      <c r="H9602"/>
      <c r="I9602"/>
      <c r="K9602"/>
      <c r="O9602"/>
      <c r="R9602"/>
      <c r="W9602" s="4"/>
      <c r="X9602" s="4"/>
      <c r="Y9602" s="4"/>
    </row>
    <row r="9603" spans="5:25">
      <c r="E9603"/>
      <c r="G9603"/>
      <c r="H9603"/>
      <c r="I9603"/>
      <c r="K9603"/>
      <c r="O9603"/>
      <c r="R9603"/>
      <c r="W9603" s="4"/>
      <c r="X9603" s="4"/>
      <c r="Y9603" s="4"/>
    </row>
    <row r="9604" spans="5:25">
      <c r="E9604"/>
      <c r="G9604"/>
      <c r="H9604"/>
      <c r="I9604"/>
      <c r="K9604"/>
      <c r="O9604"/>
      <c r="R9604"/>
      <c r="W9604" s="4"/>
      <c r="X9604" s="4"/>
      <c r="Y9604" s="4"/>
    </row>
    <row r="9605" spans="5:25">
      <c r="E9605"/>
      <c r="G9605"/>
      <c r="H9605"/>
      <c r="I9605"/>
      <c r="K9605"/>
      <c r="O9605"/>
      <c r="R9605"/>
      <c r="W9605" s="4"/>
      <c r="X9605" s="4"/>
      <c r="Y9605" s="4"/>
    </row>
    <row r="9606" spans="5:25">
      <c r="E9606"/>
      <c r="G9606"/>
      <c r="H9606"/>
      <c r="I9606"/>
      <c r="K9606"/>
      <c r="O9606"/>
      <c r="R9606"/>
      <c r="W9606" s="4"/>
      <c r="X9606" s="4"/>
      <c r="Y9606" s="4"/>
    </row>
    <row r="9607" spans="5:25">
      <c r="E9607"/>
      <c r="G9607"/>
      <c r="H9607"/>
      <c r="I9607"/>
      <c r="K9607"/>
      <c r="O9607"/>
      <c r="R9607"/>
      <c r="W9607" s="4"/>
      <c r="X9607" s="4"/>
      <c r="Y9607" s="4"/>
    </row>
    <row r="9608" spans="5:25">
      <c r="E9608"/>
      <c r="G9608"/>
      <c r="H9608"/>
      <c r="I9608"/>
      <c r="K9608"/>
      <c r="O9608"/>
      <c r="R9608"/>
      <c r="W9608" s="4"/>
      <c r="X9608" s="4"/>
      <c r="Y9608" s="4"/>
    </row>
    <row r="9609" spans="5:25">
      <c r="E9609"/>
      <c r="G9609"/>
      <c r="H9609"/>
      <c r="I9609"/>
      <c r="K9609"/>
      <c r="O9609"/>
      <c r="R9609"/>
      <c r="W9609" s="4"/>
      <c r="X9609" s="4"/>
      <c r="Y9609" s="4"/>
    </row>
    <row r="9610" spans="5:25">
      <c r="E9610"/>
      <c r="G9610"/>
      <c r="H9610"/>
      <c r="I9610"/>
      <c r="K9610"/>
      <c r="O9610"/>
      <c r="R9610"/>
      <c r="W9610" s="4"/>
      <c r="X9610" s="4"/>
      <c r="Y9610" s="4"/>
    </row>
    <row r="9611" spans="5:25">
      <c r="E9611"/>
      <c r="G9611"/>
      <c r="H9611"/>
      <c r="I9611"/>
      <c r="K9611"/>
      <c r="O9611"/>
      <c r="R9611"/>
      <c r="W9611" s="4"/>
      <c r="X9611" s="4"/>
      <c r="Y9611" s="4"/>
    </row>
    <row r="9612" spans="5:25">
      <c r="E9612"/>
      <c r="G9612"/>
      <c r="H9612"/>
      <c r="I9612"/>
      <c r="K9612"/>
      <c r="O9612"/>
      <c r="R9612"/>
      <c r="W9612" s="4"/>
      <c r="X9612" s="4"/>
      <c r="Y9612" s="4"/>
    </row>
    <row r="9613" spans="5:25">
      <c r="E9613"/>
      <c r="G9613"/>
      <c r="H9613"/>
      <c r="I9613"/>
      <c r="K9613"/>
      <c r="O9613"/>
      <c r="R9613"/>
      <c r="W9613" s="4"/>
      <c r="X9613" s="4"/>
      <c r="Y9613" s="4"/>
    </row>
    <row r="9614" spans="5:25">
      <c r="E9614"/>
      <c r="G9614"/>
      <c r="H9614"/>
      <c r="I9614"/>
      <c r="K9614"/>
      <c r="O9614"/>
      <c r="R9614"/>
      <c r="W9614" s="4"/>
      <c r="X9614" s="4"/>
      <c r="Y9614" s="4"/>
    </row>
    <row r="9615" spans="5:25">
      <c r="E9615"/>
      <c r="G9615"/>
      <c r="H9615"/>
      <c r="I9615"/>
      <c r="K9615"/>
      <c r="O9615"/>
      <c r="R9615"/>
      <c r="W9615" s="4"/>
      <c r="X9615" s="4"/>
      <c r="Y9615" s="4"/>
    </row>
    <row r="9616" spans="5:25">
      <c r="E9616"/>
      <c r="G9616"/>
      <c r="H9616"/>
      <c r="I9616"/>
      <c r="K9616"/>
      <c r="O9616"/>
      <c r="R9616"/>
      <c r="W9616" s="4"/>
      <c r="X9616" s="4"/>
      <c r="Y9616" s="4"/>
    </row>
    <row r="9617" spans="5:25">
      <c r="E9617"/>
      <c r="G9617"/>
      <c r="H9617"/>
      <c r="I9617"/>
      <c r="K9617"/>
      <c r="O9617"/>
      <c r="R9617"/>
      <c r="W9617" s="4"/>
      <c r="X9617" s="4"/>
      <c r="Y9617" s="4"/>
    </row>
    <row r="9618" spans="5:25">
      <c r="E9618"/>
      <c r="G9618"/>
      <c r="H9618"/>
      <c r="I9618"/>
      <c r="K9618"/>
      <c r="O9618"/>
      <c r="R9618"/>
      <c r="W9618" s="4"/>
      <c r="X9618" s="4"/>
      <c r="Y9618" s="4"/>
    </row>
    <row r="9619" spans="5:25">
      <c r="E9619"/>
      <c r="G9619"/>
      <c r="H9619"/>
      <c r="I9619"/>
      <c r="K9619"/>
      <c r="O9619"/>
      <c r="R9619"/>
      <c r="W9619" s="4"/>
      <c r="X9619" s="4"/>
      <c r="Y9619" s="4"/>
    </row>
    <row r="9620" spans="5:25">
      <c r="E9620"/>
      <c r="G9620"/>
      <c r="H9620"/>
      <c r="I9620"/>
      <c r="K9620"/>
      <c r="O9620"/>
      <c r="R9620"/>
      <c r="W9620" s="4"/>
      <c r="X9620" s="4"/>
      <c r="Y9620" s="4"/>
    </row>
    <row r="9621" spans="5:25">
      <c r="E9621"/>
      <c r="G9621"/>
      <c r="H9621"/>
      <c r="I9621"/>
      <c r="K9621"/>
      <c r="O9621"/>
      <c r="R9621"/>
      <c r="W9621" s="4"/>
      <c r="X9621" s="4"/>
      <c r="Y9621" s="4"/>
    </row>
    <row r="9622" spans="5:25">
      <c r="E9622"/>
      <c r="G9622"/>
      <c r="H9622"/>
      <c r="I9622"/>
      <c r="K9622"/>
      <c r="O9622"/>
      <c r="R9622"/>
      <c r="W9622" s="4"/>
      <c r="X9622" s="4"/>
      <c r="Y9622" s="4"/>
    </row>
    <row r="9623" spans="5:25">
      <c r="E9623"/>
      <c r="G9623"/>
      <c r="H9623"/>
      <c r="I9623"/>
      <c r="K9623"/>
      <c r="O9623"/>
      <c r="R9623"/>
      <c r="W9623" s="4"/>
      <c r="X9623" s="4"/>
      <c r="Y9623" s="4"/>
    </row>
    <row r="9624" spans="5:25">
      <c r="E9624"/>
      <c r="G9624"/>
      <c r="H9624"/>
      <c r="I9624"/>
      <c r="K9624"/>
      <c r="O9624"/>
      <c r="R9624"/>
      <c r="W9624" s="4"/>
      <c r="X9624" s="4"/>
      <c r="Y9624" s="4"/>
    </row>
    <row r="9625" spans="5:25">
      <c r="E9625"/>
      <c r="G9625"/>
      <c r="H9625"/>
      <c r="I9625"/>
      <c r="K9625"/>
      <c r="O9625"/>
      <c r="R9625"/>
      <c r="W9625" s="4"/>
      <c r="X9625" s="4"/>
      <c r="Y9625" s="4"/>
    </row>
    <row r="9626" spans="5:25">
      <c r="E9626"/>
      <c r="G9626"/>
      <c r="H9626"/>
      <c r="I9626"/>
      <c r="K9626"/>
      <c r="O9626"/>
      <c r="R9626"/>
      <c r="W9626" s="4"/>
      <c r="X9626" s="4"/>
      <c r="Y9626" s="4"/>
    </row>
    <row r="9627" spans="5:25">
      <c r="E9627"/>
      <c r="G9627"/>
      <c r="H9627"/>
      <c r="I9627"/>
      <c r="K9627"/>
      <c r="O9627"/>
      <c r="R9627"/>
      <c r="W9627" s="4"/>
      <c r="X9627" s="4"/>
      <c r="Y9627" s="4"/>
    </row>
    <row r="9628" spans="5:25">
      <c r="E9628"/>
      <c r="G9628"/>
      <c r="H9628"/>
      <c r="I9628"/>
      <c r="K9628"/>
      <c r="O9628"/>
      <c r="R9628"/>
      <c r="W9628" s="4"/>
      <c r="X9628" s="4"/>
      <c r="Y9628" s="4"/>
    </row>
    <row r="9629" spans="5:25">
      <c r="E9629"/>
      <c r="G9629"/>
      <c r="H9629"/>
      <c r="I9629"/>
      <c r="K9629"/>
      <c r="O9629"/>
      <c r="R9629"/>
      <c r="W9629" s="4"/>
      <c r="X9629" s="4"/>
      <c r="Y9629" s="4"/>
    </row>
    <row r="9630" spans="5:25">
      <c r="E9630"/>
      <c r="G9630"/>
      <c r="H9630"/>
      <c r="I9630"/>
      <c r="K9630"/>
      <c r="O9630"/>
      <c r="R9630"/>
      <c r="W9630" s="4"/>
      <c r="X9630" s="4"/>
      <c r="Y9630" s="4"/>
    </row>
    <row r="9631" spans="5:25">
      <c r="E9631"/>
      <c r="G9631"/>
      <c r="H9631"/>
      <c r="I9631"/>
      <c r="K9631"/>
      <c r="O9631"/>
      <c r="R9631"/>
      <c r="W9631" s="4"/>
      <c r="X9631" s="4"/>
      <c r="Y9631" s="4"/>
    </row>
    <row r="9632" spans="5:25">
      <c r="E9632"/>
      <c r="G9632"/>
      <c r="H9632"/>
      <c r="I9632"/>
      <c r="K9632"/>
      <c r="O9632"/>
      <c r="R9632"/>
      <c r="W9632" s="4"/>
      <c r="X9632" s="4"/>
      <c r="Y9632" s="4"/>
    </row>
    <row r="9633" spans="5:25">
      <c r="E9633"/>
      <c r="G9633"/>
      <c r="H9633"/>
      <c r="I9633"/>
      <c r="K9633"/>
      <c r="O9633"/>
      <c r="R9633"/>
      <c r="W9633" s="4"/>
      <c r="X9633" s="4"/>
      <c r="Y9633" s="4"/>
    </row>
    <row r="9634" spans="5:25">
      <c r="E9634"/>
      <c r="G9634"/>
      <c r="H9634"/>
      <c r="I9634"/>
      <c r="K9634"/>
      <c r="O9634"/>
      <c r="R9634"/>
      <c r="W9634" s="4"/>
      <c r="X9634" s="4"/>
      <c r="Y9634" s="4"/>
    </row>
    <row r="9635" spans="5:25">
      <c r="E9635"/>
      <c r="G9635"/>
      <c r="H9635"/>
      <c r="I9635"/>
      <c r="K9635"/>
      <c r="O9635"/>
      <c r="R9635"/>
      <c r="W9635" s="4"/>
      <c r="X9635" s="4"/>
      <c r="Y9635" s="4"/>
    </row>
    <row r="9636" spans="5:25">
      <c r="E9636"/>
      <c r="G9636"/>
      <c r="H9636"/>
      <c r="I9636"/>
      <c r="K9636"/>
      <c r="O9636"/>
      <c r="R9636"/>
      <c r="W9636" s="4"/>
      <c r="X9636" s="4"/>
      <c r="Y9636" s="4"/>
    </row>
    <row r="9637" spans="5:25">
      <c r="E9637"/>
      <c r="G9637"/>
      <c r="H9637"/>
      <c r="I9637"/>
      <c r="K9637"/>
      <c r="O9637"/>
      <c r="R9637"/>
      <c r="W9637" s="4"/>
      <c r="X9637" s="4"/>
      <c r="Y9637" s="4"/>
    </row>
    <row r="9638" spans="5:25">
      <c r="E9638"/>
      <c r="G9638"/>
      <c r="H9638"/>
      <c r="I9638"/>
      <c r="K9638"/>
      <c r="O9638"/>
      <c r="R9638"/>
      <c r="W9638" s="4"/>
      <c r="X9638" s="4"/>
      <c r="Y9638" s="4"/>
    </row>
    <row r="9639" spans="5:25">
      <c r="E9639"/>
      <c r="G9639"/>
      <c r="H9639"/>
      <c r="I9639"/>
      <c r="K9639"/>
      <c r="O9639"/>
      <c r="R9639"/>
      <c r="W9639" s="4"/>
      <c r="X9639" s="4"/>
      <c r="Y9639" s="4"/>
    </row>
    <row r="9640" spans="5:25">
      <c r="E9640"/>
      <c r="G9640"/>
      <c r="H9640"/>
      <c r="I9640"/>
      <c r="K9640"/>
      <c r="O9640"/>
      <c r="R9640"/>
      <c r="W9640" s="4"/>
      <c r="X9640" s="4"/>
      <c r="Y9640" s="4"/>
    </row>
    <row r="9641" spans="5:25">
      <c r="E9641"/>
      <c r="G9641"/>
      <c r="H9641"/>
      <c r="I9641"/>
      <c r="K9641"/>
      <c r="O9641"/>
      <c r="R9641"/>
      <c r="W9641" s="4"/>
      <c r="X9641" s="4"/>
      <c r="Y9641" s="4"/>
    </row>
    <row r="9642" spans="5:25">
      <c r="E9642"/>
      <c r="G9642"/>
      <c r="H9642"/>
      <c r="I9642"/>
      <c r="K9642"/>
      <c r="O9642"/>
      <c r="R9642"/>
      <c r="W9642" s="4"/>
      <c r="X9642" s="4"/>
      <c r="Y9642" s="4"/>
    </row>
    <row r="9643" spans="5:25">
      <c r="E9643"/>
      <c r="G9643"/>
      <c r="H9643"/>
      <c r="I9643"/>
      <c r="K9643"/>
      <c r="O9643"/>
      <c r="R9643"/>
      <c r="W9643" s="4"/>
      <c r="X9643" s="4"/>
      <c r="Y9643" s="4"/>
    </row>
    <row r="9644" spans="5:25">
      <c r="E9644"/>
      <c r="G9644"/>
      <c r="H9644"/>
      <c r="I9644"/>
      <c r="K9644"/>
      <c r="O9644"/>
      <c r="R9644"/>
      <c r="W9644" s="4"/>
      <c r="X9644" s="4"/>
      <c r="Y9644" s="4"/>
    </row>
    <row r="9645" spans="5:25">
      <c r="E9645"/>
      <c r="G9645"/>
      <c r="H9645"/>
      <c r="I9645"/>
      <c r="K9645"/>
      <c r="O9645"/>
      <c r="R9645"/>
      <c r="W9645" s="4"/>
      <c r="X9645" s="4"/>
      <c r="Y9645" s="4"/>
    </row>
    <row r="9646" spans="5:25">
      <c r="E9646"/>
      <c r="G9646"/>
      <c r="H9646"/>
      <c r="I9646"/>
      <c r="K9646"/>
      <c r="O9646"/>
      <c r="R9646"/>
      <c r="W9646" s="4"/>
      <c r="X9646" s="4"/>
      <c r="Y9646" s="4"/>
    </row>
    <row r="9647" spans="5:25">
      <c r="E9647"/>
      <c r="G9647"/>
      <c r="H9647"/>
      <c r="I9647"/>
      <c r="K9647"/>
      <c r="O9647"/>
      <c r="R9647"/>
      <c r="W9647" s="4"/>
      <c r="X9647" s="4"/>
      <c r="Y9647" s="4"/>
    </row>
    <row r="9648" spans="5:25">
      <c r="E9648"/>
      <c r="G9648"/>
      <c r="H9648"/>
      <c r="I9648"/>
      <c r="K9648"/>
      <c r="O9648"/>
      <c r="R9648"/>
      <c r="W9648" s="4"/>
      <c r="X9648" s="4"/>
      <c r="Y9648" s="4"/>
    </row>
    <row r="9649" spans="5:25">
      <c r="E9649"/>
      <c r="G9649"/>
      <c r="H9649"/>
      <c r="I9649"/>
      <c r="K9649"/>
      <c r="O9649"/>
      <c r="R9649"/>
      <c r="W9649" s="4"/>
      <c r="X9649" s="4"/>
      <c r="Y9649" s="4"/>
    </row>
    <row r="9650" spans="5:25">
      <c r="E9650"/>
      <c r="G9650"/>
      <c r="H9650"/>
      <c r="I9650"/>
      <c r="K9650"/>
      <c r="O9650"/>
      <c r="R9650"/>
      <c r="W9650" s="4"/>
      <c r="X9650" s="4"/>
      <c r="Y9650" s="4"/>
    </row>
    <row r="9651" spans="5:25">
      <c r="E9651"/>
      <c r="G9651"/>
      <c r="H9651"/>
      <c r="I9651"/>
      <c r="K9651"/>
      <c r="O9651"/>
      <c r="R9651"/>
      <c r="W9651" s="4"/>
      <c r="X9651" s="4"/>
      <c r="Y9651" s="4"/>
    </row>
    <row r="9652" spans="5:25">
      <c r="E9652"/>
      <c r="G9652"/>
      <c r="H9652"/>
      <c r="I9652"/>
      <c r="K9652"/>
      <c r="O9652"/>
      <c r="R9652"/>
      <c r="W9652" s="4"/>
      <c r="X9652" s="4"/>
      <c r="Y9652" s="4"/>
    </row>
    <row r="9653" spans="5:25">
      <c r="E9653"/>
      <c r="G9653"/>
      <c r="H9653"/>
      <c r="I9653"/>
      <c r="K9653"/>
      <c r="O9653"/>
      <c r="R9653"/>
      <c r="W9653" s="4"/>
      <c r="X9653" s="4"/>
      <c r="Y9653" s="4"/>
    </row>
    <row r="9654" spans="5:25">
      <c r="E9654"/>
      <c r="G9654"/>
      <c r="H9654"/>
      <c r="I9654"/>
      <c r="K9654"/>
      <c r="O9654"/>
      <c r="R9654"/>
      <c r="W9654" s="4"/>
      <c r="X9654" s="4"/>
      <c r="Y9654" s="4"/>
    </row>
    <row r="9655" spans="5:25">
      <c r="E9655"/>
      <c r="G9655"/>
      <c r="H9655"/>
      <c r="I9655"/>
      <c r="K9655"/>
      <c r="O9655"/>
      <c r="R9655"/>
      <c r="W9655" s="4"/>
      <c r="X9655" s="4"/>
      <c r="Y9655" s="4"/>
    </row>
    <row r="9656" spans="5:25">
      <c r="E9656"/>
      <c r="G9656"/>
      <c r="H9656"/>
      <c r="I9656"/>
      <c r="K9656"/>
      <c r="O9656"/>
      <c r="R9656"/>
      <c r="W9656" s="4"/>
      <c r="X9656" s="4"/>
      <c r="Y9656" s="4"/>
    </row>
    <row r="9657" spans="5:25">
      <c r="E9657"/>
      <c r="G9657"/>
      <c r="H9657"/>
      <c r="I9657"/>
      <c r="K9657"/>
      <c r="O9657"/>
      <c r="R9657"/>
      <c r="W9657" s="4"/>
      <c r="X9657" s="4"/>
      <c r="Y9657" s="4"/>
    </row>
    <row r="9658" spans="5:25">
      <c r="E9658"/>
      <c r="G9658"/>
      <c r="H9658"/>
      <c r="I9658"/>
      <c r="K9658"/>
      <c r="O9658"/>
      <c r="R9658"/>
      <c r="W9658" s="4"/>
      <c r="X9658" s="4"/>
      <c r="Y9658" s="4"/>
    </row>
    <row r="9659" spans="5:25">
      <c r="E9659"/>
      <c r="G9659"/>
      <c r="H9659"/>
      <c r="I9659"/>
      <c r="K9659"/>
      <c r="O9659"/>
      <c r="R9659"/>
      <c r="W9659" s="4"/>
      <c r="X9659" s="4"/>
      <c r="Y9659" s="4"/>
    </row>
    <row r="9660" spans="5:25">
      <c r="E9660"/>
      <c r="G9660"/>
      <c r="H9660"/>
      <c r="I9660"/>
      <c r="K9660"/>
      <c r="O9660"/>
      <c r="R9660"/>
      <c r="W9660" s="4"/>
      <c r="X9660" s="4"/>
      <c r="Y9660" s="4"/>
    </row>
    <row r="9661" spans="5:25">
      <c r="E9661"/>
      <c r="G9661"/>
      <c r="H9661"/>
      <c r="I9661"/>
      <c r="K9661"/>
      <c r="O9661"/>
      <c r="R9661"/>
      <c r="W9661" s="4"/>
      <c r="X9661" s="4"/>
      <c r="Y9661" s="4"/>
    </row>
    <row r="9662" spans="5:25">
      <c r="E9662"/>
      <c r="G9662"/>
      <c r="H9662"/>
      <c r="I9662"/>
      <c r="K9662"/>
      <c r="O9662"/>
      <c r="R9662"/>
      <c r="W9662" s="4"/>
      <c r="X9662" s="4"/>
      <c r="Y9662" s="4"/>
    </row>
    <row r="9663" spans="5:25">
      <c r="E9663"/>
      <c r="G9663"/>
      <c r="H9663"/>
      <c r="I9663"/>
      <c r="K9663"/>
      <c r="O9663"/>
      <c r="R9663"/>
      <c r="W9663" s="4"/>
      <c r="X9663" s="4"/>
      <c r="Y9663" s="4"/>
    </row>
    <row r="9664" spans="5:25">
      <c r="E9664"/>
      <c r="G9664"/>
      <c r="H9664"/>
      <c r="I9664"/>
      <c r="K9664"/>
      <c r="O9664"/>
      <c r="R9664"/>
      <c r="W9664" s="4"/>
      <c r="X9664" s="4"/>
      <c r="Y9664" s="4"/>
    </row>
    <row r="9665" spans="5:25">
      <c r="E9665"/>
      <c r="G9665"/>
      <c r="H9665"/>
      <c r="I9665"/>
      <c r="K9665"/>
      <c r="O9665"/>
      <c r="R9665"/>
      <c r="W9665" s="4"/>
      <c r="X9665" s="4"/>
      <c r="Y9665" s="4"/>
    </row>
    <row r="9666" spans="5:25">
      <c r="E9666"/>
      <c r="G9666"/>
      <c r="H9666"/>
      <c r="I9666"/>
      <c r="K9666"/>
      <c r="O9666"/>
      <c r="R9666"/>
      <c r="W9666" s="4"/>
      <c r="X9666" s="4"/>
      <c r="Y9666" s="4"/>
    </row>
    <row r="9667" spans="5:25">
      <c r="E9667"/>
      <c r="G9667"/>
      <c r="H9667"/>
      <c r="I9667"/>
      <c r="K9667"/>
      <c r="O9667"/>
      <c r="R9667"/>
      <c r="W9667" s="4"/>
      <c r="X9667" s="4"/>
      <c r="Y9667" s="4"/>
    </row>
    <row r="9668" spans="5:25">
      <c r="E9668"/>
      <c r="G9668"/>
      <c r="H9668"/>
      <c r="I9668"/>
      <c r="K9668"/>
      <c r="O9668"/>
      <c r="R9668"/>
      <c r="W9668" s="4"/>
      <c r="X9668" s="4"/>
      <c r="Y9668" s="4"/>
    </row>
    <row r="9669" spans="5:25">
      <c r="E9669"/>
      <c r="G9669"/>
      <c r="H9669"/>
      <c r="I9669"/>
      <c r="K9669"/>
      <c r="O9669"/>
      <c r="R9669"/>
      <c r="W9669" s="4"/>
      <c r="X9669" s="4"/>
      <c r="Y9669" s="4"/>
    </row>
    <row r="9670" spans="5:25">
      <c r="E9670"/>
      <c r="G9670"/>
      <c r="H9670"/>
      <c r="I9670"/>
      <c r="K9670"/>
      <c r="O9670"/>
      <c r="R9670"/>
      <c r="W9670" s="4"/>
      <c r="X9670" s="4"/>
      <c r="Y9670" s="4"/>
    </row>
    <row r="9671" spans="5:25">
      <c r="E9671"/>
      <c r="G9671"/>
      <c r="H9671"/>
      <c r="I9671"/>
      <c r="K9671"/>
      <c r="O9671"/>
      <c r="R9671"/>
      <c r="W9671" s="4"/>
      <c r="X9671" s="4"/>
      <c r="Y9671" s="4"/>
    </row>
    <row r="9672" spans="5:25">
      <c r="E9672"/>
      <c r="G9672"/>
      <c r="H9672"/>
      <c r="I9672"/>
      <c r="K9672"/>
      <c r="O9672"/>
      <c r="R9672"/>
      <c r="W9672" s="4"/>
      <c r="X9672" s="4"/>
      <c r="Y9672" s="4"/>
    </row>
    <row r="9673" spans="5:25">
      <c r="E9673"/>
      <c r="G9673"/>
      <c r="H9673"/>
      <c r="I9673"/>
      <c r="K9673"/>
      <c r="O9673"/>
      <c r="R9673"/>
      <c r="W9673" s="4"/>
      <c r="X9673" s="4"/>
      <c r="Y9673" s="4"/>
    </row>
    <row r="9674" spans="5:25">
      <c r="E9674"/>
      <c r="G9674"/>
      <c r="H9674"/>
      <c r="I9674"/>
      <c r="K9674"/>
      <c r="O9674"/>
      <c r="R9674"/>
      <c r="W9674" s="4"/>
      <c r="X9674" s="4"/>
      <c r="Y9674" s="4"/>
    </row>
    <row r="9675" spans="5:25">
      <c r="E9675"/>
      <c r="G9675"/>
      <c r="H9675"/>
      <c r="I9675"/>
      <c r="K9675"/>
      <c r="O9675"/>
      <c r="R9675"/>
      <c r="W9675" s="4"/>
      <c r="X9675" s="4"/>
      <c r="Y9675" s="4"/>
    </row>
    <row r="9676" spans="5:25">
      <c r="E9676"/>
      <c r="G9676"/>
      <c r="H9676"/>
      <c r="I9676"/>
      <c r="K9676"/>
      <c r="O9676"/>
      <c r="R9676"/>
      <c r="W9676" s="4"/>
      <c r="X9676" s="4"/>
      <c r="Y9676" s="4"/>
    </row>
    <row r="9677" spans="5:25">
      <c r="E9677"/>
      <c r="G9677"/>
      <c r="H9677"/>
      <c r="I9677"/>
      <c r="K9677"/>
      <c r="O9677"/>
      <c r="R9677"/>
      <c r="W9677" s="4"/>
      <c r="X9677" s="4"/>
      <c r="Y9677" s="4"/>
    </row>
    <row r="9678" spans="5:25">
      <c r="E9678"/>
      <c r="G9678"/>
      <c r="H9678"/>
      <c r="I9678"/>
      <c r="K9678"/>
      <c r="O9678"/>
      <c r="R9678"/>
      <c r="W9678" s="4"/>
      <c r="X9678" s="4"/>
      <c r="Y9678" s="4"/>
    </row>
    <row r="9679" spans="5:25">
      <c r="E9679"/>
      <c r="G9679"/>
      <c r="H9679"/>
      <c r="I9679"/>
      <c r="K9679"/>
      <c r="O9679"/>
      <c r="R9679"/>
      <c r="W9679" s="4"/>
      <c r="X9679" s="4"/>
      <c r="Y9679" s="4"/>
    </row>
    <row r="9680" spans="5:25">
      <c r="E9680"/>
      <c r="G9680"/>
      <c r="H9680"/>
      <c r="I9680"/>
      <c r="K9680"/>
      <c r="O9680"/>
      <c r="R9680"/>
      <c r="W9680" s="4"/>
      <c r="X9680" s="4"/>
      <c r="Y9680" s="4"/>
    </row>
    <row r="9681" spans="5:25">
      <c r="E9681"/>
      <c r="G9681"/>
      <c r="H9681"/>
      <c r="I9681"/>
      <c r="K9681"/>
      <c r="O9681"/>
      <c r="R9681"/>
      <c r="W9681" s="4"/>
      <c r="X9681" s="4"/>
      <c r="Y9681" s="4"/>
    </row>
    <row r="9682" spans="5:25">
      <c r="E9682"/>
      <c r="G9682"/>
      <c r="H9682"/>
      <c r="I9682"/>
      <c r="K9682"/>
      <c r="O9682"/>
      <c r="R9682"/>
      <c r="W9682" s="4"/>
      <c r="X9682" s="4"/>
      <c r="Y9682" s="4"/>
    </row>
    <row r="9683" spans="5:25">
      <c r="E9683"/>
      <c r="G9683"/>
      <c r="H9683"/>
      <c r="I9683"/>
      <c r="K9683"/>
      <c r="O9683"/>
      <c r="R9683"/>
      <c r="W9683" s="4"/>
      <c r="X9683" s="4"/>
      <c r="Y9683" s="4"/>
    </row>
    <row r="9684" spans="5:25">
      <c r="E9684"/>
      <c r="G9684"/>
      <c r="H9684"/>
      <c r="I9684"/>
      <c r="K9684"/>
      <c r="O9684"/>
      <c r="R9684"/>
      <c r="W9684" s="4"/>
      <c r="X9684" s="4"/>
      <c r="Y9684" s="4"/>
    </row>
    <row r="9685" spans="5:25">
      <c r="E9685"/>
      <c r="G9685"/>
      <c r="H9685"/>
      <c r="I9685"/>
      <c r="K9685"/>
      <c r="O9685"/>
      <c r="R9685"/>
      <c r="W9685" s="4"/>
      <c r="X9685" s="4"/>
      <c r="Y9685" s="4"/>
    </row>
    <row r="9686" spans="5:25">
      <c r="E9686"/>
      <c r="G9686"/>
      <c r="H9686"/>
      <c r="I9686"/>
      <c r="K9686"/>
      <c r="O9686"/>
      <c r="R9686"/>
      <c r="W9686" s="4"/>
      <c r="X9686" s="4"/>
      <c r="Y9686" s="4"/>
    </row>
    <row r="9687" spans="5:25">
      <c r="E9687"/>
      <c r="G9687"/>
      <c r="H9687"/>
      <c r="I9687"/>
      <c r="K9687"/>
      <c r="O9687"/>
      <c r="R9687"/>
      <c r="W9687" s="4"/>
      <c r="X9687" s="4"/>
      <c r="Y9687" s="4"/>
    </row>
    <row r="9688" spans="5:25">
      <c r="E9688"/>
      <c r="G9688"/>
      <c r="H9688"/>
      <c r="I9688"/>
      <c r="K9688"/>
      <c r="O9688"/>
      <c r="R9688"/>
      <c r="W9688" s="4"/>
      <c r="X9688" s="4"/>
      <c r="Y9688" s="4"/>
    </row>
    <row r="9689" spans="5:25">
      <c r="E9689"/>
      <c r="G9689"/>
      <c r="H9689"/>
      <c r="I9689"/>
      <c r="K9689"/>
      <c r="O9689"/>
      <c r="R9689"/>
      <c r="W9689" s="4"/>
      <c r="X9689" s="4"/>
      <c r="Y9689" s="4"/>
    </row>
    <row r="9690" spans="5:25">
      <c r="E9690"/>
      <c r="G9690"/>
      <c r="H9690"/>
      <c r="I9690"/>
      <c r="K9690"/>
      <c r="O9690"/>
      <c r="R9690"/>
      <c r="W9690" s="4"/>
      <c r="X9690" s="4"/>
      <c r="Y9690" s="4"/>
    </row>
    <row r="9691" spans="5:25">
      <c r="E9691"/>
      <c r="G9691"/>
      <c r="H9691"/>
      <c r="I9691"/>
      <c r="K9691"/>
      <c r="O9691"/>
      <c r="R9691"/>
      <c r="W9691" s="4"/>
      <c r="X9691" s="4"/>
      <c r="Y9691" s="4"/>
    </row>
    <row r="9692" spans="5:25">
      <c r="E9692"/>
      <c r="G9692"/>
      <c r="H9692"/>
      <c r="I9692"/>
      <c r="K9692"/>
      <c r="O9692"/>
      <c r="R9692"/>
      <c r="W9692" s="4"/>
      <c r="X9692" s="4"/>
      <c r="Y9692" s="4"/>
    </row>
    <row r="9693" spans="5:25">
      <c r="E9693"/>
      <c r="G9693"/>
      <c r="H9693"/>
      <c r="I9693"/>
      <c r="K9693"/>
      <c r="O9693"/>
      <c r="R9693"/>
      <c r="W9693" s="4"/>
      <c r="X9693" s="4"/>
      <c r="Y9693" s="4"/>
    </row>
    <row r="9694" spans="5:25">
      <c r="E9694"/>
      <c r="G9694"/>
      <c r="H9694"/>
      <c r="I9694"/>
      <c r="K9694"/>
      <c r="O9694"/>
      <c r="R9694"/>
      <c r="W9694" s="4"/>
      <c r="X9694" s="4"/>
      <c r="Y9694" s="4"/>
    </row>
    <row r="9695" spans="5:25">
      <c r="E9695"/>
      <c r="G9695"/>
      <c r="H9695"/>
      <c r="I9695"/>
      <c r="K9695"/>
      <c r="O9695"/>
      <c r="R9695"/>
      <c r="W9695" s="4"/>
      <c r="X9695" s="4"/>
      <c r="Y9695" s="4"/>
    </row>
    <row r="9696" spans="5:25">
      <c r="E9696"/>
      <c r="G9696"/>
      <c r="H9696"/>
      <c r="I9696"/>
      <c r="K9696"/>
      <c r="O9696"/>
      <c r="R9696"/>
      <c r="W9696" s="4"/>
      <c r="X9696" s="4"/>
      <c r="Y9696" s="4"/>
    </row>
    <row r="9697" spans="5:25">
      <c r="E9697"/>
      <c r="G9697"/>
      <c r="H9697"/>
      <c r="I9697"/>
      <c r="K9697"/>
      <c r="O9697"/>
      <c r="R9697"/>
      <c r="W9697" s="4"/>
      <c r="X9697" s="4"/>
      <c r="Y9697" s="4"/>
    </row>
    <row r="9698" spans="5:25">
      <c r="E9698"/>
      <c r="G9698"/>
      <c r="H9698"/>
      <c r="I9698"/>
      <c r="K9698"/>
      <c r="O9698"/>
      <c r="R9698"/>
      <c r="W9698" s="4"/>
      <c r="X9698" s="4"/>
      <c r="Y9698" s="4"/>
    </row>
    <row r="9699" spans="5:25">
      <c r="E9699"/>
      <c r="G9699"/>
      <c r="H9699"/>
      <c r="I9699"/>
      <c r="K9699"/>
      <c r="O9699"/>
      <c r="R9699"/>
      <c r="W9699" s="4"/>
      <c r="X9699" s="4"/>
      <c r="Y9699" s="4"/>
    </row>
    <row r="9700" spans="5:25">
      <c r="E9700"/>
      <c r="G9700"/>
      <c r="H9700"/>
      <c r="I9700"/>
      <c r="K9700"/>
      <c r="O9700"/>
      <c r="R9700"/>
      <c r="W9700" s="4"/>
      <c r="X9700" s="4"/>
      <c r="Y9700" s="4"/>
    </row>
    <row r="9701" spans="5:25">
      <c r="E9701"/>
      <c r="G9701"/>
      <c r="H9701"/>
      <c r="I9701"/>
      <c r="K9701"/>
      <c r="O9701"/>
      <c r="R9701"/>
      <c r="W9701" s="4"/>
      <c r="X9701" s="4"/>
      <c r="Y9701" s="4"/>
    </row>
    <row r="9702" spans="5:25">
      <c r="E9702"/>
      <c r="G9702"/>
      <c r="H9702"/>
      <c r="I9702"/>
      <c r="K9702"/>
      <c r="O9702"/>
      <c r="R9702"/>
      <c r="W9702" s="4"/>
      <c r="X9702" s="4"/>
      <c r="Y9702" s="4"/>
    </row>
    <row r="9703" spans="5:25">
      <c r="E9703"/>
      <c r="G9703"/>
      <c r="H9703"/>
      <c r="I9703"/>
      <c r="K9703"/>
      <c r="O9703"/>
      <c r="R9703"/>
      <c r="W9703" s="4"/>
      <c r="X9703" s="4"/>
      <c r="Y9703" s="4"/>
    </row>
    <row r="9704" spans="5:25">
      <c r="E9704"/>
      <c r="G9704"/>
      <c r="H9704"/>
      <c r="I9704"/>
      <c r="K9704"/>
      <c r="O9704"/>
      <c r="R9704"/>
      <c r="W9704" s="4"/>
      <c r="X9704" s="4"/>
      <c r="Y9704" s="4"/>
    </row>
    <row r="9705" spans="5:25">
      <c r="E9705"/>
      <c r="G9705"/>
      <c r="H9705"/>
      <c r="I9705"/>
      <c r="K9705"/>
      <c r="O9705"/>
      <c r="R9705"/>
      <c r="W9705" s="4"/>
      <c r="X9705" s="4"/>
      <c r="Y9705" s="4"/>
    </row>
    <row r="9706" spans="5:25">
      <c r="E9706"/>
      <c r="G9706"/>
      <c r="H9706"/>
      <c r="I9706"/>
      <c r="K9706"/>
      <c r="O9706"/>
      <c r="R9706"/>
      <c r="W9706" s="4"/>
      <c r="X9706" s="4"/>
      <c r="Y9706" s="4"/>
    </row>
    <row r="9707" spans="5:25">
      <c r="E9707"/>
      <c r="G9707"/>
      <c r="H9707"/>
      <c r="I9707"/>
      <c r="K9707"/>
      <c r="O9707"/>
      <c r="R9707"/>
      <c r="W9707" s="4"/>
      <c r="X9707" s="4"/>
      <c r="Y9707" s="4"/>
    </row>
    <row r="9708" spans="5:25">
      <c r="E9708"/>
      <c r="G9708"/>
      <c r="H9708"/>
      <c r="I9708"/>
      <c r="K9708"/>
      <c r="O9708"/>
      <c r="R9708"/>
      <c r="W9708" s="4"/>
      <c r="X9708" s="4"/>
      <c r="Y9708" s="4"/>
    </row>
    <row r="9709" spans="5:25">
      <c r="E9709"/>
      <c r="G9709"/>
      <c r="H9709"/>
      <c r="I9709"/>
      <c r="K9709"/>
      <c r="O9709"/>
      <c r="R9709"/>
      <c r="W9709" s="4"/>
      <c r="X9709" s="4"/>
      <c r="Y9709" s="4"/>
    </row>
    <row r="9710" spans="5:25">
      <c r="E9710"/>
      <c r="G9710"/>
      <c r="H9710"/>
      <c r="I9710"/>
      <c r="K9710"/>
      <c r="O9710"/>
      <c r="R9710"/>
      <c r="W9710" s="4"/>
      <c r="X9710" s="4"/>
      <c r="Y9710" s="4"/>
    </row>
    <row r="9711" spans="5:25">
      <c r="E9711"/>
      <c r="G9711"/>
      <c r="H9711"/>
      <c r="I9711"/>
      <c r="K9711"/>
      <c r="O9711"/>
      <c r="R9711"/>
      <c r="W9711" s="4"/>
      <c r="X9711" s="4"/>
      <c r="Y9711" s="4"/>
    </row>
    <row r="9712" spans="5:25">
      <c r="E9712"/>
      <c r="G9712"/>
      <c r="H9712"/>
      <c r="I9712"/>
      <c r="K9712"/>
      <c r="O9712"/>
      <c r="R9712"/>
      <c r="W9712" s="4"/>
      <c r="X9712" s="4"/>
      <c r="Y9712" s="4"/>
    </row>
    <row r="9713" spans="5:25">
      <c r="E9713"/>
      <c r="G9713"/>
      <c r="H9713"/>
      <c r="I9713"/>
      <c r="K9713"/>
      <c r="O9713"/>
      <c r="R9713"/>
      <c r="W9713" s="4"/>
      <c r="X9713" s="4"/>
      <c r="Y9713" s="4"/>
    </row>
    <row r="9714" spans="5:25">
      <c r="E9714"/>
      <c r="G9714"/>
      <c r="H9714"/>
      <c r="I9714"/>
      <c r="K9714"/>
      <c r="O9714"/>
      <c r="R9714"/>
      <c r="W9714" s="4"/>
      <c r="X9714" s="4"/>
      <c r="Y9714" s="4"/>
    </row>
    <row r="9715" spans="5:25">
      <c r="E9715"/>
      <c r="G9715"/>
      <c r="H9715"/>
      <c r="I9715"/>
      <c r="K9715"/>
      <c r="O9715"/>
      <c r="R9715"/>
      <c r="W9715" s="4"/>
      <c r="X9715" s="4"/>
      <c r="Y9715" s="4"/>
    </row>
    <row r="9716" spans="5:25">
      <c r="E9716"/>
      <c r="G9716"/>
      <c r="H9716"/>
      <c r="I9716"/>
      <c r="K9716"/>
      <c r="O9716"/>
      <c r="R9716"/>
      <c r="W9716" s="4"/>
      <c r="X9716" s="4"/>
      <c r="Y9716" s="4"/>
    </row>
    <row r="9717" spans="5:25">
      <c r="E9717"/>
      <c r="G9717"/>
      <c r="H9717"/>
      <c r="I9717"/>
      <c r="K9717"/>
      <c r="O9717"/>
      <c r="R9717"/>
      <c r="W9717" s="4"/>
      <c r="X9717" s="4"/>
      <c r="Y9717" s="4"/>
    </row>
    <row r="9718" spans="5:25">
      <c r="E9718"/>
      <c r="G9718"/>
      <c r="H9718"/>
      <c r="I9718"/>
      <c r="K9718"/>
      <c r="O9718"/>
      <c r="R9718"/>
      <c r="W9718" s="4"/>
      <c r="X9718" s="4"/>
      <c r="Y9718" s="4"/>
    </row>
    <row r="9719" spans="5:25">
      <c r="E9719"/>
      <c r="G9719"/>
      <c r="H9719"/>
      <c r="I9719"/>
      <c r="K9719"/>
      <c r="O9719"/>
      <c r="R9719"/>
      <c r="W9719" s="4"/>
      <c r="X9719" s="4"/>
      <c r="Y9719" s="4"/>
    </row>
    <row r="9720" spans="5:25">
      <c r="E9720"/>
      <c r="G9720"/>
      <c r="H9720"/>
      <c r="I9720"/>
      <c r="K9720"/>
      <c r="O9720"/>
      <c r="R9720"/>
      <c r="W9720" s="4"/>
      <c r="X9720" s="4"/>
      <c r="Y9720" s="4"/>
    </row>
    <row r="9721" spans="5:25">
      <c r="E9721"/>
      <c r="G9721"/>
      <c r="H9721"/>
      <c r="I9721"/>
      <c r="K9721"/>
      <c r="O9721"/>
      <c r="R9721"/>
      <c r="W9721" s="4"/>
      <c r="X9721" s="4"/>
      <c r="Y9721" s="4"/>
    </row>
    <row r="9722" spans="5:25">
      <c r="E9722"/>
      <c r="G9722"/>
      <c r="H9722"/>
      <c r="I9722"/>
      <c r="K9722"/>
      <c r="O9722"/>
      <c r="R9722"/>
      <c r="W9722" s="4"/>
      <c r="X9722" s="4"/>
      <c r="Y9722" s="4"/>
    </row>
    <row r="9723" spans="5:25">
      <c r="E9723"/>
      <c r="G9723"/>
      <c r="H9723"/>
      <c r="I9723"/>
      <c r="K9723"/>
      <c r="O9723"/>
      <c r="R9723"/>
      <c r="W9723" s="4"/>
      <c r="X9723" s="4"/>
      <c r="Y9723" s="4"/>
    </row>
    <row r="9724" spans="5:25">
      <c r="E9724"/>
      <c r="G9724"/>
      <c r="H9724"/>
      <c r="I9724"/>
      <c r="K9724"/>
      <c r="O9724"/>
      <c r="R9724"/>
      <c r="W9724" s="4"/>
      <c r="X9724" s="4"/>
      <c r="Y9724" s="4"/>
    </row>
    <row r="9725" spans="5:25">
      <c r="E9725"/>
      <c r="G9725"/>
      <c r="H9725"/>
      <c r="I9725"/>
      <c r="K9725"/>
      <c r="O9725"/>
      <c r="R9725"/>
      <c r="W9725" s="4"/>
      <c r="X9725" s="4"/>
      <c r="Y9725" s="4"/>
    </row>
    <row r="9726" spans="5:25">
      <c r="E9726"/>
      <c r="G9726"/>
      <c r="H9726"/>
      <c r="I9726"/>
      <c r="K9726"/>
      <c r="O9726"/>
      <c r="R9726"/>
      <c r="W9726" s="4"/>
      <c r="X9726" s="4"/>
      <c r="Y9726" s="4"/>
    </row>
    <row r="9727" spans="5:25">
      <c r="E9727"/>
      <c r="G9727"/>
      <c r="H9727"/>
      <c r="I9727"/>
      <c r="K9727"/>
      <c r="O9727"/>
      <c r="R9727"/>
      <c r="W9727" s="4"/>
      <c r="X9727" s="4"/>
      <c r="Y9727" s="4"/>
    </row>
    <row r="9728" spans="5:25">
      <c r="E9728"/>
      <c r="G9728"/>
      <c r="H9728"/>
      <c r="I9728"/>
      <c r="K9728"/>
      <c r="O9728"/>
      <c r="R9728"/>
      <c r="W9728" s="4"/>
      <c r="X9728" s="4"/>
      <c r="Y9728" s="4"/>
    </row>
    <row r="9729" spans="5:25">
      <c r="E9729"/>
      <c r="G9729"/>
      <c r="H9729"/>
      <c r="I9729"/>
      <c r="K9729"/>
      <c r="O9729"/>
      <c r="R9729"/>
      <c r="W9729" s="4"/>
      <c r="X9729" s="4"/>
      <c r="Y9729" s="4"/>
    </row>
    <row r="9730" spans="5:25">
      <c r="E9730"/>
      <c r="G9730"/>
      <c r="H9730"/>
      <c r="I9730"/>
      <c r="K9730"/>
      <c r="O9730"/>
      <c r="R9730"/>
      <c r="W9730" s="4"/>
      <c r="X9730" s="4"/>
      <c r="Y9730" s="4"/>
    </row>
    <row r="9731" spans="5:25">
      <c r="E9731"/>
      <c r="G9731"/>
      <c r="H9731"/>
      <c r="I9731"/>
      <c r="K9731"/>
      <c r="O9731"/>
      <c r="R9731"/>
      <c r="W9731" s="4"/>
      <c r="X9731" s="4"/>
      <c r="Y9731" s="4"/>
    </row>
    <row r="9732" spans="5:25">
      <c r="E9732"/>
      <c r="G9732"/>
      <c r="H9732"/>
      <c r="I9732"/>
      <c r="K9732"/>
      <c r="O9732"/>
      <c r="R9732"/>
      <c r="W9732" s="4"/>
      <c r="X9732" s="4"/>
      <c r="Y9732" s="4"/>
    </row>
    <row r="9733" spans="5:25">
      <c r="E9733"/>
      <c r="G9733"/>
      <c r="H9733"/>
      <c r="I9733"/>
      <c r="K9733"/>
      <c r="O9733"/>
      <c r="R9733"/>
      <c r="W9733" s="4"/>
      <c r="X9733" s="4"/>
      <c r="Y9733" s="4"/>
    </row>
    <row r="9734" spans="5:25">
      <c r="E9734"/>
      <c r="G9734"/>
      <c r="H9734"/>
      <c r="I9734"/>
      <c r="K9734"/>
      <c r="O9734"/>
      <c r="R9734"/>
      <c r="W9734" s="4"/>
      <c r="X9734" s="4"/>
      <c r="Y9734" s="4"/>
    </row>
    <row r="9735" spans="5:25">
      <c r="E9735"/>
      <c r="G9735"/>
      <c r="H9735"/>
      <c r="I9735"/>
      <c r="K9735"/>
      <c r="O9735"/>
      <c r="R9735"/>
      <c r="W9735" s="4"/>
      <c r="X9735" s="4"/>
      <c r="Y9735" s="4"/>
    </row>
    <row r="9736" spans="5:25">
      <c r="E9736"/>
      <c r="G9736"/>
      <c r="H9736"/>
      <c r="I9736"/>
      <c r="K9736"/>
      <c r="O9736"/>
      <c r="R9736"/>
      <c r="W9736" s="4"/>
      <c r="X9736" s="4"/>
      <c r="Y9736" s="4"/>
    </row>
    <row r="9737" spans="5:25">
      <c r="E9737"/>
      <c r="G9737"/>
      <c r="H9737"/>
      <c r="I9737"/>
      <c r="K9737"/>
      <c r="O9737"/>
      <c r="R9737"/>
      <c r="W9737" s="4"/>
      <c r="X9737" s="4"/>
      <c r="Y9737" s="4"/>
    </row>
    <row r="9738" spans="5:25">
      <c r="E9738"/>
      <c r="G9738"/>
      <c r="H9738"/>
      <c r="I9738"/>
      <c r="K9738"/>
      <c r="O9738"/>
      <c r="R9738"/>
      <c r="W9738" s="4"/>
      <c r="X9738" s="4"/>
      <c r="Y9738" s="4"/>
    </row>
    <row r="9739" spans="5:25">
      <c r="E9739"/>
      <c r="G9739"/>
      <c r="H9739"/>
      <c r="I9739"/>
      <c r="K9739"/>
      <c r="O9739"/>
      <c r="R9739"/>
      <c r="W9739" s="4"/>
      <c r="X9739" s="4"/>
      <c r="Y9739" s="4"/>
    </row>
    <row r="9740" spans="5:25">
      <c r="E9740"/>
      <c r="G9740"/>
      <c r="H9740"/>
      <c r="I9740"/>
      <c r="K9740"/>
      <c r="O9740"/>
      <c r="R9740"/>
      <c r="W9740" s="4"/>
      <c r="X9740" s="4"/>
      <c r="Y9740" s="4"/>
    </row>
    <row r="9741" spans="5:25">
      <c r="E9741"/>
      <c r="G9741"/>
      <c r="H9741"/>
      <c r="I9741"/>
      <c r="K9741"/>
      <c r="O9741"/>
      <c r="R9741"/>
      <c r="W9741" s="4"/>
      <c r="X9741" s="4"/>
      <c r="Y9741" s="4"/>
    </row>
    <row r="9742" spans="5:25">
      <c r="E9742"/>
      <c r="G9742"/>
      <c r="H9742"/>
      <c r="I9742"/>
      <c r="K9742"/>
      <c r="O9742"/>
      <c r="R9742"/>
      <c r="W9742" s="4"/>
      <c r="X9742" s="4"/>
      <c r="Y9742" s="4"/>
    </row>
    <row r="9743" spans="5:25">
      <c r="E9743"/>
      <c r="G9743"/>
      <c r="H9743"/>
      <c r="I9743"/>
      <c r="K9743"/>
      <c r="O9743"/>
      <c r="R9743"/>
      <c r="W9743" s="4"/>
      <c r="X9743" s="4"/>
      <c r="Y9743" s="4"/>
    </row>
    <row r="9744" spans="5:25">
      <c r="E9744"/>
      <c r="G9744"/>
      <c r="H9744"/>
      <c r="I9744"/>
      <c r="K9744"/>
      <c r="O9744"/>
      <c r="R9744"/>
      <c r="W9744" s="4"/>
      <c r="X9744" s="4"/>
      <c r="Y9744" s="4"/>
    </row>
    <row r="9745" spans="5:25">
      <c r="E9745"/>
      <c r="G9745"/>
      <c r="H9745"/>
      <c r="I9745"/>
      <c r="K9745"/>
      <c r="O9745"/>
      <c r="R9745"/>
      <c r="W9745" s="4"/>
      <c r="X9745" s="4"/>
      <c r="Y9745" s="4"/>
    </row>
    <row r="9746" spans="5:25">
      <c r="E9746"/>
      <c r="G9746"/>
      <c r="H9746"/>
      <c r="I9746"/>
      <c r="K9746"/>
      <c r="O9746"/>
      <c r="R9746"/>
      <c r="W9746" s="4"/>
      <c r="X9746" s="4"/>
      <c r="Y9746" s="4"/>
    </row>
    <row r="9747" spans="5:25">
      <c r="E9747"/>
      <c r="G9747"/>
      <c r="H9747"/>
      <c r="I9747"/>
      <c r="K9747"/>
      <c r="O9747"/>
      <c r="R9747"/>
      <c r="W9747" s="4"/>
      <c r="X9747" s="4"/>
      <c r="Y9747" s="4"/>
    </row>
    <row r="9748" spans="5:25">
      <c r="E9748"/>
      <c r="G9748"/>
      <c r="H9748"/>
      <c r="I9748"/>
      <c r="K9748"/>
      <c r="O9748"/>
      <c r="R9748"/>
      <c r="W9748" s="4"/>
      <c r="X9748" s="4"/>
      <c r="Y9748" s="4"/>
    </row>
    <row r="9749" spans="5:25">
      <c r="E9749"/>
      <c r="G9749"/>
      <c r="H9749"/>
      <c r="I9749"/>
      <c r="K9749"/>
      <c r="O9749"/>
      <c r="R9749"/>
      <c r="W9749" s="4"/>
      <c r="X9749" s="4"/>
      <c r="Y9749" s="4"/>
    </row>
    <row r="9750" spans="5:25">
      <c r="E9750"/>
      <c r="G9750"/>
      <c r="H9750"/>
      <c r="I9750"/>
      <c r="K9750"/>
      <c r="O9750"/>
      <c r="R9750"/>
      <c r="W9750" s="4"/>
      <c r="X9750" s="4"/>
      <c r="Y9750" s="4"/>
    </row>
    <row r="9751" spans="5:25">
      <c r="E9751"/>
      <c r="G9751"/>
      <c r="H9751"/>
      <c r="I9751"/>
      <c r="K9751"/>
      <c r="O9751"/>
      <c r="R9751"/>
      <c r="W9751" s="4"/>
      <c r="X9751" s="4"/>
      <c r="Y9751" s="4"/>
    </row>
    <row r="9752" spans="5:25">
      <c r="E9752"/>
      <c r="G9752"/>
      <c r="H9752"/>
      <c r="I9752"/>
      <c r="K9752"/>
      <c r="O9752"/>
      <c r="R9752"/>
      <c r="W9752" s="4"/>
      <c r="X9752" s="4"/>
      <c r="Y9752" s="4"/>
    </row>
    <row r="9753" spans="5:25">
      <c r="E9753"/>
      <c r="G9753"/>
      <c r="H9753"/>
      <c r="I9753"/>
      <c r="K9753"/>
      <c r="O9753"/>
      <c r="R9753"/>
      <c r="W9753" s="4"/>
      <c r="X9753" s="4"/>
      <c r="Y9753" s="4"/>
    </row>
    <row r="9754" spans="5:25">
      <c r="E9754"/>
      <c r="G9754"/>
      <c r="H9754"/>
      <c r="I9754"/>
      <c r="K9754"/>
      <c r="O9754"/>
      <c r="R9754"/>
      <c r="W9754" s="4"/>
      <c r="X9754" s="4"/>
      <c r="Y9754" s="4"/>
    </row>
    <row r="9755" spans="5:25">
      <c r="E9755"/>
      <c r="G9755"/>
      <c r="H9755"/>
      <c r="I9755"/>
      <c r="K9755"/>
      <c r="O9755"/>
      <c r="R9755"/>
      <c r="W9755" s="4"/>
      <c r="X9755" s="4"/>
      <c r="Y9755" s="4"/>
    </row>
    <row r="9756" spans="5:25">
      <c r="E9756"/>
      <c r="G9756"/>
      <c r="H9756"/>
      <c r="I9756"/>
      <c r="K9756"/>
      <c r="O9756"/>
      <c r="R9756"/>
      <c r="W9756" s="4"/>
      <c r="X9756" s="4"/>
      <c r="Y9756" s="4"/>
    </row>
    <row r="9757" spans="5:25">
      <c r="E9757"/>
      <c r="G9757"/>
      <c r="H9757"/>
      <c r="I9757"/>
      <c r="K9757"/>
      <c r="O9757"/>
      <c r="R9757"/>
      <c r="W9757" s="4"/>
      <c r="X9757" s="4"/>
      <c r="Y9757" s="4"/>
    </row>
    <row r="9758" spans="5:25">
      <c r="E9758"/>
      <c r="G9758"/>
      <c r="H9758"/>
      <c r="I9758"/>
      <c r="K9758"/>
      <c r="O9758"/>
      <c r="R9758"/>
      <c r="W9758" s="4"/>
      <c r="X9758" s="4"/>
      <c r="Y9758" s="4"/>
    </row>
    <row r="9759" spans="5:25">
      <c r="E9759"/>
      <c r="G9759"/>
      <c r="H9759"/>
      <c r="I9759"/>
      <c r="K9759"/>
      <c r="O9759"/>
      <c r="R9759"/>
      <c r="W9759" s="4"/>
      <c r="X9759" s="4"/>
      <c r="Y9759" s="4"/>
    </row>
    <row r="9760" spans="5:25">
      <c r="E9760"/>
      <c r="G9760"/>
      <c r="H9760"/>
      <c r="I9760"/>
      <c r="K9760"/>
      <c r="O9760"/>
      <c r="R9760"/>
      <c r="W9760" s="4"/>
      <c r="X9760" s="4"/>
      <c r="Y9760" s="4"/>
    </row>
    <row r="9761" spans="5:25">
      <c r="E9761"/>
      <c r="G9761"/>
      <c r="H9761"/>
      <c r="I9761"/>
      <c r="K9761"/>
      <c r="O9761"/>
      <c r="R9761"/>
      <c r="W9761" s="4"/>
      <c r="X9761" s="4"/>
      <c r="Y9761" s="4"/>
    </row>
    <row r="9762" spans="5:25">
      <c r="E9762"/>
      <c r="G9762"/>
      <c r="H9762"/>
      <c r="I9762"/>
      <c r="K9762"/>
      <c r="O9762"/>
      <c r="R9762"/>
      <c r="W9762" s="4"/>
      <c r="X9762" s="4"/>
      <c r="Y9762" s="4"/>
    </row>
    <row r="9763" spans="5:25">
      <c r="E9763"/>
      <c r="G9763"/>
      <c r="H9763"/>
      <c r="I9763"/>
      <c r="K9763"/>
      <c r="O9763"/>
      <c r="R9763"/>
      <c r="W9763" s="4"/>
      <c r="X9763" s="4"/>
      <c r="Y9763" s="4"/>
    </row>
    <row r="9764" spans="5:25">
      <c r="E9764"/>
      <c r="G9764"/>
      <c r="H9764"/>
      <c r="I9764"/>
      <c r="K9764"/>
      <c r="O9764"/>
      <c r="R9764"/>
      <c r="W9764" s="4"/>
      <c r="X9764" s="4"/>
      <c r="Y9764" s="4"/>
    </row>
    <row r="9765" spans="5:25">
      <c r="E9765"/>
      <c r="G9765"/>
      <c r="H9765"/>
      <c r="I9765"/>
      <c r="K9765"/>
      <c r="O9765"/>
      <c r="R9765"/>
      <c r="W9765" s="4"/>
      <c r="X9765" s="4"/>
      <c r="Y9765" s="4"/>
    </row>
    <row r="9766" spans="5:25">
      <c r="E9766"/>
      <c r="G9766"/>
      <c r="H9766"/>
      <c r="I9766"/>
      <c r="K9766"/>
      <c r="O9766"/>
      <c r="R9766"/>
      <c r="W9766" s="4"/>
      <c r="X9766" s="4"/>
      <c r="Y9766" s="4"/>
    </row>
    <row r="9767" spans="5:25">
      <c r="E9767"/>
      <c r="G9767"/>
      <c r="H9767"/>
      <c r="I9767"/>
      <c r="K9767"/>
      <c r="O9767"/>
      <c r="R9767"/>
      <c r="W9767" s="4"/>
      <c r="X9767" s="4"/>
      <c r="Y9767" s="4"/>
    </row>
    <row r="9768" spans="5:25">
      <c r="E9768"/>
      <c r="G9768"/>
      <c r="H9768"/>
      <c r="I9768"/>
      <c r="K9768"/>
      <c r="O9768"/>
      <c r="R9768"/>
      <c r="W9768" s="4"/>
      <c r="X9768" s="4"/>
      <c r="Y9768" s="4"/>
    </row>
    <row r="9769" spans="5:25">
      <c r="E9769"/>
      <c r="G9769"/>
      <c r="H9769"/>
      <c r="I9769"/>
      <c r="K9769"/>
      <c r="O9769"/>
      <c r="R9769"/>
      <c r="W9769" s="4"/>
      <c r="X9769" s="4"/>
      <c r="Y9769" s="4"/>
    </row>
    <row r="9770" spans="5:25">
      <c r="E9770"/>
      <c r="G9770"/>
      <c r="H9770"/>
      <c r="I9770"/>
      <c r="K9770"/>
      <c r="O9770"/>
      <c r="R9770"/>
      <c r="W9770" s="4"/>
      <c r="X9770" s="4"/>
      <c r="Y9770" s="4"/>
    </row>
    <row r="9771" spans="5:25">
      <c r="E9771"/>
      <c r="G9771"/>
      <c r="H9771"/>
      <c r="I9771"/>
      <c r="K9771"/>
      <c r="O9771"/>
      <c r="R9771"/>
      <c r="W9771" s="4"/>
      <c r="X9771" s="4"/>
      <c r="Y9771" s="4"/>
    </row>
    <row r="9772" spans="5:25">
      <c r="E9772"/>
      <c r="G9772"/>
      <c r="H9772"/>
      <c r="I9772"/>
      <c r="K9772"/>
      <c r="O9772"/>
      <c r="R9772"/>
      <c r="W9772" s="4"/>
      <c r="X9772" s="4"/>
      <c r="Y9772" s="4"/>
    </row>
    <row r="9773" spans="5:25">
      <c r="E9773"/>
      <c r="G9773"/>
      <c r="H9773"/>
      <c r="I9773"/>
      <c r="K9773"/>
      <c r="O9773"/>
      <c r="R9773"/>
      <c r="W9773" s="4"/>
      <c r="X9773" s="4"/>
      <c r="Y9773" s="4"/>
    </row>
    <row r="9774" spans="5:25">
      <c r="E9774"/>
      <c r="G9774"/>
      <c r="H9774"/>
      <c r="I9774"/>
      <c r="K9774"/>
      <c r="O9774"/>
      <c r="R9774"/>
      <c r="W9774" s="4"/>
      <c r="X9774" s="4"/>
      <c r="Y9774" s="4"/>
    </row>
    <row r="9775" spans="5:25">
      <c r="E9775"/>
      <c r="G9775"/>
      <c r="H9775"/>
      <c r="I9775"/>
      <c r="K9775"/>
      <c r="O9775"/>
      <c r="R9775"/>
      <c r="W9775" s="4"/>
      <c r="X9775" s="4"/>
      <c r="Y9775" s="4"/>
    </row>
    <row r="9776" spans="5:25">
      <c r="E9776"/>
      <c r="G9776"/>
      <c r="H9776"/>
      <c r="I9776"/>
      <c r="K9776"/>
      <c r="O9776"/>
      <c r="R9776"/>
      <c r="W9776" s="4"/>
      <c r="X9776" s="4"/>
      <c r="Y9776" s="4"/>
    </row>
    <row r="9777" spans="5:25">
      <c r="E9777"/>
      <c r="G9777"/>
      <c r="H9777"/>
      <c r="I9777"/>
      <c r="K9777"/>
      <c r="O9777"/>
      <c r="R9777"/>
      <c r="W9777" s="4"/>
      <c r="X9777" s="4"/>
      <c r="Y9777" s="4"/>
    </row>
    <row r="9778" spans="5:25">
      <c r="E9778"/>
      <c r="G9778"/>
      <c r="H9778"/>
      <c r="I9778"/>
      <c r="K9778"/>
      <c r="O9778"/>
      <c r="R9778"/>
      <c r="W9778" s="4"/>
      <c r="X9778" s="4"/>
      <c r="Y9778" s="4"/>
    </row>
    <row r="9779" spans="5:25">
      <c r="E9779"/>
      <c r="G9779"/>
      <c r="H9779"/>
      <c r="I9779"/>
      <c r="K9779"/>
      <c r="O9779"/>
      <c r="R9779"/>
      <c r="W9779" s="4"/>
      <c r="X9779" s="4"/>
      <c r="Y9779" s="4"/>
    </row>
    <row r="9780" spans="5:25">
      <c r="E9780"/>
      <c r="G9780"/>
      <c r="H9780"/>
      <c r="I9780"/>
      <c r="K9780"/>
      <c r="O9780"/>
      <c r="R9780"/>
      <c r="W9780" s="4"/>
      <c r="X9780" s="4"/>
      <c r="Y9780" s="4"/>
    </row>
    <row r="9781" spans="5:25">
      <c r="E9781"/>
      <c r="G9781"/>
      <c r="H9781"/>
      <c r="I9781"/>
      <c r="K9781"/>
      <c r="O9781"/>
      <c r="R9781"/>
      <c r="W9781" s="4"/>
      <c r="X9781" s="4"/>
      <c r="Y9781" s="4"/>
    </row>
    <row r="9782" spans="5:25">
      <c r="E9782"/>
      <c r="G9782"/>
      <c r="H9782"/>
      <c r="I9782"/>
      <c r="K9782"/>
      <c r="O9782"/>
      <c r="R9782"/>
      <c r="W9782" s="4"/>
      <c r="X9782" s="4"/>
      <c r="Y9782" s="4"/>
    </row>
    <row r="9783" spans="5:25">
      <c r="E9783"/>
      <c r="G9783"/>
      <c r="H9783"/>
      <c r="I9783"/>
      <c r="K9783"/>
      <c r="O9783"/>
      <c r="R9783"/>
      <c r="W9783" s="4"/>
      <c r="X9783" s="4"/>
      <c r="Y9783" s="4"/>
    </row>
    <row r="9784" spans="5:25">
      <c r="E9784"/>
      <c r="G9784"/>
      <c r="H9784"/>
      <c r="I9784"/>
      <c r="K9784"/>
      <c r="O9784"/>
      <c r="R9784"/>
      <c r="W9784" s="4"/>
      <c r="X9784" s="4"/>
      <c r="Y9784" s="4"/>
    </row>
    <row r="9785" spans="5:25">
      <c r="E9785"/>
      <c r="G9785"/>
      <c r="H9785"/>
      <c r="I9785"/>
      <c r="K9785"/>
      <c r="O9785"/>
      <c r="R9785"/>
      <c r="W9785" s="4"/>
      <c r="X9785" s="4"/>
      <c r="Y9785" s="4"/>
    </row>
    <row r="9786" spans="5:25">
      <c r="E9786"/>
      <c r="G9786"/>
      <c r="H9786"/>
      <c r="I9786"/>
      <c r="K9786"/>
      <c r="O9786"/>
      <c r="R9786"/>
      <c r="W9786" s="4"/>
      <c r="X9786" s="4"/>
      <c r="Y9786" s="4"/>
    </row>
    <row r="9787" spans="5:25">
      <c r="E9787"/>
      <c r="G9787"/>
      <c r="H9787"/>
      <c r="I9787"/>
      <c r="K9787"/>
      <c r="O9787"/>
      <c r="R9787"/>
      <c r="W9787" s="4"/>
      <c r="X9787" s="4"/>
      <c r="Y9787" s="4"/>
    </row>
    <row r="9788" spans="5:25">
      <c r="E9788"/>
      <c r="G9788"/>
      <c r="H9788"/>
      <c r="I9788"/>
      <c r="K9788"/>
      <c r="O9788"/>
      <c r="R9788"/>
      <c r="W9788" s="4"/>
      <c r="X9788" s="4"/>
      <c r="Y9788" s="4"/>
    </row>
    <row r="9789" spans="5:25">
      <c r="E9789"/>
      <c r="G9789"/>
      <c r="H9789"/>
      <c r="I9789"/>
      <c r="K9789"/>
      <c r="O9789"/>
      <c r="R9789"/>
      <c r="W9789" s="4"/>
      <c r="X9789" s="4"/>
      <c r="Y9789" s="4"/>
    </row>
    <row r="9790" spans="5:25">
      <c r="E9790"/>
      <c r="G9790"/>
      <c r="H9790"/>
      <c r="I9790"/>
      <c r="K9790"/>
      <c r="O9790"/>
      <c r="R9790"/>
      <c r="W9790" s="4"/>
      <c r="X9790" s="4"/>
      <c r="Y9790" s="4"/>
    </row>
    <row r="9791" spans="5:25">
      <c r="E9791"/>
      <c r="G9791"/>
      <c r="H9791"/>
      <c r="I9791"/>
      <c r="K9791"/>
      <c r="O9791"/>
      <c r="R9791"/>
      <c r="W9791" s="4"/>
      <c r="X9791" s="4"/>
      <c r="Y9791" s="4"/>
    </row>
    <row r="9792" spans="5:25">
      <c r="E9792"/>
      <c r="G9792"/>
      <c r="H9792"/>
      <c r="I9792"/>
      <c r="K9792"/>
      <c r="O9792"/>
      <c r="R9792"/>
      <c r="W9792" s="4"/>
      <c r="X9792" s="4"/>
      <c r="Y9792" s="4"/>
    </row>
    <row r="9793" spans="5:25">
      <c r="E9793"/>
      <c r="G9793"/>
      <c r="H9793"/>
      <c r="I9793"/>
      <c r="K9793"/>
      <c r="O9793"/>
      <c r="R9793"/>
      <c r="W9793" s="4"/>
      <c r="X9793" s="4"/>
      <c r="Y9793" s="4"/>
    </row>
    <row r="9794" spans="5:25">
      <c r="E9794"/>
      <c r="G9794"/>
      <c r="H9794"/>
      <c r="I9794"/>
      <c r="K9794"/>
      <c r="O9794"/>
      <c r="R9794"/>
      <c r="W9794" s="4"/>
      <c r="X9794" s="4"/>
      <c r="Y9794" s="4"/>
    </row>
    <row r="9795" spans="5:25">
      <c r="E9795"/>
      <c r="G9795"/>
      <c r="H9795"/>
      <c r="I9795"/>
      <c r="K9795"/>
      <c r="O9795"/>
      <c r="R9795"/>
      <c r="W9795" s="4"/>
      <c r="X9795" s="4"/>
      <c r="Y9795" s="4"/>
    </row>
    <row r="9796" spans="5:25">
      <c r="E9796"/>
      <c r="G9796"/>
      <c r="H9796"/>
      <c r="I9796"/>
      <c r="K9796"/>
      <c r="O9796"/>
      <c r="R9796"/>
      <c r="W9796" s="4"/>
      <c r="X9796" s="4"/>
      <c r="Y9796" s="4"/>
    </row>
    <row r="9797" spans="5:25">
      <c r="E9797"/>
      <c r="G9797"/>
      <c r="H9797"/>
      <c r="I9797"/>
      <c r="K9797"/>
      <c r="O9797"/>
      <c r="R9797"/>
      <c r="W9797" s="4"/>
      <c r="X9797" s="4"/>
      <c r="Y9797" s="4"/>
    </row>
    <row r="9798" spans="5:25">
      <c r="E9798"/>
      <c r="G9798"/>
      <c r="H9798"/>
      <c r="I9798"/>
      <c r="K9798"/>
      <c r="O9798"/>
      <c r="R9798"/>
      <c r="W9798" s="4"/>
      <c r="X9798" s="4"/>
      <c r="Y9798" s="4"/>
    </row>
    <row r="9799" spans="5:25">
      <c r="E9799"/>
      <c r="G9799"/>
      <c r="H9799"/>
      <c r="I9799"/>
      <c r="K9799"/>
      <c r="O9799"/>
      <c r="R9799"/>
      <c r="W9799" s="4"/>
      <c r="X9799" s="4"/>
      <c r="Y9799" s="4"/>
    </row>
    <row r="9800" spans="5:25">
      <c r="E9800"/>
      <c r="G9800"/>
      <c r="H9800"/>
      <c r="I9800"/>
      <c r="K9800"/>
      <c r="O9800"/>
      <c r="R9800"/>
      <c r="W9800" s="4"/>
      <c r="X9800" s="4"/>
      <c r="Y9800" s="4"/>
    </row>
    <row r="9801" spans="5:25">
      <c r="E9801"/>
      <c r="G9801"/>
      <c r="H9801"/>
      <c r="I9801"/>
      <c r="K9801"/>
      <c r="O9801"/>
      <c r="R9801"/>
      <c r="W9801" s="4"/>
      <c r="X9801" s="4"/>
      <c r="Y9801" s="4"/>
    </row>
    <row r="9802" spans="5:25">
      <c r="E9802"/>
      <c r="G9802"/>
      <c r="H9802"/>
      <c r="I9802"/>
      <c r="K9802"/>
      <c r="O9802"/>
      <c r="R9802"/>
      <c r="W9802" s="4"/>
      <c r="X9802" s="4"/>
      <c r="Y9802" s="4"/>
    </row>
    <row r="9803" spans="5:25">
      <c r="E9803"/>
      <c r="G9803"/>
      <c r="H9803"/>
      <c r="I9803"/>
      <c r="K9803"/>
      <c r="O9803"/>
      <c r="R9803"/>
      <c r="W9803" s="4"/>
      <c r="X9803" s="4"/>
      <c r="Y9803" s="4"/>
    </row>
    <row r="9804" spans="5:25">
      <c r="E9804"/>
      <c r="G9804"/>
      <c r="H9804"/>
      <c r="I9804"/>
      <c r="K9804"/>
      <c r="O9804"/>
      <c r="R9804"/>
      <c r="W9804" s="4"/>
      <c r="X9804" s="4"/>
      <c r="Y9804" s="4"/>
    </row>
    <row r="9805" spans="5:25">
      <c r="E9805"/>
      <c r="G9805"/>
      <c r="H9805"/>
      <c r="I9805"/>
      <c r="K9805"/>
      <c r="O9805"/>
      <c r="R9805"/>
      <c r="W9805" s="4"/>
      <c r="X9805" s="4"/>
      <c r="Y9805" s="4"/>
    </row>
    <row r="9806" spans="5:25">
      <c r="E9806"/>
      <c r="G9806"/>
      <c r="H9806"/>
      <c r="I9806"/>
      <c r="K9806"/>
      <c r="O9806"/>
      <c r="R9806"/>
      <c r="W9806" s="4"/>
      <c r="X9806" s="4"/>
      <c r="Y9806" s="4"/>
    </row>
    <row r="9807" spans="5:25">
      <c r="E9807"/>
      <c r="G9807"/>
      <c r="H9807"/>
      <c r="I9807"/>
      <c r="K9807"/>
      <c r="O9807"/>
      <c r="R9807"/>
      <c r="W9807" s="4"/>
      <c r="X9807" s="4"/>
      <c r="Y9807" s="4"/>
    </row>
    <row r="9808" spans="5:25">
      <c r="E9808"/>
      <c r="G9808"/>
      <c r="H9808"/>
      <c r="I9808"/>
      <c r="K9808"/>
      <c r="O9808"/>
      <c r="R9808"/>
      <c r="W9808" s="4"/>
      <c r="X9808" s="4"/>
      <c r="Y9808" s="4"/>
    </row>
    <row r="9809" spans="5:25">
      <c r="E9809"/>
      <c r="G9809"/>
      <c r="H9809"/>
      <c r="I9809"/>
      <c r="K9809"/>
      <c r="O9809"/>
      <c r="R9809"/>
      <c r="W9809" s="4"/>
      <c r="X9809" s="4"/>
      <c r="Y9809" s="4"/>
    </row>
    <row r="9810" spans="5:25">
      <c r="E9810"/>
      <c r="G9810"/>
      <c r="H9810"/>
      <c r="I9810"/>
      <c r="K9810"/>
      <c r="O9810"/>
      <c r="R9810"/>
      <c r="W9810" s="4"/>
      <c r="X9810" s="4"/>
      <c r="Y9810" s="4"/>
    </row>
    <row r="9811" spans="5:25">
      <c r="E9811"/>
      <c r="G9811"/>
      <c r="H9811"/>
      <c r="I9811"/>
      <c r="K9811"/>
      <c r="O9811"/>
      <c r="R9811"/>
      <c r="W9811" s="4"/>
      <c r="X9811" s="4"/>
      <c r="Y9811" s="4"/>
    </row>
    <row r="9812" spans="5:25">
      <c r="E9812"/>
      <c r="G9812"/>
      <c r="H9812"/>
      <c r="I9812"/>
      <c r="K9812"/>
      <c r="O9812"/>
      <c r="R9812"/>
      <c r="W9812" s="4"/>
      <c r="X9812" s="4"/>
      <c r="Y9812" s="4"/>
    </row>
    <row r="9813" spans="5:25">
      <c r="E9813"/>
      <c r="G9813"/>
      <c r="H9813"/>
      <c r="I9813"/>
      <c r="K9813"/>
      <c r="O9813"/>
      <c r="R9813"/>
      <c r="W9813" s="4"/>
      <c r="X9813" s="4"/>
      <c r="Y9813" s="4"/>
    </row>
    <row r="9814" spans="5:25">
      <c r="E9814"/>
      <c r="G9814"/>
      <c r="H9814"/>
      <c r="I9814"/>
      <c r="K9814"/>
      <c r="O9814"/>
      <c r="R9814"/>
      <c r="W9814" s="4"/>
      <c r="X9814" s="4"/>
      <c r="Y9814" s="4"/>
    </row>
    <row r="9815" spans="5:25">
      <c r="E9815"/>
      <c r="G9815"/>
      <c r="H9815"/>
      <c r="I9815"/>
      <c r="K9815"/>
      <c r="O9815"/>
      <c r="R9815"/>
      <c r="W9815" s="4"/>
      <c r="X9815" s="4"/>
      <c r="Y9815" s="4"/>
    </row>
    <row r="9816" spans="5:25">
      <c r="E9816"/>
      <c r="G9816"/>
      <c r="H9816"/>
      <c r="I9816"/>
      <c r="K9816"/>
      <c r="O9816"/>
      <c r="R9816"/>
      <c r="W9816" s="4"/>
      <c r="X9816" s="4"/>
      <c r="Y9816" s="4"/>
    </row>
    <row r="9817" spans="5:25">
      <c r="E9817"/>
      <c r="G9817"/>
      <c r="H9817"/>
      <c r="I9817"/>
      <c r="K9817"/>
      <c r="O9817"/>
      <c r="R9817"/>
      <c r="W9817" s="4"/>
      <c r="X9817" s="4"/>
      <c r="Y9817" s="4"/>
    </row>
    <row r="9818" spans="5:25">
      <c r="E9818"/>
      <c r="G9818"/>
      <c r="H9818"/>
      <c r="I9818"/>
      <c r="K9818"/>
      <c r="O9818"/>
      <c r="R9818"/>
      <c r="W9818" s="4"/>
      <c r="X9818" s="4"/>
      <c r="Y9818" s="4"/>
    </row>
    <row r="9819" spans="5:25">
      <c r="E9819"/>
      <c r="G9819"/>
      <c r="H9819"/>
      <c r="I9819"/>
      <c r="K9819"/>
      <c r="O9819"/>
      <c r="R9819"/>
      <c r="W9819" s="4"/>
      <c r="X9819" s="4"/>
      <c r="Y9819" s="4"/>
    </row>
    <row r="9820" spans="5:25">
      <c r="E9820"/>
      <c r="G9820"/>
      <c r="H9820"/>
      <c r="I9820"/>
      <c r="K9820"/>
      <c r="O9820"/>
      <c r="R9820"/>
      <c r="W9820" s="4"/>
      <c r="X9820" s="4"/>
      <c r="Y9820" s="4"/>
    </row>
    <row r="9821" spans="5:25">
      <c r="E9821"/>
      <c r="G9821"/>
      <c r="H9821"/>
      <c r="I9821"/>
      <c r="K9821"/>
      <c r="O9821"/>
      <c r="R9821"/>
      <c r="W9821" s="4"/>
      <c r="X9821" s="4"/>
      <c r="Y9821" s="4"/>
    </row>
    <row r="9822" spans="5:25">
      <c r="E9822"/>
      <c r="G9822"/>
      <c r="H9822"/>
      <c r="I9822"/>
      <c r="K9822"/>
      <c r="O9822"/>
      <c r="R9822"/>
      <c r="W9822" s="4"/>
      <c r="X9822" s="4"/>
      <c r="Y9822" s="4"/>
    </row>
    <row r="9823" spans="5:25">
      <c r="E9823"/>
      <c r="G9823"/>
      <c r="H9823"/>
      <c r="I9823"/>
      <c r="K9823"/>
      <c r="O9823"/>
      <c r="R9823"/>
      <c r="W9823" s="4"/>
      <c r="X9823" s="4"/>
      <c r="Y9823" s="4"/>
    </row>
    <row r="9824" spans="5:25">
      <c r="E9824"/>
      <c r="G9824"/>
      <c r="H9824"/>
      <c r="I9824"/>
      <c r="K9824"/>
      <c r="O9824"/>
      <c r="R9824"/>
      <c r="W9824" s="4"/>
      <c r="X9824" s="4"/>
      <c r="Y9824" s="4"/>
    </row>
    <row r="9825" spans="5:25">
      <c r="E9825"/>
      <c r="G9825"/>
      <c r="H9825"/>
      <c r="I9825"/>
      <c r="K9825"/>
      <c r="O9825"/>
      <c r="R9825"/>
      <c r="W9825" s="4"/>
      <c r="X9825" s="4"/>
      <c r="Y9825" s="4"/>
    </row>
    <row r="9826" spans="5:25">
      <c r="E9826"/>
      <c r="G9826"/>
      <c r="H9826"/>
      <c r="I9826"/>
      <c r="K9826"/>
      <c r="O9826"/>
      <c r="R9826"/>
      <c r="W9826" s="4"/>
      <c r="X9826" s="4"/>
      <c r="Y9826" s="4"/>
    </row>
    <row r="9827" spans="5:25">
      <c r="E9827"/>
      <c r="G9827"/>
      <c r="H9827"/>
      <c r="I9827"/>
      <c r="K9827"/>
      <c r="O9827"/>
      <c r="R9827"/>
      <c r="W9827" s="4"/>
      <c r="X9827" s="4"/>
      <c r="Y9827" s="4"/>
    </row>
    <row r="9828" spans="5:25">
      <c r="E9828"/>
      <c r="G9828"/>
      <c r="H9828"/>
      <c r="I9828"/>
      <c r="K9828"/>
      <c r="O9828"/>
      <c r="R9828"/>
      <c r="W9828" s="4"/>
      <c r="X9828" s="4"/>
      <c r="Y9828" s="4"/>
    </row>
    <row r="9829" spans="5:25">
      <c r="E9829"/>
      <c r="G9829"/>
      <c r="H9829"/>
      <c r="I9829"/>
      <c r="K9829"/>
      <c r="O9829"/>
      <c r="R9829"/>
      <c r="W9829" s="4"/>
      <c r="X9829" s="4"/>
      <c r="Y9829" s="4"/>
    </row>
    <row r="9830" spans="5:25">
      <c r="E9830"/>
      <c r="G9830"/>
      <c r="H9830"/>
      <c r="I9830"/>
      <c r="K9830"/>
      <c r="O9830"/>
      <c r="R9830"/>
      <c r="W9830" s="4"/>
      <c r="X9830" s="4"/>
      <c r="Y9830" s="4"/>
    </row>
    <row r="9831" spans="5:25">
      <c r="E9831"/>
      <c r="G9831"/>
      <c r="H9831"/>
      <c r="I9831"/>
      <c r="K9831"/>
      <c r="O9831"/>
      <c r="R9831"/>
      <c r="W9831" s="4"/>
      <c r="X9831" s="4"/>
      <c r="Y9831" s="4"/>
    </row>
    <row r="9832" spans="5:25">
      <c r="E9832"/>
      <c r="G9832"/>
      <c r="H9832"/>
      <c r="I9832"/>
      <c r="K9832"/>
      <c r="O9832"/>
      <c r="R9832"/>
      <c r="W9832" s="4"/>
      <c r="X9832" s="4"/>
      <c r="Y9832" s="4"/>
    </row>
    <row r="9833" spans="5:25">
      <c r="E9833"/>
      <c r="G9833"/>
      <c r="H9833"/>
      <c r="I9833"/>
      <c r="K9833"/>
      <c r="O9833"/>
      <c r="R9833"/>
      <c r="W9833" s="4"/>
      <c r="X9833" s="4"/>
      <c r="Y9833" s="4"/>
    </row>
    <row r="9834" spans="5:25">
      <c r="E9834"/>
      <c r="G9834"/>
      <c r="H9834"/>
      <c r="I9834"/>
      <c r="K9834"/>
      <c r="O9834"/>
      <c r="R9834"/>
      <c r="W9834" s="4"/>
      <c r="X9834" s="4"/>
      <c r="Y9834" s="4"/>
    </row>
    <row r="9835" spans="5:25">
      <c r="E9835"/>
      <c r="G9835"/>
      <c r="H9835"/>
      <c r="I9835"/>
      <c r="K9835"/>
      <c r="O9835"/>
      <c r="R9835"/>
      <c r="W9835" s="4"/>
      <c r="X9835" s="4"/>
      <c r="Y9835" s="4"/>
    </row>
    <row r="9836" spans="5:25">
      <c r="E9836"/>
      <c r="G9836"/>
      <c r="H9836"/>
      <c r="I9836"/>
      <c r="K9836"/>
      <c r="O9836"/>
      <c r="R9836"/>
      <c r="W9836" s="4"/>
      <c r="X9836" s="4"/>
      <c r="Y9836" s="4"/>
    </row>
    <row r="9837" spans="5:25">
      <c r="E9837"/>
      <c r="G9837"/>
      <c r="H9837"/>
      <c r="I9837"/>
      <c r="K9837"/>
      <c r="O9837"/>
      <c r="R9837"/>
      <c r="W9837" s="4"/>
      <c r="X9837" s="4"/>
      <c r="Y9837" s="4"/>
    </row>
    <row r="9838" spans="5:25">
      <c r="E9838"/>
      <c r="G9838"/>
      <c r="H9838"/>
      <c r="I9838"/>
      <c r="K9838"/>
      <c r="O9838"/>
      <c r="R9838"/>
      <c r="W9838" s="4"/>
      <c r="X9838" s="4"/>
      <c r="Y9838" s="4"/>
    </row>
    <row r="9839" spans="5:25">
      <c r="E9839"/>
      <c r="G9839"/>
      <c r="H9839"/>
      <c r="I9839"/>
      <c r="K9839"/>
      <c r="O9839"/>
      <c r="R9839"/>
      <c r="W9839" s="4"/>
      <c r="X9839" s="4"/>
      <c r="Y9839" s="4"/>
    </row>
    <row r="9840" spans="5:25">
      <c r="E9840"/>
      <c r="G9840"/>
      <c r="H9840"/>
      <c r="I9840"/>
      <c r="K9840"/>
      <c r="O9840"/>
      <c r="R9840"/>
      <c r="W9840" s="4"/>
      <c r="X9840" s="4"/>
      <c r="Y9840" s="4"/>
    </row>
    <row r="9841" spans="5:25">
      <c r="E9841"/>
      <c r="G9841"/>
      <c r="H9841"/>
      <c r="I9841"/>
      <c r="K9841"/>
      <c r="O9841"/>
      <c r="R9841"/>
      <c r="W9841" s="4"/>
      <c r="X9841" s="4"/>
      <c r="Y9841" s="4"/>
    </row>
    <row r="9842" spans="5:25">
      <c r="E9842"/>
      <c r="G9842"/>
      <c r="H9842"/>
      <c r="I9842"/>
      <c r="K9842"/>
      <c r="O9842"/>
      <c r="R9842"/>
      <c r="W9842" s="4"/>
      <c r="X9842" s="4"/>
      <c r="Y9842" s="4"/>
    </row>
    <row r="9843" spans="5:25">
      <c r="E9843"/>
      <c r="G9843"/>
      <c r="H9843"/>
      <c r="I9843"/>
      <c r="K9843"/>
      <c r="O9843"/>
      <c r="R9843"/>
      <c r="W9843" s="4"/>
      <c r="X9843" s="4"/>
      <c r="Y9843" s="4"/>
    </row>
    <row r="9844" spans="5:25">
      <c r="E9844"/>
      <c r="G9844"/>
      <c r="H9844"/>
      <c r="I9844"/>
      <c r="K9844"/>
      <c r="O9844"/>
      <c r="R9844"/>
      <c r="W9844" s="4"/>
      <c r="X9844" s="4"/>
      <c r="Y9844" s="4"/>
    </row>
    <row r="9845" spans="5:25">
      <c r="E9845"/>
      <c r="G9845"/>
      <c r="H9845"/>
      <c r="I9845"/>
      <c r="K9845"/>
      <c r="O9845"/>
      <c r="R9845"/>
      <c r="W9845" s="4"/>
      <c r="X9845" s="4"/>
      <c r="Y9845" s="4"/>
    </row>
    <row r="9846" spans="5:25">
      <c r="E9846"/>
      <c r="G9846"/>
      <c r="H9846"/>
      <c r="I9846"/>
      <c r="K9846"/>
      <c r="O9846"/>
      <c r="R9846"/>
      <c r="W9846" s="4"/>
      <c r="X9846" s="4"/>
      <c r="Y9846" s="4"/>
    </row>
    <row r="9847" spans="5:25">
      <c r="E9847"/>
      <c r="G9847"/>
      <c r="H9847"/>
      <c r="I9847"/>
      <c r="K9847"/>
      <c r="O9847"/>
      <c r="R9847"/>
      <c r="W9847" s="4"/>
      <c r="X9847" s="4"/>
      <c r="Y9847" s="4"/>
    </row>
    <row r="9848" spans="5:25">
      <c r="E9848"/>
      <c r="G9848"/>
      <c r="H9848"/>
      <c r="I9848"/>
      <c r="K9848"/>
      <c r="O9848"/>
      <c r="R9848"/>
      <c r="W9848" s="4"/>
      <c r="X9848" s="4"/>
      <c r="Y9848" s="4"/>
    </row>
    <row r="9849" spans="5:25">
      <c r="E9849"/>
      <c r="G9849"/>
      <c r="H9849"/>
      <c r="I9849"/>
      <c r="K9849"/>
      <c r="O9849"/>
      <c r="R9849"/>
      <c r="W9849" s="4"/>
      <c r="X9849" s="4"/>
      <c r="Y9849" s="4"/>
    </row>
    <row r="9850" spans="5:25">
      <c r="E9850"/>
      <c r="G9850"/>
      <c r="H9850"/>
      <c r="I9850"/>
      <c r="K9850"/>
      <c r="O9850"/>
      <c r="R9850"/>
      <c r="W9850" s="4"/>
      <c r="X9850" s="4"/>
      <c r="Y9850" s="4"/>
    </row>
    <row r="9851" spans="5:25">
      <c r="E9851"/>
      <c r="G9851"/>
      <c r="H9851"/>
      <c r="I9851"/>
      <c r="K9851"/>
      <c r="O9851"/>
      <c r="R9851"/>
      <c r="W9851" s="4"/>
      <c r="X9851" s="4"/>
      <c r="Y9851" s="4"/>
    </row>
    <row r="9852" spans="5:25">
      <c r="E9852"/>
      <c r="G9852"/>
      <c r="H9852"/>
      <c r="I9852"/>
      <c r="K9852"/>
      <c r="O9852"/>
      <c r="R9852"/>
      <c r="W9852" s="4"/>
      <c r="X9852" s="4"/>
      <c r="Y9852" s="4"/>
    </row>
    <row r="9853" spans="5:25">
      <c r="E9853"/>
      <c r="G9853"/>
      <c r="H9853"/>
      <c r="I9853"/>
      <c r="K9853"/>
      <c r="O9853"/>
      <c r="R9853"/>
      <c r="W9853" s="4"/>
      <c r="X9853" s="4"/>
      <c r="Y9853" s="4"/>
    </row>
    <row r="9854" spans="5:25">
      <c r="E9854"/>
      <c r="G9854"/>
      <c r="H9854"/>
      <c r="I9854"/>
      <c r="K9854"/>
      <c r="O9854"/>
      <c r="R9854"/>
      <c r="W9854" s="4"/>
      <c r="X9854" s="4"/>
      <c r="Y9854" s="4"/>
    </row>
    <row r="9855" spans="5:25">
      <c r="E9855"/>
      <c r="G9855"/>
      <c r="H9855"/>
      <c r="I9855"/>
      <c r="K9855"/>
      <c r="O9855"/>
      <c r="R9855"/>
      <c r="W9855" s="4"/>
      <c r="X9855" s="4"/>
      <c r="Y9855" s="4"/>
    </row>
    <row r="9856" spans="5:25">
      <c r="E9856"/>
      <c r="G9856"/>
      <c r="H9856"/>
      <c r="I9856"/>
      <c r="K9856"/>
      <c r="O9856"/>
      <c r="R9856"/>
      <c r="W9856" s="4"/>
      <c r="X9856" s="4"/>
      <c r="Y9856" s="4"/>
    </row>
    <row r="9857" spans="5:25">
      <c r="E9857"/>
      <c r="G9857"/>
      <c r="H9857"/>
      <c r="I9857"/>
      <c r="K9857"/>
      <c r="O9857"/>
      <c r="R9857"/>
      <c r="W9857" s="4"/>
      <c r="X9857" s="4"/>
      <c r="Y9857" s="4"/>
    </row>
    <row r="9858" spans="5:25">
      <c r="E9858"/>
      <c r="G9858"/>
      <c r="H9858"/>
      <c r="I9858"/>
      <c r="K9858"/>
      <c r="O9858"/>
      <c r="R9858"/>
      <c r="W9858" s="4"/>
      <c r="X9858" s="4"/>
      <c r="Y9858" s="4"/>
    </row>
    <row r="9859" spans="5:25">
      <c r="E9859"/>
      <c r="G9859"/>
      <c r="H9859"/>
      <c r="I9859"/>
      <c r="K9859"/>
      <c r="O9859"/>
      <c r="R9859"/>
      <c r="W9859" s="4"/>
      <c r="X9859" s="4"/>
      <c r="Y9859" s="4"/>
    </row>
    <row r="9860" spans="5:25">
      <c r="E9860"/>
      <c r="G9860"/>
      <c r="H9860"/>
      <c r="I9860"/>
      <c r="K9860"/>
      <c r="O9860"/>
      <c r="R9860"/>
      <c r="W9860" s="4"/>
      <c r="X9860" s="4"/>
      <c r="Y9860" s="4"/>
    </row>
    <row r="9861" spans="5:25">
      <c r="E9861"/>
      <c r="G9861"/>
      <c r="H9861"/>
      <c r="I9861"/>
      <c r="K9861"/>
      <c r="O9861"/>
      <c r="R9861"/>
      <c r="W9861" s="4"/>
      <c r="X9861" s="4"/>
      <c r="Y9861" s="4"/>
    </row>
    <row r="9862" spans="5:25">
      <c r="E9862"/>
      <c r="G9862"/>
      <c r="H9862"/>
      <c r="I9862"/>
      <c r="K9862"/>
      <c r="O9862"/>
      <c r="R9862"/>
      <c r="W9862" s="4"/>
      <c r="X9862" s="4"/>
      <c r="Y9862" s="4"/>
    </row>
    <row r="9863" spans="5:25">
      <c r="E9863"/>
      <c r="G9863"/>
      <c r="H9863"/>
      <c r="I9863"/>
      <c r="K9863"/>
      <c r="O9863"/>
      <c r="R9863"/>
      <c r="W9863" s="4"/>
      <c r="X9863" s="4"/>
      <c r="Y9863" s="4"/>
    </row>
    <row r="9864" spans="5:25">
      <c r="E9864"/>
      <c r="G9864"/>
      <c r="H9864"/>
      <c r="I9864"/>
      <c r="K9864"/>
      <c r="O9864"/>
      <c r="R9864"/>
      <c r="W9864" s="4"/>
      <c r="X9864" s="4"/>
      <c r="Y9864" s="4"/>
    </row>
    <row r="9865" spans="5:25">
      <c r="E9865"/>
      <c r="G9865"/>
      <c r="H9865"/>
      <c r="I9865"/>
      <c r="K9865"/>
      <c r="O9865"/>
      <c r="R9865"/>
      <c r="W9865" s="4"/>
      <c r="X9865" s="4"/>
      <c r="Y9865" s="4"/>
    </row>
    <row r="9866" spans="5:25">
      <c r="E9866"/>
      <c r="G9866"/>
      <c r="H9866"/>
      <c r="I9866"/>
      <c r="K9866"/>
      <c r="O9866"/>
      <c r="R9866"/>
      <c r="W9866" s="4"/>
      <c r="X9866" s="4"/>
      <c r="Y9866" s="4"/>
    </row>
    <row r="9867" spans="5:25">
      <c r="E9867"/>
      <c r="G9867"/>
      <c r="H9867"/>
      <c r="I9867"/>
      <c r="K9867"/>
      <c r="O9867"/>
      <c r="R9867"/>
      <c r="W9867" s="4"/>
      <c r="X9867" s="4"/>
      <c r="Y9867" s="4"/>
    </row>
    <row r="9868" spans="5:25">
      <c r="E9868"/>
      <c r="G9868"/>
      <c r="H9868"/>
      <c r="I9868"/>
      <c r="K9868"/>
      <c r="O9868"/>
      <c r="R9868"/>
      <c r="W9868" s="4"/>
      <c r="X9868" s="4"/>
      <c r="Y9868" s="4"/>
    </row>
    <row r="9869" spans="5:25">
      <c r="E9869"/>
      <c r="G9869"/>
      <c r="H9869"/>
      <c r="I9869"/>
      <c r="K9869"/>
      <c r="O9869"/>
      <c r="R9869"/>
      <c r="W9869" s="4"/>
      <c r="X9869" s="4"/>
      <c r="Y9869" s="4"/>
    </row>
    <row r="9870" spans="5:25">
      <c r="E9870"/>
      <c r="G9870"/>
      <c r="H9870"/>
      <c r="I9870"/>
      <c r="K9870"/>
      <c r="O9870"/>
      <c r="R9870"/>
      <c r="W9870" s="4"/>
      <c r="X9870" s="4"/>
      <c r="Y9870" s="4"/>
    </row>
    <row r="9871" spans="5:25">
      <c r="E9871"/>
      <c r="G9871"/>
      <c r="H9871"/>
      <c r="I9871"/>
      <c r="K9871"/>
      <c r="O9871"/>
      <c r="R9871"/>
      <c r="W9871" s="4"/>
      <c r="X9871" s="4"/>
      <c r="Y9871" s="4"/>
    </row>
    <row r="9872" spans="5:25">
      <c r="E9872"/>
      <c r="G9872"/>
      <c r="H9872"/>
      <c r="I9872"/>
      <c r="K9872"/>
      <c r="O9872"/>
      <c r="R9872"/>
      <c r="W9872" s="4"/>
      <c r="X9872" s="4"/>
      <c r="Y9872" s="4"/>
    </row>
    <row r="9873" spans="5:25">
      <c r="E9873"/>
      <c r="G9873"/>
      <c r="H9873"/>
      <c r="I9873"/>
      <c r="K9873"/>
      <c r="O9873"/>
      <c r="R9873"/>
      <c r="W9873" s="4"/>
      <c r="X9873" s="4"/>
      <c r="Y9873" s="4"/>
    </row>
    <row r="9874" spans="5:25">
      <c r="E9874"/>
      <c r="G9874"/>
      <c r="H9874"/>
      <c r="I9874"/>
      <c r="K9874"/>
      <c r="O9874"/>
      <c r="R9874"/>
      <c r="W9874" s="4"/>
      <c r="X9874" s="4"/>
      <c r="Y9874" s="4"/>
    </row>
    <row r="9875" spans="5:25">
      <c r="E9875"/>
      <c r="G9875"/>
      <c r="H9875"/>
      <c r="I9875"/>
      <c r="K9875"/>
      <c r="O9875"/>
      <c r="R9875"/>
      <c r="W9875" s="4"/>
      <c r="X9875" s="4"/>
      <c r="Y9875" s="4"/>
    </row>
    <row r="9876" spans="5:25">
      <c r="E9876"/>
      <c r="G9876"/>
      <c r="H9876"/>
      <c r="I9876"/>
      <c r="K9876"/>
      <c r="O9876"/>
      <c r="R9876"/>
      <c r="W9876" s="4"/>
      <c r="X9876" s="4"/>
      <c r="Y9876" s="4"/>
    </row>
    <row r="9877" spans="5:25">
      <c r="E9877"/>
      <c r="G9877"/>
      <c r="H9877"/>
      <c r="I9877"/>
      <c r="K9877"/>
      <c r="O9877"/>
      <c r="R9877"/>
      <c r="W9877" s="4"/>
      <c r="X9877" s="4"/>
      <c r="Y9877" s="4"/>
    </row>
    <row r="9878" spans="5:25">
      <c r="E9878"/>
      <c r="G9878"/>
      <c r="H9878"/>
      <c r="I9878"/>
      <c r="K9878"/>
      <c r="O9878"/>
      <c r="R9878"/>
      <c r="W9878" s="4"/>
      <c r="X9878" s="4"/>
      <c r="Y9878" s="4"/>
    </row>
    <row r="9879" spans="5:25">
      <c r="E9879"/>
      <c r="G9879"/>
      <c r="H9879"/>
      <c r="I9879"/>
      <c r="K9879"/>
      <c r="O9879"/>
      <c r="R9879"/>
      <c r="W9879" s="4"/>
      <c r="X9879" s="4"/>
      <c r="Y9879" s="4"/>
    </row>
    <row r="9880" spans="5:25">
      <c r="E9880"/>
      <c r="G9880"/>
      <c r="H9880"/>
      <c r="I9880"/>
      <c r="K9880"/>
      <c r="O9880"/>
      <c r="R9880"/>
      <c r="W9880" s="4"/>
      <c r="X9880" s="4"/>
      <c r="Y9880" s="4"/>
    </row>
    <row r="9881" spans="5:25">
      <c r="E9881"/>
      <c r="G9881"/>
      <c r="H9881"/>
      <c r="I9881"/>
      <c r="K9881"/>
      <c r="O9881"/>
      <c r="R9881"/>
      <c r="W9881" s="4"/>
      <c r="X9881" s="4"/>
      <c r="Y9881" s="4"/>
    </row>
    <row r="9882" spans="5:25">
      <c r="E9882"/>
      <c r="G9882"/>
      <c r="H9882"/>
      <c r="I9882"/>
      <c r="K9882"/>
      <c r="O9882"/>
      <c r="R9882"/>
      <c r="W9882" s="4"/>
      <c r="X9882" s="4"/>
      <c r="Y9882" s="4"/>
    </row>
    <row r="9883" spans="5:25">
      <c r="E9883"/>
      <c r="G9883"/>
      <c r="H9883"/>
      <c r="I9883"/>
      <c r="K9883"/>
      <c r="O9883"/>
      <c r="R9883"/>
      <c r="W9883" s="4"/>
      <c r="X9883" s="4"/>
      <c r="Y9883" s="4"/>
    </row>
    <row r="9884" spans="5:25">
      <c r="E9884"/>
      <c r="G9884"/>
      <c r="H9884"/>
      <c r="I9884"/>
      <c r="K9884"/>
      <c r="O9884"/>
      <c r="R9884"/>
      <c r="W9884" s="4"/>
      <c r="X9884" s="4"/>
      <c r="Y9884" s="4"/>
    </row>
    <row r="9885" spans="5:25">
      <c r="E9885"/>
      <c r="G9885"/>
      <c r="H9885"/>
      <c r="I9885"/>
      <c r="K9885"/>
      <c r="O9885"/>
      <c r="R9885"/>
      <c r="W9885" s="4"/>
      <c r="X9885" s="4"/>
      <c r="Y9885" s="4"/>
    </row>
    <row r="9886" spans="5:25">
      <c r="E9886"/>
      <c r="G9886"/>
      <c r="H9886"/>
      <c r="I9886"/>
      <c r="K9886"/>
      <c r="O9886"/>
      <c r="R9886"/>
      <c r="W9886" s="4"/>
      <c r="X9886" s="4"/>
      <c r="Y9886" s="4"/>
    </row>
    <row r="9887" spans="5:25">
      <c r="E9887"/>
      <c r="G9887"/>
      <c r="H9887"/>
      <c r="I9887"/>
      <c r="K9887"/>
      <c r="O9887"/>
      <c r="R9887"/>
      <c r="W9887" s="4"/>
      <c r="X9887" s="4"/>
      <c r="Y9887" s="4"/>
    </row>
    <row r="9888" spans="5:25">
      <c r="E9888"/>
      <c r="G9888"/>
      <c r="H9888"/>
      <c r="I9888"/>
      <c r="K9888"/>
      <c r="O9888"/>
      <c r="R9888"/>
      <c r="W9888" s="4"/>
      <c r="X9888" s="4"/>
      <c r="Y9888" s="4"/>
    </row>
    <row r="9889" spans="5:25">
      <c r="E9889"/>
      <c r="G9889"/>
      <c r="H9889"/>
      <c r="I9889"/>
      <c r="K9889"/>
      <c r="O9889"/>
      <c r="R9889"/>
      <c r="W9889" s="4"/>
      <c r="X9889" s="4"/>
      <c r="Y9889" s="4"/>
    </row>
    <row r="9890" spans="5:25">
      <c r="E9890"/>
      <c r="G9890"/>
      <c r="H9890"/>
      <c r="I9890"/>
      <c r="K9890"/>
      <c r="O9890"/>
      <c r="R9890"/>
      <c r="W9890" s="4"/>
      <c r="X9890" s="4"/>
      <c r="Y9890" s="4"/>
    </row>
    <row r="9891" spans="5:25">
      <c r="E9891"/>
      <c r="G9891"/>
      <c r="H9891"/>
      <c r="I9891"/>
      <c r="K9891"/>
      <c r="O9891"/>
      <c r="R9891"/>
      <c r="W9891" s="4"/>
      <c r="X9891" s="4"/>
      <c r="Y9891" s="4"/>
    </row>
    <row r="9892" spans="5:25">
      <c r="E9892"/>
      <c r="G9892"/>
      <c r="H9892"/>
      <c r="I9892"/>
      <c r="K9892"/>
      <c r="O9892"/>
      <c r="R9892"/>
      <c r="W9892" s="4"/>
      <c r="X9892" s="4"/>
      <c r="Y9892" s="4"/>
    </row>
    <row r="9893" spans="5:25">
      <c r="E9893"/>
      <c r="G9893"/>
      <c r="H9893"/>
      <c r="I9893"/>
      <c r="K9893"/>
      <c r="O9893"/>
      <c r="R9893"/>
      <c r="W9893" s="4"/>
      <c r="X9893" s="4"/>
      <c r="Y9893" s="4"/>
    </row>
    <row r="9894" spans="5:25">
      <c r="E9894"/>
      <c r="G9894"/>
      <c r="H9894"/>
      <c r="I9894"/>
      <c r="K9894"/>
      <c r="O9894"/>
      <c r="R9894"/>
      <c r="W9894" s="4"/>
      <c r="X9894" s="4"/>
      <c r="Y9894" s="4"/>
    </row>
    <row r="9895" spans="5:25">
      <c r="E9895"/>
      <c r="G9895"/>
      <c r="H9895"/>
      <c r="I9895"/>
      <c r="K9895"/>
      <c r="O9895"/>
      <c r="R9895"/>
      <c r="W9895" s="4"/>
      <c r="X9895" s="4"/>
      <c r="Y9895" s="4"/>
    </row>
    <row r="9896" spans="5:25">
      <c r="E9896"/>
      <c r="G9896"/>
      <c r="H9896"/>
      <c r="I9896"/>
      <c r="K9896"/>
      <c r="O9896"/>
      <c r="R9896"/>
      <c r="W9896" s="4"/>
      <c r="X9896" s="4"/>
      <c r="Y9896" s="4"/>
    </row>
    <row r="9897" spans="5:25">
      <c r="E9897"/>
      <c r="G9897"/>
      <c r="H9897"/>
      <c r="I9897"/>
      <c r="K9897"/>
      <c r="O9897"/>
      <c r="R9897"/>
      <c r="W9897" s="4"/>
      <c r="X9897" s="4"/>
      <c r="Y9897" s="4"/>
    </row>
    <row r="9898" spans="5:25">
      <c r="E9898"/>
      <c r="G9898"/>
      <c r="H9898"/>
      <c r="I9898"/>
      <c r="K9898"/>
      <c r="O9898"/>
      <c r="R9898"/>
      <c r="W9898" s="4"/>
      <c r="X9898" s="4"/>
      <c r="Y9898" s="4"/>
    </row>
    <row r="9899" spans="5:25">
      <c r="E9899"/>
      <c r="G9899"/>
      <c r="H9899"/>
      <c r="I9899"/>
      <c r="K9899"/>
      <c r="O9899"/>
      <c r="R9899"/>
      <c r="W9899" s="4"/>
      <c r="X9899" s="4"/>
      <c r="Y9899" s="4"/>
    </row>
    <row r="9900" spans="5:25">
      <c r="E9900"/>
      <c r="G9900"/>
      <c r="H9900"/>
      <c r="I9900"/>
      <c r="K9900"/>
      <c r="O9900"/>
      <c r="R9900"/>
      <c r="W9900" s="4"/>
      <c r="X9900" s="4"/>
      <c r="Y9900" s="4"/>
    </row>
    <row r="9901" spans="5:25">
      <c r="E9901"/>
      <c r="G9901"/>
      <c r="H9901"/>
      <c r="I9901"/>
      <c r="K9901"/>
      <c r="O9901"/>
      <c r="R9901"/>
      <c r="W9901" s="4"/>
      <c r="X9901" s="4"/>
      <c r="Y9901" s="4"/>
    </row>
    <row r="9902" spans="5:25">
      <c r="E9902"/>
      <c r="G9902"/>
      <c r="H9902"/>
      <c r="I9902"/>
      <c r="K9902"/>
      <c r="O9902"/>
      <c r="R9902"/>
      <c r="W9902" s="4"/>
      <c r="X9902" s="4"/>
      <c r="Y9902" s="4"/>
    </row>
    <row r="9903" spans="5:25">
      <c r="E9903"/>
      <c r="G9903"/>
      <c r="H9903"/>
      <c r="I9903"/>
      <c r="K9903"/>
      <c r="O9903"/>
      <c r="R9903"/>
      <c r="W9903" s="4"/>
      <c r="X9903" s="4"/>
      <c r="Y9903" s="4"/>
    </row>
    <row r="9904" spans="5:25">
      <c r="E9904"/>
      <c r="G9904"/>
      <c r="H9904"/>
      <c r="I9904"/>
      <c r="K9904"/>
      <c r="O9904"/>
      <c r="R9904"/>
      <c r="W9904" s="4"/>
      <c r="X9904" s="4"/>
      <c r="Y9904" s="4"/>
    </row>
    <row r="9905" spans="5:25">
      <c r="E9905"/>
      <c r="G9905"/>
      <c r="H9905"/>
      <c r="I9905"/>
      <c r="K9905"/>
      <c r="O9905"/>
      <c r="R9905"/>
      <c r="W9905" s="4"/>
      <c r="X9905" s="4"/>
      <c r="Y9905" s="4"/>
    </row>
    <row r="9906" spans="5:25">
      <c r="E9906"/>
      <c r="G9906"/>
      <c r="H9906"/>
      <c r="I9906"/>
      <c r="K9906"/>
      <c r="O9906"/>
      <c r="R9906"/>
      <c r="W9906" s="4"/>
      <c r="X9906" s="4"/>
      <c r="Y9906" s="4"/>
    </row>
    <row r="9907" spans="5:25">
      <c r="E9907"/>
      <c r="G9907"/>
      <c r="H9907"/>
      <c r="I9907"/>
      <c r="K9907"/>
      <c r="O9907"/>
      <c r="R9907"/>
      <c r="W9907" s="4"/>
      <c r="X9907" s="4"/>
      <c r="Y9907" s="4"/>
    </row>
    <row r="9908" spans="5:25">
      <c r="E9908"/>
      <c r="G9908"/>
      <c r="H9908"/>
      <c r="I9908"/>
      <c r="K9908"/>
      <c r="O9908"/>
      <c r="R9908"/>
      <c r="W9908" s="4"/>
      <c r="X9908" s="4"/>
      <c r="Y9908" s="4"/>
    </row>
    <row r="9909" spans="5:25">
      <c r="E9909"/>
      <c r="G9909"/>
      <c r="H9909"/>
      <c r="I9909"/>
      <c r="K9909"/>
      <c r="O9909"/>
      <c r="R9909"/>
      <c r="W9909" s="4"/>
      <c r="X9909" s="4"/>
      <c r="Y9909" s="4"/>
    </row>
    <row r="9910" spans="5:25">
      <c r="E9910"/>
      <c r="G9910"/>
      <c r="H9910"/>
      <c r="I9910"/>
      <c r="K9910"/>
      <c r="O9910"/>
      <c r="R9910"/>
      <c r="W9910" s="4"/>
      <c r="X9910" s="4"/>
      <c r="Y9910" s="4"/>
    </row>
    <row r="9911" spans="5:25">
      <c r="E9911"/>
      <c r="G9911"/>
      <c r="H9911"/>
      <c r="I9911"/>
      <c r="K9911"/>
      <c r="O9911"/>
      <c r="R9911"/>
      <c r="W9911" s="4"/>
      <c r="X9911" s="4"/>
      <c r="Y9911" s="4"/>
    </row>
    <row r="9912" spans="5:25">
      <c r="E9912"/>
      <c r="G9912"/>
      <c r="H9912"/>
      <c r="I9912"/>
      <c r="K9912"/>
      <c r="O9912"/>
      <c r="R9912"/>
      <c r="W9912" s="4"/>
      <c r="X9912" s="4"/>
      <c r="Y9912" s="4"/>
    </row>
    <row r="9913" spans="5:25">
      <c r="E9913"/>
      <c r="G9913"/>
      <c r="H9913"/>
      <c r="I9913"/>
      <c r="K9913"/>
      <c r="O9913"/>
      <c r="R9913"/>
      <c r="W9913" s="4"/>
      <c r="X9913" s="4"/>
      <c r="Y9913" s="4"/>
    </row>
    <row r="9914" spans="5:25">
      <c r="E9914"/>
      <c r="G9914"/>
      <c r="H9914"/>
      <c r="I9914"/>
      <c r="K9914"/>
      <c r="O9914"/>
      <c r="R9914"/>
      <c r="W9914" s="4"/>
      <c r="X9914" s="4"/>
      <c r="Y9914" s="4"/>
    </row>
    <row r="9915" spans="5:25">
      <c r="E9915"/>
      <c r="G9915"/>
      <c r="H9915"/>
      <c r="I9915"/>
      <c r="K9915"/>
      <c r="O9915"/>
      <c r="R9915"/>
      <c r="W9915" s="4"/>
      <c r="X9915" s="4"/>
      <c r="Y9915" s="4"/>
    </row>
    <row r="9916" spans="5:25">
      <c r="E9916"/>
      <c r="G9916"/>
      <c r="H9916"/>
      <c r="I9916"/>
      <c r="K9916"/>
      <c r="O9916"/>
      <c r="R9916"/>
      <c r="W9916" s="4"/>
      <c r="X9916" s="4"/>
      <c r="Y9916" s="4"/>
    </row>
    <row r="9917" spans="5:25">
      <c r="E9917"/>
      <c r="G9917"/>
      <c r="H9917"/>
      <c r="I9917"/>
      <c r="K9917"/>
      <c r="O9917"/>
      <c r="R9917"/>
      <c r="W9917" s="4"/>
      <c r="X9917" s="4"/>
      <c r="Y9917" s="4"/>
    </row>
    <row r="9918" spans="5:25">
      <c r="E9918"/>
      <c r="G9918"/>
      <c r="H9918"/>
      <c r="I9918"/>
      <c r="K9918"/>
      <c r="O9918"/>
      <c r="R9918"/>
      <c r="W9918" s="4"/>
      <c r="X9918" s="4"/>
      <c r="Y9918" s="4"/>
    </row>
    <row r="9919" spans="5:25">
      <c r="E9919"/>
      <c r="G9919"/>
      <c r="H9919"/>
      <c r="I9919"/>
      <c r="K9919"/>
      <c r="O9919"/>
      <c r="R9919"/>
      <c r="W9919" s="4"/>
      <c r="X9919" s="4"/>
      <c r="Y9919" s="4"/>
    </row>
    <row r="9920" spans="5:25">
      <c r="E9920"/>
      <c r="G9920"/>
      <c r="H9920"/>
      <c r="I9920"/>
      <c r="K9920"/>
      <c r="O9920"/>
      <c r="R9920"/>
      <c r="W9920" s="4"/>
      <c r="X9920" s="4"/>
      <c r="Y9920" s="4"/>
    </row>
    <row r="9921" spans="5:25">
      <c r="E9921"/>
      <c r="G9921"/>
      <c r="H9921"/>
      <c r="I9921"/>
      <c r="K9921"/>
      <c r="O9921"/>
      <c r="R9921"/>
      <c r="W9921" s="4"/>
      <c r="X9921" s="4"/>
      <c r="Y9921" s="4"/>
    </row>
    <row r="9922" spans="5:25">
      <c r="E9922"/>
      <c r="G9922"/>
      <c r="H9922"/>
      <c r="I9922"/>
      <c r="K9922"/>
      <c r="O9922"/>
      <c r="R9922"/>
      <c r="W9922" s="4"/>
      <c r="X9922" s="4"/>
      <c r="Y9922" s="4"/>
    </row>
    <row r="9923" spans="5:25">
      <c r="E9923"/>
      <c r="G9923"/>
      <c r="H9923"/>
      <c r="I9923"/>
      <c r="K9923"/>
      <c r="O9923"/>
      <c r="R9923"/>
      <c r="W9923" s="4"/>
      <c r="X9923" s="4"/>
      <c r="Y9923" s="4"/>
    </row>
    <row r="9924" spans="5:25">
      <c r="E9924"/>
      <c r="G9924"/>
      <c r="H9924"/>
      <c r="I9924"/>
      <c r="K9924"/>
      <c r="O9924"/>
      <c r="R9924"/>
      <c r="W9924" s="4"/>
      <c r="X9924" s="4"/>
      <c r="Y9924" s="4"/>
    </row>
    <row r="9925" spans="5:25">
      <c r="E9925"/>
      <c r="G9925"/>
      <c r="H9925"/>
      <c r="I9925"/>
      <c r="K9925"/>
      <c r="O9925"/>
      <c r="R9925"/>
      <c r="W9925" s="4"/>
      <c r="X9925" s="4"/>
      <c r="Y9925" s="4"/>
    </row>
    <row r="9926" spans="5:25">
      <c r="E9926"/>
      <c r="G9926"/>
      <c r="H9926"/>
      <c r="I9926"/>
      <c r="K9926"/>
      <c r="O9926"/>
      <c r="R9926"/>
      <c r="W9926" s="4"/>
      <c r="X9926" s="4"/>
      <c r="Y9926" s="4"/>
    </row>
    <row r="9927" spans="5:25">
      <c r="E9927"/>
      <c r="G9927"/>
      <c r="H9927"/>
      <c r="I9927"/>
      <c r="K9927"/>
      <c r="O9927"/>
      <c r="R9927"/>
      <c r="W9927" s="4"/>
      <c r="X9927" s="4"/>
      <c r="Y9927" s="4"/>
    </row>
    <row r="9928" spans="5:25">
      <c r="E9928"/>
      <c r="G9928"/>
      <c r="H9928"/>
      <c r="I9928"/>
      <c r="K9928"/>
      <c r="O9928"/>
      <c r="R9928"/>
      <c r="W9928" s="4"/>
      <c r="X9928" s="4"/>
      <c r="Y9928" s="4"/>
    </row>
    <row r="9929" spans="5:25">
      <c r="E9929"/>
      <c r="G9929"/>
      <c r="H9929"/>
      <c r="I9929"/>
      <c r="K9929"/>
      <c r="O9929"/>
      <c r="R9929"/>
      <c r="W9929" s="4"/>
      <c r="X9929" s="4"/>
      <c r="Y9929" s="4"/>
    </row>
    <row r="9930" spans="5:25">
      <c r="E9930"/>
      <c r="G9930"/>
      <c r="H9930"/>
      <c r="I9930"/>
      <c r="K9930"/>
      <c r="O9930"/>
      <c r="R9930"/>
      <c r="W9930" s="4"/>
      <c r="X9930" s="4"/>
      <c r="Y9930" s="4"/>
    </row>
    <row r="9931" spans="5:25">
      <c r="E9931"/>
      <c r="G9931"/>
      <c r="H9931"/>
      <c r="I9931"/>
      <c r="K9931"/>
      <c r="O9931"/>
      <c r="R9931"/>
      <c r="W9931" s="4"/>
      <c r="X9931" s="4"/>
      <c r="Y9931" s="4"/>
    </row>
    <row r="9932" spans="5:25">
      <c r="E9932"/>
      <c r="G9932"/>
      <c r="H9932"/>
      <c r="I9932"/>
      <c r="K9932"/>
      <c r="O9932"/>
      <c r="R9932"/>
      <c r="W9932" s="4"/>
      <c r="X9932" s="4"/>
      <c r="Y9932" s="4"/>
    </row>
    <row r="9933" spans="5:25">
      <c r="E9933"/>
      <c r="G9933"/>
      <c r="H9933"/>
      <c r="I9933"/>
      <c r="K9933"/>
      <c r="O9933"/>
      <c r="R9933"/>
      <c r="W9933" s="4"/>
      <c r="X9933" s="4"/>
      <c r="Y9933" s="4"/>
    </row>
    <row r="9934" spans="5:25">
      <c r="E9934"/>
      <c r="G9934"/>
      <c r="H9934"/>
      <c r="I9934"/>
      <c r="K9934"/>
      <c r="O9934"/>
      <c r="R9934"/>
      <c r="W9934" s="4"/>
      <c r="X9934" s="4"/>
      <c r="Y9934" s="4"/>
    </row>
    <row r="9935" spans="5:25">
      <c r="E9935"/>
      <c r="G9935"/>
      <c r="H9935"/>
      <c r="I9935"/>
      <c r="K9935"/>
      <c r="O9935"/>
      <c r="R9935"/>
      <c r="W9935" s="4"/>
      <c r="X9935" s="4"/>
      <c r="Y9935" s="4"/>
    </row>
    <row r="9936" spans="5:25">
      <c r="E9936"/>
      <c r="G9936"/>
      <c r="H9936"/>
      <c r="I9936"/>
      <c r="K9936"/>
      <c r="O9936"/>
      <c r="R9936"/>
      <c r="W9936" s="4"/>
      <c r="X9936" s="4"/>
      <c r="Y9936" s="4"/>
    </row>
    <row r="9937" spans="5:25">
      <c r="E9937"/>
      <c r="G9937"/>
      <c r="H9937"/>
      <c r="I9937"/>
      <c r="K9937"/>
      <c r="O9937"/>
      <c r="R9937"/>
      <c r="W9937" s="4"/>
      <c r="X9937" s="4"/>
      <c r="Y9937" s="4"/>
    </row>
    <row r="9938" spans="5:25">
      <c r="E9938"/>
      <c r="G9938"/>
      <c r="H9938"/>
      <c r="I9938"/>
      <c r="K9938"/>
      <c r="O9938"/>
      <c r="R9938"/>
      <c r="W9938" s="4"/>
      <c r="X9938" s="4"/>
      <c r="Y9938" s="4"/>
    </row>
    <row r="9939" spans="5:25">
      <c r="E9939"/>
      <c r="G9939"/>
      <c r="H9939"/>
      <c r="I9939"/>
      <c r="K9939"/>
      <c r="O9939"/>
      <c r="R9939"/>
      <c r="W9939" s="4"/>
      <c r="X9939" s="4"/>
      <c r="Y9939" s="4"/>
    </row>
    <row r="9940" spans="5:25">
      <c r="E9940"/>
      <c r="G9940"/>
      <c r="H9940"/>
      <c r="I9940"/>
      <c r="K9940"/>
      <c r="O9940"/>
      <c r="R9940"/>
      <c r="W9940" s="4"/>
      <c r="X9940" s="4"/>
      <c r="Y9940" s="4"/>
    </row>
    <row r="9941" spans="5:25">
      <c r="E9941"/>
      <c r="G9941"/>
      <c r="H9941"/>
      <c r="I9941"/>
      <c r="K9941"/>
      <c r="O9941"/>
      <c r="R9941"/>
      <c r="W9941" s="4"/>
      <c r="X9941" s="4"/>
      <c r="Y9941" s="4"/>
    </row>
    <row r="9942" spans="5:25">
      <c r="E9942"/>
      <c r="G9942"/>
      <c r="H9942"/>
      <c r="I9942"/>
      <c r="K9942"/>
      <c r="O9942"/>
      <c r="R9942"/>
      <c r="W9942" s="4"/>
      <c r="X9942" s="4"/>
      <c r="Y9942" s="4"/>
    </row>
    <row r="9943" spans="5:25">
      <c r="E9943"/>
      <c r="G9943"/>
      <c r="H9943"/>
      <c r="I9943"/>
      <c r="K9943"/>
      <c r="O9943"/>
      <c r="R9943"/>
      <c r="W9943" s="4"/>
      <c r="X9943" s="4"/>
      <c r="Y9943" s="4"/>
    </row>
    <row r="9944" spans="5:25">
      <c r="E9944"/>
      <c r="G9944"/>
      <c r="H9944"/>
      <c r="I9944"/>
      <c r="K9944"/>
      <c r="O9944"/>
      <c r="R9944"/>
      <c r="W9944" s="4"/>
      <c r="X9944" s="4"/>
      <c r="Y9944" s="4"/>
    </row>
    <row r="9945" spans="5:25">
      <c r="E9945"/>
      <c r="G9945"/>
      <c r="H9945"/>
      <c r="I9945"/>
      <c r="K9945"/>
      <c r="O9945"/>
      <c r="R9945"/>
      <c r="W9945" s="4"/>
      <c r="X9945" s="4"/>
      <c r="Y9945" s="4"/>
    </row>
    <row r="9946" spans="5:25">
      <c r="E9946"/>
      <c r="G9946"/>
      <c r="H9946"/>
      <c r="I9946"/>
      <c r="K9946"/>
      <c r="O9946"/>
      <c r="R9946"/>
      <c r="W9946" s="4"/>
      <c r="X9946" s="4"/>
      <c r="Y9946" s="4"/>
    </row>
    <row r="9947" spans="5:25">
      <c r="E9947"/>
      <c r="G9947"/>
      <c r="H9947"/>
      <c r="I9947"/>
      <c r="K9947"/>
      <c r="O9947"/>
      <c r="R9947"/>
      <c r="W9947" s="4"/>
      <c r="X9947" s="4"/>
      <c r="Y9947" s="4"/>
    </row>
    <row r="9948" spans="5:25">
      <c r="E9948"/>
      <c r="G9948"/>
      <c r="H9948"/>
      <c r="I9948"/>
      <c r="K9948"/>
      <c r="O9948"/>
      <c r="R9948"/>
      <c r="W9948" s="4"/>
      <c r="X9948" s="4"/>
      <c r="Y9948" s="4"/>
    </row>
    <row r="9949" spans="5:25">
      <c r="E9949"/>
      <c r="G9949"/>
      <c r="H9949"/>
      <c r="I9949"/>
      <c r="K9949"/>
      <c r="O9949"/>
      <c r="R9949"/>
      <c r="W9949" s="4"/>
      <c r="X9949" s="4"/>
      <c r="Y9949" s="4"/>
    </row>
    <row r="9950" spans="5:25">
      <c r="E9950"/>
      <c r="G9950"/>
      <c r="H9950"/>
      <c r="I9950"/>
      <c r="K9950"/>
      <c r="O9950"/>
      <c r="R9950"/>
      <c r="W9950" s="4"/>
      <c r="X9950" s="4"/>
      <c r="Y9950" s="4"/>
    </row>
    <row r="9951" spans="5:25">
      <c r="E9951"/>
      <c r="G9951"/>
      <c r="H9951"/>
      <c r="I9951"/>
      <c r="K9951"/>
      <c r="O9951"/>
      <c r="R9951"/>
      <c r="W9951" s="4"/>
      <c r="X9951" s="4"/>
      <c r="Y9951" s="4"/>
    </row>
    <row r="9952" spans="5:25">
      <c r="E9952"/>
      <c r="G9952"/>
      <c r="H9952"/>
      <c r="I9952"/>
      <c r="K9952"/>
      <c r="O9952"/>
      <c r="R9952"/>
      <c r="W9952" s="4"/>
      <c r="X9952" s="4"/>
      <c r="Y9952" s="4"/>
    </row>
    <row r="9953" spans="5:25">
      <c r="E9953"/>
      <c r="G9953"/>
      <c r="H9953"/>
      <c r="I9953"/>
      <c r="K9953"/>
      <c r="O9953"/>
      <c r="R9953"/>
      <c r="W9953" s="4"/>
      <c r="X9953" s="4"/>
      <c r="Y9953" s="4"/>
    </row>
    <row r="9954" spans="5:25">
      <c r="E9954"/>
      <c r="G9954"/>
      <c r="H9954"/>
      <c r="I9954"/>
      <c r="K9954"/>
      <c r="O9954"/>
      <c r="R9954"/>
      <c r="W9954" s="4"/>
      <c r="X9954" s="4"/>
      <c r="Y9954" s="4"/>
    </row>
    <row r="9955" spans="5:25">
      <c r="E9955"/>
      <c r="G9955"/>
      <c r="H9955"/>
      <c r="I9955"/>
      <c r="K9955"/>
      <c r="O9955"/>
      <c r="R9955"/>
      <c r="W9955" s="4"/>
      <c r="X9955" s="4"/>
      <c r="Y9955" s="4"/>
    </row>
    <row r="9956" spans="5:25">
      <c r="E9956"/>
      <c r="G9956"/>
      <c r="H9956"/>
      <c r="I9956"/>
      <c r="K9956"/>
      <c r="O9956"/>
      <c r="R9956"/>
      <c r="W9956" s="4"/>
      <c r="X9956" s="4"/>
      <c r="Y9956" s="4"/>
    </row>
    <row r="9957" spans="5:25">
      <c r="E9957"/>
      <c r="G9957"/>
      <c r="H9957"/>
      <c r="I9957"/>
      <c r="K9957"/>
      <c r="O9957"/>
      <c r="R9957"/>
      <c r="W9957" s="4"/>
      <c r="X9957" s="4"/>
      <c r="Y9957" s="4"/>
    </row>
    <row r="9958" spans="5:25">
      <c r="E9958"/>
      <c r="G9958"/>
      <c r="H9958"/>
      <c r="I9958"/>
      <c r="K9958"/>
      <c r="O9958"/>
      <c r="R9958"/>
      <c r="W9958" s="4"/>
      <c r="X9958" s="4"/>
      <c r="Y9958" s="4"/>
    </row>
    <row r="9959" spans="5:25">
      <c r="E9959"/>
      <c r="G9959"/>
      <c r="H9959"/>
      <c r="I9959"/>
      <c r="K9959"/>
      <c r="O9959"/>
      <c r="R9959"/>
      <c r="W9959" s="4"/>
      <c r="X9959" s="4"/>
      <c r="Y9959" s="4"/>
    </row>
    <row r="9960" spans="5:25">
      <c r="E9960"/>
      <c r="G9960"/>
      <c r="H9960"/>
      <c r="I9960"/>
      <c r="K9960"/>
      <c r="O9960"/>
      <c r="R9960"/>
      <c r="W9960" s="4"/>
      <c r="X9960" s="4"/>
      <c r="Y9960" s="4"/>
    </row>
    <row r="9961" spans="5:25">
      <c r="E9961"/>
      <c r="G9961"/>
      <c r="H9961"/>
      <c r="I9961"/>
      <c r="K9961"/>
      <c r="O9961"/>
      <c r="R9961"/>
      <c r="W9961" s="4"/>
      <c r="X9961" s="4"/>
      <c r="Y9961" s="4"/>
    </row>
    <row r="9962" spans="5:25">
      <c r="E9962"/>
      <c r="G9962"/>
      <c r="H9962"/>
      <c r="I9962"/>
      <c r="K9962"/>
      <c r="O9962"/>
      <c r="R9962"/>
      <c r="W9962" s="4"/>
      <c r="X9962" s="4"/>
      <c r="Y9962" s="4"/>
    </row>
    <row r="9963" spans="5:25">
      <c r="E9963"/>
      <c r="G9963"/>
      <c r="H9963"/>
      <c r="I9963"/>
      <c r="K9963"/>
      <c r="O9963"/>
      <c r="R9963"/>
      <c r="W9963" s="4"/>
      <c r="X9963" s="4"/>
      <c r="Y9963" s="4"/>
    </row>
    <row r="9964" spans="5:25">
      <c r="E9964"/>
      <c r="G9964"/>
      <c r="H9964"/>
      <c r="I9964"/>
      <c r="K9964"/>
      <c r="O9964"/>
      <c r="R9964"/>
      <c r="W9964" s="4"/>
      <c r="X9964" s="4"/>
      <c r="Y9964" s="4"/>
    </row>
    <row r="9965" spans="5:25">
      <c r="E9965"/>
      <c r="G9965"/>
      <c r="H9965"/>
      <c r="I9965"/>
      <c r="K9965"/>
      <c r="O9965"/>
      <c r="R9965"/>
      <c r="W9965" s="4"/>
      <c r="X9965" s="4"/>
      <c r="Y9965" s="4"/>
    </row>
    <row r="9966" spans="5:25">
      <c r="E9966"/>
      <c r="G9966"/>
      <c r="H9966"/>
      <c r="I9966"/>
      <c r="K9966"/>
      <c r="O9966"/>
      <c r="R9966"/>
      <c r="W9966" s="4"/>
      <c r="X9966" s="4"/>
      <c r="Y9966" s="4"/>
    </row>
    <row r="9967" spans="5:25">
      <c r="E9967"/>
      <c r="G9967"/>
      <c r="H9967"/>
      <c r="I9967"/>
      <c r="K9967"/>
      <c r="O9967"/>
      <c r="R9967"/>
      <c r="W9967" s="4"/>
      <c r="X9967" s="4"/>
      <c r="Y9967" s="4"/>
    </row>
    <row r="9968" spans="5:25">
      <c r="E9968"/>
      <c r="G9968"/>
      <c r="H9968"/>
      <c r="I9968"/>
      <c r="K9968"/>
      <c r="O9968"/>
      <c r="R9968"/>
      <c r="W9968" s="4"/>
      <c r="X9968" s="4"/>
      <c r="Y9968" s="4"/>
    </row>
    <row r="9969" spans="5:25">
      <c r="E9969"/>
      <c r="G9969"/>
      <c r="H9969"/>
      <c r="I9969"/>
      <c r="K9969"/>
      <c r="O9969"/>
      <c r="R9969"/>
      <c r="W9969" s="4"/>
      <c r="X9969" s="4"/>
      <c r="Y9969" s="4"/>
    </row>
    <row r="9970" spans="5:25">
      <c r="E9970"/>
      <c r="G9970"/>
      <c r="H9970"/>
      <c r="I9970"/>
      <c r="K9970"/>
      <c r="O9970"/>
      <c r="R9970"/>
      <c r="W9970" s="4"/>
      <c r="X9970" s="4"/>
      <c r="Y9970" s="4"/>
    </row>
    <row r="9971" spans="5:25">
      <c r="E9971"/>
      <c r="G9971"/>
      <c r="H9971"/>
      <c r="I9971"/>
      <c r="K9971"/>
      <c r="O9971"/>
      <c r="R9971"/>
      <c r="W9971" s="4"/>
      <c r="X9971" s="4"/>
      <c r="Y9971" s="4"/>
    </row>
    <row r="9972" spans="5:25">
      <c r="E9972"/>
      <c r="G9972"/>
      <c r="H9972"/>
      <c r="I9972"/>
      <c r="K9972"/>
      <c r="O9972"/>
      <c r="R9972"/>
      <c r="W9972" s="4"/>
      <c r="X9972" s="4"/>
      <c r="Y9972" s="4"/>
    </row>
    <row r="9973" spans="5:25">
      <c r="E9973"/>
      <c r="G9973"/>
      <c r="H9973"/>
      <c r="I9973"/>
      <c r="K9973"/>
      <c r="O9973"/>
      <c r="R9973"/>
      <c r="W9973" s="4"/>
      <c r="X9973" s="4"/>
      <c r="Y9973" s="4"/>
    </row>
    <row r="9974" spans="5:25">
      <c r="E9974"/>
      <c r="G9974"/>
      <c r="H9974"/>
      <c r="I9974"/>
      <c r="K9974"/>
      <c r="O9974"/>
      <c r="R9974"/>
      <c r="W9974" s="4"/>
      <c r="X9974" s="4"/>
      <c r="Y9974" s="4"/>
    </row>
    <row r="9975" spans="5:25">
      <c r="E9975"/>
      <c r="G9975"/>
      <c r="H9975"/>
      <c r="I9975"/>
      <c r="K9975"/>
      <c r="O9975"/>
      <c r="R9975"/>
      <c r="W9975" s="4"/>
      <c r="X9975" s="4"/>
      <c r="Y9975" s="4"/>
    </row>
    <row r="9976" spans="5:25">
      <c r="E9976"/>
      <c r="G9976"/>
      <c r="H9976"/>
      <c r="I9976"/>
      <c r="K9976"/>
      <c r="O9976"/>
      <c r="R9976"/>
      <c r="W9976" s="4"/>
      <c r="X9976" s="4"/>
      <c r="Y9976" s="4"/>
    </row>
    <row r="9977" spans="5:25">
      <c r="E9977"/>
      <c r="G9977"/>
      <c r="H9977"/>
      <c r="I9977"/>
      <c r="K9977"/>
      <c r="O9977"/>
      <c r="R9977"/>
      <c r="W9977" s="4"/>
      <c r="X9977" s="4"/>
      <c r="Y9977" s="4"/>
    </row>
    <row r="9978" spans="5:25">
      <c r="E9978"/>
      <c r="G9978"/>
      <c r="H9978"/>
      <c r="I9978"/>
      <c r="K9978"/>
      <c r="O9978"/>
      <c r="R9978"/>
      <c r="W9978" s="4"/>
      <c r="X9978" s="4"/>
      <c r="Y9978" s="4"/>
    </row>
    <row r="9979" spans="5:25">
      <c r="E9979"/>
      <c r="G9979"/>
      <c r="H9979"/>
      <c r="I9979"/>
      <c r="K9979"/>
      <c r="O9979"/>
      <c r="R9979"/>
      <c r="W9979" s="4"/>
      <c r="X9979" s="4"/>
      <c r="Y9979" s="4"/>
    </row>
    <row r="9980" spans="5:25">
      <c r="E9980"/>
      <c r="G9980"/>
      <c r="H9980"/>
      <c r="I9980"/>
      <c r="K9980"/>
      <c r="O9980"/>
      <c r="R9980"/>
      <c r="W9980" s="4"/>
      <c r="X9980" s="4"/>
      <c r="Y9980" s="4"/>
    </row>
    <row r="9981" spans="5:25">
      <c r="E9981"/>
      <c r="G9981"/>
      <c r="H9981"/>
      <c r="I9981"/>
      <c r="K9981"/>
      <c r="O9981"/>
      <c r="R9981"/>
      <c r="W9981" s="4"/>
      <c r="X9981" s="4"/>
      <c r="Y9981" s="4"/>
    </row>
    <row r="9982" spans="5:25">
      <c r="E9982"/>
      <c r="G9982"/>
      <c r="H9982"/>
      <c r="I9982"/>
      <c r="K9982"/>
      <c r="O9982"/>
      <c r="R9982"/>
      <c r="W9982" s="4"/>
      <c r="X9982" s="4"/>
      <c r="Y9982" s="4"/>
    </row>
    <row r="9983" spans="5:25">
      <c r="E9983"/>
      <c r="G9983"/>
      <c r="H9983"/>
      <c r="I9983"/>
      <c r="K9983"/>
      <c r="O9983"/>
      <c r="R9983"/>
      <c r="W9983" s="4"/>
      <c r="X9983" s="4"/>
      <c r="Y9983" s="4"/>
    </row>
    <row r="9984" spans="5:25">
      <c r="E9984"/>
      <c r="G9984"/>
      <c r="H9984"/>
      <c r="I9984"/>
      <c r="K9984"/>
      <c r="O9984"/>
      <c r="R9984"/>
      <c r="W9984" s="4"/>
      <c r="X9984" s="4"/>
      <c r="Y9984" s="4"/>
    </row>
    <row r="9985" spans="5:25">
      <c r="E9985"/>
      <c r="G9985"/>
      <c r="H9985"/>
      <c r="I9985"/>
      <c r="K9985"/>
      <c r="O9985"/>
      <c r="R9985"/>
      <c r="W9985" s="4"/>
      <c r="X9985" s="4"/>
      <c r="Y9985" s="4"/>
    </row>
    <row r="9986" spans="5:25">
      <c r="E9986"/>
      <c r="G9986"/>
      <c r="H9986"/>
      <c r="I9986"/>
      <c r="K9986"/>
      <c r="O9986"/>
      <c r="R9986"/>
      <c r="W9986" s="4"/>
      <c r="X9986" s="4"/>
      <c r="Y9986" s="4"/>
    </row>
    <row r="9987" spans="5:25">
      <c r="E9987"/>
      <c r="G9987"/>
      <c r="H9987"/>
      <c r="I9987"/>
      <c r="K9987"/>
      <c r="O9987"/>
      <c r="R9987"/>
      <c r="W9987" s="4"/>
      <c r="X9987" s="4"/>
      <c r="Y9987" s="4"/>
    </row>
    <row r="9988" spans="5:25">
      <c r="E9988"/>
      <c r="G9988"/>
      <c r="H9988"/>
      <c r="I9988"/>
      <c r="K9988"/>
      <c r="O9988"/>
      <c r="R9988"/>
      <c r="W9988" s="4"/>
      <c r="X9988" s="4"/>
      <c r="Y9988" s="4"/>
    </row>
    <row r="9989" spans="5:25">
      <c r="E9989"/>
      <c r="G9989"/>
      <c r="H9989"/>
      <c r="I9989"/>
      <c r="K9989"/>
      <c r="O9989"/>
      <c r="R9989"/>
      <c r="W9989" s="4"/>
      <c r="X9989" s="4"/>
      <c r="Y9989" s="4"/>
    </row>
    <row r="9990" spans="5:25">
      <c r="E9990"/>
      <c r="G9990"/>
      <c r="H9990"/>
      <c r="I9990"/>
      <c r="K9990"/>
      <c r="O9990"/>
      <c r="R9990"/>
      <c r="W9990" s="4"/>
      <c r="X9990" s="4"/>
      <c r="Y9990" s="4"/>
    </row>
    <row r="9991" spans="5:25">
      <c r="E9991"/>
      <c r="G9991"/>
      <c r="H9991"/>
      <c r="I9991"/>
      <c r="K9991"/>
      <c r="O9991"/>
      <c r="R9991"/>
      <c r="W9991" s="4"/>
      <c r="X9991" s="4"/>
      <c r="Y9991" s="4"/>
    </row>
    <row r="9992" spans="5:25">
      <c r="E9992"/>
      <c r="G9992"/>
      <c r="H9992"/>
      <c r="I9992"/>
      <c r="K9992"/>
      <c r="O9992"/>
      <c r="R9992"/>
      <c r="W9992" s="4"/>
      <c r="X9992" s="4"/>
      <c r="Y9992" s="4"/>
    </row>
    <row r="9993" spans="5:25">
      <c r="E9993"/>
      <c r="G9993"/>
      <c r="H9993"/>
      <c r="I9993"/>
      <c r="K9993"/>
      <c r="O9993"/>
      <c r="R9993"/>
      <c r="W9993" s="4"/>
      <c r="X9993" s="4"/>
      <c r="Y9993" s="4"/>
    </row>
    <row r="9994" spans="5:25">
      <c r="E9994"/>
      <c r="G9994"/>
      <c r="H9994"/>
      <c r="I9994"/>
      <c r="K9994"/>
      <c r="O9994"/>
      <c r="R9994"/>
      <c r="W9994" s="4"/>
      <c r="X9994" s="4"/>
      <c r="Y9994" s="4"/>
    </row>
    <row r="9995" spans="5:25">
      <c r="E9995"/>
      <c r="G9995"/>
      <c r="H9995"/>
      <c r="I9995"/>
      <c r="K9995"/>
      <c r="O9995"/>
      <c r="R9995"/>
      <c r="W9995" s="4"/>
      <c r="X9995" s="4"/>
      <c r="Y9995" s="4"/>
    </row>
    <row r="9996" spans="5:25">
      <c r="E9996"/>
      <c r="G9996"/>
      <c r="H9996"/>
      <c r="I9996"/>
      <c r="K9996"/>
      <c r="O9996"/>
      <c r="R9996"/>
      <c r="W9996" s="4"/>
      <c r="X9996" s="4"/>
      <c r="Y9996" s="4"/>
    </row>
    <row r="9997" spans="5:25">
      <c r="E9997"/>
      <c r="G9997"/>
      <c r="H9997"/>
      <c r="I9997"/>
      <c r="K9997"/>
      <c r="O9997"/>
      <c r="R9997"/>
      <c r="W9997" s="4"/>
      <c r="X9997" s="4"/>
      <c r="Y9997" s="4"/>
    </row>
    <row r="9998" spans="5:25">
      <c r="E9998"/>
      <c r="G9998"/>
      <c r="H9998"/>
      <c r="I9998"/>
      <c r="K9998"/>
      <c r="O9998"/>
      <c r="R9998"/>
      <c r="W9998" s="4"/>
      <c r="X9998" s="4"/>
      <c r="Y9998" s="4"/>
    </row>
    <row r="9999" spans="5:25">
      <c r="E9999"/>
      <c r="G9999"/>
      <c r="H9999"/>
      <c r="I9999"/>
      <c r="K9999"/>
      <c r="O9999"/>
      <c r="R9999"/>
      <c r="W9999" s="4"/>
      <c r="X9999" s="4"/>
      <c r="Y9999" s="4"/>
    </row>
    <row r="10000" spans="5:25">
      <c r="E10000"/>
      <c r="G10000"/>
      <c r="H10000"/>
      <c r="I10000"/>
      <c r="K10000"/>
      <c r="O10000"/>
      <c r="R10000"/>
      <c r="W10000" s="4"/>
      <c r="X10000" s="4"/>
      <c r="Y10000" s="4"/>
    </row>
    <row r="10001" spans="5:25">
      <c r="E10001"/>
      <c r="G10001"/>
      <c r="H10001"/>
      <c r="I10001"/>
      <c r="K10001"/>
      <c r="O10001"/>
      <c r="R10001"/>
      <c r="W10001" s="4"/>
      <c r="X10001" s="4"/>
      <c r="Y10001" s="4"/>
    </row>
    <row r="10002" spans="5:25">
      <c r="E10002"/>
      <c r="G10002"/>
      <c r="H10002"/>
      <c r="I10002"/>
      <c r="K10002"/>
      <c r="O10002"/>
      <c r="R10002"/>
      <c r="W10002" s="4"/>
      <c r="X10002" s="4"/>
      <c r="Y10002" s="4"/>
    </row>
    <row r="10003" spans="5:25">
      <c r="E10003"/>
      <c r="G10003"/>
      <c r="H10003"/>
      <c r="I10003"/>
      <c r="K10003"/>
      <c r="O10003"/>
      <c r="R10003"/>
      <c r="W10003" s="4"/>
      <c r="X10003" s="4"/>
      <c r="Y10003" s="4"/>
    </row>
    <row r="10004" spans="5:25">
      <c r="E10004"/>
      <c r="G10004"/>
      <c r="H10004"/>
      <c r="I10004"/>
      <c r="K10004"/>
      <c r="O10004"/>
      <c r="R10004"/>
      <c r="W10004" s="4"/>
      <c r="X10004" s="4"/>
      <c r="Y10004" s="4"/>
    </row>
    <row r="10005" spans="5:25">
      <c r="E10005"/>
      <c r="G10005"/>
      <c r="H10005"/>
      <c r="I10005"/>
      <c r="K10005"/>
      <c r="O10005"/>
      <c r="R10005"/>
      <c r="W10005" s="4"/>
      <c r="X10005" s="4"/>
      <c r="Y10005" s="4"/>
    </row>
    <row r="10006" spans="5:25">
      <c r="E10006"/>
      <c r="G10006"/>
      <c r="H10006"/>
      <c r="I10006"/>
      <c r="K10006"/>
      <c r="O10006"/>
      <c r="R10006"/>
      <c r="W10006" s="4"/>
      <c r="X10006" s="4"/>
      <c r="Y10006" s="4"/>
    </row>
    <row r="10007" spans="5:25">
      <c r="E10007"/>
      <c r="G10007"/>
      <c r="H10007"/>
      <c r="I10007"/>
      <c r="K10007"/>
      <c r="O10007"/>
      <c r="R10007"/>
      <c r="W10007" s="4"/>
      <c r="X10007" s="4"/>
      <c r="Y10007" s="4"/>
    </row>
    <row r="10008" spans="5:25">
      <c r="E10008"/>
      <c r="G10008"/>
      <c r="H10008"/>
      <c r="I10008"/>
      <c r="K10008"/>
      <c r="O10008"/>
      <c r="R10008"/>
      <c r="W10008" s="4"/>
      <c r="X10008" s="4"/>
      <c r="Y10008" s="4"/>
    </row>
    <row r="10009" spans="5:25">
      <c r="E10009"/>
      <c r="G10009"/>
      <c r="H10009"/>
      <c r="I10009"/>
      <c r="K10009"/>
      <c r="O10009"/>
      <c r="R10009"/>
      <c r="W10009" s="4"/>
      <c r="X10009" s="4"/>
      <c r="Y10009" s="4"/>
    </row>
    <row r="10010" spans="5:25">
      <c r="E10010"/>
      <c r="G10010"/>
      <c r="H10010"/>
      <c r="I10010"/>
      <c r="K10010"/>
      <c r="O10010"/>
      <c r="R10010"/>
      <c r="W10010" s="4"/>
      <c r="X10010" s="4"/>
      <c r="Y10010" s="4"/>
    </row>
    <row r="10011" spans="5:25">
      <c r="E10011"/>
      <c r="G10011"/>
      <c r="H10011"/>
      <c r="I10011"/>
      <c r="K10011"/>
      <c r="O10011"/>
      <c r="R10011"/>
      <c r="W10011" s="4"/>
      <c r="X10011" s="4"/>
      <c r="Y10011" s="4"/>
    </row>
    <row r="10012" spans="5:25">
      <c r="E10012"/>
      <c r="G10012"/>
      <c r="H10012"/>
      <c r="I10012"/>
      <c r="K10012"/>
      <c r="O10012"/>
      <c r="R10012"/>
      <c r="W10012" s="4"/>
      <c r="X10012" s="4"/>
      <c r="Y10012" s="4"/>
    </row>
    <row r="10013" spans="5:25">
      <c r="E10013"/>
      <c r="G10013"/>
      <c r="H10013"/>
      <c r="I10013"/>
      <c r="K10013"/>
      <c r="O10013"/>
      <c r="R10013"/>
      <c r="W10013" s="4"/>
      <c r="X10013" s="4"/>
      <c r="Y10013" s="4"/>
    </row>
    <row r="10014" spans="5:25">
      <c r="E10014"/>
      <c r="G10014"/>
      <c r="H10014"/>
      <c r="I10014"/>
      <c r="K10014"/>
      <c r="O10014"/>
      <c r="R10014"/>
      <c r="W10014" s="4"/>
      <c r="X10014" s="4"/>
      <c r="Y10014" s="4"/>
    </row>
    <row r="10015" spans="5:25">
      <c r="E10015"/>
      <c r="G10015"/>
      <c r="H10015"/>
      <c r="I10015"/>
      <c r="K10015"/>
      <c r="O10015"/>
      <c r="R10015"/>
      <c r="W10015" s="4"/>
      <c r="X10015" s="4"/>
      <c r="Y10015" s="4"/>
    </row>
    <row r="10016" spans="5:25">
      <c r="E10016"/>
      <c r="G10016"/>
      <c r="H10016"/>
      <c r="I10016"/>
      <c r="K10016"/>
      <c r="O10016"/>
      <c r="R10016"/>
      <c r="W10016" s="4"/>
      <c r="X10016" s="4"/>
      <c r="Y10016" s="4"/>
    </row>
    <row r="10017" spans="5:25">
      <c r="E10017"/>
      <c r="G10017"/>
      <c r="H10017"/>
      <c r="I10017"/>
      <c r="K10017"/>
      <c r="O10017"/>
      <c r="R10017"/>
      <c r="W10017" s="4"/>
      <c r="X10017" s="4"/>
      <c r="Y10017" s="4"/>
    </row>
    <row r="10018" spans="5:25">
      <c r="E10018"/>
      <c r="G10018"/>
      <c r="H10018"/>
      <c r="I10018"/>
      <c r="K10018"/>
      <c r="O10018"/>
      <c r="R10018"/>
      <c r="W10018" s="4"/>
      <c r="X10018" s="4"/>
      <c r="Y10018" s="4"/>
    </row>
    <row r="10019" spans="5:25">
      <c r="E10019"/>
      <c r="G10019"/>
      <c r="H10019"/>
      <c r="I10019"/>
      <c r="K10019"/>
      <c r="O10019"/>
      <c r="R10019"/>
      <c r="W10019" s="4"/>
      <c r="X10019" s="4"/>
      <c r="Y10019" s="4"/>
    </row>
    <row r="10020" spans="5:25">
      <c r="E10020"/>
      <c r="G10020"/>
      <c r="H10020"/>
      <c r="I10020"/>
      <c r="K10020"/>
      <c r="O10020"/>
      <c r="R10020"/>
      <c r="W10020" s="4"/>
      <c r="X10020" s="4"/>
      <c r="Y10020" s="4"/>
    </row>
    <row r="10021" spans="5:25">
      <c r="E10021"/>
      <c r="G10021"/>
      <c r="H10021"/>
      <c r="I10021"/>
      <c r="K10021"/>
      <c r="O10021"/>
      <c r="R10021"/>
      <c r="W10021" s="4"/>
      <c r="X10021" s="4"/>
      <c r="Y10021" s="4"/>
    </row>
    <row r="10022" spans="5:25">
      <c r="E10022"/>
      <c r="G10022"/>
      <c r="H10022"/>
      <c r="I10022"/>
      <c r="K10022"/>
      <c r="O10022"/>
      <c r="R10022"/>
      <c r="W10022" s="4"/>
      <c r="X10022" s="4"/>
      <c r="Y10022" s="4"/>
    </row>
    <row r="10023" spans="5:25">
      <c r="E10023"/>
      <c r="G10023"/>
      <c r="H10023"/>
      <c r="I10023"/>
      <c r="K10023"/>
      <c r="O10023"/>
      <c r="R10023"/>
      <c r="W10023" s="4"/>
      <c r="X10023" s="4"/>
      <c r="Y10023" s="4"/>
    </row>
    <row r="10024" spans="5:25">
      <c r="E10024"/>
      <c r="G10024"/>
      <c r="H10024"/>
      <c r="I10024"/>
      <c r="K10024"/>
      <c r="O10024"/>
      <c r="R10024"/>
      <c r="W10024" s="4"/>
      <c r="X10024" s="4"/>
      <c r="Y10024" s="4"/>
    </row>
    <row r="10025" spans="5:25">
      <c r="E10025"/>
      <c r="G10025"/>
      <c r="H10025"/>
      <c r="I10025"/>
      <c r="K10025"/>
      <c r="O10025"/>
      <c r="R10025"/>
      <c r="W10025" s="4"/>
      <c r="X10025" s="4"/>
      <c r="Y10025" s="4"/>
    </row>
    <row r="10026" spans="5:25">
      <c r="E10026"/>
      <c r="G10026"/>
      <c r="H10026"/>
      <c r="I10026"/>
      <c r="K10026"/>
      <c r="O10026"/>
      <c r="R10026"/>
      <c r="W10026" s="4"/>
      <c r="X10026" s="4"/>
      <c r="Y10026" s="4"/>
    </row>
    <row r="10027" spans="5:25">
      <c r="E10027"/>
      <c r="G10027"/>
      <c r="H10027"/>
      <c r="I10027"/>
      <c r="K10027"/>
      <c r="O10027"/>
      <c r="R10027"/>
      <c r="W10027" s="4"/>
      <c r="X10027" s="4"/>
      <c r="Y10027" s="4"/>
    </row>
    <row r="10028" spans="5:25">
      <c r="E10028"/>
      <c r="G10028"/>
      <c r="H10028"/>
      <c r="I10028"/>
      <c r="K10028"/>
      <c r="O10028"/>
      <c r="R10028"/>
      <c r="W10028" s="4"/>
      <c r="X10028" s="4"/>
      <c r="Y10028" s="4"/>
    </row>
    <row r="10029" spans="5:25">
      <c r="E10029"/>
      <c r="G10029"/>
      <c r="H10029"/>
      <c r="I10029"/>
      <c r="K10029"/>
      <c r="O10029"/>
      <c r="R10029"/>
      <c r="W10029" s="4"/>
      <c r="X10029" s="4"/>
      <c r="Y10029" s="4"/>
    </row>
    <row r="10030" spans="5:25">
      <c r="E10030"/>
      <c r="G10030"/>
      <c r="H10030"/>
      <c r="I10030"/>
      <c r="K10030"/>
      <c r="O10030"/>
      <c r="R10030"/>
      <c r="W10030" s="4"/>
      <c r="X10030" s="4"/>
      <c r="Y10030" s="4"/>
    </row>
    <row r="10031" spans="5:25">
      <c r="E10031"/>
      <c r="G10031"/>
      <c r="H10031"/>
      <c r="I10031"/>
      <c r="K10031"/>
      <c r="O10031"/>
      <c r="R10031"/>
      <c r="W10031" s="4"/>
      <c r="X10031" s="4"/>
      <c r="Y10031" s="4"/>
    </row>
    <row r="10032" spans="5:25">
      <c r="E10032"/>
      <c r="G10032"/>
      <c r="H10032"/>
      <c r="I10032"/>
      <c r="K10032"/>
      <c r="O10032"/>
      <c r="R10032"/>
      <c r="W10032" s="4"/>
      <c r="X10032" s="4"/>
      <c r="Y10032" s="4"/>
    </row>
    <row r="10033" spans="5:25">
      <c r="E10033"/>
      <c r="G10033"/>
      <c r="H10033"/>
      <c r="I10033"/>
      <c r="K10033"/>
      <c r="O10033"/>
      <c r="R10033"/>
      <c r="W10033" s="4"/>
      <c r="X10033" s="4"/>
      <c r="Y10033" s="4"/>
    </row>
    <row r="10034" spans="5:25">
      <c r="E10034"/>
      <c r="G10034"/>
      <c r="H10034"/>
      <c r="I10034"/>
      <c r="K10034"/>
      <c r="O10034"/>
      <c r="R10034"/>
      <c r="W10034" s="4"/>
      <c r="X10034" s="4"/>
      <c r="Y10034" s="4"/>
    </row>
    <row r="10035" spans="5:25">
      <c r="E10035"/>
      <c r="G10035"/>
      <c r="H10035"/>
      <c r="I10035"/>
      <c r="K10035"/>
      <c r="O10035"/>
      <c r="R10035"/>
      <c r="W10035" s="4"/>
      <c r="X10035" s="4"/>
      <c r="Y10035" s="4"/>
    </row>
    <row r="10036" spans="5:25">
      <c r="E10036"/>
      <c r="G10036"/>
      <c r="H10036"/>
      <c r="I10036"/>
      <c r="K10036"/>
      <c r="O10036"/>
      <c r="R10036"/>
      <c r="W10036" s="4"/>
      <c r="X10036" s="4"/>
      <c r="Y10036" s="4"/>
    </row>
    <row r="10037" spans="5:25">
      <c r="E10037"/>
      <c r="G10037"/>
      <c r="H10037"/>
      <c r="I10037"/>
      <c r="K10037"/>
      <c r="O10037"/>
      <c r="R10037"/>
      <c r="W10037" s="4"/>
      <c r="X10037" s="4"/>
      <c r="Y10037" s="4"/>
    </row>
    <row r="10038" spans="5:25">
      <c r="E10038"/>
      <c r="G10038"/>
      <c r="H10038"/>
      <c r="I10038"/>
      <c r="K10038"/>
      <c r="O10038"/>
      <c r="R10038"/>
      <c r="W10038" s="4"/>
      <c r="X10038" s="4"/>
      <c r="Y10038" s="4"/>
    </row>
    <row r="10039" spans="5:25">
      <c r="E10039"/>
      <c r="G10039"/>
      <c r="H10039"/>
      <c r="I10039"/>
      <c r="K10039"/>
      <c r="O10039"/>
      <c r="R10039"/>
      <c r="W10039" s="4"/>
      <c r="X10039" s="4"/>
      <c r="Y10039" s="4"/>
    </row>
    <row r="10040" spans="5:25">
      <c r="E10040"/>
      <c r="G10040"/>
      <c r="H10040"/>
      <c r="I10040"/>
      <c r="K10040"/>
      <c r="O10040"/>
      <c r="R10040"/>
      <c r="W10040" s="4"/>
      <c r="X10040" s="4"/>
      <c r="Y10040" s="4"/>
    </row>
    <row r="10041" spans="5:25">
      <c r="E10041"/>
      <c r="G10041"/>
      <c r="H10041"/>
      <c r="I10041"/>
      <c r="K10041"/>
      <c r="O10041"/>
      <c r="R10041"/>
      <c r="W10041" s="4"/>
      <c r="X10041" s="4"/>
      <c r="Y10041" s="4"/>
    </row>
    <row r="10042" spans="5:25">
      <c r="E10042"/>
      <c r="G10042"/>
      <c r="H10042"/>
      <c r="I10042"/>
      <c r="K10042"/>
      <c r="O10042"/>
      <c r="R10042"/>
      <c r="W10042" s="4"/>
      <c r="X10042" s="4"/>
      <c r="Y10042" s="4"/>
    </row>
    <row r="10043" spans="5:25">
      <c r="E10043"/>
      <c r="G10043"/>
      <c r="H10043"/>
      <c r="I10043"/>
      <c r="K10043"/>
      <c r="O10043"/>
      <c r="R10043"/>
      <c r="W10043" s="4"/>
      <c r="X10043" s="4"/>
      <c r="Y10043" s="4"/>
    </row>
    <row r="10044" spans="5:25">
      <c r="E10044"/>
      <c r="G10044"/>
      <c r="H10044"/>
      <c r="I10044"/>
      <c r="K10044"/>
      <c r="O10044"/>
      <c r="R10044"/>
      <c r="W10044" s="4"/>
      <c r="X10044" s="4"/>
      <c r="Y10044" s="4"/>
    </row>
    <row r="10045" spans="5:25">
      <c r="E10045"/>
      <c r="G10045"/>
      <c r="H10045"/>
      <c r="I10045"/>
      <c r="K10045"/>
      <c r="O10045"/>
      <c r="R10045"/>
      <c r="W10045" s="4"/>
      <c r="X10045" s="4"/>
      <c r="Y10045" s="4"/>
    </row>
    <row r="10046" spans="5:25">
      <c r="E10046"/>
      <c r="G10046"/>
      <c r="H10046"/>
      <c r="I10046"/>
      <c r="K10046"/>
      <c r="O10046"/>
      <c r="R10046"/>
      <c r="W10046" s="4"/>
      <c r="X10046" s="4"/>
      <c r="Y10046" s="4"/>
    </row>
    <row r="10047" spans="5:25">
      <c r="E10047"/>
      <c r="G10047"/>
      <c r="H10047"/>
      <c r="I10047"/>
      <c r="K10047"/>
      <c r="O10047"/>
      <c r="R10047"/>
      <c r="W10047" s="4"/>
      <c r="X10047" s="4"/>
      <c r="Y10047" s="4"/>
    </row>
    <row r="10048" spans="5:25">
      <c r="E10048"/>
      <c r="G10048"/>
      <c r="H10048"/>
      <c r="I10048"/>
      <c r="K10048"/>
      <c r="O10048"/>
      <c r="R10048"/>
      <c r="W10048" s="4"/>
      <c r="X10048" s="4"/>
      <c r="Y10048" s="4"/>
    </row>
    <row r="10049" spans="5:25">
      <c r="E10049"/>
      <c r="G10049"/>
      <c r="H10049"/>
      <c r="I10049"/>
      <c r="K10049"/>
      <c r="O10049"/>
      <c r="R10049"/>
      <c r="W10049" s="4"/>
      <c r="X10049" s="4"/>
      <c r="Y10049" s="4"/>
    </row>
    <row r="10050" spans="5:25">
      <c r="E10050"/>
      <c r="G10050"/>
      <c r="H10050"/>
      <c r="I10050"/>
      <c r="K10050"/>
      <c r="O10050"/>
      <c r="R10050"/>
      <c r="W10050" s="4"/>
      <c r="X10050" s="4"/>
      <c r="Y10050" s="4"/>
    </row>
    <row r="10051" spans="5:25">
      <c r="E10051"/>
      <c r="G10051"/>
      <c r="H10051"/>
      <c r="I10051"/>
      <c r="K10051"/>
      <c r="O10051"/>
      <c r="R10051"/>
      <c r="W10051" s="4"/>
      <c r="X10051" s="4"/>
      <c r="Y10051" s="4"/>
    </row>
    <row r="10052" spans="5:25">
      <c r="E10052"/>
      <c r="G10052"/>
      <c r="H10052"/>
      <c r="I10052"/>
      <c r="K10052"/>
      <c r="O10052"/>
      <c r="R10052"/>
      <c r="W10052" s="4"/>
      <c r="X10052" s="4"/>
      <c r="Y10052" s="4"/>
    </row>
    <row r="10053" spans="5:25">
      <c r="E10053"/>
      <c r="G10053"/>
      <c r="H10053"/>
      <c r="I10053"/>
      <c r="K10053"/>
      <c r="O10053"/>
      <c r="R10053"/>
      <c r="W10053" s="4"/>
      <c r="X10053" s="4"/>
      <c r="Y10053" s="4"/>
    </row>
    <row r="10054" spans="5:25">
      <c r="E10054"/>
      <c r="G10054"/>
      <c r="H10054"/>
      <c r="I10054"/>
      <c r="K10054"/>
      <c r="O10054"/>
      <c r="R10054"/>
      <c r="W10054" s="4"/>
      <c r="X10054" s="4"/>
      <c r="Y10054" s="4"/>
    </row>
    <row r="10055" spans="5:25">
      <c r="E10055"/>
      <c r="G10055"/>
      <c r="H10055"/>
      <c r="I10055"/>
      <c r="K10055"/>
      <c r="O10055"/>
      <c r="R10055"/>
      <c r="W10055" s="4"/>
      <c r="X10055" s="4"/>
      <c r="Y10055" s="4"/>
    </row>
    <row r="10056" spans="5:25">
      <c r="E10056"/>
      <c r="G10056"/>
      <c r="H10056"/>
      <c r="I10056"/>
      <c r="K10056"/>
      <c r="O10056"/>
      <c r="R10056"/>
      <c r="W10056" s="4"/>
      <c r="X10056" s="4"/>
      <c r="Y10056" s="4"/>
    </row>
    <row r="10057" spans="5:25">
      <c r="E10057"/>
      <c r="G10057"/>
      <c r="H10057"/>
      <c r="I10057"/>
      <c r="K10057"/>
      <c r="O10057"/>
      <c r="R10057"/>
      <c r="W10057" s="4"/>
      <c r="X10057" s="4"/>
      <c r="Y10057" s="4"/>
    </row>
    <row r="10058" spans="5:25">
      <c r="E10058"/>
      <c r="G10058"/>
      <c r="H10058"/>
      <c r="I10058"/>
      <c r="K10058"/>
      <c r="O10058"/>
      <c r="R10058"/>
      <c r="W10058" s="4"/>
      <c r="X10058" s="4"/>
      <c r="Y10058" s="4"/>
    </row>
    <row r="10059" spans="5:25">
      <c r="E10059"/>
      <c r="G10059"/>
      <c r="H10059"/>
      <c r="I10059"/>
      <c r="K10059"/>
      <c r="O10059"/>
      <c r="R10059"/>
      <c r="W10059" s="4"/>
      <c r="X10059" s="4"/>
      <c r="Y10059" s="4"/>
    </row>
    <row r="10060" spans="5:25">
      <c r="E10060"/>
      <c r="G10060"/>
      <c r="H10060"/>
      <c r="I10060"/>
      <c r="K10060"/>
      <c r="O10060"/>
      <c r="R10060"/>
      <c r="W10060" s="4"/>
      <c r="X10060" s="4"/>
      <c r="Y10060" s="4"/>
    </row>
    <row r="10061" spans="5:25">
      <c r="E10061"/>
      <c r="G10061"/>
      <c r="H10061"/>
      <c r="I10061"/>
      <c r="K10061"/>
      <c r="O10061"/>
      <c r="R10061"/>
      <c r="W10061" s="4"/>
      <c r="X10061" s="4"/>
      <c r="Y10061" s="4"/>
    </row>
    <row r="10062" spans="5:25">
      <c r="E10062"/>
      <c r="G10062"/>
      <c r="H10062"/>
      <c r="I10062"/>
      <c r="K10062"/>
      <c r="O10062"/>
      <c r="R10062"/>
      <c r="W10062" s="4"/>
      <c r="X10062" s="4"/>
      <c r="Y10062" s="4"/>
    </row>
    <row r="10063" spans="5:25">
      <c r="E10063"/>
      <c r="G10063"/>
      <c r="H10063"/>
      <c r="I10063"/>
      <c r="K10063"/>
      <c r="O10063"/>
      <c r="R10063"/>
      <c r="W10063" s="4"/>
      <c r="X10063" s="4"/>
      <c r="Y10063" s="4"/>
    </row>
    <row r="10064" spans="5:25">
      <c r="E10064"/>
      <c r="G10064"/>
      <c r="H10064"/>
      <c r="I10064"/>
      <c r="K10064"/>
      <c r="O10064"/>
      <c r="R10064"/>
      <c r="W10064" s="4"/>
      <c r="X10064" s="4"/>
      <c r="Y10064" s="4"/>
    </row>
    <row r="10065" spans="5:25">
      <c r="E10065"/>
      <c r="G10065"/>
      <c r="H10065"/>
      <c r="I10065"/>
      <c r="K10065"/>
      <c r="O10065"/>
      <c r="R10065"/>
      <c r="W10065" s="4"/>
      <c r="X10065" s="4"/>
      <c r="Y10065" s="4"/>
    </row>
    <row r="10066" spans="5:25">
      <c r="E10066"/>
      <c r="G10066"/>
      <c r="H10066"/>
      <c r="I10066"/>
      <c r="K10066"/>
      <c r="O10066"/>
      <c r="R10066"/>
      <c r="W10066" s="4"/>
      <c r="X10066" s="4"/>
      <c r="Y10066" s="4"/>
    </row>
    <row r="10067" spans="5:25">
      <c r="E10067"/>
      <c r="G10067"/>
      <c r="H10067"/>
      <c r="I10067"/>
      <c r="K10067"/>
      <c r="O10067"/>
      <c r="R10067"/>
      <c r="W10067" s="4"/>
      <c r="X10067" s="4"/>
      <c r="Y10067" s="4"/>
    </row>
    <row r="10068" spans="5:25">
      <c r="E10068"/>
      <c r="G10068"/>
      <c r="H10068"/>
      <c r="I10068"/>
      <c r="K10068"/>
      <c r="O10068"/>
      <c r="R10068"/>
      <c r="W10068" s="4"/>
      <c r="X10068" s="4"/>
      <c r="Y10068" s="4"/>
    </row>
    <row r="10069" spans="5:25">
      <c r="E10069"/>
      <c r="G10069"/>
      <c r="H10069"/>
      <c r="I10069"/>
      <c r="K10069"/>
      <c r="O10069"/>
      <c r="R10069"/>
      <c r="W10069" s="4"/>
      <c r="X10069" s="4"/>
      <c r="Y10069" s="4"/>
    </row>
    <row r="10070" spans="5:25">
      <c r="E10070"/>
      <c r="G10070"/>
      <c r="H10070"/>
      <c r="I10070"/>
      <c r="K10070"/>
      <c r="O10070"/>
      <c r="R10070"/>
      <c r="W10070" s="4"/>
      <c r="X10070" s="4"/>
      <c r="Y10070" s="4"/>
    </row>
    <row r="10071" spans="5:25">
      <c r="E10071"/>
      <c r="G10071"/>
      <c r="H10071"/>
      <c r="I10071"/>
      <c r="K10071"/>
      <c r="O10071"/>
      <c r="R10071"/>
      <c r="W10071" s="4"/>
      <c r="X10071" s="4"/>
      <c r="Y10071" s="4"/>
    </row>
    <row r="10072" spans="5:25">
      <c r="E10072"/>
      <c r="G10072"/>
      <c r="H10072"/>
      <c r="I10072"/>
      <c r="K10072"/>
      <c r="O10072"/>
      <c r="R10072"/>
      <c r="W10072" s="4"/>
      <c r="X10072" s="4"/>
      <c r="Y10072" s="4"/>
    </row>
    <row r="10073" spans="5:25">
      <c r="E10073"/>
      <c r="G10073"/>
      <c r="H10073"/>
      <c r="I10073"/>
      <c r="K10073"/>
      <c r="O10073"/>
      <c r="R10073"/>
      <c r="W10073" s="4"/>
      <c r="X10073" s="4"/>
      <c r="Y10073" s="4"/>
    </row>
    <row r="10074" spans="5:25">
      <c r="E10074"/>
      <c r="G10074"/>
      <c r="H10074"/>
      <c r="I10074"/>
      <c r="K10074"/>
      <c r="O10074"/>
      <c r="R10074"/>
      <c r="W10074" s="4"/>
      <c r="X10074" s="4"/>
      <c r="Y10074" s="4"/>
    </row>
    <row r="10075" spans="5:25">
      <c r="E10075"/>
      <c r="G10075"/>
      <c r="H10075"/>
      <c r="I10075"/>
      <c r="K10075"/>
      <c r="O10075"/>
      <c r="R10075"/>
      <c r="W10075" s="4"/>
      <c r="X10075" s="4"/>
      <c r="Y10075" s="4"/>
    </row>
    <row r="10076" spans="5:25">
      <c r="E10076"/>
      <c r="G10076"/>
      <c r="H10076"/>
      <c r="I10076"/>
      <c r="K10076"/>
      <c r="O10076"/>
      <c r="R10076"/>
      <c r="W10076" s="4"/>
      <c r="X10076" s="4"/>
      <c r="Y10076" s="4"/>
    </row>
    <row r="10077" spans="5:25">
      <c r="E10077"/>
      <c r="G10077"/>
      <c r="H10077"/>
      <c r="I10077"/>
      <c r="K10077"/>
      <c r="O10077"/>
      <c r="R10077"/>
      <c r="W10077" s="4"/>
      <c r="X10077" s="4"/>
      <c r="Y10077" s="4"/>
    </row>
    <row r="10078" spans="5:25">
      <c r="E10078"/>
      <c r="G10078"/>
      <c r="H10078"/>
      <c r="I10078"/>
      <c r="K10078"/>
      <c r="O10078"/>
      <c r="R10078"/>
      <c r="W10078" s="4"/>
      <c r="X10078" s="4"/>
      <c r="Y10078" s="4"/>
    </row>
    <row r="10079" spans="5:25">
      <c r="E10079"/>
      <c r="G10079"/>
      <c r="H10079"/>
      <c r="I10079"/>
      <c r="K10079"/>
      <c r="O10079"/>
      <c r="R10079"/>
      <c r="W10079" s="4"/>
      <c r="X10079" s="4"/>
      <c r="Y10079" s="4"/>
    </row>
    <row r="10080" spans="5:25">
      <c r="E10080"/>
      <c r="G10080"/>
      <c r="H10080"/>
      <c r="I10080"/>
      <c r="K10080"/>
      <c r="O10080"/>
      <c r="R10080"/>
      <c r="W10080" s="4"/>
      <c r="X10080" s="4"/>
      <c r="Y10080" s="4"/>
    </row>
    <row r="10081" spans="5:25">
      <c r="E10081"/>
      <c r="G10081"/>
      <c r="H10081"/>
      <c r="I10081"/>
      <c r="K10081"/>
      <c r="O10081"/>
      <c r="R10081"/>
      <c r="W10081" s="4"/>
      <c r="X10081" s="4"/>
      <c r="Y10081" s="4"/>
    </row>
    <row r="10082" spans="5:25">
      <c r="E10082"/>
      <c r="G10082"/>
      <c r="H10082"/>
      <c r="I10082"/>
      <c r="K10082"/>
      <c r="O10082"/>
      <c r="R10082"/>
      <c r="W10082" s="4"/>
      <c r="X10082" s="4"/>
      <c r="Y10082" s="4"/>
    </row>
    <row r="10083" spans="5:25">
      <c r="E10083"/>
      <c r="G10083"/>
      <c r="H10083"/>
      <c r="I10083"/>
      <c r="K10083"/>
      <c r="O10083"/>
      <c r="R10083"/>
      <c r="W10083" s="4"/>
      <c r="X10083" s="4"/>
      <c r="Y10083" s="4"/>
    </row>
    <row r="10084" spans="5:25">
      <c r="E10084"/>
      <c r="G10084"/>
      <c r="H10084"/>
      <c r="I10084"/>
      <c r="K10084"/>
      <c r="O10084"/>
      <c r="R10084"/>
      <c r="W10084" s="4"/>
      <c r="X10084" s="4"/>
      <c r="Y10084" s="4"/>
    </row>
    <row r="10085" spans="5:25">
      <c r="E10085"/>
      <c r="G10085"/>
      <c r="H10085"/>
      <c r="I10085"/>
      <c r="K10085"/>
      <c r="O10085"/>
      <c r="R10085"/>
      <c r="W10085" s="4"/>
      <c r="X10085" s="4"/>
      <c r="Y10085" s="4"/>
    </row>
    <row r="10086" spans="5:25">
      <c r="E10086"/>
      <c r="G10086"/>
      <c r="H10086"/>
      <c r="I10086"/>
      <c r="K10086"/>
      <c r="O10086"/>
      <c r="R10086"/>
      <c r="W10086" s="4"/>
      <c r="X10086" s="4"/>
      <c r="Y10086" s="4"/>
    </row>
    <row r="10087" spans="5:25">
      <c r="E10087"/>
      <c r="G10087"/>
      <c r="H10087"/>
      <c r="I10087"/>
      <c r="K10087"/>
      <c r="O10087"/>
      <c r="R10087"/>
      <c r="W10087" s="4"/>
      <c r="X10087" s="4"/>
      <c r="Y10087" s="4"/>
    </row>
    <row r="10088" spans="5:25">
      <c r="E10088"/>
      <c r="G10088"/>
      <c r="H10088"/>
      <c r="I10088"/>
      <c r="K10088"/>
      <c r="O10088"/>
      <c r="R10088"/>
      <c r="W10088" s="4"/>
      <c r="X10088" s="4"/>
      <c r="Y10088" s="4"/>
    </row>
    <row r="10089" spans="5:25">
      <c r="E10089"/>
      <c r="G10089"/>
      <c r="H10089"/>
      <c r="I10089"/>
      <c r="K10089"/>
      <c r="O10089"/>
      <c r="R10089"/>
      <c r="W10089" s="4"/>
      <c r="X10089" s="4"/>
      <c r="Y10089" s="4"/>
    </row>
    <row r="10090" spans="5:25">
      <c r="E10090"/>
      <c r="G10090"/>
      <c r="H10090"/>
      <c r="I10090"/>
      <c r="K10090"/>
      <c r="O10090"/>
      <c r="R10090"/>
      <c r="W10090" s="4"/>
      <c r="X10090" s="4"/>
      <c r="Y10090" s="4"/>
    </row>
    <row r="10091" spans="5:25">
      <c r="E10091"/>
      <c r="G10091"/>
      <c r="H10091"/>
      <c r="I10091"/>
      <c r="K10091"/>
      <c r="O10091"/>
      <c r="R10091"/>
      <c r="W10091" s="4"/>
      <c r="X10091" s="4"/>
      <c r="Y10091" s="4"/>
    </row>
    <row r="10092" spans="5:25">
      <c r="E10092"/>
      <c r="G10092"/>
      <c r="H10092"/>
      <c r="I10092"/>
      <c r="K10092"/>
      <c r="O10092"/>
      <c r="R10092"/>
      <c r="W10092" s="4"/>
      <c r="X10092" s="4"/>
      <c r="Y10092" s="4"/>
    </row>
    <row r="10093" spans="5:25">
      <c r="E10093"/>
      <c r="G10093"/>
      <c r="H10093"/>
      <c r="I10093"/>
      <c r="K10093"/>
      <c r="O10093"/>
      <c r="R10093"/>
      <c r="W10093" s="4"/>
      <c r="X10093" s="4"/>
      <c r="Y10093" s="4"/>
    </row>
    <row r="10094" spans="5:25">
      <c r="E10094"/>
      <c r="G10094"/>
      <c r="H10094"/>
      <c r="I10094"/>
      <c r="K10094"/>
      <c r="O10094"/>
      <c r="R10094"/>
      <c r="W10094" s="4"/>
      <c r="X10094" s="4"/>
      <c r="Y10094" s="4"/>
    </row>
    <row r="10095" spans="5:25">
      <c r="E10095"/>
      <c r="G10095"/>
      <c r="H10095"/>
      <c r="I10095"/>
      <c r="K10095"/>
      <c r="O10095"/>
      <c r="R10095"/>
      <c r="W10095" s="4"/>
      <c r="X10095" s="4"/>
      <c r="Y10095" s="4"/>
    </row>
    <row r="10096" spans="5:25">
      <c r="E10096"/>
      <c r="G10096"/>
      <c r="H10096"/>
      <c r="I10096"/>
      <c r="K10096"/>
      <c r="O10096"/>
      <c r="R10096"/>
      <c r="W10096" s="4"/>
      <c r="X10096" s="4"/>
      <c r="Y10096" s="4"/>
    </row>
    <row r="10097" spans="5:25">
      <c r="E10097"/>
      <c r="G10097"/>
      <c r="H10097"/>
      <c r="I10097"/>
      <c r="K10097"/>
      <c r="O10097"/>
      <c r="R10097"/>
      <c r="W10097" s="4"/>
      <c r="X10097" s="4"/>
      <c r="Y10097" s="4"/>
    </row>
    <row r="10098" spans="5:25">
      <c r="E10098"/>
      <c r="G10098"/>
      <c r="H10098"/>
      <c r="I10098"/>
      <c r="K10098"/>
      <c r="O10098"/>
      <c r="R10098"/>
      <c r="W10098" s="4"/>
      <c r="X10098" s="4"/>
      <c r="Y10098" s="4"/>
    </row>
    <row r="10099" spans="5:25">
      <c r="E10099"/>
      <c r="G10099"/>
      <c r="H10099"/>
      <c r="I10099"/>
      <c r="K10099"/>
      <c r="O10099"/>
      <c r="R10099"/>
      <c r="W10099" s="4"/>
      <c r="X10099" s="4"/>
      <c r="Y10099" s="4"/>
    </row>
    <row r="10100" spans="5:25">
      <c r="E10100"/>
      <c r="G10100"/>
      <c r="H10100"/>
      <c r="I10100"/>
      <c r="K10100"/>
      <c r="O10100"/>
      <c r="R10100"/>
      <c r="W10100" s="4"/>
      <c r="X10100" s="4"/>
      <c r="Y10100" s="4"/>
    </row>
    <row r="10101" spans="5:25">
      <c r="E10101"/>
      <c r="G10101"/>
      <c r="H10101"/>
      <c r="I10101"/>
      <c r="K10101"/>
      <c r="O10101"/>
      <c r="R10101"/>
      <c r="W10101" s="4"/>
      <c r="X10101" s="4"/>
      <c r="Y10101" s="4"/>
    </row>
    <row r="10102" spans="5:25">
      <c r="E10102"/>
      <c r="G10102"/>
      <c r="H10102"/>
      <c r="I10102"/>
      <c r="K10102"/>
      <c r="O10102"/>
      <c r="R10102"/>
      <c r="W10102" s="4"/>
      <c r="X10102" s="4"/>
      <c r="Y10102" s="4"/>
    </row>
    <row r="10103" spans="5:25">
      <c r="E10103"/>
      <c r="G10103"/>
      <c r="H10103"/>
      <c r="I10103"/>
      <c r="K10103"/>
      <c r="O10103"/>
      <c r="R10103"/>
      <c r="W10103" s="4"/>
      <c r="X10103" s="4"/>
      <c r="Y10103" s="4"/>
    </row>
    <row r="10104" spans="5:25">
      <c r="E10104"/>
      <c r="G10104"/>
      <c r="H10104"/>
      <c r="I10104"/>
      <c r="K10104"/>
      <c r="O10104"/>
      <c r="R10104"/>
      <c r="W10104" s="4"/>
      <c r="X10104" s="4"/>
      <c r="Y10104" s="4"/>
    </row>
    <row r="10105" spans="5:25">
      <c r="E10105"/>
      <c r="G10105"/>
      <c r="H10105"/>
      <c r="I10105"/>
      <c r="K10105"/>
      <c r="O10105"/>
      <c r="R10105"/>
      <c r="W10105" s="4"/>
      <c r="X10105" s="4"/>
      <c r="Y10105" s="4"/>
    </row>
    <row r="10106" spans="5:25">
      <c r="E10106"/>
      <c r="G10106"/>
      <c r="H10106"/>
      <c r="I10106"/>
      <c r="K10106"/>
      <c r="O10106"/>
      <c r="R10106"/>
      <c r="W10106" s="4"/>
      <c r="X10106" s="4"/>
      <c r="Y10106" s="4"/>
    </row>
    <row r="10107" spans="5:25">
      <c r="E10107"/>
      <c r="G10107"/>
      <c r="H10107"/>
      <c r="I10107"/>
      <c r="K10107"/>
      <c r="O10107"/>
      <c r="R10107"/>
      <c r="W10107" s="4"/>
      <c r="X10107" s="4"/>
      <c r="Y10107" s="4"/>
    </row>
    <row r="10108" spans="5:25">
      <c r="E10108"/>
      <c r="G10108"/>
      <c r="H10108"/>
      <c r="I10108"/>
      <c r="K10108"/>
      <c r="O10108"/>
      <c r="R10108"/>
      <c r="W10108" s="4"/>
      <c r="X10108" s="4"/>
      <c r="Y10108" s="4"/>
    </row>
    <row r="10109" spans="5:25">
      <c r="E10109"/>
      <c r="G10109"/>
      <c r="H10109"/>
      <c r="I10109"/>
      <c r="K10109"/>
      <c r="O10109"/>
      <c r="R10109"/>
      <c r="W10109" s="4"/>
      <c r="X10109" s="4"/>
      <c r="Y10109" s="4"/>
    </row>
    <row r="10110" spans="5:25">
      <c r="E10110"/>
      <c r="G10110"/>
      <c r="H10110"/>
      <c r="I10110"/>
      <c r="K10110"/>
      <c r="O10110"/>
      <c r="R10110"/>
      <c r="W10110" s="4"/>
      <c r="X10110" s="4"/>
      <c r="Y10110" s="4"/>
    </row>
    <row r="10111" spans="5:25">
      <c r="E10111"/>
      <c r="G10111"/>
      <c r="H10111"/>
      <c r="I10111"/>
      <c r="K10111"/>
      <c r="O10111"/>
      <c r="R10111"/>
      <c r="W10111" s="4"/>
      <c r="X10111" s="4"/>
      <c r="Y10111" s="4"/>
    </row>
    <row r="10112" spans="5:25">
      <c r="E10112"/>
      <c r="G10112"/>
      <c r="H10112"/>
      <c r="I10112"/>
      <c r="K10112"/>
      <c r="O10112"/>
      <c r="R10112"/>
      <c r="W10112" s="4"/>
      <c r="X10112" s="4"/>
      <c r="Y10112" s="4"/>
    </row>
    <row r="10113" spans="5:25">
      <c r="E10113"/>
      <c r="G10113"/>
      <c r="H10113"/>
      <c r="I10113"/>
      <c r="K10113"/>
      <c r="O10113"/>
      <c r="R10113"/>
      <c r="W10113" s="4"/>
      <c r="X10113" s="4"/>
      <c r="Y10113" s="4"/>
    </row>
    <row r="10114" spans="5:25">
      <c r="E10114"/>
      <c r="G10114"/>
      <c r="H10114"/>
      <c r="I10114"/>
      <c r="K10114"/>
      <c r="O10114"/>
      <c r="R10114"/>
      <c r="W10114" s="4"/>
      <c r="X10114" s="4"/>
      <c r="Y10114" s="4"/>
    </row>
    <row r="10115" spans="5:25">
      <c r="E10115"/>
      <c r="G10115"/>
      <c r="H10115"/>
      <c r="I10115"/>
      <c r="K10115"/>
      <c r="O10115"/>
      <c r="R10115"/>
      <c r="W10115" s="4"/>
      <c r="X10115" s="4"/>
      <c r="Y10115" s="4"/>
    </row>
    <row r="10116" spans="5:25">
      <c r="E10116"/>
      <c r="G10116"/>
      <c r="H10116"/>
      <c r="I10116"/>
      <c r="K10116"/>
      <c r="O10116"/>
      <c r="R10116"/>
      <c r="W10116" s="4"/>
      <c r="X10116" s="4"/>
      <c r="Y10116" s="4"/>
    </row>
    <row r="10117" spans="5:25">
      <c r="E10117"/>
      <c r="G10117"/>
      <c r="H10117"/>
      <c r="I10117"/>
      <c r="K10117"/>
      <c r="O10117"/>
      <c r="R10117"/>
      <c r="W10117" s="4"/>
      <c r="X10117" s="4"/>
      <c r="Y10117" s="4"/>
    </row>
    <row r="10118" spans="5:25">
      <c r="E10118"/>
      <c r="G10118"/>
      <c r="H10118"/>
      <c r="I10118"/>
      <c r="K10118"/>
      <c r="O10118"/>
      <c r="R10118"/>
      <c r="W10118" s="4"/>
      <c r="X10118" s="4"/>
      <c r="Y10118" s="4"/>
    </row>
    <row r="10119" spans="5:25">
      <c r="E10119"/>
      <c r="G10119"/>
      <c r="H10119"/>
      <c r="I10119"/>
      <c r="K10119"/>
      <c r="O10119"/>
      <c r="R10119"/>
      <c r="W10119" s="4"/>
      <c r="X10119" s="4"/>
      <c r="Y10119" s="4"/>
    </row>
    <row r="10120" spans="5:25">
      <c r="E10120"/>
      <c r="G10120"/>
      <c r="H10120"/>
      <c r="I10120"/>
      <c r="K10120"/>
      <c r="O10120"/>
      <c r="R10120"/>
      <c r="W10120" s="4"/>
      <c r="X10120" s="4"/>
      <c r="Y10120" s="4"/>
    </row>
    <row r="10121" spans="5:25">
      <c r="E10121"/>
      <c r="G10121"/>
      <c r="H10121"/>
      <c r="I10121"/>
      <c r="K10121"/>
      <c r="O10121"/>
      <c r="R10121"/>
      <c r="W10121" s="4"/>
      <c r="X10121" s="4"/>
      <c r="Y10121" s="4"/>
    </row>
    <row r="10122" spans="5:25">
      <c r="E10122"/>
      <c r="G10122"/>
      <c r="H10122"/>
      <c r="I10122"/>
      <c r="K10122"/>
      <c r="O10122"/>
      <c r="R10122"/>
      <c r="W10122" s="4"/>
      <c r="X10122" s="4"/>
      <c r="Y10122" s="4"/>
    </row>
    <row r="10123" spans="5:25">
      <c r="E10123"/>
      <c r="G10123"/>
      <c r="H10123"/>
      <c r="I10123"/>
      <c r="K10123"/>
      <c r="O10123"/>
      <c r="R10123"/>
      <c r="W10123" s="4"/>
      <c r="X10123" s="4"/>
      <c r="Y10123" s="4"/>
    </row>
    <row r="10124" spans="5:25">
      <c r="E10124"/>
      <c r="G10124"/>
      <c r="H10124"/>
      <c r="I10124"/>
      <c r="K10124"/>
      <c r="O10124"/>
      <c r="R10124"/>
      <c r="W10124" s="4"/>
      <c r="X10124" s="4"/>
      <c r="Y10124" s="4"/>
    </row>
    <row r="10125" spans="5:25">
      <c r="E10125"/>
      <c r="G10125"/>
      <c r="H10125"/>
      <c r="I10125"/>
      <c r="K10125"/>
      <c r="O10125"/>
      <c r="R10125"/>
      <c r="W10125" s="4"/>
      <c r="X10125" s="4"/>
      <c r="Y10125" s="4"/>
    </row>
    <row r="10126" spans="5:25">
      <c r="E10126"/>
      <c r="G10126"/>
      <c r="H10126"/>
      <c r="I10126"/>
      <c r="K10126"/>
      <c r="O10126"/>
      <c r="R10126"/>
      <c r="W10126" s="4"/>
      <c r="X10126" s="4"/>
      <c r="Y10126" s="4"/>
    </row>
    <row r="10127" spans="5:25">
      <c r="E10127"/>
      <c r="G10127"/>
      <c r="H10127"/>
      <c r="I10127"/>
      <c r="K10127"/>
      <c r="O10127"/>
      <c r="R10127"/>
      <c r="W10127" s="4"/>
      <c r="X10127" s="4"/>
      <c r="Y10127" s="4"/>
    </row>
    <row r="10128" spans="5:25">
      <c r="E10128"/>
      <c r="G10128"/>
      <c r="H10128"/>
      <c r="I10128"/>
      <c r="K10128"/>
      <c r="O10128"/>
      <c r="R10128"/>
      <c r="W10128" s="4"/>
      <c r="X10128" s="4"/>
      <c r="Y10128" s="4"/>
    </row>
    <row r="10129" spans="5:25">
      <c r="E10129"/>
      <c r="G10129"/>
      <c r="H10129"/>
      <c r="I10129"/>
      <c r="K10129"/>
      <c r="O10129"/>
      <c r="R10129"/>
      <c r="W10129" s="4"/>
      <c r="X10129" s="4"/>
      <c r="Y10129" s="4"/>
    </row>
    <row r="10130" spans="5:25">
      <c r="E10130"/>
      <c r="G10130"/>
      <c r="H10130"/>
      <c r="I10130"/>
      <c r="K10130"/>
      <c r="O10130"/>
      <c r="R10130"/>
      <c r="W10130" s="4"/>
      <c r="X10130" s="4"/>
      <c r="Y10130" s="4"/>
    </row>
    <row r="10131" spans="5:25">
      <c r="E10131"/>
      <c r="G10131"/>
      <c r="H10131"/>
      <c r="I10131"/>
      <c r="K10131"/>
      <c r="O10131"/>
      <c r="R10131"/>
      <c r="W10131" s="4"/>
      <c r="X10131" s="4"/>
      <c r="Y10131" s="4"/>
    </row>
    <row r="10132" spans="5:25">
      <c r="E10132"/>
      <c r="G10132"/>
      <c r="H10132"/>
      <c r="I10132"/>
      <c r="K10132"/>
      <c r="O10132"/>
      <c r="R10132"/>
      <c r="W10132" s="4"/>
      <c r="X10132" s="4"/>
      <c r="Y10132" s="4"/>
    </row>
    <row r="10133" spans="5:25">
      <c r="E10133"/>
      <c r="G10133"/>
      <c r="H10133"/>
      <c r="I10133"/>
      <c r="K10133"/>
      <c r="O10133"/>
      <c r="R10133"/>
      <c r="W10133" s="4"/>
      <c r="X10133" s="4"/>
      <c r="Y10133" s="4"/>
    </row>
    <row r="10134" spans="5:25">
      <c r="E10134"/>
      <c r="G10134"/>
      <c r="H10134"/>
      <c r="I10134"/>
      <c r="K10134"/>
      <c r="O10134"/>
      <c r="R10134"/>
      <c r="W10134" s="4"/>
      <c r="X10134" s="4"/>
      <c r="Y10134" s="4"/>
    </row>
    <row r="10135" spans="5:25">
      <c r="E10135"/>
      <c r="G10135"/>
      <c r="H10135"/>
      <c r="I10135"/>
      <c r="K10135"/>
      <c r="O10135"/>
      <c r="R10135"/>
      <c r="W10135" s="4"/>
      <c r="X10135" s="4"/>
      <c r="Y10135" s="4"/>
    </row>
    <row r="10136" spans="5:25">
      <c r="E10136"/>
      <c r="G10136"/>
      <c r="H10136"/>
      <c r="I10136"/>
      <c r="K10136"/>
      <c r="O10136"/>
      <c r="R10136"/>
      <c r="W10136" s="4"/>
      <c r="X10136" s="4"/>
      <c r="Y10136" s="4"/>
    </row>
    <row r="10137" spans="5:25">
      <c r="E10137"/>
      <c r="G10137"/>
      <c r="H10137"/>
      <c r="I10137"/>
      <c r="K10137"/>
      <c r="O10137"/>
      <c r="R10137"/>
      <c r="W10137" s="4"/>
      <c r="X10137" s="4"/>
      <c r="Y10137" s="4"/>
    </row>
    <row r="10138" spans="5:25">
      <c r="E10138"/>
      <c r="G10138"/>
      <c r="H10138"/>
      <c r="I10138"/>
      <c r="K10138"/>
      <c r="O10138"/>
      <c r="R10138"/>
      <c r="W10138" s="4"/>
      <c r="X10138" s="4"/>
      <c r="Y10138" s="4"/>
    </row>
    <row r="10139" spans="5:25">
      <c r="E10139"/>
      <c r="G10139"/>
      <c r="H10139"/>
      <c r="I10139"/>
      <c r="K10139"/>
      <c r="O10139"/>
      <c r="R10139"/>
      <c r="W10139" s="4"/>
      <c r="X10139" s="4"/>
      <c r="Y10139" s="4"/>
    </row>
    <row r="10140" spans="5:25">
      <c r="E10140"/>
      <c r="G10140"/>
      <c r="H10140"/>
      <c r="I10140"/>
      <c r="K10140"/>
      <c r="O10140"/>
      <c r="R10140"/>
      <c r="W10140" s="4"/>
      <c r="X10140" s="4"/>
      <c r="Y10140" s="4"/>
    </row>
    <row r="10141" spans="5:25">
      <c r="E10141"/>
      <c r="G10141"/>
      <c r="H10141"/>
      <c r="I10141"/>
      <c r="K10141"/>
      <c r="O10141"/>
      <c r="R10141"/>
      <c r="W10141" s="4"/>
      <c r="X10141" s="4"/>
      <c r="Y10141" s="4"/>
    </row>
    <row r="10142" spans="5:25">
      <c r="E10142"/>
      <c r="G10142"/>
      <c r="H10142"/>
      <c r="I10142"/>
      <c r="K10142"/>
      <c r="O10142"/>
      <c r="R10142"/>
      <c r="W10142" s="4"/>
      <c r="X10142" s="4"/>
      <c r="Y10142" s="4"/>
    </row>
    <row r="10143" spans="5:25">
      <c r="E10143"/>
      <c r="G10143"/>
      <c r="H10143"/>
      <c r="I10143"/>
      <c r="K10143"/>
      <c r="O10143"/>
      <c r="R10143"/>
      <c r="W10143" s="4"/>
      <c r="X10143" s="4"/>
      <c r="Y10143" s="4"/>
    </row>
    <row r="10144" spans="5:25">
      <c r="E10144"/>
      <c r="G10144"/>
      <c r="H10144"/>
      <c r="I10144"/>
      <c r="K10144"/>
      <c r="O10144"/>
      <c r="R10144"/>
      <c r="W10144" s="4"/>
      <c r="X10144" s="4"/>
      <c r="Y10144" s="4"/>
    </row>
    <row r="10145" spans="5:25">
      <c r="E10145"/>
      <c r="G10145"/>
      <c r="H10145"/>
      <c r="I10145"/>
      <c r="K10145"/>
      <c r="O10145"/>
      <c r="R10145"/>
      <c r="W10145" s="4"/>
      <c r="X10145" s="4"/>
      <c r="Y10145" s="4"/>
    </row>
    <row r="10146" spans="5:25">
      <c r="E10146"/>
      <c r="G10146"/>
      <c r="H10146"/>
      <c r="I10146"/>
      <c r="K10146"/>
      <c r="O10146"/>
      <c r="R10146"/>
      <c r="W10146" s="4"/>
      <c r="X10146" s="4"/>
      <c r="Y10146" s="4"/>
    </row>
    <row r="10147" spans="5:25">
      <c r="E10147"/>
      <c r="G10147"/>
      <c r="H10147"/>
      <c r="I10147"/>
      <c r="K10147"/>
      <c r="O10147"/>
      <c r="R10147"/>
      <c r="W10147" s="4"/>
      <c r="X10147" s="4"/>
      <c r="Y10147" s="4"/>
    </row>
    <row r="10148" spans="5:25">
      <c r="E10148"/>
      <c r="G10148"/>
      <c r="H10148"/>
      <c r="I10148"/>
      <c r="K10148"/>
      <c r="O10148"/>
      <c r="R10148"/>
      <c r="W10148" s="4"/>
      <c r="X10148" s="4"/>
      <c r="Y10148" s="4"/>
    </row>
    <row r="10149" spans="5:25">
      <c r="E10149"/>
      <c r="G10149"/>
      <c r="H10149"/>
      <c r="I10149"/>
      <c r="K10149"/>
      <c r="O10149"/>
      <c r="R10149"/>
      <c r="W10149" s="4"/>
      <c r="X10149" s="4"/>
      <c r="Y10149" s="4"/>
    </row>
    <row r="10150" spans="5:25">
      <c r="E10150"/>
      <c r="G10150"/>
      <c r="H10150"/>
      <c r="I10150"/>
      <c r="K10150"/>
      <c r="O10150"/>
      <c r="R10150"/>
      <c r="W10150" s="4"/>
      <c r="X10150" s="4"/>
      <c r="Y10150" s="4"/>
    </row>
    <row r="10151" spans="5:25">
      <c r="E10151"/>
      <c r="G10151"/>
      <c r="H10151"/>
      <c r="I10151"/>
      <c r="K10151"/>
      <c r="O10151"/>
      <c r="R10151"/>
      <c r="W10151" s="4"/>
      <c r="X10151" s="4"/>
      <c r="Y10151" s="4"/>
    </row>
    <row r="10152" spans="5:25">
      <c r="E10152"/>
      <c r="G10152"/>
      <c r="H10152"/>
      <c r="I10152"/>
      <c r="K10152"/>
      <c r="O10152"/>
      <c r="R10152"/>
      <c r="W10152" s="4"/>
      <c r="X10152" s="4"/>
      <c r="Y10152" s="4"/>
    </row>
    <row r="10153" spans="5:25">
      <c r="E10153"/>
      <c r="G10153"/>
      <c r="H10153"/>
      <c r="I10153"/>
      <c r="K10153"/>
      <c r="O10153"/>
      <c r="R10153"/>
      <c r="W10153" s="4"/>
      <c r="X10153" s="4"/>
      <c r="Y10153" s="4"/>
    </row>
    <row r="10154" spans="5:25">
      <c r="E10154"/>
      <c r="G10154"/>
      <c r="H10154"/>
      <c r="I10154"/>
      <c r="K10154"/>
      <c r="O10154"/>
      <c r="R10154"/>
      <c r="W10154" s="4"/>
      <c r="X10154" s="4"/>
      <c r="Y10154" s="4"/>
    </row>
    <row r="10155" spans="5:25">
      <c r="E10155"/>
      <c r="G10155"/>
      <c r="H10155"/>
      <c r="I10155"/>
      <c r="K10155"/>
      <c r="O10155"/>
      <c r="R10155"/>
      <c r="W10155" s="4"/>
      <c r="X10155" s="4"/>
      <c r="Y10155" s="4"/>
    </row>
    <row r="10156" spans="5:25">
      <c r="E10156"/>
      <c r="G10156"/>
      <c r="H10156"/>
      <c r="I10156"/>
      <c r="K10156"/>
      <c r="O10156"/>
      <c r="R10156"/>
      <c r="W10156" s="4"/>
      <c r="X10156" s="4"/>
      <c r="Y10156" s="4"/>
    </row>
    <row r="10157" spans="5:25">
      <c r="E10157"/>
      <c r="G10157"/>
      <c r="H10157"/>
      <c r="I10157"/>
      <c r="K10157"/>
      <c r="O10157"/>
      <c r="R10157"/>
      <c r="W10157" s="4"/>
      <c r="X10157" s="4"/>
      <c r="Y10157" s="4"/>
    </row>
    <row r="10158" spans="5:25">
      <c r="E10158"/>
      <c r="G10158"/>
      <c r="H10158"/>
      <c r="I10158"/>
      <c r="K10158"/>
      <c r="O10158"/>
      <c r="R10158"/>
      <c r="W10158" s="4"/>
      <c r="X10158" s="4"/>
      <c r="Y10158" s="4"/>
    </row>
    <row r="10159" spans="5:25">
      <c r="E10159"/>
      <c r="G10159"/>
      <c r="H10159"/>
      <c r="I10159"/>
      <c r="K10159"/>
      <c r="O10159"/>
      <c r="R10159"/>
      <c r="W10159" s="4"/>
      <c r="X10159" s="4"/>
      <c r="Y10159" s="4"/>
    </row>
    <row r="10160" spans="5:25">
      <c r="E10160"/>
      <c r="G10160"/>
      <c r="H10160"/>
      <c r="I10160"/>
      <c r="K10160"/>
      <c r="O10160"/>
      <c r="R10160"/>
      <c r="W10160" s="4"/>
      <c r="X10160" s="4"/>
      <c r="Y10160" s="4"/>
    </row>
    <row r="10161" spans="5:25">
      <c r="E10161"/>
      <c r="G10161"/>
      <c r="H10161"/>
      <c r="I10161"/>
      <c r="K10161"/>
      <c r="O10161"/>
      <c r="R10161"/>
      <c r="W10161" s="4"/>
      <c r="X10161" s="4"/>
      <c r="Y10161" s="4"/>
    </row>
    <row r="10162" spans="5:25">
      <c r="E10162"/>
      <c r="G10162"/>
      <c r="H10162"/>
      <c r="I10162"/>
      <c r="K10162"/>
      <c r="O10162"/>
      <c r="R10162"/>
      <c r="W10162" s="4"/>
      <c r="X10162" s="4"/>
      <c r="Y10162" s="4"/>
    </row>
    <row r="10163" spans="5:25">
      <c r="E10163"/>
      <c r="G10163"/>
      <c r="H10163"/>
      <c r="I10163"/>
      <c r="K10163"/>
      <c r="O10163"/>
      <c r="R10163"/>
      <c r="W10163" s="4"/>
      <c r="X10163" s="4"/>
      <c r="Y10163" s="4"/>
    </row>
    <row r="10164" spans="5:25">
      <c r="E10164"/>
      <c r="G10164"/>
      <c r="H10164"/>
      <c r="I10164"/>
      <c r="K10164"/>
      <c r="O10164"/>
      <c r="R10164"/>
      <c r="W10164" s="4"/>
      <c r="X10164" s="4"/>
      <c r="Y10164" s="4"/>
    </row>
    <row r="10165" spans="5:25">
      <c r="E10165"/>
      <c r="G10165"/>
      <c r="H10165"/>
      <c r="I10165"/>
      <c r="K10165"/>
      <c r="O10165"/>
      <c r="R10165"/>
      <c r="W10165" s="4"/>
      <c r="X10165" s="4"/>
      <c r="Y10165" s="4"/>
    </row>
    <row r="10166" spans="5:25">
      <c r="E10166"/>
      <c r="G10166"/>
      <c r="H10166"/>
      <c r="I10166"/>
      <c r="K10166"/>
      <c r="O10166"/>
      <c r="R10166"/>
      <c r="W10166" s="4"/>
      <c r="X10166" s="4"/>
      <c r="Y10166" s="4"/>
    </row>
    <row r="10167" spans="5:25">
      <c r="E10167"/>
      <c r="G10167"/>
      <c r="H10167"/>
      <c r="I10167"/>
      <c r="K10167"/>
      <c r="O10167"/>
      <c r="R10167"/>
      <c r="W10167" s="4"/>
      <c r="X10167" s="4"/>
      <c r="Y10167" s="4"/>
    </row>
    <row r="10168" spans="5:25">
      <c r="E10168"/>
      <c r="G10168"/>
      <c r="H10168"/>
      <c r="I10168"/>
      <c r="K10168"/>
      <c r="O10168"/>
      <c r="R10168"/>
      <c r="W10168" s="4"/>
      <c r="X10168" s="4"/>
      <c r="Y10168" s="4"/>
    </row>
    <row r="10169" spans="5:25">
      <c r="E10169"/>
      <c r="G10169"/>
      <c r="H10169"/>
      <c r="I10169"/>
      <c r="K10169"/>
      <c r="O10169"/>
      <c r="R10169"/>
      <c r="W10169" s="4"/>
      <c r="X10169" s="4"/>
      <c r="Y10169" s="4"/>
    </row>
    <row r="10170" spans="5:25">
      <c r="E10170"/>
      <c r="G10170"/>
      <c r="H10170"/>
      <c r="I10170"/>
      <c r="K10170"/>
      <c r="O10170"/>
      <c r="R10170"/>
      <c r="W10170" s="4"/>
      <c r="X10170" s="4"/>
      <c r="Y10170" s="4"/>
    </row>
    <row r="10171" spans="5:25">
      <c r="E10171"/>
      <c r="G10171"/>
      <c r="H10171"/>
      <c r="I10171"/>
      <c r="K10171"/>
      <c r="O10171"/>
      <c r="R10171"/>
      <c r="W10171" s="4"/>
      <c r="X10171" s="4"/>
      <c r="Y10171" s="4"/>
    </row>
    <row r="10172" spans="5:25">
      <c r="E10172"/>
      <c r="G10172"/>
      <c r="H10172"/>
      <c r="I10172"/>
      <c r="K10172"/>
      <c r="O10172"/>
      <c r="R10172"/>
      <c r="W10172" s="4"/>
      <c r="X10172" s="4"/>
      <c r="Y10172" s="4"/>
    </row>
    <row r="10173" spans="5:25">
      <c r="E10173"/>
      <c r="G10173"/>
      <c r="H10173"/>
      <c r="I10173"/>
      <c r="K10173"/>
      <c r="O10173"/>
      <c r="R10173"/>
      <c r="W10173" s="4"/>
      <c r="X10173" s="4"/>
      <c r="Y10173" s="4"/>
    </row>
    <row r="10174" spans="5:25">
      <c r="E10174"/>
      <c r="G10174"/>
      <c r="H10174"/>
      <c r="I10174"/>
      <c r="K10174"/>
      <c r="O10174"/>
      <c r="R10174"/>
      <c r="W10174" s="4"/>
      <c r="X10174" s="4"/>
      <c r="Y10174" s="4"/>
    </row>
    <row r="10175" spans="5:25">
      <c r="E10175"/>
      <c r="G10175"/>
      <c r="H10175"/>
      <c r="I10175"/>
      <c r="K10175"/>
      <c r="O10175"/>
      <c r="R10175"/>
      <c r="W10175" s="4"/>
      <c r="X10175" s="4"/>
      <c r="Y10175" s="4"/>
    </row>
    <row r="10176" spans="5:25">
      <c r="E10176"/>
      <c r="G10176"/>
      <c r="H10176"/>
      <c r="I10176"/>
      <c r="K10176"/>
      <c r="O10176"/>
      <c r="R10176"/>
      <c r="W10176" s="4"/>
      <c r="X10176" s="4"/>
      <c r="Y10176" s="4"/>
    </row>
    <row r="10177" spans="5:25">
      <c r="E10177"/>
      <c r="G10177"/>
      <c r="H10177"/>
      <c r="I10177"/>
      <c r="K10177"/>
      <c r="O10177"/>
      <c r="R10177"/>
      <c r="W10177" s="4"/>
      <c r="X10177" s="4"/>
      <c r="Y10177" s="4"/>
    </row>
    <row r="10178" spans="5:25">
      <c r="E10178"/>
      <c r="G10178"/>
      <c r="H10178"/>
      <c r="I10178"/>
      <c r="K10178"/>
      <c r="O10178"/>
      <c r="R10178"/>
      <c r="W10178" s="4"/>
      <c r="X10178" s="4"/>
      <c r="Y10178" s="4"/>
    </row>
    <row r="10179" spans="5:25">
      <c r="E10179"/>
      <c r="G10179"/>
      <c r="H10179"/>
      <c r="I10179"/>
      <c r="K10179"/>
      <c r="O10179"/>
      <c r="R10179"/>
      <c r="W10179" s="4"/>
      <c r="X10179" s="4"/>
      <c r="Y10179" s="4"/>
    </row>
    <row r="10180" spans="5:25">
      <c r="E10180"/>
      <c r="G10180"/>
      <c r="H10180"/>
      <c r="I10180"/>
      <c r="K10180"/>
      <c r="O10180"/>
      <c r="R10180"/>
      <c r="W10180" s="4"/>
      <c r="X10180" s="4"/>
      <c r="Y10180" s="4"/>
    </row>
    <row r="10181" spans="5:25">
      <c r="E10181"/>
      <c r="G10181"/>
      <c r="H10181"/>
      <c r="I10181"/>
      <c r="K10181"/>
      <c r="O10181"/>
      <c r="R10181"/>
      <c r="W10181" s="4"/>
      <c r="X10181" s="4"/>
      <c r="Y10181" s="4"/>
    </row>
    <row r="10182" spans="5:25">
      <c r="E10182"/>
      <c r="G10182"/>
      <c r="H10182"/>
      <c r="I10182"/>
      <c r="K10182"/>
      <c r="O10182"/>
      <c r="R10182"/>
      <c r="W10182" s="4"/>
      <c r="X10182" s="4"/>
      <c r="Y10182" s="4"/>
    </row>
    <row r="10183" spans="5:25">
      <c r="E10183"/>
      <c r="G10183"/>
      <c r="H10183"/>
      <c r="I10183"/>
      <c r="K10183"/>
      <c r="O10183"/>
      <c r="R10183"/>
      <c r="W10183" s="4"/>
      <c r="X10183" s="4"/>
      <c r="Y10183" s="4"/>
    </row>
    <row r="10184" spans="5:25">
      <c r="E10184"/>
      <c r="G10184"/>
      <c r="H10184"/>
      <c r="I10184"/>
      <c r="K10184"/>
      <c r="O10184"/>
      <c r="R10184"/>
      <c r="W10184" s="4"/>
      <c r="X10184" s="4"/>
      <c r="Y10184" s="4"/>
    </row>
    <row r="10185" spans="5:25">
      <c r="E10185"/>
      <c r="G10185"/>
      <c r="H10185"/>
      <c r="I10185"/>
      <c r="K10185"/>
      <c r="O10185"/>
      <c r="R10185"/>
      <c r="W10185" s="4"/>
      <c r="X10185" s="4"/>
      <c r="Y10185" s="4"/>
    </row>
    <row r="10186" spans="5:25">
      <c r="E10186"/>
      <c r="G10186"/>
      <c r="H10186"/>
      <c r="I10186"/>
      <c r="K10186"/>
      <c r="O10186"/>
      <c r="R10186"/>
      <c r="W10186" s="4"/>
      <c r="X10186" s="4"/>
      <c r="Y10186" s="4"/>
    </row>
    <row r="10187" spans="5:25">
      <c r="E10187"/>
      <c r="G10187"/>
      <c r="H10187"/>
      <c r="I10187"/>
      <c r="K10187"/>
      <c r="O10187"/>
      <c r="R10187"/>
      <c r="W10187" s="4"/>
      <c r="X10187" s="4"/>
      <c r="Y10187" s="4"/>
    </row>
    <row r="10188" spans="5:25">
      <c r="E10188"/>
      <c r="G10188"/>
      <c r="H10188"/>
      <c r="I10188"/>
      <c r="K10188"/>
      <c r="O10188"/>
      <c r="R10188"/>
      <c r="W10188" s="4"/>
      <c r="X10188" s="4"/>
      <c r="Y10188" s="4"/>
    </row>
    <row r="10189" spans="5:25">
      <c r="E10189"/>
      <c r="G10189"/>
      <c r="H10189"/>
      <c r="I10189"/>
      <c r="K10189"/>
      <c r="O10189"/>
      <c r="R10189"/>
      <c r="W10189" s="4"/>
      <c r="X10189" s="4"/>
      <c r="Y10189" s="4"/>
    </row>
    <row r="10190" spans="5:25">
      <c r="E10190"/>
      <c r="G10190"/>
      <c r="H10190"/>
      <c r="I10190"/>
      <c r="K10190"/>
      <c r="O10190"/>
      <c r="R10190"/>
      <c r="W10190" s="4"/>
      <c r="X10190" s="4"/>
      <c r="Y10190" s="4"/>
    </row>
    <row r="10191" spans="5:25">
      <c r="E10191"/>
      <c r="G10191"/>
      <c r="H10191"/>
      <c r="I10191"/>
      <c r="K10191"/>
      <c r="O10191"/>
      <c r="R10191"/>
      <c r="W10191" s="4"/>
      <c r="X10191" s="4"/>
      <c r="Y10191" s="4"/>
    </row>
    <row r="10192" spans="5:25">
      <c r="E10192"/>
      <c r="G10192"/>
      <c r="H10192"/>
      <c r="I10192"/>
      <c r="K10192"/>
      <c r="O10192"/>
      <c r="R10192"/>
      <c r="W10192" s="4"/>
      <c r="X10192" s="4"/>
      <c r="Y10192" s="4"/>
    </row>
    <row r="10193" spans="5:25">
      <c r="E10193"/>
      <c r="G10193"/>
      <c r="H10193"/>
      <c r="I10193"/>
      <c r="K10193"/>
      <c r="O10193"/>
      <c r="R10193"/>
      <c r="W10193" s="4"/>
      <c r="X10193" s="4"/>
      <c r="Y10193" s="4"/>
    </row>
    <row r="10194" spans="5:25">
      <c r="E10194"/>
      <c r="G10194"/>
      <c r="H10194"/>
      <c r="I10194"/>
      <c r="K10194"/>
      <c r="O10194"/>
      <c r="R10194"/>
      <c r="W10194" s="4"/>
      <c r="X10194" s="4"/>
      <c r="Y10194" s="4"/>
    </row>
    <row r="10195" spans="5:25">
      <c r="E10195"/>
      <c r="G10195"/>
      <c r="H10195"/>
      <c r="I10195"/>
      <c r="K10195"/>
      <c r="O10195"/>
      <c r="R10195"/>
      <c r="W10195" s="4"/>
      <c r="X10195" s="4"/>
      <c r="Y10195" s="4"/>
    </row>
    <row r="10196" spans="5:25">
      <c r="E10196"/>
      <c r="G10196"/>
      <c r="H10196"/>
      <c r="I10196"/>
      <c r="K10196"/>
      <c r="O10196"/>
      <c r="R10196"/>
      <c r="W10196" s="4"/>
      <c r="X10196" s="4"/>
      <c r="Y10196" s="4"/>
    </row>
    <row r="10197" spans="5:25">
      <c r="E10197"/>
      <c r="G10197"/>
      <c r="H10197"/>
      <c r="I10197"/>
      <c r="K10197"/>
      <c r="O10197"/>
      <c r="R10197"/>
      <c r="W10197" s="4"/>
      <c r="X10197" s="4"/>
      <c r="Y10197" s="4"/>
    </row>
    <row r="10198" spans="5:25">
      <c r="E10198"/>
      <c r="G10198"/>
      <c r="H10198"/>
      <c r="I10198"/>
      <c r="K10198"/>
      <c r="O10198"/>
      <c r="R10198"/>
      <c r="W10198" s="4"/>
      <c r="X10198" s="4"/>
      <c r="Y10198" s="4"/>
    </row>
    <row r="10199" spans="5:25">
      <c r="E10199"/>
      <c r="G10199"/>
      <c r="H10199"/>
      <c r="I10199"/>
      <c r="K10199"/>
      <c r="O10199"/>
      <c r="R10199"/>
      <c r="W10199" s="4"/>
      <c r="X10199" s="4"/>
      <c r="Y10199" s="4"/>
    </row>
    <row r="10200" spans="5:25">
      <c r="E10200"/>
      <c r="G10200"/>
      <c r="H10200"/>
      <c r="I10200"/>
      <c r="K10200"/>
      <c r="O10200"/>
      <c r="R10200"/>
      <c r="W10200" s="4"/>
      <c r="X10200" s="4"/>
      <c r="Y10200" s="4"/>
    </row>
    <row r="10201" spans="5:25">
      <c r="E10201"/>
      <c r="G10201"/>
      <c r="H10201"/>
      <c r="I10201"/>
      <c r="K10201"/>
      <c r="O10201"/>
      <c r="R10201"/>
      <c r="W10201" s="4"/>
      <c r="X10201" s="4"/>
      <c r="Y10201" s="4"/>
    </row>
    <row r="10202" spans="5:25">
      <c r="E10202"/>
      <c r="G10202"/>
      <c r="H10202"/>
      <c r="I10202"/>
      <c r="K10202"/>
      <c r="O10202"/>
      <c r="R10202"/>
      <c r="W10202" s="4"/>
      <c r="X10202" s="4"/>
      <c r="Y10202" s="4"/>
    </row>
    <row r="10203" spans="5:25">
      <c r="E10203"/>
      <c r="G10203"/>
      <c r="H10203"/>
      <c r="I10203"/>
      <c r="K10203"/>
      <c r="O10203"/>
      <c r="R10203"/>
      <c r="W10203" s="4"/>
      <c r="X10203" s="4"/>
      <c r="Y10203" s="4"/>
    </row>
    <row r="10204" spans="5:25">
      <c r="E10204"/>
      <c r="G10204"/>
      <c r="H10204"/>
      <c r="I10204"/>
      <c r="K10204"/>
      <c r="O10204"/>
      <c r="R10204"/>
      <c r="W10204" s="4"/>
      <c r="X10204" s="4"/>
      <c r="Y10204" s="4"/>
    </row>
    <row r="10205" spans="5:25">
      <c r="E10205"/>
      <c r="G10205"/>
      <c r="H10205"/>
      <c r="I10205"/>
      <c r="K10205"/>
      <c r="O10205"/>
      <c r="R10205"/>
      <c r="W10205" s="4"/>
      <c r="X10205" s="4"/>
      <c r="Y10205" s="4"/>
    </row>
    <row r="10206" spans="5:25">
      <c r="E10206"/>
      <c r="G10206"/>
      <c r="H10206"/>
      <c r="I10206"/>
      <c r="K10206"/>
      <c r="O10206"/>
      <c r="R10206"/>
      <c r="W10206" s="4"/>
      <c r="X10206" s="4"/>
      <c r="Y10206" s="4"/>
    </row>
    <row r="10207" spans="5:25">
      <c r="E10207"/>
      <c r="G10207"/>
      <c r="H10207"/>
      <c r="I10207"/>
      <c r="K10207"/>
      <c r="O10207"/>
      <c r="R10207"/>
      <c r="W10207" s="4"/>
      <c r="X10207" s="4"/>
      <c r="Y10207" s="4"/>
    </row>
    <row r="10208" spans="5:25">
      <c r="E10208"/>
      <c r="G10208"/>
      <c r="H10208"/>
      <c r="I10208"/>
      <c r="K10208"/>
      <c r="O10208"/>
      <c r="R10208"/>
      <c r="W10208" s="4"/>
      <c r="X10208" s="4"/>
      <c r="Y10208" s="4"/>
    </row>
    <row r="10209" spans="5:25">
      <c r="E10209"/>
      <c r="G10209"/>
      <c r="H10209"/>
      <c r="I10209"/>
      <c r="K10209"/>
      <c r="O10209"/>
      <c r="R10209"/>
      <c r="W10209" s="4"/>
      <c r="X10209" s="4"/>
      <c r="Y10209" s="4"/>
    </row>
    <row r="10210" spans="5:25">
      <c r="E10210"/>
      <c r="G10210"/>
      <c r="H10210"/>
      <c r="I10210"/>
      <c r="K10210"/>
      <c r="O10210"/>
      <c r="R10210"/>
      <c r="W10210" s="4"/>
      <c r="X10210" s="4"/>
      <c r="Y10210" s="4"/>
    </row>
    <row r="10211" spans="5:25">
      <c r="E10211"/>
      <c r="G10211"/>
      <c r="H10211"/>
      <c r="I10211"/>
      <c r="K10211"/>
      <c r="O10211"/>
      <c r="R10211"/>
      <c r="W10211" s="4"/>
      <c r="X10211" s="4"/>
      <c r="Y10211" s="4"/>
    </row>
    <row r="10212" spans="5:25">
      <c r="E10212"/>
      <c r="G10212"/>
      <c r="H10212"/>
      <c r="I10212"/>
      <c r="K10212"/>
      <c r="O10212"/>
      <c r="R10212"/>
      <c r="W10212" s="4"/>
      <c r="X10212" s="4"/>
      <c r="Y10212" s="4"/>
    </row>
    <row r="10213" spans="5:25">
      <c r="E10213"/>
      <c r="G10213"/>
      <c r="H10213"/>
      <c r="I10213"/>
      <c r="K10213"/>
      <c r="O10213"/>
      <c r="R10213"/>
      <c r="W10213" s="4"/>
      <c r="X10213" s="4"/>
      <c r="Y10213" s="4"/>
    </row>
    <row r="10214" spans="5:25">
      <c r="E10214"/>
      <c r="G10214"/>
      <c r="H10214"/>
      <c r="I10214"/>
      <c r="K10214"/>
      <c r="O10214"/>
      <c r="R10214"/>
      <c r="W10214" s="4"/>
      <c r="X10214" s="4"/>
      <c r="Y10214" s="4"/>
    </row>
    <row r="10215" spans="5:25">
      <c r="E10215"/>
      <c r="G10215"/>
      <c r="H10215"/>
      <c r="I10215"/>
      <c r="K10215"/>
      <c r="O10215"/>
      <c r="R10215"/>
      <c r="W10215" s="4"/>
      <c r="X10215" s="4"/>
      <c r="Y10215" s="4"/>
    </row>
    <row r="10216" spans="5:25">
      <c r="E10216"/>
      <c r="G10216"/>
      <c r="H10216"/>
      <c r="I10216"/>
      <c r="K10216"/>
      <c r="O10216"/>
      <c r="R10216"/>
      <c r="W10216" s="4"/>
      <c r="X10216" s="4"/>
      <c r="Y10216" s="4"/>
    </row>
    <row r="10217" spans="5:25">
      <c r="E10217"/>
      <c r="G10217"/>
      <c r="H10217"/>
      <c r="I10217"/>
      <c r="K10217"/>
      <c r="O10217"/>
      <c r="R10217"/>
      <c r="W10217" s="4"/>
      <c r="X10217" s="4"/>
      <c r="Y10217" s="4"/>
    </row>
    <row r="10218" spans="5:25">
      <c r="E10218"/>
      <c r="G10218"/>
      <c r="H10218"/>
      <c r="I10218"/>
      <c r="K10218"/>
      <c r="O10218"/>
      <c r="R10218"/>
      <c r="W10218" s="4"/>
      <c r="X10218" s="4"/>
      <c r="Y10218" s="4"/>
    </row>
    <row r="10219" spans="5:25">
      <c r="E10219"/>
      <c r="G10219"/>
      <c r="H10219"/>
      <c r="I10219"/>
      <c r="K10219"/>
      <c r="O10219"/>
      <c r="R10219"/>
      <c r="W10219" s="4"/>
      <c r="X10219" s="4"/>
      <c r="Y10219" s="4"/>
    </row>
    <row r="10220" spans="5:25">
      <c r="E10220"/>
      <c r="G10220"/>
      <c r="H10220"/>
      <c r="I10220"/>
      <c r="K10220"/>
      <c r="O10220"/>
      <c r="R10220"/>
      <c r="W10220" s="4"/>
      <c r="X10220" s="4"/>
      <c r="Y10220" s="4"/>
    </row>
    <row r="10221" spans="5:25">
      <c r="E10221"/>
      <c r="G10221"/>
      <c r="H10221"/>
      <c r="I10221"/>
      <c r="K10221"/>
      <c r="O10221"/>
      <c r="R10221"/>
      <c r="W10221" s="4"/>
      <c r="X10221" s="4"/>
      <c r="Y10221" s="4"/>
    </row>
    <row r="10222" spans="5:25">
      <c r="E10222"/>
      <c r="G10222"/>
      <c r="H10222"/>
      <c r="I10222"/>
      <c r="K10222"/>
      <c r="O10222"/>
      <c r="R10222"/>
      <c r="W10222" s="4"/>
      <c r="X10222" s="4"/>
      <c r="Y10222" s="4"/>
    </row>
    <row r="10223" spans="5:25">
      <c r="E10223"/>
      <c r="G10223"/>
      <c r="H10223"/>
      <c r="I10223"/>
      <c r="K10223"/>
      <c r="O10223"/>
      <c r="R10223"/>
      <c r="W10223" s="4"/>
      <c r="X10223" s="4"/>
      <c r="Y10223" s="4"/>
    </row>
    <row r="10224" spans="5:25">
      <c r="E10224"/>
      <c r="G10224"/>
      <c r="H10224"/>
      <c r="I10224"/>
      <c r="K10224"/>
      <c r="O10224"/>
      <c r="R10224"/>
      <c r="W10224" s="4"/>
      <c r="X10224" s="4"/>
      <c r="Y10224" s="4"/>
    </row>
    <row r="10225" spans="5:25">
      <c r="E10225"/>
      <c r="G10225"/>
      <c r="H10225"/>
      <c r="I10225"/>
      <c r="K10225"/>
      <c r="O10225"/>
      <c r="R10225"/>
      <c r="W10225" s="4"/>
      <c r="X10225" s="4"/>
      <c r="Y10225" s="4"/>
    </row>
    <row r="10226" spans="5:25">
      <c r="E10226"/>
      <c r="G10226"/>
      <c r="H10226"/>
      <c r="I10226"/>
      <c r="K10226"/>
      <c r="O10226"/>
      <c r="R10226"/>
      <c r="W10226" s="4"/>
      <c r="X10226" s="4"/>
      <c r="Y10226" s="4"/>
    </row>
    <row r="10227" spans="5:25">
      <c r="E10227"/>
      <c r="G10227"/>
      <c r="H10227"/>
      <c r="I10227"/>
      <c r="K10227"/>
      <c r="O10227"/>
      <c r="R10227"/>
      <c r="W10227" s="4"/>
      <c r="X10227" s="4"/>
      <c r="Y10227" s="4"/>
    </row>
    <row r="10228" spans="5:25">
      <c r="E10228"/>
      <c r="G10228"/>
      <c r="H10228"/>
      <c r="I10228"/>
      <c r="K10228"/>
      <c r="O10228"/>
      <c r="R10228"/>
      <c r="W10228" s="4"/>
      <c r="X10228" s="4"/>
      <c r="Y10228" s="4"/>
    </row>
    <row r="10229" spans="5:25">
      <c r="E10229"/>
      <c r="G10229"/>
      <c r="H10229"/>
      <c r="I10229"/>
      <c r="K10229"/>
      <c r="O10229"/>
      <c r="R10229"/>
      <c r="W10229" s="4"/>
      <c r="X10229" s="4"/>
      <c r="Y10229" s="4"/>
    </row>
    <row r="10230" spans="5:25">
      <c r="E10230"/>
      <c r="G10230"/>
      <c r="H10230"/>
      <c r="I10230"/>
      <c r="K10230"/>
      <c r="O10230"/>
      <c r="R10230"/>
      <c r="W10230" s="4"/>
      <c r="X10230" s="4"/>
      <c r="Y10230" s="4"/>
    </row>
    <row r="10231" spans="5:25">
      <c r="E10231"/>
      <c r="G10231"/>
      <c r="H10231"/>
      <c r="I10231"/>
      <c r="K10231"/>
      <c r="O10231"/>
      <c r="R10231"/>
      <c r="W10231" s="4"/>
      <c r="X10231" s="4"/>
      <c r="Y10231" s="4"/>
    </row>
    <row r="10232" spans="5:25">
      <c r="E10232"/>
      <c r="G10232"/>
      <c r="H10232"/>
      <c r="I10232"/>
      <c r="K10232"/>
      <c r="O10232"/>
      <c r="R10232"/>
      <c r="W10232" s="4"/>
      <c r="X10232" s="4"/>
      <c r="Y10232" s="4"/>
    </row>
    <row r="10233" spans="5:25">
      <c r="E10233"/>
      <c r="G10233"/>
      <c r="H10233"/>
      <c r="I10233"/>
      <c r="K10233"/>
      <c r="O10233"/>
      <c r="R10233"/>
      <c r="W10233" s="4"/>
      <c r="X10233" s="4"/>
      <c r="Y10233" s="4"/>
    </row>
    <row r="10234" spans="5:25">
      <c r="E10234"/>
      <c r="G10234"/>
      <c r="H10234"/>
      <c r="I10234"/>
      <c r="K10234"/>
      <c r="O10234"/>
      <c r="R10234"/>
      <c r="W10234" s="4"/>
      <c r="X10234" s="4"/>
      <c r="Y10234" s="4"/>
    </row>
    <row r="10235" spans="5:25">
      <c r="E10235"/>
      <c r="G10235"/>
      <c r="H10235"/>
      <c r="I10235"/>
      <c r="K10235"/>
      <c r="O10235"/>
      <c r="R10235"/>
      <c r="W10235" s="4"/>
      <c r="X10235" s="4"/>
      <c r="Y10235" s="4"/>
    </row>
    <row r="10236" spans="5:25">
      <c r="E10236"/>
      <c r="G10236"/>
      <c r="H10236"/>
      <c r="I10236"/>
      <c r="K10236"/>
      <c r="O10236"/>
      <c r="R10236"/>
      <c r="W10236" s="4"/>
      <c r="X10236" s="4"/>
      <c r="Y10236" s="4"/>
    </row>
    <row r="10237" spans="5:25">
      <c r="E10237"/>
      <c r="G10237"/>
      <c r="H10237"/>
      <c r="I10237"/>
      <c r="K10237"/>
      <c r="O10237"/>
      <c r="R10237"/>
      <c r="W10237" s="4"/>
      <c r="X10237" s="4"/>
      <c r="Y10237" s="4"/>
    </row>
    <row r="10238" spans="5:25">
      <c r="E10238"/>
      <c r="G10238"/>
      <c r="H10238"/>
      <c r="I10238"/>
      <c r="K10238"/>
      <c r="O10238"/>
      <c r="R10238"/>
      <c r="W10238" s="4"/>
      <c r="X10238" s="4"/>
      <c r="Y10238" s="4"/>
    </row>
    <row r="10239" spans="5:25">
      <c r="E10239"/>
      <c r="G10239"/>
      <c r="H10239"/>
      <c r="I10239"/>
      <c r="K10239"/>
      <c r="O10239"/>
      <c r="R10239"/>
      <c r="W10239" s="4"/>
      <c r="X10239" s="4"/>
      <c r="Y10239" s="4"/>
    </row>
    <row r="10240" spans="5:25">
      <c r="E10240"/>
      <c r="G10240"/>
      <c r="H10240"/>
      <c r="I10240"/>
      <c r="K10240"/>
      <c r="O10240"/>
      <c r="R10240"/>
      <c r="W10240" s="4"/>
      <c r="X10240" s="4"/>
      <c r="Y10240" s="4"/>
    </row>
    <row r="10241" spans="5:25">
      <c r="E10241"/>
      <c r="G10241"/>
      <c r="H10241"/>
      <c r="I10241"/>
      <c r="K10241"/>
      <c r="O10241"/>
      <c r="R10241"/>
      <c r="W10241" s="4"/>
      <c r="X10241" s="4"/>
      <c r="Y10241" s="4"/>
    </row>
    <row r="10242" spans="5:25">
      <c r="E10242"/>
      <c r="G10242"/>
      <c r="H10242"/>
      <c r="I10242"/>
      <c r="K10242"/>
      <c r="O10242"/>
      <c r="R10242"/>
      <c r="W10242" s="4"/>
      <c r="X10242" s="4"/>
      <c r="Y10242" s="4"/>
    </row>
    <row r="10243" spans="5:25">
      <c r="E10243"/>
      <c r="G10243"/>
      <c r="H10243"/>
      <c r="I10243"/>
      <c r="K10243"/>
      <c r="O10243"/>
      <c r="R10243"/>
      <c r="W10243" s="4"/>
      <c r="X10243" s="4"/>
      <c r="Y10243" s="4"/>
    </row>
    <row r="10244" spans="5:25">
      <c r="E10244"/>
      <c r="G10244"/>
      <c r="H10244"/>
      <c r="I10244"/>
      <c r="K10244"/>
      <c r="O10244"/>
      <c r="R10244"/>
      <c r="W10244" s="4"/>
      <c r="X10244" s="4"/>
      <c r="Y10244" s="4"/>
    </row>
    <row r="10245" spans="5:25">
      <c r="E10245"/>
      <c r="G10245"/>
      <c r="H10245"/>
      <c r="I10245"/>
      <c r="K10245"/>
      <c r="O10245"/>
      <c r="R10245"/>
      <c r="W10245" s="4"/>
      <c r="X10245" s="4"/>
      <c r="Y10245" s="4"/>
    </row>
    <row r="10246" spans="5:25">
      <c r="E10246"/>
      <c r="G10246"/>
      <c r="H10246"/>
      <c r="I10246"/>
      <c r="K10246"/>
      <c r="O10246"/>
      <c r="R10246"/>
      <c r="W10246" s="4"/>
      <c r="X10246" s="4"/>
      <c r="Y10246" s="4"/>
    </row>
    <row r="10247" spans="5:25">
      <c r="E10247"/>
      <c r="G10247"/>
      <c r="H10247"/>
      <c r="I10247"/>
      <c r="K10247"/>
      <c r="O10247"/>
      <c r="R10247"/>
      <c r="W10247" s="4"/>
      <c r="X10247" s="4"/>
      <c r="Y10247" s="4"/>
    </row>
    <row r="10248" spans="5:25">
      <c r="E10248"/>
      <c r="G10248"/>
      <c r="H10248"/>
      <c r="I10248"/>
      <c r="K10248"/>
      <c r="O10248"/>
      <c r="R10248"/>
      <c r="W10248" s="4"/>
      <c r="X10248" s="4"/>
      <c r="Y10248" s="4"/>
    </row>
    <row r="10249" spans="5:25">
      <c r="E10249"/>
      <c r="G10249"/>
      <c r="H10249"/>
      <c r="I10249"/>
      <c r="K10249"/>
      <c r="O10249"/>
      <c r="R10249"/>
      <c r="W10249" s="4"/>
      <c r="X10249" s="4"/>
      <c r="Y10249" s="4"/>
    </row>
    <row r="10250" spans="5:25">
      <c r="E10250"/>
      <c r="G10250"/>
      <c r="H10250"/>
      <c r="I10250"/>
      <c r="K10250"/>
      <c r="O10250"/>
      <c r="R10250"/>
      <c r="W10250" s="4"/>
      <c r="X10250" s="4"/>
      <c r="Y10250" s="4"/>
    </row>
    <row r="10251" spans="5:25">
      <c r="E10251"/>
      <c r="G10251"/>
      <c r="H10251"/>
      <c r="I10251"/>
      <c r="K10251"/>
      <c r="O10251"/>
      <c r="R10251"/>
      <c r="W10251" s="4"/>
      <c r="X10251" s="4"/>
      <c r="Y10251" s="4"/>
    </row>
    <row r="10252" spans="5:25">
      <c r="E10252"/>
      <c r="G10252"/>
      <c r="H10252"/>
      <c r="I10252"/>
      <c r="K10252"/>
      <c r="O10252"/>
      <c r="R10252"/>
      <c r="W10252" s="4"/>
      <c r="X10252" s="4"/>
      <c r="Y10252" s="4"/>
    </row>
    <row r="10253" spans="5:25">
      <c r="E10253"/>
      <c r="G10253"/>
      <c r="H10253"/>
      <c r="I10253"/>
      <c r="K10253"/>
      <c r="O10253"/>
      <c r="R10253"/>
      <c r="W10253" s="4"/>
      <c r="X10253" s="4"/>
      <c r="Y10253" s="4"/>
    </row>
    <row r="10254" spans="5:25">
      <c r="E10254"/>
      <c r="G10254"/>
      <c r="H10254"/>
      <c r="I10254"/>
      <c r="K10254"/>
      <c r="O10254"/>
      <c r="R10254"/>
      <c r="W10254" s="4"/>
      <c r="X10254" s="4"/>
      <c r="Y10254" s="4"/>
    </row>
    <row r="10255" spans="5:25">
      <c r="E10255"/>
      <c r="G10255"/>
      <c r="H10255"/>
      <c r="I10255"/>
      <c r="K10255"/>
      <c r="O10255"/>
      <c r="R10255"/>
      <c r="W10255" s="4"/>
      <c r="X10255" s="4"/>
      <c r="Y10255" s="4"/>
    </row>
    <row r="10256" spans="5:25">
      <c r="E10256"/>
      <c r="G10256"/>
      <c r="H10256"/>
      <c r="I10256"/>
      <c r="K10256"/>
      <c r="O10256"/>
      <c r="R10256"/>
      <c r="W10256" s="4"/>
      <c r="X10256" s="4"/>
      <c r="Y10256" s="4"/>
    </row>
    <row r="10257" spans="5:25">
      <c r="E10257"/>
      <c r="G10257"/>
      <c r="H10257"/>
      <c r="I10257"/>
      <c r="K10257"/>
      <c r="O10257"/>
      <c r="R10257"/>
      <c r="W10257" s="4"/>
      <c r="X10257" s="4"/>
      <c r="Y10257" s="4"/>
    </row>
    <row r="10258" spans="5:25">
      <c r="E10258"/>
      <c r="G10258"/>
      <c r="H10258"/>
      <c r="I10258"/>
      <c r="K10258"/>
      <c r="O10258"/>
      <c r="R10258"/>
      <c r="W10258" s="4"/>
      <c r="X10258" s="4"/>
      <c r="Y10258" s="4"/>
    </row>
    <row r="10259" spans="5:25">
      <c r="E10259"/>
      <c r="G10259"/>
      <c r="H10259"/>
      <c r="I10259"/>
      <c r="K10259"/>
      <c r="O10259"/>
      <c r="R10259"/>
      <c r="W10259" s="4"/>
      <c r="X10259" s="4"/>
      <c r="Y10259" s="4"/>
    </row>
    <row r="10260" spans="5:25">
      <c r="E10260"/>
      <c r="G10260"/>
      <c r="H10260"/>
      <c r="I10260"/>
      <c r="K10260"/>
      <c r="O10260"/>
      <c r="R10260"/>
      <c r="W10260" s="4"/>
      <c r="X10260" s="4"/>
      <c r="Y10260" s="4"/>
    </row>
    <row r="10261" spans="5:25">
      <c r="E10261"/>
      <c r="G10261"/>
      <c r="H10261"/>
      <c r="I10261"/>
      <c r="K10261"/>
      <c r="O10261"/>
      <c r="R10261"/>
      <c r="W10261" s="4"/>
      <c r="X10261" s="4"/>
      <c r="Y10261" s="4"/>
    </row>
    <row r="10262" spans="5:25">
      <c r="E10262"/>
      <c r="G10262"/>
      <c r="H10262"/>
      <c r="I10262"/>
      <c r="K10262"/>
      <c r="O10262"/>
      <c r="R10262"/>
      <c r="W10262" s="4"/>
      <c r="X10262" s="4"/>
      <c r="Y10262" s="4"/>
    </row>
    <row r="10263" spans="5:25">
      <c r="E10263"/>
      <c r="G10263"/>
      <c r="H10263"/>
      <c r="I10263"/>
      <c r="K10263"/>
      <c r="O10263"/>
      <c r="R10263"/>
      <c r="W10263" s="4"/>
      <c r="X10263" s="4"/>
      <c r="Y10263" s="4"/>
    </row>
    <row r="10264" spans="5:25">
      <c r="E10264"/>
      <c r="G10264"/>
      <c r="H10264"/>
      <c r="I10264"/>
      <c r="K10264"/>
      <c r="O10264"/>
      <c r="R10264"/>
      <c r="W10264" s="4"/>
      <c r="X10264" s="4"/>
      <c r="Y10264" s="4"/>
    </row>
    <row r="10265" spans="5:25">
      <c r="E10265"/>
      <c r="G10265"/>
      <c r="H10265"/>
      <c r="I10265"/>
      <c r="K10265"/>
      <c r="O10265"/>
      <c r="R10265"/>
      <c r="W10265" s="4"/>
      <c r="X10265" s="4"/>
      <c r="Y10265" s="4"/>
    </row>
    <row r="10266" spans="5:25">
      <c r="E10266"/>
      <c r="G10266"/>
      <c r="H10266"/>
      <c r="I10266"/>
      <c r="K10266"/>
      <c r="O10266"/>
      <c r="R10266"/>
      <c r="W10266" s="4"/>
      <c r="X10266" s="4"/>
      <c r="Y10266" s="4"/>
    </row>
    <row r="10267" spans="5:25">
      <c r="E10267"/>
      <c r="G10267"/>
      <c r="H10267"/>
      <c r="I10267"/>
      <c r="K10267"/>
      <c r="O10267"/>
      <c r="R10267"/>
      <c r="W10267" s="4"/>
      <c r="X10267" s="4"/>
      <c r="Y10267" s="4"/>
    </row>
    <row r="10268" spans="5:25">
      <c r="E10268"/>
      <c r="G10268"/>
      <c r="H10268"/>
      <c r="I10268"/>
      <c r="K10268"/>
      <c r="O10268"/>
      <c r="R10268"/>
      <c r="W10268" s="4"/>
      <c r="X10268" s="4"/>
      <c r="Y10268" s="4"/>
    </row>
    <row r="10269" spans="5:25">
      <c r="E10269"/>
      <c r="G10269"/>
      <c r="H10269"/>
      <c r="I10269"/>
      <c r="K10269"/>
      <c r="O10269"/>
      <c r="R10269"/>
      <c r="W10269" s="4"/>
      <c r="X10269" s="4"/>
      <c r="Y10269" s="4"/>
    </row>
    <row r="10270" spans="5:25">
      <c r="E10270"/>
      <c r="G10270"/>
      <c r="H10270"/>
      <c r="I10270"/>
      <c r="K10270"/>
      <c r="O10270"/>
      <c r="R10270"/>
      <c r="W10270" s="4"/>
      <c r="X10270" s="4"/>
      <c r="Y10270" s="4"/>
    </row>
    <row r="10271" spans="5:25">
      <c r="E10271"/>
      <c r="G10271"/>
      <c r="H10271"/>
      <c r="I10271"/>
      <c r="K10271"/>
      <c r="O10271"/>
      <c r="R10271"/>
      <c r="W10271" s="4"/>
      <c r="X10271" s="4"/>
      <c r="Y10271" s="4"/>
    </row>
    <row r="10272" spans="5:25">
      <c r="E10272"/>
      <c r="G10272"/>
      <c r="H10272"/>
      <c r="I10272"/>
      <c r="K10272"/>
      <c r="O10272"/>
      <c r="R10272"/>
      <c r="W10272" s="4"/>
      <c r="X10272" s="4"/>
      <c r="Y10272" s="4"/>
    </row>
    <row r="10273" spans="5:25">
      <c r="E10273"/>
      <c r="G10273"/>
      <c r="H10273"/>
      <c r="I10273"/>
      <c r="K10273"/>
      <c r="O10273"/>
      <c r="R10273"/>
      <c r="W10273" s="4"/>
      <c r="X10273" s="4"/>
      <c r="Y10273" s="4"/>
    </row>
    <row r="10274" spans="5:25">
      <c r="E10274"/>
      <c r="G10274"/>
      <c r="H10274"/>
      <c r="I10274"/>
      <c r="K10274"/>
      <c r="O10274"/>
      <c r="R10274"/>
      <c r="W10274" s="4"/>
      <c r="X10274" s="4"/>
      <c r="Y10274" s="4"/>
    </row>
    <row r="10275" spans="5:25">
      <c r="E10275"/>
      <c r="G10275"/>
      <c r="H10275"/>
      <c r="I10275"/>
      <c r="K10275"/>
      <c r="O10275"/>
      <c r="R10275"/>
      <c r="W10275" s="4"/>
      <c r="X10275" s="4"/>
      <c r="Y10275" s="4"/>
    </row>
    <row r="10276" spans="5:25">
      <c r="E10276"/>
      <c r="G10276"/>
      <c r="H10276"/>
      <c r="I10276"/>
      <c r="K10276"/>
      <c r="O10276"/>
      <c r="R10276"/>
      <c r="W10276" s="4"/>
      <c r="X10276" s="4"/>
      <c r="Y10276" s="4"/>
    </row>
    <row r="10277" spans="5:25">
      <c r="E10277"/>
      <c r="G10277"/>
      <c r="H10277"/>
      <c r="I10277"/>
      <c r="K10277"/>
      <c r="O10277"/>
      <c r="R10277"/>
      <c r="W10277" s="4"/>
      <c r="X10277" s="4"/>
      <c r="Y10277" s="4"/>
    </row>
    <row r="10278" spans="5:25">
      <c r="E10278"/>
      <c r="G10278"/>
      <c r="H10278"/>
      <c r="I10278"/>
      <c r="K10278"/>
      <c r="O10278"/>
      <c r="R10278"/>
      <c r="W10278" s="4"/>
      <c r="X10278" s="4"/>
      <c r="Y10278" s="4"/>
    </row>
    <row r="10279" spans="5:25">
      <c r="E10279"/>
      <c r="G10279"/>
      <c r="H10279"/>
      <c r="I10279"/>
      <c r="K10279"/>
      <c r="O10279"/>
      <c r="R10279"/>
      <c r="W10279" s="4"/>
      <c r="X10279" s="4"/>
      <c r="Y10279" s="4"/>
    </row>
    <row r="10280" spans="5:25">
      <c r="E10280"/>
      <c r="G10280"/>
      <c r="H10280"/>
      <c r="I10280"/>
      <c r="K10280"/>
      <c r="O10280"/>
      <c r="R10280"/>
      <c r="W10280" s="4"/>
      <c r="X10280" s="4"/>
      <c r="Y10280" s="4"/>
    </row>
    <row r="10281" spans="5:25">
      <c r="E10281"/>
      <c r="G10281"/>
      <c r="H10281"/>
      <c r="I10281"/>
      <c r="K10281"/>
      <c r="O10281"/>
      <c r="R10281"/>
      <c r="W10281" s="4"/>
      <c r="X10281" s="4"/>
      <c r="Y10281" s="4"/>
    </row>
    <row r="10282" spans="5:25">
      <c r="E10282"/>
      <c r="G10282"/>
      <c r="H10282"/>
      <c r="I10282"/>
      <c r="K10282"/>
      <c r="O10282"/>
      <c r="R10282"/>
      <c r="W10282" s="4"/>
      <c r="X10282" s="4"/>
      <c r="Y10282" s="4"/>
    </row>
    <row r="10283" spans="5:25">
      <c r="E10283"/>
      <c r="G10283"/>
      <c r="H10283"/>
      <c r="I10283"/>
      <c r="K10283"/>
      <c r="O10283"/>
      <c r="R10283"/>
      <c r="W10283" s="4"/>
      <c r="X10283" s="4"/>
      <c r="Y10283" s="4"/>
    </row>
    <row r="10284" spans="5:25">
      <c r="E10284"/>
      <c r="G10284"/>
      <c r="H10284"/>
      <c r="I10284"/>
      <c r="K10284"/>
      <c r="O10284"/>
      <c r="R10284"/>
      <c r="W10284" s="4"/>
      <c r="X10284" s="4"/>
      <c r="Y10284" s="4"/>
    </row>
    <row r="10285" spans="5:25">
      <c r="E10285"/>
      <c r="G10285"/>
      <c r="H10285"/>
      <c r="I10285"/>
      <c r="K10285"/>
      <c r="O10285"/>
      <c r="R10285"/>
      <c r="W10285" s="4"/>
      <c r="X10285" s="4"/>
      <c r="Y10285" s="4"/>
    </row>
    <row r="10286" spans="5:25">
      <c r="E10286"/>
      <c r="G10286"/>
      <c r="H10286"/>
      <c r="I10286"/>
      <c r="K10286"/>
      <c r="O10286"/>
      <c r="R10286"/>
      <c r="W10286" s="4"/>
      <c r="X10286" s="4"/>
      <c r="Y10286" s="4"/>
    </row>
    <row r="10287" spans="5:25">
      <c r="E10287"/>
      <c r="G10287"/>
      <c r="H10287"/>
      <c r="I10287"/>
      <c r="K10287"/>
      <c r="O10287"/>
      <c r="R10287"/>
      <c r="W10287" s="4"/>
      <c r="X10287" s="4"/>
      <c r="Y10287" s="4"/>
    </row>
    <row r="10288" spans="5:25">
      <c r="E10288"/>
      <c r="G10288"/>
      <c r="H10288"/>
      <c r="I10288"/>
      <c r="K10288"/>
      <c r="O10288"/>
      <c r="R10288"/>
      <c r="W10288" s="4"/>
      <c r="X10288" s="4"/>
      <c r="Y10288" s="4"/>
    </row>
    <row r="10289" spans="5:25">
      <c r="E10289"/>
      <c r="G10289"/>
      <c r="H10289"/>
      <c r="I10289"/>
      <c r="K10289"/>
      <c r="O10289"/>
      <c r="R10289"/>
      <c r="W10289" s="4"/>
      <c r="X10289" s="4"/>
      <c r="Y10289" s="4"/>
    </row>
    <row r="10290" spans="5:25">
      <c r="E10290"/>
      <c r="G10290"/>
      <c r="H10290"/>
      <c r="I10290"/>
      <c r="K10290"/>
      <c r="O10290"/>
      <c r="R10290"/>
      <c r="W10290" s="4"/>
      <c r="X10290" s="4"/>
      <c r="Y10290" s="4"/>
    </row>
    <row r="10291" spans="5:25">
      <c r="E10291"/>
      <c r="G10291"/>
      <c r="H10291"/>
      <c r="I10291"/>
      <c r="K10291"/>
      <c r="O10291"/>
      <c r="R10291"/>
      <c r="W10291" s="4"/>
      <c r="X10291" s="4"/>
      <c r="Y10291" s="4"/>
    </row>
    <row r="10292" spans="5:25">
      <c r="E10292"/>
      <c r="G10292"/>
      <c r="H10292"/>
      <c r="I10292"/>
      <c r="K10292"/>
      <c r="O10292"/>
      <c r="R10292"/>
      <c r="W10292" s="4"/>
      <c r="X10292" s="4"/>
      <c r="Y10292" s="4"/>
    </row>
    <row r="10293" spans="5:25">
      <c r="E10293"/>
      <c r="G10293"/>
      <c r="H10293"/>
      <c r="I10293"/>
      <c r="K10293"/>
      <c r="O10293"/>
      <c r="R10293"/>
      <c r="W10293" s="4"/>
      <c r="X10293" s="4"/>
      <c r="Y10293" s="4"/>
    </row>
    <row r="10294" spans="5:25">
      <c r="E10294"/>
      <c r="G10294"/>
      <c r="H10294"/>
      <c r="I10294"/>
      <c r="K10294"/>
      <c r="O10294"/>
      <c r="R10294"/>
      <c r="W10294" s="4"/>
      <c r="X10294" s="4"/>
      <c r="Y10294" s="4"/>
    </row>
    <row r="10295" spans="5:25">
      <c r="E10295"/>
      <c r="G10295"/>
      <c r="H10295"/>
      <c r="I10295"/>
      <c r="K10295"/>
      <c r="O10295"/>
      <c r="R10295"/>
      <c r="W10295" s="4"/>
      <c r="X10295" s="4"/>
      <c r="Y10295" s="4"/>
    </row>
    <row r="10296" spans="5:25">
      <c r="E10296"/>
      <c r="G10296"/>
      <c r="H10296"/>
      <c r="I10296"/>
      <c r="K10296"/>
      <c r="O10296"/>
      <c r="R10296"/>
      <c r="W10296" s="4"/>
      <c r="X10296" s="4"/>
      <c r="Y10296" s="4"/>
    </row>
    <row r="10297" spans="5:25">
      <c r="E10297"/>
      <c r="G10297"/>
      <c r="H10297"/>
      <c r="I10297"/>
      <c r="K10297"/>
      <c r="O10297"/>
      <c r="R10297"/>
      <c r="W10297" s="4"/>
      <c r="X10297" s="4"/>
      <c r="Y10297" s="4"/>
    </row>
    <row r="10298" spans="5:25">
      <c r="E10298"/>
      <c r="G10298"/>
      <c r="H10298"/>
      <c r="I10298"/>
      <c r="K10298"/>
      <c r="O10298"/>
      <c r="R10298"/>
      <c r="W10298" s="4"/>
      <c r="X10298" s="4"/>
      <c r="Y10298" s="4"/>
    </row>
    <row r="10299" spans="5:25">
      <c r="E10299"/>
      <c r="G10299"/>
      <c r="H10299"/>
      <c r="I10299"/>
      <c r="K10299"/>
      <c r="O10299"/>
      <c r="R10299"/>
      <c r="W10299" s="4"/>
      <c r="X10299" s="4"/>
      <c r="Y10299" s="4"/>
    </row>
    <row r="10300" spans="5:25">
      <c r="E10300"/>
      <c r="G10300"/>
      <c r="H10300"/>
      <c r="I10300"/>
      <c r="K10300"/>
      <c r="O10300"/>
      <c r="R10300"/>
      <c r="W10300" s="4"/>
      <c r="X10300" s="4"/>
      <c r="Y10300" s="4"/>
    </row>
    <row r="10301" spans="5:25">
      <c r="E10301"/>
      <c r="G10301"/>
      <c r="H10301"/>
      <c r="I10301"/>
      <c r="K10301"/>
      <c r="O10301"/>
      <c r="R10301"/>
      <c r="W10301" s="4"/>
      <c r="X10301" s="4"/>
      <c r="Y10301" s="4"/>
    </row>
    <row r="10302" spans="5:25">
      <c r="E10302"/>
      <c r="G10302"/>
      <c r="H10302"/>
      <c r="I10302"/>
      <c r="K10302"/>
      <c r="O10302"/>
      <c r="R10302"/>
      <c r="W10302" s="4"/>
      <c r="X10302" s="4"/>
      <c r="Y10302" s="4"/>
    </row>
    <row r="10303" spans="5:25">
      <c r="E10303"/>
      <c r="G10303"/>
      <c r="H10303"/>
      <c r="I10303"/>
      <c r="K10303"/>
      <c r="O10303"/>
      <c r="R10303"/>
      <c r="W10303" s="4"/>
      <c r="X10303" s="4"/>
      <c r="Y10303" s="4"/>
    </row>
    <row r="10304" spans="5:25">
      <c r="E10304"/>
      <c r="G10304"/>
      <c r="H10304"/>
      <c r="I10304"/>
      <c r="K10304"/>
      <c r="O10304"/>
      <c r="R10304"/>
      <c r="W10304" s="4"/>
      <c r="X10304" s="4"/>
      <c r="Y10304" s="4"/>
    </row>
    <row r="10305" spans="5:25">
      <c r="E10305"/>
      <c r="G10305"/>
      <c r="H10305"/>
      <c r="I10305"/>
      <c r="K10305"/>
      <c r="O10305"/>
      <c r="R10305"/>
      <c r="W10305" s="4"/>
      <c r="X10305" s="4"/>
      <c r="Y10305" s="4"/>
    </row>
    <row r="10306" spans="5:25">
      <c r="E10306"/>
      <c r="G10306"/>
      <c r="H10306"/>
      <c r="I10306"/>
      <c r="K10306"/>
      <c r="O10306"/>
      <c r="R10306"/>
      <c r="W10306" s="4"/>
      <c r="X10306" s="4"/>
      <c r="Y10306" s="4"/>
    </row>
    <row r="10307" spans="5:25">
      <c r="E10307"/>
      <c r="G10307"/>
      <c r="H10307"/>
      <c r="I10307"/>
      <c r="K10307"/>
      <c r="O10307"/>
      <c r="R10307"/>
      <c r="W10307" s="4"/>
      <c r="X10307" s="4"/>
      <c r="Y10307" s="4"/>
    </row>
    <row r="10308" spans="5:25">
      <c r="E10308"/>
      <c r="G10308"/>
      <c r="H10308"/>
      <c r="I10308"/>
      <c r="K10308"/>
      <c r="O10308"/>
      <c r="R10308"/>
      <c r="W10308" s="4"/>
      <c r="X10308" s="4"/>
      <c r="Y10308" s="4"/>
    </row>
    <row r="10309" spans="5:25">
      <c r="E10309"/>
      <c r="G10309"/>
      <c r="H10309"/>
      <c r="I10309"/>
      <c r="K10309"/>
      <c r="O10309"/>
      <c r="R10309"/>
      <c r="W10309" s="4"/>
      <c r="X10309" s="4"/>
      <c r="Y10309" s="4"/>
    </row>
    <row r="10310" spans="5:25">
      <c r="E10310"/>
      <c r="G10310"/>
      <c r="H10310"/>
      <c r="I10310"/>
      <c r="K10310"/>
      <c r="O10310"/>
      <c r="R10310"/>
      <c r="W10310" s="4"/>
      <c r="X10310" s="4"/>
      <c r="Y10310" s="4"/>
    </row>
    <row r="10311" spans="5:25">
      <c r="E10311"/>
      <c r="G10311"/>
      <c r="H10311"/>
      <c r="I10311"/>
      <c r="K10311"/>
      <c r="O10311"/>
      <c r="R10311"/>
      <c r="W10311" s="4"/>
      <c r="X10311" s="4"/>
      <c r="Y10311" s="4"/>
    </row>
    <row r="10312" spans="5:25">
      <c r="E10312"/>
      <c r="G10312"/>
      <c r="H10312"/>
      <c r="I10312"/>
      <c r="K10312"/>
      <c r="O10312"/>
      <c r="R10312"/>
      <c r="W10312" s="4"/>
      <c r="X10312" s="4"/>
      <c r="Y10312" s="4"/>
    </row>
    <row r="10313" spans="5:25">
      <c r="E10313"/>
      <c r="G10313"/>
      <c r="H10313"/>
      <c r="I10313"/>
      <c r="K10313"/>
      <c r="O10313"/>
      <c r="R10313"/>
      <c r="W10313" s="4"/>
      <c r="X10313" s="4"/>
      <c r="Y10313" s="4"/>
    </row>
    <row r="10314" spans="5:25">
      <c r="E10314"/>
      <c r="G10314"/>
      <c r="H10314"/>
      <c r="I10314"/>
      <c r="K10314"/>
      <c r="O10314"/>
      <c r="R10314"/>
      <c r="W10314" s="4"/>
      <c r="X10314" s="4"/>
      <c r="Y10314" s="4"/>
    </row>
    <row r="10315" spans="5:25">
      <c r="E10315"/>
      <c r="G10315"/>
      <c r="H10315"/>
      <c r="I10315"/>
      <c r="K10315"/>
      <c r="O10315"/>
      <c r="R10315"/>
      <c r="W10315" s="4"/>
      <c r="X10315" s="4"/>
      <c r="Y10315" s="4"/>
    </row>
    <row r="10316" spans="5:25">
      <c r="E10316"/>
      <c r="G10316"/>
      <c r="H10316"/>
      <c r="I10316"/>
      <c r="K10316"/>
      <c r="O10316"/>
      <c r="R10316"/>
      <c r="W10316" s="4"/>
      <c r="X10316" s="4"/>
      <c r="Y10316" s="4"/>
    </row>
    <row r="10317" spans="5:25">
      <c r="E10317"/>
      <c r="G10317"/>
      <c r="H10317"/>
      <c r="I10317"/>
      <c r="K10317"/>
      <c r="O10317"/>
      <c r="R10317"/>
      <c r="W10317" s="4"/>
      <c r="X10317" s="4"/>
      <c r="Y10317" s="4"/>
    </row>
    <row r="10318" spans="5:25">
      <c r="E10318"/>
      <c r="G10318"/>
      <c r="H10318"/>
      <c r="I10318"/>
      <c r="K10318"/>
      <c r="O10318"/>
      <c r="R10318"/>
      <c r="W10318" s="4"/>
      <c r="X10318" s="4"/>
      <c r="Y10318" s="4"/>
    </row>
    <row r="10319" spans="5:25">
      <c r="E10319"/>
      <c r="G10319"/>
      <c r="H10319"/>
      <c r="I10319"/>
      <c r="K10319"/>
      <c r="O10319"/>
      <c r="R10319"/>
      <c r="W10319" s="4"/>
      <c r="X10319" s="4"/>
      <c r="Y10319" s="4"/>
    </row>
    <row r="10320" spans="5:25">
      <c r="E10320"/>
      <c r="G10320"/>
      <c r="H10320"/>
      <c r="I10320"/>
      <c r="K10320"/>
      <c r="O10320"/>
      <c r="R10320"/>
      <c r="W10320" s="4"/>
      <c r="X10320" s="4"/>
      <c r="Y10320" s="4"/>
    </row>
    <row r="10321" spans="5:25">
      <c r="E10321"/>
      <c r="G10321"/>
      <c r="H10321"/>
      <c r="I10321"/>
      <c r="K10321"/>
      <c r="O10321"/>
      <c r="R10321"/>
      <c r="W10321" s="4"/>
      <c r="X10321" s="4"/>
      <c r="Y10321" s="4"/>
    </row>
    <row r="10322" spans="5:25">
      <c r="E10322"/>
      <c r="G10322"/>
      <c r="H10322"/>
      <c r="I10322"/>
      <c r="K10322"/>
      <c r="O10322"/>
      <c r="R10322"/>
      <c r="W10322" s="4"/>
      <c r="X10322" s="4"/>
      <c r="Y10322" s="4"/>
    </row>
    <row r="10323" spans="5:25">
      <c r="E10323"/>
      <c r="G10323"/>
      <c r="H10323"/>
      <c r="I10323"/>
      <c r="K10323"/>
      <c r="O10323"/>
      <c r="R10323"/>
      <c r="W10323" s="4"/>
      <c r="X10323" s="4"/>
      <c r="Y10323" s="4"/>
    </row>
    <row r="10324" spans="5:25">
      <c r="E10324"/>
      <c r="G10324"/>
      <c r="H10324"/>
      <c r="I10324"/>
      <c r="K10324"/>
      <c r="O10324"/>
      <c r="R10324"/>
      <c r="W10324" s="4"/>
      <c r="X10324" s="4"/>
      <c r="Y10324" s="4"/>
    </row>
    <row r="10325" spans="5:25">
      <c r="E10325"/>
      <c r="G10325"/>
      <c r="H10325"/>
      <c r="I10325"/>
      <c r="K10325"/>
      <c r="O10325"/>
      <c r="R10325"/>
      <c r="W10325" s="4"/>
      <c r="X10325" s="4"/>
      <c r="Y10325" s="4"/>
    </row>
    <row r="10326" spans="5:25">
      <c r="E10326"/>
      <c r="G10326"/>
      <c r="H10326"/>
      <c r="I10326"/>
      <c r="K10326"/>
      <c r="O10326"/>
      <c r="R10326"/>
      <c r="W10326" s="4"/>
      <c r="X10326" s="4"/>
      <c r="Y10326" s="4"/>
    </row>
    <row r="10327" spans="5:25">
      <c r="E10327"/>
      <c r="G10327"/>
      <c r="H10327"/>
      <c r="I10327"/>
      <c r="K10327"/>
      <c r="O10327"/>
      <c r="R10327"/>
      <c r="W10327" s="4"/>
      <c r="X10327" s="4"/>
      <c r="Y10327" s="4"/>
    </row>
    <row r="10328" spans="5:25">
      <c r="E10328"/>
      <c r="G10328"/>
      <c r="H10328"/>
      <c r="I10328"/>
      <c r="K10328"/>
      <c r="O10328"/>
      <c r="R10328"/>
      <c r="W10328" s="4"/>
      <c r="X10328" s="4"/>
      <c r="Y10328" s="4"/>
    </row>
    <row r="10329" spans="5:25">
      <c r="E10329"/>
      <c r="G10329"/>
      <c r="H10329"/>
      <c r="I10329"/>
      <c r="K10329"/>
      <c r="O10329"/>
      <c r="R10329"/>
      <c r="W10329" s="4"/>
      <c r="X10329" s="4"/>
      <c r="Y10329" s="4"/>
    </row>
    <row r="10330" spans="5:25">
      <c r="E10330"/>
      <c r="G10330"/>
      <c r="H10330"/>
      <c r="I10330"/>
      <c r="K10330"/>
      <c r="O10330"/>
      <c r="R10330"/>
      <c r="W10330" s="4"/>
      <c r="X10330" s="4"/>
      <c r="Y10330" s="4"/>
    </row>
    <row r="10331" spans="5:25">
      <c r="E10331"/>
      <c r="G10331"/>
      <c r="H10331"/>
      <c r="I10331"/>
      <c r="K10331"/>
      <c r="O10331"/>
      <c r="R10331"/>
      <c r="W10331" s="4"/>
      <c r="X10331" s="4"/>
      <c r="Y10331" s="4"/>
    </row>
    <row r="10332" spans="5:25">
      <c r="E10332"/>
      <c r="G10332"/>
      <c r="H10332"/>
      <c r="I10332"/>
      <c r="K10332"/>
      <c r="O10332"/>
      <c r="R10332"/>
      <c r="W10332" s="4"/>
      <c r="X10332" s="4"/>
      <c r="Y10332" s="4"/>
    </row>
    <row r="10333" spans="5:25">
      <c r="E10333"/>
      <c r="G10333"/>
      <c r="H10333"/>
      <c r="I10333"/>
      <c r="K10333"/>
      <c r="O10333"/>
      <c r="R10333"/>
      <c r="W10333" s="4"/>
      <c r="X10333" s="4"/>
      <c r="Y10333" s="4"/>
    </row>
    <row r="10334" spans="5:25">
      <c r="E10334"/>
      <c r="G10334"/>
      <c r="H10334"/>
      <c r="I10334"/>
      <c r="K10334"/>
      <c r="O10334"/>
      <c r="R10334"/>
      <c r="W10334" s="4"/>
      <c r="X10334" s="4"/>
      <c r="Y10334" s="4"/>
    </row>
    <row r="10335" spans="5:25">
      <c r="E10335"/>
      <c r="G10335"/>
      <c r="H10335"/>
      <c r="I10335"/>
      <c r="K10335"/>
      <c r="O10335"/>
      <c r="R10335"/>
      <c r="W10335" s="4"/>
      <c r="X10335" s="4"/>
      <c r="Y10335" s="4"/>
    </row>
    <row r="10336" spans="5:25">
      <c r="E10336"/>
      <c r="G10336"/>
      <c r="H10336"/>
      <c r="I10336"/>
      <c r="K10336"/>
      <c r="O10336"/>
      <c r="R10336"/>
      <c r="W10336" s="4"/>
      <c r="X10336" s="4"/>
      <c r="Y10336" s="4"/>
    </row>
    <row r="10337" spans="5:25">
      <c r="E10337"/>
      <c r="G10337"/>
      <c r="H10337"/>
      <c r="I10337"/>
      <c r="K10337"/>
      <c r="O10337"/>
      <c r="R10337"/>
      <c r="W10337" s="4"/>
      <c r="X10337" s="4"/>
      <c r="Y10337" s="4"/>
    </row>
    <row r="10338" spans="5:25">
      <c r="E10338"/>
      <c r="G10338"/>
      <c r="H10338"/>
      <c r="I10338"/>
      <c r="K10338"/>
      <c r="O10338"/>
      <c r="R10338"/>
      <c r="W10338" s="4"/>
      <c r="X10338" s="4"/>
      <c r="Y10338" s="4"/>
    </row>
    <row r="10339" spans="5:25">
      <c r="E10339"/>
      <c r="G10339"/>
      <c r="H10339"/>
      <c r="I10339"/>
      <c r="K10339"/>
      <c r="O10339"/>
      <c r="R10339"/>
      <c r="W10339" s="4"/>
      <c r="X10339" s="4"/>
      <c r="Y10339" s="4"/>
    </row>
    <row r="10340" spans="5:25">
      <c r="E10340"/>
      <c r="G10340"/>
      <c r="H10340"/>
      <c r="I10340"/>
      <c r="K10340"/>
      <c r="O10340"/>
      <c r="R10340"/>
      <c r="W10340" s="4"/>
      <c r="X10340" s="4"/>
      <c r="Y10340" s="4"/>
    </row>
    <row r="10341" spans="5:25">
      <c r="E10341"/>
      <c r="G10341"/>
      <c r="H10341"/>
      <c r="I10341"/>
      <c r="K10341"/>
      <c r="O10341"/>
      <c r="R10341"/>
      <c r="W10341" s="4"/>
      <c r="X10341" s="4"/>
      <c r="Y10341" s="4"/>
    </row>
    <row r="10342" spans="5:25">
      <c r="E10342"/>
      <c r="G10342"/>
      <c r="H10342"/>
      <c r="I10342"/>
      <c r="K10342"/>
      <c r="O10342"/>
      <c r="R10342"/>
      <c r="W10342" s="4"/>
      <c r="X10342" s="4"/>
      <c r="Y10342" s="4"/>
    </row>
    <row r="10343" spans="5:25">
      <c r="E10343"/>
      <c r="G10343"/>
      <c r="H10343"/>
      <c r="I10343"/>
      <c r="K10343"/>
      <c r="O10343"/>
      <c r="R10343"/>
      <c r="W10343" s="4"/>
      <c r="X10343" s="4"/>
      <c r="Y10343" s="4"/>
    </row>
    <row r="10344" spans="5:25">
      <c r="E10344"/>
      <c r="G10344"/>
      <c r="H10344"/>
      <c r="I10344"/>
      <c r="K10344"/>
      <c r="O10344"/>
      <c r="R10344"/>
      <c r="W10344" s="4"/>
      <c r="X10344" s="4"/>
      <c r="Y10344" s="4"/>
    </row>
    <row r="10345" spans="5:25">
      <c r="E10345"/>
      <c r="G10345"/>
      <c r="H10345"/>
      <c r="I10345"/>
      <c r="K10345"/>
      <c r="O10345"/>
      <c r="R10345"/>
      <c r="W10345" s="4"/>
      <c r="X10345" s="4"/>
      <c r="Y10345" s="4"/>
    </row>
    <row r="10346" spans="5:25">
      <c r="E10346"/>
      <c r="G10346"/>
      <c r="H10346"/>
      <c r="I10346"/>
      <c r="K10346"/>
      <c r="O10346"/>
      <c r="R10346"/>
      <c r="W10346" s="4"/>
      <c r="X10346" s="4"/>
      <c r="Y10346" s="4"/>
    </row>
    <row r="10347" spans="5:25">
      <c r="E10347"/>
      <c r="G10347"/>
      <c r="H10347"/>
      <c r="I10347"/>
      <c r="K10347"/>
      <c r="O10347"/>
      <c r="R10347"/>
      <c r="W10347" s="4"/>
      <c r="X10347" s="4"/>
      <c r="Y10347" s="4"/>
    </row>
    <row r="10348" spans="5:25">
      <c r="E10348"/>
      <c r="G10348"/>
      <c r="H10348"/>
      <c r="I10348"/>
      <c r="K10348"/>
      <c r="O10348"/>
      <c r="R10348"/>
      <c r="W10348" s="4"/>
      <c r="X10348" s="4"/>
      <c r="Y10348" s="4"/>
    </row>
    <row r="10349" spans="5:25">
      <c r="E10349"/>
      <c r="G10349"/>
      <c r="H10349"/>
      <c r="I10349"/>
      <c r="K10349"/>
      <c r="O10349"/>
      <c r="R10349"/>
      <c r="W10349" s="4"/>
      <c r="X10349" s="4"/>
      <c r="Y10349" s="4"/>
    </row>
    <row r="10350" spans="5:25">
      <c r="E10350"/>
      <c r="G10350"/>
      <c r="H10350"/>
      <c r="I10350"/>
      <c r="K10350"/>
      <c r="O10350"/>
      <c r="R10350"/>
      <c r="W10350" s="4"/>
      <c r="X10350" s="4"/>
      <c r="Y10350" s="4"/>
    </row>
    <row r="10351" spans="5:25">
      <c r="E10351"/>
      <c r="G10351"/>
      <c r="H10351"/>
      <c r="I10351"/>
      <c r="K10351"/>
      <c r="O10351"/>
      <c r="R10351"/>
      <c r="W10351" s="4"/>
      <c r="X10351" s="4"/>
      <c r="Y10351" s="4"/>
    </row>
    <row r="10352" spans="5:25">
      <c r="E10352"/>
      <c r="G10352"/>
      <c r="H10352"/>
      <c r="I10352"/>
      <c r="K10352"/>
      <c r="O10352"/>
      <c r="R10352"/>
      <c r="W10352" s="4"/>
      <c r="X10352" s="4"/>
      <c r="Y10352" s="4"/>
    </row>
    <row r="10353" spans="5:25">
      <c r="E10353"/>
      <c r="G10353"/>
      <c r="H10353"/>
      <c r="I10353"/>
      <c r="K10353"/>
      <c r="O10353"/>
      <c r="R10353"/>
      <c r="W10353" s="4"/>
      <c r="X10353" s="4"/>
      <c r="Y10353" s="4"/>
    </row>
    <row r="10354" spans="5:25">
      <c r="E10354"/>
      <c r="G10354"/>
      <c r="H10354"/>
      <c r="I10354"/>
      <c r="K10354"/>
      <c r="O10354"/>
      <c r="R10354"/>
      <c r="W10354" s="4"/>
      <c r="X10354" s="4"/>
      <c r="Y10354" s="4"/>
    </row>
    <row r="10355" spans="5:25">
      <c r="E10355"/>
      <c r="G10355"/>
      <c r="H10355"/>
      <c r="I10355"/>
      <c r="K10355"/>
      <c r="O10355"/>
      <c r="R10355"/>
      <c r="W10355" s="4"/>
      <c r="X10355" s="4"/>
      <c r="Y10355" s="4"/>
    </row>
    <row r="10356" spans="5:25">
      <c r="E10356"/>
      <c r="G10356"/>
      <c r="H10356"/>
      <c r="I10356"/>
      <c r="K10356"/>
      <c r="O10356"/>
      <c r="R10356"/>
      <c r="W10356" s="4"/>
      <c r="X10356" s="4"/>
      <c r="Y10356" s="4"/>
    </row>
    <row r="10357" spans="5:25">
      <c r="E10357"/>
      <c r="G10357"/>
      <c r="H10357"/>
      <c r="I10357"/>
      <c r="K10357"/>
      <c r="O10357"/>
      <c r="R10357"/>
      <c r="W10357" s="4"/>
      <c r="X10357" s="4"/>
      <c r="Y10357" s="4"/>
    </row>
    <row r="10358" spans="5:25">
      <c r="E10358"/>
      <c r="G10358"/>
      <c r="H10358"/>
      <c r="I10358"/>
      <c r="K10358"/>
      <c r="O10358"/>
      <c r="R10358"/>
      <c r="W10358" s="4"/>
      <c r="X10358" s="4"/>
      <c r="Y10358" s="4"/>
    </row>
    <row r="10359" spans="5:25">
      <c r="E10359"/>
      <c r="G10359"/>
      <c r="H10359"/>
      <c r="I10359"/>
      <c r="K10359"/>
      <c r="O10359"/>
      <c r="R10359"/>
      <c r="W10359" s="4"/>
      <c r="X10359" s="4"/>
      <c r="Y10359" s="4"/>
    </row>
    <row r="10360" spans="5:25">
      <c r="E10360"/>
      <c r="G10360"/>
      <c r="H10360"/>
      <c r="I10360"/>
      <c r="K10360"/>
      <c r="O10360"/>
      <c r="R10360"/>
      <c r="W10360" s="4"/>
      <c r="X10360" s="4"/>
      <c r="Y10360" s="4"/>
    </row>
    <row r="10361" spans="5:25">
      <c r="E10361"/>
      <c r="G10361"/>
      <c r="H10361"/>
      <c r="I10361"/>
      <c r="K10361"/>
      <c r="O10361"/>
      <c r="R10361"/>
      <c r="W10361" s="4"/>
      <c r="X10361" s="4"/>
      <c r="Y10361" s="4"/>
    </row>
    <row r="10362" spans="5:25">
      <c r="E10362"/>
      <c r="G10362"/>
      <c r="H10362"/>
      <c r="I10362"/>
      <c r="K10362"/>
      <c r="O10362"/>
      <c r="R10362"/>
      <c r="W10362" s="4"/>
      <c r="X10362" s="4"/>
      <c r="Y10362" s="4"/>
    </row>
    <row r="10363" spans="5:25">
      <c r="E10363"/>
      <c r="G10363"/>
      <c r="H10363"/>
      <c r="I10363"/>
      <c r="K10363"/>
      <c r="O10363"/>
      <c r="R10363"/>
      <c r="W10363" s="4"/>
      <c r="X10363" s="4"/>
      <c r="Y10363" s="4"/>
    </row>
    <row r="10364" spans="5:25">
      <c r="E10364"/>
      <c r="G10364"/>
      <c r="H10364"/>
      <c r="I10364"/>
      <c r="K10364"/>
      <c r="O10364"/>
      <c r="R10364"/>
      <c r="W10364" s="4"/>
      <c r="X10364" s="4"/>
      <c r="Y10364" s="4"/>
    </row>
    <row r="10365" spans="5:25">
      <c r="E10365"/>
      <c r="G10365"/>
      <c r="H10365"/>
      <c r="I10365"/>
      <c r="K10365"/>
      <c r="O10365"/>
      <c r="R10365"/>
      <c r="W10365" s="4"/>
      <c r="X10365" s="4"/>
      <c r="Y10365" s="4"/>
    </row>
    <row r="10366" spans="5:25">
      <c r="E10366"/>
      <c r="G10366"/>
      <c r="H10366"/>
      <c r="I10366"/>
      <c r="K10366"/>
      <c r="O10366"/>
      <c r="R10366"/>
      <c r="W10366" s="4"/>
      <c r="X10366" s="4"/>
      <c r="Y10366" s="4"/>
    </row>
    <row r="10367" spans="5:25">
      <c r="E10367"/>
      <c r="G10367"/>
      <c r="H10367"/>
      <c r="I10367"/>
      <c r="K10367"/>
      <c r="O10367"/>
      <c r="R10367"/>
      <c r="W10367" s="4"/>
      <c r="X10367" s="4"/>
      <c r="Y10367" s="4"/>
    </row>
    <row r="10368" spans="5:25">
      <c r="E10368"/>
      <c r="G10368"/>
      <c r="H10368"/>
      <c r="I10368"/>
      <c r="K10368"/>
      <c r="O10368"/>
      <c r="R10368"/>
      <c r="W10368" s="4"/>
      <c r="X10368" s="4"/>
      <c r="Y10368" s="4"/>
    </row>
    <row r="10369" spans="5:25">
      <c r="E10369"/>
      <c r="G10369"/>
      <c r="H10369"/>
      <c r="I10369"/>
      <c r="K10369"/>
      <c r="O10369"/>
      <c r="R10369"/>
      <c r="W10369" s="4"/>
      <c r="X10369" s="4"/>
      <c r="Y10369" s="4"/>
    </row>
    <row r="10370" spans="5:25">
      <c r="E10370"/>
      <c r="G10370"/>
      <c r="H10370"/>
      <c r="I10370"/>
      <c r="K10370"/>
      <c r="O10370"/>
      <c r="R10370"/>
      <c r="W10370" s="4"/>
      <c r="X10370" s="4"/>
      <c r="Y10370" s="4"/>
    </row>
    <row r="10371" spans="5:25">
      <c r="E10371"/>
      <c r="G10371"/>
      <c r="H10371"/>
      <c r="I10371"/>
      <c r="K10371"/>
      <c r="O10371"/>
      <c r="R10371"/>
      <c r="W10371" s="4"/>
      <c r="X10371" s="4"/>
      <c r="Y10371" s="4"/>
    </row>
    <row r="10372" spans="5:25">
      <c r="E10372"/>
      <c r="G10372"/>
      <c r="H10372"/>
      <c r="I10372"/>
      <c r="K10372"/>
      <c r="O10372"/>
      <c r="R10372"/>
      <c r="W10372" s="4"/>
      <c r="X10372" s="4"/>
      <c r="Y10372" s="4"/>
    </row>
    <row r="10373" spans="5:25">
      <c r="E10373"/>
      <c r="G10373"/>
      <c r="H10373"/>
      <c r="I10373"/>
      <c r="K10373"/>
      <c r="O10373"/>
      <c r="R10373"/>
      <c r="W10373" s="4"/>
      <c r="X10373" s="4"/>
      <c r="Y10373" s="4"/>
    </row>
    <row r="10374" spans="5:25">
      <c r="E10374"/>
      <c r="G10374"/>
      <c r="H10374"/>
      <c r="I10374"/>
      <c r="K10374"/>
      <c r="O10374"/>
      <c r="R10374"/>
      <c r="W10374" s="4"/>
      <c r="X10374" s="4"/>
      <c r="Y10374" s="4"/>
    </row>
    <row r="10375" spans="5:25">
      <c r="E10375"/>
      <c r="G10375"/>
      <c r="H10375"/>
      <c r="I10375"/>
      <c r="K10375"/>
      <c r="O10375"/>
      <c r="R10375"/>
      <c r="W10375" s="4"/>
      <c r="X10375" s="4"/>
      <c r="Y10375" s="4"/>
    </row>
    <row r="10376" spans="5:25">
      <c r="E10376"/>
      <c r="G10376"/>
      <c r="H10376"/>
      <c r="I10376"/>
      <c r="K10376"/>
      <c r="O10376"/>
      <c r="R10376"/>
      <c r="W10376" s="4"/>
      <c r="X10376" s="4"/>
      <c r="Y10376" s="4"/>
    </row>
    <row r="10377" spans="5:25">
      <c r="E10377"/>
      <c r="G10377"/>
      <c r="H10377"/>
      <c r="I10377"/>
      <c r="K10377"/>
      <c r="O10377"/>
      <c r="R10377"/>
      <c r="W10377" s="4"/>
      <c r="X10377" s="4"/>
      <c r="Y10377" s="4"/>
    </row>
    <row r="10378" spans="5:25">
      <c r="E10378"/>
      <c r="G10378"/>
      <c r="H10378"/>
      <c r="I10378"/>
      <c r="K10378"/>
      <c r="O10378"/>
      <c r="R10378"/>
      <c r="W10378" s="4"/>
      <c r="X10378" s="4"/>
      <c r="Y10378" s="4"/>
    </row>
    <row r="10379" spans="5:25">
      <c r="E10379"/>
      <c r="G10379"/>
      <c r="H10379"/>
      <c r="I10379"/>
      <c r="K10379"/>
      <c r="O10379"/>
      <c r="R10379"/>
      <c r="W10379" s="4"/>
      <c r="X10379" s="4"/>
      <c r="Y10379" s="4"/>
    </row>
    <row r="10380" spans="5:25">
      <c r="E10380"/>
      <c r="G10380"/>
      <c r="H10380"/>
      <c r="I10380"/>
      <c r="K10380"/>
      <c r="O10380"/>
      <c r="R10380"/>
      <c r="W10380" s="4"/>
      <c r="X10380" s="4"/>
      <c r="Y10380" s="4"/>
    </row>
    <row r="10381" spans="5:25">
      <c r="E10381"/>
      <c r="G10381"/>
      <c r="H10381"/>
      <c r="I10381"/>
      <c r="K10381"/>
      <c r="O10381"/>
      <c r="R10381"/>
      <c r="W10381" s="4"/>
      <c r="X10381" s="4"/>
      <c r="Y10381" s="4"/>
    </row>
    <row r="10382" spans="5:25">
      <c r="E10382"/>
      <c r="G10382"/>
      <c r="H10382"/>
      <c r="I10382"/>
      <c r="K10382"/>
      <c r="O10382"/>
      <c r="R10382"/>
      <c r="W10382" s="4"/>
      <c r="X10382" s="4"/>
      <c r="Y10382" s="4"/>
    </row>
    <row r="10383" spans="5:25">
      <c r="E10383"/>
      <c r="G10383"/>
      <c r="H10383"/>
      <c r="I10383"/>
      <c r="K10383"/>
      <c r="O10383"/>
      <c r="R10383"/>
      <c r="W10383" s="4"/>
      <c r="X10383" s="4"/>
      <c r="Y10383" s="4"/>
    </row>
    <row r="10384" spans="5:25">
      <c r="E10384"/>
      <c r="G10384"/>
      <c r="H10384"/>
      <c r="I10384"/>
      <c r="K10384"/>
      <c r="O10384"/>
      <c r="R10384"/>
      <c r="W10384" s="4"/>
      <c r="X10384" s="4"/>
      <c r="Y10384" s="4"/>
    </row>
    <row r="10385" spans="5:25">
      <c r="E10385"/>
      <c r="G10385"/>
      <c r="H10385"/>
      <c r="I10385"/>
      <c r="K10385"/>
      <c r="O10385"/>
      <c r="R10385"/>
      <c r="W10385" s="4"/>
      <c r="X10385" s="4"/>
      <c r="Y10385" s="4"/>
    </row>
    <row r="10386" spans="5:25">
      <c r="E10386"/>
      <c r="G10386"/>
      <c r="H10386"/>
      <c r="I10386"/>
      <c r="K10386"/>
      <c r="O10386"/>
      <c r="R10386"/>
      <c r="W10386" s="4"/>
      <c r="X10386" s="4"/>
      <c r="Y10386" s="4"/>
    </row>
    <row r="10387" spans="5:25">
      <c r="E10387"/>
      <c r="G10387"/>
      <c r="H10387"/>
      <c r="I10387"/>
      <c r="K10387"/>
      <c r="O10387"/>
      <c r="R10387"/>
      <c r="W10387" s="4"/>
      <c r="X10387" s="4"/>
      <c r="Y10387" s="4"/>
    </row>
    <row r="10388" spans="5:25">
      <c r="E10388"/>
      <c r="G10388"/>
      <c r="H10388"/>
      <c r="I10388"/>
      <c r="K10388"/>
      <c r="O10388"/>
      <c r="R10388"/>
      <c r="W10388" s="4"/>
      <c r="X10388" s="4"/>
      <c r="Y10388" s="4"/>
    </row>
    <row r="10389" spans="5:25">
      <c r="E10389"/>
      <c r="G10389"/>
      <c r="H10389"/>
      <c r="I10389"/>
      <c r="K10389"/>
      <c r="O10389"/>
      <c r="R10389"/>
      <c r="W10389" s="4"/>
      <c r="X10389" s="4"/>
      <c r="Y10389" s="4"/>
    </row>
    <row r="10390" spans="5:25">
      <c r="E10390"/>
      <c r="G10390"/>
      <c r="H10390"/>
      <c r="I10390"/>
      <c r="K10390"/>
      <c r="O10390"/>
      <c r="R10390"/>
      <c r="W10390" s="4"/>
      <c r="X10390" s="4"/>
      <c r="Y10390" s="4"/>
    </row>
    <row r="10391" spans="5:25">
      <c r="E10391"/>
      <c r="G10391"/>
      <c r="H10391"/>
      <c r="I10391"/>
      <c r="K10391"/>
      <c r="O10391"/>
      <c r="R10391"/>
      <c r="W10391" s="4"/>
      <c r="X10391" s="4"/>
      <c r="Y10391" s="4"/>
    </row>
    <row r="10392" spans="5:25">
      <c r="E10392"/>
      <c r="G10392"/>
      <c r="H10392"/>
      <c r="I10392"/>
      <c r="K10392"/>
      <c r="O10392"/>
      <c r="R10392"/>
      <c r="W10392" s="4"/>
      <c r="X10392" s="4"/>
      <c r="Y10392" s="4"/>
    </row>
    <row r="10393" spans="5:25">
      <c r="E10393"/>
      <c r="G10393"/>
      <c r="H10393"/>
      <c r="I10393"/>
      <c r="K10393"/>
      <c r="O10393"/>
      <c r="R10393"/>
      <c r="W10393" s="4"/>
      <c r="X10393" s="4"/>
      <c r="Y10393" s="4"/>
    </row>
    <row r="10394" spans="5:25">
      <c r="E10394"/>
      <c r="G10394"/>
      <c r="H10394"/>
      <c r="I10394"/>
      <c r="K10394"/>
      <c r="O10394"/>
      <c r="R10394"/>
      <c r="W10394" s="4"/>
      <c r="X10394" s="4"/>
      <c r="Y10394" s="4"/>
    </row>
    <row r="10395" spans="5:25">
      <c r="E10395"/>
      <c r="G10395"/>
      <c r="H10395"/>
      <c r="I10395"/>
      <c r="K10395"/>
      <c r="O10395"/>
      <c r="R10395"/>
      <c r="W10395" s="4"/>
      <c r="X10395" s="4"/>
      <c r="Y10395" s="4"/>
    </row>
    <row r="10396" spans="5:25">
      <c r="E10396"/>
      <c r="G10396"/>
      <c r="H10396"/>
      <c r="I10396"/>
      <c r="K10396"/>
      <c r="O10396"/>
      <c r="R10396"/>
      <c r="W10396" s="4"/>
      <c r="X10396" s="4"/>
      <c r="Y10396" s="4"/>
    </row>
    <row r="10397" spans="5:25">
      <c r="E10397"/>
      <c r="G10397"/>
      <c r="H10397"/>
      <c r="I10397"/>
      <c r="K10397"/>
      <c r="O10397"/>
      <c r="R10397"/>
      <c r="W10397" s="4"/>
      <c r="X10397" s="4"/>
      <c r="Y10397" s="4"/>
    </row>
    <row r="10398" spans="5:25">
      <c r="E10398"/>
      <c r="G10398"/>
      <c r="H10398"/>
      <c r="I10398"/>
      <c r="K10398"/>
      <c r="O10398"/>
      <c r="R10398"/>
      <c r="W10398" s="4"/>
      <c r="X10398" s="4"/>
      <c r="Y10398" s="4"/>
    </row>
    <row r="10399" spans="5:25">
      <c r="E10399"/>
      <c r="G10399"/>
      <c r="H10399"/>
      <c r="I10399"/>
      <c r="K10399"/>
      <c r="O10399"/>
      <c r="R10399"/>
      <c r="W10399" s="4"/>
      <c r="X10399" s="4"/>
      <c r="Y10399" s="4"/>
    </row>
    <row r="10400" spans="5:25">
      <c r="E10400"/>
      <c r="G10400"/>
      <c r="H10400"/>
      <c r="I10400"/>
      <c r="K10400"/>
      <c r="O10400"/>
      <c r="R10400"/>
      <c r="W10400" s="4"/>
      <c r="X10400" s="4"/>
      <c r="Y10400" s="4"/>
    </row>
    <row r="10401" spans="5:25">
      <c r="E10401"/>
      <c r="G10401"/>
      <c r="H10401"/>
      <c r="I10401"/>
      <c r="K10401"/>
      <c r="O10401"/>
      <c r="R10401"/>
      <c r="W10401" s="4"/>
      <c r="X10401" s="4"/>
      <c r="Y10401" s="4"/>
    </row>
    <row r="10402" spans="5:25">
      <c r="E10402"/>
      <c r="G10402"/>
      <c r="H10402"/>
      <c r="I10402"/>
      <c r="K10402"/>
      <c r="O10402"/>
      <c r="R10402"/>
      <c r="W10402" s="4"/>
      <c r="X10402" s="4"/>
      <c r="Y10402" s="4"/>
    </row>
    <row r="10403" spans="5:25">
      <c r="E10403"/>
      <c r="G10403"/>
      <c r="H10403"/>
      <c r="I10403"/>
      <c r="K10403"/>
      <c r="O10403"/>
      <c r="R10403"/>
      <c r="W10403" s="4"/>
      <c r="X10403" s="4"/>
      <c r="Y10403" s="4"/>
    </row>
    <row r="10404" spans="5:25">
      <c r="E10404"/>
      <c r="G10404"/>
      <c r="H10404"/>
      <c r="I10404"/>
      <c r="K10404"/>
      <c r="O10404"/>
      <c r="R10404"/>
      <c r="W10404" s="4"/>
      <c r="X10404" s="4"/>
      <c r="Y10404" s="4"/>
    </row>
    <row r="10405" spans="5:25">
      <c r="E10405"/>
      <c r="G10405"/>
      <c r="H10405"/>
      <c r="I10405"/>
      <c r="K10405"/>
      <c r="O10405"/>
      <c r="R10405"/>
      <c r="W10405" s="4"/>
      <c r="X10405" s="4"/>
      <c r="Y10405" s="4"/>
    </row>
    <row r="10406" spans="5:25">
      <c r="E10406"/>
      <c r="G10406"/>
      <c r="H10406"/>
      <c r="I10406"/>
      <c r="K10406"/>
      <c r="O10406"/>
      <c r="R10406"/>
      <c r="W10406" s="4"/>
      <c r="X10406" s="4"/>
      <c r="Y10406" s="4"/>
    </row>
    <row r="10407" spans="5:25">
      <c r="E10407"/>
      <c r="G10407"/>
      <c r="H10407"/>
      <c r="I10407"/>
      <c r="K10407"/>
      <c r="O10407"/>
      <c r="R10407"/>
      <c r="W10407" s="4"/>
      <c r="X10407" s="4"/>
      <c r="Y10407" s="4"/>
    </row>
    <row r="10408" spans="5:25">
      <c r="E10408"/>
      <c r="G10408"/>
      <c r="H10408"/>
      <c r="I10408"/>
      <c r="K10408"/>
      <c r="O10408"/>
      <c r="R10408"/>
      <c r="W10408" s="4"/>
      <c r="X10408" s="4"/>
      <c r="Y10408" s="4"/>
    </row>
    <row r="10409" spans="5:25">
      <c r="E10409"/>
      <c r="G10409"/>
      <c r="H10409"/>
      <c r="I10409"/>
      <c r="K10409"/>
      <c r="O10409"/>
      <c r="R10409"/>
      <c r="W10409" s="4"/>
      <c r="X10409" s="4"/>
      <c r="Y10409" s="4"/>
    </row>
    <row r="10410" spans="5:25">
      <c r="E10410"/>
      <c r="G10410"/>
      <c r="H10410"/>
      <c r="I10410"/>
      <c r="K10410"/>
      <c r="O10410"/>
      <c r="R10410"/>
      <c r="W10410" s="4"/>
      <c r="X10410" s="4"/>
      <c r="Y10410" s="4"/>
    </row>
    <row r="10411" spans="5:25">
      <c r="E10411"/>
      <c r="G10411"/>
      <c r="H10411"/>
      <c r="I10411"/>
      <c r="K10411"/>
      <c r="O10411"/>
      <c r="R10411"/>
      <c r="W10411" s="4"/>
      <c r="X10411" s="4"/>
      <c r="Y10411" s="4"/>
    </row>
    <row r="10412" spans="5:25">
      <c r="E10412"/>
      <c r="G10412"/>
      <c r="H10412"/>
      <c r="I10412"/>
      <c r="K10412"/>
      <c r="O10412"/>
      <c r="R10412"/>
      <c r="W10412" s="4"/>
      <c r="X10412" s="4"/>
      <c r="Y10412" s="4"/>
    </row>
    <row r="10413" spans="5:25">
      <c r="E10413"/>
      <c r="G10413"/>
      <c r="H10413"/>
      <c r="I10413"/>
      <c r="K10413"/>
      <c r="O10413"/>
      <c r="R10413"/>
      <c r="W10413" s="4"/>
      <c r="X10413" s="4"/>
      <c r="Y10413" s="4"/>
    </row>
    <row r="10414" spans="5:25">
      <c r="E10414"/>
      <c r="G10414"/>
      <c r="H10414"/>
      <c r="I10414"/>
      <c r="K10414"/>
      <c r="O10414"/>
      <c r="R10414"/>
      <c r="W10414" s="4"/>
      <c r="X10414" s="4"/>
      <c r="Y10414" s="4"/>
    </row>
    <row r="10415" spans="5:25">
      <c r="E10415"/>
      <c r="G10415"/>
      <c r="H10415"/>
      <c r="I10415"/>
      <c r="K10415"/>
      <c r="O10415"/>
      <c r="R10415"/>
      <c r="W10415" s="4"/>
      <c r="X10415" s="4"/>
      <c r="Y10415" s="4"/>
    </row>
    <row r="10416" spans="5:25">
      <c r="E10416"/>
      <c r="G10416"/>
      <c r="H10416"/>
      <c r="I10416"/>
      <c r="K10416"/>
      <c r="O10416"/>
      <c r="R10416"/>
      <c r="W10416" s="4"/>
      <c r="X10416" s="4"/>
      <c r="Y10416" s="4"/>
    </row>
    <row r="10417" spans="5:25">
      <c r="E10417"/>
      <c r="G10417"/>
      <c r="H10417"/>
      <c r="I10417"/>
      <c r="K10417"/>
      <c r="O10417"/>
      <c r="R10417"/>
      <c r="W10417" s="4"/>
      <c r="X10417" s="4"/>
      <c r="Y10417" s="4"/>
    </row>
    <row r="10418" spans="5:25">
      <c r="E10418"/>
      <c r="G10418"/>
      <c r="H10418"/>
      <c r="I10418"/>
      <c r="K10418"/>
      <c r="O10418"/>
      <c r="R10418"/>
      <c r="W10418" s="4"/>
      <c r="X10418" s="4"/>
      <c r="Y10418" s="4"/>
    </row>
    <row r="10419" spans="5:25">
      <c r="E10419"/>
      <c r="G10419"/>
      <c r="H10419"/>
      <c r="I10419"/>
      <c r="K10419"/>
      <c r="O10419"/>
      <c r="R10419"/>
      <c r="W10419" s="4"/>
      <c r="X10419" s="4"/>
      <c r="Y10419" s="4"/>
    </row>
    <row r="10420" spans="5:25">
      <c r="E10420"/>
      <c r="G10420"/>
      <c r="H10420"/>
      <c r="I10420"/>
      <c r="K10420"/>
      <c r="O10420"/>
      <c r="R10420"/>
      <c r="W10420" s="4"/>
      <c r="X10420" s="4"/>
      <c r="Y10420" s="4"/>
    </row>
    <row r="10421" spans="5:25">
      <c r="E10421"/>
      <c r="G10421"/>
      <c r="H10421"/>
      <c r="I10421"/>
      <c r="K10421"/>
      <c r="O10421"/>
      <c r="R10421"/>
      <c r="W10421" s="4"/>
      <c r="X10421" s="4"/>
      <c r="Y10421" s="4"/>
    </row>
    <row r="10422" spans="5:25">
      <c r="E10422"/>
      <c r="G10422"/>
      <c r="H10422"/>
      <c r="I10422"/>
      <c r="K10422"/>
      <c r="O10422"/>
      <c r="R10422"/>
      <c r="W10422" s="4"/>
      <c r="X10422" s="4"/>
      <c r="Y10422" s="4"/>
    </row>
    <row r="10423" spans="5:25">
      <c r="E10423"/>
      <c r="G10423"/>
      <c r="H10423"/>
      <c r="I10423"/>
      <c r="K10423"/>
      <c r="O10423"/>
      <c r="R10423"/>
      <c r="W10423" s="4"/>
      <c r="X10423" s="4"/>
      <c r="Y10423" s="4"/>
    </row>
    <row r="10424" spans="5:25">
      <c r="E10424"/>
      <c r="G10424"/>
      <c r="H10424"/>
      <c r="I10424"/>
      <c r="K10424"/>
      <c r="O10424"/>
      <c r="R10424"/>
      <c r="W10424" s="4"/>
      <c r="X10424" s="4"/>
      <c r="Y10424" s="4"/>
    </row>
    <row r="10425" spans="5:25">
      <c r="E10425"/>
      <c r="G10425"/>
      <c r="H10425"/>
      <c r="I10425"/>
      <c r="K10425"/>
      <c r="O10425"/>
      <c r="R10425"/>
      <c r="W10425" s="4"/>
      <c r="X10425" s="4"/>
      <c r="Y10425" s="4"/>
    </row>
    <row r="10426" spans="5:25">
      <c r="E10426"/>
      <c r="G10426"/>
      <c r="H10426"/>
      <c r="I10426"/>
      <c r="K10426"/>
      <c r="O10426"/>
      <c r="R10426"/>
      <c r="W10426" s="4"/>
      <c r="X10426" s="4"/>
      <c r="Y10426" s="4"/>
    </row>
    <row r="10427" spans="5:25">
      <c r="E10427"/>
      <c r="G10427"/>
      <c r="H10427"/>
      <c r="I10427"/>
      <c r="K10427"/>
      <c r="O10427"/>
      <c r="R10427"/>
      <c r="W10427" s="4"/>
      <c r="X10427" s="4"/>
      <c r="Y10427" s="4"/>
    </row>
    <row r="10428" spans="5:25">
      <c r="E10428"/>
      <c r="G10428"/>
      <c r="H10428"/>
      <c r="I10428"/>
      <c r="K10428"/>
      <c r="O10428"/>
      <c r="R10428"/>
      <c r="W10428" s="4"/>
      <c r="X10428" s="4"/>
      <c r="Y10428" s="4"/>
    </row>
    <row r="10429" spans="5:25">
      <c r="E10429"/>
      <c r="G10429"/>
      <c r="H10429"/>
      <c r="I10429"/>
      <c r="K10429"/>
      <c r="O10429"/>
      <c r="R10429"/>
      <c r="W10429" s="4"/>
      <c r="X10429" s="4"/>
      <c r="Y10429" s="4"/>
    </row>
    <row r="10430" spans="5:25">
      <c r="E10430"/>
      <c r="G10430"/>
      <c r="H10430"/>
      <c r="I10430"/>
      <c r="K10430"/>
      <c r="O10430"/>
      <c r="R10430"/>
      <c r="W10430" s="4"/>
      <c r="X10430" s="4"/>
      <c r="Y10430" s="4"/>
    </row>
    <row r="10431" spans="5:25">
      <c r="E10431"/>
      <c r="G10431"/>
      <c r="H10431"/>
      <c r="I10431"/>
      <c r="K10431"/>
      <c r="O10431"/>
      <c r="R10431"/>
      <c r="W10431" s="4"/>
      <c r="X10431" s="4"/>
      <c r="Y10431" s="4"/>
    </row>
    <row r="10432" spans="5:25">
      <c r="E10432"/>
      <c r="G10432"/>
      <c r="H10432"/>
      <c r="I10432"/>
      <c r="K10432"/>
      <c r="O10432"/>
      <c r="R10432"/>
      <c r="W10432" s="4"/>
      <c r="X10432" s="4"/>
      <c r="Y10432" s="4"/>
    </row>
    <row r="10433" spans="5:25">
      <c r="E10433"/>
      <c r="G10433"/>
      <c r="H10433"/>
      <c r="I10433"/>
      <c r="K10433"/>
      <c r="O10433"/>
      <c r="R10433"/>
      <c r="W10433" s="4"/>
      <c r="X10433" s="4"/>
      <c r="Y10433" s="4"/>
    </row>
    <row r="10434" spans="5:25">
      <c r="E10434"/>
      <c r="G10434"/>
      <c r="H10434"/>
      <c r="I10434"/>
      <c r="K10434"/>
      <c r="O10434"/>
      <c r="R10434"/>
      <c r="W10434" s="4"/>
      <c r="X10434" s="4"/>
      <c r="Y10434" s="4"/>
    </row>
    <row r="10435" spans="5:25">
      <c r="E10435"/>
      <c r="G10435"/>
      <c r="H10435"/>
      <c r="I10435"/>
      <c r="K10435"/>
      <c r="O10435"/>
      <c r="R10435"/>
      <c r="W10435" s="4"/>
      <c r="X10435" s="4"/>
      <c r="Y10435" s="4"/>
    </row>
    <row r="10436" spans="5:25">
      <c r="E10436"/>
      <c r="G10436"/>
      <c r="H10436"/>
      <c r="I10436"/>
      <c r="K10436"/>
      <c r="O10436"/>
      <c r="R10436"/>
      <c r="W10436" s="4"/>
      <c r="X10436" s="4"/>
      <c r="Y10436" s="4"/>
    </row>
    <row r="10437" spans="5:25">
      <c r="E10437"/>
      <c r="G10437"/>
      <c r="H10437"/>
      <c r="I10437"/>
      <c r="K10437"/>
      <c r="O10437"/>
      <c r="R10437"/>
      <c r="W10437" s="4"/>
      <c r="X10437" s="4"/>
      <c r="Y10437" s="4"/>
    </row>
    <row r="10438" spans="5:25">
      <c r="E10438"/>
      <c r="G10438"/>
      <c r="H10438"/>
      <c r="I10438"/>
      <c r="K10438"/>
      <c r="O10438"/>
      <c r="R10438"/>
      <c r="W10438" s="4"/>
      <c r="X10438" s="4"/>
      <c r="Y10438" s="4"/>
    </row>
    <row r="10439" spans="5:25">
      <c r="E10439"/>
      <c r="G10439"/>
      <c r="H10439"/>
      <c r="I10439"/>
      <c r="K10439"/>
      <c r="O10439"/>
      <c r="R10439"/>
      <c r="W10439" s="4"/>
      <c r="X10439" s="4"/>
      <c r="Y10439" s="4"/>
    </row>
    <row r="10440" spans="5:25">
      <c r="E10440"/>
      <c r="G10440"/>
      <c r="H10440"/>
      <c r="I10440"/>
      <c r="K10440"/>
      <c r="O10440"/>
      <c r="R10440"/>
      <c r="W10440" s="4"/>
      <c r="X10440" s="4"/>
      <c r="Y10440" s="4"/>
    </row>
    <row r="10441" spans="5:25">
      <c r="E10441"/>
      <c r="G10441"/>
      <c r="H10441"/>
      <c r="I10441"/>
      <c r="K10441"/>
      <c r="O10441"/>
      <c r="R10441"/>
      <c r="W10441" s="4"/>
      <c r="X10441" s="4"/>
      <c r="Y10441" s="4"/>
    </row>
    <row r="10442" spans="5:25">
      <c r="E10442"/>
      <c r="G10442"/>
      <c r="H10442"/>
      <c r="I10442"/>
      <c r="K10442"/>
      <c r="O10442"/>
      <c r="R10442"/>
      <c r="W10442" s="4"/>
      <c r="X10442" s="4"/>
      <c r="Y10442" s="4"/>
    </row>
    <row r="10443" spans="5:25">
      <c r="E10443"/>
      <c r="G10443"/>
      <c r="H10443"/>
      <c r="I10443"/>
      <c r="K10443"/>
      <c r="O10443"/>
      <c r="R10443"/>
      <c r="W10443" s="4"/>
      <c r="X10443" s="4"/>
      <c r="Y10443" s="4"/>
    </row>
    <row r="10444" spans="5:25">
      <c r="E10444"/>
      <c r="G10444"/>
      <c r="H10444"/>
      <c r="I10444"/>
      <c r="K10444"/>
      <c r="O10444"/>
      <c r="R10444"/>
      <c r="W10444" s="4"/>
      <c r="X10444" s="4"/>
      <c r="Y10444" s="4"/>
    </row>
    <row r="10445" spans="5:25">
      <c r="E10445"/>
      <c r="G10445"/>
      <c r="H10445"/>
      <c r="I10445"/>
      <c r="K10445"/>
      <c r="O10445"/>
      <c r="R10445"/>
      <c r="W10445" s="4"/>
      <c r="X10445" s="4"/>
      <c r="Y10445" s="4"/>
    </row>
    <row r="10446" spans="5:25">
      <c r="E10446"/>
      <c r="G10446"/>
      <c r="H10446"/>
      <c r="I10446"/>
      <c r="K10446"/>
      <c r="O10446"/>
      <c r="R10446"/>
      <c r="W10446" s="4"/>
      <c r="X10446" s="4"/>
      <c r="Y10446" s="4"/>
    </row>
    <row r="10447" spans="5:25">
      <c r="E10447"/>
      <c r="G10447"/>
      <c r="H10447"/>
      <c r="I10447"/>
      <c r="K10447"/>
      <c r="O10447"/>
      <c r="R10447"/>
      <c r="W10447" s="4"/>
      <c r="X10447" s="4"/>
      <c r="Y10447" s="4"/>
    </row>
    <row r="10448" spans="5:25">
      <c r="E10448"/>
      <c r="G10448"/>
      <c r="H10448"/>
      <c r="I10448"/>
      <c r="K10448"/>
      <c r="O10448"/>
      <c r="R10448"/>
      <c r="W10448" s="4"/>
      <c r="X10448" s="4"/>
      <c r="Y10448" s="4"/>
    </row>
    <row r="10449" spans="5:25">
      <c r="E10449"/>
      <c r="G10449"/>
      <c r="H10449"/>
      <c r="I10449"/>
      <c r="K10449"/>
      <c r="O10449"/>
      <c r="R10449"/>
      <c r="W10449" s="4"/>
      <c r="X10449" s="4"/>
      <c r="Y10449" s="4"/>
    </row>
    <row r="10450" spans="5:25">
      <c r="E10450"/>
      <c r="G10450"/>
      <c r="H10450"/>
      <c r="I10450"/>
      <c r="K10450"/>
      <c r="O10450"/>
      <c r="R10450"/>
      <c r="W10450" s="4"/>
      <c r="X10450" s="4"/>
      <c r="Y10450" s="4"/>
    </row>
    <row r="10451" spans="5:25">
      <c r="E10451"/>
      <c r="G10451"/>
      <c r="H10451"/>
      <c r="I10451"/>
      <c r="K10451"/>
      <c r="O10451"/>
      <c r="R10451"/>
      <c r="W10451" s="4"/>
      <c r="X10451" s="4"/>
      <c r="Y10451" s="4"/>
    </row>
    <row r="10452" spans="5:25">
      <c r="E10452"/>
      <c r="G10452"/>
      <c r="H10452"/>
      <c r="I10452"/>
      <c r="K10452"/>
      <c r="O10452"/>
      <c r="R10452"/>
      <c r="W10452" s="4"/>
      <c r="X10452" s="4"/>
      <c r="Y10452" s="4"/>
    </row>
    <row r="10453" spans="5:25">
      <c r="E10453"/>
      <c r="G10453"/>
      <c r="H10453"/>
      <c r="I10453"/>
      <c r="K10453"/>
      <c r="O10453"/>
      <c r="R10453"/>
      <c r="W10453" s="4"/>
      <c r="X10453" s="4"/>
      <c r="Y10453" s="4"/>
    </row>
    <row r="10454" spans="5:25">
      <c r="E10454"/>
      <c r="G10454"/>
      <c r="H10454"/>
      <c r="I10454"/>
      <c r="K10454"/>
      <c r="O10454"/>
      <c r="R10454"/>
      <c r="W10454" s="4"/>
      <c r="X10454" s="4"/>
      <c r="Y10454" s="4"/>
    </row>
    <row r="10455" spans="5:25">
      <c r="E10455"/>
      <c r="G10455"/>
      <c r="H10455"/>
      <c r="I10455"/>
      <c r="K10455"/>
      <c r="O10455"/>
      <c r="R10455"/>
      <c r="W10455" s="4"/>
      <c r="X10455" s="4"/>
      <c r="Y10455" s="4"/>
    </row>
    <row r="10456" spans="5:25">
      <c r="E10456"/>
      <c r="G10456"/>
      <c r="H10456"/>
      <c r="I10456"/>
      <c r="K10456"/>
      <c r="O10456"/>
      <c r="R10456"/>
      <c r="W10456" s="4"/>
      <c r="X10456" s="4"/>
      <c r="Y10456" s="4"/>
    </row>
    <row r="10457" spans="5:25">
      <c r="E10457"/>
      <c r="G10457"/>
      <c r="H10457"/>
      <c r="I10457"/>
      <c r="K10457"/>
      <c r="O10457"/>
      <c r="R10457"/>
      <c r="W10457" s="4"/>
      <c r="X10457" s="4"/>
      <c r="Y10457" s="4"/>
    </row>
    <row r="10458" spans="5:25">
      <c r="E10458"/>
      <c r="G10458"/>
      <c r="H10458"/>
      <c r="I10458"/>
      <c r="K10458"/>
      <c r="O10458"/>
      <c r="R10458"/>
      <c r="W10458" s="4"/>
      <c r="X10458" s="4"/>
      <c r="Y10458" s="4"/>
    </row>
    <row r="10459" spans="5:25">
      <c r="E10459"/>
      <c r="G10459"/>
      <c r="H10459"/>
      <c r="I10459"/>
      <c r="K10459"/>
      <c r="O10459"/>
      <c r="R10459"/>
      <c r="W10459" s="4"/>
      <c r="X10459" s="4"/>
      <c r="Y10459" s="4"/>
    </row>
    <row r="10460" spans="5:25">
      <c r="E10460"/>
      <c r="G10460"/>
      <c r="H10460"/>
      <c r="I10460"/>
      <c r="K10460"/>
      <c r="O10460"/>
      <c r="R10460"/>
      <c r="W10460" s="4"/>
      <c r="X10460" s="4"/>
      <c r="Y10460" s="4"/>
    </row>
    <row r="10461" spans="5:25">
      <c r="E10461"/>
      <c r="G10461"/>
      <c r="H10461"/>
      <c r="I10461"/>
      <c r="K10461"/>
      <c r="O10461"/>
      <c r="R10461"/>
      <c r="W10461" s="4"/>
      <c r="X10461" s="4"/>
      <c r="Y10461" s="4"/>
    </row>
    <row r="10462" spans="5:25">
      <c r="E10462"/>
      <c r="G10462"/>
      <c r="H10462"/>
      <c r="I10462"/>
      <c r="K10462"/>
      <c r="O10462"/>
      <c r="R10462"/>
      <c r="W10462" s="4"/>
      <c r="X10462" s="4"/>
      <c r="Y10462" s="4"/>
    </row>
    <row r="10463" spans="5:25">
      <c r="E10463"/>
      <c r="G10463"/>
      <c r="H10463"/>
      <c r="I10463"/>
      <c r="K10463"/>
      <c r="O10463"/>
      <c r="R10463"/>
      <c r="W10463" s="4"/>
      <c r="X10463" s="4"/>
      <c r="Y10463" s="4"/>
    </row>
    <row r="10464" spans="5:25">
      <c r="E10464"/>
      <c r="G10464"/>
      <c r="H10464"/>
      <c r="I10464"/>
      <c r="K10464"/>
      <c r="O10464"/>
      <c r="R10464"/>
      <c r="W10464" s="4"/>
      <c r="X10464" s="4"/>
      <c r="Y10464" s="4"/>
    </row>
    <row r="10465" spans="5:25">
      <c r="E10465"/>
      <c r="G10465"/>
      <c r="H10465"/>
      <c r="I10465"/>
      <c r="K10465"/>
      <c r="O10465"/>
      <c r="R10465"/>
      <c r="W10465" s="4"/>
      <c r="X10465" s="4"/>
      <c r="Y10465" s="4"/>
    </row>
    <row r="10466" spans="5:25">
      <c r="E10466"/>
      <c r="G10466"/>
      <c r="H10466"/>
      <c r="I10466"/>
      <c r="K10466"/>
      <c r="O10466"/>
      <c r="R10466"/>
      <c r="W10466" s="4"/>
      <c r="X10466" s="4"/>
      <c r="Y10466" s="4"/>
    </row>
    <row r="10467" spans="5:25">
      <c r="E10467"/>
      <c r="G10467"/>
      <c r="H10467"/>
      <c r="I10467"/>
      <c r="K10467"/>
      <c r="O10467"/>
      <c r="R10467"/>
      <c r="W10467" s="4"/>
      <c r="X10467" s="4"/>
      <c r="Y10467" s="4"/>
    </row>
    <row r="10468" spans="5:25">
      <c r="E10468"/>
      <c r="G10468"/>
      <c r="H10468"/>
      <c r="I10468"/>
      <c r="K10468"/>
      <c r="O10468"/>
      <c r="R10468"/>
      <c r="W10468" s="4"/>
      <c r="X10468" s="4"/>
      <c r="Y10468" s="4"/>
    </row>
    <row r="10469" spans="5:25">
      <c r="E10469"/>
      <c r="G10469"/>
      <c r="H10469"/>
      <c r="I10469"/>
      <c r="K10469"/>
      <c r="O10469"/>
      <c r="R10469"/>
      <c r="W10469" s="4"/>
      <c r="X10469" s="4"/>
      <c r="Y10469" s="4"/>
    </row>
    <row r="10470" spans="5:25">
      <c r="E10470"/>
      <c r="G10470"/>
      <c r="H10470"/>
      <c r="I10470"/>
      <c r="K10470"/>
      <c r="O10470"/>
      <c r="R10470"/>
      <c r="W10470" s="4"/>
      <c r="X10470" s="4"/>
      <c r="Y10470" s="4"/>
    </row>
    <row r="10471" spans="5:25">
      <c r="E10471"/>
      <c r="G10471"/>
      <c r="H10471"/>
      <c r="I10471"/>
      <c r="K10471"/>
      <c r="O10471"/>
      <c r="R10471"/>
      <c r="W10471" s="4"/>
      <c r="X10471" s="4"/>
      <c r="Y10471" s="4"/>
    </row>
    <row r="10472" spans="5:25">
      <c r="E10472"/>
      <c r="G10472"/>
      <c r="H10472"/>
      <c r="I10472"/>
      <c r="K10472"/>
      <c r="O10472"/>
      <c r="R10472"/>
      <c r="W10472" s="4"/>
      <c r="X10472" s="4"/>
      <c r="Y10472" s="4"/>
    </row>
    <row r="10473" spans="5:25">
      <c r="E10473"/>
      <c r="G10473"/>
      <c r="H10473"/>
      <c r="I10473"/>
      <c r="K10473"/>
      <c r="O10473"/>
      <c r="R10473"/>
      <c r="W10473" s="4"/>
      <c r="X10473" s="4"/>
      <c r="Y10473" s="4"/>
    </row>
    <row r="10474" spans="5:25">
      <c r="E10474"/>
      <c r="G10474"/>
      <c r="H10474"/>
      <c r="I10474"/>
      <c r="K10474"/>
      <c r="O10474"/>
      <c r="R10474"/>
      <c r="W10474" s="4"/>
      <c r="X10474" s="4"/>
      <c r="Y10474" s="4"/>
    </row>
    <row r="10475" spans="5:25">
      <c r="E10475"/>
      <c r="G10475"/>
      <c r="H10475"/>
      <c r="I10475"/>
      <c r="K10475"/>
      <c r="O10475"/>
      <c r="R10475"/>
      <c r="W10475" s="4"/>
      <c r="X10475" s="4"/>
      <c r="Y10475" s="4"/>
    </row>
    <row r="10476" spans="5:25">
      <c r="E10476"/>
      <c r="G10476"/>
      <c r="H10476"/>
      <c r="I10476"/>
      <c r="K10476"/>
      <c r="O10476"/>
      <c r="R10476"/>
      <c r="W10476" s="4"/>
      <c r="X10476" s="4"/>
      <c r="Y10476" s="4"/>
    </row>
    <row r="10477" spans="5:25">
      <c r="E10477"/>
      <c r="G10477"/>
      <c r="H10477"/>
      <c r="I10477"/>
      <c r="K10477"/>
      <c r="O10477"/>
      <c r="R10477"/>
      <c r="W10477" s="4"/>
      <c r="X10477" s="4"/>
      <c r="Y10477" s="4"/>
    </row>
    <row r="10478" spans="5:25">
      <c r="E10478"/>
      <c r="G10478"/>
      <c r="H10478"/>
      <c r="I10478"/>
      <c r="K10478"/>
      <c r="O10478"/>
      <c r="R10478"/>
      <c r="W10478" s="4"/>
      <c r="X10478" s="4"/>
      <c r="Y10478" s="4"/>
    </row>
    <row r="10479" spans="5:25">
      <c r="E10479"/>
      <c r="G10479"/>
      <c r="H10479"/>
      <c r="I10479"/>
      <c r="K10479"/>
      <c r="O10479"/>
      <c r="R10479"/>
      <c r="W10479" s="4"/>
      <c r="X10479" s="4"/>
      <c r="Y10479" s="4"/>
    </row>
    <row r="10480" spans="5:25">
      <c r="E10480"/>
      <c r="G10480"/>
      <c r="H10480"/>
      <c r="I10480"/>
      <c r="K10480"/>
      <c r="O10480"/>
      <c r="R10480"/>
      <c r="W10480" s="4"/>
      <c r="X10480" s="4"/>
      <c r="Y10480" s="4"/>
    </row>
    <row r="10481" spans="5:25">
      <c r="E10481"/>
      <c r="G10481"/>
      <c r="H10481"/>
      <c r="I10481"/>
      <c r="K10481"/>
      <c r="O10481"/>
      <c r="R10481"/>
      <c r="W10481" s="4"/>
      <c r="X10481" s="4"/>
      <c r="Y10481" s="4"/>
    </row>
    <row r="10482" spans="5:25">
      <c r="E10482"/>
      <c r="G10482"/>
      <c r="H10482"/>
      <c r="I10482"/>
      <c r="K10482"/>
      <c r="O10482"/>
      <c r="R10482"/>
      <c r="W10482" s="4"/>
      <c r="X10482" s="4"/>
      <c r="Y10482" s="4"/>
    </row>
    <row r="10483" spans="5:25">
      <c r="E10483"/>
      <c r="G10483"/>
      <c r="H10483"/>
      <c r="I10483"/>
      <c r="K10483"/>
      <c r="O10483"/>
      <c r="R10483"/>
      <c r="W10483" s="4"/>
      <c r="X10483" s="4"/>
      <c r="Y10483" s="4"/>
    </row>
    <row r="10484" spans="5:25">
      <c r="E10484"/>
      <c r="G10484"/>
      <c r="H10484"/>
      <c r="I10484"/>
      <c r="K10484"/>
      <c r="O10484"/>
      <c r="R10484"/>
      <c r="W10484" s="4"/>
      <c r="X10484" s="4"/>
      <c r="Y10484" s="4"/>
    </row>
    <row r="10485" spans="5:25">
      <c r="E10485"/>
      <c r="G10485"/>
      <c r="H10485"/>
      <c r="I10485"/>
      <c r="K10485"/>
      <c r="O10485"/>
      <c r="R10485"/>
      <c r="W10485" s="4"/>
      <c r="X10485" s="4"/>
      <c r="Y10485" s="4"/>
    </row>
    <row r="10486" spans="5:25">
      <c r="E10486"/>
      <c r="G10486"/>
      <c r="H10486"/>
      <c r="I10486"/>
      <c r="K10486"/>
      <c r="O10486"/>
      <c r="R10486"/>
      <c r="W10486" s="4"/>
      <c r="X10486" s="4"/>
      <c r="Y10486" s="4"/>
    </row>
    <row r="10487" spans="5:25">
      <c r="E10487"/>
      <c r="G10487"/>
      <c r="H10487"/>
      <c r="I10487"/>
      <c r="K10487"/>
      <c r="O10487"/>
      <c r="R10487"/>
      <c r="W10487" s="4"/>
      <c r="X10487" s="4"/>
      <c r="Y10487" s="4"/>
    </row>
    <row r="10488" spans="5:25">
      <c r="E10488"/>
      <c r="G10488"/>
      <c r="H10488"/>
      <c r="I10488"/>
      <c r="K10488"/>
      <c r="O10488"/>
      <c r="R10488"/>
      <c r="W10488" s="4"/>
      <c r="X10488" s="4"/>
      <c r="Y10488" s="4"/>
    </row>
    <row r="10489" spans="5:25">
      <c r="E10489"/>
      <c r="G10489"/>
      <c r="H10489"/>
      <c r="I10489"/>
      <c r="K10489"/>
      <c r="O10489"/>
      <c r="R10489"/>
      <c r="W10489" s="4"/>
      <c r="X10489" s="4"/>
      <c r="Y10489" s="4"/>
    </row>
    <row r="10490" spans="5:25">
      <c r="E10490"/>
      <c r="G10490"/>
      <c r="H10490"/>
      <c r="I10490"/>
      <c r="K10490"/>
      <c r="O10490"/>
      <c r="R10490"/>
      <c r="W10490" s="4"/>
      <c r="X10490" s="4"/>
      <c r="Y10490" s="4"/>
    </row>
    <row r="10491" spans="5:25">
      <c r="E10491"/>
      <c r="G10491"/>
      <c r="H10491"/>
      <c r="I10491"/>
      <c r="K10491"/>
      <c r="O10491"/>
      <c r="R10491"/>
      <c r="W10491" s="4"/>
      <c r="X10491" s="4"/>
      <c r="Y10491" s="4"/>
    </row>
    <row r="10492" spans="5:25">
      <c r="E10492"/>
      <c r="G10492"/>
      <c r="H10492"/>
      <c r="I10492"/>
      <c r="K10492"/>
      <c r="O10492"/>
      <c r="R10492"/>
      <c r="W10492" s="4"/>
      <c r="X10492" s="4"/>
      <c r="Y10492" s="4"/>
    </row>
    <row r="10493" spans="5:25">
      <c r="E10493"/>
      <c r="G10493"/>
      <c r="H10493"/>
      <c r="I10493"/>
      <c r="K10493"/>
      <c r="O10493"/>
      <c r="R10493"/>
      <c r="W10493" s="4"/>
      <c r="X10493" s="4"/>
      <c r="Y10493" s="4"/>
    </row>
    <row r="10494" spans="5:25">
      <c r="E10494"/>
      <c r="G10494"/>
      <c r="H10494"/>
      <c r="I10494"/>
      <c r="K10494"/>
      <c r="O10494"/>
      <c r="R10494"/>
      <c r="W10494" s="4"/>
      <c r="X10494" s="4"/>
      <c r="Y10494" s="4"/>
    </row>
    <row r="10495" spans="5:25">
      <c r="E10495"/>
      <c r="G10495"/>
      <c r="H10495"/>
      <c r="I10495"/>
      <c r="K10495"/>
      <c r="O10495"/>
      <c r="R10495"/>
      <c r="W10495" s="4"/>
      <c r="X10495" s="4"/>
      <c r="Y10495" s="4"/>
    </row>
    <row r="10496" spans="5:25">
      <c r="E10496"/>
      <c r="G10496"/>
      <c r="H10496"/>
      <c r="I10496"/>
      <c r="K10496"/>
      <c r="O10496"/>
      <c r="R10496"/>
      <c r="W10496" s="4"/>
      <c r="X10496" s="4"/>
      <c r="Y10496" s="4"/>
    </row>
    <row r="10497" spans="5:25">
      <c r="E10497"/>
      <c r="G10497"/>
      <c r="H10497"/>
      <c r="I10497"/>
      <c r="K10497"/>
      <c r="O10497"/>
      <c r="R10497"/>
      <c r="W10497" s="4"/>
      <c r="X10497" s="4"/>
      <c r="Y10497" s="4"/>
    </row>
    <row r="10498" spans="5:25">
      <c r="E10498"/>
      <c r="G10498"/>
      <c r="H10498"/>
      <c r="I10498"/>
      <c r="K10498"/>
      <c r="O10498"/>
      <c r="R10498"/>
      <c r="W10498" s="4"/>
      <c r="X10498" s="4"/>
      <c r="Y10498" s="4"/>
    </row>
    <row r="10499" spans="5:25">
      <c r="E10499"/>
      <c r="G10499"/>
      <c r="H10499"/>
      <c r="I10499"/>
      <c r="K10499"/>
      <c r="O10499"/>
      <c r="R10499"/>
      <c r="W10499" s="4"/>
      <c r="X10499" s="4"/>
      <c r="Y10499" s="4"/>
    </row>
    <row r="10500" spans="5:25">
      <c r="E10500"/>
      <c r="G10500"/>
      <c r="H10500"/>
      <c r="I10500"/>
      <c r="K10500"/>
      <c r="O10500"/>
      <c r="R10500"/>
      <c r="W10500" s="4"/>
      <c r="X10500" s="4"/>
      <c r="Y10500" s="4"/>
    </row>
    <row r="10501" spans="5:25">
      <c r="E10501"/>
      <c r="G10501"/>
      <c r="H10501"/>
      <c r="I10501"/>
      <c r="K10501"/>
      <c r="O10501"/>
      <c r="R10501"/>
      <c r="W10501" s="4"/>
      <c r="X10501" s="4"/>
      <c r="Y10501" s="4"/>
    </row>
    <row r="10502" spans="5:25">
      <c r="E10502"/>
      <c r="G10502"/>
      <c r="H10502"/>
      <c r="I10502"/>
      <c r="K10502"/>
      <c r="O10502"/>
      <c r="R10502"/>
      <c r="W10502" s="4"/>
      <c r="X10502" s="4"/>
      <c r="Y10502" s="4"/>
    </row>
    <row r="10503" spans="5:25">
      <c r="E10503"/>
      <c r="G10503"/>
      <c r="H10503"/>
      <c r="I10503"/>
      <c r="K10503"/>
      <c r="O10503"/>
      <c r="R10503"/>
      <c r="W10503" s="4"/>
      <c r="X10503" s="4"/>
      <c r="Y10503" s="4"/>
    </row>
    <row r="10504" spans="5:25">
      <c r="E10504"/>
      <c r="G10504"/>
      <c r="H10504"/>
      <c r="I10504"/>
      <c r="K10504"/>
      <c r="O10504"/>
      <c r="R10504"/>
      <c r="W10504" s="4"/>
      <c r="X10504" s="4"/>
      <c r="Y10504" s="4"/>
    </row>
    <row r="10505" spans="5:25">
      <c r="E10505"/>
      <c r="G10505"/>
      <c r="H10505"/>
      <c r="I10505"/>
      <c r="K10505"/>
      <c r="O10505"/>
      <c r="R10505"/>
      <c r="W10505" s="4"/>
      <c r="X10505" s="4"/>
      <c r="Y10505" s="4"/>
    </row>
    <row r="10506" spans="5:25">
      <c r="E10506"/>
      <c r="G10506"/>
      <c r="H10506"/>
      <c r="I10506"/>
      <c r="K10506"/>
      <c r="O10506"/>
      <c r="R10506"/>
      <c r="W10506" s="4"/>
      <c r="X10506" s="4"/>
      <c r="Y10506" s="4"/>
    </row>
    <row r="10507" spans="5:25">
      <c r="E10507"/>
      <c r="G10507"/>
      <c r="H10507"/>
      <c r="I10507"/>
      <c r="K10507"/>
      <c r="O10507"/>
      <c r="R10507"/>
      <c r="W10507" s="4"/>
      <c r="X10507" s="4"/>
      <c r="Y10507" s="4"/>
    </row>
    <row r="10508" spans="5:25">
      <c r="E10508"/>
      <c r="G10508"/>
      <c r="H10508"/>
      <c r="I10508"/>
      <c r="K10508"/>
      <c r="O10508"/>
      <c r="R10508"/>
      <c r="W10508" s="4"/>
      <c r="X10508" s="4"/>
      <c r="Y10508" s="4"/>
    </row>
    <row r="10509" spans="5:25">
      <c r="E10509"/>
      <c r="G10509"/>
      <c r="H10509"/>
      <c r="I10509"/>
      <c r="K10509"/>
      <c r="O10509"/>
      <c r="R10509"/>
      <c r="W10509" s="4"/>
      <c r="X10509" s="4"/>
      <c r="Y10509" s="4"/>
    </row>
    <row r="10510" spans="5:25">
      <c r="E10510"/>
      <c r="G10510"/>
      <c r="H10510"/>
      <c r="I10510"/>
      <c r="K10510"/>
      <c r="O10510"/>
      <c r="R10510"/>
      <c r="W10510" s="4"/>
      <c r="X10510" s="4"/>
      <c r="Y10510" s="4"/>
    </row>
    <row r="10511" spans="5:25">
      <c r="E10511"/>
      <c r="G10511"/>
      <c r="H10511"/>
      <c r="I10511"/>
      <c r="K10511"/>
      <c r="O10511"/>
      <c r="R10511"/>
      <c r="W10511" s="4"/>
      <c r="X10511" s="4"/>
      <c r="Y10511" s="4"/>
    </row>
    <row r="10512" spans="5:25">
      <c r="E10512"/>
      <c r="G10512"/>
      <c r="H10512"/>
      <c r="I10512"/>
      <c r="K10512"/>
      <c r="O10512"/>
      <c r="R10512"/>
      <c r="W10512" s="4"/>
      <c r="X10512" s="4"/>
      <c r="Y10512" s="4"/>
    </row>
    <row r="10513" spans="5:25">
      <c r="E10513"/>
      <c r="G10513"/>
      <c r="H10513"/>
      <c r="I10513"/>
      <c r="K10513"/>
      <c r="O10513"/>
      <c r="R10513"/>
      <c r="W10513" s="4"/>
      <c r="X10513" s="4"/>
      <c r="Y10513" s="4"/>
    </row>
    <row r="10514" spans="5:25">
      <c r="E10514"/>
      <c r="G10514"/>
      <c r="H10514"/>
      <c r="I10514"/>
      <c r="K10514"/>
      <c r="O10514"/>
      <c r="R10514"/>
      <c r="W10514" s="4"/>
      <c r="X10514" s="4"/>
      <c r="Y10514" s="4"/>
    </row>
    <row r="10515" spans="5:25">
      <c r="E10515"/>
      <c r="G10515"/>
      <c r="H10515"/>
      <c r="I10515"/>
      <c r="K10515"/>
      <c r="O10515"/>
      <c r="R10515"/>
      <c r="W10515" s="4"/>
      <c r="X10515" s="4"/>
      <c r="Y10515" s="4"/>
    </row>
    <row r="10516" spans="5:25">
      <c r="E10516"/>
      <c r="G10516"/>
      <c r="H10516"/>
      <c r="I10516"/>
      <c r="K10516"/>
      <c r="O10516"/>
      <c r="R10516"/>
      <c r="W10516" s="4"/>
      <c r="X10516" s="4"/>
      <c r="Y10516" s="4"/>
    </row>
    <row r="10517" spans="5:25">
      <c r="E10517"/>
      <c r="G10517"/>
      <c r="H10517"/>
      <c r="I10517"/>
      <c r="K10517"/>
      <c r="O10517"/>
      <c r="R10517"/>
      <c r="W10517" s="4"/>
      <c r="X10517" s="4"/>
      <c r="Y10517" s="4"/>
    </row>
    <row r="10518" spans="5:25">
      <c r="E10518"/>
      <c r="G10518"/>
      <c r="H10518"/>
      <c r="I10518"/>
      <c r="K10518"/>
      <c r="O10518"/>
      <c r="R10518"/>
      <c r="W10518" s="4"/>
      <c r="X10518" s="4"/>
      <c r="Y10518" s="4"/>
    </row>
    <row r="10519" spans="5:25">
      <c r="E10519"/>
      <c r="G10519"/>
      <c r="H10519"/>
      <c r="I10519"/>
      <c r="K10519"/>
      <c r="O10519"/>
      <c r="R10519"/>
      <c r="W10519" s="4"/>
      <c r="X10519" s="4"/>
      <c r="Y10519" s="4"/>
    </row>
    <row r="10520" spans="5:25">
      <c r="E10520"/>
      <c r="G10520"/>
      <c r="H10520"/>
      <c r="I10520"/>
      <c r="K10520"/>
      <c r="O10520"/>
      <c r="R10520"/>
      <c r="W10520" s="4"/>
      <c r="X10520" s="4"/>
      <c r="Y10520" s="4"/>
    </row>
    <row r="10521" spans="5:25">
      <c r="E10521"/>
      <c r="G10521"/>
      <c r="H10521"/>
      <c r="I10521"/>
      <c r="K10521"/>
      <c r="O10521"/>
      <c r="R10521"/>
      <c r="W10521" s="4"/>
      <c r="X10521" s="4"/>
      <c r="Y10521" s="4"/>
    </row>
    <row r="10522" spans="5:25">
      <c r="E10522"/>
      <c r="G10522"/>
      <c r="H10522"/>
      <c r="I10522"/>
      <c r="K10522"/>
      <c r="O10522"/>
      <c r="R10522"/>
      <c r="W10522" s="4"/>
      <c r="X10522" s="4"/>
      <c r="Y10522" s="4"/>
    </row>
    <row r="10523" spans="5:25">
      <c r="E10523"/>
      <c r="G10523"/>
      <c r="H10523"/>
      <c r="I10523"/>
      <c r="K10523"/>
      <c r="O10523"/>
      <c r="R10523"/>
      <c r="W10523" s="4"/>
      <c r="X10523" s="4"/>
      <c r="Y10523" s="4"/>
    </row>
    <row r="10524" spans="5:25">
      <c r="E10524"/>
      <c r="G10524"/>
      <c r="H10524"/>
      <c r="I10524"/>
      <c r="K10524"/>
      <c r="O10524"/>
      <c r="R10524"/>
      <c r="W10524" s="4"/>
      <c r="X10524" s="4"/>
      <c r="Y10524" s="4"/>
    </row>
    <row r="10525" spans="5:25">
      <c r="E10525"/>
      <c r="G10525"/>
      <c r="H10525"/>
      <c r="I10525"/>
      <c r="K10525"/>
      <c r="O10525"/>
      <c r="R10525"/>
      <c r="W10525" s="4"/>
      <c r="X10525" s="4"/>
      <c r="Y10525" s="4"/>
    </row>
    <row r="10526" spans="5:25">
      <c r="E10526"/>
      <c r="G10526"/>
      <c r="H10526"/>
      <c r="I10526"/>
      <c r="K10526"/>
      <c r="O10526"/>
      <c r="R10526"/>
      <c r="W10526" s="4"/>
      <c r="X10526" s="4"/>
      <c r="Y10526" s="4"/>
    </row>
    <row r="10527" spans="5:25">
      <c r="E10527"/>
      <c r="G10527"/>
      <c r="H10527"/>
      <c r="I10527"/>
      <c r="K10527"/>
      <c r="O10527"/>
      <c r="R10527"/>
      <c r="W10527" s="4"/>
      <c r="X10527" s="4"/>
      <c r="Y10527" s="4"/>
    </row>
    <row r="10528" spans="5:25">
      <c r="E10528"/>
      <c r="G10528"/>
      <c r="H10528"/>
      <c r="I10528"/>
      <c r="K10528"/>
      <c r="O10528"/>
      <c r="R10528"/>
      <c r="W10528" s="4"/>
      <c r="X10528" s="4"/>
      <c r="Y10528" s="4"/>
    </row>
    <row r="10529" spans="5:25">
      <c r="E10529"/>
      <c r="G10529"/>
      <c r="H10529"/>
      <c r="I10529"/>
      <c r="K10529"/>
      <c r="O10529"/>
      <c r="R10529"/>
      <c r="W10529" s="4"/>
      <c r="X10529" s="4"/>
      <c r="Y10529" s="4"/>
    </row>
    <row r="10530" spans="5:25">
      <c r="E10530"/>
      <c r="G10530"/>
      <c r="H10530"/>
      <c r="I10530"/>
      <c r="K10530"/>
      <c r="O10530"/>
      <c r="R10530"/>
      <c r="W10530" s="4"/>
      <c r="X10530" s="4"/>
      <c r="Y10530" s="4"/>
    </row>
    <row r="10531" spans="5:25">
      <c r="E10531"/>
      <c r="G10531"/>
      <c r="H10531"/>
      <c r="I10531"/>
      <c r="K10531"/>
      <c r="O10531"/>
      <c r="R10531"/>
      <c r="W10531" s="4"/>
      <c r="X10531" s="4"/>
      <c r="Y10531" s="4"/>
    </row>
    <row r="10532" spans="5:25">
      <c r="E10532"/>
      <c r="G10532"/>
      <c r="H10532"/>
      <c r="I10532"/>
      <c r="K10532"/>
      <c r="O10532"/>
      <c r="R10532"/>
      <c r="W10532" s="4"/>
      <c r="X10532" s="4"/>
      <c r="Y10532" s="4"/>
    </row>
    <row r="10533" spans="5:25">
      <c r="E10533"/>
      <c r="G10533"/>
      <c r="H10533"/>
      <c r="I10533"/>
      <c r="K10533"/>
      <c r="O10533"/>
      <c r="R10533"/>
      <c r="W10533" s="4"/>
      <c r="X10533" s="4"/>
      <c r="Y10533" s="4"/>
    </row>
    <row r="10534" spans="5:25">
      <c r="E10534"/>
      <c r="G10534"/>
      <c r="H10534"/>
      <c r="I10534"/>
      <c r="K10534"/>
      <c r="O10534"/>
      <c r="R10534"/>
      <c r="W10534" s="4"/>
      <c r="X10534" s="4"/>
      <c r="Y10534" s="4"/>
    </row>
    <row r="10535" spans="5:25">
      <c r="E10535"/>
      <c r="G10535"/>
      <c r="H10535"/>
      <c r="I10535"/>
      <c r="K10535"/>
      <c r="O10535"/>
      <c r="R10535"/>
      <c r="W10535" s="4"/>
      <c r="X10535" s="4"/>
      <c r="Y10535" s="4"/>
    </row>
    <row r="10536" spans="5:25">
      <c r="E10536"/>
      <c r="G10536"/>
      <c r="H10536"/>
      <c r="I10536"/>
      <c r="K10536"/>
      <c r="O10536"/>
      <c r="R10536"/>
      <c r="W10536" s="4"/>
      <c r="X10536" s="4"/>
      <c r="Y10536" s="4"/>
    </row>
    <row r="10537" spans="5:25">
      <c r="E10537"/>
      <c r="G10537"/>
      <c r="H10537"/>
      <c r="I10537"/>
      <c r="K10537"/>
      <c r="O10537"/>
      <c r="R10537"/>
      <c r="W10537" s="4"/>
      <c r="X10537" s="4"/>
      <c r="Y10537" s="4"/>
    </row>
    <row r="10538" spans="5:25">
      <c r="E10538"/>
      <c r="G10538"/>
      <c r="H10538"/>
      <c r="I10538"/>
      <c r="K10538"/>
      <c r="O10538"/>
      <c r="R10538"/>
      <c r="W10538" s="4"/>
      <c r="X10538" s="4"/>
      <c r="Y10538" s="4"/>
    </row>
    <row r="10539" spans="5:25">
      <c r="E10539"/>
      <c r="G10539"/>
      <c r="H10539"/>
      <c r="I10539"/>
      <c r="K10539"/>
      <c r="O10539"/>
      <c r="R10539"/>
      <c r="W10539" s="4"/>
      <c r="X10539" s="4"/>
      <c r="Y10539" s="4"/>
    </row>
    <row r="10540" spans="5:25">
      <c r="E10540"/>
      <c r="G10540"/>
      <c r="H10540"/>
      <c r="I10540"/>
      <c r="K10540"/>
      <c r="O10540"/>
      <c r="R10540"/>
      <c r="W10540" s="4"/>
      <c r="X10540" s="4"/>
      <c r="Y10540" s="4"/>
    </row>
    <row r="10541" spans="5:25">
      <c r="E10541"/>
      <c r="G10541"/>
      <c r="H10541"/>
      <c r="I10541"/>
      <c r="K10541"/>
      <c r="O10541"/>
      <c r="R10541"/>
      <c r="W10541" s="4"/>
      <c r="X10541" s="4"/>
      <c r="Y10541" s="4"/>
    </row>
    <row r="10542" spans="5:25">
      <c r="E10542"/>
      <c r="G10542"/>
      <c r="H10542"/>
      <c r="I10542"/>
      <c r="K10542"/>
      <c r="O10542"/>
      <c r="R10542"/>
      <c r="W10542" s="4"/>
      <c r="X10542" s="4"/>
      <c r="Y10542" s="4"/>
    </row>
    <row r="10543" spans="5:25">
      <c r="E10543"/>
      <c r="G10543"/>
      <c r="H10543"/>
      <c r="I10543"/>
      <c r="K10543"/>
      <c r="O10543"/>
      <c r="R10543"/>
      <c r="W10543" s="4"/>
      <c r="X10543" s="4"/>
      <c r="Y10543" s="4"/>
    </row>
    <row r="10544" spans="5:25">
      <c r="E10544"/>
      <c r="G10544"/>
      <c r="H10544"/>
      <c r="I10544"/>
      <c r="K10544"/>
      <c r="O10544"/>
      <c r="R10544"/>
      <c r="W10544" s="4"/>
      <c r="X10544" s="4"/>
      <c r="Y10544" s="4"/>
    </row>
    <row r="10545" spans="5:25">
      <c r="E10545"/>
      <c r="G10545"/>
      <c r="H10545"/>
      <c r="I10545"/>
      <c r="K10545"/>
      <c r="O10545"/>
      <c r="R10545"/>
      <c r="W10545" s="4"/>
      <c r="X10545" s="4"/>
      <c r="Y10545" s="4"/>
    </row>
    <row r="10546" spans="5:25">
      <c r="E10546"/>
      <c r="G10546"/>
      <c r="H10546"/>
      <c r="I10546"/>
      <c r="K10546"/>
      <c r="O10546"/>
      <c r="R10546"/>
      <c r="W10546" s="4"/>
      <c r="X10546" s="4"/>
      <c r="Y10546" s="4"/>
    </row>
    <row r="10547" spans="5:25">
      <c r="E10547"/>
      <c r="G10547"/>
      <c r="H10547"/>
      <c r="I10547"/>
      <c r="K10547"/>
      <c r="O10547"/>
      <c r="R10547"/>
      <c r="W10547" s="4"/>
      <c r="X10547" s="4"/>
      <c r="Y10547" s="4"/>
    </row>
    <row r="10548" spans="5:25">
      <c r="E10548"/>
      <c r="G10548"/>
      <c r="H10548"/>
      <c r="I10548"/>
      <c r="K10548"/>
      <c r="O10548"/>
      <c r="R10548"/>
      <c r="W10548" s="4"/>
      <c r="X10548" s="4"/>
      <c r="Y10548" s="4"/>
    </row>
    <row r="10549" spans="5:25">
      <c r="E10549"/>
      <c r="G10549"/>
      <c r="H10549"/>
      <c r="I10549"/>
      <c r="K10549"/>
      <c r="O10549"/>
      <c r="R10549"/>
      <c r="W10549" s="4"/>
      <c r="X10549" s="4"/>
      <c r="Y10549" s="4"/>
    </row>
    <row r="10550" spans="5:25">
      <c r="E10550"/>
      <c r="G10550"/>
      <c r="H10550"/>
      <c r="I10550"/>
      <c r="K10550"/>
      <c r="O10550"/>
      <c r="R10550"/>
      <c r="W10550" s="4"/>
      <c r="X10550" s="4"/>
      <c r="Y10550" s="4"/>
    </row>
    <row r="10551" spans="5:25">
      <c r="E10551"/>
      <c r="G10551"/>
      <c r="H10551"/>
      <c r="I10551"/>
      <c r="K10551"/>
      <c r="O10551"/>
      <c r="R10551"/>
      <c r="W10551" s="4"/>
      <c r="X10551" s="4"/>
      <c r="Y10551" s="4"/>
    </row>
    <row r="10552" spans="5:25">
      <c r="E10552"/>
      <c r="G10552"/>
      <c r="H10552"/>
      <c r="I10552"/>
      <c r="K10552"/>
      <c r="O10552"/>
      <c r="R10552"/>
      <c r="W10552" s="4"/>
      <c r="X10552" s="4"/>
      <c r="Y10552" s="4"/>
    </row>
    <row r="10553" spans="5:25">
      <c r="E10553"/>
      <c r="G10553"/>
      <c r="H10553"/>
      <c r="I10553"/>
      <c r="K10553"/>
      <c r="O10553"/>
      <c r="R10553"/>
      <c r="W10553" s="4"/>
      <c r="X10553" s="4"/>
      <c r="Y10553" s="4"/>
    </row>
    <row r="10554" spans="5:25">
      <c r="E10554"/>
      <c r="G10554"/>
      <c r="H10554"/>
      <c r="I10554"/>
      <c r="K10554"/>
      <c r="O10554"/>
      <c r="R10554"/>
      <c r="W10554" s="4"/>
      <c r="X10554" s="4"/>
      <c r="Y10554" s="4"/>
    </row>
    <row r="10555" spans="5:25">
      <c r="E10555"/>
      <c r="G10555"/>
      <c r="H10555"/>
      <c r="I10555"/>
      <c r="K10555"/>
      <c r="O10555"/>
      <c r="R10555"/>
      <c r="W10555" s="4"/>
      <c r="X10555" s="4"/>
      <c r="Y10555" s="4"/>
    </row>
    <row r="10556" spans="5:25">
      <c r="E10556"/>
      <c r="G10556"/>
      <c r="H10556"/>
      <c r="I10556"/>
      <c r="K10556"/>
      <c r="O10556"/>
      <c r="R10556"/>
      <c r="W10556" s="4"/>
      <c r="X10556" s="4"/>
      <c r="Y10556" s="4"/>
    </row>
    <row r="10557" spans="5:25">
      <c r="E10557"/>
      <c r="G10557"/>
      <c r="H10557"/>
      <c r="I10557"/>
      <c r="K10557"/>
      <c r="O10557"/>
      <c r="R10557"/>
      <c r="W10557" s="4"/>
      <c r="X10557" s="4"/>
      <c r="Y10557" s="4"/>
    </row>
    <row r="10558" spans="5:25">
      <c r="E10558"/>
      <c r="G10558"/>
      <c r="H10558"/>
      <c r="I10558"/>
      <c r="K10558"/>
      <c r="O10558"/>
      <c r="R10558"/>
      <c r="W10558" s="4"/>
      <c r="X10558" s="4"/>
      <c r="Y10558" s="4"/>
    </row>
    <row r="10559" spans="5:25">
      <c r="E10559"/>
      <c r="G10559"/>
      <c r="H10559"/>
      <c r="I10559"/>
      <c r="K10559"/>
      <c r="O10559"/>
      <c r="R10559"/>
      <c r="W10559" s="4"/>
      <c r="X10559" s="4"/>
      <c r="Y10559" s="4"/>
    </row>
    <row r="10560" spans="5:25">
      <c r="E10560"/>
      <c r="G10560"/>
      <c r="H10560"/>
      <c r="I10560"/>
      <c r="K10560"/>
      <c r="O10560"/>
      <c r="R10560"/>
      <c r="W10560" s="4"/>
      <c r="X10560" s="4"/>
      <c r="Y10560" s="4"/>
    </row>
    <row r="10561" spans="5:25">
      <c r="E10561"/>
      <c r="G10561"/>
      <c r="H10561"/>
      <c r="I10561"/>
      <c r="K10561"/>
      <c r="O10561"/>
      <c r="R10561"/>
      <c r="W10561" s="4"/>
      <c r="X10561" s="4"/>
      <c r="Y10561" s="4"/>
    </row>
    <row r="10562" spans="5:25">
      <c r="E10562"/>
      <c r="G10562"/>
      <c r="H10562"/>
      <c r="I10562"/>
      <c r="K10562"/>
      <c r="O10562"/>
      <c r="R10562"/>
      <c r="W10562" s="4"/>
      <c r="X10562" s="4"/>
      <c r="Y10562" s="4"/>
    </row>
    <row r="10563" spans="5:25">
      <c r="E10563"/>
      <c r="G10563"/>
      <c r="H10563"/>
      <c r="I10563"/>
      <c r="K10563"/>
      <c r="O10563"/>
      <c r="R10563"/>
      <c r="W10563" s="4"/>
      <c r="X10563" s="4"/>
      <c r="Y10563" s="4"/>
    </row>
    <row r="10564" spans="5:25">
      <c r="E10564"/>
      <c r="G10564"/>
      <c r="H10564"/>
      <c r="I10564"/>
      <c r="K10564"/>
      <c r="O10564"/>
      <c r="R10564"/>
      <c r="W10564" s="4"/>
      <c r="X10564" s="4"/>
      <c r="Y10564" s="4"/>
    </row>
    <row r="10565" spans="5:25">
      <c r="E10565"/>
      <c r="G10565"/>
      <c r="H10565"/>
      <c r="I10565"/>
      <c r="K10565"/>
      <c r="O10565"/>
      <c r="R10565"/>
      <c r="W10565" s="4"/>
      <c r="X10565" s="4"/>
      <c r="Y10565" s="4"/>
    </row>
    <row r="10566" spans="5:25">
      <c r="E10566"/>
      <c r="G10566"/>
      <c r="H10566"/>
      <c r="I10566"/>
      <c r="K10566"/>
      <c r="O10566"/>
      <c r="R10566"/>
      <c r="W10566" s="4"/>
      <c r="X10566" s="4"/>
      <c r="Y10566" s="4"/>
    </row>
    <row r="10567" spans="5:25">
      <c r="E10567"/>
      <c r="G10567"/>
      <c r="H10567"/>
      <c r="I10567"/>
      <c r="K10567"/>
      <c r="O10567"/>
      <c r="R10567"/>
      <c r="W10567" s="4"/>
      <c r="X10567" s="4"/>
      <c r="Y10567" s="4"/>
    </row>
    <row r="10568" spans="5:25">
      <c r="E10568"/>
      <c r="G10568"/>
      <c r="H10568"/>
      <c r="I10568"/>
      <c r="K10568"/>
      <c r="O10568"/>
      <c r="R10568"/>
      <c r="W10568" s="4"/>
      <c r="X10568" s="4"/>
      <c r="Y10568" s="4"/>
    </row>
    <row r="10569" spans="5:25">
      <c r="E10569"/>
      <c r="G10569"/>
      <c r="H10569"/>
      <c r="I10569"/>
      <c r="K10569"/>
      <c r="O10569"/>
      <c r="R10569"/>
      <c r="W10569" s="4"/>
      <c r="X10569" s="4"/>
      <c r="Y10569" s="4"/>
    </row>
    <row r="10570" spans="5:25">
      <c r="E10570"/>
      <c r="G10570"/>
      <c r="H10570"/>
      <c r="I10570"/>
      <c r="K10570"/>
      <c r="O10570"/>
      <c r="R10570"/>
      <c r="W10570" s="4"/>
      <c r="X10570" s="4"/>
      <c r="Y10570" s="4"/>
    </row>
    <row r="10571" spans="5:25">
      <c r="E10571"/>
      <c r="G10571"/>
      <c r="H10571"/>
      <c r="I10571"/>
      <c r="K10571"/>
      <c r="O10571"/>
      <c r="R10571"/>
      <c r="W10571" s="4"/>
      <c r="X10571" s="4"/>
      <c r="Y10571" s="4"/>
    </row>
    <row r="10572" spans="5:25">
      <c r="E10572"/>
      <c r="G10572"/>
      <c r="H10572"/>
      <c r="I10572"/>
      <c r="K10572"/>
      <c r="O10572"/>
      <c r="R10572"/>
      <c r="W10572" s="4"/>
      <c r="X10572" s="4"/>
      <c r="Y10572" s="4"/>
    </row>
    <row r="10573" spans="5:25">
      <c r="E10573"/>
      <c r="G10573"/>
      <c r="H10573"/>
      <c r="I10573"/>
      <c r="K10573"/>
      <c r="O10573"/>
      <c r="R10573"/>
      <c r="W10573" s="4"/>
      <c r="X10573" s="4"/>
      <c r="Y10573" s="4"/>
    </row>
    <row r="10574" spans="5:25">
      <c r="E10574"/>
      <c r="G10574"/>
      <c r="H10574"/>
      <c r="I10574"/>
      <c r="K10574"/>
      <c r="O10574"/>
      <c r="R10574"/>
      <c r="W10574" s="4"/>
      <c r="X10574" s="4"/>
      <c r="Y10574" s="4"/>
    </row>
    <row r="10575" spans="5:25">
      <c r="E10575"/>
      <c r="G10575"/>
      <c r="H10575"/>
      <c r="I10575"/>
      <c r="K10575"/>
      <c r="O10575"/>
      <c r="R10575"/>
      <c r="W10575" s="4"/>
      <c r="X10575" s="4"/>
      <c r="Y10575" s="4"/>
    </row>
    <row r="10576" spans="5:25">
      <c r="E10576"/>
      <c r="G10576"/>
      <c r="H10576"/>
      <c r="I10576"/>
      <c r="K10576"/>
      <c r="O10576"/>
      <c r="R10576"/>
      <c r="W10576" s="4"/>
      <c r="X10576" s="4"/>
      <c r="Y10576" s="4"/>
    </row>
    <row r="10577" spans="5:25">
      <c r="E10577"/>
      <c r="G10577"/>
      <c r="H10577"/>
      <c r="I10577"/>
      <c r="K10577"/>
      <c r="O10577"/>
      <c r="R10577"/>
      <c r="W10577" s="4"/>
      <c r="X10577" s="4"/>
      <c r="Y10577" s="4"/>
    </row>
    <row r="10578" spans="5:25">
      <c r="E10578"/>
      <c r="G10578"/>
      <c r="H10578"/>
      <c r="I10578"/>
      <c r="K10578"/>
      <c r="O10578"/>
      <c r="R10578"/>
      <c r="W10578" s="4"/>
      <c r="X10578" s="4"/>
      <c r="Y10578" s="4"/>
    </row>
    <row r="10579" spans="5:25">
      <c r="E10579"/>
      <c r="G10579"/>
      <c r="H10579"/>
      <c r="I10579"/>
      <c r="K10579"/>
      <c r="O10579"/>
      <c r="R10579"/>
      <c r="W10579" s="4"/>
      <c r="X10579" s="4"/>
      <c r="Y10579" s="4"/>
    </row>
    <row r="10580" spans="5:25">
      <c r="E10580"/>
      <c r="G10580"/>
      <c r="H10580"/>
      <c r="I10580"/>
      <c r="K10580"/>
      <c r="O10580"/>
      <c r="R10580"/>
      <c r="W10580" s="4"/>
      <c r="X10580" s="4"/>
      <c r="Y10580" s="4"/>
    </row>
    <row r="10581" spans="5:25">
      <c r="E10581"/>
      <c r="G10581"/>
      <c r="H10581"/>
      <c r="I10581"/>
      <c r="K10581"/>
      <c r="O10581"/>
      <c r="R10581"/>
      <c r="W10581" s="4"/>
      <c r="X10581" s="4"/>
      <c r="Y10581" s="4"/>
    </row>
    <row r="10582" spans="5:25">
      <c r="E10582"/>
      <c r="G10582"/>
      <c r="H10582"/>
      <c r="I10582"/>
      <c r="K10582"/>
      <c r="O10582"/>
      <c r="R10582"/>
      <c r="W10582" s="4"/>
      <c r="X10582" s="4"/>
      <c r="Y10582" s="4"/>
    </row>
    <row r="10583" spans="5:25">
      <c r="E10583"/>
      <c r="G10583"/>
      <c r="H10583"/>
      <c r="I10583"/>
      <c r="K10583"/>
      <c r="O10583"/>
      <c r="R10583"/>
      <c r="W10583" s="4"/>
      <c r="X10583" s="4"/>
      <c r="Y10583" s="4"/>
    </row>
    <row r="10584" spans="5:25">
      <c r="E10584"/>
      <c r="G10584"/>
      <c r="H10584"/>
      <c r="I10584"/>
      <c r="K10584"/>
      <c r="O10584"/>
      <c r="R10584"/>
      <c r="W10584" s="4"/>
      <c r="X10584" s="4"/>
      <c r="Y10584" s="4"/>
    </row>
    <row r="10585" spans="5:25">
      <c r="E10585"/>
      <c r="G10585"/>
      <c r="H10585"/>
      <c r="I10585"/>
      <c r="K10585"/>
      <c r="O10585"/>
      <c r="R10585"/>
      <c r="W10585" s="4"/>
      <c r="X10585" s="4"/>
      <c r="Y10585" s="4"/>
    </row>
    <row r="10586" spans="5:25">
      <c r="E10586"/>
      <c r="G10586"/>
      <c r="H10586"/>
      <c r="I10586"/>
      <c r="K10586"/>
      <c r="O10586"/>
      <c r="R10586"/>
      <c r="W10586" s="4"/>
      <c r="X10586" s="4"/>
      <c r="Y10586" s="4"/>
    </row>
    <row r="10587" spans="5:25">
      <c r="E10587"/>
      <c r="G10587"/>
      <c r="H10587"/>
      <c r="I10587"/>
      <c r="K10587"/>
      <c r="O10587"/>
      <c r="R10587"/>
      <c r="W10587" s="4"/>
      <c r="X10587" s="4"/>
      <c r="Y10587" s="4"/>
    </row>
    <row r="10588" spans="5:25">
      <c r="E10588"/>
      <c r="G10588"/>
      <c r="H10588"/>
      <c r="I10588"/>
      <c r="K10588"/>
      <c r="O10588"/>
      <c r="R10588"/>
      <c r="W10588" s="4"/>
      <c r="X10588" s="4"/>
      <c r="Y10588" s="4"/>
    </row>
    <row r="10589" spans="5:25">
      <c r="E10589"/>
      <c r="G10589"/>
      <c r="H10589"/>
      <c r="I10589"/>
      <c r="K10589"/>
      <c r="O10589"/>
      <c r="R10589"/>
      <c r="W10589" s="4"/>
      <c r="X10589" s="4"/>
      <c r="Y10589" s="4"/>
    </row>
    <row r="10590" spans="5:25">
      <c r="E10590"/>
      <c r="G10590"/>
      <c r="H10590"/>
      <c r="I10590"/>
      <c r="K10590"/>
      <c r="O10590"/>
      <c r="R10590"/>
      <c r="W10590" s="4"/>
      <c r="X10590" s="4"/>
      <c r="Y10590" s="4"/>
    </row>
    <row r="10591" spans="5:25">
      <c r="E10591"/>
      <c r="G10591"/>
      <c r="H10591"/>
      <c r="I10591"/>
      <c r="K10591"/>
      <c r="O10591"/>
      <c r="R10591"/>
      <c r="W10591" s="4"/>
      <c r="X10591" s="4"/>
      <c r="Y10591" s="4"/>
    </row>
    <row r="10592" spans="5:25">
      <c r="E10592"/>
      <c r="G10592"/>
      <c r="H10592"/>
      <c r="I10592"/>
      <c r="K10592"/>
      <c r="O10592"/>
      <c r="R10592"/>
      <c r="W10592" s="4"/>
      <c r="X10592" s="4"/>
      <c r="Y10592" s="4"/>
    </row>
    <row r="10593" spans="5:25">
      <c r="E10593"/>
      <c r="G10593"/>
      <c r="H10593"/>
      <c r="I10593"/>
      <c r="K10593"/>
      <c r="O10593"/>
      <c r="R10593"/>
      <c r="W10593" s="4"/>
      <c r="X10593" s="4"/>
      <c r="Y10593" s="4"/>
    </row>
    <row r="10594" spans="5:25">
      <c r="E10594"/>
      <c r="G10594"/>
      <c r="H10594"/>
      <c r="I10594"/>
      <c r="K10594"/>
      <c r="O10594"/>
      <c r="R10594"/>
      <c r="W10594" s="4"/>
      <c r="X10594" s="4"/>
      <c r="Y10594" s="4"/>
    </row>
    <row r="10595" spans="5:25">
      <c r="E10595"/>
      <c r="G10595"/>
      <c r="H10595"/>
      <c r="I10595"/>
      <c r="K10595"/>
      <c r="O10595"/>
      <c r="R10595"/>
      <c r="W10595" s="4"/>
      <c r="X10595" s="4"/>
      <c r="Y10595" s="4"/>
    </row>
    <row r="10596" spans="5:25">
      <c r="E10596"/>
      <c r="G10596"/>
      <c r="H10596"/>
      <c r="I10596"/>
      <c r="K10596"/>
      <c r="O10596"/>
      <c r="R10596"/>
      <c r="W10596" s="4"/>
      <c r="X10596" s="4"/>
      <c r="Y10596" s="4"/>
    </row>
    <row r="10597" spans="5:25">
      <c r="E10597"/>
      <c r="G10597"/>
      <c r="H10597"/>
      <c r="I10597"/>
      <c r="K10597"/>
      <c r="O10597"/>
      <c r="R10597"/>
      <c r="W10597" s="4"/>
      <c r="X10597" s="4"/>
      <c r="Y10597" s="4"/>
    </row>
    <row r="10598" spans="5:25">
      <c r="E10598"/>
      <c r="G10598"/>
      <c r="H10598"/>
      <c r="I10598"/>
      <c r="K10598"/>
      <c r="O10598"/>
      <c r="R10598"/>
      <c r="W10598" s="4"/>
      <c r="X10598" s="4"/>
      <c r="Y10598" s="4"/>
    </row>
    <row r="10599" spans="5:25">
      <c r="E10599"/>
      <c r="G10599"/>
      <c r="H10599"/>
      <c r="I10599"/>
      <c r="K10599"/>
      <c r="O10599"/>
      <c r="R10599"/>
      <c r="W10599" s="4"/>
      <c r="X10599" s="4"/>
      <c r="Y10599" s="4"/>
    </row>
    <row r="10600" spans="5:25">
      <c r="E10600"/>
      <c r="G10600"/>
      <c r="H10600"/>
      <c r="I10600"/>
      <c r="K10600"/>
      <c r="O10600"/>
      <c r="R10600"/>
      <c r="W10600" s="4"/>
      <c r="X10600" s="4"/>
      <c r="Y10600" s="4"/>
    </row>
    <row r="10601" spans="5:25">
      <c r="E10601"/>
      <c r="G10601"/>
      <c r="H10601"/>
      <c r="I10601"/>
      <c r="K10601"/>
      <c r="O10601"/>
      <c r="R10601"/>
      <c r="W10601" s="4"/>
      <c r="X10601" s="4"/>
      <c r="Y10601" s="4"/>
    </row>
    <row r="10602" spans="5:25">
      <c r="E10602"/>
      <c r="G10602"/>
      <c r="H10602"/>
      <c r="I10602"/>
      <c r="K10602"/>
      <c r="O10602"/>
      <c r="R10602"/>
      <c r="W10602" s="4"/>
      <c r="X10602" s="4"/>
      <c r="Y10602" s="4"/>
    </row>
    <row r="10603" spans="5:25">
      <c r="E10603"/>
      <c r="G10603"/>
      <c r="H10603"/>
      <c r="I10603"/>
      <c r="K10603"/>
      <c r="O10603"/>
      <c r="R10603"/>
      <c r="W10603" s="4"/>
      <c r="X10603" s="4"/>
      <c r="Y10603" s="4"/>
    </row>
    <row r="10604" spans="5:25">
      <c r="E10604"/>
      <c r="G10604"/>
      <c r="H10604"/>
      <c r="I10604"/>
      <c r="K10604"/>
      <c r="O10604"/>
      <c r="R10604"/>
      <c r="W10604" s="4"/>
      <c r="X10604" s="4"/>
      <c r="Y10604" s="4"/>
    </row>
    <row r="10605" spans="5:25">
      <c r="E10605"/>
      <c r="G10605"/>
      <c r="H10605"/>
      <c r="I10605"/>
      <c r="K10605"/>
      <c r="O10605"/>
      <c r="R10605"/>
      <c r="W10605" s="4"/>
      <c r="X10605" s="4"/>
      <c r="Y10605" s="4"/>
    </row>
    <row r="10606" spans="5:25">
      <c r="E10606"/>
      <c r="G10606"/>
      <c r="H10606"/>
      <c r="I10606"/>
      <c r="K10606"/>
      <c r="O10606"/>
      <c r="R10606"/>
      <c r="W10606" s="4"/>
      <c r="X10606" s="4"/>
      <c r="Y10606" s="4"/>
    </row>
    <row r="10607" spans="5:25">
      <c r="E10607"/>
      <c r="G10607"/>
      <c r="H10607"/>
      <c r="I10607"/>
      <c r="K10607"/>
      <c r="O10607"/>
      <c r="R10607"/>
      <c r="W10607" s="4"/>
      <c r="X10607" s="4"/>
      <c r="Y10607" s="4"/>
    </row>
    <row r="10608" spans="5:25">
      <c r="E10608"/>
      <c r="G10608"/>
      <c r="H10608"/>
      <c r="I10608"/>
      <c r="K10608"/>
      <c r="O10608"/>
      <c r="R10608"/>
      <c r="W10608" s="4"/>
      <c r="X10608" s="4"/>
      <c r="Y10608" s="4"/>
    </row>
    <row r="10609" spans="5:25">
      <c r="E10609"/>
      <c r="G10609"/>
      <c r="H10609"/>
      <c r="I10609"/>
      <c r="K10609"/>
      <c r="O10609"/>
      <c r="R10609"/>
      <c r="W10609" s="4"/>
      <c r="X10609" s="4"/>
      <c r="Y10609" s="4"/>
    </row>
    <row r="10610" spans="5:25">
      <c r="E10610"/>
      <c r="G10610"/>
      <c r="H10610"/>
      <c r="I10610"/>
      <c r="K10610"/>
      <c r="O10610"/>
      <c r="R10610"/>
      <c r="W10610" s="4"/>
      <c r="X10610" s="4"/>
      <c r="Y10610" s="4"/>
    </row>
    <row r="10611" spans="5:25">
      <c r="E10611"/>
      <c r="G10611"/>
      <c r="H10611"/>
      <c r="I10611"/>
      <c r="K10611"/>
      <c r="O10611"/>
      <c r="R10611"/>
      <c r="W10611" s="4"/>
      <c r="X10611" s="4"/>
      <c r="Y10611" s="4"/>
    </row>
    <row r="10612" spans="5:25">
      <c r="E10612"/>
      <c r="G10612"/>
      <c r="H10612"/>
      <c r="I10612"/>
      <c r="K10612"/>
      <c r="O10612"/>
      <c r="R10612"/>
      <c r="W10612" s="4"/>
      <c r="X10612" s="4"/>
      <c r="Y10612" s="4"/>
    </row>
    <row r="10613" spans="5:25">
      <c r="E10613"/>
      <c r="G10613"/>
      <c r="H10613"/>
      <c r="I10613"/>
      <c r="K10613"/>
      <c r="O10613"/>
      <c r="R10613"/>
      <c r="W10613" s="4"/>
      <c r="X10613" s="4"/>
      <c r="Y10613" s="4"/>
    </row>
    <row r="10614" spans="5:25">
      <c r="E10614"/>
      <c r="G10614"/>
      <c r="H10614"/>
      <c r="I10614"/>
      <c r="K10614"/>
      <c r="O10614"/>
      <c r="R10614"/>
      <c r="W10614" s="4"/>
      <c r="X10614" s="4"/>
      <c r="Y10614" s="4"/>
    </row>
    <row r="10615" spans="5:25">
      <c r="E10615"/>
      <c r="G10615"/>
      <c r="H10615"/>
      <c r="I10615"/>
      <c r="K10615"/>
      <c r="O10615"/>
      <c r="R10615"/>
      <c r="W10615" s="4"/>
      <c r="X10615" s="4"/>
      <c r="Y10615" s="4"/>
    </row>
    <row r="10616" spans="5:25">
      <c r="E10616"/>
      <c r="G10616"/>
      <c r="H10616"/>
      <c r="I10616"/>
      <c r="K10616"/>
      <c r="O10616"/>
      <c r="R10616"/>
      <c r="W10616" s="4"/>
      <c r="X10616" s="4"/>
      <c r="Y10616" s="4"/>
    </row>
    <row r="10617" spans="5:25">
      <c r="E10617"/>
      <c r="G10617"/>
      <c r="H10617"/>
      <c r="I10617"/>
      <c r="K10617"/>
      <c r="O10617"/>
      <c r="R10617"/>
      <c r="W10617" s="4"/>
      <c r="X10617" s="4"/>
      <c r="Y10617" s="4"/>
    </row>
    <row r="10618" spans="5:25">
      <c r="E10618"/>
      <c r="G10618"/>
      <c r="H10618"/>
      <c r="I10618"/>
      <c r="K10618"/>
      <c r="O10618"/>
      <c r="R10618"/>
      <c r="W10618" s="4"/>
      <c r="X10618" s="4"/>
      <c r="Y10618" s="4"/>
    </row>
    <row r="10619" spans="5:25">
      <c r="E10619"/>
      <c r="G10619"/>
      <c r="H10619"/>
      <c r="I10619"/>
      <c r="K10619"/>
      <c r="O10619"/>
      <c r="R10619"/>
      <c r="W10619" s="4"/>
      <c r="X10619" s="4"/>
      <c r="Y10619" s="4"/>
    </row>
    <row r="10620" spans="5:25">
      <c r="E10620"/>
      <c r="G10620"/>
      <c r="H10620"/>
      <c r="I10620"/>
      <c r="K10620"/>
      <c r="O10620"/>
      <c r="R10620"/>
      <c r="W10620" s="4"/>
      <c r="X10620" s="4"/>
      <c r="Y10620" s="4"/>
    </row>
    <row r="10621" spans="5:25">
      <c r="E10621"/>
      <c r="G10621"/>
      <c r="H10621"/>
      <c r="I10621"/>
      <c r="K10621"/>
      <c r="O10621"/>
      <c r="R10621"/>
      <c r="W10621" s="4"/>
      <c r="X10621" s="4"/>
      <c r="Y10621" s="4"/>
    </row>
    <row r="10622" spans="5:25">
      <c r="E10622"/>
      <c r="G10622"/>
      <c r="H10622"/>
      <c r="I10622"/>
      <c r="K10622"/>
      <c r="O10622"/>
      <c r="R10622"/>
      <c r="W10622" s="4"/>
      <c r="X10622" s="4"/>
      <c r="Y10622" s="4"/>
    </row>
    <row r="10623" spans="5:25">
      <c r="E10623"/>
      <c r="G10623"/>
      <c r="H10623"/>
      <c r="I10623"/>
      <c r="K10623"/>
      <c r="O10623"/>
      <c r="R10623"/>
      <c r="W10623" s="4"/>
      <c r="X10623" s="4"/>
      <c r="Y10623" s="4"/>
    </row>
    <row r="10624" spans="5:25">
      <c r="E10624"/>
      <c r="G10624"/>
      <c r="H10624"/>
      <c r="I10624"/>
      <c r="K10624"/>
      <c r="O10624"/>
      <c r="R10624"/>
      <c r="W10624" s="4"/>
      <c r="X10624" s="4"/>
      <c r="Y10624" s="4"/>
    </row>
    <row r="10625" spans="5:25">
      <c r="E10625"/>
      <c r="G10625"/>
      <c r="H10625"/>
      <c r="I10625"/>
      <c r="K10625"/>
      <c r="O10625"/>
      <c r="R10625"/>
      <c r="W10625" s="4"/>
      <c r="X10625" s="4"/>
      <c r="Y10625" s="4"/>
    </row>
    <row r="10626" spans="5:25">
      <c r="E10626"/>
      <c r="G10626"/>
      <c r="H10626"/>
      <c r="I10626"/>
      <c r="K10626"/>
      <c r="O10626"/>
      <c r="R10626"/>
      <c r="W10626" s="4"/>
      <c r="X10626" s="4"/>
      <c r="Y10626" s="4"/>
    </row>
    <row r="10627" spans="5:25">
      <c r="E10627"/>
      <c r="G10627"/>
      <c r="H10627"/>
      <c r="I10627"/>
      <c r="K10627"/>
      <c r="O10627"/>
      <c r="R10627"/>
      <c r="W10627" s="4"/>
      <c r="X10627" s="4"/>
      <c r="Y10627" s="4"/>
    </row>
    <row r="10628" spans="5:25">
      <c r="E10628"/>
      <c r="G10628"/>
      <c r="H10628"/>
      <c r="I10628"/>
      <c r="K10628"/>
      <c r="O10628"/>
      <c r="R10628"/>
      <c r="W10628" s="4"/>
      <c r="X10628" s="4"/>
      <c r="Y10628" s="4"/>
    </row>
    <row r="10629" spans="5:25">
      <c r="E10629"/>
      <c r="G10629"/>
      <c r="H10629"/>
      <c r="I10629"/>
      <c r="K10629"/>
      <c r="O10629"/>
      <c r="R10629"/>
      <c r="W10629" s="4"/>
      <c r="X10629" s="4"/>
      <c r="Y10629" s="4"/>
    </row>
    <row r="10630" spans="5:25">
      <c r="E10630"/>
      <c r="G10630"/>
      <c r="H10630"/>
      <c r="I10630"/>
      <c r="K10630"/>
      <c r="O10630"/>
      <c r="R10630"/>
      <c r="W10630" s="4"/>
      <c r="X10630" s="4"/>
      <c r="Y10630" s="4"/>
    </row>
    <row r="10631" spans="5:25">
      <c r="E10631"/>
      <c r="G10631"/>
      <c r="H10631"/>
      <c r="I10631"/>
      <c r="K10631"/>
      <c r="O10631"/>
      <c r="R10631"/>
      <c r="W10631" s="4"/>
      <c r="X10631" s="4"/>
      <c r="Y10631" s="4"/>
    </row>
    <row r="10632" spans="5:25">
      <c r="E10632"/>
      <c r="G10632"/>
      <c r="H10632"/>
      <c r="I10632"/>
      <c r="K10632"/>
      <c r="O10632"/>
      <c r="R10632"/>
      <c r="W10632" s="4"/>
      <c r="X10632" s="4"/>
      <c r="Y10632" s="4"/>
    </row>
    <row r="10633" spans="5:25">
      <c r="E10633"/>
      <c r="G10633"/>
      <c r="H10633"/>
      <c r="I10633"/>
      <c r="K10633"/>
      <c r="O10633"/>
      <c r="R10633"/>
      <c r="W10633" s="4"/>
      <c r="X10633" s="4"/>
      <c r="Y10633" s="4"/>
    </row>
    <row r="10634" spans="5:25">
      <c r="E10634"/>
      <c r="G10634"/>
      <c r="H10634"/>
      <c r="I10634"/>
      <c r="K10634"/>
      <c r="O10634"/>
      <c r="R10634"/>
      <c r="W10634" s="4"/>
      <c r="X10634" s="4"/>
      <c r="Y10634" s="4"/>
    </row>
    <row r="10635" spans="5:25">
      <c r="E10635"/>
      <c r="G10635"/>
      <c r="H10635"/>
      <c r="I10635"/>
      <c r="K10635"/>
      <c r="O10635"/>
      <c r="R10635"/>
      <c r="W10635" s="4"/>
      <c r="X10635" s="4"/>
      <c r="Y10635" s="4"/>
    </row>
    <row r="10636" spans="5:25">
      <c r="E10636"/>
      <c r="G10636"/>
      <c r="H10636"/>
      <c r="I10636"/>
      <c r="K10636"/>
      <c r="O10636"/>
      <c r="R10636"/>
      <c r="W10636" s="4"/>
      <c r="X10636" s="4"/>
      <c r="Y10636" s="4"/>
    </row>
    <row r="10637" spans="5:25">
      <c r="E10637"/>
      <c r="G10637"/>
      <c r="H10637"/>
      <c r="I10637"/>
      <c r="K10637"/>
      <c r="O10637"/>
      <c r="R10637"/>
      <c r="W10637" s="4"/>
      <c r="X10637" s="4"/>
      <c r="Y10637" s="4"/>
    </row>
    <row r="10638" spans="5:25">
      <c r="E10638"/>
      <c r="G10638"/>
      <c r="H10638"/>
      <c r="I10638"/>
      <c r="K10638"/>
      <c r="O10638"/>
      <c r="R10638"/>
      <c r="W10638" s="4"/>
      <c r="X10638" s="4"/>
      <c r="Y10638" s="4"/>
    </row>
    <row r="10639" spans="5:25">
      <c r="E10639"/>
      <c r="G10639"/>
      <c r="H10639"/>
      <c r="I10639"/>
      <c r="K10639"/>
      <c r="O10639"/>
      <c r="R10639"/>
      <c r="W10639" s="4"/>
      <c r="X10639" s="4"/>
      <c r="Y10639" s="4"/>
    </row>
    <row r="10640" spans="5:25">
      <c r="E10640"/>
      <c r="G10640"/>
      <c r="H10640"/>
      <c r="I10640"/>
      <c r="K10640"/>
      <c r="O10640"/>
      <c r="R10640"/>
      <c r="W10640" s="4"/>
      <c r="X10640" s="4"/>
      <c r="Y10640" s="4"/>
    </row>
    <row r="10641" spans="5:25">
      <c r="E10641"/>
      <c r="G10641"/>
      <c r="H10641"/>
      <c r="I10641"/>
      <c r="K10641"/>
      <c r="O10641"/>
      <c r="R10641"/>
      <c r="W10641" s="4"/>
      <c r="X10641" s="4"/>
      <c r="Y10641" s="4"/>
    </row>
    <row r="10642" spans="5:25">
      <c r="E10642"/>
      <c r="G10642"/>
      <c r="H10642"/>
      <c r="I10642"/>
      <c r="K10642"/>
      <c r="O10642"/>
      <c r="R10642"/>
      <c r="W10642" s="4"/>
      <c r="X10642" s="4"/>
      <c r="Y10642" s="4"/>
    </row>
    <row r="10643" spans="5:25">
      <c r="E10643"/>
      <c r="G10643"/>
      <c r="H10643"/>
      <c r="I10643"/>
      <c r="K10643"/>
      <c r="O10643"/>
      <c r="R10643"/>
      <c r="W10643" s="4"/>
      <c r="X10643" s="4"/>
      <c r="Y10643" s="4"/>
    </row>
    <row r="10644" spans="5:25">
      <c r="E10644"/>
      <c r="G10644"/>
      <c r="H10644"/>
      <c r="I10644"/>
      <c r="K10644"/>
      <c r="O10644"/>
      <c r="R10644"/>
      <c r="W10644" s="4"/>
      <c r="X10644" s="4"/>
      <c r="Y10644" s="4"/>
    </row>
    <row r="10645" spans="5:25">
      <c r="E10645"/>
      <c r="G10645"/>
      <c r="H10645"/>
      <c r="I10645"/>
      <c r="K10645"/>
      <c r="O10645"/>
      <c r="R10645"/>
      <c r="W10645" s="4"/>
      <c r="X10645" s="4"/>
      <c r="Y10645" s="4"/>
    </row>
    <row r="10646" spans="5:25">
      <c r="E10646"/>
      <c r="G10646"/>
      <c r="H10646"/>
      <c r="I10646"/>
      <c r="K10646"/>
      <c r="O10646"/>
      <c r="R10646"/>
      <c r="W10646" s="4"/>
      <c r="X10646" s="4"/>
      <c r="Y10646" s="4"/>
    </row>
    <row r="10647" spans="5:25">
      <c r="E10647"/>
      <c r="G10647"/>
      <c r="H10647"/>
      <c r="I10647"/>
      <c r="K10647"/>
      <c r="O10647"/>
      <c r="R10647"/>
      <c r="W10647" s="4"/>
      <c r="X10647" s="4"/>
      <c r="Y10647" s="4"/>
    </row>
    <row r="10648" spans="5:25">
      <c r="E10648"/>
      <c r="G10648"/>
      <c r="H10648"/>
      <c r="I10648"/>
      <c r="K10648"/>
      <c r="O10648"/>
      <c r="R10648"/>
      <c r="W10648" s="4"/>
      <c r="X10648" s="4"/>
      <c r="Y10648" s="4"/>
    </row>
    <row r="10649" spans="5:25">
      <c r="E10649"/>
      <c r="G10649"/>
      <c r="H10649"/>
      <c r="I10649"/>
      <c r="K10649"/>
      <c r="O10649"/>
      <c r="R10649"/>
      <c r="W10649" s="4"/>
      <c r="X10649" s="4"/>
      <c r="Y10649" s="4"/>
    </row>
    <row r="10650" spans="5:25">
      <c r="E10650"/>
      <c r="G10650"/>
      <c r="H10650"/>
      <c r="I10650"/>
      <c r="K10650"/>
      <c r="O10650"/>
      <c r="R10650"/>
      <c r="W10650" s="4"/>
      <c r="X10650" s="4"/>
      <c r="Y10650" s="4"/>
    </row>
    <row r="10651" spans="5:25">
      <c r="E10651"/>
      <c r="G10651"/>
      <c r="H10651"/>
      <c r="I10651"/>
      <c r="K10651"/>
      <c r="O10651"/>
      <c r="R10651"/>
      <c r="W10651" s="4"/>
      <c r="X10651" s="4"/>
      <c r="Y10651" s="4"/>
    </row>
    <row r="10652" spans="5:25">
      <c r="E10652"/>
      <c r="G10652"/>
      <c r="H10652"/>
      <c r="I10652"/>
      <c r="K10652"/>
      <c r="O10652"/>
      <c r="R10652"/>
      <c r="W10652" s="4"/>
      <c r="X10652" s="4"/>
      <c r="Y10652" s="4"/>
    </row>
    <row r="10653" spans="5:25">
      <c r="E10653"/>
      <c r="G10653"/>
      <c r="H10653"/>
      <c r="I10653"/>
      <c r="K10653"/>
      <c r="O10653"/>
      <c r="R10653"/>
      <c r="W10653" s="4"/>
      <c r="X10653" s="4"/>
      <c r="Y10653" s="4"/>
    </row>
    <row r="10654" spans="5:25">
      <c r="E10654"/>
      <c r="G10654"/>
      <c r="H10654"/>
      <c r="I10654"/>
      <c r="K10654"/>
      <c r="O10654"/>
      <c r="R10654"/>
      <c r="W10654" s="4"/>
      <c r="X10654" s="4"/>
      <c r="Y10654" s="4"/>
    </row>
    <row r="10655" spans="5:25">
      <c r="E10655"/>
      <c r="G10655"/>
      <c r="H10655"/>
      <c r="I10655"/>
      <c r="K10655"/>
      <c r="O10655"/>
      <c r="R10655"/>
      <c r="W10655" s="4"/>
      <c r="X10655" s="4"/>
      <c r="Y10655" s="4"/>
    </row>
    <row r="10656" spans="5:25">
      <c r="E10656"/>
      <c r="G10656"/>
      <c r="H10656"/>
      <c r="I10656"/>
      <c r="K10656"/>
      <c r="O10656"/>
      <c r="R10656"/>
      <c r="W10656" s="4"/>
      <c r="X10656" s="4"/>
      <c r="Y10656" s="4"/>
    </row>
    <row r="10657" spans="5:25">
      <c r="E10657"/>
      <c r="G10657"/>
      <c r="H10657"/>
      <c r="I10657"/>
      <c r="K10657"/>
      <c r="O10657"/>
      <c r="R10657"/>
      <c r="W10657" s="4"/>
      <c r="X10657" s="4"/>
      <c r="Y10657" s="4"/>
    </row>
    <row r="10658" spans="5:25">
      <c r="E10658"/>
      <c r="G10658"/>
      <c r="H10658"/>
      <c r="I10658"/>
      <c r="K10658"/>
      <c r="O10658"/>
      <c r="R10658"/>
      <c r="W10658" s="4"/>
      <c r="X10658" s="4"/>
      <c r="Y10658" s="4"/>
    </row>
    <row r="10659" spans="5:25">
      <c r="E10659"/>
      <c r="G10659"/>
      <c r="H10659"/>
      <c r="I10659"/>
      <c r="K10659"/>
      <c r="O10659"/>
      <c r="R10659"/>
      <c r="W10659" s="4"/>
      <c r="X10659" s="4"/>
      <c r="Y10659" s="4"/>
    </row>
    <row r="10660" spans="5:25">
      <c r="E10660"/>
      <c r="G10660"/>
      <c r="H10660"/>
      <c r="I10660"/>
      <c r="K10660"/>
      <c r="O10660"/>
      <c r="R10660"/>
      <c r="W10660" s="4"/>
      <c r="X10660" s="4"/>
      <c r="Y10660" s="4"/>
    </row>
    <row r="10661" spans="5:25">
      <c r="E10661"/>
      <c r="G10661"/>
      <c r="H10661"/>
      <c r="I10661"/>
      <c r="K10661"/>
      <c r="O10661"/>
      <c r="R10661"/>
      <c r="W10661" s="4"/>
      <c r="X10661" s="4"/>
      <c r="Y10661" s="4"/>
    </row>
    <row r="10662" spans="5:25">
      <c r="E10662"/>
      <c r="G10662"/>
      <c r="H10662"/>
      <c r="I10662"/>
      <c r="K10662"/>
      <c r="O10662"/>
      <c r="R10662"/>
      <c r="W10662" s="4"/>
      <c r="X10662" s="4"/>
      <c r="Y10662" s="4"/>
    </row>
    <row r="10663" spans="5:25">
      <c r="E10663"/>
      <c r="G10663"/>
      <c r="H10663"/>
      <c r="I10663"/>
      <c r="K10663"/>
      <c r="O10663"/>
      <c r="R10663"/>
      <c r="W10663" s="4"/>
      <c r="X10663" s="4"/>
      <c r="Y10663" s="4"/>
    </row>
    <row r="10664" spans="5:25">
      <c r="E10664"/>
      <c r="G10664"/>
      <c r="H10664"/>
      <c r="I10664"/>
      <c r="K10664"/>
      <c r="O10664"/>
      <c r="R10664"/>
      <c r="W10664" s="4"/>
      <c r="X10664" s="4"/>
      <c r="Y10664" s="4"/>
    </row>
    <row r="10665" spans="5:25">
      <c r="E10665"/>
      <c r="G10665"/>
      <c r="H10665"/>
      <c r="I10665"/>
      <c r="K10665"/>
      <c r="O10665"/>
      <c r="R10665"/>
      <c r="W10665" s="4"/>
      <c r="X10665" s="4"/>
      <c r="Y10665" s="4"/>
    </row>
    <row r="10666" spans="5:25">
      <c r="E10666"/>
      <c r="G10666"/>
      <c r="H10666"/>
      <c r="I10666"/>
      <c r="K10666"/>
      <c r="O10666"/>
      <c r="R10666"/>
      <c r="W10666" s="4"/>
      <c r="X10666" s="4"/>
      <c r="Y10666" s="4"/>
    </row>
    <row r="10667" spans="5:25">
      <c r="E10667"/>
      <c r="G10667"/>
      <c r="H10667"/>
      <c r="I10667"/>
      <c r="K10667"/>
      <c r="O10667"/>
      <c r="R10667"/>
      <c r="W10667" s="4"/>
      <c r="X10667" s="4"/>
      <c r="Y10667" s="4"/>
    </row>
    <row r="10668" spans="5:25">
      <c r="E10668"/>
      <c r="G10668"/>
      <c r="H10668"/>
      <c r="I10668"/>
      <c r="K10668"/>
      <c r="O10668"/>
      <c r="R10668"/>
      <c r="W10668" s="4"/>
      <c r="X10668" s="4"/>
      <c r="Y10668" s="4"/>
    </row>
    <row r="10669" spans="5:25">
      <c r="E10669"/>
      <c r="G10669"/>
      <c r="H10669"/>
      <c r="I10669"/>
      <c r="K10669"/>
      <c r="O10669"/>
      <c r="R10669"/>
      <c r="W10669" s="4"/>
      <c r="X10669" s="4"/>
      <c r="Y10669" s="4"/>
    </row>
    <row r="10670" spans="5:25">
      <c r="E10670"/>
      <c r="G10670"/>
      <c r="H10670"/>
      <c r="I10670"/>
      <c r="K10670"/>
      <c r="O10670"/>
      <c r="R10670"/>
      <c r="W10670" s="4"/>
      <c r="X10670" s="4"/>
      <c r="Y10670" s="4"/>
    </row>
    <row r="10671" spans="5:25">
      <c r="E10671"/>
      <c r="G10671"/>
      <c r="H10671"/>
      <c r="I10671"/>
      <c r="K10671"/>
      <c r="O10671"/>
      <c r="R10671"/>
      <c r="W10671" s="4"/>
      <c r="X10671" s="4"/>
      <c r="Y10671" s="4"/>
    </row>
    <row r="10672" spans="5:25">
      <c r="E10672"/>
      <c r="G10672"/>
      <c r="H10672"/>
      <c r="I10672"/>
      <c r="K10672"/>
      <c r="O10672"/>
      <c r="R10672"/>
      <c r="W10672" s="4"/>
      <c r="X10672" s="4"/>
      <c r="Y10672" s="4"/>
    </row>
    <row r="10673" spans="5:25">
      <c r="E10673"/>
      <c r="G10673"/>
      <c r="H10673"/>
      <c r="I10673"/>
      <c r="K10673"/>
      <c r="O10673"/>
      <c r="R10673"/>
      <c r="W10673" s="4"/>
      <c r="X10673" s="4"/>
      <c r="Y10673" s="4"/>
    </row>
    <row r="10674" spans="5:25">
      <c r="E10674"/>
      <c r="G10674"/>
      <c r="H10674"/>
      <c r="I10674"/>
      <c r="K10674"/>
      <c r="O10674"/>
      <c r="R10674"/>
      <c r="W10674" s="4"/>
      <c r="X10674" s="4"/>
      <c r="Y10674" s="4"/>
    </row>
    <row r="10675" spans="5:25">
      <c r="E10675"/>
      <c r="G10675"/>
      <c r="H10675"/>
      <c r="I10675"/>
      <c r="K10675"/>
      <c r="O10675"/>
      <c r="R10675"/>
      <c r="W10675" s="4"/>
      <c r="X10675" s="4"/>
      <c r="Y10675" s="4"/>
    </row>
    <row r="10676" spans="5:25">
      <c r="E10676"/>
      <c r="G10676"/>
      <c r="H10676"/>
      <c r="I10676"/>
      <c r="K10676"/>
      <c r="O10676"/>
      <c r="R10676"/>
      <c r="W10676" s="4"/>
      <c r="X10676" s="4"/>
      <c r="Y10676" s="4"/>
    </row>
    <row r="10677" spans="5:25">
      <c r="E10677"/>
      <c r="G10677"/>
      <c r="H10677"/>
      <c r="I10677"/>
      <c r="K10677"/>
      <c r="O10677"/>
      <c r="R10677"/>
      <c r="W10677" s="4"/>
      <c r="X10677" s="4"/>
      <c r="Y10677" s="4"/>
    </row>
    <row r="10678" spans="5:25">
      <c r="E10678"/>
      <c r="G10678"/>
      <c r="H10678"/>
      <c r="I10678"/>
      <c r="K10678"/>
      <c r="O10678"/>
      <c r="R10678"/>
      <c r="W10678" s="4"/>
      <c r="X10678" s="4"/>
      <c r="Y10678" s="4"/>
    </row>
    <row r="10679" spans="5:25">
      <c r="E10679"/>
      <c r="G10679"/>
      <c r="H10679"/>
      <c r="I10679"/>
      <c r="K10679"/>
      <c r="O10679"/>
      <c r="R10679"/>
      <c r="W10679" s="4"/>
      <c r="X10679" s="4"/>
      <c r="Y10679" s="4"/>
    </row>
    <row r="10680" spans="5:25">
      <c r="E10680"/>
      <c r="G10680"/>
      <c r="H10680"/>
      <c r="I10680"/>
      <c r="K10680"/>
      <c r="O10680"/>
      <c r="R10680"/>
      <c r="W10680" s="4"/>
      <c r="X10680" s="4"/>
      <c r="Y10680" s="4"/>
    </row>
    <row r="10681" spans="5:25">
      <c r="E10681"/>
      <c r="G10681"/>
      <c r="H10681"/>
      <c r="I10681"/>
      <c r="K10681"/>
      <c r="O10681"/>
      <c r="R10681"/>
      <c r="W10681" s="4"/>
      <c r="X10681" s="4"/>
      <c r="Y10681" s="4"/>
    </row>
    <row r="10682" spans="5:25">
      <c r="E10682"/>
      <c r="G10682"/>
      <c r="H10682"/>
      <c r="I10682"/>
      <c r="K10682"/>
      <c r="O10682"/>
      <c r="R10682"/>
      <c r="W10682" s="4"/>
      <c r="X10682" s="4"/>
      <c r="Y10682" s="4"/>
    </row>
    <row r="10683" spans="5:25">
      <c r="E10683"/>
      <c r="G10683"/>
      <c r="H10683"/>
      <c r="I10683"/>
      <c r="K10683"/>
      <c r="O10683"/>
      <c r="R10683"/>
      <c r="W10683" s="4"/>
      <c r="X10683" s="4"/>
      <c r="Y10683" s="4"/>
    </row>
    <row r="10684" spans="5:25">
      <c r="E10684"/>
      <c r="G10684"/>
      <c r="H10684"/>
      <c r="I10684"/>
      <c r="K10684"/>
      <c r="O10684"/>
      <c r="R10684"/>
      <c r="W10684" s="4"/>
      <c r="X10684" s="4"/>
      <c r="Y10684" s="4"/>
    </row>
    <row r="10685" spans="5:25">
      <c r="E10685"/>
      <c r="G10685"/>
      <c r="H10685"/>
      <c r="I10685"/>
      <c r="K10685"/>
      <c r="O10685"/>
      <c r="R10685"/>
      <c r="W10685" s="4"/>
      <c r="X10685" s="4"/>
      <c r="Y10685" s="4"/>
    </row>
    <row r="10686" spans="5:25">
      <c r="E10686"/>
      <c r="G10686"/>
      <c r="H10686"/>
      <c r="I10686"/>
      <c r="K10686"/>
      <c r="O10686"/>
      <c r="R10686"/>
      <c r="W10686" s="4"/>
      <c r="X10686" s="4"/>
      <c r="Y10686" s="4"/>
    </row>
    <row r="10687" spans="5:25">
      <c r="E10687"/>
      <c r="G10687"/>
      <c r="H10687"/>
      <c r="I10687"/>
      <c r="K10687"/>
      <c r="O10687"/>
      <c r="R10687"/>
      <c r="W10687" s="4"/>
      <c r="X10687" s="4"/>
      <c r="Y10687" s="4"/>
    </row>
    <row r="10688" spans="5:25">
      <c r="E10688"/>
      <c r="G10688"/>
      <c r="H10688"/>
      <c r="I10688"/>
      <c r="K10688"/>
      <c r="O10688"/>
      <c r="R10688"/>
      <c r="W10688" s="4"/>
      <c r="X10688" s="4"/>
      <c r="Y10688" s="4"/>
    </row>
    <row r="10689" spans="5:25">
      <c r="E10689"/>
      <c r="G10689"/>
      <c r="H10689"/>
      <c r="I10689"/>
      <c r="K10689"/>
      <c r="O10689"/>
      <c r="R10689"/>
      <c r="W10689" s="4"/>
      <c r="X10689" s="4"/>
      <c r="Y10689" s="4"/>
    </row>
    <row r="10690" spans="5:25">
      <c r="E10690"/>
      <c r="G10690"/>
      <c r="H10690"/>
      <c r="I10690"/>
      <c r="K10690"/>
      <c r="O10690"/>
      <c r="R10690"/>
      <c r="W10690" s="4"/>
      <c r="X10690" s="4"/>
      <c r="Y10690" s="4"/>
    </row>
    <row r="10691" spans="5:25">
      <c r="E10691"/>
      <c r="G10691"/>
      <c r="H10691"/>
      <c r="I10691"/>
      <c r="K10691"/>
      <c r="O10691"/>
      <c r="R10691"/>
      <c r="W10691" s="4"/>
      <c r="X10691" s="4"/>
      <c r="Y10691" s="4"/>
    </row>
    <row r="10692" spans="5:25">
      <c r="E10692"/>
      <c r="G10692"/>
      <c r="H10692"/>
      <c r="I10692"/>
      <c r="K10692"/>
      <c r="O10692"/>
      <c r="R10692"/>
      <c r="W10692" s="4"/>
      <c r="X10692" s="4"/>
      <c r="Y10692" s="4"/>
    </row>
    <row r="10693" spans="5:25">
      <c r="E10693"/>
      <c r="G10693"/>
      <c r="H10693"/>
      <c r="I10693"/>
      <c r="K10693"/>
      <c r="O10693"/>
      <c r="R10693"/>
      <c r="W10693" s="4"/>
      <c r="X10693" s="4"/>
      <c r="Y10693" s="4"/>
    </row>
    <row r="10694" spans="5:25">
      <c r="E10694"/>
      <c r="G10694"/>
      <c r="H10694"/>
      <c r="I10694"/>
      <c r="K10694"/>
      <c r="O10694"/>
      <c r="R10694"/>
      <c r="W10694" s="4"/>
      <c r="X10694" s="4"/>
      <c r="Y10694" s="4"/>
    </row>
    <row r="10695" spans="5:25">
      <c r="E10695"/>
      <c r="G10695"/>
      <c r="H10695"/>
      <c r="I10695"/>
      <c r="K10695"/>
      <c r="O10695"/>
      <c r="R10695"/>
      <c r="W10695" s="4"/>
      <c r="X10695" s="4"/>
      <c r="Y10695" s="4"/>
    </row>
    <row r="10696" spans="5:25">
      <c r="E10696"/>
      <c r="G10696"/>
      <c r="H10696"/>
      <c r="I10696"/>
      <c r="K10696"/>
      <c r="O10696"/>
      <c r="R10696"/>
      <c r="W10696" s="4"/>
      <c r="X10696" s="4"/>
      <c r="Y10696" s="4"/>
    </row>
    <row r="10697" spans="5:25">
      <c r="E10697"/>
      <c r="G10697"/>
      <c r="H10697"/>
      <c r="I10697"/>
      <c r="K10697"/>
      <c r="O10697"/>
      <c r="R10697"/>
      <c r="W10697" s="4"/>
      <c r="X10697" s="4"/>
      <c r="Y10697" s="4"/>
    </row>
    <row r="10698" spans="5:25">
      <c r="E10698"/>
      <c r="G10698"/>
      <c r="H10698"/>
      <c r="I10698"/>
      <c r="K10698"/>
      <c r="O10698"/>
      <c r="R10698"/>
      <c r="W10698" s="4"/>
      <c r="X10698" s="4"/>
      <c r="Y10698" s="4"/>
    </row>
    <row r="10699" spans="5:25">
      <c r="E10699"/>
      <c r="G10699"/>
      <c r="H10699"/>
      <c r="I10699"/>
      <c r="K10699"/>
      <c r="O10699"/>
      <c r="R10699"/>
      <c r="W10699" s="4"/>
      <c r="X10699" s="4"/>
      <c r="Y10699" s="4"/>
    </row>
    <row r="10700" spans="5:25">
      <c r="E10700"/>
      <c r="G10700"/>
      <c r="H10700"/>
      <c r="I10700"/>
      <c r="K10700"/>
      <c r="O10700"/>
      <c r="R10700"/>
      <c r="W10700" s="4"/>
      <c r="X10700" s="4"/>
      <c r="Y10700" s="4"/>
    </row>
    <row r="10701" spans="5:25">
      <c r="E10701"/>
      <c r="G10701"/>
      <c r="H10701"/>
      <c r="I10701"/>
      <c r="K10701"/>
      <c r="O10701"/>
      <c r="R10701"/>
      <c r="W10701" s="4"/>
      <c r="X10701" s="4"/>
      <c r="Y10701" s="4"/>
    </row>
    <row r="10702" spans="5:25">
      <c r="E10702"/>
      <c r="G10702"/>
      <c r="H10702"/>
      <c r="I10702"/>
      <c r="K10702"/>
      <c r="O10702"/>
      <c r="R10702"/>
      <c r="W10702" s="4"/>
      <c r="X10702" s="4"/>
      <c r="Y10702" s="4"/>
    </row>
    <row r="10703" spans="5:25">
      <c r="E10703"/>
      <c r="G10703"/>
      <c r="H10703"/>
      <c r="I10703"/>
      <c r="K10703"/>
      <c r="O10703"/>
      <c r="R10703"/>
      <c r="W10703" s="4"/>
      <c r="X10703" s="4"/>
      <c r="Y10703" s="4"/>
    </row>
    <row r="10704" spans="5:25">
      <c r="E10704"/>
      <c r="G10704"/>
      <c r="H10704"/>
      <c r="I10704"/>
      <c r="K10704"/>
      <c r="O10704"/>
      <c r="R10704"/>
      <c r="W10704" s="4"/>
      <c r="X10704" s="4"/>
      <c r="Y10704" s="4"/>
    </row>
    <row r="10705" spans="5:25">
      <c r="E10705"/>
      <c r="G10705"/>
      <c r="H10705"/>
      <c r="I10705"/>
      <c r="K10705"/>
      <c r="O10705"/>
      <c r="R10705"/>
      <c r="W10705" s="4"/>
      <c r="X10705" s="4"/>
      <c r="Y10705" s="4"/>
    </row>
    <row r="10706" spans="5:25">
      <c r="E10706"/>
      <c r="G10706"/>
      <c r="H10706"/>
      <c r="I10706"/>
      <c r="K10706"/>
      <c r="O10706"/>
      <c r="R10706"/>
      <c r="W10706" s="4"/>
      <c r="X10706" s="4"/>
      <c r="Y10706" s="4"/>
    </row>
    <row r="10707" spans="5:25">
      <c r="E10707"/>
      <c r="G10707"/>
      <c r="H10707"/>
      <c r="I10707"/>
      <c r="K10707"/>
      <c r="O10707"/>
      <c r="R10707"/>
      <c r="W10707" s="4"/>
      <c r="X10707" s="4"/>
      <c r="Y10707" s="4"/>
    </row>
    <row r="10708" spans="5:25">
      <c r="E10708"/>
      <c r="G10708"/>
      <c r="H10708"/>
      <c r="I10708"/>
      <c r="K10708"/>
      <c r="O10708"/>
      <c r="R10708"/>
      <c r="W10708" s="4"/>
      <c r="X10708" s="4"/>
      <c r="Y10708" s="4"/>
    </row>
    <row r="10709" spans="5:25">
      <c r="E10709"/>
      <c r="G10709"/>
      <c r="H10709"/>
      <c r="I10709"/>
      <c r="K10709"/>
      <c r="O10709"/>
      <c r="R10709"/>
      <c r="W10709" s="4"/>
      <c r="X10709" s="4"/>
      <c r="Y10709" s="4"/>
    </row>
    <row r="10710" spans="5:25">
      <c r="E10710"/>
      <c r="G10710"/>
      <c r="H10710"/>
      <c r="I10710"/>
      <c r="K10710"/>
      <c r="O10710"/>
      <c r="R10710"/>
      <c r="W10710" s="4"/>
      <c r="X10710" s="4"/>
      <c r="Y10710" s="4"/>
    </row>
    <row r="10711" spans="5:25">
      <c r="E10711"/>
      <c r="G10711"/>
      <c r="H10711"/>
      <c r="I10711"/>
      <c r="K10711"/>
      <c r="O10711"/>
      <c r="R10711"/>
      <c r="W10711" s="4"/>
      <c r="X10711" s="4"/>
      <c r="Y10711" s="4"/>
    </row>
    <row r="10712" spans="5:25">
      <c r="E10712"/>
      <c r="G10712"/>
      <c r="H10712"/>
      <c r="I10712"/>
      <c r="K10712"/>
      <c r="O10712"/>
      <c r="R10712"/>
      <c r="W10712" s="4"/>
      <c r="X10712" s="4"/>
      <c r="Y10712" s="4"/>
    </row>
    <row r="10713" spans="5:25">
      <c r="E10713"/>
      <c r="G10713"/>
      <c r="H10713"/>
      <c r="I10713"/>
      <c r="K10713"/>
      <c r="O10713"/>
      <c r="R10713"/>
      <c r="W10713" s="4"/>
      <c r="X10713" s="4"/>
      <c r="Y10713" s="4"/>
    </row>
    <row r="10714" spans="5:25">
      <c r="E10714"/>
      <c r="G10714"/>
      <c r="H10714"/>
      <c r="I10714"/>
      <c r="K10714"/>
      <c r="O10714"/>
      <c r="R10714"/>
      <c r="W10714" s="4"/>
      <c r="X10714" s="4"/>
      <c r="Y10714" s="4"/>
    </row>
    <row r="10715" spans="5:25">
      <c r="E10715"/>
      <c r="G10715"/>
      <c r="H10715"/>
      <c r="I10715"/>
      <c r="K10715"/>
      <c r="O10715"/>
      <c r="R10715"/>
      <c r="W10715" s="4"/>
      <c r="X10715" s="4"/>
      <c r="Y10715" s="4"/>
    </row>
    <row r="10716" spans="5:25">
      <c r="E10716"/>
      <c r="G10716"/>
      <c r="H10716"/>
      <c r="I10716"/>
      <c r="K10716"/>
      <c r="O10716"/>
      <c r="R10716"/>
      <c r="W10716" s="4"/>
      <c r="X10716" s="4"/>
      <c r="Y10716" s="4"/>
    </row>
    <row r="10717" spans="5:25">
      <c r="E10717"/>
      <c r="G10717"/>
      <c r="H10717"/>
      <c r="I10717"/>
      <c r="K10717"/>
      <c r="O10717"/>
      <c r="R10717"/>
      <c r="W10717" s="4"/>
      <c r="X10717" s="4"/>
      <c r="Y10717" s="4"/>
    </row>
    <row r="10718" spans="5:25">
      <c r="E10718"/>
      <c r="G10718"/>
      <c r="H10718"/>
      <c r="I10718"/>
      <c r="K10718"/>
      <c r="O10718"/>
      <c r="R10718"/>
      <c r="W10718" s="4"/>
      <c r="X10718" s="4"/>
      <c r="Y10718" s="4"/>
    </row>
    <row r="10719" spans="5:25">
      <c r="E10719"/>
      <c r="G10719"/>
      <c r="H10719"/>
      <c r="I10719"/>
      <c r="K10719"/>
      <c r="O10719"/>
      <c r="R10719"/>
      <c r="W10719" s="4"/>
      <c r="X10719" s="4"/>
      <c r="Y10719" s="4"/>
    </row>
    <row r="10720" spans="5:25">
      <c r="E10720"/>
      <c r="G10720"/>
      <c r="H10720"/>
      <c r="I10720"/>
      <c r="K10720"/>
      <c r="O10720"/>
      <c r="R10720"/>
      <c r="W10720" s="4"/>
      <c r="X10720" s="4"/>
      <c r="Y10720" s="4"/>
    </row>
    <row r="10721" spans="5:25">
      <c r="E10721"/>
      <c r="G10721"/>
      <c r="H10721"/>
      <c r="I10721"/>
      <c r="K10721"/>
      <c r="O10721"/>
      <c r="R10721"/>
      <c r="W10721" s="4"/>
      <c r="X10721" s="4"/>
      <c r="Y10721" s="4"/>
    </row>
    <row r="10722" spans="5:25">
      <c r="E10722"/>
      <c r="G10722"/>
      <c r="H10722"/>
      <c r="I10722"/>
      <c r="K10722"/>
      <c r="O10722"/>
      <c r="R10722"/>
      <c r="W10722" s="4"/>
      <c r="X10722" s="4"/>
      <c r="Y10722" s="4"/>
    </row>
    <row r="10723" spans="5:25">
      <c r="E10723"/>
      <c r="G10723"/>
      <c r="H10723"/>
      <c r="I10723"/>
      <c r="K10723"/>
      <c r="O10723"/>
      <c r="R10723"/>
      <c r="W10723" s="4"/>
      <c r="X10723" s="4"/>
      <c r="Y10723" s="4"/>
    </row>
    <row r="10724" spans="5:25">
      <c r="E10724"/>
      <c r="G10724"/>
      <c r="H10724"/>
      <c r="I10724"/>
      <c r="K10724"/>
      <c r="O10724"/>
      <c r="R10724"/>
      <c r="W10724" s="4"/>
      <c r="X10724" s="4"/>
      <c r="Y10724" s="4"/>
    </row>
    <row r="10725" spans="5:25">
      <c r="E10725"/>
      <c r="G10725"/>
      <c r="H10725"/>
      <c r="I10725"/>
      <c r="K10725"/>
      <c r="O10725"/>
      <c r="R10725"/>
      <c r="W10725" s="4"/>
      <c r="X10725" s="4"/>
      <c r="Y10725" s="4"/>
    </row>
    <row r="10726" spans="5:25">
      <c r="E10726"/>
      <c r="G10726"/>
      <c r="H10726"/>
      <c r="I10726"/>
      <c r="K10726"/>
      <c r="O10726"/>
      <c r="R10726"/>
      <c r="W10726" s="4"/>
      <c r="X10726" s="4"/>
      <c r="Y10726" s="4"/>
    </row>
    <row r="10727" spans="5:25">
      <c r="E10727"/>
      <c r="G10727"/>
      <c r="H10727"/>
      <c r="I10727"/>
      <c r="K10727"/>
      <c r="O10727"/>
      <c r="R10727"/>
      <c r="W10727" s="4"/>
      <c r="X10727" s="4"/>
      <c r="Y10727" s="4"/>
    </row>
    <row r="10728" spans="5:25">
      <c r="E10728"/>
      <c r="G10728"/>
      <c r="H10728"/>
      <c r="I10728"/>
      <c r="K10728"/>
      <c r="O10728"/>
      <c r="R10728"/>
      <c r="W10728" s="4"/>
      <c r="X10728" s="4"/>
      <c r="Y10728" s="4"/>
    </row>
    <row r="10729" spans="5:25">
      <c r="E10729"/>
      <c r="G10729"/>
      <c r="H10729"/>
      <c r="I10729"/>
      <c r="K10729"/>
      <c r="O10729"/>
      <c r="R10729"/>
      <c r="W10729" s="4"/>
      <c r="X10729" s="4"/>
      <c r="Y10729" s="4"/>
    </row>
    <row r="10730" spans="5:25">
      <c r="E10730"/>
      <c r="G10730"/>
      <c r="H10730"/>
      <c r="I10730"/>
      <c r="K10730"/>
      <c r="O10730"/>
      <c r="R10730"/>
      <c r="W10730" s="4"/>
      <c r="X10730" s="4"/>
      <c r="Y10730" s="4"/>
    </row>
    <row r="10731" spans="5:25">
      <c r="E10731"/>
      <c r="G10731"/>
      <c r="H10731"/>
      <c r="I10731"/>
      <c r="K10731"/>
      <c r="O10731"/>
      <c r="R10731"/>
      <c r="W10731" s="4"/>
      <c r="X10731" s="4"/>
      <c r="Y10731" s="4"/>
    </row>
    <row r="10732" spans="5:25">
      <c r="E10732"/>
      <c r="G10732"/>
      <c r="H10732"/>
      <c r="I10732"/>
      <c r="K10732"/>
      <c r="O10732"/>
      <c r="R10732"/>
      <c r="W10732" s="4"/>
      <c r="X10732" s="4"/>
      <c r="Y10732" s="4"/>
    </row>
    <row r="10733" spans="5:25">
      <c r="E10733"/>
      <c r="G10733"/>
      <c r="H10733"/>
      <c r="I10733"/>
      <c r="K10733"/>
      <c r="O10733"/>
      <c r="R10733"/>
      <c r="W10733" s="4"/>
      <c r="X10733" s="4"/>
      <c r="Y10733" s="4"/>
    </row>
    <row r="10734" spans="5:25">
      <c r="E10734"/>
      <c r="G10734"/>
      <c r="H10734"/>
      <c r="I10734"/>
      <c r="K10734"/>
      <c r="O10734"/>
      <c r="R10734"/>
      <c r="W10734" s="4"/>
      <c r="X10734" s="4"/>
      <c r="Y10734" s="4"/>
    </row>
    <row r="10735" spans="5:25">
      <c r="E10735"/>
      <c r="G10735"/>
      <c r="H10735"/>
      <c r="I10735"/>
      <c r="K10735"/>
      <c r="O10735"/>
      <c r="R10735"/>
      <c r="W10735" s="4"/>
      <c r="X10735" s="4"/>
      <c r="Y10735" s="4"/>
    </row>
    <row r="10736" spans="5:25">
      <c r="E10736"/>
      <c r="G10736"/>
      <c r="H10736"/>
      <c r="I10736"/>
      <c r="K10736"/>
      <c r="O10736"/>
      <c r="R10736"/>
      <c r="W10736" s="4"/>
      <c r="X10736" s="4"/>
      <c r="Y10736" s="4"/>
    </row>
    <row r="10737" spans="5:25">
      <c r="E10737"/>
      <c r="G10737"/>
      <c r="H10737"/>
      <c r="I10737"/>
      <c r="K10737"/>
      <c r="O10737"/>
      <c r="R10737"/>
      <c r="W10737" s="4"/>
      <c r="X10737" s="4"/>
      <c r="Y10737" s="4"/>
    </row>
    <row r="10738" spans="5:25">
      <c r="E10738"/>
      <c r="G10738"/>
      <c r="H10738"/>
      <c r="I10738"/>
      <c r="K10738"/>
      <c r="O10738"/>
      <c r="R10738"/>
      <c r="W10738" s="4"/>
      <c r="X10738" s="4"/>
      <c r="Y10738" s="4"/>
    </row>
    <row r="10739" spans="5:25">
      <c r="E10739"/>
      <c r="G10739"/>
      <c r="H10739"/>
      <c r="I10739"/>
      <c r="K10739"/>
      <c r="O10739"/>
      <c r="R10739"/>
      <c r="W10739" s="4"/>
      <c r="X10739" s="4"/>
      <c r="Y10739" s="4"/>
    </row>
    <row r="10740" spans="5:25">
      <c r="E10740"/>
      <c r="G10740"/>
      <c r="H10740"/>
      <c r="I10740"/>
      <c r="K10740"/>
      <c r="O10740"/>
      <c r="R10740"/>
      <c r="W10740" s="4"/>
      <c r="X10740" s="4"/>
      <c r="Y10740" s="4"/>
    </row>
    <row r="10741" spans="5:25">
      <c r="E10741"/>
      <c r="G10741"/>
      <c r="H10741"/>
      <c r="I10741"/>
      <c r="K10741"/>
      <c r="O10741"/>
      <c r="R10741"/>
      <c r="W10741" s="4"/>
      <c r="X10741" s="4"/>
      <c r="Y10741" s="4"/>
    </row>
    <row r="10742" spans="5:25">
      <c r="E10742"/>
      <c r="G10742"/>
      <c r="H10742"/>
      <c r="I10742"/>
      <c r="K10742"/>
      <c r="O10742"/>
      <c r="R10742"/>
      <c r="W10742" s="4"/>
      <c r="X10742" s="4"/>
      <c r="Y10742" s="4"/>
    </row>
    <row r="10743" spans="5:25">
      <c r="E10743"/>
      <c r="G10743"/>
      <c r="H10743"/>
      <c r="I10743"/>
      <c r="K10743"/>
      <c r="O10743"/>
      <c r="R10743"/>
      <c r="W10743" s="4"/>
      <c r="X10743" s="4"/>
      <c r="Y10743" s="4"/>
    </row>
    <row r="10744" spans="5:25">
      <c r="E10744"/>
      <c r="G10744"/>
      <c r="H10744"/>
      <c r="I10744"/>
      <c r="K10744"/>
      <c r="O10744"/>
      <c r="R10744"/>
      <c r="W10744" s="4"/>
      <c r="X10744" s="4"/>
      <c r="Y10744" s="4"/>
    </row>
    <row r="10745" spans="5:25">
      <c r="E10745"/>
      <c r="G10745"/>
      <c r="H10745"/>
      <c r="I10745"/>
      <c r="K10745"/>
      <c r="O10745"/>
      <c r="R10745"/>
      <c r="W10745" s="4"/>
      <c r="X10745" s="4"/>
      <c r="Y10745" s="4"/>
    </row>
    <row r="10746" spans="5:25">
      <c r="E10746"/>
      <c r="G10746"/>
      <c r="H10746"/>
      <c r="I10746"/>
      <c r="K10746"/>
      <c r="O10746"/>
      <c r="R10746"/>
      <c r="W10746" s="4"/>
      <c r="X10746" s="4"/>
      <c r="Y10746" s="4"/>
    </row>
    <row r="10747" spans="5:25">
      <c r="E10747"/>
      <c r="G10747"/>
      <c r="H10747"/>
      <c r="I10747"/>
      <c r="K10747"/>
      <c r="O10747"/>
      <c r="R10747"/>
      <c r="W10747" s="4"/>
      <c r="X10747" s="4"/>
      <c r="Y10747" s="4"/>
    </row>
    <row r="10748" spans="5:25">
      <c r="E10748"/>
      <c r="G10748"/>
      <c r="H10748"/>
      <c r="I10748"/>
      <c r="K10748"/>
      <c r="O10748"/>
      <c r="R10748"/>
      <c r="W10748" s="4"/>
      <c r="X10748" s="4"/>
      <c r="Y10748" s="4"/>
    </row>
    <row r="10749" spans="5:25">
      <c r="E10749"/>
      <c r="G10749"/>
      <c r="H10749"/>
      <c r="I10749"/>
      <c r="K10749"/>
      <c r="O10749"/>
      <c r="R10749"/>
      <c r="W10749" s="4"/>
      <c r="X10749" s="4"/>
      <c r="Y10749" s="4"/>
    </row>
    <row r="10750" spans="5:25">
      <c r="E10750"/>
      <c r="G10750"/>
      <c r="H10750"/>
      <c r="I10750"/>
      <c r="K10750"/>
      <c r="O10750"/>
      <c r="R10750"/>
      <c r="W10750" s="4"/>
      <c r="X10750" s="4"/>
      <c r="Y10750" s="4"/>
    </row>
    <row r="10751" spans="5:25">
      <c r="E10751"/>
      <c r="G10751"/>
      <c r="H10751"/>
      <c r="I10751"/>
      <c r="K10751"/>
      <c r="O10751"/>
      <c r="R10751"/>
      <c r="W10751" s="4"/>
      <c r="X10751" s="4"/>
      <c r="Y10751" s="4"/>
    </row>
    <row r="10752" spans="5:25">
      <c r="E10752"/>
      <c r="G10752"/>
      <c r="H10752"/>
      <c r="I10752"/>
      <c r="K10752"/>
      <c r="O10752"/>
      <c r="R10752"/>
      <c r="W10752" s="4"/>
      <c r="X10752" s="4"/>
      <c r="Y10752" s="4"/>
    </row>
    <row r="10753" spans="5:25">
      <c r="E10753"/>
      <c r="G10753"/>
      <c r="H10753"/>
      <c r="I10753"/>
      <c r="K10753"/>
      <c r="O10753"/>
      <c r="R10753"/>
      <c r="W10753" s="4"/>
      <c r="X10753" s="4"/>
      <c r="Y10753" s="4"/>
    </row>
    <row r="10754" spans="5:25">
      <c r="E10754"/>
      <c r="G10754"/>
      <c r="H10754"/>
      <c r="I10754"/>
      <c r="K10754"/>
      <c r="O10754"/>
      <c r="R10754"/>
      <c r="W10754" s="4"/>
      <c r="X10754" s="4"/>
      <c r="Y10754" s="4"/>
    </row>
    <row r="10755" spans="5:25">
      <c r="E10755"/>
      <c r="G10755"/>
      <c r="H10755"/>
      <c r="I10755"/>
      <c r="K10755"/>
      <c r="O10755"/>
      <c r="R10755"/>
      <c r="W10755" s="4"/>
      <c r="X10755" s="4"/>
      <c r="Y10755" s="4"/>
    </row>
    <row r="10756" spans="5:25">
      <c r="E10756"/>
      <c r="G10756"/>
      <c r="H10756"/>
      <c r="I10756"/>
      <c r="K10756"/>
      <c r="O10756"/>
      <c r="R10756"/>
      <c r="W10756" s="4"/>
      <c r="X10756" s="4"/>
      <c r="Y10756" s="4"/>
    </row>
    <row r="10757" spans="5:25">
      <c r="E10757"/>
      <c r="G10757"/>
      <c r="H10757"/>
      <c r="I10757"/>
      <c r="K10757"/>
      <c r="O10757"/>
      <c r="R10757"/>
      <c r="W10757" s="4"/>
      <c r="X10757" s="4"/>
      <c r="Y10757" s="4"/>
    </row>
    <row r="10758" spans="5:25">
      <c r="E10758"/>
      <c r="G10758"/>
      <c r="H10758"/>
      <c r="I10758"/>
      <c r="K10758"/>
      <c r="O10758"/>
      <c r="R10758"/>
      <c r="W10758" s="4"/>
      <c r="X10758" s="4"/>
      <c r="Y10758" s="4"/>
    </row>
    <row r="10759" spans="5:25">
      <c r="E10759"/>
      <c r="G10759"/>
      <c r="H10759"/>
      <c r="I10759"/>
      <c r="K10759"/>
      <c r="O10759"/>
      <c r="R10759"/>
      <c r="W10759" s="4"/>
      <c r="X10759" s="4"/>
      <c r="Y10759" s="4"/>
    </row>
    <row r="10760" spans="5:25">
      <c r="E10760"/>
      <c r="G10760"/>
      <c r="H10760"/>
      <c r="I10760"/>
      <c r="K10760"/>
      <c r="O10760"/>
      <c r="R10760"/>
      <c r="W10760" s="4"/>
      <c r="X10760" s="4"/>
      <c r="Y10760" s="4"/>
    </row>
    <row r="10761" spans="5:25">
      <c r="E10761"/>
      <c r="G10761"/>
      <c r="H10761"/>
      <c r="I10761"/>
      <c r="K10761"/>
      <c r="O10761"/>
      <c r="R10761"/>
      <c r="W10761" s="4"/>
      <c r="X10761" s="4"/>
      <c r="Y10761" s="4"/>
    </row>
    <row r="10762" spans="5:25">
      <c r="E10762"/>
      <c r="G10762"/>
      <c r="H10762"/>
      <c r="I10762"/>
      <c r="K10762"/>
      <c r="O10762"/>
      <c r="R10762"/>
      <c r="W10762" s="4"/>
      <c r="X10762" s="4"/>
      <c r="Y10762" s="4"/>
    </row>
    <row r="10763" spans="5:25">
      <c r="E10763"/>
      <c r="G10763"/>
      <c r="H10763"/>
      <c r="I10763"/>
      <c r="K10763"/>
      <c r="O10763"/>
      <c r="R10763"/>
      <c r="W10763" s="4"/>
      <c r="X10763" s="4"/>
      <c r="Y10763" s="4"/>
    </row>
    <row r="10764" spans="5:25">
      <c r="E10764"/>
      <c r="G10764"/>
      <c r="H10764"/>
      <c r="I10764"/>
      <c r="K10764"/>
      <c r="O10764"/>
      <c r="R10764"/>
      <c r="W10764" s="4"/>
      <c r="X10764" s="4"/>
      <c r="Y10764" s="4"/>
    </row>
    <row r="10765" spans="5:25">
      <c r="E10765"/>
      <c r="G10765"/>
      <c r="H10765"/>
      <c r="I10765"/>
      <c r="K10765"/>
      <c r="O10765"/>
      <c r="R10765"/>
      <c r="W10765" s="4"/>
      <c r="X10765" s="4"/>
      <c r="Y10765" s="4"/>
    </row>
    <row r="10766" spans="5:25">
      <c r="E10766"/>
      <c r="G10766"/>
      <c r="H10766"/>
      <c r="I10766"/>
      <c r="K10766"/>
      <c r="O10766"/>
      <c r="R10766"/>
      <c r="W10766" s="4"/>
      <c r="X10766" s="4"/>
      <c r="Y10766" s="4"/>
    </row>
    <row r="10767" spans="5:25">
      <c r="E10767"/>
      <c r="G10767"/>
      <c r="H10767"/>
      <c r="I10767"/>
      <c r="K10767"/>
      <c r="O10767"/>
      <c r="R10767"/>
      <c r="W10767" s="4"/>
      <c r="X10767" s="4"/>
      <c r="Y10767" s="4"/>
    </row>
    <row r="10768" spans="5:25">
      <c r="E10768"/>
      <c r="G10768"/>
      <c r="H10768"/>
      <c r="I10768"/>
      <c r="K10768"/>
      <c r="O10768"/>
      <c r="R10768"/>
      <c r="W10768" s="4"/>
      <c r="X10768" s="4"/>
      <c r="Y10768" s="4"/>
    </row>
    <row r="10769" spans="5:25">
      <c r="E10769"/>
      <c r="G10769"/>
      <c r="H10769"/>
      <c r="I10769"/>
      <c r="K10769"/>
      <c r="O10769"/>
      <c r="R10769"/>
      <c r="W10769" s="4"/>
      <c r="X10769" s="4"/>
      <c r="Y10769" s="4"/>
    </row>
    <row r="10770" spans="5:25">
      <c r="E10770"/>
      <c r="G10770"/>
      <c r="H10770"/>
      <c r="I10770"/>
      <c r="K10770"/>
      <c r="O10770"/>
      <c r="R10770"/>
      <c r="W10770" s="4"/>
      <c r="X10770" s="4"/>
      <c r="Y10770" s="4"/>
    </row>
    <row r="10771" spans="5:25">
      <c r="E10771"/>
      <c r="G10771"/>
      <c r="H10771"/>
      <c r="I10771"/>
      <c r="K10771"/>
      <c r="O10771"/>
      <c r="R10771"/>
      <c r="W10771" s="4"/>
      <c r="X10771" s="4"/>
      <c r="Y10771" s="4"/>
    </row>
    <row r="10772" spans="5:25">
      <c r="E10772"/>
      <c r="G10772"/>
      <c r="H10772"/>
      <c r="I10772"/>
      <c r="K10772"/>
      <c r="O10772"/>
      <c r="R10772"/>
      <c r="W10772" s="4"/>
      <c r="X10772" s="4"/>
      <c r="Y10772" s="4"/>
    </row>
    <row r="10773" spans="5:25">
      <c r="E10773"/>
      <c r="G10773"/>
      <c r="H10773"/>
      <c r="I10773"/>
      <c r="K10773"/>
      <c r="O10773"/>
      <c r="R10773"/>
      <c r="W10773" s="4"/>
      <c r="X10773" s="4"/>
      <c r="Y10773" s="4"/>
    </row>
    <row r="10774" spans="5:25">
      <c r="E10774"/>
      <c r="G10774"/>
      <c r="H10774"/>
      <c r="I10774"/>
      <c r="K10774"/>
      <c r="O10774"/>
      <c r="R10774"/>
      <c r="W10774" s="4"/>
      <c r="X10774" s="4"/>
      <c r="Y10774" s="4"/>
    </row>
    <row r="10775" spans="5:25">
      <c r="E10775"/>
      <c r="G10775"/>
      <c r="H10775"/>
      <c r="I10775"/>
      <c r="K10775"/>
      <c r="O10775"/>
      <c r="R10775"/>
      <c r="W10775" s="4"/>
      <c r="X10775" s="4"/>
      <c r="Y10775" s="4"/>
    </row>
    <row r="10776" spans="5:25">
      <c r="E10776"/>
      <c r="G10776"/>
      <c r="H10776"/>
      <c r="I10776"/>
      <c r="K10776"/>
      <c r="O10776"/>
      <c r="R10776"/>
      <c r="W10776" s="4"/>
      <c r="X10776" s="4"/>
      <c r="Y10776" s="4"/>
    </row>
    <row r="10777" spans="5:25">
      <c r="E10777"/>
      <c r="G10777"/>
      <c r="H10777"/>
      <c r="I10777"/>
      <c r="K10777"/>
      <c r="O10777"/>
      <c r="R10777"/>
      <c r="W10777" s="4"/>
      <c r="X10777" s="4"/>
      <c r="Y10777" s="4"/>
    </row>
    <row r="10778" spans="5:25">
      <c r="E10778"/>
      <c r="G10778"/>
      <c r="H10778"/>
      <c r="I10778"/>
      <c r="K10778"/>
      <c r="O10778"/>
      <c r="R10778"/>
      <c r="W10778" s="4"/>
      <c r="X10778" s="4"/>
      <c r="Y10778" s="4"/>
    </row>
    <row r="10779" spans="5:25">
      <c r="E10779"/>
      <c r="G10779"/>
      <c r="H10779"/>
      <c r="I10779"/>
      <c r="K10779"/>
      <c r="O10779"/>
      <c r="R10779"/>
      <c r="W10779" s="4"/>
      <c r="X10779" s="4"/>
      <c r="Y10779" s="4"/>
    </row>
    <row r="10780" spans="5:25">
      <c r="E10780"/>
      <c r="G10780"/>
      <c r="H10780"/>
      <c r="I10780"/>
      <c r="K10780"/>
      <c r="O10780"/>
      <c r="R10780"/>
      <c r="W10780" s="4"/>
      <c r="X10780" s="4"/>
      <c r="Y10780" s="4"/>
    </row>
    <row r="10781" spans="5:25">
      <c r="E10781"/>
      <c r="G10781"/>
      <c r="H10781"/>
      <c r="I10781"/>
      <c r="K10781"/>
      <c r="O10781"/>
      <c r="R10781"/>
      <c r="W10781" s="4"/>
      <c r="X10781" s="4"/>
      <c r="Y10781" s="4"/>
    </row>
    <row r="10782" spans="5:25">
      <c r="E10782"/>
      <c r="G10782"/>
      <c r="H10782"/>
      <c r="I10782"/>
      <c r="K10782"/>
      <c r="O10782"/>
      <c r="R10782"/>
      <c r="W10782" s="4"/>
      <c r="X10782" s="4"/>
      <c r="Y10782" s="4"/>
    </row>
    <row r="10783" spans="5:25">
      <c r="E10783"/>
      <c r="G10783"/>
      <c r="H10783"/>
      <c r="I10783"/>
      <c r="K10783"/>
      <c r="O10783"/>
      <c r="R10783"/>
      <c r="W10783" s="4"/>
      <c r="X10783" s="4"/>
      <c r="Y10783" s="4"/>
    </row>
    <row r="10784" spans="5:25">
      <c r="E10784"/>
      <c r="G10784"/>
      <c r="H10784"/>
      <c r="I10784"/>
      <c r="K10784"/>
      <c r="O10784"/>
      <c r="R10784"/>
      <c r="W10784" s="4"/>
      <c r="X10784" s="4"/>
      <c r="Y10784" s="4"/>
    </row>
    <row r="10785" spans="5:25">
      <c r="E10785"/>
      <c r="G10785"/>
      <c r="H10785"/>
      <c r="I10785"/>
      <c r="K10785"/>
      <c r="O10785"/>
      <c r="R10785"/>
      <c r="W10785" s="4"/>
      <c r="X10785" s="4"/>
      <c r="Y10785" s="4"/>
    </row>
    <row r="10786" spans="5:25">
      <c r="E10786"/>
      <c r="G10786"/>
      <c r="H10786"/>
      <c r="I10786"/>
      <c r="K10786"/>
      <c r="O10786"/>
      <c r="R10786"/>
      <c r="W10786" s="4"/>
      <c r="X10786" s="4"/>
      <c r="Y10786" s="4"/>
    </row>
    <row r="10787" spans="5:25">
      <c r="E10787"/>
      <c r="G10787"/>
      <c r="H10787"/>
      <c r="I10787"/>
      <c r="K10787"/>
      <c r="O10787"/>
      <c r="R10787"/>
      <c r="W10787" s="4"/>
      <c r="X10787" s="4"/>
      <c r="Y10787" s="4"/>
    </row>
    <row r="10788" spans="5:25">
      <c r="E10788"/>
      <c r="G10788"/>
      <c r="H10788"/>
      <c r="I10788"/>
      <c r="K10788"/>
      <c r="O10788"/>
      <c r="R10788"/>
      <c r="W10788" s="4"/>
      <c r="X10788" s="4"/>
      <c r="Y10788" s="4"/>
    </row>
    <row r="10789" spans="5:25">
      <c r="E10789"/>
      <c r="G10789"/>
      <c r="H10789"/>
      <c r="I10789"/>
      <c r="K10789"/>
      <c r="O10789"/>
      <c r="R10789"/>
      <c r="W10789" s="4"/>
      <c r="X10789" s="4"/>
      <c r="Y10789" s="4"/>
    </row>
    <row r="10790" spans="5:25">
      <c r="E10790"/>
      <c r="G10790"/>
      <c r="H10790"/>
      <c r="I10790"/>
      <c r="K10790"/>
      <c r="O10790"/>
      <c r="R10790"/>
      <c r="W10790" s="4"/>
      <c r="X10790" s="4"/>
      <c r="Y10790" s="4"/>
    </row>
    <row r="10791" spans="5:25">
      <c r="E10791"/>
      <c r="G10791"/>
      <c r="H10791"/>
      <c r="I10791"/>
      <c r="K10791"/>
      <c r="O10791"/>
      <c r="R10791"/>
      <c r="W10791" s="4"/>
      <c r="X10791" s="4"/>
      <c r="Y10791" s="4"/>
    </row>
    <row r="10792" spans="5:25">
      <c r="E10792"/>
      <c r="G10792"/>
      <c r="H10792"/>
      <c r="I10792"/>
      <c r="K10792"/>
      <c r="O10792"/>
      <c r="R10792"/>
      <c r="W10792" s="4"/>
      <c r="X10792" s="4"/>
      <c r="Y10792" s="4"/>
    </row>
    <row r="10793" spans="5:25">
      <c r="E10793"/>
      <c r="G10793"/>
      <c r="H10793"/>
      <c r="I10793"/>
      <c r="K10793"/>
      <c r="O10793"/>
      <c r="R10793"/>
      <c r="W10793" s="4"/>
      <c r="X10793" s="4"/>
      <c r="Y10793" s="4"/>
    </row>
    <row r="10794" spans="5:25">
      <c r="E10794"/>
      <c r="G10794"/>
      <c r="H10794"/>
      <c r="I10794"/>
      <c r="K10794"/>
      <c r="O10794"/>
      <c r="R10794"/>
      <c r="W10794" s="4"/>
      <c r="X10794" s="4"/>
      <c r="Y10794" s="4"/>
    </row>
    <row r="10795" spans="5:25">
      <c r="E10795"/>
      <c r="G10795"/>
      <c r="H10795"/>
      <c r="I10795"/>
      <c r="K10795"/>
      <c r="O10795"/>
      <c r="R10795"/>
      <c r="W10795" s="4"/>
      <c r="X10795" s="4"/>
      <c r="Y10795" s="4"/>
    </row>
    <row r="10796" spans="5:25">
      <c r="E10796"/>
      <c r="G10796"/>
      <c r="H10796"/>
      <c r="I10796"/>
      <c r="K10796"/>
      <c r="O10796"/>
      <c r="R10796"/>
      <c r="W10796" s="4"/>
      <c r="X10796" s="4"/>
      <c r="Y10796" s="4"/>
    </row>
    <row r="10797" spans="5:25">
      <c r="E10797"/>
      <c r="G10797"/>
      <c r="H10797"/>
      <c r="I10797"/>
      <c r="K10797"/>
      <c r="O10797"/>
      <c r="R10797"/>
      <c r="W10797" s="4"/>
      <c r="X10797" s="4"/>
      <c r="Y10797" s="4"/>
    </row>
    <row r="10798" spans="5:25">
      <c r="E10798"/>
      <c r="G10798"/>
      <c r="H10798"/>
      <c r="I10798"/>
      <c r="K10798"/>
      <c r="O10798"/>
      <c r="R10798"/>
      <c r="W10798" s="4"/>
      <c r="X10798" s="4"/>
      <c r="Y10798" s="4"/>
    </row>
    <row r="10799" spans="5:25">
      <c r="E10799"/>
      <c r="G10799"/>
      <c r="H10799"/>
      <c r="I10799"/>
      <c r="K10799"/>
      <c r="O10799"/>
      <c r="R10799"/>
      <c r="W10799" s="4"/>
      <c r="X10799" s="4"/>
      <c r="Y10799" s="4"/>
    </row>
    <row r="10800" spans="5:25">
      <c r="E10800"/>
      <c r="G10800"/>
      <c r="H10800"/>
      <c r="I10800"/>
      <c r="K10800"/>
      <c r="O10800"/>
      <c r="R10800"/>
      <c r="W10800" s="4"/>
      <c r="X10800" s="4"/>
      <c r="Y10800" s="4"/>
    </row>
    <row r="10801" spans="5:25">
      <c r="E10801"/>
      <c r="G10801"/>
      <c r="H10801"/>
      <c r="I10801"/>
      <c r="K10801"/>
      <c r="O10801"/>
      <c r="R10801"/>
      <c r="W10801" s="4"/>
      <c r="X10801" s="4"/>
      <c r="Y10801" s="4"/>
    </row>
    <row r="10802" spans="5:25">
      <c r="E10802"/>
      <c r="G10802"/>
      <c r="H10802"/>
      <c r="I10802"/>
      <c r="K10802"/>
      <c r="O10802"/>
      <c r="R10802"/>
      <c r="W10802" s="4"/>
      <c r="X10802" s="4"/>
      <c r="Y10802" s="4"/>
    </row>
    <row r="10803" spans="5:25">
      <c r="E10803"/>
      <c r="G10803"/>
      <c r="H10803"/>
      <c r="I10803"/>
      <c r="K10803"/>
      <c r="O10803"/>
      <c r="R10803"/>
      <c r="W10803" s="4"/>
      <c r="X10803" s="4"/>
      <c r="Y10803" s="4"/>
    </row>
    <row r="10804" spans="5:25">
      <c r="E10804"/>
      <c r="G10804"/>
      <c r="H10804"/>
      <c r="I10804"/>
      <c r="K10804"/>
      <c r="O10804"/>
      <c r="R10804"/>
      <c r="W10804" s="4"/>
      <c r="X10804" s="4"/>
      <c r="Y10804" s="4"/>
    </row>
    <row r="10805" spans="5:25">
      <c r="E10805"/>
      <c r="G10805"/>
      <c r="H10805"/>
      <c r="I10805"/>
      <c r="K10805"/>
      <c r="O10805"/>
      <c r="R10805"/>
      <c r="W10805" s="4"/>
      <c r="X10805" s="4"/>
      <c r="Y10805" s="4"/>
    </row>
    <row r="10806" spans="5:25">
      <c r="E10806"/>
      <c r="G10806"/>
      <c r="H10806"/>
      <c r="I10806"/>
      <c r="K10806"/>
      <c r="O10806"/>
      <c r="R10806"/>
      <c r="W10806" s="4"/>
      <c r="X10806" s="4"/>
      <c r="Y10806" s="4"/>
    </row>
    <row r="10807" spans="5:25">
      <c r="E10807"/>
      <c r="G10807"/>
      <c r="H10807"/>
      <c r="I10807"/>
      <c r="K10807"/>
      <c r="O10807"/>
      <c r="R10807"/>
      <c r="W10807" s="4"/>
      <c r="X10807" s="4"/>
      <c r="Y10807" s="4"/>
    </row>
    <row r="10808" spans="5:25">
      <c r="E10808"/>
      <c r="G10808"/>
      <c r="H10808"/>
      <c r="I10808"/>
      <c r="K10808"/>
      <c r="O10808"/>
      <c r="R10808"/>
      <c r="W10808" s="4"/>
      <c r="X10808" s="4"/>
      <c r="Y10808" s="4"/>
    </row>
    <row r="10809" spans="5:25">
      <c r="E10809"/>
      <c r="G10809"/>
      <c r="H10809"/>
      <c r="I10809"/>
      <c r="K10809"/>
      <c r="O10809"/>
      <c r="R10809"/>
      <c r="W10809" s="4"/>
      <c r="X10809" s="4"/>
      <c r="Y10809" s="4"/>
    </row>
    <row r="10810" spans="5:25">
      <c r="E10810"/>
      <c r="G10810"/>
      <c r="H10810"/>
      <c r="I10810"/>
      <c r="K10810"/>
      <c r="O10810"/>
      <c r="R10810"/>
      <c r="W10810" s="4"/>
      <c r="X10810" s="4"/>
      <c r="Y10810" s="4"/>
    </row>
    <row r="10811" spans="5:25">
      <c r="E10811"/>
      <c r="G10811"/>
      <c r="H10811"/>
      <c r="I10811"/>
      <c r="K10811"/>
      <c r="O10811"/>
      <c r="R10811"/>
      <c r="W10811" s="4"/>
      <c r="X10811" s="4"/>
      <c r="Y10811" s="4"/>
    </row>
    <row r="10812" spans="5:25">
      <c r="E10812"/>
      <c r="G10812"/>
      <c r="H10812"/>
      <c r="I10812"/>
      <c r="K10812"/>
      <c r="O10812"/>
      <c r="R10812"/>
      <c r="W10812" s="4"/>
      <c r="X10812" s="4"/>
      <c r="Y10812" s="4"/>
    </row>
    <row r="10813" spans="5:25">
      <c r="E10813"/>
      <c r="G10813"/>
      <c r="H10813"/>
      <c r="I10813"/>
      <c r="K10813"/>
      <c r="O10813"/>
      <c r="R10813"/>
      <c r="W10813" s="4"/>
      <c r="X10813" s="4"/>
      <c r="Y10813" s="4"/>
    </row>
    <row r="10814" spans="5:25">
      <c r="E10814"/>
      <c r="G10814"/>
      <c r="H10814"/>
      <c r="I10814"/>
      <c r="K10814"/>
      <c r="O10814"/>
      <c r="R10814"/>
      <c r="W10814" s="4"/>
      <c r="X10814" s="4"/>
      <c r="Y10814" s="4"/>
    </row>
    <row r="10815" spans="5:25">
      <c r="E10815"/>
      <c r="G10815"/>
      <c r="H10815"/>
      <c r="I10815"/>
      <c r="K10815"/>
      <c r="O10815"/>
      <c r="R10815"/>
      <c r="W10815" s="4"/>
      <c r="X10815" s="4"/>
      <c r="Y10815" s="4"/>
    </row>
    <row r="10816" spans="5:25">
      <c r="E10816"/>
      <c r="G10816"/>
      <c r="H10816"/>
      <c r="I10816"/>
      <c r="K10816"/>
      <c r="O10816"/>
      <c r="R10816"/>
      <c r="W10816" s="4"/>
      <c r="X10816" s="4"/>
      <c r="Y10816" s="4"/>
    </row>
    <row r="10817" spans="5:25">
      <c r="E10817"/>
      <c r="G10817"/>
      <c r="H10817"/>
      <c r="I10817"/>
      <c r="K10817"/>
      <c r="O10817"/>
      <c r="R10817"/>
      <c r="W10817" s="4"/>
      <c r="X10817" s="4"/>
      <c r="Y10817" s="4"/>
    </row>
    <row r="10818" spans="5:25">
      <c r="E10818"/>
      <c r="G10818"/>
      <c r="H10818"/>
      <c r="I10818"/>
      <c r="K10818"/>
      <c r="O10818"/>
      <c r="R10818"/>
      <c r="W10818" s="4"/>
      <c r="X10818" s="4"/>
      <c r="Y10818" s="4"/>
    </row>
    <row r="10819" spans="5:25">
      <c r="E10819"/>
      <c r="G10819"/>
      <c r="H10819"/>
      <c r="I10819"/>
      <c r="K10819"/>
      <c r="O10819"/>
      <c r="R10819"/>
      <c r="W10819" s="4"/>
      <c r="X10819" s="4"/>
      <c r="Y10819" s="4"/>
    </row>
    <row r="10820" spans="5:25">
      <c r="E10820"/>
      <c r="G10820"/>
      <c r="H10820"/>
      <c r="I10820"/>
      <c r="K10820"/>
      <c r="O10820"/>
      <c r="R10820"/>
      <c r="W10820" s="4"/>
      <c r="X10820" s="4"/>
      <c r="Y10820" s="4"/>
    </row>
    <row r="10821" spans="5:25">
      <c r="E10821"/>
      <c r="G10821"/>
      <c r="H10821"/>
      <c r="I10821"/>
      <c r="K10821"/>
      <c r="O10821"/>
      <c r="R10821"/>
      <c r="W10821" s="4"/>
      <c r="X10821" s="4"/>
      <c r="Y10821" s="4"/>
    </row>
    <row r="10822" spans="5:25">
      <c r="E10822"/>
      <c r="G10822"/>
      <c r="H10822"/>
      <c r="I10822"/>
      <c r="K10822"/>
      <c r="O10822"/>
      <c r="R10822"/>
      <c r="W10822" s="4"/>
      <c r="X10822" s="4"/>
      <c r="Y10822" s="4"/>
    </row>
    <row r="10823" spans="5:25">
      <c r="E10823"/>
      <c r="G10823"/>
      <c r="H10823"/>
      <c r="I10823"/>
      <c r="K10823"/>
      <c r="O10823"/>
      <c r="R10823"/>
      <c r="W10823" s="4"/>
      <c r="X10823" s="4"/>
      <c r="Y10823" s="4"/>
    </row>
    <row r="10824" spans="5:25">
      <c r="E10824"/>
      <c r="G10824"/>
      <c r="H10824"/>
      <c r="I10824"/>
      <c r="K10824"/>
      <c r="O10824"/>
      <c r="R10824"/>
      <c r="W10824" s="4"/>
      <c r="X10824" s="4"/>
      <c r="Y10824" s="4"/>
    </row>
    <row r="10825" spans="5:25">
      <c r="E10825"/>
      <c r="G10825"/>
      <c r="H10825"/>
      <c r="I10825"/>
      <c r="K10825"/>
      <c r="O10825"/>
      <c r="R10825"/>
      <c r="W10825" s="4"/>
      <c r="X10825" s="4"/>
      <c r="Y10825" s="4"/>
    </row>
    <row r="10826" spans="5:25">
      <c r="E10826"/>
      <c r="G10826"/>
      <c r="H10826"/>
      <c r="I10826"/>
      <c r="K10826"/>
      <c r="O10826"/>
      <c r="R10826"/>
      <c r="W10826" s="4"/>
      <c r="X10826" s="4"/>
      <c r="Y10826" s="4"/>
    </row>
    <row r="10827" spans="5:25">
      <c r="E10827"/>
      <c r="G10827"/>
      <c r="H10827"/>
      <c r="I10827"/>
      <c r="K10827"/>
      <c r="O10827"/>
      <c r="R10827"/>
      <c r="W10827" s="4"/>
      <c r="X10827" s="4"/>
      <c r="Y10827" s="4"/>
    </row>
    <row r="10828" spans="5:25">
      <c r="E10828"/>
      <c r="G10828"/>
      <c r="H10828"/>
      <c r="I10828"/>
      <c r="K10828"/>
      <c r="O10828"/>
      <c r="R10828"/>
      <c r="W10828" s="4"/>
      <c r="X10828" s="4"/>
      <c r="Y10828" s="4"/>
    </row>
    <row r="10829" spans="5:25">
      <c r="E10829"/>
      <c r="G10829"/>
      <c r="H10829"/>
      <c r="I10829"/>
      <c r="K10829"/>
      <c r="O10829"/>
      <c r="R10829"/>
      <c r="W10829" s="4"/>
      <c r="X10829" s="4"/>
      <c r="Y10829" s="4"/>
    </row>
    <row r="10830" spans="5:25">
      <c r="E10830"/>
      <c r="G10830"/>
      <c r="H10830"/>
      <c r="I10830"/>
      <c r="K10830"/>
      <c r="O10830"/>
      <c r="R10830"/>
      <c r="W10830" s="4"/>
      <c r="X10830" s="4"/>
      <c r="Y10830" s="4"/>
    </row>
    <row r="10831" spans="5:25">
      <c r="E10831"/>
      <c r="G10831"/>
      <c r="H10831"/>
      <c r="I10831"/>
      <c r="K10831"/>
      <c r="O10831"/>
      <c r="R10831"/>
      <c r="W10831" s="4"/>
      <c r="X10831" s="4"/>
      <c r="Y10831" s="4"/>
    </row>
    <row r="10832" spans="5:25">
      <c r="E10832"/>
      <c r="G10832"/>
      <c r="H10832"/>
      <c r="I10832"/>
      <c r="K10832"/>
      <c r="O10832"/>
      <c r="R10832"/>
      <c r="W10832" s="4"/>
      <c r="X10832" s="4"/>
      <c r="Y10832" s="4"/>
    </row>
    <row r="10833" spans="5:25">
      <c r="E10833"/>
      <c r="G10833"/>
      <c r="H10833"/>
      <c r="I10833"/>
      <c r="K10833"/>
      <c r="O10833"/>
      <c r="R10833"/>
      <c r="W10833" s="4"/>
      <c r="X10833" s="4"/>
      <c r="Y10833" s="4"/>
    </row>
    <row r="10834" spans="5:25">
      <c r="E10834"/>
      <c r="G10834"/>
      <c r="H10834"/>
      <c r="I10834"/>
      <c r="K10834"/>
      <c r="O10834"/>
      <c r="R10834"/>
      <c r="W10834" s="4"/>
      <c r="X10834" s="4"/>
      <c r="Y10834" s="4"/>
    </row>
    <row r="10835" spans="5:25">
      <c r="E10835"/>
      <c r="G10835"/>
      <c r="H10835"/>
      <c r="I10835"/>
      <c r="K10835"/>
      <c r="O10835"/>
      <c r="R10835"/>
      <c r="W10835" s="4"/>
      <c r="X10835" s="4"/>
      <c r="Y10835" s="4"/>
    </row>
    <row r="10836" spans="5:25">
      <c r="E10836"/>
      <c r="G10836"/>
      <c r="H10836"/>
      <c r="I10836"/>
      <c r="K10836"/>
      <c r="O10836"/>
      <c r="R10836"/>
      <c r="W10836" s="4"/>
      <c r="X10836" s="4"/>
      <c r="Y10836" s="4"/>
    </row>
    <row r="10837" spans="5:25">
      <c r="E10837"/>
      <c r="G10837"/>
      <c r="H10837"/>
      <c r="I10837"/>
      <c r="K10837"/>
      <c r="O10837"/>
      <c r="R10837"/>
      <c r="W10837" s="4"/>
      <c r="X10837" s="4"/>
      <c r="Y10837" s="4"/>
    </row>
    <row r="10838" spans="5:25">
      <c r="E10838"/>
      <c r="G10838"/>
      <c r="H10838"/>
      <c r="I10838"/>
      <c r="K10838"/>
      <c r="O10838"/>
      <c r="R10838"/>
      <c r="W10838" s="4"/>
      <c r="X10838" s="4"/>
      <c r="Y10838" s="4"/>
    </row>
    <row r="10839" spans="5:25">
      <c r="E10839"/>
      <c r="G10839"/>
      <c r="H10839"/>
      <c r="I10839"/>
      <c r="K10839"/>
      <c r="O10839"/>
      <c r="R10839"/>
      <c r="W10839" s="4"/>
      <c r="X10839" s="4"/>
      <c r="Y10839" s="4"/>
    </row>
    <row r="10840" spans="5:25">
      <c r="E10840"/>
      <c r="G10840"/>
      <c r="H10840"/>
      <c r="I10840"/>
      <c r="K10840"/>
      <c r="O10840"/>
      <c r="R10840"/>
      <c r="W10840" s="4"/>
      <c r="X10840" s="4"/>
      <c r="Y10840" s="4"/>
    </row>
    <row r="10841" spans="5:25">
      <c r="E10841"/>
      <c r="G10841"/>
      <c r="H10841"/>
      <c r="I10841"/>
      <c r="K10841"/>
      <c r="O10841"/>
      <c r="R10841"/>
      <c r="W10841" s="4"/>
      <c r="X10841" s="4"/>
      <c r="Y10841" s="4"/>
    </row>
    <row r="10842" spans="5:25">
      <c r="E10842"/>
      <c r="G10842"/>
      <c r="H10842"/>
      <c r="I10842"/>
      <c r="K10842"/>
      <c r="O10842"/>
      <c r="R10842"/>
      <c r="W10842" s="4"/>
      <c r="X10842" s="4"/>
      <c r="Y10842" s="4"/>
    </row>
    <row r="10843" spans="5:25">
      <c r="E10843"/>
      <c r="G10843"/>
      <c r="H10843"/>
      <c r="I10843"/>
      <c r="K10843"/>
      <c r="O10843"/>
      <c r="R10843"/>
      <c r="W10843" s="4"/>
      <c r="X10843" s="4"/>
      <c r="Y10843" s="4"/>
    </row>
    <row r="10844" spans="5:25">
      <c r="E10844"/>
      <c r="G10844"/>
      <c r="H10844"/>
      <c r="I10844"/>
      <c r="K10844"/>
      <c r="O10844"/>
      <c r="R10844"/>
      <c r="W10844" s="4"/>
      <c r="X10844" s="4"/>
      <c r="Y10844" s="4"/>
    </row>
    <row r="10845" spans="5:25">
      <c r="E10845"/>
      <c r="G10845"/>
      <c r="H10845"/>
      <c r="I10845"/>
      <c r="K10845"/>
      <c r="O10845"/>
      <c r="R10845"/>
      <c r="W10845" s="4"/>
      <c r="X10845" s="4"/>
      <c r="Y10845" s="4"/>
    </row>
    <row r="10846" spans="5:25">
      <c r="E10846"/>
      <c r="G10846"/>
      <c r="H10846"/>
      <c r="I10846"/>
      <c r="K10846"/>
      <c r="O10846"/>
      <c r="R10846"/>
      <c r="W10846" s="4"/>
      <c r="X10846" s="4"/>
      <c r="Y10846" s="4"/>
    </row>
    <row r="10847" spans="5:25">
      <c r="E10847"/>
      <c r="G10847"/>
      <c r="H10847"/>
      <c r="I10847"/>
      <c r="K10847"/>
      <c r="O10847"/>
      <c r="R10847"/>
      <c r="W10847" s="4"/>
      <c r="X10847" s="4"/>
      <c r="Y10847" s="4"/>
    </row>
    <row r="10848" spans="5:25">
      <c r="E10848"/>
      <c r="G10848"/>
      <c r="H10848"/>
      <c r="I10848"/>
      <c r="K10848"/>
      <c r="O10848"/>
      <c r="R10848"/>
      <c r="W10848" s="4"/>
      <c r="X10848" s="4"/>
      <c r="Y10848" s="4"/>
    </row>
    <row r="10849" spans="5:25">
      <c r="E10849"/>
      <c r="G10849"/>
      <c r="H10849"/>
      <c r="I10849"/>
      <c r="K10849"/>
      <c r="O10849"/>
      <c r="R10849"/>
      <c r="W10849" s="4"/>
      <c r="X10849" s="4"/>
      <c r="Y10849" s="4"/>
    </row>
    <row r="10850" spans="5:25">
      <c r="E10850"/>
      <c r="G10850"/>
      <c r="H10850"/>
      <c r="I10850"/>
      <c r="K10850"/>
      <c r="O10850"/>
      <c r="R10850"/>
      <c r="W10850" s="4"/>
      <c r="X10850" s="4"/>
      <c r="Y10850" s="4"/>
    </row>
    <row r="10851" spans="5:25">
      <c r="E10851"/>
      <c r="G10851"/>
      <c r="H10851"/>
      <c r="I10851"/>
      <c r="K10851"/>
      <c r="O10851"/>
      <c r="R10851"/>
      <c r="W10851" s="4"/>
      <c r="X10851" s="4"/>
      <c r="Y10851" s="4"/>
    </row>
    <row r="10852" spans="5:25">
      <c r="E10852"/>
      <c r="G10852"/>
      <c r="H10852"/>
      <c r="I10852"/>
      <c r="K10852"/>
      <c r="O10852"/>
      <c r="R10852"/>
      <c r="W10852" s="4"/>
      <c r="X10852" s="4"/>
      <c r="Y10852" s="4"/>
    </row>
    <row r="10853" spans="5:25">
      <c r="E10853"/>
      <c r="G10853"/>
      <c r="H10853"/>
      <c r="I10853"/>
      <c r="K10853"/>
      <c r="O10853"/>
      <c r="R10853"/>
      <c r="W10853" s="4"/>
      <c r="X10853" s="4"/>
      <c r="Y10853" s="4"/>
    </row>
    <row r="10854" spans="5:25">
      <c r="E10854"/>
      <c r="G10854"/>
      <c r="H10854"/>
      <c r="I10854"/>
      <c r="K10854"/>
      <c r="O10854"/>
      <c r="R10854"/>
      <c r="W10854" s="4"/>
      <c r="X10854" s="4"/>
      <c r="Y10854" s="4"/>
    </row>
    <row r="10855" spans="5:25">
      <c r="E10855"/>
      <c r="G10855"/>
      <c r="H10855"/>
      <c r="I10855"/>
      <c r="K10855"/>
      <c r="O10855"/>
      <c r="R10855"/>
      <c r="W10855" s="4"/>
      <c r="X10855" s="4"/>
      <c r="Y10855" s="4"/>
    </row>
    <row r="10856" spans="5:25">
      <c r="E10856"/>
      <c r="G10856"/>
      <c r="H10856"/>
      <c r="I10856"/>
      <c r="K10856"/>
      <c r="O10856"/>
      <c r="R10856"/>
      <c r="W10856" s="4"/>
      <c r="X10856" s="4"/>
      <c r="Y10856" s="4"/>
    </row>
    <row r="10857" spans="5:25">
      <c r="E10857"/>
      <c r="G10857"/>
      <c r="H10857"/>
      <c r="I10857"/>
      <c r="K10857"/>
      <c r="O10857"/>
      <c r="R10857"/>
      <c r="W10857" s="4"/>
      <c r="X10857" s="4"/>
      <c r="Y10857" s="4"/>
    </row>
    <row r="10858" spans="5:25">
      <c r="E10858"/>
      <c r="G10858"/>
      <c r="H10858"/>
      <c r="I10858"/>
      <c r="K10858"/>
      <c r="O10858"/>
      <c r="R10858"/>
      <c r="W10858" s="4"/>
      <c r="X10858" s="4"/>
      <c r="Y10858" s="4"/>
    </row>
    <row r="10859" spans="5:25">
      <c r="E10859"/>
      <c r="G10859"/>
      <c r="H10859"/>
      <c r="I10859"/>
      <c r="K10859"/>
      <c r="O10859"/>
      <c r="R10859"/>
      <c r="W10859" s="4"/>
      <c r="X10859" s="4"/>
      <c r="Y10859" s="4"/>
    </row>
    <row r="10860" spans="5:25">
      <c r="E10860"/>
      <c r="G10860"/>
      <c r="H10860"/>
      <c r="I10860"/>
      <c r="K10860"/>
      <c r="O10860"/>
      <c r="R10860"/>
      <c r="W10860" s="4"/>
      <c r="X10860" s="4"/>
      <c r="Y10860" s="4"/>
    </row>
    <row r="10861" spans="5:25">
      <c r="E10861"/>
      <c r="G10861"/>
      <c r="H10861"/>
      <c r="I10861"/>
      <c r="K10861"/>
      <c r="O10861"/>
      <c r="R10861"/>
      <c r="W10861" s="4"/>
      <c r="X10861" s="4"/>
      <c r="Y10861" s="4"/>
    </row>
    <row r="10862" spans="5:25">
      <c r="E10862"/>
      <c r="G10862"/>
      <c r="H10862"/>
      <c r="I10862"/>
      <c r="K10862"/>
      <c r="O10862"/>
      <c r="R10862"/>
      <c r="W10862" s="4"/>
      <c r="X10862" s="4"/>
      <c r="Y10862" s="4"/>
    </row>
    <row r="10863" spans="5:25">
      <c r="E10863"/>
      <c r="G10863"/>
      <c r="H10863"/>
      <c r="I10863"/>
      <c r="K10863"/>
      <c r="O10863"/>
      <c r="R10863"/>
      <c r="W10863" s="4"/>
      <c r="X10863" s="4"/>
      <c r="Y10863" s="4"/>
    </row>
    <row r="10864" spans="5:25">
      <c r="E10864"/>
      <c r="G10864"/>
      <c r="H10864"/>
      <c r="I10864"/>
      <c r="K10864"/>
      <c r="O10864"/>
      <c r="R10864"/>
      <c r="W10864" s="4"/>
      <c r="X10864" s="4"/>
      <c r="Y10864" s="4"/>
    </row>
    <row r="10865" spans="5:25">
      <c r="E10865"/>
      <c r="G10865"/>
      <c r="H10865"/>
      <c r="I10865"/>
      <c r="K10865"/>
      <c r="O10865"/>
      <c r="R10865"/>
      <c r="W10865" s="4"/>
      <c r="X10865" s="4"/>
      <c r="Y10865" s="4"/>
    </row>
    <row r="10866" spans="5:25">
      <c r="E10866"/>
      <c r="G10866"/>
      <c r="H10866"/>
      <c r="I10866"/>
      <c r="K10866"/>
      <c r="O10866"/>
      <c r="R10866"/>
      <c r="W10866" s="4"/>
      <c r="X10866" s="4"/>
      <c r="Y10866" s="4"/>
    </row>
    <row r="10867" spans="5:25">
      <c r="E10867"/>
      <c r="G10867"/>
      <c r="H10867"/>
      <c r="I10867"/>
      <c r="K10867"/>
      <c r="O10867"/>
      <c r="R10867"/>
      <c r="W10867" s="4"/>
      <c r="X10867" s="4"/>
      <c r="Y10867" s="4"/>
    </row>
    <row r="10868" spans="5:25">
      <c r="E10868"/>
      <c r="G10868"/>
      <c r="H10868"/>
      <c r="I10868"/>
      <c r="K10868"/>
      <c r="O10868"/>
      <c r="R10868"/>
      <c r="W10868" s="4"/>
      <c r="X10868" s="4"/>
      <c r="Y10868" s="4"/>
    </row>
    <row r="10869" spans="5:25">
      <c r="E10869"/>
      <c r="G10869"/>
      <c r="H10869"/>
      <c r="I10869"/>
      <c r="K10869"/>
      <c r="O10869"/>
      <c r="R10869"/>
      <c r="W10869" s="4"/>
      <c r="X10869" s="4"/>
      <c r="Y10869" s="4"/>
    </row>
    <row r="10870" spans="5:25">
      <c r="E10870"/>
      <c r="G10870"/>
      <c r="H10870"/>
      <c r="I10870"/>
      <c r="K10870"/>
      <c r="O10870"/>
      <c r="R10870"/>
      <c r="W10870" s="4"/>
      <c r="X10870" s="4"/>
      <c r="Y10870" s="4"/>
    </row>
    <row r="10871" spans="5:25">
      <c r="E10871"/>
      <c r="G10871"/>
      <c r="H10871"/>
      <c r="I10871"/>
      <c r="K10871"/>
      <c r="O10871"/>
      <c r="R10871"/>
      <c r="W10871" s="4"/>
      <c r="X10871" s="4"/>
      <c r="Y10871" s="4"/>
    </row>
    <row r="10872" spans="5:25">
      <c r="E10872"/>
      <c r="G10872"/>
      <c r="H10872"/>
      <c r="I10872"/>
      <c r="K10872"/>
      <c r="O10872"/>
      <c r="R10872"/>
      <c r="W10872" s="4"/>
      <c r="X10872" s="4"/>
      <c r="Y10872" s="4"/>
    </row>
    <row r="10873" spans="5:25">
      <c r="E10873"/>
      <c r="G10873"/>
      <c r="H10873"/>
      <c r="I10873"/>
      <c r="K10873"/>
      <c r="O10873"/>
      <c r="R10873"/>
      <c r="W10873" s="4"/>
      <c r="X10873" s="4"/>
      <c r="Y10873" s="4"/>
    </row>
    <row r="10874" spans="5:25">
      <c r="E10874"/>
      <c r="G10874"/>
      <c r="H10874"/>
      <c r="I10874"/>
      <c r="K10874"/>
      <c r="O10874"/>
      <c r="R10874"/>
      <c r="W10874" s="4"/>
      <c r="X10874" s="4"/>
      <c r="Y10874" s="4"/>
    </row>
    <row r="10875" spans="5:25">
      <c r="E10875"/>
      <c r="G10875"/>
      <c r="H10875"/>
      <c r="I10875"/>
      <c r="K10875"/>
      <c r="O10875"/>
      <c r="R10875"/>
      <c r="W10875" s="4"/>
      <c r="X10875" s="4"/>
      <c r="Y10875" s="4"/>
    </row>
    <row r="10876" spans="5:25">
      <c r="E10876"/>
      <c r="G10876"/>
      <c r="H10876"/>
      <c r="I10876"/>
      <c r="K10876"/>
      <c r="O10876"/>
      <c r="R10876"/>
      <c r="W10876" s="4"/>
      <c r="X10876" s="4"/>
      <c r="Y10876" s="4"/>
    </row>
    <row r="10877" spans="5:25">
      <c r="E10877"/>
      <c r="G10877"/>
      <c r="H10877"/>
      <c r="I10877"/>
      <c r="K10877"/>
      <c r="O10877"/>
      <c r="R10877"/>
      <c r="W10877" s="4"/>
      <c r="X10877" s="4"/>
      <c r="Y10877" s="4"/>
    </row>
    <row r="10878" spans="5:25">
      <c r="E10878"/>
      <c r="G10878"/>
      <c r="H10878"/>
      <c r="I10878"/>
      <c r="K10878"/>
      <c r="O10878"/>
      <c r="R10878"/>
      <c r="W10878" s="4"/>
      <c r="X10878" s="4"/>
      <c r="Y10878" s="4"/>
    </row>
    <row r="10879" spans="5:25">
      <c r="E10879"/>
      <c r="G10879"/>
      <c r="H10879"/>
      <c r="I10879"/>
      <c r="K10879"/>
      <c r="O10879"/>
      <c r="R10879"/>
      <c r="W10879" s="4"/>
      <c r="X10879" s="4"/>
      <c r="Y10879" s="4"/>
    </row>
    <row r="10880" spans="5:25">
      <c r="E10880"/>
      <c r="G10880"/>
      <c r="H10880"/>
      <c r="I10880"/>
      <c r="K10880"/>
      <c r="O10880"/>
      <c r="R10880"/>
      <c r="W10880" s="4"/>
      <c r="X10880" s="4"/>
      <c r="Y10880" s="4"/>
    </row>
    <row r="10881" spans="5:25">
      <c r="E10881"/>
      <c r="G10881"/>
      <c r="H10881"/>
      <c r="I10881"/>
      <c r="K10881"/>
      <c r="O10881"/>
      <c r="R10881"/>
      <c r="W10881" s="4"/>
      <c r="X10881" s="4"/>
      <c r="Y10881" s="4"/>
    </row>
    <row r="10882" spans="5:25">
      <c r="E10882"/>
      <c r="G10882"/>
      <c r="H10882"/>
      <c r="I10882"/>
      <c r="K10882"/>
      <c r="O10882"/>
      <c r="R10882"/>
      <c r="W10882" s="4"/>
      <c r="X10882" s="4"/>
      <c r="Y10882" s="4"/>
    </row>
    <row r="10883" spans="5:25">
      <c r="E10883"/>
      <c r="G10883"/>
      <c r="H10883"/>
      <c r="I10883"/>
      <c r="K10883"/>
      <c r="O10883"/>
      <c r="R10883"/>
      <c r="W10883" s="4"/>
      <c r="X10883" s="4"/>
      <c r="Y10883" s="4"/>
    </row>
    <row r="10884" spans="5:25">
      <c r="E10884"/>
      <c r="G10884"/>
      <c r="H10884"/>
      <c r="I10884"/>
      <c r="K10884"/>
      <c r="O10884"/>
      <c r="R10884"/>
      <c r="W10884" s="4"/>
      <c r="X10884" s="4"/>
      <c r="Y10884" s="4"/>
    </row>
    <row r="10885" spans="5:25">
      <c r="E10885"/>
      <c r="G10885"/>
      <c r="H10885"/>
      <c r="I10885"/>
      <c r="K10885"/>
      <c r="O10885"/>
      <c r="R10885"/>
      <c r="W10885" s="4"/>
      <c r="X10885" s="4"/>
      <c r="Y10885" s="4"/>
    </row>
    <row r="10886" spans="5:25">
      <c r="E10886"/>
      <c r="G10886"/>
      <c r="H10886"/>
      <c r="I10886"/>
      <c r="K10886"/>
      <c r="O10886"/>
      <c r="R10886"/>
      <c r="W10886" s="4"/>
      <c r="X10886" s="4"/>
      <c r="Y10886" s="4"/>
    </row>
    <row r="10887" spans="5:25">
      <c r="E10887"/>
      <c r="G10887"/>
      <c r="H10887"/>
      <c r="I10887"/>
      <c r="K10887"/>
      <c r="O10887"/>
      <c r="R10887"/>
      <c r="W10887" s="4"/>
      <c r="X10887" s="4"/>
      <c r="Y10887" s="4"/>
    </row>
    <row r="10888" spans="5:25">
      <c r="E10888"/>
      <c r="G10888"/>
      <c r="H10888"/>
      <c r="I10888"/>
      <c r="K10888"/>
      <c r="O10888"/>
      <c r="R10888"/>
      <c r="W10888" s="4"/>
      <c r="X10888" s="4"/>
      <c r="Y10888" s="4"/>
    </row>
    <row r="10889" spans="5:25">
      <c r="E10889"/>
      <c r="G10889"/>
      <c r="H10889"/>
      <c r="I10889"/>
      <c r="K10889"/>
      <c r="O10889"/>
      <c r="R10889"/>
      <c r="W10889" s="4"/>
      <c r="X10889" s="4"/>
      <c r="Y10889" s="4"/>
    </row>
    <row r="10890" spans="5:25">
      <c r="E10890"/>
      <c r="G10890"/>
      <c r="H10890"/>
      <c r="I10890"/>
      <c r="K10890"/>
      <c r="O10890"/>
      <c r="R10890"/>
      <c r="W10890" s="4"/>
      <c r="X10890" s="4"/>
      <c r="Y10890" s="4"/>
    </row>
    <row r="10891" spans="5:25">
      <c r="E10891"/>
      <c r="G10891"/>
      <c r="H10891"/>
      <c r="I10891"/>
      <c r="K10891"/>
      <c r="O10891"/>
      <c r="R10891"/>
      <c r="W10891" s="4"/>
      <c r="X10891" s="4"/>
      <c r="Y10891" s="4"/>
    </row>
    <row r="10892" spans="5:25">
      <c r="E10892"/>
      <c r="G10892"/>
      <c r="H10892"/>
      <c r="I10892"/>
      <c r="K10892"/>
      <c r="O10892"/>
      <c r="R10892"/>
      <c r="W10892" s="4"/>
      <c r="X10892" s="4"/>
      <c r="Y10892" s="4"/>
    </row>
    <row r="10893" spans="5:25">
      <c r="E10893"/>
      <c r="G10893"/>
      <c r="H10893"/>
      <c r="I10893"/>
      <c r="K10893"/>
      <c r="O10893"/>
      <c r="R10893"/>
      <c r="W10893" s="4"/>
      <c r="X10893" s="4"/>
      <c r="Y10893" s="4"/>
    </row>
    <row r="10894" spans="5:25">
      <c r="E10894"/>
      <c r="G10894"/>
      <c r="H10894"/>
      <c r="I10894"/>
      <c r="K10894"/>
      <c r="O10894"/>
      <c r="R10894"/>
      <c r="W10894" s="4"/>
      <c r="X10894" s="4"/>
      <c r="Y10894" s="4"/>
    </row>
    <row r="10895" spans="5:25">
      <c r="E10895"/>
      <c r="G10895"/>
      <c r="H10895"/>
      <c r="I10895"/>
      <c r="K10895"/>
      <c r="O10895"/>
      <c r="R10895"/>
      <c r="W10895" s="4"/>
      <c r="X10895" s="4"/>
      <c r="Y10895" s="4"/>
    </row>
    <row r="10896" spans="5:25">
      <c r="E10896"/>
      <c r="G10896"/>
      <c r="H10896"/>
      <c r="I10896"/>
      <c r="K10896"/>
      <c r="O10896"/>
      <c r="R10896"/>
      <c r="W10896" s="4"/>
      <c r="X10896" s="4"/>
      <c r="Y10896" s="4"/>
    </row>
    <row r="10897" spans="5:25">
      <c r="E10897"/>
      <c r="G10897"/>
      <c r="H10897"/>
      <c r="I10897"/>
      <c r="K10897"/>
      <c r="O10897"/>
      <c r="R10897"/>
      <c r="W10897" s="4"/>
      <c r="X10897" s="4"/>
      <c r="Y10897" s="4"/>
    </row>
    <row r="10898" spans="5:25">
      <c r="E10898"/>
      <c r="G10898"/>
      <c r="H10898"/>
      <c r="I10898"/>
      <c r="K10898"/>
      <c r="O10898"/>
      <c r="R10898"/>
      <c r="W10898" s="4"/>
      <c r="X10898" s="4"/>
      <c r="Y10898" s="4"/>
    </row>
    <row r="10899" spans="5:25">
      <c r="E10899"/>
      <c r="G10899"/>
      <c r="H10899"/>
      <c r="I10899"/>
      <c r="K10899"/>
      <c r="O10899"/>
      <c r="R10899"/>
      <c r="W10899" s="4"/>
      <c r="X10899" s="4"/>
      <c r="Y10899" s="4"/>
    </row>
    <row r="10900" spans="5:25">
      <c r="E10900"/>
      <c r="G10900"/>
      <c r="H10900"/>
      <c r="I10900"/>
      <c r="K10900"/>
      <c r="O10900"/>
      <c r="R10900"/>
      <c r="W10900" s="4"/>
      <c r="X10900" s="4"/>
      <c r="Y10900" s="4"/>
    </row>
    <row r="10901" spans="5:25">
      <c r="E10901"/>
      <c r="G10901"/>
      <c r="H10901"/>
      <c r="I10901"/>
      <c r="K10901"/>
      <c r="O10901"/>
      <c r="R10901"/>
      <c r="W10901" s="4"/>
      <c r="X10901" s="4"/>
      <c r="Y10901" s="4"/>
    </row>
    <row r="10902" spans="5:25">
      <c r="E10902"/>
      <c r="G10902"/>
      <c r="H10902"/>
      <c r="I10902"/>
      <c r="K10902"/>
      <c r="O10902"/>
      <c r="R10902"/>
      <c r="W10902" s="4"/>
      <c r="X10902" s="4"/>
      <c r="Y10902" s="4"/>
    </row>
    <row r="10903" spans="5:25">
      <c r="E10903"/>
      <c r="G10903"/>
      <c r="H10903"/>
      <c r="I10903"/>
      <c r="K10903"/>
      <c r="O10903"/>
      <c r="R10903"/>
      <c r="W10903" s="4"/>
      <c r="X10903" s="4"/>
      <c r="Y10903" s="4"/>
    </row>
    <row r="10904" spans="5:25">
      <c r="E10904"/>
      <c r="G10904"/>
      <c r="H10904"/>
      <c r="I10904"/>
      <c r="K10904"/>
      <c r="O10904"/>
      <c r="R10904"/>
      <c r="W10904" s="4"/>
      <c r="X10904" s="4"/>
      <c r="Y10904" s="4"/>
    </row>
    <row r="10905" spans="5:25">
      <c r="E10905"/>
      <c r="G10905"/>
      <c r="H10905"/>
      <c r="I10905"/>
      <c r="K10905"/>
      <c r="O10905"/>
      <c r="R10905"/>
      <c r="W10905" s="4"/>
      <c r="X10905" s="4"/>
      <c r="Y10905" s="4"/>
    </row>
    <row r="10906" spans="5:25">
      <c r="E10906"/>
      <c r="G10906"/>
      <c r="H10906"/>
      <c r="I10906"/>
      <c r="K10906"/>
      <c r="O10906"/>
      <c r="R10906"/>
      <c r="W10906" s="4"/>
      <c r="X10906" s="4"/>
      <c r="Y10906" s="4"/>
    </row>
    <row r="10907" spans="5:25">
      <c r="E10907"/>
      <c r="G10907"/>
      <c r="H10907"/>
      <c r="I10907"/>
      <c r="K10907"/>
      <c r="O10907"/>
      <c r="R10907"/>
      <c r="W10907" s="4"/>
      <c r="X10907" s="4"/>
      <c r="Y10907" s="4"/>
    </row>
    <row r="10908" spans="5:25">
      <c r="E10908"/>
      <c r="G10908"/>
      <c r="H10908"/>
      <c r="I10908"/>
      <c r="K10908"/>
      <c r="O10908"/>
      <c r="R10908"/>
      <c r="W10908" s="4"/>
      <c r="X10908" s="4"/>
      <c r="Y10908" s="4"/>
    </row>
    <row r="10909" spans="5:25">
      <c r="E10909"/>
      <c r="G10909"/>
      <c r="H10909"/>
      <c r="I10909"/>
      <c r="K10909"/>
      <c r="O10909"/>
      <c r="R10909"/>
      <c r="W10909" s="4"/>
      <c r="X10909" s="4"/>
      <c r="Y10909" s="4"/>
    </row>
    <row r="10910" spans="5:25">
      <c r="E10910"/>
      <c r="G10910"/>
      <c r="H10910"/>
      <c r="I10910"/>
      <c r="K10910"/>
      <c r="O10910"/>
      <c r="R10910"/>
      <c r="W10910" s="4"/>
      <c r="X10910" s="4"/>
      <c r="Y10910" s="4"/>
    </row>
    <row r="10911" spans="5:25">
      <c r="E10911"/>
      <c r="G10911"/>
      <c r="H10911"/>
      <c r="I10911"/>
      <c r="K10911"/>
      <c r="O10911"/>
      <c r="R10911"/>
      <c r="W10911" s="4"/>
      <c r="X10911" s="4"/>
      <c r="Y10911" s="4"/>
    </row>
    <row r="10912" spans="5:25">
      <c r="E10912"/>
      <c r="G10912"/>
      <c r="H10912"/>
      <c r="I10912"/>
      <c r="K10912"/>
      <c r="O10912"/>
      <c r="R10912"/>
      <c r="W10912" s="4"/>
      <c r="X10912" s="4"/>
      <c r="Y10912" s="4"/>
    </row>
    <row r="10913" spans="5:25">
      <c r="E10913"/>
      <c r="G10913"/>
      <c r="H10913"/>
      <c r="I10913"/>
      <c r="K10913"/>
      <c r="O10913"/>
      <c r="R10913"/>
      <c r="W10913" s="4"/>
      <c r="X10913" s="4"/>
      <c r="Y10913" s="4"/>
    </row>
    <row r="10914" spans="5:25">
      <c r="E10914"/>
      <c r="G10914"/>
      <c r="H10914"/>
      <c r="I10914"/>
      <c r="K10914"/>
      <c r="O10914"/>
      <c r="R10914"/>
      <c r="W10914" s="4"/>
      <c r="X10914" s="4"/>
      <c r="Y10914" s="4"/>
    </row>
    <row r="10915" spans="5:25">
      <c r="E10915"/>
      <c r="G10915"/>
      <c r="H10915"/>
      <c r="I10915"/>
      <c r="K10915"/>
      <c r="O10915"/>
      <c r="R10915"/>
      <c r="W10915" s="4"/>
      <c r="X10915" s="4"/>
      <c r="Y10915" s="4"/>
    </row>
    <row r="10916" spans="5:25">
      <c r="E10916"/>
      <c r="G10916"/>
      <c r="H10916"/>
      <c r="I10916"/>
      <c r="K10916"/>
      <c r="O10916"/>
      <c r="R10916"/>
      <c r="W10916" s="4"/>
      <c r="X10916" s="4"/>
      <c r="Y10916" s="4"/>
    </row>
    <row r="10917" spans="5:25">
      <c r="E10917"/>
      <c r="G10917"/>
      <c r="H10917"/>
      <c r="I10917"/>
      <c r="K10917"/>
      <c r="O10917"/>
      <c r="R10917"/>
      <c r="W10917" s="4"/>
      <c r="X10917" s="4"/>
      <c r="Y10917" s="4"/>
    </row>
    <row r="10918" spans="5:25">
      <c r="E10918"/>
      <c r="G10918"/>
      <c r="H10918"/>
      <c r="I10918"/>
      <c r="K10918"/>
      <c r="O10918"/>
      <c r="R10918"/>
      <c r="W10918" s="4"/>
      <c r="X10918" s="4"/>
      <c r="Y10918" s="4"/>
    </row>
    <row r="10919" spans="5:25">
      <c r="E10919"/>
      <c r="G10919"/>
      <c r="H10919"/>
      <c r="I10919"/>
      <c r="K10919"/>
      <c r="O10919"/>
      <c r="R10919"/>
      <c r="W10919" s="4"/>
      <c r="X10919" s="4"/>
      <c r="Y10919" s="4"/>
    </row>
    <row r="10920" spans="5:25">
      <c r="E10920"/>
      <c r="G10920"/>
      <c r="H10920"/>
      <c r="I10920"/>
      <c r="K10920"/>
      <c r="O10920"/>
      <c r="R10920"/>
      <c r="W10920" s="4"/>
      <c r="X10920" s="4"/>
      <c r="Y10920" s="4"/>
    </row>
    <row r="10921" spans="5:25">
      <c r="E10921"/>
      <c r="G10921"/>
      <c r="H10921"/>
      <c r="I10921"/>
      <c r="K10921"/>
      <c r="O10921"/>
      <c r="R10921"/>
      <c r="W10921" s="4"/>
      <c r="X10921" s="4"/>
      <c r="Y10921" s="4"/>
    </row>
    <row r="10922" spans="5:25">
      <c r="E10922"/>
      <c r="G10922"/>
      <c r="H10922"/>
      <c r="I10922"/>
      <c r="K10922"/>
      <c r="O10922"/>
      <c r="R10922"/>
      <c r="W10922" s="4"/>
      <c r="X10922" s="4"/>
      <c r="Y10922" s="4"/>
    </row>
    <row r="10923" spans="5:25">
      <c r="E10923"/>
      <c r="G10923"/>
      <c r="H10923"/>
      <c r="I10923"/>
      <c r="K10923"/>
      <c r="O10923"/>
      <c r="R10923"/>
      <c r="W10923" s="4"/>
      <c r="X10923" s="4"/>
      <c r="Y10923" s="4"/>
    </row>
    <row r="10924" spans="5:25">
      <c r="E10924"/>
      <c r="G10924"/>
      <c r="H10924"/>
      <c r="I10924"/>
      <c r="K10924"/>
      <c r="O10924"/>
      <c r="R10924"/>
      <c r="W10924" s="4"/>
      <c r="X10924" s="4"/>
      <c r="Y10924" s="4"/>
    </row>
    <row r="10925" spans="5:25">
      <c r="E10925"/>
      <c r="G10925"/>
      <c r="H10925"/>
      <c r="I10925"/>
      <c r="K10925"/>
      <c r="O10925"/>
      <c r="R10925"/>
      <c r="W10925" s="4"/>
      <c r="X10925" s="4"/>
      <c r="Y10925" s="4"/>
    </row>
    <row r="10926" spans="5:25">
      <c r="E10926"/>
      <c r="G10926"/>
      <c r="H10926"/>
      <c r="I10926"/>
      <c r="K10926"/>
      <c r="O10926"/>
      <c r="R10926"/>
      <c r="W10926" s="4"/>
      <c r="X10926" s="4"/>
      <c r="Y10926" s="4"/>
    </row>
    <row r="10927" spans="5:25">
      <c r="E10927"/>
      <c r="G10927"/>
      <c r="H10927"/>
      <c r="I10927"/>
      <c r="K10927"/>
      <c r="O10927"/>
      <c r="R10927"/>
      <c r="W10927" s="4"/>
      <c r="X10927" s="4"/>
      <c r="Y10927" s="4"/>
    </row>
    <row r="10928" spans="5:25">
      <c r="E10928"/>
      <c r="G10928"/>
      <c r="H10928"/>
      <c r="I10928"/>
      <c r="K10928"/>
      <c r="O10928"/>
      <c r="R10928"/>
      <c r="W10928" s="4"/>
      <c r="X10928" s="4"/>
      <c r="Y10928" s="4"/>
    </row>
    <row r="10929" spans="5:25">
      <c r="E10929"/>
      <c r="G10929"/>
      <c r="H10929"/>
      <c r="I10929"/>
      <c r="K10929"/>
      <c r="O10929"/>
      <c r="R10929"/>
      <c r="W10929" s="4"/>
      <c r="X10929" s="4"/>
      <c r="Y10929" s="4"/>
    </row>
    <row r="10930" spans="5:25">
      <c r="E10930"/>
      <c r="G10930"/>
      <c r="H10930"/>
      <c r="I10930"/>
      <c r="K10930"/>
      <c r="O10930"/>
      <c r="R10930"/>
      <c r="W10930" s="4"/>
      <c r="X10930" s="4"/>
      <c r="Y10930" s="4"/>
    </row>
    <row r="10931" spans="5:25">
      <c r="E10931"/>
      <c r="G10931"/>
      <c r="H10931"/>
      <c r="I10931"/>
      <c r="K10931"/>
      <c r="O10931"/>
      <c r="R10931"/>
      <c r="W10931" s="4"/>
      <c r="X10931" s="4"/>
      <c r="Y10931" s="4"/>
    </row>
    <row r="10932" spans="5:25">
      <c r="E10932"/>
      <c r="G10932"/>
      <c r="H10932"/>
      <c r="I10932"/>
      <c r="K10932"/>
      <c r="O10932"/>
      <c r="R10932"/>
      <c r="W10932" s="4"/>
      <c r="X10932" s="4"/>
      <c r="Y10932" s="4"/>
    </row>
    <row r="10933" spans="5:25">
      <c r="E10933"/>
      <c r="G10933"/>
      <c r="H10933"/>
      <c r="I10933"/>
      <c r="K10933"/>
      <c r="O10933"/>
      <c r="R10933"/>
      <c r="W10933" s="4"/>
      <c r="X10933" s="4"/>
      <c r="Y10933" s="4"/>
    </row>
    <row r="10934" spans="5:25">
      <c r="E10934"/>
      <c r="G10934"/>
      <c r="H10934"/>
      <c r="I10934"/>
      <c r="K10934"/>
      <c r="O10934"/>
      <c r="R10934"/>
      <c r="W10934" s="4"/>
      <c r="X10934" s="4"/>
      <c r="Y10934" s="4"/>
    </row>
    <row r="10935" spans="5:25">
      <c r="E10935"/>
      <c r="G10935"/>
      <c r="H10935"/>
      <c r="I10935"/>
      <c r="K10935"/>
      <c r="O10935"/>
      <c r="R10935"/>
      <c r="W10935" s="4"/>
      <c r="X10935" s="4"/>
      <c r="Y10935" s="4"/>
    </row>
    <row r="10936" spans="5:25">
      <c r="E10936"/>
      <c r="G10936"/>
      <c r="H10936"/>
      <c r="I10936"/>
      <c r="K10936"/>
      <c r="O10936"/>
      <c r="R10936"/>
      <c r="W10936" s="4"/>
      <c r="X10936" s="4"/>
      <c r="Y10936" s="4"/>
    </row>
    <row r="10937" spans="5:25">
      <c r="E10937"/>
      <c r="G10937"/>
      <c r="H10937"/>
      <c r="I10937"/>
      <c r="K10937"/>
      <c r="O10937"/>
      <c r="R10937"/>
      <c r="W10937" s="4"/>
      <c r="X10937" s="4"/>
      <c r="Y10937" s="4"/>
    </row>
    <row r="10938" spans="5:25">
      <c r="E10938"/>
      <c r="G10938"/>
      <c r="H10938"/>
      <c r="I10938"/>
      <c r="K10938"/>
      <c r="O10938"/>
      <c r="R10938"/>
      <c r="W10938" s="4"/>
      <c r="X10938" s="4"/>
      <c r="Y10938" s="4"/>
    </row>
    <row r="10939" spans="5:25">
      <c r="E10939"/>
      <c r="G10939"/>
      <c r="H10939"/>
      <c r="I10939"/>
      <c r="K10939"/>
      <c r="O10939"/>
      <c r="R10939"/>
      <c r="W10939" s="4"/>
      <c r="X10939" s="4"/>
      <c r="Y10939" s="4"/>
    </row>
    <row r="10940" spans="5:25">
      <c r="E10940"/>
      <c r="G10940"/>
      <c r="H10940"/>
      <c r="I10940"/>
      <c r="K10940"/>
      <c r="O10940"/>
      <c r="R10940"/>
      <c r="W10940" s="4"/>
      <c r="X10940" s="4"/>
      <c r="Y10940" s="4"/>
    </row>
    <row r="10941" spans="5:25">
      <c r="E10941"/>
      <c r="G10941"/>
      <c r="H10941"/>
      <c r="I10941"/>
      <c r="K10941"/>
      <c r="O10941"/>
      <c r="R10941"/>
      <c r="W10941" s="4"/>
      <c r="X10941" s="4"/>
      <c r="Y10941" s="4"/>
    </row>
    <row r="10942" spans="5:25">
      <c r="E10942"/>
      <c r="G10942"/>
      <c r="H10942"/>
      <c r="I10942"/>
      <c r="K10942"/>
      <c r="O10942"/>
      <c r="R10942"/>
      <c r="W10942" s="4"/>
      <c r="X10942" s="4"/>
      <c r="Y10942" s="4"/>
    </row>
    <row r="10943" spans="5:25">
      <c r="E10943"/>
      <c r="G10943"/>
      <c r="H10943"/>
      <c r="I10943"/>
      <c r="K10943"/>
      <c r="O10943"/>
      <c r="R10943"/>
      <c r="W10943" s="4"/>
      <c r="X10943" s="4"/>
      <c r="Y10943" s="4"/>
    </row>
    <row r="10944" spans="5:25">
      <c r="E10944"/>
      <c r="G10944"/>
      <c r="H10944"/>
      <c r="I10944"/>
      <c r="K10944"/>
      <c r="O10944"/>
      <c r="R10944"/>
      <c r="W10944" s="4"/>
      <c r="X10944" s="4"/>
      <c r="Y10944" s="4"/>
    </row>
    <row r="10945" spans="5:25">
      <c r="E10945"/>
      <c r="G10945"/>
      <c r="H10945"/>
      <c r="I10945"/>
      <c r="K10945"/>
      <c r="O10945"/>
      <c r="R10945"/>
      <c r="W10945" s="4"/>
      <c r="X10945" s="4"/>
      <c r="Y10945" s="4"/>
    </row>
    <row r="10946" spans="5:25">
      <c r="E10946"/>
      <c r="G10946"/>
      <c r="H10946"/>
      <c r="I10946"/>
      <c r="K10946"/>
      <c r="O10946"/>
      <c r="R10946"/>
      <c r="W10946" s="4"/>
      <c r="X10946" s="4"/>
      <c r="Y10946" s="4"/>
    </row>
    <row r="10947" spans="5:25">
      <c r="E10947"/>
      <c r="G10947"/>
      <c r="H10947"/>
      <c r="I10947"/>
      <c r="K10947"/>
      <c r="O10947"/>
      <c r="R10947"/>
      <c r="W10947" s="4"/>
      <c r="X10947" s="4"/>
      <c r="Y10947" s="4"/>
    </row>
    <row r="10948" spans="5:25">
      <c r="E10948"/>
      <c r="G10948"/>
      <c r="H10948"/>
      <c r="I10948"/>
      <c r="K10948"/>
      <c r="O10948"/>
      <c r="R10948"/>
      <c r="W10948" s="4"/>
      <c r="X10948" s="4"/>
      <c r="Y10948" s="4"/>
    </row>
    <row r="10949" spans="5:25">
      <c r="E10949"/>
      <c r="G10949"/>
      <c r="H10949"/>
      <c r="I10949"/>
      <c r="K10949"/>
      <c r="O10949"/>
      <c r="R10949"/>
      <c r="W10949" s="4"/>
      <c r="X10949" s="4"/>
      <c r="Y10949" s="4"/>
    </row>
    <row r="10950" spans="5:25">
      <c r="E10950"/>
      <c r="G10950"/>
      <c r="H10950"/>
      <c r="I10950"/>
      <c r="K10950"/>
      <c r="O10950"/>
      <c r="R10950"/>
      <c r="W10950" s="4"/>
      <c r="X10950" s="4"/>
      <c r="Y10950" s="4"/>
    </row>
    <row r="10951" spans="5:25">
      <c r="E10951"/>
      <c r="G10951"/>
      <c r="H10951"/>
      <c r="I10951"/>
      <c r="K10951"/>
      <c r="O10951"/>
      <c r="R10951"/>
      <c r="W10951" s="4"/>
      <c r="X10951" s="4"/>
      <c r="Y10951" s="4"/>
    </row>
    <row r="10952" spans="5:25">
      <c r="E10952"/>
      <c r="G10952"/>
      <c r="H10952"/>
      <c r="I10952"/>
      <c r="K10952"/>
      <c r="O10952"/>
      <c r="R10952"/>
      <c r="W10952" s="4"/>
      <c r="X10952" s="4"/>
      <c r="Y10952" s="4"/>
    </row>
    <row r="10953" spans="5:25">
      <c r="E10953"/>
      <c r="G10953"/>
      <c r="H10953"/>
      <c r="I10953"/>
      <c r="K10953"/>
      <c r="O10953"/>
      <c r="R10953"/>
      <c r="W10953" s="4"/>
      <c r="X10953" s="4"/>
      <c r="Y10953" s="4"/>
    </row>
    <row r="10954" spans="5:25">
      <c r="E10954"/>
      <c r="G10954"/>
      <c r="H10954"/>
      <c r="I10954"/>
      <c r="K10954"/>
      <c r="O10954"/>
      <c r="R10954"/>
      <c r="W10954" s="4"/>
      <c r="X10954" s="4"/>
      <c r="Y10954" s="4"/>
    </row>
    <row r="10955" spans="5:25">
      <c r="E10955"/>
      <c r="G10955"/>
      <c r="H10955"/>
      <c r="I10955"/>
      <c r="K10955"/>
      <c r="O10955"/>
      <c r="R10955"/>
      <c r="W10955" s="4"/>
      <c r="X10955" s="4"/>
      <c r="Y10955" s="4"/>
    </row>
    <row r="10956" spans="5:25">
      <c r="E10956"/>
      <c r="G10956"/>
      <c r="H10956"/>
      <c r="I10956"/>
      <c r="K10956"/>
      <c r="O10956"/>
      <c r="R10956"/>
      <c r="W10956" s="4"/>
      <c r="X10956" s="4"/>
      <c r="Y10956" s="4"/>
    </row>
    <row r="10957" spans="5:25">
      <c r="E10957"/>
      <c r="G10957"/>
      <c r="H10957"/>
      <c r="I10957"/>
      <c r="K10957"/>
      <c r="O10957"/>
      <c r="R10957"/>
      <c r="W10957" s="4"/>
      <c r="X10957" s="4"/>
      <c r="Y10957" s="4"/>
    </row>
    <row r="10958" spans="5:25">
      <c r="E10958"/>
      <c r="G10958"/>
      <c r="H10958"/>
      <c r="I10958"/>
      <c r="K10958"/>
      <c r="O10958"/>
      <c r="R10958"/>
      <c r="W10958" s="4"/>
      <c r="X10958" s="4"/>
      <c r="Y10958" s="4"/>
    </row>
    <row r="10959" spans="5:25">
      <c r="E10959"/>
      <c r="G10959"/>
      <c r="H10959"/>
      <c r="I10959"/>
      <c r="K10959"/>
      <c r="O10959"/>
      <c r="R10959"/>
      <c r="W10959" s="4"/>
      <c r="X10959" s="4"/>
      <c r="Y10959" s="4"/>
    </row>
    <row r="10960" spans="5:25">
      <c r="E10960"/>
      <c r="G10960"/>
      <c r="H10960"/>
      <c r="I10960"/>
      <c r="K10960"/>
      <c r="O10960"/>
      <c r="R10960"/>
      <c r="W10960" s="4"/>
      <c r="X10960" s="4"/>
      <c r="Y10960" s="4"/>
    </row>
    <row r="10961" spans="5:25">
      <c r="E10961"/>
      <c r="G10961"/>
      <c r="H10961"/>
      <c r="I10961"/>
      <c r="K10961"/>
      <c r="O10961"/>
      <c r="R10961"/>
      <c r="W10961" s="4"/>
      <c r="X10961" s="4"/>
      <c r="Y10961" s="4"/>
    </row>
    <row r="10962" spans="5:25">
      <c r="E10962"/>
      <c r="G10962"/>
      <c r="H10962"/>
      <c r="I10962"/>
      <c r="K10962"/>
      <c r="O10962"/>
      <c r="R10962"/>
      <c r="W10962" s="4"/>
      <c r="X10962" s="4"/>
      <c r="Y10962" s="4"/>
    </row>
    <row r="10963" spans="5:25">
      <c r="E10963"/>
      <c r="G10963"/>
      <c r="H10963"/>
      <c r="I10963"/>
      <c r="K10963"/>
      <c r="O10963"/>
      <c r="R10963"/>
      <c r="W10963" s="4"/>
      <c r="X10963" s="4"/>
      <c r="Y10963" s="4"/>
    </row>
    <row r="10964" spans="5:25">
      <c r="E10964"/>
      <c r="G10964"/>
      <c r="H10964"/>
      <c r="I10964"/>
      <c r="K10964"/>
      <c r="O10964"/>
      <c r="R10964"/>
      <c r="W10964" s="4"/>
      <c r="X10964" s="4"/>
      <c r="Y10964" s="4"/>
    </row>
    <row r="10965" spans="5:25">
      <c r="E10965"/>
      <c r="G10965"/>
      <c r="H10965"/>
      <c r="I10965"/>
      <c r="K10965"/>
      <c r="O10965"/>
      <c r="R10965"/>
      <c r="W10965" s="4"/>
      <c r="X10965" s="4"/>
      <c r="Y10965" s="4"/>
    </row>
    <row r="10966" spans="5:25">
      <c r="E10966"/>
      <c r="G10966"/>
      <c r="H10966"/>
      <c r="I10966"/>
      <c r="K10966"/>
      <c r="O10966"/>
      <c r="R10966"/>
      <c r="W10966" s="4"/>
      <c r="X10966" s="4"/>
      <c r="Y10966" s="4"/>
    </row>
    <row r="10967" spans="5:25">
      <c r="E10967"/>
      <c r="G10967"/>
      <c r="H10967"/>
      <c r="I10967"/>
      <c r="K10967"/>
      <c r="O10967"/>
      <c r="R10967"/>
      <c r="W10967" s="4"/>
      <c r="X10967" s="4"/>
      <c r="Y10967" s="4"/>
    </row>
    <row r="10968" spans="5:25">
      <c r="E10968"/>
      <c r="G10968"/>
      <c r="H10968"/>
      <c r="I10968"/>
      <c r="K10968"/>
      <c r="O10968"/>
      <c r="R10968"/>
      <c r="W10968" s="4"/>
      <c r="X10968" s="4"/>
      <c r="Y10968" s="4"/>
    </row>
    <row r="10969" spans="5:25">
      <c r="E10969"/>
      <c r="G10969"/>
      <c r="H10969"/>
      <c r="I10969"/>
      <c r="K10969"/>
      <c r="O10969"/>
      <c r="R10969"/>
      <c r="W10969" s="4"/>
      <c r="X10969" s="4"/>
      <c r="Y10969" s="4"/>
    </row>
    <row r="10970" spans="5:25">
      <c r="E10970"/>
      <c r="G10970"/>
      <c r="H10970"/>
      <c r="I10970"/>
      <c r="K10970"/>
      <c r="O10970"/>
      <c r="R10970"/>
      <c r="W10970" s="4"/>
      <c r="X10970" s="4"/>
      <c r="Y10970" s="4"/>
    </row>
    <row r="10971" spans="5:25">
      <c r="E10971"/>
      <c r="G10971"/>
      <c r="H10971"/>
      <c r="I10971"/>
      <c r="K10971"/>
      <c r="O10971"/>
      <c r="R10971"/>
      <c r="W10971" s="4"/>
      <c r="X10971" s="4"/>
      <c r="Y10971" s="4"/>
    </row>
    <row r="10972" spans="5:25">
      <c r="E10972"/>
      <c r="G10972"/>
      <c r="H10972"/>
      <c r="I10972"/>
      <c r="K10972"/>
      <c r="O10972"/>
      <c r="R10972"/>
      <c r="W10972" s="4"/>
      <c r="X10972" s="4"/>
      <c r="Y10972" s="4"/>
    </row>
    <row r="10973" spans="5:25">
      <c r="E10973"/>
      <c r="G10973"/>
      <c r="H10973"/>
      <c r="I10973"/>
      <c r="K10973"/>
      <c r="O10973"/>
      <c r="R10973"/>
      <c r="W10973" s="4"/>
      <c r="X10973" s="4"/>
      <c r="Y10973" s="4"/>
    </row>
    <row r="10974" spans="5:25">
      <c r="E10974"/>
      <c r="G10974"/>
      <c r="H10974"/>
      <c r="I10974"/>
      <c r="K10974"/>
      <c r="O10974"/>
      <c r="R10974"/>
      <c r="W10974" s="4"/>
      <c r="X10974" s="4"/>
      <c r="Y10974" s="4"/>
    </row>
    <row r="10975" spans="5:25">
      <c r="E10975"/>
      <c r="G10975"/>
      <c r="H10975"/>
      <c r="I10975"/>
      <c r="K10975"/>
      <c r="O10975"/>
      <c r="R10975"/>
      <c r="W10975" s="4"/>
      <c r="X10975" s="4"/>
      <c r="Y10975" s="4"/>
    </row>
    <row r="10976" spans="5:25">
      <c r="E10976"/>
      <c r="G10976"/>
      <c r="H10976"/>
      <c r="I10976"/>
      <c r="K10976"/>
      <c r="O10976"/>
      <c r="R10976"/>
      <c r="W10976" s="4"/>
      <c r="X10976" s="4"/>
      <c r="Y10976" s="4"/>
    </row>
    <row r="10977" spans="5:25">
      <c r="E10977"/>
      <c r="G10977"/>
      <c r="H10977"/>
      <c r="I10977"/>
      <c r="K10977"/>
      <c r="O10977"/>
      <c r="R10977"/>
      <c r="W10977" s="4"/>
      <c r="X10977" s="4"/>
      <c r="Y10977" s="4"/>
    </row>
    <row r="10978" spans="5:25">
      <c r="E10978"/>
      <c r="G10978"/>
      <c r="H10978"/>
      <c r="I10978"/>
      <c r="K10978"/>
      <c r="O10978"/>
      <c r="R10978"/>
      <c r="W10978" s="4"/>
      <c r="X10978" s="4"/>
      <c r="Y10978" s="4"/>
    </row>
    <row r="10979" spans="5:25">
      <c r="E10979"/>
      <c r="G10979"/>
      <c r="H10979"/>
      <c r="I10979"/>
      <c r="K10979"/>
      <c r="O10979"/>
      <c r="R10979"/>
      <c r="W10979" s="4"/>
      <c r="X10979" s="4"/>
      <c r="Y10979" s="4"/>
    </row>
    <row r="10980" spans="5:25">
      <c r="E10980"/>
      <c r="G10980"/>
      <c r="H10980"/>
      <c r="I10980"/>
      <c r="K10980"/>
      <c r="O10980"/>
      <c r="R10980"/>
      <c r="W10980" s="4"/>
      <c r="X10980" s="4"/>
      <c r="Y10980" s="4"/>
    </row>
    <row r="10981" spans="5:25">
      <c r="E10981"/>
      <c r="G10981"/>
      <c r="H10981"/>
      <c r="I10981"/>
      <c r="K10981"/>
      <c r="O10981"/>
      <c r="R10981"/>
      <c r="W10981" s="4"/>
      <c r="X10981" s="4"/>
      <c r="Y10981" s="4"/>
    </row>
    <row r="10982" spans="5:25">
      <c r="E10982"/>
      <c r="G10982"/>
      <c r="H10982"/>
      <c r="I10982"/>
      <c r="K10982"/>
      <c r="O10982"/>
      <c r="R10982"/>
      <c r="W10982" s="4"/>
      <c r="X10982" s="4"/>
      <c r="Y10982" s="4"/>
    </row>
    <row r="10983" spans="5:25">
      <c r="E10983"/>
      <c r="G10983"/>
      <c r="H10983"/>
      <c r="I10983"/>
      <c r="K10983"/>
      <c r="O10983"/>
      <c r="R10983"/>
      <c r="W10983" s="4"/>
      <c r="X10983" s="4"/>
      <c r="Y10983" s="4"/>
    </row>
    <row r="10984" spans="5:25">
      <c r="E10984"/>
      <c r="G10984"/>
      <c r="H10984"/>
      <c r="I10984"/>
      <c r="K10984"/>
      <c r="O10984"/>
      <c r="R10984"/>
      <c r="W10984" s="4"/>
      <c r="X10984" s="4"/>
      <c r="Y10984" s="4"/>
    </row>
    <row r="10985" spans="5:25">
      <c r="E10985"/>
      <c r="G10985"/>
      <c r="H10985"/>
      <c r="I10985"/>
      <c r="K10985"/>
      <c r="O10985"/>
      <c r="R10985"/>
      <c r="W10985" s="4"/>
      <c r="X10985" s="4"/>
      <c r="Y10985" s="4"/>
    </row>
    <row r="10986" spans="5:25">
      <c r="E10986"/>
      <c r="G10986"/>
      <c r="H10986"/>
      <c r="I10986"/>
      <c r="K10986"/>
      <c r="O10986"/>
      <c r="R10986"/>
      <c r="W10986" s="4"/>
      <c r="X10986" s="4"/>
      <c r="Y10986" s="4"/>
    </row>
    <row r="10987" spans="5:25">
      <c r="E10987"/>
      <c r="G10987"/>
      <c r="H10987"/>
      <c r="I10987"/>
      <c r="K10987"/>
      <c r="O10987"/>
      <c r="R10987"/>
      <c r="W10987" s="4"/>
      <c r="X10987" s="4"/>
      <c r="Y10987" s="4"/>
    </row>
    <row r="10988" spans="5:25">
      <c r="E10988"/>
      <c r="G10988"/>
      <c r="H10988"/>
      <c r="I10988"/>
      <c r="K10988"/>
      <c r="O10988"/>
      <c r="R10988"/>
      <c r="W10988" s="4"/>
      <c r="X10988" s="4"/>
      <c r="Y10988" s="4"/>
    </row>
    <row r="10989" spans="5:25">
      <c r="E10989"/>
      <c r="G10989"/>
      <c r="H10989"/>
      <c r="I10989"/>
      <c r="K10989"/>
      <c r="O10989"/>
      <c r="R10989"/>
      <c r="W10989" s="4"/>
      <c r="X10989" s="4"/>
      <c r="Y10989" s="4"/>
    </row>
    <row r="10990" spans="5:25">
      <c r="E10990"/>
      <c r="G10990"/>
      <c r="H10990"/>
      <c r="I10990"/>
      <c r="K10990"/>
      <c r="O10990"/>
      <c r="R10990"/>
      <c r="W10990" s="4"/>
      <c r="X10990" s="4"/>
      <c r="Y10990" s="4"/>
    </row>
    <row r="10991" spans="5:25">
      <c r="E10991"/>
      <c r="G10991"/>
      <c r="H10991"/>
      <c r="I10991"/>
      <c r="K10991"/>
      <c r="O10991"/>
      <c r="R10991"/>
      <c r="W10991" s="4"/>
      <c r="X10991" s="4"/>
      <c r="Y10991" s="4"/>
    </row>
    <row r="10992" spans="5:25">
      <c r="E10992"/>
      <c r="G10992"/>
      <c r="H10992"/>
      <c r="I10992"/>
      <c r="K10992"/>
      <c r="O10992"/>
      <c r="R10992"/>
      <c r="W10992" s="4"/>
      <c r="X10992" s="4"/>
      <c r="Y10992" s="4"/>
    </row>
    <row r="10993" spans="5:25">
      <c r="E10993"/>
      <c r="G10993"/>
      <c r="H10993"/>
      <c r="I10993"/>
      <c r="K10993"/>
      <c r="O10993"/>
      <c r="R10993"/>
      <c r="W10993" s="4"/>
      <c r="X10993" s="4"/>
      <c r="Y10993" s="4"/>
    </row>
    <row r="10994" spans="5:25">
      <c r="E10994"/>
      <c r="G10994"/>
      <c r="H10994"/>
      <c r="I10994"/>
      <c r="K10994"/>
      <c r="O10994"/>
      <c r="R10994"/>
      <c r="W10994" s="4"/>
      <c r="X10994" s="4"/>
      <c r="Y10994" s="4"/>
    </row>
    <row r="10995" spans="5:25">
      <c r="E10995"/>
      <c r="G10995"/>
      <c r="H10995"/>
      <c r="I10995"/>
      <c r="K10995"/>
      <c r="O10995"/>
      <c r="R10995"/>
      <c r="W10995" s="4"/>
      <c r="X10995" s="4"/>
      <c r="Y10995" s="4"/>
    </row>
    <row r="10996" spans="5:25">
      <c r="E10996"/>
      <c r="G10996"/>
      <c r="H10996"/>
      <c r="I10996"/>
      <c r="K10996"/>
      <c r="O10996"/>
      <c r="R10996"/>
      <c r="W10996" s="4"/>
      <c r="X10996" s="4"/>
      <c r="Y10996" s="4"/>
    </row>
    <row r="10997" spans="5:25">
      <c r="E10997"/>
      <c r="G10997"/>
      <c r="H10997"/>
      <c r="I10997"/>
      <c r="K10997"/>
      <c r="O10997"/>
      <c r="R10997"/>
      <c r="W10997" s="4"/>
      <c r="X10997" s="4"/>
      <c r="Y10997" s="4"/>
    </row>
    <row r="10998" spans="5:25">
      <c r="E10998"/>
      <c r="G10998"/>
      <c r="H10998"/>
      <c r="I10998"/>
      <c r="K10998"/>
      <c r="O10998"/>
      <c r="R10998"/>
      <c r="W10998" s="4"/>
      <c r="X10998" s="4"/>
      <c r="Y10998" s="4"/>
    </row>
    <row r="10999" spans="5:25">
      <c r="E10999"/>
      <c r="G10999"/>
      <c r="H10999"/>
      <c r="I10999"/>
      <c r="K10999"/>
      <c r="O10999"/>
      <c r="R10999"/>
      <c r="W10999" s="4"/>
      <c r="X10999" s="4"/>
      <c r="Y10999" s="4"/>
    </row>
    <row r="11000" spans="5:25">
      <c r="E11000"/>
      <c r="G11000"/>
      <c r="H11000"/>
      <c r="I11000"/>
      <c r="K11000"/>
      <c r="O11000"/>
      <c r="R11000"/>
      <c r="W11000" s="4"/>
      <c r="X11000" s="4"/>
      <c r="Y11000" s="4"/>
    </row>
    <row r="11001" spans="5:25">
      <c r="E11001"/>
      <c r="G11001"/>
      <c r="H11001"/>
      <c r="I11001"/>
      <c r="K11001"/>
      <c r="O11001"/>
      <c r="R11001"/>
      <c r="W11001" s="4"/>
      <c r="X11001" s="4"/>
      <c r="Y11001" s="4"/>
    </row>
    <row r="11002" spans="5:25">
      <c r="E11002"/>
      <c r="G11002"/>
      <c r="H11002"/>
      <c r="I11002"/>
      <c r="K11002"/>
      <c r="O11002"/>
      <c r="R11002"/>
      <c r="W11002" s="4"/>
      <c r="X11002" s="4"/>
      <c r="Y11002" s="4"/>
    </row>
    <row r="11003" spans="5:25">
      <c r="E11003"/>
      <c r="G11003"/>
      <c r="H11003"/>
      <c r="I11003"/>
      <c r="K11003"/>
      <c r="O11003"/>
      <c r="R11003"/>
      <c r="W11003" s="4"/>
      <c r="X11003" s="4"/>
      <c r="Y11003" s="4"/>
    </row>
    <row r="11004" spans="5:25">
      <c r="E11004"/>
      <c r="G11004"/>
      <c r="H11004"/>
      <c r="I11004"/>
      <c r="K11004"/>
      <c r="O11004"/>
      <c r="R11004"/>
      <c r="W11004" s="4"/>
      <c r="X11004" s="4"/>
      <c r="Y11004" s="4"/>
    </row>
    <row r="11005" spans="5:25">
      <c r="E11005"/>
      <c r="G11005"/>
      <c r="H11005"/>
      <c r="I11005"/>
      <c r="K11005"/>
      <c r="O11005"/>
      <c r="R11005"/>
      <c r="W11005" s="4"/>
      <c r="X11005" s="4"/>
      <c r="Y11005" s="4"/>
    </row>
    <row r="11006" spans="5:25">
      <c r="E11006"/>
      <c r="G11006"/>
      <c r="H11006"/>
      <c r="I11006"/>
      <c r="K11006"/>
      <c r="O11006"/>
      <c r="R11006"/>
      <c r="W11006" s="4"/>
      <c r="X11006" s="4"/>
      <c r="Y11006" s="4"/>
    </row>
    <row r="11007" spans="5:25">
      <c r="E11007"/>
      <c r="G11007"/>
      <c r="H11007"/>
      <c r="I11007"/>
      <c r="K11007"/>
      <c r="O11007"/>
      <c r="R11007"/>
      <c r="W11007" s="4"/>
      <c r="X11007" s="4"/>
      <c r="Y11007" s="4"/>
    </row>
    <row r="11008" spans="5:25">
      <c r="E11008"/>
      <c r="G11008"/>
      <c r="H11008"/>
      <c r="I11008"/>
      <c r="K11008"/>
      <c r="O11008"/>
      <c r="R11008"/>
      <c r="W11008" s="4"/>
      <c r="X11008" s="4"/>
      <c r="Y11008" s="4"/>
    </row>
    <row r="11009" spans="5:25">
      <c r="E11009"/>
      <c r="G11009"/>
      <c r="H11009"/>
      <c r="I11009"/>
      <c r="K11009"/>
      <c r="O11009"/>
      <c r="R11009"/>
      <c r="W11009" s="4"/>
      <c r="X11009" s="4"/>
      <c r="Y11009" s="4"/>
    </row>
    <row r="11010" spans="5:25">
      <c r="E11010"/>
      <c r="G11010"/>
      <c r="H11010"/>
      <c r="I11010"/>
      <c r="K11010"/>
      <c r="O11010"/>
      <c r="R11010"/>
      <c r="W11010" s="4"/>
      <c r="X11010" s="4"/>
      <c r="Y11010" s="4"/>
    </row>
    <row r="11011" spans="5:25">
      <c r="E11011"/>
      <c r="G11011"/>
      <c r="H11011"/>
      <c r="I11011"/>
      <c r="K11011"/>
      <c r="O11011"/>
      <c r="R11011"/>
      <c r="W11011" s="4"/>
      <c r="X11011" s="4"/>
      <c r="Y11011" s="4"/>
    </row>
    <row r="11012" spans="5:25">
      <c r="E11012"/>
      <c r="G11012"/>
      <c r="H11012"/>
      <c r="I11012"/>
      <c r="K11012"/>
      <c r="O11012"/>
      <c r="R11012"/>
      <c r="W11012" s="4"/>
      <c r="X11012" s="4"/>
      <c r="Y11012" s="4"/>
    </row>
    <row r="11013" spans="5:25">
      <c r="E11013"/>
      <c r="G11013"/>
      <c r="H11013"/>
      <c r="I11013"/>
      <c r="K11013"/>
      <c r="O11013"/>
      <c r="R11013"/>
      <c r="W11013" s="4"/>
      <c r="X11013" s="4"/>
      <c r="Y11013" s="4"/>
    </row>
    <row r="11014" spans="5:25">
      <c r="E11014"/>
      <c r="G11014"/>
      <c r="H11014"/>
      <c r="I11014"/>
      <c r="K11014"/>
      <c r="O11014"/>
      <c r="R11014"/>
      <c r="W11014" s="4"/>
      <c r="X11014" s="4"/>
      <c r="Y11014" s="4"/>
    </row>
    <row r="11015" spans="5:25">
      <c r="E11015"/>
      <c r="G11015"/>
      <c r="H11015"/>
      <c r="I11015"/>
      <c r="K11015"/>
      <c r="O11015"/>
      <c r="R11015"/>
      <c r="W11015" s="4"/>
      <c r="X11015" s="4"/>
      <c r="Y11015" s="4"/>
    </row>
    <row r="11016" spans="5:25">
      <c r="E11016"/>
      <c r="G11016"/>
      <c r="H11016"/>
      <c r="I11016"/>
      <c r="K11016"/>
      <c r="O11016"/>
      <c r="R11016"/>
      <c r="W11016" s="4"/>
      <c r="X11016" s="4"/>
      <c r="Y11016" s="4"/>
    </row>
    <row r="11017" spans="5:25">
      <c r="E11017"/>
      <c r="G11017"/>
      <c r="H11017"/>
      <c r="I11017"/>
      <c r="K11017"/>
      <c r="O11017"/>
      <c r="R11017"/>
      <c r="W11017" s="4"/>
      <c r="X11017" s="4"/>
      <c r="Y11017" s="4"/>
    </row>
    <row r="11018" spans="5:25">
      <c r="E11018"/>
      <c r="G11018"/>
      <c r="H11018"/>
      <c r="I11018"/>
      <c r="K11018"/>
      <c r="O11018"/>
      <c r="R11018"/>
      <c r="W11018" s="4"/>
      <c r="X11018" s="4"/>
      <c r="Y11018" s="4"/>
    </row>
    <row r="11019" spans="5:25">
      <c r="E11019"/>
      <c r="G11019"/>
      <c r="H11019"/>
      <c r="I11019"/>
      <c r="K11019"/>
      <c r="O11019"/>
      <c r="R11019"/>
      <c r="W11019" s="4"/>
      <c r="X11019" s="4"/>
      <c r="Y11019" s="4"/>
    </row>
    <row r="11020" spans="5:25">
      <c r="E11020"/>
      <c r="G11020"/>
      <c r="H11020"/>
      <c r="I11020"/>
      <c r="K11020"/>
      <c r="O11020"/>
      <c r="R11020"/>
      <c r="W11020" s="4"/>
      <c r="X11020" s="4"/>
      <c r="Y11020" s="4"/>
    </row>
    <row r="11021" spans="5:25">
      <c r="E11021"/>
      <c r="G11021"/>
      <c r="H11021"/>
      <c r="I11021"/>
      <c r="K11021"/>
      <c r="O11021"/>
      <c r="R11021"/>
      <c r="W11021" s="4"/>
      <c r="X11021" s="4"/>
      <c r="Y11021" s="4"/>
    </row>
    <row r="11022" spans="5:25">
      <c r="E11022"/>
      <c r="G11022"/>
      <c r="H11022"/>
      <c r="I11022"/>
      <c r="K11022"/>
      <c r="O11022"/>
      <c r="R11022"/>
      <c r="W11022" s="4"/>
      <c r="X11022" s="4"/>
      <c r="Y11022" s="4"/>
    </row>
    <row r="11023" spans="5:25">
      <c r="E11023"/>
      <c r="G11023"/>
      <c r="H11023"/>
      <c r="I11023"/>
      <c r="K11023"/>
      <c r="O11023"/>
      <c r="R11023"/>
      <c r="W11023" s="4"/>
      <c r="X11023" s="4"/>
      <c r="Y11023" s="4"/>
    </row>
    <row r="11024" spans="5:25">
      <c r="E11024"/>
      <c r="G11024"/>
      <c r="H11024"/>
      <c r="I11024"/>
      <c r="K11024"/>
      <c r="O11024"/>
      <c r="R11024"/>
      <c r="W11024" s="4"/>
      <c r="X11024" s="4"/>
      <c r="Y11024" s="4"/>
    </row>
    <row r="11025" spans="5:25">
      <c r="E11025"/>
      <c r="G11025"/>
      <c r="H11025"/>
      <c r="I11025"/>
      <c r="K11025"/>
      <c r="O11025"/>
      <c r="R11025"/>
      <c r="W11025" s="4"/>
      <c r="X11025" s="4"/>
      <c r="Y11025" s="4"/>
    </row>
    <row r="11026" spans="5:25">
      <c r="E11026"/>
      <c r="G11026"/>
      <c r="H11026"/>
      <c r="I11026"/>
      <c r="K11026"/>
      <c r="O11026"/>
      <c r="R11026"/>
      <c r="W11026" s="4"/>
      <c r="X11026" s="4"/>
      <c r="Y11026" s="4"/>
    </row>
    <row r="11027" spans="5:25">
      <c r="E11027"/>
      <c r="G11027"/>
      <c r="H11027"/>
      <c r="I11027"/>
      <c r="K11027"/>
      <c r="O11027"/>
      <c r="R11027"/>
      <c r="W11027" s="4"/>
      <c r="X11027" s="4"/>
      <c r="Y11027" s="4"/>
    </row>
    <row r="11028" spans="5:25">
      <c r="E11028"/>
      <c r="G11028"/>
      <c r="H11028"/>
      <c r="I11028"/>
      <c r="K11028"/>
      <c r="O11028"/>
      <c r="R11028"/>
      <c r="W11028" s="4"/>
      <c r="X11028" s="4"/>
      <c r="Y11028" s="4"/>
    </row>
    <row r="11029" spans="5:25">
      <c r="E11029"/>
      <c r="G11029"/>
      <c r="H11029"/>
      <c r="I11029"/>
      <c r="K11029"/>
      <c r="O11029"/>
      <c r="R11029"/>
      <c r="W11029" s="4"/>
      <c r="X11029" s="4"/>
      <c r="Y11029" s="4"/>
    </row>
    <row r="11030" spans="5:25">
      <c r="E11030"/>
      <c r="G11030"/>
      <c r="H11030"/>
      <c r="I11030"/>
      <c r="K11030"/>
      <c r="O11030"/>
      <c r="R11030"/>
      <c r="W11030" s="4"/>
      <c r="X11030" s="4"/>
      <c r="Y11030" s="4"/>
    </row>
    <row r="11031" spans="5:25">
      <c r="E11031"/>
      <c r="G11031"/>
      <c r="H11031"/>
      <c r="I11031"/>
      <c r="K11031"/>
      <c r="O11031"/>
      <c r="R11031"/>
      <c r="W11031" s="4"/>
      <c r="X11031" s="4"/>
      <c r="Y11031" s="4"/>
    </row>
    <row r="11032" spans="5:25">
      <c r="E11032"/>
      <c r="G11032"/>
      <c r="H11032"/>
      <c r="I11032"/>
      <c r="K11032"/>
      <c r="O11032"/>
      <c r="R11032"/>
      <c r="W11032" s="4"/>
      <c r="X11032" s="4"/>
      <c r="Y11032" s="4"/>
    </row>
    <row r="11033" spans="5:25">
      <c r="E11033"/>
      <c r="G11033"/>
      <c r="H11033"/>
      <c r="I11033"/>
      <c r="K11033"/>
      <c r="O11033"/>
      <c r="R11033"/>
      <c r="W11033" s="4"/>
      <c r="X11033" s="4"/>
      <c r="Y11033" s="4"/>
    </row>
    <row r="11034" spans="5:25">
      <c r="E11034"/>
      <c r="G11034"/>
      <c r="H11034"/>
      <c r="I11034"/>
      <c r="K11034"/>
      <c r="O11034"/>
      <c r="R11034"/>
      <c r="W11034" s="4"/>
      <c r="X11034" s="4"/>
      <c r="Y11034" s="4"/>
    </row>
    <row r="11035" spans="5:25">
      <c r="E11035"/>
      <c r="G11035"/>
      <c r="H11035"/>
      <c r="I11035"/>
      <c r="K11035"/>
      <c r="O11035"/>
      <c r="R11035"/>
      <c r="W11035" s="4"/>
      <c r="X11035" s="4"/>
      <c r="Y11035" s="4"/>
    </row>
    <row r="11036" spans="5:25">
      <c r="E11036"/>
      <c r="G11036"/>
      <c r="H11036"/>
      <c r="I11036"/>
      <c r="K11036"/>
      <c r="O11036"/>
      <c r="R11036"/>
      <c r="W11036" s="4"/>
      <c r="X11036" s="4"/>
      <c r="Y11036" s="4"/>
    </row>
    <row r="11037" spans="5:25">
      <c r="E11037"/>
      <c r="G11037"/>
      <c r="H11037"/>
      <c r="I11037"/>
      <c r="K11037"/>
      <c r="O11037"/>
      <c r="R11037"/>
      <c r="W11037" s="4"/>
      <c r="X11037" s="4"/>
      <c r="Y11037" s="4"/>
    </row>
    <row r="11038" spans="5:25">
      <c r="E11038"/>
      <c r="G11038"/>
      <c r="H11038"/>
      <c r="I11038"/>
      <c r="K11038"/>
      <c r="O11038"/>
      <c r="R11038"/>
      <c r="W11038" s="4"/>
      <c r="X11038" s="4"/>
      <c r="Y11038" s="4"/>
    </row>
    <row r="11039" spans="5:25">
      <c r="E11039"/>
      <c r="G11039"/>
      <c r="H11039"/>
      <c r="I11039"/>
      <c r="K11039"/>
      <c r="O11039"/>
      <c r="R11039"/>
      <c r="W11039" s="4"/>
      <c r="X11039" s="4"/>
      <c r="Y11039" s="4"/>
    </row>
    <row r="11040" spans="5:25">
      <c r="E11040"/>
      <c r="G11040"/>
      <c r="H11040"/>
      <c r="I11040"/>
      <c r="K11040"/>
      <c r="O11040"/>
      <c r="R11040"/>
      <c r="W11040" s="4"/>
      <c r="X11040" s="4"/>
      <c r="Y11040" s="4"/>
    </row>
    <row r="11041" spans="5:25">
      <c r="E11041"/>
      <c r="G11041"/>
      <c r="H11041"/>
      <c r="I11041"/>
      <c r="K11041"/>
      <c r="O11041"/>
      <c r="R11041"/>
      <c r="W11041" s="4"/>
      <c r="X11041" s="4"/>
      <c r="Y11041" s="4"/>
    </row>
    <row r="11042" spans="5:25">
      <c r="E11042"/>
      <c r="G11042"/>
      <c r="H11042"/>
      <c r="I11042"/>
      <c r="K11042"/>
      <c r="O11042"/>
      <c r="R11042"/>
      <c r="W11042" s="4"/>
      <c r="X11042" s="4"/>
      <c r="Y11042" s="4"/>
    </row>
    <row r="11043" spans="5:25">
      <c r="E11043"/>
      <c r="G11043"/>
      <c r="H11043"/>
      <c r="I11043"/>
      <c r="K11043"/>
      <c r="O11043"/>
      <c r="R11043"/>
      <c r="W11043" s="4"/>
      <c r="X11043" s="4"/>
      <c r="Y11043" s="4"/>
    </row>
    <row r="11044" spans="5:25">
      <c r="E11044"/>
      <c r="G11044"/>
      <c r="H11044"/>
      <c r="I11044"/>
      <c r="K11044"/>
      <c r="O11044"/>
      <c r="R11044"/>
      <c r="W11044" s="4"/>
      <c r="X11044" s="4"/>
      <c r="Y11044" s="4"/>
    </row>
    <row r="11045" spans="5:25">
      <c r="E11045"/>
      <c r="G11045"/>
      <c r="H11045"/>
      <c r="I11045"/>
      <c r="K11045"/>
      <c r="O11045"/>
      <c r="R11045"/>
      <c r="W11045" s="4"/>
      <c r="X11045" s="4"/>
      <c r="Y11045" s="4"/>
    </row>
    <row r="11046" spans="5:25">
      <c r="E11046"/>
      <c r="G11046"/>
      <c r="H11046"/>
      <c r="I11046"/>
      <c r="K11046"/>
      <c r="O11046"/>
      <c r="R11046"/>
      <c r="W11046" s="4"/>
      <c r="X11046" s="4"/>
      <c r="Y11046" s="4"/>
    </row>
    <row r="11047" spans="5:25">
      <c r="E11047"/>
      <c r="G11047"/>
      <c r="H11047"/>
      <c r="I11047"/>
      <c r="K11047"/>
      <c r="O11047"/>
      <c r="R11047"/>
      <c r="W11047" s="4"/>
      <c r="X11047" s="4"/>
      <c r="Y11047" s="4"/>
    </row>
    <row r="11048" spans="5:25">
      <c r="E11048"/>
      <c r="G11048"/>
      <c r="H11048"/>
      <c r="I11048"/>
      <c r="K11048"/>
      <c r="O11048"/>
      <c r="R11048"/>
      <c r="W11048" s="4"/>
      <c r="X11048" s="4"/>
      <c r="Y11048" s="4"/>
    </row>
    <row r="11049" spans="5:25">
      <c r="E11049"/>
      <c r="G11049"/>
      <c r="H11049"/>
      <c r="I11049"/>
      <c r="K11049"/>
      <c r="O11049"/>
      <c r="R11049"/>
      <c r="W11049" s="4"/>
      <c r="X11049" s="4"/>
      <c r="Y11049" s="4"/>
    </row>
    <row r="11050" spans="5:25">
      <c r="E11050"/>
      <c r="G11050"/>
      <c r="H11050"/>
      <c r="I11050"/>
      <c r="K11050"/>
      <c r="O11050"/>
      <c r="R11050"/>
      <c r="W11050" s="4"/>
      <c r="X11050" s="4"/>
      <c r="Y11050" s="4"/>
    </row>
    <row r="11051" spans="5:25">
      <c r="E11051"/>
      <c r="G11051"/>
      <c r="H11051"/>
      <c r="I11051"/>
      <c r="K11051"/>
      <c r="O11051"/>
      <c r="R11051"/>
      <c r="W11051" s="4"/>
      <c r="X11051" s="4"/>
      <c r="Y11051" s="4"/>
    </row>
    <row r="11052" spans="5:25">
      <c r="E11052"/>
      <c r="G11052"/>
      <c r="H11052"/>
      <c r="I11052"/>
      <c r="K11052"/>
      <c r="O11052"/>
      <c r="R11052"/>
      <c r="W11052" s="4"/>
      <c r="X11052" s="4"/>
      <c r="Y11052" s="4"/>
    </row>
    <row r="11053" spans="5:25">
      <c r="E11053"/>
      <c r="G11053"/>
      <c r="H11053"/>
      <c r="I11053"/>
      <c r="K11053"/>
      <c r="O11053"/>
      <c r="R11053"/>
      <c r="W11053" s="4"/>
      <c r="X11053" s="4"/>
      <c r="Y11053" s="4"/>
    </row>
    <row r="11054" spans="5:25">
      <c r="E11054"/>
      <c r="G11054"/>
      <c r="H11054"/>
      <c r="I11054"/>
      <c r="K11054"/>
      <c r="O11054"/>
      <c r="R11054"/>
      <c r="W11054" s="4"/>
      <c r="X11054" s="4"/>
      <c r="Y11054" s="4"/>
    </row>
    <row r="11055" spans="5:25">
      <c r="E11055"/>
      <c r="G11055"/>
      <c r="H11055"/>
      <c r="I11055"/>
      <c r="K11055"/>
      <c r="O11055"/>
      <c r="R11055"/>
      <c r="W11055" s="4"/>
      <c r="X11055" s="4"/>
      <c r="Y11055" s="4"/>
    </row>
    <row r="11056" spans="5:25">
      <c r="E11056"/>
      <c r="G11056"/>
      <c r="H11056"/>
      <c r="I11056"/>
      <c r="K11056"/>
      <c r="O11056"/>
      <c r="R11056"/>
      <c r="W11056" s="4"/>
      <c r="X11056" s="4"/>
      <c r="Y11056" s="4"/>
    </row>
    <row r="11057" spans="5:25">
      <c r="E11057"/>
      <c r="G11057"/>
      <c r="H11057"/>
      <c r="I11057"/>
      <c r="K11057"/>
      <c r="O11057"/>
      <c r="R11057"/>
      <c r="W11057" s="4"/>
      <c r="X11057" s="4"/>
      <c r="Y11057" s="4"/>
    </row>
    <row r="11058" spans="5:25">
      <c r="E11058"/>
      <c r="G11058"/>
      <c r="H11058"/>
      <c r="I11058"/>
      <c r="K11058"/>
      <c r="O11058"/>
      <c r="R11058"/>
      <c r="W11058" s="4"/>
      <c r="X11058" s="4"/>
      <c r="Y11058" s="4"/>
    </row>
    <row r="11059" spans="5:25">
      <c r="E11059"/>
      <c r="G11059"/>
      <c r="H11059"/>
      <c r="I11059"/>
      <c r="K11059"/>
      <c r="O11059"/>
      <c r="R11059"/>
      <c r="W11059" s="4"/>
      <c r="X11059" s="4"/>
      <c r="Y11059" s="4"/>
    </row>
    <row r="11060" spans="5:25">
      <c r="E11060"/>
      <c r="G11060"/>
      <c r="H11060"/>
      <c r="I11060"/>
      <c r="K11060"/>
      <c r="O11060"/>
      <c r="R11060"/>
      <c r="W11060" s="4"/>
      <c r="X11060" s="4"/>
      <c r="Y11060" s="4"/>
    </row>
    <row r="11061" spans="5:25">
      <c r="E11061"/>
      <c r="G11061"/>
      <c r="H11061"/>
      <c r="I11061"/>
      <c r="K11061"/>
      <c r="O11061"/>
      <c r="R11061"/>
      <c r="W11061" s="4"/>
      <c r="X11061" s="4"/>
      <c r="Y11061" s="4"/>
    </row>
    <row r="11062" spans="5:25">
      <c r="E11062"/>
      <c r="G11062"/>
      <c r="H11062"/>
      <c r="I11062"/>
      <c r="K11062"/>
      <c r="O11062"/>
      <c r="R11062"/>
      <c r="W11062" s="4"/>
      <c r="X11062" s="4"/>
      <c r="Y11062" s="4"/>
    </row>
    <row r="11063" spans="5:25">
      <c r="E11063"/>
      <c r="G11063"/>
      <c r="H11063"/>
      <c r="I11063"/>
      <c r="K11063"/>
      <c r="O11063"/>
      <c r="R11063"/>
      <c r="W11063" s="4"/>
      <c r="X11063" s="4"/>
      <c r="Y11063" s="4"/>
    </row>
    <row r="11064" spans="5:25">
      <c r="E11064"/>
      <c r="G11064"/>
      <c r="H11064"/>
      <c r="I11064"/>
      <c r="K11064"/>
      <c r="O11064"/>
      <c r="R11064"/>
      <c r="W11064" s="4"/>
      <c r="X11064" s="4"/>
      <c r="Y11064" s="4"/>
    </row>
    <row r="11065" spans="5:25">
      <c r="E11065"/>
      <c r="G11065"/>
      <c r="H11065"/>
      <c r="I11065"/>
      <c r="K11065"/>
      <c r="O11065"/>
      <c r="R11065"/>
      <c r="W11065" s="4"/>
      <c r="X11065" s="4"/>
      <c r="Y11065" s="4"/>
    </row>
    <row r="11066" spans="5:25">
      <c r="E11066"/>
      <c r="G11066"/>
      <c r="H11066"/>
      <c r="I11066"/>
      <c r="K11066"/>
      <c r="O11066"/>
      <c r="R11066"/>
      <c r="W11066" s="4"/>
      <c r="X11066" s="4"/>
      <c r="Y11066" s="4"/>
    </row>
    <row r="11067" spans="5:25">
      <c r="E11067"/>
      <c r="G11067"/>
      <c r="H11067"/>
      <c r="I11067"/>
      <c r="K11067"/>
      <c r="O11067"/>
      <c r="R11067"/>
      <c r="W11067" s="4"/>
      <c r="X11067" s="4"/>
      <c r="Y11067" s="4"/>
    </row>
    <row r="11068" spans="5:25">
      <c r="E11068"/>
      <c r="G11068"/>
      <c r="H11068"/>
      <c r="I11068"/>
      <c r="K11068"/>
      <c r="O11068"/>
      <c r="R11068"/>
      <c r="W11068" s="4"/>
      <c r="X11068" s="4"/>
      <c r="Y11068" s="4"/>
    </row>
    <row r="11069" spans="5:25">
      <c r="E11069"/>
      <c r="G11069"/>
      <c r="H11069"/>
      <c r="I11069"/>
      <c r="K11069"/>
      <c r="O11069"/>
      <c r="R11069"/>
      <c r="W11069" s="4"/>
      <c r="X11069" s="4"/>
      <c r="Y11069" s="4"/>
    </row>
    <row r="11070" spans="5:25">
      <c r="E11070"/>
      <c r="G11070"/>
      <c r="H11070"/>
      <c r="I11070"/>
      <c r="K11070"/>
      <c r="O11070"/>
      <c r="R11070"/>
      <c r="W11070" s="4"/>
      <c r="X11070" s="4"/>
      <c r="Y11070" s="4"/>
    </row>
    <row r="11071" spans="5:25">
      <c r="E11071"/>
      <c r="G11071"/>
      <c r="H11071"/>
      <c r="I11071"/>
      <c r="K11071"/>
      <c r="O11071"/>
      <c r="R11071"/>
      <c r="W11071" s="4"/>
      <c r="X11071" s="4"/>
      <c r="Y11071" s="4"/>
    </row>
    <row r="11072" spans="5:25">
      <c r="E11072"/>
      <c r="G11072"/>
      <c r="H11072"/>
      <c r="I11072"/>
      <c r="K11072"/>
      <c r="O11072"/>
      <c r="R11072"/>
      <c r="W11072" s="4"/>
      <c r="X11072" s="4"/>
      <c r="Y11072" s="4"/>
    </row>
    <row r="11073" spans="5:25">
      <c r="E11073"/>
      <c r="G11073"/>
      <c r="H11073"/>
      <c r="I11073"/>
      <c r="K11073"/>
      <c r="O11073"/>
      <c r="R11073"/>
      <c r="W11073" s="4"/>
      <c r="X11073" s="4"/>
      <c r="Y11073" s="4"/>
    </row>
    <row r="11074" spans="5:25">
      <c r="E11074"/>
      <c r="G11074"/>
      <c r="H11074"/>
      <c r="I11074"/>
      <c r="K11074"/>
      <c r="O11074"/>
      <c r="R11074"/>
      <c r="W11074" s="4"/>
      <c r="X11074" s="4"/>
      <c r="Y11074" s="4"/>
    </row>
    <row r="11075" spans="5:25">
      <c r="E11075"/>
      <c r="G11075"/>
      <c r="H11075"/>
      <c r="I11075"/>
      <c r="K11075"/>
      <c r="O11075"/>
      <c r="R11075"/>
      <c r="W11075" s="4"/>
      <c r="X11075" s="4"/>
      <c r="Y11075" s="4"/>
    </row>
    <row r="11076" spans="5:25">
      <c r="E11076"/>
      <c r="G11076"/>
      <c r="H11076"/>
      <c r="I11076"/>
      <c r="K11076"/>
      <c r="O11076"/>
      <c r="R11076"/>
      <c r="W11076" s="4"/>
      <c r="X11076" s="4"/>
      <c r="Y11076" s="4"/>
    </row>
    <row r="11077" spans="5:25">
      <c r="E11077"/>
      <c r="G11077"/>
      <c r="H11077"/>
      <c r="I11077"/>
      <c r="K11077"/>
      <c r="O11077"/>
      <c r="R11077"/>
      <c r="W11077" s="4"/>
      <c r="X11077" s="4"/>
      <c r="Y11077" s="4"/>
    </row>
    <row r="11078" spans="5:25">
      <c r="E11078"/>
      <c r="G11078"/>
      <c r="H11078"/>
      <c r="I11078"/>
      <c r="K11078"/>
      <c r="O11078"/>
      <c r="R11078"/>
      <c r="W11078" s="4"/>
      <c r="X11078" s="4"/>
      <c r="Y11078" s="4"/>
    </row>
    <row r="11079" spans="5:25">
      <c r="E11079"/>
      <c r="G11079"/>
      <c r="H11079"/>
      <c r="I11079"/>
      <c r="K11079"/>
      <c r="O11079"/>
      <c r="R11079"/>
      <c r="W11079" s="4"/>
      <c r="X11079" s="4"/>
      <c r="Y11079" s="4"/>
    </row>
    <row r="11080" spans="5:25">
      <c r="E11080"/>
      <c r="G11080"/>
      <c r="H11080"/>
      <c r="I11080"/>
      <c r="K11080"/>
      <c r="O11080"/>
      <c r="R11080"/>
      <c r="W11080" s="4"/>
      <c r="X11080" s="4"/>
      <c r="Y11080" s="4"/>
    </row>
    <row r="11081" spans="5:25">
      <c r="E11081"/>
      <c r="G11081"/>
      <c r="H11081"/>
      <c r="I11081"/>
      <c r="K11081"/>
      <c r="O11081"/>
      <c r="R11081"/>
      <c r="W11081" s="4"/>
      <c r="X11081" s="4"/>
      <c r="Y11081" s="4"/>
    </row>
    <row r="11082" spans="5:25">
      <c r="E11082"/>
      <c r="G11082"/>
      <c r="H11082"/>
      <c r="I11082"/>
      <c r="K11082"/>
      <c r="O11082"/>
      <c r="R11082"/>
      <c r="W11082" s="4"/>
      <c r="X11082" s="4"/>
      <c r="Y11082" s="4"/>
    </row>
    <row r="11083" spans="5:25">
      <c r="E11083"/>
      <c r="G11083"/>
      <c r="H11083"/>
      <c r="I11083"/>
      <c r="K11083"/>
      <c r="O11083"/>
      <c r="R11083"/>
      <c r="W11083" s="4"/>
      <c r="X11083" s="4"/>
      <c r="Y11083" s="4"/>
    </row>
    <row r="11084" spans="5:25">
      <c r="E11084"/>
      <c r="G11084"/>
      <c r="H11084"/>
      <c r="I11084"/>
      <c r="K11084"/>
      <c r="O11084"/>
      <c r="R11084"/>
      <c r="W11084" s="4"/>
      <c r="X11084" s="4"/>
      <c r="Y11084" s="4"/>
    </row>
    <row r="11085" spans="5:25">
      <c r="E11085"/>
      <c r="G11085"/>
      <c r="H11085"/>
      <c r="I11085"/>
      <c r="K11085"/>
      <c r="O11085"/>
      <c r="R11085"/>
      <c r="W11085" s="4"/>
      <c r="X11085" s="4"/>
      <c r="Y11085" s="4"/>
    </row>
    <row r="11086" spans="5:25">
      <c r="E11086"/>
      <c r="G11086"/>
      <c r="H11086"/>
      <c r="I11086"/>
      <c r="K11086"/>
      <c r="O11086"/>
      <c r="R11086"/>
      <c r="W11086" s="4"/>
      <c r="X11086" s="4"/>
      <c r="Y11086" s="4"/>
    </row>
    <row r="11087" spans="5:25">
      <c r="E11087"/>
      <c r="G11087"/>
      <c r="H11087"/>
      <c r="I11087"/>
      <c r="K11087"/>
      <c r="O11087"/>
      <c r="R11087"/>
      <c r="W11087" s="4"/>
      <c r="X11087" s="4"/>
      <c r="Y11087" s="4"/>
    </row>
    <row r="11088" spans="5:25">
      <c r="E11088"/>
      <c r="G11088"/>
      <c r="H11088"/>
      <c r="I11088"/>
      <c r="K11088"/>
      <c r="O11088"/>
      <c r="R11088"/>
      <c r="W11088" s="4"/>
      <c r="X11088" s="4"/>
      <c r="Y11088" s="4"/>
    </row>
    <row r="11089" spans="5:25">
      <c r="E11089"/>
      <c r="G11089"/>
      <c r="H11089"/>
      <c r="I11089"/>
      <c r="K11089"/>
      <c r="O11089"/>
      <c r="R11089"/>
      <c r="W11089" s="4"/>
      <c r="X11089" s="4"/>
      <c r="Y11089" s="4"/>
    </row>
    <row r="11090" spans="5:25">
      <c r="E11090"/>
      <c r="G11090"/>
      <c r="H11090"/>
      <c r="I11090"/>
      <c r="K11090"/>
      <c r="O11090"/>
      <c r="R11090"/>
      <c r="W11090" s="4"/>
      <c r="X11090" s="4"/>
      <c r="Y11090" s="4"/>
    </row>
    <row r="11091" spans="5:25">
      <c r="E11091"/>
      <c r="G11091"/>
      <c r="H11091"/>
      <c r="I11091"/>
      <c r="K11091"/>
      <c r="O11091"/>
      <c r="R11091"/>
      <c r="W11091" s="4"/>
      <c r="X11091" s="4"/>
      <c r="Y11091" s="4"/>
    </row>
    <row r="11092" spans="5:25">
      <c r="E11092"/>
      <c r="G11092"/>
      <c r="H11092"/>
      <c r="I11092"/>
      <c r="K11092"/>
      <c r="O11092"/>
      <c r="R11092"/>
      <c r="W11092" s="4"/>
      <c r="X11092" s="4"/>
      <c r="Y11092" s="4"/>
    </row>
    <row r="11093" spans="5:25">
      <c r="E11093"/>
      <c r="G11093"/>
      <c r="H11093"/>
      <c r="I11093"/>
      <c r="K11093"/>
      <c r="O11093"/>
      <c r="R11093"/>
      <c r="W11093" s="4"/>
      <c r="X11093" s="4"/>
      <c r="Y11093" s="4"/>
    </row>
    <row r="11094" spans="5:25">
      <c r="E11094"/>
      <c r="G11094"/>
      <c r="H11094"/>
      <c r="I11094"/>
      <c r="K11094"/>
      <c r="O11094"/>
      <c r="R11094"/>
      <c r="W11094" s="4"/>
      <c r="X11094" s="4"/>
      <c r="Y11094" s="4"/>
    </row>
    <row r="11095" spans="5:25">
      <c r="E11095"/>
      <c r="G11095"/>
      <c r="H11095"/>
      <c r="I11095"/>
      <c r="K11095"/>
      <c r="O11095"/>
      <c r="R11095"/>
      <c r="W11095" s="4"/>
      <c r="X11095" s="4"/>
      <c r="Y11095" s="4"/>
    </row>
    <row r="11096" spans="5:25">
      <c r="E11096"/>
      <c r="G11096"/>
      <c r="H11096"/>
      <c r="I11096"/>
      <c r="K11096"/>
      <c r="O11096"/>
      <c r="R11096"/>
      <c r="W11096" s="4"/>
      <c r="X11096" s="4"/>
      <c r="Y11096" s="4"/>
    </row>
    <row r="11097" spans="5:25">
      <c r="E11097"/>
      <c r="G11097"/>
      <c r="H11097"/>
      <c r="I11097"/>
      <c r="K11097"/>
      <c r="O11097"/>
      <c r="R11097"/>
      <c r="W11097" s="4"/>
      <c r="X11097" s="4"/>
      <c r="Y11097" s="4"/>
    </row>
    <row r="11098" spans="5:25">
      <c r="E11098"/>
      <c r="G11098"/>
      <c r="H11098"/>
      <c r="I11098"/>
      <c r="K11098"/>
      <c r="O11098"/>
      <c r="R11098"/>
      <c r="W11098" s="4"/>
      <c r="X11098" s="4"/>
      <c r="Y11098" s="4"/>
    </row>
    <row r="11099" spans="5:25">
      <c r="E11099"/>
      <c r="G11099"/>
      <c r="H11099"/>
      <c r="I11099"/>
      <c r="K11099"/>
      <c r="O11099"/>
      <c r="R11099"/>
      <c r="W11099" s="4"/>
      <c r="X11099" s="4"/>
      <c r="Y11099" s="4"/>
    </row>
    <row r="11100" spans="5:25">
      <c r="E11100"/>
      <c r="G11100"/>
      <c r="H11100"/>
      <c r="I11100"/>
      <c r="K11100"/>
      <c r="O11100"/>
      <c r="R11100"/>
      <c r="W11100" s="4"/>
      <c r="X11100" s="4"/>
      <c r="Y11100" s="4"/>
    </row>
    <row r="11101" spans="5:25">
      <c r="E11101"/>
      <c r="G11101"/>
      <c r="H11101"/>
      <c r="I11101"/>
      <c r="K11101"/>
      <c r="O11101"/>
      <c r="R11101"/>
      <c r="W11101" s="4"/>
      <c r="X11101" s="4"/>
      <c r="Y11101" s="4"/>
    </row>
    <row r="11102" spans="5:25">
      <c r="E11102"/>
      <c r="G11102"/>
      <c r="H11102"/>
      <c r="I11102"/>
      <c r="K11102"/>
      <c r="O11102"/>
      <c r="R11102"/>
      <c r="W11102" s="4"/>
      <c r="X11102" s="4"/>
      <c r="Y11102" s="4"/>
    </row>
    <row r="11103" spans="5:25">
      <c r="E11103"/>
      <c r="G11103"/>
      <c r="H11103"/>
      <c r="I11103"/>
      <c r="K11103"/>
      <c r="O11103"/>
      <c r="R11103"/>
      <c r="W11103" s="4"/>
      <c r="X11103" s="4"/>
      <c r="Y11103" s="4"/>
    </row>
    <row r="11104" spans="5:25">
      <c r="E11104"/>
      <c r="G11104"/>
      <c r="H11104"/>
      <c r="I11104"/>
      <c r="K11104"/>
      <c r="O11104"/>
      <c r="R11104"/>
      <c r="W11104" s="4"/>
      <c r="X11104" s="4"/>
      <c r="Y11104" s="4"/>
    </row>
    <row r="11105" spans="5:25">
      <c r="E11105"/>
      <c r="G11105"/>
      <c r="H11105"/>
      <c r="I11105"/>
      <c r="K11105"/>
      <c r="O11105"/>
      <c r="R11105"/>
      <c r="W11105" s="4"/>
      <c r="X11105" s="4"/>
      <c r="Y11105" s="4"/>
    </row>
    <row r="11106" spans="5:25">
      <c r="E11106"/>
      <c r="G11106"/>
      <c r="H11106"/>
      <c r="I11106"/>
      <c r="K11106"/>
      <c r="O11106"/>
      <c r="R11106"/>
      <c r="W11106" s="4"/>
      <c r="X11106" s="4"/>
      <c r="Y11106" s="4"/>
    </row>
    <row r="11107" spans="5:25">
      <c r="E11107"/>
      <c r="G11107"/>
      <c r="H11107"/>
      <c r="I11107"/>
      <c r="K11107"/>
      <c r="O11107"/>
      <c r="R11107"/>
      <c r="W11107" s="4"/>
      <c r="X11107" s="4"/>
      <c r="Y11107" s="4"/>
    </row>
    <row r="11108" spans="5:25">
      <c r="E11108"/>
      <c r="G11108"/>
      <c r="H11108"/>
      <c r="I11108"/>
      <c r="K11108"/>
      <c r="O11108"/>
      <c r="R11108"/>
      <c r="W11108" s="4"/>
      <c r="X11108" s="4"/>
      <c r="Y11108" s="4"/>
    </row>
    <row r="11109" spans="5:25">
      <c r="E11109"/>
      <c r="G11109"/>
      <c r="H11109"/>
      <c r="I11109"/>
      <c r="K11109"/>
      <c r="O11109"/>
      <c r="R11109"/>
      <c r="W11109" s="4"/>
      <c r="X11109" s="4"/>
      <c r="Y11109" s="4"/>
    </row>
    <row r="11110" spans="5:25">
      <c r="E11110"/>
      <c r="G11110"/>
      <c r="H11110"/>
      <c r="I11110"/>
      <c r="K11110"/>
      <c r="O11110"/>
      <c r="R11110"/>
      <c r="W11110" s="4"/>
      <c r="X11110" s="4"/>
      <c r="Y11110" s="4"/>
    </row>
    <row r="11111" spans="5:25">
      <c r="E11111"/>
      <c r="G11111"/>
      <c r="H11111"/>
      <c r="I11111"/>
      <c r="K11111"/>
      <c r="O11111"/>
      <c r="R11111"/>
      <c r="W11111" s="4"/>
      <c r="X11111" s="4"/>
      <c r="Y11111" s="4"/>
    </row>
    <row r="11112" spans="5:25">
      <c r="E11112"/>
      <c r="G11112"/>
      <c r="H11112"/>
      <c r="I11112"/>
      <c r="K11112"/>
      <c r="O11112"/>
      <c r="R11112"/>
      <c r="W11112" s="4"/>
      <c r="X11112" s="4"/>
      <c r="Y11112" s="4"/>
    </row>
    <row r="11113" spans="5:25">
      <c r="E11113"/>
      <c r="G11113"/>
      <c r="H11113"/>
      <c r="I11113"/>
      <c r="K11113"/>
      <c r="O11113"/>
      <c r="R11113"/>
      <c r="W11113" s="4"/>
      <c r="X11113" s="4"/>
      <c r="Y11113" s="4"/>
    </row>
    <row r="11114" spans="5:25">
      <c r="E11114"/>
      <c r="G11114"/>
      <c r="H11114"/>
      <c r="I11114"/>
      <c r="K11114"/>
      <c r="O11114"/>
      <c r="R11114"/>
      <c r="W11114" s="4"/>
      <c r="X11114" s="4"/>
      <c r="Y11114" s="4"/>
    </row>
    <row r="11115" spans="5:25">
      <c r="E11115"/>
      <c r="G11115"/>
      <c r="H11115"/>
      <c r="I11115"/>
      <c r="K11115"/>
      <c r="O11115"/>
      <c r="R11115"/>
      <c r="W11115" s="4"/>
      <c r="X11115" s="4"/>
      <c r="Y11115" s="4"/>
    </row>
    <row r="11116" spans="5:25">
      <c r="E11116"/>
      <c r="G11116"/>
      <c r="H11116"/>
      <c r="I11116"/>
      <c r="K11116"/>
      <c r="O11116"/>
      <c r="R11116"/>
      <c r="W11116" s="4"/>
      <c r="X11116" s="4"/>
      <c r="Y11116" s="4"/>
    </row>
    <row r="11117" spans="5:25">
      <c r="E11117"/>
      <c r="G11117"/>
      <c r="H11117"/>
      <c r="I11117"/>
      <c r="K11117"/>
      <c r="O11117"/>
      <c r="R11117"/>
      <c r="W11117" s="4"/>
      <c r="X11117" s="4"/>
      <c r="Y11117" s="4"/>
    </row>
    <row r="11118" spans="5:25">
      <c r="E11118"/>
      <c r="G11118"/>
      <c r="H11118"/>
      <c r="I11118"/>
      <c r="K11118"/>
      <c r="O11118"/>
      <c r="R11118"/>
      <c r="W11118" s="4"/>
      <c r="X11118" s="4"/>
      <c r="Y11118" s="4"/>
    </row>
    <row r="11119" spans="5:25">
      <c r="E11119"/>
      <c r="G11119"/>
      <c r="H11119"/>
      <c r="I11119"/>
      <c r="K11119"/>
      <c r="O11119"/>
      <c r="R11119"/>
      <c r="W11119" s="4"/>
      <c r="X11119" s="4"/>
      <c r="Y11119" s="4"/>
    </row>
    <row r="11120" spans="5:25">
      <c r="E11120"/>
      <c r="G11120"/>
      <c r="H11120"/>
      <c r="I11120"/>
      <c r="K11120"/>
      <c r="O11120"/>
      <c r="R11120"/>
      <c r="W11120" s="4"/>
      <c r="X11120" s="4"/>
      <c r="Y11120" s="4"/>
    </row>
    <row r="11121" spans="5:25">
      <c r="E11121"/>
      <c r="G11121"/>
      <c r="H11121"/>
      <c r="I11121"/>
      <c r="K11121"/>
      <c r="O11121"/>
      <c r="R11121"/>
      <c r="W11121" s="4"/>
      <c r="X11121" s="4"/>
      <c r="Y11121" s="4"/>
    </row>
    <row r="11122" spans="5:25">
      <c r="E11122"/>
      <c r="G11122"/>
      <c r="H11122"/>
      <c r="I11122"/>
      <c r="K11122"/>
      <c r="O11122"/>
      <c r="R11122"/>
      <c r="W11122" s="4"/>
      <c r="X11122" s="4"/>
      <c r="Y11122" s="4"/>
    </row>
    <row r="11123" spans="5:25">
      <c r="E11123"/>
      <c r="G11123"/>
      <c r="H11123"/>
      <c r="I11123"/>
      <c r="K11123"/>
      <c r="O11123"/>
      <c r="R11123"/>
      <c r="W11123" s="4"/>
      <c r="X11123" s="4"/>
      <c r="Y11123" s="4"/>
    </row>
    <row r="11124" spans="5:25">
      <c r="E11124"/>
      <c r="G11124"/>
      <c r="H11124"/>
      <c r="I11124"/>
      <c r="K11124"/>
      <c r="O11124"/>
      <c r="R11124"/>
      <c r="W11124" s="4"/>
      <c r="X11124" s="4"/>
      <c r="Y11124" s="4"/>
    </row>
    <row r="11125" spans="5:25">
      <c r="E11125"/>
      <c r="G11125"/>
      <c r="H11125"/>
      <c r="I11125"/>
      <c r="K11125"/>
      <c r="O11125"/>
      <c r="R11125"/>
      <c r="W11125" s="4"/>
      <c r="X11125" s="4"/>
      <c r="Y11125" s="4"/>
    </row>
    <row r="11126" spans="5:25">
      <c r="E11126"/>
      <c r="G11126"/>
      <c r="H11126"/>
      <c r="I11126"/>
      <c r="K11126"/>
      <c r="O11126"/>
      <c r="R11126"/>
      <c r="W11126" s="4"/>
      <c r="X11126" s="4"/>
      <c r="Y11126" s="4"/>
    </row>
    <row r="11127" spans="5:25">
      <c r="E11127"/>
      <c r="G11127"/>
      <c r="H11127"/>
      <c r="I11127"/>
      <c r="K11127"/>
      <c r="O11127"/>
      <c r="R11127"/>
      <c r="W11127" s="4"/>
      <c r="X11127" s="4"/>
      <c r="Y11127" s="4"/>
    </row>
    <row r="11128" spans="5:25">
      <c r="E11128"/>
      <c r="G11128"/>
      <c r="H11128"/>
      <c r="I11128"/>
      <c r="K11128"/>
      <c r="O11128"/>
      <c r="R11128"/>
      <c r="W11128" s="4"/>
      <c r="X11128" s="4"/>
      <c r="Y11128" s="4"/>
    </row>
    <row r="11129" spans="5:25">
      <c r="E11129"/>
      <c r="G11129"/>
      <c r="H11129"/>
      <c r="I11129"/>
      <c r="K11129"/>
      <c r="O11129"/>
      <c r="R11129"/>
      <c r="W11129" s="4"/>
      <c r="X11129" s="4"/>
      <c r="Y11129" s="4"/>
    </row>
    <row r="11130" spans="5:25">
      <c r="E11130"/>
      <c r="G11130"/>
      <c r="H11130"/>
      <c r="I11130"/>
      <c r="K11130"/>
      <c r="O11130"/>
      <c r="R11130"/>
      <c r="W11130" s="4"/>
      <c r="X11130" s="4"/>
      <c r="Y11130" s="4"/>
    </row>
    <row r="11131" spans="5:25">
      <c r="E11131"/>
      <c r="G11131"/>
      <c r="H11131"/>
      <c r="I11131"/>
      <c r="K11131"/>
      <c r="O11131"/>
      <c r="R11131"/>
      <c r="W11131" s="4"/>
      <c r="X11131" s="4"/>
      <c r="Y11131" s="4"/>
    </row>
    <row r="11132" spans="5:25">
      <c r="E11132"/>
      <c r="G11132"/>
      <c r="H11132"/>
      <c r="I11132"/>
      <c r="K11132"/>
      <c r="O11132"/>
      <c r="R11132"/>
      <c r="W11132" s="4"/>
      <c r="X11132" s="4"/>
      <c r="Y11132" s="4"/>
    </row>
    <row r="11133" spans="5:25">
      <c r="E11133"/>
      <c r="G11133"/>
      <c r="H11133"/>
      <c r="I11133"/>
      <c r="K11133"/>
      <c r="O11133"/>
      <c r="R11133"/>
      <c r="W11133" s="4"/>
      <c r="X11133" s="4"/>
      <c r="Y11133" s="4"/>
    </row>
    <row r="11134" spans="5:25">
      <c r="E11134"/>
      <c r="G11134"/>
      <c r="H11134"/>
      <c r="I11134"/>
      <c r="K11134"/>
      <c r="O11134"/>
      <c r="R11134"/>
      <c r="W11134" s="4"/>
      <c r="X11134" s="4"/>
      <c r="Y11134" s="4"/>
    </row>
    <row r="11135" spans="5:25">
      <c r="E11135"/>
      <c r="G11135"/>
      <c r="H11135"/>
      <c r="I11135"/>
      <c r="K11135"/>
      <c r="O11135"/>
      <c r="R11135"/>
      <c r="W11135" s="4"/>
      <c r="X11135" s="4"/>
      <c r="Y11135" s="4"/>
    </row>
    <row r="11136" spans="5:25">
      <c r="E11136"/>
      <c r="G11136"/>
      <c r="H11136"/>
      <c r="I11136"/>
      <c r="K11136"/>
      <c r="O11136"/>
      <c r="R11136"/>
      <c r="W11136" s="4"/>
      <c r="X11136" s="4"/>
      <c r="Y11136" s="4"/>
    </row>
    <row r="11137" spans="5:25">
      <c r="E11137"/>
      <c r="G11137"/>
      <c r="H11137"/>
      <c r="I11137"/>
      <c r="K11137"/>
      <c r="O11137"/>
      <c r="R11137"/>
      <c r="W11137" s="4"/>
      <c r="X11137" s="4"/>
      <c r="Y11137" s="4"/>
    </row>
    <row r="11138" spans="5:25">
      <c r="E11138"/>
      <c r="G11138"/>
      <c r="H11138"/>
      <c r="I11138"/>
      <c r="K11138"/>
      <c r="O11138"/>
      <c r="R11138"/>
      <c r="W11138" s="4"/>
      <c r="X11138" s="4"/>
      <c r="Y11138" s="4"/>
    </row>
    <row r="11139" spans="5:25">
      <c r="E11139"/>
      <c r="G11139"/>
      <c r="H11139"/>
      <c r="I11139"/>
      <c r="K11139"/>
      <c r="O11139"/>
      <c r="R11139"/>
      <c r="W11139" s="4"/>
      <c r="X11139" s="4"/>
      <c r="Y11139" s="4"/>
    </row>
    <row r="11140" spans="5:25">
      <c r="E11140"/>
      <c r="G11140"/>
      <c r="H11140"/>
      <c r="I11140"/>
      <c r="K11140"/>
      <c r="O11140"/>
      <c r="R11140"/>
      <c r="W11140" s="4"/>
      <c r="X11140" s="4"/>
      <c r="Y11140" s="4"/>
    </row>
    <row r="11141" spans="5:25">
      <c r="E11141"/>
      <c r="G11141"/>
      <c r="H11141"/>
      <c r="I11141"/>
      <c r="K11141"/>
      <c r="O11141"/>
      <c r="R11141"/>
      <c r="W11141" s="4"/>
      <c r="X11141" s="4"/>
      <c r="Y11141" s="4"/>
    </row>
    <row r="11142" spans="5:25">
      <c r="E11142"/>
      <c r="G11142"/>
      <c r="H11142"/>
      <c r="I11142"/>
      <c r="K11142"/>
      <c r="O11142"/>
      <c r="R11142"/>
      <c r="W11142" s="4"/>
      <c r="X11142" s="4"/>
      <c r="Y11142" s="4"/>
    </row>
    <row r="11143" spans="5:25">
      <c r="E11143"/>
      <c r="G11143"/>
      <c r="H11143"/>
      <c r="I11143"/>
      <c r="K11143"/>
      <c r="O11143"/>
      <c r="R11143"/>
      <c r="W11143" s="4"/>
      <c r="X11143" s="4"/>
      <c r="Y11143" s="4"/>
    </row>
    <row r="11144" spans="5:25">
      <c r="E11144"/>
      <c r="G11144"/>
      <c r="H11144"/>
      <c r="I11144"/>
      <c r="K11144"/>
      <c r="O11144"/>
      <c r="R11144"/>
      <c r="W11144" s="4"/>
      <c r="X11144" s="4"/>
      <c r="Y11144" s="4"/>
    </row>
    <row r="11145" spans="5:25">
      <c r="E11145"/>
      <c r="G11145"/>
      <c r="H11145"/>
      <c r="I11145"/>
      <c r="K11145"/>
      <c r="O11145"/>
      <c r="R11145"/>
      <c r="W11145" s="4"/>
      <c r="X11145" s="4"/>
      <c r="Y11145" s="4"/>
    </row>
    <row r="11146" spans="5:25">
      <c r="E11146"/>
      <c r="G11146"/>
      <c r="H11146"/>
      <c r="I11146"/>
      <c r="K11146"/>
      <c r="O11146"/>
      <c r="R11146"/>
      <c r="W11146" s="4"/>
      <c r="X11146" s="4"/>
      <c r="Y11146" s="4"/>
    </row>
    <row r="11147" spans="5:25">
      <c r="E11147"/>
      <c r="G11147"/>
      <c r="H11147"/>
      <c r="I11147"/>
      <c r="K11147"/>
      <c r="O11147"/>
      <c r="R11147"/>
      <c r="W11147" s="4"/>
      <c r="X11147" s="4"/>
      <c r="Y11147" s="4"/>
    </row>
    <row r="11148" spans="5:25">
      <c r="E11148"/>
      <c r="G11148"/>
      <c r="H11148"/>
      <c r="I11148"/>
      <c r="K11148"/>
      <c r="O11148"/>
      <c r="R11148"/>
      <c r="W11148" s="4"/>
      <c r="X11148" s="4"/>
      <c r="Y11148" s="4"/>
    </row>
    <row r="11149" spans="5:25">
      <c r="E11149"/>
      <c r="G11149"/>
      <c r="H11149"/>
      <c r="I11149"/>
      <c r="K11149"/>
      <c r="O11149"/>
      <c r="R11149"/>
      <c r="W11149" s="4"/>
      <c r="X11149" s="4"/>
      <c r="Y11149" s="4"/>
    </row>
    <row r="11150" spans="5:25">
      <c r="E11150"/>
      <c r="G11150"/>
      <c r="H11150"/>
      <c r="I11150"/>
      <c r="K11150"/>
      <c r="O11150"/>
      <c r="R11150"/>
      <c r="W11150" s="4"/>
      <c r="X11150" s="4"/>
      <c r="Y11150" s="4"/>
    </row>
    <row r="11151" spans="5:25">
      <c r="E11151"/>
      <c r="G11151"/>
      <c r="H11151"/>
      <c r="I11151"/>
      <c r="K11151"/>
      <c r="O11151"/>
      <c r="R11151"/>
      <c r="W11151" s="4"/>
      <c r="X11151" s="4"/>
      <c r="Y11151" s="4"/>
    </row>
    <row r="11152" spans="5:25">
      <c r="E11152"/>
      <c r="G11152"/>
      <c r="H11152"/>
      <c r="I11152"/>
      <c r="K11152"/>
      <c r="O11152"/>
      <c r="R11152"/>
      <c r="W11152" s="4"/>
      <c r="X11152" s="4"/>
      <c r="Y11152" s="4"/>
    </row>
    <row r="11153" spans="5:25">
      <c r="E11153"/>
      <c r="G11153"/>
      <c r="H11153"/>
      <c r="I11153"/>
      <c r="K11153"/>
      <c r="O11153"/>
      <c r="R11153"/>
      <c r="W11153" s="4"/>
      <c r="X11153" s="4"/>
      <c r="Y11153" s="4"/>
    </row>
    <row r="11154" spans="5:25">
      <c r="E11154"/>
      <c r="G11154"/>
      <c r="H11154"/>
      <c r="I11154"/>
      <c r="K11154"/>
      <c r="O11154"/>
      <c r="R11154"/>
      <c r="W11154" s="4"/>
      <c r="X11154" s="4"/>
      <c r="Y11154" s="4"/>
    </row>
    <row r="11155" spans="5:25">
      <c r="E11155"/>
      <c r="G11155"/>
      <c r="H11155"/>
      <c r="I11155"/>
      <c r="K11155"/>
      <c r="O11155"/>
      <c r="R11155"/>
      <c r="W11155" s="4"/>
      <c r="X11155" s="4"/>
      <c r="Y11155" s="4"/>
    </row>
    <row r="11156" spans="5:25">
      <c r="E11156"/>
      <c r="G11156"/>
      <c r="H11156"/>
      <c r="I11156"/>
      <c r="K11156"/>
      <c r="O11156"/>
      <c r="R11156"/>
      <c r="W11156" s="4"/>
      <c r="X11156" s="4"/>
      <c r="Y11156" s="4"/>
    </row>
    <row r="11157" spans="5:25">
      <c r="E11157"/>
      <c r="G11157"/>
      <c r="H11157"/>
      <c r="I11157"/>
      <c r="K11157"/>
      <c r="O11157"/>
      <c r="R11157"/>
      <c r="W11157" s="4"/>
      <c r="X11157" s="4"/>
      <c r="Y11157" s="4"/>
    </row>
    <row r="11158" spans="5:25">
      <c r="E11158"/>
      <c r="G11158"/>
      <c r="H11158"/>
      <c r="I11158"/>
      <c r="K11158"/>
      <c r="O11158"/>
      <c r="R11158"/>
      <c r="W11158" s="4"/>
      <c r="X11158" s="4"/>
      <c r="Y11158" s="4"/>
    </row>
    <row r="11159" spans="5:25">
      <c r="E11159"/>
      <c r="G11159"/>
      <c r="H11159"/>
      <c r="I11159"/>
      <c r="K11159"/>
      <c r="O11159"/>
      <c r="R11159"/>
      <c r="W11159" s="4"/>
      <c r="X11159" s="4"/>
      <c r="Y11159" s="4"/>
    </row>
    <row r="11160" spans="5:25">
      <c r="E11160"/>
      <c r="G11160"/>
      <c r="H11160"/>
      <c r="I11160"/>
      <c r="K11160"/>
      <c r="O11160"/>
      <c r="R11160"/>
      <c r="W11160" s="4"/>
      <c r="X11160" s="4"/>
      <c r="Y11160" s="4"/>
    </row>
    <row r="11161" spans="5:25">
      <c r="E11161"/>
      <c r="G11161"/>
      <c r="H11161"/>
      <c r="I11161"/>
      <c r="K11161"/>
      <c r="O11161"/>
      <c r="R11161"/>
      <c r="W11161" s="4"/>
      <c r="X11161" s="4"/>
      <c r="Y11161" s="4"/>
    </row>
    <row r="11162" spans="5:25">
      <c r="E11162"/>
      <c r="G11162"/>
      <c r="H11162"/>
      <c r="I11162"/>
      <c r="K11162"/>
      <c r="O11162"/>
      <c r="R11162"/>
      <c r="W11162" s="4"/>
      <c r="X11162" s="4"/>
      <c r="Y11162" s="4"/>
    </row>
    <row r="11163" spans="5:25">
      <c r="E11163"/>
      <c r="G11163"/>
      <c r="H11163"/>
      <c r="I11163"/>
      <c r="K11163"/>
      <c r="O11163"/>
      <c r="R11163"/>
      <c r="W11163" s="4"/>
      <c r="X11163" s="4"/>
      <c r="Y11163" s="4"/>
    </row>
    <row r="11164" spans="5:25">
      <c r="E11164"/>
      <c r="G11164"/>
      <c r="H11164"/>
      <c r="I11164"/>
      <c r="K11164"/>
      <c r="O11164"/>
      <c r="R11164"/>
      <c r="W11164" s="4"/>
      <c r="X11164" s="4"/>
      <c r="Y11164" s="4"/>
    </row>
    <row r="11165" spans="5:25">
      <c r="E11165"/>
      <c r="G11165"/>
      <c r="H11165"/>
      <c r="I11165"/>
      <c r="K11165"/>
      <c r="O11165"/>
      <c r="R11165"/>
      <c r="W11165" s="4"/>
      <c r="X11165" s="4"/>
      <c r="Y11165" s="4"/>
    </row>
    <row r="11166" spans="5:25">
      <c r="E11166"/>
      <c r="G11166"/>
      <c r="H11166"/>
      <c r="I11166"/>
      <c r="K11166"/>
      <c r="O11166"/>
      <c r="R11166"/>
      <c r="W11166" s="4"/>
      <c r="X11166" s="4"/>
      <c r="Y11166" s="4"/>
    </row>
    <row r="11167" spans="5:25">
      <c r="E11167"/>
      <c r="G11167"/>
      <c r="H11167"/>
      <c r="I11167"/>
      <c r="K11167"/>
      <c r="O11167"/>
      <c r="R11167"/>
      <c r="W11167" s="4"/>
      <c r="X11167" s="4"/>
      <c r="Y11167" s="4"/>
    </row>
    <row r="11168" spans="5:25">
      <c r="E11168"/>
      <c r="G11168"/>
      <c r="H11168"/>
      <c r="I11168"/>
      <c r="K11168"/>
      <c r="O11168"/>
      <c r="R11168"/>
      <c r="W11168" s="4"/>
      <c r="X11168" s="4"/>
      <c r="Y11168" s="4"/>
    </row>
    <row r="11169" spans="5:25">
      <c r="E11169"/>
      <c r="G11169"/>
      <c r="H11169"/>
      <c r="I11169"/>
      <c r="K11169"/>
      <c r="O11169"/>
      <c r="R11169"/>
      <c r="W11169" s="4"/>
      <c r="X11169" s="4"/>
      <c r="Y11169" s="4"/>
    </row>
    <row r="11170" spans="5:25">
      <c r="E11170"/>
      <c r="G11170"/>
      <c r="H11170"/>
      <c r="I11170"/>
      <c r="K11170"/>
      <c r="O11170"/>
      <c r="R11170"/>
      <c r="W11170" s="4"/>
      <c r="X11170" s="4"/>
      <c r="Y11170" s="4"/>
    </row>
    <row r="11171" spans="5:25">
      <c r="E11171"/>
      <c r="G11171"/>
      <c r="H11171"/>
      <c r="I11171"/>
      <c r="K11171"/>
      <c r="O11171"/>
      <c r="R11171"/>
      <c r="W11171" s="4"/>
      <c r="X11171" s="4"/>
      <c r="Y11171" s="4"/>
    </row>
    <row r="11172" spans="5:25">
      <c r="E11172"/>
      <c r="G11172"/>
      <c r="H11172"/>
      <c r="I11172"/>
      <c r="K11172"/>
      <c r="O11172"/>
      <c r="R11172"/>
      <c r="W11172" s="4"/>
      <c r="X11172" s="4"/>
      <c r="Y11172" s="4"/>
    </row>
    <row r="11173" spans="5:25">
      <c r="E11173"/>
      <c r="G11173"/>
      <c r="H11173"/>
      <c r="I11173"/>
      <c r="K11173"/>
      <c r="O11173"/>
      <c r="R11173"/>
      <c r="W11173" s="4"/>
      <c r="X11173" s="4"/>
      <c r="Y11173" s="4"/>
    </row>
    <row r="11174" spans="5:25">
      <c r="E11174"/>
      <c r="G11174"/>
      <c r="H11174"/>
      <c r="I11174"/>
      <c r="K11174"/>
      <c r="O11174"/>
      <c r="R11174"/>
      <c r="W11174" s="4"/>
      <c r="X11174" s="4"/>
      <c r="Y11174" s="4"/>
    </row>
    <row r="11175" spans="5:25">
      <c r="E11175"/>
      <c r="G11175"/>
      <c r="H11175"/>
      <c r="I11175"/>
      <c r="K11175"/>
      <c r="O11175"/>
      <c r="R11175"/>
      <c r="W11175" s="4"/>
      <c r="X11175" s="4"/>
      <c r="Y11175" s="4"/>
    </row>
    <row r="11176" spans="5:25">
      <c r="E11176"/>
      <c r="G11176"/>
      <c r="H11176"/>
      <c r="I11176"/>
      <c r="K11176"/>
      <c r="O11176"/>
      <c r="R11176"/>
      <c r="W11176" s="4"/>
      <c r="X11176" s="4"/>
      <c r="Y11176" s="4"/>
    </row>
    <row r="11177" spans="5:25">
      <c r="E11177"/>
      <c r="G11177"/>
      <c r="H11177"/>
      <c r="I11177"/>
      <c r="K11177"/>
      <c r="O11177"/>
      <c r="R11177"/>
      <c r="W11177" s="4"/>
      <c r="X11177" s="4"/>
      <c r="Y11177" s="4"/>
    </row>
    <row r="11178" spans="5:25">
      <c r="E11178"/>
      <c r="G11178"/>
      <c r="H11178"/>
      <c r="I11178"/>
      <c r="K11178"/>
      <c r="O11178"/>
      <c r="R11178"/>
      <c r="W11178" s="4"/>
      <c r="X11178" s="4"/>
      <c r="Y11178" s="4"/>
    </row>
    <row r="11179" spans="5:25">
      <c r="E11179"/>
      <c r="G11179"/>
      <c r="H11179"/>
      <c r="I11179"/>
      <c r="K11179"/>
      <c r="O11179"/>
      <c r="R11179"/>
      <c r="W11179" s="4"/>
      <c r="X11179" s="4"/>
      <c r="Y11179" s="4"/>
    </row>
    <row r="11180" spans="5:25">
      <c r="E11180"/>
      <c r="G11180"/>
      <c r="H11180"/>
      <c r="I11180"/>
      <c r="K11180"/>
      <c r="O11180"/>
      <c r="R11180"/>
      <c r="W11180" s="4"/>
      <c r="X11180" s="4"/>
      <c r="Y11180" s="4"/>
    </row>
    <row r="11181" spans="5:25">
      <c r="E11181"/>
      <c r="G11181"/>
      <c r="H11181"/>
      <c r="I11181"/>
      <c r="K11181"/>
      <c r="O11181"/>
      <c r="R11181"/>
      <c r="W11181" s="4"/>
      <c r="X11181" s="4"/>
      <c r="Y11181" s="4"/>
    </row>
    <row r="11182" spans="5:25">
      <c r="E11182"/>
      <c r="G11182"/>
      <c r="H11182"/>
      <c r="I11182"/>
      <c r="K11182"/>
      <c r="O11182"/>
      <c r="R11182"/>
      <c r="W11182" s="4"/>
      <c r="X11182" s="4"/>
      <c r="Y11182" s="4"/>
    </row>
    <row r="11183" spans="5:25">
      <c r="E11183"/>
      <c r="G11183"/>
      <c r="H11183"/>
      <c r="I11183"/>
      <c r="K11183"/>
      <c r="O11183"/>
      <c r="R11183"/>
      <c r="W11183" s="4"/>
      <c r="X11183" s="4"/>
      <c r="Y11183" s="4"/>
    </row>
    <row r="11184" spans="5:25">
      <c r="E11184"/>
      <c r="G11184"/>
      <c r="H11184"/>
      <c r="I11184"/>
      <c r="K11184"/>
      <c r="O11184"/>
      <c r="R11184"/>
      <c r="W11184" s="4"/>
      <c r="X11184" s="4"/>
      <c r="Y11184" s="4"/>
    </row>
    <row r="11185" spans="5:25">
      <c r="E11185"/>
      <c r="G11185"/>
      <c r="H11185"/>
      <c r="I11185"/>
      <c r="K11185"/>
      <c r="O11185"/>
      <c r="R11185"/>
      <c r="W11185" s="4"/>
      <c r="X11185" s="4"/>
      <c r="Y11185" s="4"/>
    </row>
    <row r="11186" spans="5:25">
      <c r="E11186"/>
      <c r="G11186"/>
      <c r="H11186"/>
      <c r="I11186"/>
      <c r="K11186"/>
      <c r="O11186"/>
      <c r="R11186"/>
      <c r="W11186" s="4"/>
      <c r="X11186" s="4"/>
      <c r="Y11186" s="4"/>
    </row>
    <row r="11187" spans="5:25">
      <c r="E11187"/>
      <c r="G11187"/>
      <c r="H11187"/>
      <c r="I11187"/>
      <c r="K11187"/>
      <c r="O11187"/>
      <c r="R11187"/>
      <c r="W11187" s="4"/>
      <c r="X11187" s="4"/>
      <c r="Y11187" s="4"/>
    </row>
    <row r="11188" spans="5:25">
      <c r="E11188"/>
      <c r="G11188"/>
      <c r="H11188"/>
      <c r="I11188"/>
      <c r="K11188"/>
      <c r="O11188"/>
      <c r="R11188"/>
      <c r="W11188" s="4"/>
      <c r="X11188" s="4"/>
      <c r="Y11188" s="4"/>
    </row>
    <row r="11189" spans="5:25">
      <c r="E11189"/>
      <c r="G11189"/>
      <c r="H11189"/>
      <c r="I11189"/>
      <c r="K11189"/>
      <c r="O11189"/>
      <c r="R11189"/>
      <c r="W11189" s="4"/>
      <c r="X11189" s="4"/>
      <c r="Y11189" s="4"/>
    </row>
    <row r="11190" spans="5:25">
      <c r="E11190"/>
      <c r="G11190"/>
      <c r="H11190"/>
      <c r="I11190"/>
      <c r="K11190"/>
      <c r="O11190"/>
      <c r="R11190"/>
      <c r="W11190" s="4"/>
      <c r="X11190" s="4"/>
      <c r="Y11190" s="4"/>
    </row>
    <row r="11191" spans="5:25">
      <c r="E11191"/>
      <c r="G11191"/>
      <c r="H11191"/>
      <c r="I11191"/>
      <c r="K11191"/>
      <c r="O11191"/>
      <c r="R11191"/>
      <c r="W11191" s="4"/>
      <c r="X11191" s="4"/>
      <c r="Y11191" s="4"/>
    </row>
    <row r="11192" spans="5:25">
      <c r="E11192"/>
      <c r="G11192"/>
      <c r="H11192"/>
      <c r="I11192"/>
      <c r="K11192"/>
      <c r="O11192"/>
      <c r="R11192"/>
      <c r="W11192" s="4"/>
      <c r="X11192" s="4"/>
      <c r="Y11192" s="4"/>
    </row>
    <row r="11193" spans="5:25">
      <c r="E11193"/>
      <c r="G11193"/>
      <c r="H11193"/>
      <c r="I11193"/>
      <c r="K11193"/>
      <c r="O11193"/>
      <c r="R11193"/>
      <c r="W11193" s="4"/>
      <c r="X11193" s="4"/>
      <c r="Y11193" s="4"/>
    </row>
    <row r="11194" spans="5:25">
      <c r="E11194"/>
      <c r="G11194"/>
      <c r="H11194"/>
      <c r="I11194"/>
      <c r="K11194"/>
      <c r="O11194"/>
      <c r="R11194"/>
      <c r="W11194" s="4"/>
      <c r="X11194" s="4"/>
      <c r="Y11194" s="4"/>
    </row>
    <row r="11195" spans="5:25">
      <c r="E11195"/>
      <c r="G11195"/>
      <c r="H11195"/>
      <c r="I11195"/>
      <c r="K11195"/>
      <c r="O11195"/>
      <c r="R11195"/>
      <c r="W11195" s="4"/>
      <c r="X11195" s="4"/>
      <c r="Y11195" s="4"/>
    </row>
    <row r="11196" spans="5:25">
      <c r="E11196"/>
      <c r="G11196"/>
      <c r="H11196"/>
      <c r="I11196"/>
      <c r="K11196"/>
      <c r="O11196"/>
      <c r="R11196"/>
      <c r="W11196" s="4"/>
      <c r="X11196" s="4"/>
      <c r="Y11196" s="4"/>
    </row>
    <row r="11197" spans="5:25">
      <c r="E11197"/>
      <c r="G11197"/>
      <c r="H11197"/>
      <c r="I11197"/>
      <c r="K11197"/>
      <c r="O11197"/>
      <c r="R11197"/>
      <c r="W11197" s="4"/>
      <c r="X11197" s="4"/>
      <c r="Y11197" s="4"/>
    </row>
    <row r="11198" spans="5:25">
      <c r="E11198"/>
      <c r="G11198"/>
      <c r="H11198"/>
      <c r="I11198"/>
      <c r="K11198"/>
      <c r="O11198"/>
      <c r="R11198"/>
      <c r="W11198" s="4"/>
      <c r="X11198" s="4"/>
      <c r="Y11198" s="4"/>
    </row>
    <row r="11199" spans="5:25">
      <c r="E11199"/>
      <c r="G11199"/>
      <c r="H11199"/>
      <c r="I11199"/>
      <c r="K11199"/>
      <c r="O11199"/>
      <c r="R11199"/>
      <c r="W11199" s="4"/>
      <c r="X11199" s="4"/>
      <c r="Y11199" s="4"/>
    </row>
    <row r="11200" spans="5:25">
      <c r="E11200"/>
      <c r="G11200"/>
      <c r="H11200"/>
      <c r="I11200"/>
      <c r="K11200"/>
      <c r="O11200"/>
      <c r="R11200"/>
      <c r="W11200" s="4"/>
      <c r="X11200" s="4"/>
      <c r="Y11200" s="4"/>
    </row>
    <row r="11201" spans="5:25">
      <c r="E11201"/>
      <c r="G11201"/>
      <c r="H11201"/>
      <c r="I11201"/>
      <c r="K11201"/>
      <c r="O11201"/>
      <c r="R11201"/>
      <c r="W11201" s="4"/>
      <c r="X11201" s="4"/>
      <c r="Y11201" s="4"/>
    </row>
    <row r="11202" spans="5:25">
      <c r="E11202"/>
      <c r="G11202"/>
      <c r="H11202"/>
      <c r="I11202"/>
      <c r="K11202"/>
      <c r="O11202"/>
      <c r="R11202"/>
      <c r="W11202" s="4"/>
      <c r="X11202" s="4"/>
      <c r="Y11202" s="4"/>
    </row>
    <row r="11203" spans="5:25">
      <c r="E11203"/>
      <c r="G11203"/>
      <c r="H11203"/>
      <c r="I11203"/>
      <c r="K11203"/>
      <c r="O11203"/>
      <c r="R11203"/>
      <c r="W11203" s="4"/>
      <c r="X11203" s="4"/>
      <c r="Y11203" s="4"/>
    </row>
    <row r="11204" spans="5:25">
      <c r="E11204"/>
      <c r="G11204"/>
      <c r="H11204"/>
      <c r="I11204"/>
      <c r="K11204"/>
      <c r="O11204"/>
      <c r="R11204"/>
      <c r="W11204" s="4"/>
      <c r="X11204" s="4"/>
      <c r="Y11204" s="4"/>
    </row>
    <row r="11205" spans="5:25">
      <c r="E11205"/>
      <c r="G11205"/>
      <c r="H11205"/>
      <c r="I11205"/>
      <c r="K11205"/>
      <c r="O11205"/>
      <c r="R11205"/>
      <c r="W11205" s="4"/>
      <c r="X11205" s="4"/>
      <c r="Y11205" s="4"/>
    </row>
    <row r="11206" spans="5:25">
      <c r="E11206"/>
      <c r="G11206"/>
      <c r="H11206"/>
      <c r="I11206"/>
      <c r="K11206"/>
      <c r="O11206"/>
      <c r="R11206"/>
      <c r="W11206" s="4"/>
      <c r="X11206" s="4"/>
      <c r="Y11206" s="4"/>
    </row>
    <row r="11207" spans="5:25">
      <c r="E11207"/>
      <c r="G11207"/>
      <c r="H11207"/>
      <c r="I11207"/>
      <c r="K11207"/>
      <c r="O11207"/>
      <c r="R11207"/>
      <c r="W11207" s="4"/>
      <c r="X11207" s="4"/>
      <c r="Y11207" s="4"/>
    </row>
    <row r="11208" spans="5:25">
      <c r="E11208"/>
      <c r="G11208"/>
      <c r="H11208"/>
      <c r="I11208"/>
      <c r="K11208"/>
      <c r="O11208"/>
      <c r="R11208"/>
      <c r="W11208" s="4"/>
      <c r="X11208" s="4"/>
      <c r="Y11208" s="4"/>
    </row>
    <row r="11209" spans="5:25">
      <c r="E11209"/>
      <c r="G11209"/>
      <c r="H11209"/>
      <c r="I11209"/>
      <c r="K11209"/>
      <c r="O11209"/>
      <c r="R11209"/>
      <c r="W11209" s="4"/>
      <c r="X11209" s="4"/>
      <c r="Y11209" s="4"/>
    </row>
    <row r="11210" spans="5:25">
      <c r="E11210"/>
      <c r="G11210"/>
      <c r="H11210"/>
      <c r="I11210"/>
      <c r="K11210"/>
      <c r="O11210"/>
      <c r="R11210"/>
      <c r="W11210" s="4"/>
      <c r="X11210" s="4"/>
      <c r="Y11210" s="4"/>
    </row>
    <row r="11211" spans="5:25">
      <c r="E11211"/>
      <c r="G11211"/>
      <c r="H11211"/>
      <c r="I11211"/>
      <c r="K11211"/>
      <c r="O11211"/>
      <c r="R11211"/>
      <c r="W11211" s="4"/>
      <c r="X11211" s="4"/>
      <c r="Y11211" s="4"/>
    </row>
    <row r="11212" spans="5:25">
      <c r="E11212"/>
      <c r="G11212"/>
      <c r="H11212"/>
      <c r="I11212"/>
      <c r="K11212"/>
      <c r="O11212"/>
      <c r="R11212"/>
      <c r="W11212" s="4"/>
      <c r="X11212" s="4"/>
      <c r="Y11212" s="4"/>
    </row>
    <row r="11213" spans="5:25">
      <c r="E11213"/>
      <c r="G11213"/>
      <c r="H11213"/>
      <c r="I11213"/>
      <c r="K11213"/>
      <c r="O11213"/>
      <c r="R11213"/>
      <c r="W11213" s="4"/>
      <c r="X11213" s="4"/>
      <c r="Y11213" s="4"/>
    </row>
    <row r="11214" spans="5:25">
      <c r="E11214"/>
      <c r="G11214"/>
      <c r="H11214"/>
      <c r="I11214"/>
      <c r="K11214"/>
      <c r="O11214"/>
      <c r="R11214"/>
      <c r="W11214" s="4"/>
      <c r="X11214" s="4"/>
      <c r="Y11214" s="4"/>
    </row>
    <row r="11215" spans="5:25">
      <c r="E11215"/>
      <c r="G11215"/>
      <c r="H11215"/>
      <c r="I11215"/>
      <c r="K11215"/>
      <c r="O11215"/>
      <c r="R11215"/>
      <c r="W11215" s="4"/>
      <c r="X11215" s="4"/>
      <c r="Y11215" s="4"/>
    </row>
    <row r="11216" spans="5:25">
      <c r="E11216"/>
      <c r="G11216"/>
      <c r="H11216"/>
      <c r="I11216"/>
      <c r="K11216"/>
      <c r="O11216"/>
      <c r="R11216"/>
      <c r="W11216" s="4"/>
      <c r="X11216" s="4"/>
      <c r="Y11216" s="4"/>
    </row>
    <row r="11217" spans="5:25">
      <c r="E11217"/>
      <c r="G11217"/>
      <c r="H11217"/>
      <c r="I11217"/>
      <c r="K11217"/>
      <c r="O11217"/>
      <c r="R11217"/>
      <c r="W11217" s="4"/>
      <c r="X11217" s="4"/>
      <c r="Y11217" s="4"/>
    </row>
    <row r="11218" spans="5:25">
      <c r="E11218"/>
      <c r="G11218"/>
      <c r="H11218"/>
      <c r="I11218"/>
      <c r="K11218"/>
      <c r="O11218"/>
      <c r="R11218"/>
      <c r="W11218" s="4"/>
      <c r="X11218" s="4"/>
      <c r="Y11218" s="4"/>
    </row>
    <row r="11219" spans="5:25">
      <c r="E11219"/>
      <c r="G11219"/>
      <c r="H11219"/>
      <c r="I11219"/>
      <c r="K11219"/>
      <c r="O11219"/>
      <c r="R11219"/>
      <c r="W11219" s="4"/>
      <c r="X11219" s="4"/>
      <c r="Y11219" s="4"/>
    </row>
    <row r="11220" spans="5:25">
      <c r="E11220"/>
      <c r="G11220"/>
      <c r="H11220"/>
      <c r="I11220"/>
      <c r="K11220"/>
      <c r="O11220"/>
      <c r="R11220"/>
      <c r="W11220" s="4"/>
      <c r="X11220" s="4"/>
      <c r="Y11220" s="4"/>
    </row>
    <row r="11221" spans="5:25">
      <c r="E11221"/>
      <c r="G11221"/>
      <c r="H11221"/>
      <c r="I11221"/>
      <c r="K11221"/>
      <c r="O11221"/>
      <c r="R11221"/>
      <c r="W11221" s="4"/>
      <c r="X11221" s="4"/>
      <c r="Y11221" s="4"/>
    </row>
    <row r="11222" spans="5:25">
      <c r="E11222"/>
      <c r="G11222"/>
      <c r="H11222"/>
      <c r="I11222"/>
      <c r="K11222"/>
      <c r="O11222"/>
      <c r="R11222"/>
      <c r="W11222" s="4"/>
      <c r="X11222" s="4"/>
      <c r="Y11222" s="4"/>
    </row>
    <row r="11223" spans="5:25">
      <c r="E11223"/>
      <c r="G11223"/>
      <c r="H11223"/>
      <c r="I11223"/>
      <c r="K11223"/>
      <c r="O11223"/>
      <c r="R11223"/>
      <c r="W11223" s="4"/>
      <c r="X11223" s="4"/>
      <c r="Y11223" s="4"/>
    </row>
    <row r="11224" spans="5:25">
      <c r="E11224"/>
      <c r="G11224"/>
      <c r="H11224"/>
      <c r="I11224"/>
      <c r="K11224"/>
      <c r="O11224"/>
      <c r="R11224"/>
      <c r="W11224" s="4"/>
      <c r="X11224" s="4"/>
      <c r="Y11224" s="4"/>
    </row>
    <row r="11225" spans="5:25">
      <c r="E11225"/>
      <c r="G11225"/>
      <c r="H11225"/>
      <c r="I11225"/>
      <c r="K11225"/>
      <c r="O11225"/>
      <c r="R11225"/>
      <c r="W11225" s="4"/>
      <c r="X11225" s="4"/>
      <c r="Y11225" s="4"/>
    </row>
    <row r="11226" spans="5:25">
      <c r="E11226"/>
      <c r="G11226"/>
      <c r="H11226"/>
      <c r="I11226"/>
      <c r="K11226"/>
      <c r="O11226"/>
      <c r="R11226"/>
      <c r="W11226" s="4"/>
      <c r="X11226" s="4"/>
      <c r="Y11226" s="4"/>
    </row>
    <row r="11227" spans="5:25">
      <c r="E11227"/>
      <c r="G11227"/>
      <c r="H11227"/>
      <c r="I11227"/>
      <c r="K11227"/>
      <c r="O11227"/>
      <c r="R11227"/>
      <c r="W11227" s="4"/>
      <c r="X11227" s="4"/>
      <c r="Y11227" s="4"/>
    </row>
    <row r="11228" spans="5:25">
      <c r="E11228"/>
      <c r="G11228"/>
      <c r="H11228"/>
      <c r="I11228"/>
      <c r="K11228"/>
      <c r="O11228"/>
      <c r="R11228"/>
      <c r="W11228" s="4"/>
      <c r="X11228" s="4"/>
      <c r="Y11228" s="4"/>
    </row>
    <row r="11229" spans="5:25">
      <c r="E11229"/>
      <c r="G11229"/>
      <c r="H11229"/>
      <c r="I11229"/>
      <c r="K11229"/>
      <c r="O11229"/>
      <c r="R11229"/>
      <c r="W11229" s="4"/>
      <c r="X11229" s="4"/>
      <c r="Y11229" s="4"/>
    </row>
    <row r="11230" spans="5:25">
      <c r="E11230"/>
      <c r="G11230"/>
      <c r="H11230"/>
      <c r="I11230"/>
      <c r="K11230"/>
      <c r="O11230"/>
      <c r="R11230"/>
      <c r="W11230" s="4"/>
      <c r="X11230" s="4"/>
      <c r="Y11230" s="4"/>
    </row>
    <row r="11231" spans="5:25">
      <c r="E11231"/>
      <c r="G11231"/>
      <c r="H11231"/>
      <c r="I11231"/>
      <c r="K11231"/>
      <c r="O11231"/>
      <c r="R11231"/>
      <c r="W11231" s="4"/>
      <c r="X11231" s="4"/>
      <c r="Y11231" s="4"/>
    </row>
    <row r="11232" spans="5:25">
      <c r="E11232"/>
      <c r="G11232"/>
      <c r="H11232"/>
      <c r="I11232"/>
      <c r="K11232"/>
      <c r="O11232"/>
      <c r="R11232"/>
      <c r="W11232" s="4"/>
      <c r="X11232" s="4"/>
      <c r="Y11232" s="4"/>
    </row>
    <row r="11233" spans="5:25">
      <c r="E11233"/>
      <c r="G11233"/>
      <c r="H11233"/>
      <c r="I11233"/>
      <c r="K11233"/>
      <c r="O11233"/>
      <c r="R11233"/>
      <c r="W11233" s="4"/>
      <c r="X11233" s="4"/>
      <c r="Y11233" s="4"/>
    </row>
    <row r="11234" spans="5:25">
      <c r="E11234"/>
      <c r="G11234"/>
      <c r="H11234"/>
      <c r="I11234"/>
      <c r="K11234"/>
      <c r="O11234"/>
      <c r="R11234"/>
      <c r="W11234" s="4"/>
      <c r="X11234" s="4"/>
      <c r="Y11234" s="4"/>
    </row>
    <row r="11235" spans="5:25">
      <c r="E11235"/>
      <c r="G11235"/>
      <c r="H11235"/>
      <c r="I11235"/>
      <c r="K11235"/>
      <c r="O11235"/>
      <c r="R11235"/>
      <c r="W11235" s="4"/>
      <c r="X11235" s="4"/>
      <c r="Y11235" s="4"/>
    </row>
    <row r="11236" spans="5:25">
      <c r="E11236"/>
      <c r="G11236"/>
      <c r="H11236"/>
      <c r="I11236"/>
      <c r="K11236"/>
      <c r="O11236"/>
      <c r="R11236"/>
      <c r="W11236" s="4"/>
      <c r="X11236" s="4"/>
      <c r="Y11236" s="4"/>
    </row>
    <row r="11237" spans="5:25">
      <c r="E11237"/>
      <c r="G11237"/>
      <c r="H11237"/>
      <c r="I11237"/>
      <c r="K11237"/>
      <c r="O11237"/>
      <c r="R11237"/>
      <c r="W11237" s="4"/>
      <c r="X11237" s="4"/>
      <c r="Y11237" s="4"/>
    </row>
    <row r="11238" spans="5:25">
      <c r="E11238"/>
      <c r="G11238"/>
      <c r="H11238"/>
      <c r="I11238"/>
      <c r="K11238"/>
      <c r="O11238"/>
      <c r="R11238"/>
      <c r="W11238" s="4"/>
      <c r="X11238" s="4"/>
      <c r="Y11238" s="4"/>
    </row>
    <row r="11239" spans="5:25">
      <c r="E11239"/>
      <c r="G11239"/>
      <c r="H11239"/>
      <c r="I11239"/>
      <c r="K11239"/>
      <c r="O11239"/>
      <c r="R11239"/>
      <c r="W11239" s="4"/>
      <c r="X11239" s="4"/>
      <c r="Y11239" s="4"/>
    </row>
    <row r="11240" spans="5:25">
      <c r="E11240"/>
      <c r="G11240"/>
      <c r="H11240"/>
      <c r="I11240"/>
      <c r="K11240"/>
      <c r="O11240"/>
      <c r="R11240"/>
      <c r="W11240" s="4"/>
      <c r="X11240" s="4"/>
      <c r="Y11240" s="4"/>
    </row>
    <row r="11241" spans="5:25">
      <c r="E11241"/>
      <c r="G11241"/>
      <c r="H11241"/>
      <c r="I11241"/>
      <c r="K11241"/>
      <c r="O11241"/>
      <c r="R11241"/>
      <c r="W11241" s="4"/>
      <c r="X11241" s="4"/>
      <c r="Y11241" s="4"/>
    </row>
    <row r="11242" spans="5:25">
      <c r="E11242"/>
      <c r="G11242"/>
      <c r="H11242"/>
      <c r="I11242"/>
      <c r="K11242"/>
      <c r="O11242"/>
      <c r="R11242"/>
      <c r="W11242" s="4"/>
      <c r="X11242" s="4"/>
      <c r="Y11242" s="4"/>
    </row>
    <row r="11243" spans="5:25">
      <c r="E11243"/>
      <c r="G11243"/>
      <c r="H11243"/>
      <c r="I11243"/>
      <c r="K11243"/>
      <c r="O11243"/>
      <c r="R11243"/>
      <c r="W11243" s="4"/>
      <c r="X11243" s="4"/>
      <c r="Y11243" s="4"/>
    </row>
    <row r="11244" spans="5:25">
      <c r="E11244"/>
      <c r="G11244"/>
      <c r="H11244"/>
      <c r="I11244"/>
      <c r="K11244"/>
      <c r="O11244"/>
      <c r="R11244"/>
      <c r="W11244" s="4"/>
      <c r="X11244" s="4"/>
      <c r="Y11244" s="4"/>
    </row>
    <row r="11245" spans="5:25">
      <c r="E11245"/>
      <c r="G11245"/>
      <c r="H11245"/>
      <c r="I11245"/>
      <c r="K11245"/>
      <c r="O11245"/>
      <c r="R11245"/>
      <c r="W11245" s="4"/>
      <c r="X11245" s="4"/>
      <c r="Y11245" s="4"/>
    </row>
    <row r="11246" spans="5:25">
      <c r="E11246"/>
      <c r="G11246"/>
      <c r="H11246"/>
      <c r="I11246"/>
      <c r="K11246"/>
      <c r="O11246"/>
      <c r="R11246"/>
      <c r="W11246" s="4"/>
      <c r="X11246" s="4"/>
      <c r="Y11246" s="4"/>
    </row>
    <row r="11247" spans="5:25">
      <c r="E11247"/>
      <c r="G11247"/>
      <c r="H11247"/>
      <c r="I11247"/>
      <c r="K11247"/>
      <c r="O11247"/>
      <c r="R11247"/>
      <c r="W11247" s="4"/>
      <c r="X11247" s="4"/>
      <c r="Y11247" s="4"/>
    </row>
    <row r="11248" spans="5:25">
      <c r="E11248"/>
      <c r="G11248"/>
      <c r="H11248"/>
      <c r="I11248"/>
      <c r="K11248"/>
      <c r="O11248"/>
      <c r="R11248"/>
      <c r="W11248" s="4"/>
      <c r="X11248" s="4"/>
      <c r="Y11248" s="4"/>
    </row>
    <row r="11249" spans="5:25">
      <c r="E11249"/>
      <c r="G11249"/>
      <c r="H11249"/>
      <c r="I11249"/>
      <c r="K11249"/>
      <c r="O11249"/>
      <c r="R11249"/>
      <c r="W11249" s="4"/>
      <c r="X11249" s="4"/>
      <c r="Y11249" s="4"/>
    </row>
    <row r="11250" spans="5:25">
      <c r="E11250"/>
      <c r="G11250"/>
      <c r="H11250"/>
      <c r="I11250"/>
      <c r="K11250"/>
      <c r="O11250"/>
      <c r="R11250"/>
      <c r="W11250" s="4"/>
      <c r="X11250" s="4"/>
      <c r="Y11250" s="4"/>
    </row>
    <row r="11251" spans="5:25">
      <c r="E11251"/>
      <c r="G11251"/>
      <c r="H11251"/>
      <c r="I11251"/>
      <c r="K11251"/>
      <c r="O11251"/>
      <c r="R11251"/>
      <c r="W11251" s="4"/>
      <c r="X11251" s="4"/>
      <c r="Y11251" s="4"/>
    </row>
    <row r="11252" spans="5:25">
      <c r="E11252"/>
      <c r="G11252"/>
      <c r="H11252"/>
      <c r="I11252"/>
      <c r="K11252"/>
      <c r="O11252"/>
      <c r="R11252"/>
      <c r="W11252" s="4"/>
      <c r="X11252" s="4"/>
      <c r="Y11252" s="4"/>
    </row>
    <row r="11253" spans="5:25">
      <c r="E11253"/>
      <c r="G11253"/>
      <c r="H11253"/>
      <c r="I11253"/>
      <c r="K11253"/>
      <c r="O11253"/>
      <c r="R11253"/>
      <c r="W11253" s="4"/>
      <c r="X11253" s="4"/>
      <c r="Y11253" s="4"/>
    </row>
    <row r="11254" spans="5:25">
      <c r="E11254"/>
      <c r="G11254"/>
      <c r="H11254"/>
      <c r="I11254"/>
      <c r="K11254"/>
      <c r="O11254"/>
      <c r="R11254"/>
      <c r="W11254" s="4"/>
      <c r="X11254" s="4"/>
      <c r="Y11254" s="4"/>
    </row>
    <row r="11255" spans="5:25">
      <c r="E11255"/>
      <c r="G11255"/>
      <c r="H11255"/>
      <c r="I11255"/>
      <c r="K11255"/>
      <c r="O11255"/>
      <c r="R11255"/>
      <c r="W11255" s="4"/>
      <c r="X11255" s="4"/>
      <c r="Y11255" s="4"/>
    </row>
    <row r="11256" spans="5:25">
      <c r="E11256"/>
      <c r="G11256"/>
      <c r="H11256"/>
      <c r="I11256"/>
      <c r="K11256"/>
      <c r="O11256"/>
      <c r="R11256"/>
      <c r="W11256" s="4"/>
      <c r="X11256" s="4"/>
      <c r="Y11256" s="4"/>
    </row>
    <row r="11257" spans="5:25">
      <c r="E11257"/>
      <c r="G11257"/>
      <c r="H11257"/>
      <c r="I11257"/>
      <c r="K11257"/>
      <c r="O11257"/>
      <c r="R11257"/>
      <c r="W11257" s="4"/>
      <c r="X11257" s="4"/>
      <c r="Y11257" s="4"/>
    </row>
    <row r="11258" spans="5:25">
      <c r="E11258"/>
      <c r="G11258"/>
      <c r="H11258"/>
      <c r="I11258"/>
      <c r="K11258"/>
      <c r="O11258"/>
      <c r="R11258"/>
      <c r="W11258" s="4"/>
      <c r="X11258" s="4"/>
      <c r="Y11258" s="4"/>
    </row>
    <row r="11259" spans="5:25">
      <c r="E11259"/>
      <c r="G11259"/>
      <c r="H11259"/>
      <c r="I11259"/>
      <c r="K11259"/>
      <c r="O11259"/>
      <c r="R11259"/>
      <c r="W11259" s="4"/>
      <c r="X11259" s="4"/>
      <c r="Y11259" s="4"/>
    </row>
    <row r="11260" spans="5:25">
      <c r="E11260"/>
      <c r="G11260"/>
      <c r="H11260"/>
      <c r="I11260"/>
      <c r="K11260"/>
      <c r="O11260"/>
      <c r="R11260"/>
      <c r="W11260" s="4"/>
      <c r="X11260" s="4"/>
      <c r="Y11260" s="4"/>
    </row>
    <row r="11261" spans="5:25">
      <c r="E11261"/>
      <c r="G11261"/>
      <c r="H11261"/>
      <c r="I11261"/>
      <c r="K11261"/>
      <c r="O11261"/>
      <c r="R11261"/>
      <c r="W11261" s="4"/>
      <c r="X11261" s="4"/>
      <c r="Y11261" s="4"/>
    </row>
    <row r="11262" spans="5:25">
      <c r="E11262"/>
      <c r="G11262"/>
      <c r="H11262"/>
      <c r="I11262"/>
      <c r="K11262"/>
      <c r="O11262"/>
      <c r="R11262"/>
      <c r="W11262" s="4"/>
      <c r="X11262" s="4"/>
      <c r="Y11262" s="4"/>
    </row>
    <row r="11263" spans="5:25">
      <c r="E11263"/>
      <c r="G11263"/>
      <c r="H11263"/>
      <c r="I11263"/>
      <c r="K11263"/>
      <c r="O11263"/>
      <c r="R11263"/>
      <c r="W11263" s="4"/>
      <c r="X11263" s="4"/>
      <c r="Y11263" s="4"/>
    </row>
    <row r="11264" spans="5:25">
      <c r="E11264"/>
      <c r="G11264"/>
      <c r="H11264"/>
      <c r="I11264"/>
      <c r="K11264"/>
      <c r="O11264"/>
      <c r="R11264"/>
      <c r="W11264" s="4"/>
      <c r="X11264" s="4"/>
      <c r="Y11264" s="4"/>
    </row>
    <row r="11265" spans="5:25">
      <c r="E11265"/>
      <c r="G11265"/>
      <c r="H11265"/>
      <c r="I11265"/>
      <c r="K11265"/>
      <c r="O11265"/>
      <c r="R11265"/>
      <c r="W11265" s="4"/>
      <c r="X11265" s="4"/>
      <c r="Y11265" s="4"/>
    </row>
    <row r="11266" spans="5:25">
      <c r="E11266"/>
      <c r="G11266"/>
      <c r="H11266"/>
      <c r="I11266"/>
      <c r="K11266"/>
      <c r="O11266"/>
      <c r="R11266"/>
      <c r="W11266" s="4"/>
      <c r="X11266" s="4"/>
      <c r="Y11266" s="4"/>
    </row>
    <row r="11267" spans="5:25">
      <c r="E11267"/>
      <c r="G11267"/>
      <c r="H11267"/>
      <c r="I11267"/>
      <c r="K11267"/>
      <c r="O11267"/>
      <c r="R11267"/>
      <c r="W11267" s="4"/>
      <c r="X11267" s="4"/>
      <c r="Y11267" s="4"/>
    </row>
    <row r="11268" spans="5:25">
      <c r="E11268"/>
      <c r="G11268"/>
      <c r="H11268"/>
      <c r="I11268"/>
      <c r="K11268"/>
      <c r="O11268"/>
      <c r="R11268"/>
      <c r="W11268" s="4"/>
      <c r="X11268" s="4"/>
      <c r="Y11268" s="4"/>
    </row>
    <row r="11269" spans="5:25">
      <c r="E11269"/>
      <c r="G11269"/>
      <c r="H11269"/>
      <c r="I11269"/>
      <c r="K11269"/>
      <c r="O11269"/>
      <c r="R11269"/>
      <c r="W11269" s="4"/>
      <c r="X11269" s="4"/>
      <c r="Y11269" s="4"/>
    </row>
    <row r="11270" spans="5:25">
      <c r="E11270"/>
      <c r="G11270"/>
      <c r="H11270"/>
      <c r="I11270"/>
      <c r="K11270"/>
      <c r="O11270"/>
      <c r="R11270"/>
      <c r="W11270" s="4"/>
      <c r="X11270" s="4"/>
      <c r="Y11270" s="4"/>
    </row>
    <row r="11271" spans="5:25">
      <c r="E11271"/>
      <c r="G11271"/>
      <c r="H11271"/>
      <c r="I11271"/>
      <c r="K11271"/>
      <c r="O11271"/>
      <c r="R11271"/>
      <c r="W11271" s="4"/>
      <c r="X11271" s="4"/>
      <c r="Y11271" s="4"/>
    </row>
    <row r="11272" spans="5:25">
      <c r="E11272"/>
      <c r="G11272"/>
      <c r="H11272"/>
      <c r="I11272"/>
      <c r="K11272"/>
      <c r="O11272"/>
      <c r="R11272"/>
      <c r="W11272" s="4"/>
      <c r="X11272" s="4"/>
      <c r="Y11272" s="4"/>
    </row>
    <row r="11273" spans="5:25">
      <c r="E11273"/>
      <c r="G11273"/>
      <c r="H11273"/>
      <c r="I11273"/>
      <c r="K11273"/>
      <c r="O11273"/>
      <c r="R11273"/>
      <c r="W11273" s="4"/>
      <c r="X11273" s="4"/>
      <c r="Y11273" s="4"/>
    </row>
    <row r="11274" spans="5:25">
      <c r="E11274"/>
      <c r="G11274"/>
      <c r="H11274"/>
      <c r="I11274"/>
      <c r="K11274"/>
      <c r="O11274"/>
      <c r="R11274"/>
      <c r="W11274" s="4"/>
      <c r="X11274" s="4"/>
      <c r="Y11274" s="4"/>
    </row>
    <row r="11275" spans="5:25">
      <c r="E11275"/>
      <c r="G11275"/>
      <c r="H11275"/>
      <c r="I11275"/>
      <c r="K11275"/>
      <c r="O11275"/>
      <c r="R11275"/>
      <c r="W11275" s="4"/>
      <c r="X11275" s="4"/>
      <c r="Y11275" s="4"/>
    </row>
    <row r="11276" spans="5:25">
      <c r="E11276"/>
      <c r="G11276"/>
      <c r="H11276"/>
      <c r="I11276"/>
      <c r="K11276"/>
      <c r="O11276"/>
      <c r="R11276"/>
      <c r="W11276" s="4"/>
      <c r="X11276" s="4"/>
      <c r="Y11276" s="4"/>
    </row>
    <row r="11277" spans="5:25">
      <c r="E11277"/>
      <c r="G11277"/>
      <c r="H11277"/>
      <c r="I11277"/>
      <c r="K11277"/>
      <c r="O11277"/>
      <c r="R11277"/>
      <c r="W11277" s="4"/>
      <c r="X11277" s="4"/>
      <c r="Y11277" s="4"/>
    </row>
    <row r="11278" spans="5:25">
      <c r="E11278"/>
      <c r="G11278"/>
      <c r="H11278"/>
      <c r="I11278"/>
      <c r="K11278"/>
      <c r="O11278"/>
      <c r="R11278"/>
      <c r="W11278" s="4"/>
      <c r="X11278" s="4"/>
      <c r="Y11278" s="4"/>
    </row>
    <row r="11279" spans="5:25">
      <c r="E11279"/>
      <c r="G11279"/>
      <c r="H11279"/>
      <c r="I11279"/>
      <c r="K11279"/>
      <c r="O11279"/>
      <c r="R11279"/>
      <c r="W11279" s="4"/>
      <c r="X11279" s="4"/>
      <c r="Y11279" s="4"/>
    </row>
    <row r="11280" spans="5:25">
      <c r="E11280"/>
      <c r="G11280"/>
      <c r="H11280"/>
      <c r="I11280"/>
      <c r="K11280"/>
      <c r="O11280"/>
      <c r="R11280"/>
      <c r="W11280" s="4"/>
      <c r="X11280" s="4"/>
      <c r="Y11280" s="4"/>
    </row>
    <row r="11281" spans="5:25">
      <c r="E11281"/>
      <c r="G11281"/>
      <c r="H11281"/>
      <c r="I11281"/>
      <c r="K11281"/>
      <c r="O11281"/>
      <c r="R11281"/>
      <c r="W11281" s="4"/>
      <c r="X11281" s="4"/>
      <c r="Y11281" s="4"/>
    </row>
    <row r="11282" spans="5:25">
      <c r="E11282"/>
      <c r="G11282"/>
      <c r="H11282"/>
      <c r="I11282"/>
      <c r="K11282"/>
      <c r="O11282"/>
      <c r="R11282"/>
      <c r="W11282" s="4"/>
      <c r="X11282" s="4"/>
      <c r="Y11282" s="4"/>
    </row>
    <row r="11283" spans="5:25">
      <c r="E11283"/>
      <c r="G11283"/>
      <c r="H11283"/>
      <c r="I11283"/>
      <c r="K11283"/>
      <c r="O11283"/>
      <c r="R11283"/>
      <c r="W11283" s="4"/>
      <c r="X11283" s="4"/>
      <c r="Y11283" s="4"/>
    </row>
    <row r="11284" spans="5:25">
      <c r="E11284"/>
      <c r="G11284"/>
      <c r="H11284"/>
      <c r="I11284"/>
      <c r="K11284"/>
      <c r="O11284"/>
      <c r="R11284"/>
      <c r="W11284" s="4"/>
      <c r="X11284" s="4"/>
      <c r="Y11284" s="4"/>
    </row>
    <row r="11285" spans="5:25">
      <c r="E11285"/>
      <c r="G11285"/>
      <c r="H11285"/>
      <c r="I11285"/>
      <c r="K11285"/>
      <c r="O11285"/>
      <c r="R11285"/>
      <c r="W11285" s="4"/>
      <c r="X11285" s="4"/>
      <c r="Y11285" s="4"/>
    </row>
    <row r="11286" spans="5:25">
      <c r="E11286"/>
      <c r="G11286"/>
      <c r="H11286"/>
      <c r="I11286"/>
      <c r="K11286"/>
      <c r="O11286"/>
      <c r="R11286"/>
      <c r="W11286" s="4"/>
      <c r="X11286" s="4"/>
      <c r="Y11286" s="4"/>
    </row>
    <row r="11287" spans="5:25">
      <c r="E11287"/>
      <c r="G11287"/>
      <c r="H11287"/>
      <c r="I11287"/>
      <c r="K11287"/>
      <c r="O11287"/>
      <c r="R11287"/>
      <c r="W11287" s="4"/>
      <c r="X11287" s="4"/>
      <c r="Y11287" s="4"/>
    </row>
    <row r="11288" spans="5:25">
      <c r="E11288"/>
      <c r="G11288"/>
      <c r="H11288"/>
      <c r="I11288"/>
      <c r="K11288"/>
      <c r="O11288"/>
      <c r="R11288"/>
      <c r="W11288" s="4"/>
      <c r="X11288" s="4"/>
      <c r="Y11288" s="4"/>
    </row>
    <row r="11289" spans="5:25">
      <c r="E11289"/>
      <c r="G11289"/>
      <c r="H11289"/>
      <c r="I11289"/>
      <c r="K11289"/>
      <c r="O11289"/>
      <c r="R11289"/>
      <c r="W11289" s="4"/>
      <c r="X11289" s="4"/>
      <c r="Y11289" s="4"/>
    </row>
    <row r="11290" spans="5:25">
      <c r="E11290"/>
      <c r="G11290"/>
      <c r="H11290"/>
      <c r="I11290"/>
      <c r="K11290"/>
      <c r="O11290"/>
      <c r="R11290"/>
      <c r="W11290" s="4"/>
      <c r="X11290" s="4"/>
      <c r="Y11290" s="4"/>
    </row>
    <row r="11291" spans="5:25">
      <c r="E11291"/>
      <c r="G11291"/>
      <c r="H11291"/>
      <c r="I11291"/>
      <c r="K11291"/>
      <c r="O11291"/>
      <c r="R11291"/>
      <c r="W11291" s="4"/>
      <c r="X11291" s="4"/>
      <c r="Y11291" s="4"/>
    </row>
    <row r="11292" spans="5:25">
      <c r="E11292"/>
      <c r="G11292"/>
      <c r="H11292"/>
      <c r="I11292"/>
      <c r="K11292"/>
      <c r="O11292"/>
      <c r="R11292"/>
      <c r="W11292" s="4"/>
      <c r="X11292" s="4"/>
      <c r="Y11292" s="4"/>
    </row>
    <row r="11293" spans="5:25">
      <c r="E11293"/>
      <c r="G11293"/>
      <c r="H11293"/>
      <c r="I11293"/>
      <c r="K11293"/>
      <c r="O11293"/>
      <c r="R11293"/>
      <c r="W11293" s="4"/>
      <c r="X11293" s="4"/>
      <c r="Y11293" s="4"/>
    </row>
    <row r="11294" spans="5:25">
      <c r="E11294"/>
      <c r="G11294"/>
      <c r="H11294"/>
      <c r="I11294"/>
      <c r="K11294"/>
      <c r="O11294"/>
      <c r="R11294"/>
      <c r="W11294" s="4"/>
      <c r="X11294" s="4"/>
      <c r="Y11294" s="4"/>
    </row>
    <row r="11295" spans="5:25">
      <c r="E11295"/>
      <c r="G11295"/>
      <c r="H11295"/>
      <c r="I11295"/>
      <c r="K11295"/>
      <c r="O11295"/>
      <c r="R11295"/>
      <c r="W11295" s="4"/>
      <c r="X11295" s="4"/>
      <c r="Y11295" s="4"/>
    </row>
    <row r="11296" spans="5:25">
      <c r="E11296"/>
      <c r="G11296"/>
      <c r="H11296"/>
      <c r="I11296"/>
      <c r="K11296"/>
      <c r="O11296"/>
      <c r="R11296"/>
      <c r="W11296" s="4"/>
      <c r="X11296" s="4"/>
      <c r="Y11296" s="4"/>
    </row>
    <row r="11297" spans="5:25">
      <c r="E11297"/>
      <c r="G11297"/>
      <c r="H11297"/>
      <c r="I11297"/>
      <c r="K11297"/>
      <c r="O11297"/>
      <c r="R11297"/>
      <c r="W11297" s="4"/>
      <c r="X11297" s="4"/>
      <c r="Y11297" s="4"/>
    </row>
    <row r="11298" spans="5:25">
      <c r="E11298"/>
      <c r="G11298"/>
      <c r="H11298"/>
      <c r="I11298"/>
      <c r="K11298"/>
      <c r="O11298"/>
      <c r="R11298"/>
      <c r="W11298" s="4"/>
      <c r="X11298" s="4"/>
      <c r="Y11298" s="4"/>
    </row>
    <row r="11299" spans="5:25">
      <c r="E11299"/>
      <c r="G11299"/>
      <c r="H11299"/>
      <c r="I11299"/>
      <c r="K11299"/>
      <c r="O11299"/>
      <c r="R11299"/>
      <c r="W11299" s="4"/>
      <c r="X11299" s="4"/>
      <c r="Y11299" s="4"/>
    </row>
    <row r="11300" spans="5:25">
      <c r="E11300"/>
      <c r="G11300"/>
      <c r="H11300"/>
      <c r="I11300"/>
      <c r="K11300"/>
      <c r="O11300"/>
      <c r="R11300"/>
      <c r="W11300" s="4"/>
      <c r="X11300" s="4"/>
      <c r="Y11300" s="4"/>
    </row>
    <row r="11301" spans="5:25">
      <c r="E11301"/>
      <c r="G11301"/>
      <c r="H11301"/>
      <c r="I11301"/>
      <c r="K11301"/>
      <c r="O11301"/>
      <c r="R11301"/>
      <c r="W11301" s="4"/>
      <c r="X11301" s="4"/>
      <c r="Y11301" s="4"/>
    </row>
    <row r="11302" spans="5:25">
      <c r="E11302"/>
      <c r="G11302"/>
      <c r="H11302"/>
      <c r="I11302"/>
      <c r="K11302"/>
      <c r="O11302"/>
      <c r="R11302"/>
      <c r="W11302" s="4"/>
      <c r="X11302" s="4"/>
      <c r="Y11302" s="4"/>
    </row>
    <row r="11303" spans="5:25">
      <c r="E11303"/>
      <c r="G11303"/>
      <c r="H11303"/>
      <c r="I11303"/>
      <c r="K11303"/>
      <c r="O11303"/>
      <c r="R11303"/>
      <c r="W11303" s="4"/>
      <c r="X11303" s="4"/>
      <c r="Y11303" s="4"/>
    </row>
    <row r="11304" spans="5:25">
      <c r="E11304"/>
      <c r="G11304"/>
      <c r="H11304"/>
      <c r="I11304"/>
      <c r="K11304"/>
      <c r="O11304"/>
      <c r="R11304"/>
      <c r="W11304" s="4"/>
      <c r="X11304" s="4"/>
      <c r="Y11304" s="4"/>
    </row>
    <row r="11305" spans="5:25">
      <c r="E11305"/>
      <c r="G11305"/>
      <c r="H11305"/>
      <c r="I11305"/>
      <c r="K11305"/>
      <c r="O11305"/>
      <c r="R11305"/>
      <c r="W11305" s="4"/>
      <c r="X11305" s="4"/>
      <c r="Y11305" s="4"/>
    </row>
    <row r="11306" spans="5:25">
      <c r="E11306"/>
      <c r="G11306"/>
      <c r="H11306"/>
      <c r="I11306"/>
      <c r="K11306"/>
      <c r="O11306"/>
      <c r="R11306"/>
      <c r="W11306" s="4"/>
      <c r="X11306" s="4"/>
      <c r="Y11306" s="4"/>
    </row>
    <row r="11307" spans="5:25">
      <c r="E11307"/>
      <c r="G11307"/>
      <c r="H11307"/>
      <c r="I11307"/>
      <c r="K11307"/>
      <c r="O11307"/>
      <c r="R11307"/>
      <c r="W11307" s="4"/>
      <c r="X11307" s="4"/>
      <c r="Y11307" s="4"/>
    </row>
    <row r="11308" spans="5:25">
      <c r="E11308"/>
      <c r="G11308"/>
      <c r="H11308"/>
      <c r="I11308"/>
      <c r="K11308"/>
      <c r="O11308"/>
      <c r="R11308"/>
      <c r="W11308" s="4"/>
      <c r="X11308" s="4"/>
      <c r="Y11308" s="4"/>
    </row>
    <row r="11309" spans="5:25">
      <c r="E11309"/>
      <c r="G11309"/>
      <c r="H11309"/>
      <c r="I11309"/>
      <c r="K11309"/>
      <c r="O11309"/>
      <c r="R11309"/>
      <c r="W11309" s="4"/>
      <c r="X11309" s="4"/>
      <c r="Y11309" s="4"/>
    </row>
    <row r="11310" spans="5:25">
      <c r="E11310"/>
      <c r="G11310"/>
      <c r="H11310"/>
      <c r="I11310"/>
      <c r="K11310"/>
      <c r="O11310"/>
      <c r="R11310"/>
      <c r="W11310" s="4"/>
      <c r="X11310" s="4"/>
      <c r="Y11310" s="4"/>
    </row>
    <row r="11311" spans="5:25">
      <c r="E11311"/>
      <c r="G11311"/>
      <c r="H11311"/>
      <c r="I11311"/>
      <c r="K11311"/>
      <c r="O11311"/>
      <c r="R11311"/>
      <c r="W11311" s="4"/>
      <c r="X11311" s="4"/>
      <c r="Y11311" s="4"/>
    </row>
    <row r="11312" spans="5:25">
      <c r="E11312"/>
      <c r="G11312"/>
      <c r="H11312"/>
      <c r="I11312"/>
      <c r="K11312"/>
      <c r="O11312"/>
      <c r="R11312"/>
      <c r="W11312" s="4"/>
      <c r="X11312" s="4"/>
      <c r="Y11312" s="4"/>
    </row>
    <row r="11313" spans="5:25">
      <c r="E11313"/>
      <c r="G11313"/>
      <c r="H11313"/>
      <c r="I11313"/>
      <c r="K11313"/>
      <c r="O11313"/>
      <c r="R11313"/>
      <c r="W11313" s="4"/>
      <c r="X11313" s="4"/>
      <c r="Y11313" s="4"/>
    </row>
    <row r="11314" spans="5:25">
      <c r="E11314"/>
      <c r="G11314"/>
      <c r="H11314"/>
      <c r="I11314"/>
      <c r="K11314"/>
      <c r="O11314"/>
      <c r="R11314"/>
      <c r="W11314" s="4"/>
      <c r="X11314" s="4"/>
      <c r="Y11314" s="4"/>
    </row>
    <row r="11315" spans="5:25">
      <c r="E11315"/>
      <c r="G11315"/>
      <c r="H11315"/>
      <c r="I11315"/>
      <c r="K11315"/>
      <c r="O11315"/>
      <c r="R11315"/>
      <c r="W11315" s="4"/>
      <c r="X11315" s="4"/>
      <c r="Y11315" s="4"/>
    </row>
    <row r="11316" spans="5:25">
      <c r="E11316"/>
      <c r="G11316"/>
      <c r="H11316"/>
      <c r="I11316"/>
      <c r="K11316"/>
      <c r="O11316"/>
      <c r="R11316"/>
      <c r="W11316" s="4"/>
      <c r="X11316" s="4"/>
      <c r="Y11316" s="4"/>
    </row>
    <row r="11317" spans="5:25">
      <c r="E11317"/>
      <c r="G11317"/>
      <c r="H11317"/>
      <c r="I11317"/>
      <c r="K11317"/>
      <c r="O11317"/>
      <c r="R11317"/>
      <c r="W11317" s="4"/>
      <c r="X11317" s="4"/>
      <c r="Y11317" s="4"/>
    </row>
    <row r="11318" spans="5:25">
      <c r="E11318"/>
      <c r="G11318"/>
      <c r="H11318"/>
      <c r="I11318"/>
      <c r="K11318"/>
      <c r="O11318"/>
      <c r="R11318"/>
      <c r="W11318" s="4"/>
      <c r="X11318" s="4"/>
      <c r="Y11318" s="4"/>
    </row>
    <row r="11319" spans="5:25">
      <c r="E11319"/>
      <c r="G11319"/>
      <c r="H11319"/>
      <c r="I11319"/>
      <c r="K11319"/>
      <c r="O11319"/>
      <c r="R11319"/>
      <c r="W11319" s="4"/>
      <c r="X11319" s="4"/>
      <c r="Y11319" s="4"/>
    </row>
    <row r="11320" spans="5:25">
      <c r="E11320"/>
      <c r="G11320"/>
      <c r="H11320"/>
      <c r="I11320"/>
      <c r="K11320"/>
      <c r="O11320"/>
      <c r="R11320"/>
      <c r="W11320" s="4"/>
      <c r="X11320" s="4"/>
      <c r="Y11320" s="4"/>
    </row>
    <row r="11321" spans="5:25">
      <c r="E11321"/>
      <c r="G11321"/>
      <c r="H11321"/>
      <c r="I11321"/>
      <c r="K11321"/>
      <c r="O11321"/>
      <c r="R11321"/>
      <c r="W11321" s="4"/>
      <c r="X11321" s="4"/>
      <c r="Y11321" s="4"/>
    </row>
    <row r="11322" spans="5:25">
      <c r="E11322"/>
      <c r="G11322"/>
      <c r="H11322"/>
      <c r="I11322"/>
      <c r="K11322"/>
      <c r="O11322"/>
      <c r="R11322"/>
      <c r="W11322" s="4"/>
      <c r="X11322" s="4"/>
      <c r="Y11322" s="4"/>
    </row>
    <row r="11323" spans="5:25">
      <c r="E11323"/>
      <c r="G11323"/>
      <c r="H11323"/>
      <c r="I11323"/>
      <c r="K11323"/>
      <c r="O11323"/>
      <c r="R11323"/>
      <c r="W11323" s="4"/>
      <c r="X11323" s="4"/>
      <c r="Y11323" s="4"/>
    </row>
    <row r="11324" spans="5:25">
      <c r="E11324"/>
      <c r="G11324"/>
      <c r="H11324"/>
      <c r="I11324"/>
      <c r="K11324"/>
      <c r="O11324"/>
      <c r="R11324"/>
      <c r="W11324" s="4"/>
      <c r="X11324" s="4"/>
      <c r="Y11324" s="4"/>
    </row>
    <row r="11325" spans="5:25">
      <c r="E11325"/>
      <c r="G11325"/>
      <c r="H11325"/>
      <c r="I11325"/>
      <c r="K11325"/>
      <c r="O11325"/>
      <c r="R11325"/>
      <c r="W11325" s="4"/>
      <c r="X11325" s="4"/>
      <c r="Y11325" s="4"/>
    </row>
    <row r="11326" spans="5:25">
      <c r="E11326"/>
      <c r="G11326"/>
      <c r="H11326"/>
      <c r="I11326"/>
      <c r="K11326"/>
      <c r="O11326"/>
      <c r="R11326"/>
      <c r="W11326" s="4"/>
      <c r="X11326" s="4"/>
      <c r="Y11326" s="4"/>
    </row>
    <row r="11327" spans="5:25">
      <c r="E11327"/>
      <c r="G11327"/>
      <c r="H11327"/>
      <c r="I11327"/>
      <c r="K11327"/>
      <c r="O11327"/>
      <c r="R11327"/>
      <c r="W11327" s="4"/>
      <c r="X11327" s="4"/>
      <c r="Y11327" s="4"/>
    </row>
    <row r="11328" spans="5:25">
      <c r="E11328"/>
      <c r="G11328"/>
      <c r="H11328"/>
      <c r="I11328"/>
      <c r="K11328"/>
      <c r="O11328"/>
      <c r="R11328"/>
      <c r="W11328" s="4"/>
      <c r="X11328" s="4"/>
      <c r="Y11328" s="4"/>
    </row>
    <row r="11329" spans="5:25">
      <c r="E11329"/>
      <c r="G11329"/>
      <c r="H11329"/>
      <c r="I11329"/>
      <c r="K11329"/>
      <c r="O11329"/>
      <c r="R11329"/>
      <c r="W11329" s="4"/>
      <c r="X11329" s="4"/>
      <c r="Y11329" s="4"/>
    </row>
    <row r="11330" spans="5:25">
      <c r="E11330"/>
      <c r="G11330"/>
      <c r="H11330"/>
      <c r="I11330"/>
      <c r="K11330"/>
      <c r="O11330"/>
      <c r="R11330"/>
      <c r="W11330" s="4"/>
      <c r="X11330" s="4"/>
      <c r="Y11330" s="4"/>
    </row>
    <row r="11331" spans="5:25">
      <c r="E11331"/>
      <c r="G11331"/>
      <c r="H11331"/>
      <c r="I11331"/>
      <c r="K11331"/>
      <c r="O11331"/>
      <c r="R11331"/>
      <c r="W11331" s="4"/>
      <c r="X11331" s="4"/>
      <c r="Y11331" s="4"/>
    </row>
    <row r="11332" spans="5:25">
      <c r="E11332"/>
      <c r="G11332"/>
      <c r="H11332"/>
      <c r="I11332"/>
      <c r="K11332"/>
      <c r="O11332"/>
      <c r="R11332"/>
      <c r="W11332" s="4"/>
      <c r="X11332" s="4"/>
      <c r="Y11332" s="4"/>
    </row>
    <row r="11333" spans="5:25">
      <c r="E11333"/>
      <c r="G11333"/>
      <c r="H11333"/>
      <c r="I11333"/>
      <c r="K11333"/>
      <c r="O11333"/>
      <c r="R11333"/>
      <c r="W11333" s="4"/>
      <c r="X11333" s="4"/>
      <c r="Y11333" s="4"/>
    </row>
    <row r="11334" spans="5:25">
      <c r="E11334"/>
      <c r="G11334"/>
      <c r="H11334"/>
      <c r="I11334"/>
      <c r="K11334"/>
      <c r="O11334"/>
      <c r="R11334"/>
      <c r="W11334" s="4"/>
      <c r="X11334" s="4"/>
      <c r="Y11334" s="4"/>
    </row>
    <row r="11335" spans="5:25">
      <c r="E11335"/>
      <c r="G11335"/>
      <c r="H11335"/>
      <c r="I11335"/>
      <c r="K11335"/>
      <c r="O11335"/>
      <c r="R11335"/>
      <c r="W11335" s="4"/>
      <c r="X11335" s="4"/>
      <c r="Y11335" s="4"/>
    </row>
    <row r="11336" spans="5:25">
      <c r="E11336"/>
      <c r="G11336"/>
      <c r="H11336"/>
      <c r="I11336"/>
      <c r="K11336"/>
      <c r="O11336"/>
      <c r="R11336"/>
      <c r="W11336" s="4"/>
      <c r="X11336" s="4"/>
      <c r="Y11336" s="4"/>
    </row>
    <row r="11337" spans="5:25">
      <c r="E11337"/>
      <c r="G11337"/>
      <c r="H11337"/>
      <c r="I11337"/>
      <c r="K11337"/>
      <c r="O11337"/>
      <c r="R11337"/>
      <c r="W11337" s="4"/>
      <c r="X11337" s="4"/>
      <c r="Y11337" s="4"/>
    </row>
    <row r="11338" spans="5:25">
      <c r="E11338"/>
      <c r="G11338"/>
      <c r="H11338"/>
      <c r="I11338"/>
      <c r="K11338"/>
      <c r="O11338"/>
      <c r="R11338"/>
      <c r="W11338" s="4"/>
      <c r="X11338" s="4"/>
      <c r="Y11338" s="4"/>
    </row>
    <row r="11339" spans="5:25">
      <c r="E11339"/>
      <c r="G11339"/>
      <c r="H11339"/>
      <c r="I11339"/>
      <c r="K11339"/>
      <c r="O11339"/>
      <c r="R11339"/>
      <c r="W11339" s="4"/>
      <c r="X11339" s="4"/>
      <c r="Y11339" s="4"/>
    </row>
    <row r="11340" spans="5:25">
      <c r="E11340"/>
      <c r="G11340"/>
      <c r="H11340"/>
      <c r="I11340"/>
      <c r="K11340"/>
      <c r="O11340"/>
      <c r="R11340"/>
      <c r="W11340" s="4"/>
      <c r="X11340" s="4"/>
      <c r="Y11340" s="4"/>
    </row>
    <row r="11341" spans="5:25">
      <c r="E11341"/>
      <c r="G11341"/>
      <c r="H11341"/>
      <c r="I11341"/>
      <c r="K11341"/>
      <c r="O11341"/>
      <c r="R11341"/>
      <c r="W11341" s="4"/>
      <c r="X11341" s="4"/>
      <c r="Y11341" s="4"/>
    </row>
    <row r="11342" spans="5:25">
      <c r="E11342"/>
      <c r="G11342"/>
      <c r="H11342"/>
      <c r="I11342"/>
      <c r="K11342"/>
      <c r="O11342"/>
      <c r="R11342"/>
      <c r="W11342" s="4"/>
      <c r="X11342" s="4"/>
      <c r="Y11342" s="4"/>
    </row>
    <row r="11343" spans="5:25">
      <c r="E11343"/>
      <c r="G11343"/>
      <c r="H11343"/>
      <c r="I11343"/>
      <c r="K11343"/>
      <c r="O11343"/>
      <c r="R11343"/>
      <c r="W11343" s="4"/>
      <c r="X11343" s="4"/>
      <c r="Y11343" s="4"/>
    </row>
    <row r="11344" spans="5:25">
      <c r="E11344"/>
      <c r="G11344"/>
      <c r="H11344"/>
      <c r="I11344"/>
      <c r="K11344"/>
      <c r="O11344"/>
      <c r="R11344"/>
      <c r="W11344" s="4"/>
      <c r="X11344" s="4"/>
      <c r="Y11344" s="4"/>
    </row>
    <row r="11345" spans="5:25">
      <c r="E11345"/>
      <c r="G11345"/>
      <c r="H11345"/>
      <c r="I11345"/>
      <c r="K11345"/>
      <c r="O11345"/>
      <c r="R11345"/>
      <c r="W11345" s="4"/>
      <c r="X11345" s="4"/>
      <c r="Y11345" s="4"/>
    </row>
    <row r="11346" spans="5:25">
      <c r="E11346"/>
      <c r="G11346"/>
      <c r="H11346"/>
      <c r="I11346"/>
      <c r="K11346"/>
      <c r="O11346"/>
      <c r="R11346"/>
      <c r="W11346" s="4"/>
      <c r="X11346" s="4"/>
      <c r="Y11346" s="4"/>
    </row>
    <row r="11347" spans="5:25">
      <c r="E11347"/>
      <c r="G11347"/>
      <c r="H11347"/>
      <c r="I11347"/>
      <c r="K11347"/>
      <c r="O11347"/>
      <c r="R11347"/>
      <c r="W11347" s="4"/>
      <c r="X11347" s="4"/>
      <c r="Y11347" s="4"/>
    </row>
    <row r="11348" spans="5:25">
      <c r="E11348"/>
      <c r="G11348"/>
      <c r="H11348"/>
      <c r="I11348"/>
      <c r="K11348"/>
      <c r="O11348"/>
      <c r="R11348"/>
      <c r="W11348" s="4"/>
      <c r="X11348" s="4"/>
      <c r="Y11348" s="4"/>
    </row>
    <row r="11349" spans="5:25">
      <c r="E11349"/>
      <c r="G11349"/>
      <c r="H11349"/>
      <c r="I11349"/>
      <c r="K11349"/>
      <c r="O11349"/>
      <c r="R11349"/>
      <c r="W11349" s="4"/>
      <c r="X11349" s="4"/>
      <c r="Y11349" s="4"/>
    </row>
    <row r="11350" spans="5:25">
      <c r="E11350"/>
      <c r="G11350"/>
      <c r="H11350"/>
      <c r="I11350"/>
      <c r="K11350"/>
      <c r="O11350"/>
      <c r="R11350"/>
      <c r="W11350" s="4"/>
      <c r="X11350" s="4"/>
      <c r="Y11350" s="4"/>
    </row>
    <row r="11351" spans="5:25">
      <c r="E11351"/>
      <c r="G11351"/>
      <c r="H11351"/>
      <c r="I11351"/>
      <c r="K11351"/>
      <c r="O11351"/>
      <c r="R11351"/>
      <c r="W11351" s="4"/>
      <c r="X11351" s="4"/>
      <c r="Y11351" s="4"/>
    </row>
    <row r="11352" spans="5:25">
      <c r="E11352"/>
      <c r="G11352"/>
      <c r="H11352"/>
      <c r="I11352"/>
      <c r="K11352"/>
      <c r="O11352"/>
      <c r="R11352"/>
      <c r="W11352" s="4"/>
      <c r="X11352" s="4"/>
      <c r="Y11352" s="4"/>
    </row>
    <row r="11353" spans="5:25">
      <c r="E11353"/>
      <c r="G11353"/>
      <c r="H11353"/>
      <c r="I11353"/>
      <c r="K11353"/>
      <c r="O11353"/>
      <c r="R11353"/>
      <c r="W11353" s="4"/>
      <c r="X11353" s="4"/>
      <c r="Y11353" s="4"/>
    </row>
    <row r="11354" spans="5:25">
      <c r="E11354"/>
      <c r="G11354"/>
      <c r="H11354"/>
      <c r="I11354"/>
      <c r="K11354"/>
      <c r="O11354"/>
      <c r="R11354"/>
      <c r="W11354" s="4"/>
      <c r="X11354" s="4"/>
      <c r="Y11354" s="4"/>
    </row>
    <row r="11355" spans="5:25">
      <c r="E11355"/>
      <c r="G11355"/>
      <c r="H11355"/>
      <c r="I11355"/>
      <c r="K11355"/>
      <c r="O11355"/>
      <c r="R11355"/>
      <c r="W11355" s="4"/>
      <c r="X11355" s="4"/>
      <c r="Y11355" s="4"/>
    </row>
    <row r="11356" spans="5:25">
      <c r="E11356"/>
      <c r="G11356"/>
      <c r="H11356"/>
      <c r="I11356"/>
      <c r="K11356"/>
      <c r="O11356"/>
      <c r="R11356"/>
      <c r="W11356" s="4"/>
      <c r="X11356" s="4"/>
      <c r="Y11356" s="4"/>
    </row>
    <row r="11357" spans="5:25">
      <c r="E11357"/>
      <c r="G11357"/>
      <c r="H11357"/>
      <c r="I11357"/>
      <c r="K11357"/>
      <c r="O11357"/>
      <c r="R11357"/>
      <c r="W11357" s="4"/>
      <c r="X11357" s="4"/>
      <c r="Y11357" s="4"/>
    </row>
    <row r="11358" spans="5:25">
      <c r="E11358"/>
      <c r="G11358"/>
      <c r="H11358"/>
      <c r="I11358"/>
      <c r="K11358"/>
      <c r="O11358"/>
      <c r="R11358"/>
      <c r="W11358" s="4"/>
      <c r="X11358" s="4"/>
      <c r="Y11358" s="4"/>
    </row>
    <row r="11359" spans="5:25">
      <c r="E11359"/>
      <c r="G11359"/>
      <c r="H11359"/>
      <c r="I11359"/>
      <c r="K11359"/>
      <c r="O11359"/>
      <c r="R11359"/>
      <c r="W11359" s="4"/>
      <c r="X11359" s="4"/>
      <c r="Y11359" s="4"/>
    </row>
    <row r="11360" spans="5:25">
      <c r="E11360"/>
      <c r="G11360"/>
      <c r="H11360"/>
      <c r="I11360"/>
      <c r="K11360"/>
      <c r="O11360"/>
      <c r="R11360"/>
      <c r="W11360" s="4"/>
      <c r="X11360" s="4"/>
      <c r="Y11360" s="4"/>
    </row>
    <row r="11361" spans="5:25">
      <c r="E11361"/>
      <c r="G11361"/>
      <c r="H11361"/>
      <c r="I11361"/>
      <c r="K11361"/>
      <c r="O11361"/>
      <c r="R11361"/>
      <c r="W11361" s="4"/>
      <c r="X11361" s="4"/>
      <c r="Y11361" s="4"/>
    </row>
    <row r="11362" spans="5:25">
      <c r="E11362"/>
      <c r="G11362"/>
      <c r="H11362"/>
      <c r="I11362"/>
      <c r="K11362"/>
      <c r="O11362"/>
      <c r="R11362"/>
      <c r="W11362" s="4"/>
      <c r="X11362" s="4"/>
      <c r="Y11362" s="4"/>
    </row>
    <row r="11363" spans="5:25">
      <c r="E11363"/>
      <c r="G11363"/>
      <c r="H11363"/>
      <c r="I11363"/>
      <c r="K11363"/>
      <c r="O11363"/>
      <c r="R11363"/>
      <c r="W11363" s="4"/>
      <c r="X11363" s="4"/>
      <c r="Y11363" s="4"/>
    </row>
    <row r="11364" spans="5:25">
      <c r="E11364"/>
      <c r="G11364"/>
      <c r="H11364"/>
      <c r="I11364"/>
      <c r="K11364"/>
      <c r="O11364"/>
      <c r="R11364"/>
      <c r="W11364" s="4"/>
      <c r="X11364" s="4"/>
      <c r="Y11364" s="4"/>
    </row>
    <row r="11365" spans="5:25">
      <c r="E11365"/>
      <c r="G11365"/>
      <c r="H11365"/>
      <c r="I11365"/>
      <c r="K11365"/>
      <c r="O11365"/>
      <c r="R11365"/>
      <c r="W11365" s="4"/>
      <c r="X11365" s="4"/>
      <c r="Y11365" s="4"/>
    </row>
    <row r="11366" spans="5:25">
      <c r="E11366"/>
      <c r="G11366"/>
      <c r="H11366"/>
      <c r="I11366"/>
      <c r="K11366"/>
      <c r="O11366"/>
      <c r="R11366"/>
      <c r="W11366" s="4"/>
      <c r="X11366" s="4"/>
      <c r="Y11366" s="4"/>
    </row>
    <row r="11367" spans="5:25">
      <c r="E11367"/>
      <c r="G11367"/>
      <c r="H11367"/>
      <c r="I11367"/>
      <c r="K11367"/>
      <c r="O11367"/>
      <c r="R11367"/>
      <c r="W11367" s="4"/>
      <c r="X11367" s="4"/>
      <c r="Y11367" s="4"/>
    </row>
    <row r="11368" spans="5:25">
      <c r="E11368"/>
      <c r="G11368"/>
      <c r="H11368"/>
      <c r="I11368"/>
      <c r="K11368"/>
      <c r="O11368"/>
      <c r="R11368"/>
      <c r="W11368" s="4"/>
      <c r="X11368" s="4"/>
      <c r="Y11368" s="4"/>
    </row>
    <row r="11369" spans="5:25">
      <c r="E11369"/>
      <c r="G11369"/>
      <c r="H11369"/>
      <c r="I11369"/>
      <c r="K11369"/>
      <c r="O11369"/>
      <c r="R11369"/>
      <c r="W11369" s="4"/>
      <c r="X11369" s="4"/>
      <c r="Y11369" s="4"/>
    </row>
    <row r="11370" spans="5:25">
      <c r="E11370"/>
      <c r="G11370"/>
      <c r="H11370"/>
      <c r="I11370"/>
      <c r="K11370"/>
      <c r="O11370"/>
      <c r="R11370"/>
      <c r="W11370" s="4"/>
      <c r="X11370" s="4"/>
      <c r="Y11370" s="4"/>
    </row>
    <row r="11371" spans="5:25">
      <c r="E11371"/>
      <c r="G11371"/>
      <c r="H11371"/>
      <c r="I11371"/>
      <c r="K11371"/>
      <c r="O11371"/>
      <c r="R11371"/>
      <c r="W11371" s="4"/>
      <c r="X11371" s="4"/>
      <c r="Y11371" s="4"/>
    </row>
    <row r="11372" spans="5:25">
      <c r="E11372"/>
      <c r="G11372"/>
      <c r="H11372"/>
      <c r="I11372"/>
      <c r="K11372"/>
      <c r="O11372"/>
      <c r="R11372"/>
      <c r="W11372" s="4"/>
      <c r="X11372" s="4"/>
      <c r="Y11372" s="4"/>
    </row>
    <row r="11373" spans="5:25">
      <c r="E11373"/>
      <c r="G11373"/>
      <c r="H11373"/>
      <c r="I11373"/>
      <c r="K11373"/>
      <c r="O11373"/>
      <c r="R11373"/>
      <c r="W11373" s="4"/>
      <c r="X11373" s="4"/>
      <c r="Y11373" s="4"/>
    </row>
    <row r="11374" spans="5:25">
      <c r="E11374"/>
      <c r="G11374"/>
      <c r="H11374"/>
      <c r="I11374"/>
      <c r="K11374"/>
      <c r="O11374"/>
      <c r="R11374"/>
      <c r="W11374" s="4"/>
      <c r="X11374" s="4"/>
      <c r="Y11374" s="4"/>
    </row>
    <row r="11375" spans="5:25">
      <c r="E11375"/>
      <c r="G11375"/>
      <c r="H11375"/>
      <c r="I11375"/>
      <c r="K11375"/>
      <c r="O11375"/>
      <c r="R11375"/>
      <c r="W11375" s="4"/>
      <c r="X11375" s="4"/>
      <c r="Y11375" s="4"/>
    </row>
    <row r="11376" spans="5:25">
      <c r="E11376"/>
      <c r="G11376"/>
      <c r="H11376"/>
      <c r="I11376"/>
      <c r="K11376"/>
      <c r="O11376"/>
      <c r="R11376"/>
      <c r="W11376" s="4"/>
      <c r="X11376" s="4"/>
      <c r="Y11376" s="4"/>
    </row>
    <row r="11377" spans="5:25">
      <c r="E11377"/>
      <c r="G11377"/>
      <c r="H11377"/>
      <c r="I11377"/>
      <c r="K11377"/>
      <c r="O11377"/>
      <c r="R11377"/>
      <c r="W11377" s="4"/>
      <c r="X11377" s="4"/>
      <c r="Y11377" s="4"/>
    </row>
    <row r="11378" spans="5:25">
      <c r="E11378"/>
      <c r="G11378"/>
      <c r="H11378"/>
      <c r="I11378"/>
      <c r="K11378"/>
      <c r="O11378"/>
      <c r="R11378"/>
      <c r="W11378" s="4"/>
      <c r="X11378" s="4"/>
      <c r="Y11378" s="4"/>
    </row>
    <row r="11379" spans="5:25">
      <c r="E11379"/>
      <c r="G11379"/>
      <c r="H11379"/>
      <c r="I11379"/>
      <c r="K11379"/>
      <c r="O11379"/>
      <c r="R11379"/>
      <c r="W11379" s="4"/>
      <c r="X11379" s="4"/>
      <c r="Y11379" s="4"/>
    </row>
    <row r="11380" spans="5:25">
      <c r="E11380"/>
      <c r="G11380"/>
      <c r="H11380"/>
      <c r="I11380"/>
      <c r="K11380"/>
      <c r="O11380"/>
      <c r="R11380"/>
      <c r="W11380" s="4"/>
      <c r="X11380" s="4"/>
      <c r="Y11380" s="4"/>
    </row>
    <row r="11381" spans="5:25">
      <c r="E11381"/>
      <c r="G11381"/>
      <c r="H11381"/>
      <c r="I11381"/>
      <c r="K11381"/>
      <c r="O11381"/>
      <c r="R11381"/>
      <c r="W11381" s="4"/>
      <c r="X11381" s="4"/>
      <c r="Y11381" s="4"/>
    </row>
    <row r="11382" spans="5:25">
      <c r="E11382"/>
      <c r="G11382"/>
      <c r="H11382"/>
      <c r="I11382"/>
      <c r="K11382"/>
      <c r="O11382"/>
      <c r="R11382"/>
      <c r="W11382" s="4"/>
      <c r="X11382" s="4"/>
      <c r="Y11382" s="4"/>
    </row>
    <row r="11383" spans="5:25">
      <c r="E11383"/>
      <c r="G11383"/>
      <c r="H11383"/>
      <c r="I11383"/>
      <c r="K11383"/>
      <c r="O11383"/>
      <c r="R11383"/>
      <c r="W11383" s="4"/>
      <c r="X11383" s="4"/>
      <c r="Y11383" s="4"/>
    </row>
    <row r="11384" spans="5:25">
      <c r="E11384"/>
      <c r="G11384"/>
      <c r="H11384"/>
      <c r="I11384"/>
      <c r="K11384"/>
      <c r="O11384"/>
      <c r="R11384"/>
      <c r="W11384" s="4"/>
      <c r="X11384" s="4"/>
      <c r="Y11384" s="4"/>
    </row>
    <row r="11385" spans="5:25">
      <c r="E11385"/>
      <c r="G11385"/>
      <c r="H11385"/>
      <c r="I11385"/>
      <c r="K11385"/>
      <c r="O11385"/>
      <c r="R11385"/>
      <c r="W11385" s="4"/>
      <c r="X11385" s="4"/>
      <c r="Y11385" s="4"/>
    </row>
    <row r="11386" spans="5:25">
      <c r="E11386"/>
      <c r="G11386"/>
      <c r="H11386"/>
      <c r="I11386"/>
      <c r="K11386"/>
      <c r="O11386"/>
      <c r="R11386"/>
      <c r="W11386" s="4"/>
      <c r="X11386" s="4"/>
      <c r="Y11386" s="4"/>
    </row>
    <row r="11387" spans="5:25">
      <c r="E11387"/>
      <c r="G11387"/>
      <c r="H11387"/>
      <c r="I11387"/>
      <c r="K11387"/>
      <c r="O11387"/>
      <c r="R11387"/>
      <c r="W11387" s="4"/>
      <c r="X11387" s="4"/>
      <c r="Y11387" s="4"/>
    </row>
    <row r="11388" spans="5:25">
      <c r="E11388"/>
      <c r="G11388"/>
      <c r="H11388"/>
      <c r="I11388"/>
      <c r="K11388"/>
      <c r="O11388"/>
      <c r="R11388"/>
      <c r="W11388" s="4"/>
      <c r="X11388" s="4"/>
      <c r="Y11388" s="4"/>
    </row>
    <row r="11389" spans="5:25">
      <c r="E11389"/>
      <c r="G11389"/>
      <c r="H11389"/>
      <c r="I11389"/>
      <c r="K11389"/>
      <c r="O11389"/>
      <c r="R11389"/>
      <c r="W11389" s="4"/>
      <c r="X11389" s="4"/>
      <c r="Y11389" s="4"/>
    </row>
    <row r="11390" spans="5:25">
      <c r="E11390"/>
      <c r="G11390"/>
      <c r="H11390"/>
      <c r="I11390"/>
      <c r="K11390"/>
      <c r="O11390"/>
      <c r="R11390"/>
      <c r="W11390" s="4"/>
      <c r="X11390" s="4"/>
      <c r="Y11390" s="4"/>
    </row>
    <row r="11391" spans="5:25">
      <c r="E11391"/>
      <c r="G11391"/>
      <c r="H11391"/>
      <c r="I11391"/>
      <c r="K11391"/>
      <c r="O11391"/>
      <c r="R11391"/>
      <c r="W11391" s="4"/>
      <c r="X11391" s="4"/>
      <c r="Y11391" s="4"/>
    </row>
    <row r="11392" spans="5:25">
      <c r="E11392"/>
      <c r="G11392"/>
      <c r="H11392"/>
      <c r="I11392"/>
      <c r="K11392"/>
      <c r="O11392"/>
      <c r="R11392"/>
      <c r="W11392" s="4"/>
      <c r="X11392" s="4"/>
      <c r="Y11392" s="4"/>
    </row>
    <row r="11393" spans="5:25">
      <c r="E11393"/>
      <c r="G11393"/>
      <c r="H11393"/>
      <c r="I11393"/>
      <c r="K11393"/>
      <c r="O11393"/>
      <c r="R11393"/>
      <c r="W11393" s="4"/>
      <c r="X11393" s="4"/>
      <c r="Y11393" s="4"/>
    </row>
    <row r="11394" spans="5:25">
      <c r="E11394"/>
      <c r="G11394"/>
      <c r="H11394"/>
      <c r="I11394"/>
      <c r="K11394"/>
      <c r="O11394"/>
      <c r="R11394"/>
      <c r="W11394" s="4"/>
      <c r="X11394" s="4"/>
      <c r="Y11394" s="4"/>
    </row>
    <row r="11395" spans="5:25">
      <c r="E11395"/>
      <c r="G11395"/>
      <c r="H11395"/>
      <c r="I11395"/>
      <c r="K11395"/>
      <c r="O11395"/>
      <c r="R11395"/>
      <c r="W11395" s="4"/>
      <c r="X11395" s="4"/>
      <c r="Y11395" s="4"/>
    </row>
    <row r="11396" spans="5:25">
      <c r="E11396"/>
      <c r="G11396"/>
      <c r="H11396"/>
      <c r="I11396"/>
      <c r="K11396"/>
      <c r="O11396"/>
      <c r="R11396"/>
      <c r="W11396" s="4"/>
      <c r="X11396" s="4"/>
      <c r="Y11396" s="4"/>
    </row>
    <row r="11397" spans="5:25">
      <c r="E11397"/>
      <c r="G11397"/>
      <c r="H11397"/>
      <c r="I11397"/>
      <c r="K11397"/>
      <c r="O11397"/>
      <c r="R11397"/>
      <c r="W11397" s="4"/>
      <c r="X11397" s="4"/>
      <c r="Y11397" s="4"/>
    </row>
    <row r="11398" spans="5:25">
      <c r="E11398"/>
      <c r="G11398"/>
      <c r="H11398"/>
      <c r="I11398"/>
      <c r="K11398"/>
      <c r="O11398"/>
      <c r="R11398"/>
      <c r="W11398" s="4"/>
      <c r="X11398" s="4"/>
      <c r="Y11398" s="4"/>
    </row>
    <row r="11399" spans="5:25">
      <c r="E11399"/>
      <c r="G11399"/>
      <c r="H11399"/>
      <c r="I11399"/>
      <c r="K11399"/>
      <c r="O11399"/>
      <c r="R11399"/>
      <c r="W11399" s="4"/>
      <c r="X11399" s="4"/>
      <c r="Y11399" s="4"/>
    </row>
    <row r="11400" spans="5:25">
      <c r="E11400"/>
      <c r="G11400"/>
      <c r="H11400"/>
      <c r="I11400"/>
      <c r="K11400"/>
      <c r="O11400"/>
      <c r="R11400"/>
      <c r="W11400" s="4"/>
      <c r="X11400" s="4"/>
      <c r="Y11400" s="4"/>
    </row>
    <row r="11401" spans="5:25">
      <c r="E11401"/>
      <c r="G11401"/>
      <c r="H11401"/>
      <c r="I11401"/>
      <c r="K11401"/>
      <c r="O11401"/>
      <c r="R11401"/>
      <c r="W11401" s="4"/>
      <c r="X11401" s="4"/>
      <c r="Y11401" s="4"/>
    </row>
    <row r="11402" spans="5:25">
      <c r="E11402"/>
      <c r="G11402"/>
      <c r="H11402"/>
      <c r="I11402"/>
      <c r="K11402"/>
      <c r="O11402"/>
      <c r="R11402"/>
      <c r="W11402" s="4"/>
      <c r="X11402" s="4"/>
      <c r="Y11402" s="4"/>
    </row>
    <row r="11403" spans="5:25">
      <c r="E11403"/>
      <c r="G11403"/>
      <c r="H11403"/>
      <c r="I11403"/>
      <c r="K11403"/>
      <c r="O11403"/>
      <c r="R11403"/>
      <c r="W11403" s="4"/>
      <c r="X11403" s="4"/>
      <c r="Y11403" s="4"/>
    </row>
    <row r="11404" spans="5:25">
      <c r="E11404"/>
      <c r="G11404"/>
      <c r="H11404"/>
      <c r="I11404"/>
      <c r="K11404"/>
      <c r="O11404"/>
      <c r="R11404"/>
      <c r="W11404" s="4"/>
      <c r="X11404" s="4"/>
      <c r="Y11404" s="4"/>
    </row>
    <row r="11405" spans="5:25">
      <c r="E11405"/>
      <c r="G11405"/>
      <c r="H11405"/>
      <c r="I11405"/>
      <c r="K11405"/>
      <c r="O11405"/>
      <c r="R11405"/>
      <c r="W11405" s="4"/>
      <c r="X11405" s="4"/>
      <c r="Y11405" s="4"/>
    </row>
    <row r="11406" spans="5:25">
      <c r="E11406"/>
      <c r="G11406"/>
      <c r="H11406"/>
      <c r="I11406"/>
      <c r="K11406"/>
      <c r="O11406"/>
      <c r="R11406"/>
      <c r="W11406" s="4"/>
      <c r="X11406" s="4"/>
      <c r="Y11406" s="4"/>
    </row>
    <row r="11407" spans="5:25">
      <c r="E11407"/>
      <c r="G11407"/>
      <c r="H11407"/>
      <c r="I11407"/>
      <c r="K11407"/>
      <c r="O11407"/>
      <c r="R11407"/>
      <c r="W11407" s="4"/>
      <c r="X11407" s="4"/>
      <c r="Y11407" s="4"/>
    </row>
    <row r="11408" spans="5:25">
      <c r="E11408"/>
      <c r="G11408"/>
      <c r="H11408"/>
      <c r="I11408"/>
      <c r="K11408"/>
      <c r="O11408"/>
      <c r="R11408"/>
      <c r="W11408" s="4"/>
      <c r="X11408" s="4"/>
      <c r="Y11408" s="4"/>
    </row>
    <row r="11409" spans="5:25">
      <c r="E11409"/>
      <c r="G11409"/>
      <c r="H11409"/>
      <c r="I11409"/>
      <c r="K11409"/>
      <c r="O11409"/>
      <c r="R11409"/>
      <c r="W11409" s="4"/>
      <c r="X11409" s="4"/>
      <c r="Y11409" s="4"/>
    </row>
    <row r="11410" spans="5:25">
      <c r="E11410"/>
      <c r="G11410"/>
      <c r="H11410"/>
      <c r="I11410"/>
      <c r="K11410"/>
      <c r="O11410"/>
      <c r="R11410"/>
      <c r="W11410" s="4"/>
      <c r="X11410" s="4"/>
      <c r="Y11410" s="4"/>
    </row>
    <row r="11411" spans="5:25">
      <c r="E11411"/>
      <c r="G11411"/>
      <c r="H11411"/>
      <c r="I11411"/>
      <c r="K11411"/>
      <c r="O11411"/>
      <c r="R11411"/>
      <c r="W11411" s="4"/>
      <c r="X11411" s="4"/>
      <c r="Y11411" s="4"/>
    </row>
    <row r="11412" spans="5:25">
      <c r="E11412"/>
      <c r="G11412"/>
      <c r="H11412"/>
      <c r="I11412"/>
      <c r="K11412"/>
      <c r="O11412"/>
      <c r="R11412"/>
      <c r="W11412" s="4"/>
      <c r="X11412" s="4"/>
      <c r="Y11412" s="4"/>
    </row>
    <row r="11413" spans="5:25">
      <c r="E11413"/>
      <c r="G11413"/>
      <c r="H11413"/>
      <c r="I11413"/>
      <c r="K11413"/>
      <c r="O11413"/>
      <c r="R11413"/>
      <c r="W11413" s="4"/>
      <c r="X11413" s="4"/>
      <c r="Y11413" s="4"/>
    </row>
    <row r="11414" spans="5:25">
      <c r="E11414"/>
      <c r="G11414"/>
      <c r="H11414"/>
      <c r="I11414"/>
      <c r="K11414"/>
      <c r="O11414"/>
      <c r="R11414"/>
      <c r="W11414" s="4"/>
      <c r="X11414" s="4"/>
      <c r="Y11414" s="4"/>
    </row>
    <row r="11415" spans="5:25">
      <c r="E11415"/>
      <c r="G11415"/>
      <c r="H11415"/>
      <c r="I11415"/>
      <c r="K11415"/>
      <c r="O11415"/>
      <c r="R11415"/>
      <c r="W11415" s="4"/>
      <c r="X11415" s="4"/>
      <c r="Y11415" s="4"/>
    </row>
    <row r="11416" spans="5:25">
      <c r="E11416"/>
      <c r="G11416"/>
      <c r="H11416"/>
      <c r="I11416"/>
      <c r="K11416"/>
      <c r="O11416"/>
      <c r="R11416"/>
      <c r="W11416" s="4"/>
      <c r="X11416" s="4"/>
      <c r="Y11416" s="4"/>
    </row>
    <row r="11417" spans="5:25">
      <c r="E11417"/>
      <c r="G11417"/>
      <c r="H11417"/>
      <c r="I11417"/>
      <c r="K11417"/>
      <c r="O11417"/>
      <c r="R11417"/>
      <c r="W11417" s="4"/>
      <c r="X11417" s="4"/>
      <c r="Y11417" s="4"/>
    </row>
    <row r="11418" spans="5:25">
      <c r="E11418"/>
      <c r="G11418"/>
      <c r="H11418"/>
      <c r="I11418"/>
      <c r="K11418"/>
      <c r="O11418"/>
      <c r="R11418"/>
      <c r="W11418" s="4"/>
      <c r="X11418" s="4"/>
      <c r="Y11418" s="4"/>
    </row>
    <row r="11419" spans="5:25">
      <c r="E11419"/>
      <c r="G11419"/>
      <c r="H11419"/>
      <c r="I11419"/>
      <c r="K11419"/>
      <c r="O11419"/>
      <c r="R11419"/>
      <c r="W11419" s="4"/>
      <c r="X11419" s="4"/>
      <c r="Y11419" s="4"/>
    </row>
    <row r="11420" spans="5:25">
      <c r="E11420"/>
      <c r="G11420"/>
      <c r="H11420"/>
      <c r="I11420"/>
      <c r="K11420"/>
      <c r="O11420"/>
      <c r="R11420"/>
      <c r="W11420" s="4"/>
      <c r="X11420" s="4"/>
      <c r="Y11420" s="4"/>
    </row>
    <row r="11421" spans="5:25">
      <c r="E11421"/>
      <c r="G11421"/>
      <c r="H11421"/>
      <c r="I11421"/>
      <c r="K11421"/>
      <c r="O11421"/>
      <c r="R11421"/>
      <c r="W11421" s="4"/>
      <c r="X11421" s="4"/>
      <c r="Y11421" s="4"/>
    </row>
    <row r="11422" spans="5:25">
      <c r="E11422"/>
      <c r="G11422"/>
      <c r="H11422"/>
      <c r="I11422"/>
      <c r="K11422"/>
      <c r="O11422"/>
      <c r="R11422"/>
      <c r="W11422" s="4"/>
      <c r="X11422" s="4"/>
      <c r="Y11422" s="4"/>
    </row>
    <row r="11423" spans="5:25">
      <c r="E11423"/>
      <c r="G11423"/>
      <c r="H11423"/>
      <c r="I11423"/>
      <c r="K11423"/>
      <c r="O11423"/>
      <c r="R11423"/>
      <c r="W11423" s="4"/>
      <c r="X11423" s="4"/>
      <c r="Y11423" s="4"/>
    </row>
    <row r="11424" spans="5:25">
      <c r="E11424"/>
      <c r="G11424"/>
      <c r="H11424"/>
      <c r="I11424"/>
      <c r="K11424"/>
      <c r="O11424"/>
      <c r="R11424"/>
      <c r="W11424" s="4"/>
      <c r="X11424" s="4"/>
      <c r="Y11424" s="4"/>
    </row>
    <row r="11425" spans="5:25">
      <c r="E11425"/>
      <c r="G11425"/>
      <c r="H11425"/>
      <c r="I11425"/>
      <c r="K11425"/>
      <c r="O11425"/>
      <c r="R11425"/>
      <c r="W11425" s="4"/>
      <c r="X11425" s="4"/>
      <c r="Y11425" s="4"/>
    </row>
    <row r="11426" spans="5:25">
      <c r="E11426"/>
      <c r="G11426"/>
      <c r="H11426"/>
      <c r="I11426"/>
      <c r="K11426"/>
      <c r="O11426"/>
      <c r="R11426"/>
      <c r="W11426" s="4"/>
      <c r="X11426" s="4"/>
      <c r="Y11426" s="4"/>
    </row>
    <row r="11427" spans="5:25">
      <c r="E11427"/>
      <c r="G11427"/>
      <c r="H11427"/>
      <c r="I11427"/>
      <c r="K11427"/>
      <c r="O11427"/>
      <c r="R11427"/>
      <c r="W11427" s="4"/>
      <c r="X11427" s="4"/>
      <c r="Y11427" s="4"/>
    </row>
    <row r="11428" spans="5:25">
      <c r="E11428"/>
      <c r="G11428"/>
      <c r="H11428"/>
      <c r="I11428"/>
      <c r="K11428"/>
      <c r="O11428"/>
      <c r="R11428"/>
      <c r="W11428" s="4"/>
      <c r="X11428" s="4"/>
      <c r="Y11428" s="4"/>
    </row>
    <row r="11429" spans="5:25">
      <c r="E11429"/>
      <c r="G11429"/>
      <c r="H11429"/>
      <c r="I11429"/>
      <c r="K11429"/>
      <c r="O11429"/>
      <c r="R11429"/>
      <c r="W11429" s="4"/>
      <c r="X11429" s="4"/>
      <c r="Y11429" s="4"/>
    </row>
    <row r="11430" spans="5:25">
      <c r="E11430"/>
      <c r="G11430"/>
      <c r="H11430"/>
      <c r="I11430"/>
      <c r="K11430"/>
      <c r="O11430"/>
      <c r="R11430"/>
      <c r="W11430" s="4"/>
      <c r="X11430" s="4"/>
      <c r="Y11430" s="4"/>
    </row>
    <row r="11431" spans="5:25">
      <c r="E11431"/>
      <c r="G11431"/>
      <c r="H11431"/>
      <c r="I11431"/>
      <c r="K11431"/>
      <c r="O11431"/>
      <c r="R11431"/>
      <c r="W11431" s="4"/>
      <c r="X11431" s="4"/>
      <c r="Y11431" s="4"/>
    </row>
    <row r="11432" spans="5:25">
      <c r="E11432"/>
      <c r="G11432"/>
      <c r="H11432"/>
      <c r="I11432"/>
      <c r="K11432"/>
      <c r="O11432"/>
      <c r="R11432"/>
      <c r="W11432" s="4"/>
      <c r="X11432" s="4"/>
      <c r="Y11432" s="4"/>
    </row>
    <row r="11433" spans="5:25">
      <c r="E11433"/>
      <c r="G11433"/>
      <c r="H11433"/>
      <c r="I11433"/>
      <c r="K11433"/>
      <c r="O11433"/>
      <c r="R11433"/>
      <c r="W11433" s="4"/>
      <c r="X11433" s="4"/>
      <c r="Y11433" s="4"/>
    </row>
    <row r="11434" spans="5:25">
      <c r="E11434"/>
      <c r="G11434"/>
      <c r="H11434"/>
      <c r="I11434"/>
      <c r="K11434"/>
      <c r="O11434"/>
      <c r="R11434"/>
      <c r="W11434" s="4"/>
      <c r="X11434" s="4"/>
      <c r="Y11434" s="4"/>
    </row>
    <row r="11435" spans="5:25">
      <c r="E11435"/>
      <c r="G11435"/>
      <c r="H11435"/>
      <c r="I11435"/>
      <c r="K11435"/>
      <c r="O11435"/>
      <c r="R11435"/>
      <c r="W11435" s="4"/>
      <c r="X11435" s="4"/>
      <c r="Y11435" s="4"/>
    </row>
    <row r="11436" spans="5:25">
      <c r="E11436"/>
      <c r="G11436"/>
      <c r="H11436"/>
      <c r="I11436"/>
      <c r="K11436"/>
      <c r="O11436"/>
      <c r="R11436"/>
      <c r="W11436" s="4"/>
      <c r="X11436" s="4"/>
      <c r="Y11436" s="4"/>
    </row>
    <row r="11437" spans="5:25">
      <c r="E11437"/>
      <c r="G11437"/>
      <c r="H11437"/>
      <c r="I11437"/>
      <c r="K11437"/>
      <c r="O11437"/>
      <c r="R11437"/>
      <c r="W11437" s="4"/>
      <c r="X11437" s="4"/>
      <c r="Y11437" s="4"/>
    </row>
    <row r="11438" spans="5:25">
      <c r="E11438"/>
      <c r="G11438"/>
      <c r="H11438"/>
      <c r="I11438"/>
      <c r="K11438"/>
      <c r="O11438"/>
      <c r="R11438"/>
      <c r="W11438" s="4"/>
      <c r="X11438" s="4"/>
      <c r="Y11438" s="4"/>
    </row>
    <row r="11439" spans="5:25">
      <c r="E11439"/>
      <c r="G11439"/>
      <c r="H11439"/>
      <c r="I11439"/>
      <c r="K11439"/>
      <c r="O11439"/>
      <c r="R11439"/>
      <c r="W11439" s="4"/>
      <c r="X11439" s="4"/>
      <c r="Y11439" s="4"/>
    </row>
    <row r="11440" spans="5:25">
      <c r="E11440"/>
      <c r="G11440"/>
      <c r="H11440"/>
      <c r="I11440"/>
      <c r="K11440"/>
      <c r="O11440"/>
      <c r="R11440"/>
      <c r="W11440" s="4"/>
      <c r="X11440" s="4"/>
      <c r="Y11440" s="4"/>
    </row>
    <row r="11441" spans="5:25">
      <c r="E11441"/>
      <c r="G11441"/>
      <c r="H11441"/>
      <c r="I11441"/>
      <c r="K11441"/>
      <c r="O11441"/>
      <c r="R11441"/>
      <c r="W11441" s="4"/>
      <c r="X11441" s="4"/>
      <c r="Y11441" s="4"/>
    </row>
    <row r="11442" spans="5:25">
      <c r="E11442"/>
      <c r="G11442"/>
      <c r="H11442"/>
      <c r="I11442"/>
      <c r="K11442"/>
      <c r="O11442"/>
      <c r="R11442"/>
      <c r="W11442" s="4"/>
      <c r="X11442" s="4"/>
      <c r="Y11442" s="4"/>
    </row>
    <row r="11443" spans="5:25">
      <c r="E11443"/>
      <c r="G11443"/>
      <c r="H11443"/>
      <c r="I11443"/>
      <c r="K11443"/>
      <c r="O11443"/>
      <c r="R11443"/>
      <c r="W11443" s="4"/>
      <c r="X11443" s="4"/>
      <c r="Y11443" s="4"/>
    </row>
    <row r="11444" spans="5:25">
      <c r="E11444"/>
      <c r="G11444"/>
      <c r="H11444"/>
      <c r="I11444"/>
      <c r="K11444"/>
      <c r="O11444"/>
      <c r="R11444"/>
      <c r="W11444" s="4"/>
      <c r="X11444" s="4"/>
      <c r="Y11444" s="4"/>
    </row>
    <row r="11445" spans="5:25">
      <c r="E11445"/>
      <c r="G11445"/>
      <c r="H11445"/>
      <c r="I11445"/>
      <c r="K11445"/>
      <c r="O11445"/>
      <c r="R11445"/>
      <c r="W11445" s="4"/>
      <c r="X11445" s="4"/>
      <c r="Y11445" s="4"/>
    </row>
    <row r="11446" spans="5:25">
      <c r="E11446"/>
      <c r="G11446"/>
      <c r="H11446"/>
      <c r="I11446"/>
      <c r="K11446"/>
      <c r="O11446"/>
      <c r="R11446"/>
      <c r="W11446" s="4"/>
      <c r="X11446" s="4"/>
      <c r="Y11446" s="4"/>
    </row>
    <row r="11447" spans="5:25">
      <c r="E11447"/>
      <c r="G11447"/>
      <c r="H11447"/>
      <c r="I11447"/>
      <c r="K11447"/>
      <c r="O11447"/>
      <c r="R11447"/>
      <c r="W11447" s="4"/>
      <c r="X11447" s="4"/>
      <c r="Y11447" s="4"/>
    </row>
    <row r="11448" spans="5:25">
      <c r="E11448"/>
      <c r="G11448"/>
      <c r="H11448"/>
      <c r="I11448"/>
      <c r="K11448"/>
      <c r="O11448"/>
      <c r="R11448"/>
      <c r="W11448" s="4"/>
      <c r="X11448" s="4"/>
      <c r="Y11448" s="4"/>
    </row>
    <row r="11449" spans="5:25">
      <c r="E11449"/>
      <c r="G11449"/>
      <c r="H11449"/>
      <c r="I11449"/>
      <c r="K11449"/>
      <c r="O11449"/>
      <c r="R11449"/>
      <c r="W11449" s="4"/>
      <c r="X11449" s="4"/>
      <c r="Y11449" s="4"/>
    </row>
    <row r="11450" spans="5:25">
      <c r="E11450"/>
      <c r="G11450"/>
      <c r="H11450"/>
      <c r="I11450"/>
      <c r="K11450"/>
      <c r="O11450"/>
      <c r="R11450"/>
      <c r="W11450" s="4"/>
      <c r="X11450" s="4"/>
      <c r="Y11450" s="4"/>
    </row>
    <row r="11451" spans="5:25">
      <c r="E11451"/>
      <c r="G11451"/>
      <c r="H11451"/>
      <c r="I11451"/>
      <c r="K11451"/>
      <c r="O11451"/>
      <c r="R11451"/>
      <c r="W11451" s="4"/>
      <c r="X11451" s="4"/>
      <c r="Y11451" s="4"/>
    </row>
    <row r="11452" spans="5:25">
      <c r="E11452"/>
      <c r="G11452"/>
      <c r="H11452"/>
      <c r="I11452"/>
      <c r="K11452"/>
      <c r="O11452"/>
      <c r="R11452"/>
      <c r="W11452" s="4"/>
      <c r="X11452" s="4"/>
      <c r="Y11452" s="4"/>
    </row>
    <row r="11453" spans="5:25">
      <c r="E11453"/>
      <c r="G11453"/>
      <c r="H11453"/>
      <c r="I11453"/>
      <c r="K11453"/>
      <c r="O11453"/>
      <c r="R11453"/>
      <c r="W11453" s="4"/>
      <c r="X11453" s="4"/>
      <c r="Y11453" s="4"/>
    </row>
    <row r="11454" spans="5:25">
      <c r="E11454"/>
      <c r="G11454"/>
      <c r="H11454"/>
      <c r="I11454"/>
      <c r="K11454"/>
      <c r="O11454"/>
      <c r="R11454"/>
      <c r="W11454" s="4"/>
      <c r="X11454" s="4"/>
      <c r="Y11454" s="4"/>
    </row>
    <row r="11455" spans="5:25">
      <c r="E11455"/>
      <c r="G11455"/>
      <c r="H11455"/>
      <c r="I11455"/>
      <c r="K11455"/>
      <c r="O11455"/>
      <c r="R11455"/>
      <c r="W11455" s="4"/>
      <c r="X11455" s="4"/>
      <c r="Y11455" s="4"/>
    </row>
    <row r="11456" spans="5:25">
      <c r="E11456"/>
      <c r="G11456"/>
      <c r="H11456"/>
      <c r="I11456"/>
      <c r="K11456"/>
      <c r="O11456"/>
      <c r="R11456"/>
      <c r="W11456" s="4"/>
      <c r="X11456" s="4"/>
      <c r="Y11456" s="4"/>
    </row>
    <row r="11457" spans="5:25">
      <c r="E11457"/>
      <c r="G11457"/>
      <c r="H11457"/>
      <c r="I11457"/>
      <c r="K11457"/>
      <c r="O11457"/>
      <c r="R11457"/>
      <c r="W11457" s="4"/>
      <c r="X11457" s="4"/>
      <c r="Y11457" s="4"/>
    </row>
    <row r="11458" spans="5:25">
      <c r="E11458"/>
      <c r="G11458"/>
      <c r="H11458"/>
      <c r="I11458"/>
      <c r="K11458"/>
      <c r="O11458"/>
      <c r="R11458"/>
      <c r="W11458" s="4"/>
      <c r="X11458" s="4"/>
      <c r="Y11458" s="4"/>
    </row>
    <row r="11459" spans="5:25">
      <c r="E11459"/>
      <c r="G11459"/>
      <c r="H11459"/>
      <c r="I11459"/>
      <c r="K11459"/>
      <c r="O11459"/>
      <c r="R11459"/>
      <c r="W11459" s="4"/>
      <c r="X11459" s="4"/>
      <c r="Y11459" s="4"/>
    </row>
    <row r="11460" spans="5:25">
      <c r="E11460"/>
      <c r="G11460"/>
      <c r="H11460"/>
      <c r="I11460"/>
      <c r="K11460"/>
      <c r="O11460"/>
      <c r="R11460"/>
      <c r="W11460" s="4"/>
      <c r="X11460" s="4"/>
      <c r="Y11460" s="4"/>
    </row>
    <row r="11461" spans="5:25">
      <c r="E11461"/>
      <c r="G11461"/>
      <c r="H11461"/>
      <c r="I11461"/>
      <c r="K11461"/>
      <c r="O11461"/>
      <c r="R11461"/>
      <c r="W11461" s="4"/>
      <c r="X11461" s="4"/>
      <c r="Y11461" s="4"/>
    </row>
    <row r="11462" spans="5:25">
      <c r="E11462"/>
      <c r="G11462"/>
      <c r="H11462"/>
      <c r="I11462"/>
      <c r="K11462"/>
      <c r="O11462"/>
      <c r="R11462"/>
      <c r="W11462" s="4"/>
      <c r="X11462" s="4"/>
      <c r="Y11462" s="4"/>
    </row>
    <row r="11463" spans="5:25">
      <c r="E11463"/>
      <c r="G11463"/>
      <c r="H11463"/>
      <c r="I11463"/>
      <c r="K11463"/>
      <c r="O11463"/>
      <c r="R11463"/>
      <c r="W11463" s="4"/>
      <c r="X11463" s="4"/>
      <c r="Y11463" s="4"/>
    </row>
    <row r="11464" spans="5:25">
      <c r="E11464"/>
      <c r="G11464"/>
      <c r="H11464"/>
      <c r="I11464"/>
      <c r="K11464"/>
      <c r="O11464"/>
      <c r="R11464"/>
      <c r="W11464" s="4"/>
      <c r="X11464" s="4"/>
      <c r="Y11464" s="4"/>
    </row>
    <row r="11465" spans="5:25">
      <c r="E11465"/>
      <c r="G11465"/>
      <c r="H11465"/>
      <c r="I11465"/>
      <c r="K11465"/>
      <c r="O11465"/>
      <c r="R11465"/>
      <c r="W11465" s="4"/>
      <c r="X11465" s="4"/>
      <c r="Y11465" s="4"/>
    </row>
    <row r="11466" spans="5:25">
      <c r="E11466"/>
      <c r="G11466"/>
      <c r="H11466"/>
      <c r="I11466"/>
      <c r="K11466"/>
      <c r="O11466"/>
      <c r="R11466"/>
      <c r="W11466" s="4"/>
      <c r="X11466" s="4"/>
      <c r="Y11466" s="4"/>
    </row>
    <row r="11467" spans="5:25">
      <c r="E11467"/>
      <c r="G11467"/>
      <c r="H11467"/>
      <c r="I11467"/>
      <c r="K11467"/>
      <c r="O11467"/>
      <c r="R11467"/>
      <c r="W11467" s="4"/>
      <c r="X11467" s="4"/>
      <c r="Y11467" s="4"/>
    </row>
    <row r="11468" spans="5:25">
      <c r="E11468"/>
      <c r="G11468"/>
      <c r="H11468"/>
      <c r="I11468"/>
      <c r="K11468"/>
      <c r="O11468"/>
      <c r="R11468"/>
      <c r="W11468" s="4"/>
      <c r="X11468" s="4"/>
      <c r="Y11468" s="4"/>
    </row>
    <row r="11469" spans="5:25">
      <c r="E11469"/>
      <c r="G11469"/>
      <c r="H11469"/>
      <c r="I11469"/>
      <c r="K11469"/>
      <c r="O11469"/>
      <c r="R11469"/>
      <c r="W11469" s="4"/>
      <c r="X11469" s="4"/>
      <c r="Y11469" s="4"/>
    </row>
    <row r="11470" spans="5:25">
      <c r="E11470"/>
      <c r="G11470"/>
      <c r="H11470"/>
      <c r="I11470"/>
      <c r="K11470"/>
      <c r="O11470"/>
      <c r="R11470"/>
      <c r="W11470" s="4"/>
      <c r="X11470" s="4"/>
      <c r="Y11470" s="4"/>
    </row>
    <row r="11471" spans="5:25">
      <c r="E11471"/>
      <c r="G11471"/>
      <c r="H11471"/>
      <c r="I11471"/>
      <c r="K11471"/>
      <c r="O11471"/>
      <c r="R11471"/>
      <c r="W11471" s="4"/>
      <c r="X11471" s="4"/>
      <c r="Y11471" s="4"/>
    </row>
    <row r="11472" spans="5:25">
      <c r="E11472"/>
      <c r="G11472"/>
      <c r="H11472"/>
      <c r="I11472"/>
      <c r="K11472"/>
      <c r="O11472"/>
      <c r="R11472"/>
      <c r="W11472" s="4"/>
      <c r="X11472" s="4"/>
      <c r="Y11472" s="4"/>
    </row>
    <row r="11473" spans="5:25">
      <c r="E11473"/>
      <c r="G11473"/>
      <c r="H11473"/>
      <c r="I11473"/>
      <c r="K11473"/>
      <c r="O11473"/>
      <c r="R11473"/>
      <c r="W11473" s="4"/>
      <c r="X11473" s="4"/>
      <c r="Y11473" s="4"/>
    </row>
    <row r="11474" spans="5:25">
      <c r="E11474"/>
      <c r="G11474"/>
      <c r="H11474"/>
      <c r="I11474"/>
      <c r="K11474"/>
      <c r="O11474"/>
      <c r="R11474"/>
      <c r="W11474" s="4"/>
      <c r="X11474" s="4"/>
      <c r="Y11474" s="4"/>
    </row>
    <row r="11475" spans="5:25">
      <c r="E11475"/>
      <c r="G11475"/>
      <c r="H11475"/>
      <c r="I11475"/>
      <c r="K11475"/>
      <c r="O11475"/>
      <c r="R11475"/>
      <c r="W11475" s="4"/>
      <c r="X11475" s="4"/>
      <c r="Y11475" s="4"/>
    </row>
    <row r="11476" spans="5:25">
      <c r="E11476"/>
      <c r="G11476"/>
      <c r="H11476"/>
      <c r="I11476"/>
      <c r="K11476"/>
      <c r="O11476"/>
      <c r="R11476"/>
      <c r="W11476" s="4"/>
      <c r="X11476" s="4"/>
      <c r="Y11476" s="4"/>
    </row>
    <row r="11477" spans="5:25">
      <c r="E11477"/>
      <c r="G11477"/>
      <c r="H11477"/>
      <c r="I11477"/>
      <c r="K11477"/>
      <c r="O11477"/>
      <c r="R11477"/>
      <c r="W11477" s="4"/>
      <c r="X11477" s="4"/>
      <c r="Y11477" s="4"/>
    </row>
    <row r="11478" spans="5:25">
      <c r="E11478"/>
      <c r="G11478"/>
      <c r="H11478"/>
      <c r="I11478"/>
      <c r="K11478"/>
      <c r="O11478"/>
      <c r="R11478"/>
      <c r="W11478" s="4"/>
      <c r="X11478" s="4"/>
      <c r="Y11478" s="4"/>
    </row>
    <row r="11479" spans="5:25">
      <c r="E11479"/>
      <c r="G11479"/>
      <c r="H11479"/>
      <c r="I11479"/>
      <c r="K11479"/>
      <c r="O11479"/>
      <c r="R11479"/>
      <c r="W11479" s="4"/>
      <c r="X11479" s="4"/>
      <c r="Y11479" s="4"/>
    </row>
    <row r="11480" spans="5:25">
      <c r="E11480"/>
      <c r="G11480"/>
      <c r="H11480"/>
      <c r="I11480"/>
      <c r="K11480"/>
      <c r="O11480"/>
      <c r="R11480"/>
      <c r="W11480" s="4"/>
      <c r="X11480" s="4"/>
      <c r="Y11480" s="4"/>
    </row>
    <row r="11481" spans="5:25">
      <c r="E11481"/>
      <c r="G11481"/>
      <c r="H11481"/>
      <c r="I11481"/>
      <c r="K11481"/>
      <c r="O11481"/>
      <c r="R11481"/>
      <c r="W11481" s="4"/>
      <c r="X11481" s="4"/>
      <c r="Y11481" s="4"/>
    </row>
    <row r="11482" spans="5:25">
      <c r="E11482"/>
      <c r="G11482"/>
      <c r="H11482"/>
      <c r="I11482"/>
      <c r="K11482"/>
      <c r="O11482"/>
      <c r="R11482"/>
      <c r="W11482" s="4"/>
      <c r="X11482" s="4"/>
      <c r="Y11482" s="4"/>
    </row>
    <row r="11483" spans="5:25">
      <c r="E11483"/>
      <c r="G11483"/>
      <c r="H11483"/>
      <c r="I11483"/>
      <c r="K11483"/>
      <c r="O11483"/>
      <c r="R11483"/>
      <c r="W11483" s="4"/>
      <c r="X11483" s="4"/>
      <c r="Y11483" s="4"/>
    </row>
    <row r="11484" spans="5:25">
      <c r="E11484"/>
      <c r="G11484"/>
      <c r="H11484"/>
      <c r="I11484"/>
      <c r="K11484"/>
      <c r="O11484"/>
      <c r="R11484"/>
      <c r="W11484" s="4"/>
      <c r="X11484" s="4"/>
      <c r="Y11484" s="4"/>
    </row>
    <row r="11485" spans="5:25">
      <c r="E11485"/>
      <c r="G11485"/>
      <c r="H11485"/>
      <c r="I11485"/>
      <c r="K11485"/>
      <c r="O11485"/>
      <c r="R11485"/>
      <c r="W11485" s="4"/>
      <c r="X11485" s="4"/>
      <c r="Y11485" s="4"/>
    </row>
    <row r="11486" spans="5:25">
      <c r="E11486"/>
      <c r="G11486"/>
      <c r="H11486"/>
      <c r="I11486"/>
      <c r="K11486"/>
      <c r="O11486"/>
      <c r="R11486"/>
      <c r="W11486" s="4"/>
      <c r="X11486" s="4"/>
      <c r="Y11486" s="4"/>
    </row>
    <row r="11487" spans="5:25">
      <c r="E11487"/>
      <c r="G11487"/>
      <c r="H11487"/>
      <c r="I11487"/>
      <c r="K11487"/>
      <c r="O11487"/>
      <c r="R11487"/>
      <c r="W11487" s="4"/>
      <c r="X11487" s="4"/>
      <c r="Y11487" s="4"/>
    </row>
    <row r="11488" spans="5:25">
      <c r="E11488"/>
      <c r="G11488"/>
      <c r="H11488"/>
      <c r="I11488"/>
      <c r="K11488"/>
      <c r="O11488"/>
      <c r="R11488"/>
      <c r="W11488" s="4"/>
      <c r="X11488" s="4"/>
      <c r="Y11488" s="4"/>
    </row>
    <row r="11489" spans="5:25">
      <c r="E11489"/>
      <c r="G11489"/>
      <c r="H11489"/>
      <c r="I11489"/>
      <c r="K11489"/>
      <c r="O11489"/>
      <c r="R11489"/>
      <c r="W11489" s="4"/>
      <c r="X11489" s="4"/>
      <c r="Y11489" s="4"/>
    </row>
    <row r="11490" spans="5:25">
      <c r="E11490"/>
      <c r="G11490"/>
      <c r="H11490"/>
      <c r="I11490"/>
      <c r="K11490"/>
      <c r="O11490"/>
      <c r="R11490"/>
      <c r="W11490" s="4"/>
      <c r="X11490" s="4"/>
      <c r="Y11490" s="4"/>
    </row>
    <row r="11491" spans="5:25">
      <c r="E11491"/>
      <c r="G11491"/>
      <c r="H11491"/>
      <c r="I11491"/>
      <c r="K11491"/>
      <c r="O11491"/>
      <c r="R11491"/>
      <c r="W11491" s="4"/>
      <c r="X11491" s="4"/>
      <c r="Y11491" s="4"/>
    </row>
    <row r="11492" spans="5:25">
      <c r="E11492"/>
      <c r="G11492"/>
      <c r="H11492"/>
      <c r="I11492"/>
      <c r="K11492"/>
      <c r="O11492"/>
      <c r="R11492"/>
      <c r="W11492" s="4"/>
      <c r="X11492" s="4"/>
      <c r="Y11492" s="4"/>
    </row>
    <row r="11493" spans="5:25">
      <c r="E11493"/>
      <c r="G11493"/>
      <c r="H11493"/>
      <c r="I11493"/>
      <c r="K11493"/>
      <c r="O11493"/>
      <c r="R11493"/>
      <c r="W11493" s="4"/>
      <c r="X11493" s="4"/>
      <c r="Y11493" s="4"/>
    </row>
    <row r="11494" spans="5:25">
      <c r="E11494"/>
      <c r="G11494"/>
      <c r="H11494"/>
      <c r="I11494"/>
      <c r="K11494"/>
      <c r="O11494"/>
      <c r="R11494"/>
      <c r="W11494" s="4"/>
      <c r="X11494" s="4"/>
      <c r="Y11494" s="4"/>
    </row>
    <row r="11495" spans="5:25">
      <c r="E11495"/>
      <c r="G11495"/>
      <c r="H11495"/>
      <c r="I11495"/>
      <c r="K11495"/>
      <c r="O11495"/>
      <c r="R11495"/>
      <c r="W11495" s="4"/>
      <c r="X11495" s="4"/>
      <c r="Y11495" s="4"/>
    </row>
    <row r="11496" spans="5:25">
      <c r="E11496"/>
      <c r="G11496"/>
      <c r="H11496"/>
      <c r="I11496"/>
      <c r="K11496"/>
      <c r="O11496"/>
      <c r="R11496"/>
      <c r="W11496" s="4"/>
      <c r="X11496" s="4"/>
      <c r="Y11496" s="4"/>
    </row>
    <row r="11497" spans="5:25">
      <c r="E11497"/>
      <c r="G11497"/>
      <c r="H11497"/>
      <c r="I11497"/>
      <c r="K11497"/>
      <c r="O11497"/>
      <c r="R11497"/>
      <c r="W11497" s="4"/>
      <c r="X11497" s="4"/>
      <c r="Y11497" s="4"/>
    </row>
    <row r="11498" spans="5:25">
      <c r="E11498"/>
      <c r="G11498"/>
      <c r="H11498"/>
      <c r="I11498"/>
      <c r="K11498"/>
      <c r="O11498"/>
      <c r="R11498"/>
      <c r="W11498" s="4"/>
      <c r="X11498" s="4"/>
      <c r="Y11498" s="4"/>
    </row>
    <row r="11499" spans="5:25">
      <c r="E11499"/>
      <c r="G11499"/>
      <c r="H11499"/>
      <c r="I11499"/>
      <c r="K11499"/>
      <c r="O11499"/>
      <c r="R11499"/>
      <c r="W11499" s="4"/>
      <c r="X11499" s="4"/>
      <c r="Y11499" s="4"/>
    </row>
    <row r="11500" spans="5:25">
      <c r="E11500"/>
      <c r="G11500"/>
      <c r="H11500"/>
      <c r="I11500"/>
      <c r="K11500"/>
      <c r="O11500"/>
      <c r="R11500"/>
      <c r="W11500" s="4"/>
      <c r="X11500" s="4"/>
      <c r="Y11500" s="4"/>
    </row>
    <row r="11501" spans="5:25">
      <c r="E11501"/>
      <c r="G11501"/>
      <c r="H11501"/>
      <c r="I11501"/>
      <c r="K11501"/>
      <c r="O11501"/>
      <c r="R11501"/>
      <c r="W11501" s="4"/>
      <c r="X11501" s="4"/>
      <c r="Y11501" s="4"/>
    </row>
    <row r="11502" spans="5:25">
      <c r="E11502"/>
      <c r="G11502"/>
      <c r="H11502"/>
      <c r="I11502"/>
      <c r="K11502"/>
      <c r="O11502"/>
      <c r="R11502"/>
      <c r="W11502" s="4"/>
      <c r="X11502" s="4"/>
      <c r="Y11502" s="4"/>
    </row>
    <row r="11503" spans="5:25">
      <c r="E11503"/>
      <c r="G11503"/>
      <c r="H11503"/>
      <c r="I11503"/>
      <c r="K11503"/>
      <c r="O11503"/>
      <c r="R11503"/>
      <c r="W11503" s="4"/>
      <c r="X11503" s="4"/>
      <c r="Y11503" s="4"/>
    </row>
    <row r="11504" spans="5:25">
      <c r="E11504"/>
      <c r="G11504"/>
      <c r="H11504"/>
      <c r="I11504"/>
      <c r="K11504"/>
      <c r="O11504"/>
      <c r="R11504"/>
      <c r="W11504" s="4"/>
      <c r="X11504" s="4"/>
      <c r="Y11504" s="4"/>
    </row>
    <row r="11505" spans="5:25">
      <c r="E11505"/>
      <c r="G11505"/>
      <c r="H11505"/>
      <c r="I11505"/>
      <c r="K11505"/>
      <c r="O11505"/>
      <c r="R11505"/>
      <c r="W11505" s="4"/>
      <c r="X11505" s="4"/>
      <c r="Y11505" s="4"/>
    </row>
    <row r="11506" spans="5:25">
      <c r="E11506"/>
      <c r="G11506"/>
      <c r="H11506"/>
      <c r="I11506"/>
      <c r="K11506"/>
      <c r="O11506"/>
      <c r="R11506"/>
      <c r="W11506" s="4"/>
      <c r="X11506" s="4"/>
      <c r="Y11506" s="4"/>
    </row>
    <row r="11507" spans="5:25">
      <c r="E11507"/>
      <c r="G11507"/>
      <c r="H11507"/>
      <c r="I11507"/>
      <c r="K11507"/>
      <c r="O11507"/>
      <c r="R11507"/>
      <c r="W11507" s="4"/>
      <c r="X11507" s="4"/>
      <c r="Y11507" s="4"/>
    </row>
    <row r="11508" spans="5:25">
      <c r="E11508"/>
      <c r="G11508"/>
      <c r="H11508"/>
      <c r="I11508"/>
      <c r="K11508"/>
      <c r="O11508"/>
      <c r="R11508"/>
      <c r="W11508" s="4"/>
      <c r="X11508" s="4"/>
      <c r="Y11508" s="4"/>
    </row>
    <row r="11509" spans="5:25">
      <c r="E11509"/>
      <c r="G11509"/>
      <c r="H11509"/>
      <c r="I11509"/>
      <c r="K11509"/>
      <c r="O11509"/>
      <c r="R11509"/>
      <c r="W11509" s="4"/>
      <c r="X11509" s="4"/>
      <c r="Y11509" s="4"/>
    </row>
    <row r="11510" spans="5:25">
      <c r="E11510"/>
      <c r="G11510"/>
      <c r="H11510"/>
      <c r="I11510"/>
      <c r="K11510"/>
      <c r="O11510"/>
      <c r="R11510"/>
      <c r="W11510" s="4"/>
      <c r="X11510" s="4"/>
      <c r="Y11510" s="4"/>
    </row>
    <row r="11511" spans="5:25">
      <c r="E11511"/>
      <c r="G11511"/>
      <c r="H11511"/>
      <c r="I11511"/>
      <c r="K11511"/>
      <c r="O11511"/>
      <c r="R11511"/>
      <c r="W11511" s="4"/>
      <c r="X11511" s="4"/>
      <c r="Y11511" s="4"/>
    </row>
    <row r="11512" spans="5:25">
      <c r="E11512"/>
      <c r="G11512"/>
      <c r="H11512"/>
      <c r="I11512"/>
      <c r="K11512"/>
      <c r="O11512"/>
      <c r="R11512"/>
      <c r="W11512" s="4"/>
      <c r="X11512" s="4"/>
      <c r="Y11512" s="4"/>
    </row>
    <row r="11513" spans="5:25">
      <c r="E11513"/>
      <c r="G11513"/>
      <c r="H11513"/>
      <c r="I11513"/>
      <c r="K11513"/>
      <c r="O11513"/>
      <c r="R11513"/>
      <c r="W11513" s="4"/>
      <c r="X11513" s="4"/>
      <c r="Y11513" s="4"/>
    </row>
    <row r="11514" spans="5:25">
      <c r="E11514"/>
      <c r="G11514"/>
      <c r="H11514"/>
      <c r="I11514"/>
      <c r="K11514"/>
      <c r="O11514"/>
      <c r="R11514"/>
      <c r="W11514" s="4"/>
      <c r="X11514" s="4"/>
      <c r="Y11514" s="4"/>
    </row>
    <row r="11515" spans="5:25">
      <c r="E11515"/>
      <c r="G11515"/>
      <c r="H11515"/>
      <c r="I11515"/>
      <c r="K11515"/>
      <c r="O11515"/>
      <c r="R11515"/>
      <c r="W11515" s="4"/>
      <c r="X11515" s="4"/>
      <c r="Y11515" s="4"/>
    </row>
    <row r="11516" spans="5:25">
      <c r="E11516"/>
      <c r="G11516"/>
      <c r="H11516"/>
      <c r="I11516"/>
      <c r="K11516"/>
      <c r="O11516"/>
      <c r="R11516"/>
      <c r="W11516" s="4"/>
      <c r="X11516" s="4"/>
      <c r="Y11516" s="4"/>
    </row>
    <row r="11517" spans="5:25">
      <c r="E11517"/>
      <c r="G11517"/>
      <c r="H11517"/>
      <c r="I11517"/>
      <c r="K11517"/>
      <c r="O11517"/>
      <c r="R11517"/>
      <c r="W11517" s="4"/>
      <c r="X11517" s="4"/>
      <c r="Y11517" s="4"/>
    </row>
    <row r="11518" spans="5:25">
      <c r="E11518"/>
      <c r="G11518"/>
      <c r="H11518"/>
      <c r="I11518"/>
      <c r="K11518"/>
      <c r="O11518"/>
      <c r="R11518"/>
      <c r="W11518" s="4"/>
      <c r="X11518" s="4"/>
      <c r="Y11518" s="4"/>
    </row>
    <row r="11519" spans="5:25">
      <c r="E11519"/>
      <c r="G11519"/>
      <c r="H11519"/>
      <c r="I11519"/>
      <c r="K11519"/>
      <c r="O11519"/>
      <c r="R11519"/>
      <c r="W11519" s="4"/>
      <c r="X11519" s="4"/>
      <c r="Y11519" s="4"/>
    </row>
    <row r="11520" spans="5:25">
      <c r="E11520"/>
      <c r="G11520"/>
      <c r="H11520"/>
      <c r="I11520"/>
      <c r="K11520"/>
      <c r="O11520"/>
      <c r="R11520"/>
      <c r="W11520" s="4"/>
      <c r="X11520" s="4"/>
      <c r="Y11520" s="4"/>
    </row>
    <row r="11521" spans="5:25">
      <c r="E11521"/>
      <c r="G11521"/>
      <c r="H11521"/>
      <c r="I11521"/>
      <c r="K11521"/>
      <c r="O11521"/>
      <c r="R11521"/>
      <c r="W11521" s="4"/>
      <c r="X11521" s="4"/>
      <c r="Y11521" s="4"/>
    </row>
    <row r="11522" spans="5:25">
      <c r="E11522"/>
      <c r="G11522"/>
      <c r="H11522"/>
      <c r="I11522"/>
      <c r="K11522"/>
      <c r="O11522"/>
      <c r="R11522"/>
      <c r="W11522" s="4"/>
      <c r="X11522" s="4"/>
      <c r="Y11522" s="4"/>
    </row>
    <row r="11523" spans="5:25">
      <c r="E11523"/>
      <c r="G11523"/>
      <c r="H11523"/>
      <c r="I11523"/>
      <c r="K11523"/>
      <c r="O11523"/>
      <c r="R11523"/>
      <c r="W11523" s="4"/>
      <c r="X11523" s="4"/>
      <c r="Y11523" s="4"/>
    </row>
    <row r="11524" spans="5:25">
      <c r="E11524"/>
      <c r="G11524"/>
      <c r="H11524"/>
      <c r="I11524"/>
      <c r="K11524"/>
      <c r="O11524"/>
      <c r="R11524"/>
      <c r="W11524" s="4"/>
      <c r="X11524" s="4"/>
      <c r="Y11524" s="4"/>
    </row>
    <row r="11525" spans="5:25">
      <c r="E11525"/>
      <c r="G11525"/>
      <c r="H11525"/>
      <c r="I11525"/>
      <c r="K11525"/>
      <c r="O11525"/>
      <c r="R11525"/>
      <c r="W11525" s="4"/>
      <c r="X11525" s="4"/>
      <c r="Y11525" s="4"/>
    </row>
    <row r="11526" spans="5:25">
      <c r="E11526"/>
      <c r="G11526"/>
      <c r="H11526"/>
      <c r="I11526"/>
      <c r="K11526"/>
      <c r="O11526"/>
      <c r="R11526"/>
      <c r="W11526" s="4"/>
      <c r="X11526" s="4"/>
      <c r="Y11526" s="4"/>
    </row>
    <row r="11527" spans="5:25">
      <c r="E11527"/>
      <c r="G11527"/>
      <c r="H11527"/>
      <c r="I11527"/>
      <c r="K11527"/>
      <c r="O11527"/>
      <c r="R11527"/>
      <c r="W11527" s="4"/>
      <c r="X11527" s="4"/>
      <c r="Y11527" s="4"/>
    </row>
    <row r="11528" spans="5:25">
      <c r="E11528"/>
      <c r="G11528"/>
      <c r="H11528"/>
      <c r="I11528"/>
      <c r="K11528"/>
      <c r="O11528"/>
      <c r="R11528"/>
      <c r="W11528" s="4"/>
      <c r="X11528" s="4"/>
      <c r="Y11528" s="4"/>
    </row>
    <row r="11529" spans="5:25">
      <c r="E11529"/>
      <c r="G11529"/>
      <c r="H11529"/>
      <c r="I11529"/>
      <c r="K11529"/>
      <c r="O11529"/>
      <c r="R11529"/>
      <c r="W11529" s="4"/>
      <c r="X11529" s="4"/>
      <c r="Y11529" s="4"/>
    </row>
    <row r="11530" spans="5:25">
      <c r="E11530"/>
      <c r="G11530"/>
      <c r="H11530"/>
      <c r="I11530"/>
      <c r="K11530"/>
      <c r="O11530"/>
      <c r="R11530"/>
      <c r="W11530" s="4"/>
      <c r="X11530" s="4"/>
      <c r="Y11530" s="4"/>
    </row>
    <row r="11531" spans="5:25">
      <c r="E11531"/>
      <c r="G11531"/>
      <c r="H11531"/>
      <c r="I11531"/>
      <c r="K11531"/>
      <c r="O11531"/>
      <c r="R11531"/>
      <c r="W11531" s="4"/>
      <c r="X11531" s="4"/>
      <c r="Y11531" s="4"/>
    </row>
    <row r="11532" spans="5:25">
      <c r="E11532"/>
      <c r="G11532"/>
      <c r="H11532"/>
      <c r="I11532"/>
      <c r="K11532"/>
      <c r="O11532"/>
      <c r="R11532"/>
      <c r="W11532" s="4"/>
      <c r="X11532" s="4"/>
      <c r="Y11532" s="4"/>
    </row>
    <row r="11533" spans="5:25">
      <c r="E11533"/>
      <c r="G11533"/>
      <c r="H11533"/>
      <c r="I11533"/>
      <c r="K11533"/>
      <c r="O11533"/>
      <c r="R11533"/>
      <c r="W11533" s="4"/>
      <c r="X11533" s="4"/>
      <c r="Y11533" s="4"/>
    </row>
    <row r="11534" spans="5:25">
      <c r="E11534"/>
      <c r="G11534"/>
      <c r="H11534"/>
      <c r="I11534"/>
      <c r="K11534"/>
      <c r="O11534"/>
      <c r="R11534"/>
      <c r="W11534" s="4"/>
      <c r="X11534" s="4"/>
      <c r="Y11534" s="4"/>
    </row>
    <row r="11535" spans="5:25">
      <c r="E11535"/>
      <c r="G11535"/>
      <c r="H11535"/>
      <c r="I11535"/>
      <c r="K11535"/>
      <c r="O11535"/>
      <c r="R11535"/>
      <c r="W11535" s="4"/>
      <c r="X11535" s="4"/>
      <c r="Y11535" s="4"/>
    </row>
    <row r="11536" spans="5:25">
      <c r="E11536"/>
      <c r="G11536"/>
      <c r="H11536"/>
      <c r="I11536"/>
      <c r="K11536"/>
      <c r="O11536"/>
      <c r="R11536"/>
      <c r="W11536" s="4"/>
      <c r="X11536" s="4"/>
      <c r="Y11536" s="4"/>
    </row>
    <row r="11537" spans="5:25">
      <c r="E11537"/>
      <c r="G11537"/>
      <c r="H11537"/>
      <c r="I11537"/>
      <c r="K11537"/>
      <c r="O11537"/>
      <c r="R11537"/>
      <c r="W11537" s="4"/>
      <c r="X11537" s="4"/>
      <c r="Y11537" s="4"/>
    </row>
    <row r="11538" spans="5:25">
      <c r="E11538"/>
      <c r="G11538"/>
      <c r="H11538"/>
      <c r="I11538"/>
      <c r="K11538"/>
      <c r="O11538"/>
      <c r="R11538"/>
      <c r="W11538" s="4"/>
      <c r="X11538" s="4"/>
      <c r="Y11538" s="4"/>
    </row>
    <row r="11539" spans="5:25">
      <c r="E11539"/>
      <c r="G11539"/>
      <c r="H11539"/>
      <c r="I11539"/>
      <c r="K11539"/>
      <c r="O11539"/>
      <c r="R11539"/>
      <c r="W11539" s="4"/>
      <c r="X11539" s="4"/>
      <c r="Y11539" s="4"/>
    </row>
    <row r="11540" spans="5:25">
      <c r="E11540"/>
      <c r="G11540"/>
      <c r="H11540"/>
      <c r="I11540"/>
      <c r="K11540"/>
      <c r="O11540"/>
      <c r="R11540"/>
      <c r="W11540" s="4"/>
      <c r="X11540" s="4"/>
      <c r="Y11540" s="4"/>
    </row>
    <row r="11541" spans="5:25">
      <c r="E11541"/>
      <c r="G11541"/>
      <c r="H11541"/>
      <c r="I11541"/>
      <c r="K11541"/>
      <c r="O11541"/>
      <c r="R11541"/>
      <c r="W11541" s="4"/>
      <c r="X11541" s="4"/>
      <c r="Y11541" s="4"/>
    </row>
    <row r="11542" spans="5:25">
      <c r="E11542"/>
      <c r="G11542"/>
      <c r="H11542"/>
      <c r="I11542"/>
      <c r="K11542"/>
      <c r="O11542"/>
      <c r="R11542"/>
      <c r="W11542" s="4"/>
      <c r="X11542" s="4"/>
      <c r="Y11542" s="4"/>
    </row>
    <row r="11543" spans="5:25">
      <c r="E11543"/>
      <c r="G11543"/>
      <c r="H11543"/>
      <c r="I11543"/>
      <c r="K11543"/>
      <c r="O11543"/>
      <c r="R11543"/>
      <c r="W11543" s="4"/>
      <c r="X11543" s="4"/>
      <c r="Y11543" s="4"/>
    </row>
    <row r="11544" spans="5:25">
      <c r="E11544"/>
      <c r="G11544"/>
      <c r="H11544"/>
      <c r="I11544"/>
      <c r="K11544"/>
      <c r="O11544"/>
      <c r="R11544"/>
      <c r="W11544" s="4"/>
      <c r="X11544" s="4"/>
      <c r="Y11544" s="4"/>
    </row>
    <row r="11545" spans="5:25">
      <c r="E11545"/>
      <c r="G11545"/>
      <c r="H11545"/>
      <c r="I11545"/>
      <c r="K11545"/>
      <c r="O11545"/>
      <c r="R11545"/>
      <c r="W11545" s="4"/>
      <c r="X11545" s="4"/>
      <c r="Y11545" s="4"/>
    </row>
    <row r="11546" spans="5:25">
      <c r="E11546"/>
      <c r="G11546"/>
      <c r="H11546"/>
      <c r="I11546"/>
      <c r="K11546"/>
      <c r="O11546"/>
      <c r="R11546"/>
      <c r="W11546" s="4"/>
      <c r="X11546" s="4"/>
      <c r="Y11546" s="4"/>
    </row>
    <row r="11547" spans="5:25">
      <c r="E11547"/>
      <c r="G11547"/>
      <c r="H11547"/>
      <c r="I11547"/>
      <c r="K11547"/>
      <c r="O11547"/>
      <c r="R11547"/>
      <c r="W11547" s="4"/>
      <c r="X11547" s="4"/>
      <c r="Y11547" s="4"/>
    </row>
    <row r="11548" spans="5:25">
      <c r="E11548"/>
      <c r="G11548"/>
      <c r="H11548"/>
      <c r="I11548"/>
      <c r="K11548"/>
      <c r="O11548"/>
      <c r="R11548"/>
      <c r="W11548" s="4"/>
      <c r="X11548" s="4"/>
      <c r="Y11548" s="4"/>
    </row>
    <row r="11549" spans="5:25">
      <c r="E11549"/>
      <c r="G11549"/>
      <c r="H11549"/>
      <c r="I11549"/>
      <c r="K11549"/>
      <c r="O11549"/>
      <c r="R11549"/>
      <c r="W11549" s="4"/>
      <c r="X11549" s="4"/>
      <c r="Y11549" s="4"/>
    </row>
    <row r="11550" spans="5:25">
      <c r="E11550"/>
      <c r="G11550"/>
      <c r="H11550"/>
      <c r="I11550"/>
      <c r="K11550"/>
      <c r="O11550"/>
      <c r="R11550"/>
      <c r="W11550" s="4"/>
      <c r="X11550" s="4"/>
      <c r="Y11550" s="4"/>
    </row>
    <row r="11551" spans="5:25">
      <c r="E11551"/>
      <c r="G11551"/>
      <c r="H11551"/>
      <c r="I11551"/>
      <c r="K11551"/>
      <c r="O11551"/>
      <c r="R11551"/>
      <c r="W11551" s="4"/>
      <c r="X11551" s="4"/>
      <c r="Y11551" s="4"/>
    </row>
    <row r="11552" spans="5:25">
      <c r="E11552"/>
      <c r="G11552"/>
      <c r="H11552"/>
      <c r="I11552"/>
      <c r="K11552"/>
      <c r="O11552"/>
      <c r="R11552"/>
      <c r="W11552" s="4"/>
      <c r="X11552" s="4"/>
      <c r="Y11552" s="4"/>
    </row>
    <row r="11553" spans="5:25">
      <c r="E11553"/>
      <c r="G11553"/>
      <c r="H11553"/>
      <c r="I11553"/>
      <c r="K11553"/>
      <c r="O11553"/>
      <c r="R11553"/>
      <c r="W11553" s="4"/>
      <c r="X11553" s="4"/>
      <c r="Y11553" s="4"/>
    </row>
    <row r="11554" spans="5:25">
      <c r="E11554"/>
      <c r="G11554"/>
      <c r="H11554"/>
      <c r="I11554"/>
      <c r="K11554"/>
      <c r="O11554"/>
      <c r="R11554"/>
      <c r="W11554" s="4"/>
      <c r="X11554" s="4"/>
      <c r="Y11554" s="4"/>
    </row>
    <row r="11555" spans="5:25">
      <c r="E11555"/>
      <c r="G11555"/>
      <c r="H11555"/>
      <c r="I11555"/>
      <c r="K11555"/>
      <c r="O11555"/>
      <c r="R11555"/>
      <c r="W11555" s="4"/>
      <c r="X11555" s="4"/>
      <c r="Y11555" s="4"/>
    </row>
    <row r="11556" spans="5:25">
      <c r="E11556"/>
      <c r="G11556"/>
      <c r="H11556"/>
      <c r="I11556"/>
      <c r="K11556"/>
      <c r="O11556"/>
      <c r="R11556"/>
      <c r="W11556" s="4"/>
      <c r="X11556" s="4"/>
      <c r="Y11556" s="4"/>
    </row>
    <row r="11557" spans="5:25">
      <c r="E11557"/>
      <c r="G11557"/>
      <c r="H11557"/>
      <c r="I11557"/>
      <c r="K11557"/>
      <c r="O11557"/>
      <c r="R11557"/>
      <c r="W11557" s="4"/>
      <c r="X11557" s="4"/>
      <c r="Y11557" s="4"/>
    </row>
    <row r="11558" spans="5:25">
      <c r="E11558"/>
      <c r="G11558"/>
      <c r="H11558"/>
      <c r="I11558"/>
      <c r="K11558"/>
      <c r="O11558"/>
      <c r="R11558"/>
      <c r="W11558" s="4"/>
      <c r="X11558" s="4"/>
      <c r="Y11558" s="4"/>
    </row>
    <row r="11559" spans="5:25">
      <c r="E11559"/>
      <c r="G11559"/>
      <c r="H11559"/>
      <c r="I11559"/>
      <c r="K11559"/>
      <c r="O11559"/>
      <c r="R11559"/>
      <c r="W11559" s="4"/>
      <c r="X11559" s="4"/>
      <c r="Y11559" s="4"/>
    </row>
    <row r="11560" spans="5:25">
      <c r="E11560"/>
      <c r="G11560"/>
      <c r="H11560"/>
      <c r="I11560"/>
      <c r="K11560"/>
      <c r="O11560"/>
      <c r="R11560"/>
      <c r="W11560" s="4"/>
      <c r="X11560" s="4"/>
      <c r="Y11560" s="4"/>
    </row>
    <row r="11561" spans="5:25">
      <c r="E11561"/>
      <c r="G11561"/>
      <c r="H11561"/>
      <c r="I11561"/>
      <c r="K11561"/>
      <c r="O11561"/>
      <c r="R11561"/>
      <c r="W11561" s="4"/>
      <c r="X11561" s="4"/>
      <c r="Y11561" s="4"/>
    </row>
    <row r="11562" spans="5:25">
      <c r="E11562"/>
      <c r="G11562"/>
      <c r="H11562"/>
      <c r="I11562"/>
      <c r="K11562"/>
      <c r="O11562"/>
      <c r="R11562"/>
      <c r="W11562" s="4"/>
      <c r="X11562" s="4"/>
      <c r="Y11562" s="4"/>
    </row>
    <row r="11563" spans="5:25">
      <c r="E11563"/>
      <c r="G11563"/>
      <c r="H11563"/>
      <c r="I11563"/>
      <c r="K11563"/>
      <c r="O11563"/>
      <c r="R11563"/>
      <c r="W11563" s="4"/>
      <c r="X11563" s="4"/>
      <c r="Y11563" s="4"/>
    </row>
    <row r="11564" spans="5:25">
      <c r="E11564"/>
      <c r="G11564"/>
      <c r="H11564"/>
      <c r="I11564"/>
      <c r="K11564"/>
      <c r="O11564"/>
      <c r="R11564"/>
      <c r="W11564" s="4"/>
      <c r="X11564" s="4"/>
      <c r="Y11564" s="4"/>
    </row>
    <row r="11565" spans="5:25">
      <c r="E11565"/>
      <c r="G11565"/>
      <c r="H11565"/>
      <c r="I11565"/>
      <c r="K11565"/>
      <c r="O11565"/>
      <c r="R11565"/>
      <c r="W11565" s="4"/>
      <c r="X11565" s="4"/>
      <c r="Y11565" s="4"/>
    </row>
    <row r="11566" spans="5:25">
      <c r="E11566"/>
      <c r="G11566"/>
      <c r="H11566"/>
      <c r="I11566"/>
      <c r="K11566"/>
      <c r="O11566"/>
      <c r="R11566"/>
      <c r="W11566" s="4"/>
      <c r="X11566" s="4"/>
      <c r="Y11566" s="4"/>
    </row>
    <row r="11567" spans="5:25">
      <c r="E11567"/>
      <c r="G11567"/>
      <c r="H11567"/>
      <c r="I11567"/>
      <c r="K11567"/>
      <c r="O11567"/>
      <c r="R11567"/>
      <c r="W11567" s="4"/>
      <c r="X11567" s="4"/>
      <c r="Y11567" s="4"/>
    </row>
    <row r="11568" spans="5:25">
      <c r="E11568"/>
      <c r="G11568"/>
      <c r="H11568"/>
      <c r="I11568"/>
      <c r="K11568"/>
      <c r="O11568"/>
      <c r="R11568"/>
      <c r="W11568" s="4"/>
      <c r="X11568" s="4"/>
      <c r="Y11568" s="4"/>
    </row>
    <row r="11569" spans="5:25">
      <c r="E11569"/>
      <c r="G11569"/>
      <c r="H11569"/>
      <c r="I11569"/>
      <c r="K11569"/>
      <c r="O11569"/>
      <c r="R11569"/>
      <c r="W11569" s="4"/>
      <c r="X11569" s="4"/>
      <c r="Y11569" s="4"/>
    </row>
    <row r="11570" spans="5:25">
      <c r="E11570"/>
      <c r="G11570"/>
      <c r="H11570"/>
      <c r="I11570"/>
      <c r="K11570"/>
      <c r="O11570"/>
      <c r="R11570"/>
      <c r="W11570" s="4"/>
      <c r="X11570" s="4"/>
      <c r="Y11570" s="4"/>
    </row>
    <row r="11571" spans="5:25">
      <c r="E11571"/>
      <c r="G11571"/>
      <c r="H11571"/>
      <c r="I11571"/>
      <c r="K11571"/>
      <c r="O11571"/>
      <c r="R11571"/>
      <c r="W11571" s="4"/>
      <c r="X11571" s="4"/>
      <c r="Y11571" s="4"/>
    </row>
    <row r="11572" spans="5:25">
      <c r="E11572"/>
      <c r="G11572"/>
      <c r="H11572"/>
      <c r="I11572"/>
      <c r="K11572"/>
      <c r="O11572"/>
      <c r="R11572"/>
      <c r="W11572" s="4"/>
      <c r="X11572" s="4"/>
      <c r="Y11572" s="4"/>
    </row>
    <row r="11573" spans="5:25">
      <c r="E11573"/>
      <c r="G11573"/>
      <c r="H11573"/>
      <c r="I11573"/>
      <c r="K11573"/>
      <c r="O11573"/>
      <c r="R11573"/>
      <c r="W11573" s="4"/>
      <c r="X11573" s="4"/>
      <c r="Y11573" s="4"/>
    </row>
    <row r="11574" spans="5:25">
      <c r="E11574"/>
      <c r="G11574"/>
      <c r="H11574"/>
      <c r="I11574"/>
      <c r="K11574"/>
      <c r="O11574"/>
      <c r="R11574"/>
      <c r="W11574" s="4"/>
      <c r="X11574" s="4"/>
      <c r="Y11574" s="4"/>
    </row>
    <row r="11575" spans="5:25">
      <c r="E11575"/>
      <c r="G11575"/>
      <c r="H11575"/>
      <c r="I11575"/>
      <c r="K11575"/>
      <c r="O11575"/>
      <c r="R11575"/>
      <c r="W11575" s="4"/>
      <c r="X11575" s="4"/>
      <c r="Y11575" s="4"/>
    </row>
    <row r="11576" spans="5:25">
      <c r="E11576"/>
      <c r="G11576"/>
      <c r="H11576"/>
      <c r="I11576"/>
      <c r="K11576"/>
      <c r="O11576"/>
      <c r="R11576"/>
      <c r="W11576" s="4"/>
      <c r="X11576" s="4"/>
      <c r="Y11576" s="4"/>
    </row>
    <row r="11577" spans="5:25">
      <c r="E11577"/>
      <c r="G11577"/>
      <c r="H11577"/>
      <c r="I11577"/>
      <c r="K11577"/>
      <c r="O11577"/>
      <c r="R11577"/>
      <c r="W11577" s="4"/>
      <c r="X11577" s="4"/>
      <c r="Y11577" s="4"/>
    </row>
    <row r="11578" spans="5:25">
      <c r="E11578"/>
      <c r="G11578"/>
      <c r="H11578"/>
      <c r="I11578"/>
      <c r="K11578"/>
      <c r="O11578"/>
      <c r="R11578"/>
      <c r="W11578" s="4"/>
      <c r="X11578" s="4"/>
      <c r="Y11578" s="4"/>
    </row>
    <row r="11579" spans="5:25">
      <c r="E11579"/>
      <c r="G11579"/>
      <c r="H11579"/>
      <c r="I11579"/>
      <c r="K11579"/>
      <c r="O11579"/>
      <c r="R11579"/>
      <c r="W11579" s="4"/>
      <c r="X11579" s="4"/>
      <c r="Y11579" s="4"/>
    </row>
    <row r="11580" spans="5:25">
      <c r="E11580"/>
      <c r="G11580"/>
      <c r="H11580"/>
      <c r="I11580"/>
      <c r="K11580"/>
      <c r="O11580"/>
      <c r="R11580"/>
      <c r="W11580" s="4"/>
      <c r="X11580" s="4"/>
      <c r="Y11580" s="4"/>
    </row>
    <row r="11581" spans="5:25">
      <c r="E11581"/>
      <c r="G11581"/>
      <c r="H11581"/>
      <c r="I11581"/>
      <c r="K11581"/>
      <c r="O11581"/>
      <c r="R11581"/>
      <c r="W11581" s="4"/>
      <c r="X11581" s="4"/>
      <c r="Y11581" s="4"/>
    </row>
    <row r="11582" spans="5:25">
      <c r="E11582"/>
      <c r="G11582"/>
      <c r="H11582"/>
      <c r="I11582"/>
      <c r="K11582"/>
      <c r="O11582"/>
      <c r="R11582"/>
      <c r="W11582" s="4"/>
      <c r="X11582" s="4"/>
      <c r="Y11582" s="4"/>
    </row>
    <row r="11583" spans="5:25">
      <c r="E11583"/>
      <c r="G11583"/>
      <c r="H11583"/>
      <c r="I11583"/>
      <c r="K11583"/>
      <c r="O11583"/>
      <c r="R11583"/>
      <c r="W11583" s="4"/>
      <c r="X11583" s="4"/>
      <c r="Y11583" s="4"/>
    </row>
    <row r="11584" spans="5:25">
      <c r="E11584"/>
      <c r="G11584"/>
      <c r="H11584"/>
      <c r="I11584"/>
      <c r="K11584"/>
      <c r="O11584"/>
      <c r="R11584"/>
      <c r="W11584" s="4"/>
      <c r="X11584" s="4"/>
      <c r="Y11584" s="4"/>
    </row>
    <row r="11585" spans="5:25">
      <c r="E11585"/>
      <c r="G11585"/>
      <c r="H11585"/>
      <c r="I11585"/>
      <c r="K11585"/>
      <c r="O11585"/>
      <c r="R11585"/>
      <c r="W11585" s="4"/>
      <c r="X11585" s="4"/>
      <c r="Y11585" s="4"/>
    </row>
    <row r="11586" spans="5:25">
      <c r="E11586"/>
      <c r="G11586"/>
      <c r="H11586"/>
      <c r="I11586"/>
      <c r="K11586"/>
      <c r="O11586"/>
      <c r="R11586"/>
      <c r="W11586" s="4"/>
      <c r="X11586" s="4"/>
      <c r="Y11586" s="4"/>
    </row>
    <row r="11587" spans="5:25">
      <c r="E11587"/>
      <c r="G11587"/>
      <c r="H11587"/>
      <c r="I11587"/>
      <c r="K11587"/>
      <c r="O11587"/>
      <c r="R11587"/>
      <c r="W11587" s="4"/>
      <c r="X11587" s="4"/>
      <c r="Y11587" s="4"/>
    </row>
    <row r="11588" spans="5:25">
      <c r="E11588"/>
      <c r="G11588"/>
      <c r="H11588"/>
      <c r="I11588"/>
      <c r="K11588"/>
      <c r="O11588"/>
      <c r="R11588"/>
      <c r="W11588" s="4"/>
      <c r="X11588" s="4"/>
      <c r="Y11588" s="4"/>
    </row>
    <row r="11589" spans="5:25">
      <c r="E11589"/>
      <c r="G11589"/>
      <c r="H11589"/>
      <c r="I11589"/>
      <c r="K11589"/>
      <c r="O11589"/>
      <c r="R11589"/>
      <c r="W11589" s="4"/>
      <c r="X11589" s="4"/>
      <c r="Y11589" s="4"/>
    </row>
    <row r="11590" spans="5:25">
      <c r="E11590"/>
      <c r="G11590"/>
      <c r="H11590"/>
      <c r="I11590"/>
      <c r="K11590"/>
      <c r="O11590"/>
      <c r="R11590"/>
      <c r="W11590" s="4"/>
      <c r="X11590" s="4"/>
      <c r="Y11590" s="4"/>
    </row>
    <row r="11591" spans="5:25">
      <c r="E11591"/>
      <c r="G11591"/>
      <c r="H11591"/>
      <c r="I11591"/>
      <c r="K11591"/>
      <c r="O11591"/>
      <c r="R11591"/>
      <c r="W11591" s="4"/>
      <c r="X11591" s="4"/>
      <c r="Y11591" s="4"/>
    </row>
    <row r="11592" spans="5:25">
      <c r="E11592"/>
      <c r="G11592"/>
      <c r="H11592"/>
      <c r="I11592"/>
      <c r="K11592"/>
      <c r="O11592"/>
      <c r="R11592"/>
      <c r="W11592" s="4"/>
      <c r="X11592" s="4"/>
      <c r="Y11592" s="4"/>
    </row>
    <row r="11593" spans="5:25">
      <c r="E11593"/>
      <c r="G11593"/>
      <c r="H11593"/>
      <c r="I11593"/>
      <c r="K11593"/>
      <c r="O11593"/>
      <c r="R11593"/>
      <c r="W11593" s="4"/>
      <c r="X11593" s="4"/>
      <c r="Y11593" s="4"/>
    </row>
    <row r="11594" spans="5:25">
      <c r="E11594"/>
      <c r="G11594"/>
      <c r="H11594"/>
      <c r="I11594"/>
      <c r="K11594"/>
      <c r="O11594"/>
      <c r="R11594"/>
      <c r="W11594" s="4"/>
      <c r="X11594" s="4"/>
      <c r="Y11594" s="4"/>
    </row>
    <row r="11595" spans="5:25">
      <c r="E11595"/>
      <c r="G11595"/>
      <c r="H11595"/>
      <c r="I11595"/>
      <c r="K11595"/>
      <c r="O11595"/>
      <c r="R11595"/>
      <c r="W11595" s="4"/>
      <c r="X11595" s="4"/>
      <c r="Y11595" s="4"/>
    </row>
    <row r="11596" spans="5:25">
      <c r="E11596"/>
      <c r="G11596"/>
      <c r="H11596"/>
      <c r="I11596"/>
      <c r="K11596"/>
      <c r="O11596"/>
      <c r="R11596"/>
      <c r="W11596" s="4"/>
      <c r="X11596" s="4"/>
      <c r="Y11596" s="4"/>
    </row>
    <row r="11597" spans="5:25">
      <c r="E11597"/>
      <c r="G11597"/>
      <c r="H11597"/>
      <c r="I11597"/>
      <c r="K11597"/>
      <c r="O11597"/>
      <c r="R11597"/>
      <c r="W11597" s="4"/>
      <c r="X11597" s="4"/>
      <c r="Y11597" s="4"/>
    </row>
    <row r="11598" spans="5:25">
      <c r="E11598"/>
      <c r="G11598"/>
      <c r="H11598"/>
      <c r="I11598"/>
      <c r="K11598"/>
      <c r="O11598"/>
      <c r="R11598"/>
      <c r="W11598" s="4"/>
      <c r="X11598" s="4"/>
      <c r="Y11598" s="4"/>
    </row>
    <row r="11599" spans="5:25">
      <c r="E11599"/>
      <c r="G11599"/>
      <c r="H11599"/>
      <c r="I11599"/>
      <c r="K11599"/>
      <c r="O11599"/>
      <c r="R11599"/>
      <c r="W11599" s="4"/>
      <c r="X11599" s="4"/>
      <c r="Y11599" s="4"/>
    </row>
    <row r="11600" spans="5:25">
      <c r="E11600"/>
      <c r="G11600"/>
      <c r="H11600"/>
      <c r="I11600"/>
      <c r="K11600"/>
      <c r="O11600"/>
      <c r="R11600"/>
      <c r="W11600" s="4"/>
      <c r="X11600" s="4"/>
      <c r="Y11600" s="4"/>
    </row>
    <row r="11601" spans="5:25">
      <c r="E11601"/>
      <c r="G11601"/>
      <c r="H11601"/>
      <c r="I11601"/>
      <c r="K11601"/>
      <c r="O11601"/>
      <c r="R11601"/>
      <c r="W11601" s="4"/>
      <c r="X11601" s="4"/>
      <c r="Y11601" s="4"/>
    </row>
    <row r="11602" spans="5:25">
      <c r="E11602"/>
      <c r="G11602"/>
      <c r="H11602"/>
      <c r="I11602"/>
      <c r="K11602"/>
      <c r="O11602"/>
      <c r="R11602"/>
      <c r="W11602" s="4"/>
      <c r="X11602" s="4"/>
      <c r="Y11602" s="4"/>
    </row>
    <row r="11603" spans="5:25">
      <c r="E11603"/>
      <c r="G11603"/>
      <c r="H11603"/>
      <c r="I11603"/>
      <c r="K11603"/>
      <c r="O11603"/>
      <c r="R11603"/>
      <c r="W11603" s="4"/>
      <c r="X11603" s="4"/>
      <c r="Y11603" s="4"/>
    </row>
    <row r="11604" spans="5:25">
      <c r="E11604"/>
      <c r="G11604"/>
      <c r="H11604"/>
      <c r="I11604"/>
      <c r="K11604"/>
      <c r="O11604"/>
      <c r="R11604"/>
      <c r="W11604" s="4"/>
      <c r="X11604" s="4"/>
      <c r="Y11604" s="4"/>
    </row>
    <row r="11605" spans="5:25">
      <c r="E11605"/>
      <c r="G11605"/>
      <c r="H11605"/>
      <c r="I11605"/>
      <c r="K11605"/>
      <c r="O11605"/>
      <c r="R11605"/>
      <c r="W11605" s="4"/>
      <c r="X11605" s="4"/>
      <c r="Y11605" s="4"/>
    </row>
    <row r="11606" spans="5:25">
      <c r="E11606"/>
      <c r="G11606"/>
      <c r="H11606"/>
      <c r="I11606"/>
      <c r="K11606"/>
      <c r="O11606"/>
      <c r="R11606"/>
      <c r="W11606" s="4"/>
      <c r="X11606" s="4"/>
      <c r="Y11606" s="4"/>
    </row>
    <row r="11607" spans="5:25">
      <c r="E11607"/>
      <c r="G11607"/>
      <c r="H11607"/>
      <c r="I11607"/>
      <c r="K11607"/>
      <c r="O11607"/>
      <c r="R11607"/>
      <c r="W11607" s="4"/>
      <c r="X11607" s="4"/>
      <c r="Y11607" s="4"/>
    </row>
    <row r="11608" spans="5:25">
      <c r="E11608"/>
      <c r="G11608"/>
      <c r="H11608"/>
      <c r="I11608"/>
      <c r="K11608"/>
      <c r="O11608"/>
      <c r="R11608"/>
      <c r="W11608" s="4"/>
      <c r="X11608" s="4"/>
      <c r="Y11608" s="4"/>
    </row>
    <row r="11609" spans="5:25">
      <c r="E11609"/>
      <c r="G11609"/>
      <c r="H11609"/>
      <c r="I11609"/>
      <c r="K11609"/>
      <c r="O11609"/>
      <c r="R11609"/>
      <c r="W11609" s="4"/>
      <c r="X11609" s="4"/>
      <c r="Y11609" s="4"/>
    </row>
    <row r="11610" spans="5:25">
      <c r="E11610"/>
      <c r="G11610"/>
      <c r="H11610"/>
      <c r="I11610"/>
      <c r="K11610"/>
      <c r="O11610"/>
      <c r="R11610"/>
      <c r="W11610" s="4"/>
      <c r="X11610" s="4"/>
      <c r="Y11610" s="4"/>
    </row>
    <row r="11611" spans="5:25">
      <c r="E11611"/>
      <c r="G11611"/>
      <c r="H11611"/>
      <c r="I11611"/>
      <c r="K11611"/>
      <c r="O11611"/>
      <c r="R11611"/>
      <c r="W11611" s="4"/>
      <c r="X11611" s="4"/>
      <c r="Y11611" s="4"/>
    </row>
    <row r="11612" spans="5:25">
      <c r="E11612"/>
      <c r="G11612"/>
      <c r="H11612"/>
      <c r="I11612"/>
      <c r="K11612"/>
      <c r="O11612"/>
      <c r="R11612"/>
      <c r="W11612" s="4"/>
      <c r="X11612" s="4"/>
      <c r="Y11612" s="4"/>
    </row>
    <row r="11613" spans="5:25">
      <c r="E11613"/>
      <c r="G11613"/>
      <c r="H11613"/>
      <c r="I11613"/>
      <c r="K11613"/>
      <c r="O11613"/>
      <c r="R11613"/>
      <c r="W11613" s="4"/>
      <c r="X11613" s="4"/>
      <c r="Y11613" s="4"/>
    </row>
    <row r="11614" spans="5:25">
      <c r="E11614"/>
      <c r="G11614"/>
      <c r="H11614"/>
      <c r="I11614"/>
      <c r="K11614"/>
      <c r="O11614"/>
      <c r="R11614"/>
      <c r="W11614" s="4"/>
      <c r="X11614" s="4"/>
      <c r="Y11614" s="4"/>
    </row>
    <row r="11615" spans="5:25">
      <c r="E11615"/>
      <c r="G11615"/>
      <c r="H11615"/>
      <c r="I11615"/>
      <c r="K11615"/>
      <c r="O11615"/>
      <c r="R11615"/>
      <c r="W11615" s="4"/>
      <c r="X11615" s="4"/>
      <c r="Y11615" s="4"/>
    </row>
    <row r="11616" spans="5:25">
      <c r="E11616"/>
      <c r="G11616"/>
      <c r="H11616"/>
      <c r="I11616"/>
      <c r="K11616"/>
      <c r="O11616"/>
      <c r="R11616"/>
      <c r="W11616" s="4"/>
      <c r="X11616" s="4"/>
      <c r="Y11616" s="4"/>
    </row>
    <row r="11617" spans="5:25">
      <c r="E11617"/>
      <c r="G11617"/>
      <c r="H11617"/>
      <c r="I11617"/>
      <c r="K11617"/>
      <c r="O11617"/>
      <c r="R11617"/>
      <c r="W11617" s="4"/>
      <c r="X11617" s="4"/>
      <c r="Y11617" s="4"/>
    </row>
    <row r="11618" spans="5:25">
      <c r="E11618"/>
      <c r="G11618"/>
      <c r="H11618"/>
      <c r="I11618"/>
      <c r="K11618"/>
      <c r="O11618"/>
      <c r="R11618"/>
      <c r="W11618" s="4"/>
      <c r="X11618" s="4"/>
      <c r="Y11618" s="4"/>
    </row>
    <row r="11619" spans="5:25">
      <c r="E11619"/>
      <c r="G11619"/>
      <c r="H11619"/>
      <c r="I11619"/>
      <c r="K11619"/>
      <c r="O11619"/>
      <c r="R11619"/>
      <c r="W11619" s="4"/>
      <c r="X11619" s="4"/>
      <c r="Y11619" s="4"/>
    </row>
    <row r="11620" spans="5:25">
      <c r="E11620"/>
      <c r="G11620"/>
      <c r="H11620"/>
      <c r="I11620"/>
      <c r="K11620"/>
      <c r="O11620"/>
      <c r="R11620"/>
      <c r="W11620" s="4"/>
      <c r="X11620" s="4"/>
      <c r="Y11620" s="4"/>
    </row>
    <row r="11621" spans="5:25">
      <c r="E11621"/>
      <c r="G11621"/>
      <c r="H11621"/>
      <c r="I11621"/>
      <c r="K11621"/>
      <c r="O11621"/>
      <c r="R11621"/>
      <c r="W11621" s="4"/>
      <c r="X11621" s="4"/>
      <c r="Y11621" s="4"/>
    </row>
    <row r="11622" spans="5:25">
      <c r="E11622"/>
      <c r="G11622"/>
      <c r="H11622"/>
      <c r="I11622"/>
      <c r="K11622"/>
      <c r="O11622"/>
      <c r="R11622"/>
      <c r="W11622" s="4"/>
      <c r="X11622" s="4"/>
      <c r="Y11622" s="4"/>
    </row>
    <row r="11623" spans="5:25">
      <c r="E11623"/>
      <c r="G11623"/>
      <c r="H11623"/>
      <c r="I11623"/>
      <c r="K11623"/>
      <c r="O11623"/>
      <c r="R11623"/>
      <c r="W11623" s="4"/>
      <c r="X11623" s="4"/>
      <c r="Y11623" s="4"/>
    </row>
    <row r="11624" spans="5:25">
      <c r="E11624"/>
      <c r="G11624"/>
      <c r="H11624"/>
      <c r="I11624"/>
      <c r="K11624"/>
      <c r="O11624"/>
      <c r="R11624"/>
      <c r="W11624" s="4"/>
      <c r="X11624" s="4"/>
      <c r="Y11624" s="4"/>
    </row>
    <row r="11625" spans="5:25">
      <c r="E11625"/>
      <c r="G11625"/>
      <c r="H11625"/>
      <c r="I11625"/>
      <c r="K11625"/>
      <c r="O11625"/>
      <c r="R11625"/>
      <c r="W11625" s="4"/>
      <c r="X11625" s="4"/>
      <c r="Y11625" s="4"/>
    </row>
    <row r="11626" spans="5:25">
      <c r="E11626"/>
      <c r="G11626"/>
      <c r="H11626"/>
      <c r="I11626"/>
      <c r="K11626"/>
      <c r="O11626"/>
      <c r="R11626"/>
      <c r="W11626" s="4"/>
      <c r="X11626" s="4"/>
      <c r="Y11626" s="4"/>
    </row>
    <row r="11627" spans="5:25">
      <c r="E11627"/>
      <c r="G11627"/>
      <c r="H11627"/>
      <c r="I11627"/>
      <c r="K11627"/>
      <c r="O11627"/>
      <c r="R11627"/>
      <c r="W11627" s="4"/>
      <c r="X11627" s="4"/>
      <c r="Y11627" s="4"/>
    </row>
    <row r="11628" spans="5:25">
      <c r="E11628"/>
      <c r="G11628"/>
      <c r="H11628"/>
      <c r="I11628"/>
      <c r="K11628"/>
      <c r="O11628"/>
      <c r="R11628"/>
      <c r="W11628" s="4"/>
      <c r="X11628" s="4"/>
      <c r="Y11628" s="4"/>
    </row>
    <row r="11629" spans="5:25">
      <c r="E11629"/>
      <c r="G11629"/>
      <c r="H11629"/>
      <c r="I11629"/>
      <c r="K11629"/>
      <c r="O11629"/>
      <c r="R11629"/>
      <c r="W11629" s="4"/>
      <c r="X11629" s="4"/>
      <c r="Y11629" s="4"/>
    </row>
    <row r="11630" spans="5:25">
      <c r="E11630"/>
      <c r="G11630"/>
      <c r="H11630"/>
      <c r="I11630"/>
      <c r="K11630"/>
      <c r="O11630"/>
      <c r="R11630"/>
      <c r="W11630" s="4"/>
      <c r="X11630" s="4"/>
      <c r="Y11630" s="4"/>
    </row>
    <row r="11631" spans="5:25">
      <c r="E11631"/>
      <c r="G11631"/>
      <c r="H11631"/>
      <c r="I11631"/>
      <c r="K11631"/>
      <c r="O11631"/>
      <c r="R11631"/>
      <c r="W11631" s="4"/>
      <c r="X11631" s="4"/>
      <c r="Y11631" s="4"/>
    </row>
    <row r="11632" spans="5:25">
      <c r="E11632"/>
      <c r="G11632"/>
      <c r="H11632"/>
      <c r="I11632"/>
      <c r="K11632"/>
      <c r="O11632"/>
      <c r="R11632"/>
      <c r="W11632" s="4"/>
      <c r="X11632" s="4"/>
      <c r="Y11632" s="4"/>
    </row>
    <row r="11633" spans="5:25">
      <c r="E11633"/>
      <c r="G11633"/>
      <c r="H11633"/>
      <c r="I11633"/>
      <c r="K11633"/>
      <c r="O11633"/>
      <c r="R11633"/>
      <c r="W11633" s="4"/>
      <c r="X11633" s="4"/>
      <c r="Y11633" s="4"/>
    </row>
    <row r="11634" spans="5:25">
      <c r="E11634"/>
      <c r="G11634"/>
      <c r="H11634"/>
      <c r="I11634"/>
      <c r="K11634"/>
      <c r="O11634"/>
      <c r="R11634"/>
      <c r="W11634" s="4"/>
      <c r="X11634" s="4"/>
      <c r="Y11634" s="4"/>
    </row>
    <row r="11635" spans="5:25">
      <c r="E11635"/>
      <c r="G11635"/>
      <c r="H11635"/>
      <c r="I11635"/>
      <c r="K11635"/>
      <c r="O11635"/>
      <c r="R11635"/>
      <c r="W11635" s="4"/>
      <c r="X11635" s="4"/>
      <c r="Y11635" s="4"/>
    </row>
    <row r="11636" spans="5:25">
      <c r="E11636"/>
      <c r="G11636"/>
      <c r="H11636"/>
      <c r="I11636"/>
      <c r="K11636"/>
      <c r="O11636"/>
      <c r="R11636"/>
      <c r="W11636" s="4"/>
      <c r="X11636" s="4"/>
      <c r="Y11636" s="4"/>
    </row>
    <row r="11637" spans="5:25">
      <c r="E11637"/>
      <c r="G11637"/>
      <c r="H11637"/>
      <c r="I11637"/>
      <c r="K11637"/>
      <c r="O11637"/>
      <c r="R11637"/>
      <c r="W11637" s="4"/>
      <c r="X11637" s="4"/>
      <c r="Y11637" s="4"/>
    </row>
    <row r="11638" spans="5:25">
      <c r="E11638"/>
      <c r="G11638"/>
      <c r="H11638"/>
      <c r="I11638"/>
      <c r="K11638"/>
      <c r="O11638"/>
      <c r="R11638"/>
      <c r="W11638" s="4"/>
      <c r="X11638" s="4"/>
      <c r="Y11638" s="4"/>
    </row>
    <row r="11639" spans="5:25">
      <c r="E11639"/>
      <c r="G11639"/>
      <c r="H11639"/>
      <c r="I11639"/>
      <c r="K11639"/>
      <c r="O11639"/>
      <c r="R11639"/>
      <c r="W11639" s="4"/>
      <c r="X11639" s="4"/>
      <c r="Y11639" s="4"/>
    </row>
    <row r="11640" spans="5:25">
      <c r="E11640"/>
      <c r="G11640"/>
      <c r="H11640"/>
      <c r="I11640"/>
      <c r="K11640"/>
      <c r="O11640"/>
      <c r="R11640"/>
      <c r="W11640" s="4"/>
      <c r="X11640" s="4"/>
      <c r="Y11640" s="4"/>
    </row>
    <row r="11641" spans="5:25">
      <c r="E11641"/>
      <c r="G11641"/>
      <c r="H11641"/>
      <c r="I11641"/>
      <c r="K11641"/>
      <c r="O11641"/>
      <c r="R11641"/>
      <c r="W11641" s="4"/>
      <c r="X11641" s="4"/>
      <c r="Y11641" s="4"/>
    </row>
    <row r="11642" spans="5:25">
      <c r="E11642"/>
      <c r="G11642"/>
      <c r="H11642"/>
      <c r="I11642"/>
      <c r="K11642"/>
      <c r="O11642"/>
      <c r="R11642"/>
      <c r="W11642" s="4"/>
      <c r="X11642" s="4"/>
      <c r="Y11642" s="4"/>
    </row>
    <row r="11643" spans="5:25">
      <c r="E11643"/>
      <c r="G11643"/>
      <c r="H11643"/>
      <c r="I11643"/>
      <c r="K11643"/>
      <c r="O11643"/>
      <c r="R11643"/>
      <c r="W11643" s="4"/>
      <c r="X11643" s="4"/>
      <c r="Y11643" s="4"/>
    </row>
    <row r="11644" spans="5:25">
      <c r="E11644"/>
      <c r="G11644"/>
      <c r="H11644"/>
      <c r="I11644"/>
      <c r="K11644"/>
      <c r="O11644"/>
      <c r="R11644"/>
      <c r="W11644" s="4"/>
      <c r="X11644" s="4"/>
      <c r="Y11644" s="4"/>
    </row>
    <row r="11645" spans="5:25">
      <c r="E11645"/>
      <c r="G11645"/>
      <c r="H11645"/>
      <c r="I11645"/>
      <c r="K11645"/>
      <c r="O11645"/>
      <c r="R11645"/>
      <c r="W11645" s="4"/>
      <c r="X11645" s="4"/>
      <c r="Y11645" s="4"/>
    </row>
    <row r="11646" spans="5:25">
      <c r="E11646"/>
      <c r="G11646"/>
      <c r="H11646"/>
      <c r="I11646"/>
      <c r="K11646"/>
      <c r="O11646"/>
      <c r="R11646"/>
      <c r="W11646" s="4"/>
      <c r="X11646" s="4"/>
      <c r="Y11646" s="4"/>
    </row>
    <row r="11647" spans="5:25">
      <c r="E11647"/>
      <c r="G11647"/>
      <c r="H11647"/>
      <c r="I11647"/>
      <c r="K11647"/>
      <c r="O11647"/>
      <c r="R11647"/>
      <c r="W11647" s="4"/>
      <c r="X11647" s="4"/>
      <c r="Y11647" s="4"/>
    </row>
    <row r="11648" spans="5:25">
      <c r="E11648"/>
      <c r="G11648"/>
      <c r="H11648"/>
      <c r="I11648"/>
      <c r="K11648"/>
      <c r="O11648"/>
      <c r="R11648"/>
      <c r="W11648" s="4"/>
      <c r="X11648" s="4"/>
      <c r="Y11648" s="4"/>
    </row>
    <row r="11649" spans="5:25">
      <c r="E11649"/>
      <c r="G11649"/>
      <c r="H11649"/>
      <c r="I11649"/>
      <c r="K11649"/>
      <c r="O11649"/>
      <c r="R11649"/>
      <c r="W11649" s="4"/>
      <c r="X11649" s="4"/>
      <c r="Y11649" s="4"/>
    </row>
    <row r="11650" spans="5:25">
      <c r="E11650"/>
      <c r="G11650"/>
      <c r="H11650"/>
      <c r="I11650"/>
      <c r="K11650"/>
      <c r="O11650"/>
      <c r="R11650"/>
      <c r="W11650" s="4"/>
      <c r="X11650" s="4"/>
      <c r="Y11650" s="4"/>
    </row>
    <row r="11651" spans="5:25">
      <c r="E11651"/>
      <c r="G11651"/>
      <c r="H11651"/>
      <c r="I11651"/>
      <c r="K11651"/>
      <c r="O11651"/>
      <c r="R11651"/>
      <c r="W11651" s="4"/>
      <c r="X11651" s="4"/>
      <c r="Y11651" s="4"/>
    </row>
    <row r="11652" spans="5:25">
      <c r="E11652"/>
      <c r="G11652"/>
      <c r="H11652"/>
      <c r="I11652"/>
      <c r="K11652"/>
      <c r="O11652"/>
      <c r="R11652"/>
      <c r="W11652" s="4"/>
      <c r="X11652" s="4"/>
      <c r="Y11652" s="4"/>
    </row>
    <row r="11653" spans="5:25">
      <c r="E11653"/>
      <c r="G11653"/>
      <c r="H11653"/>
      <c r="I11653"/>
      <c r="K11653"/>
      <c r="O11653"/>
      <c r="R11653"/>
      <c r="W11653" s="4"/>
      <c r="X11653" s="4"/>
      <c r="Y11653" s="4"/>
    </row>
    <row r="11654" spans="5:25">
      <c r="E11654"/>
      <c r="G11654"/>
      <c r="H11654"/>
      <c r="I11654"/>
      <c r="K11654"/>
      <c r="O11654"/>
      <c r="R11654"/>
      <c r="W11654" s="4"/>
      <c r="X11654" s="4"/>
      <c r="Y11654" s="4"/>
    </row>
    <row r="11655" spans="5:25">
      <c r="E11655"/>
      <c r="G11655"/>
      <c r="H11655"/>
      <c r="I11655"/>
      <c r="K11655"/>
      <c r="O11655"/>
      <c r="R11655"/>
      <c r="W11655" s="4"/>
      <c r="X11655" s="4"/>
      <c r="Y11655" s="4"/>
    </row>
    <row r="11656" spans="5:25">
      <c r="E11656"/>
      <c r="G11656"/>
      <c r="H11656"/>
      <c r="I11656"/>
      <c r="K11656"/>
      <c r="O11656"/>
      <c r="R11656"/>
      <c r="W11656" s="4"/>
      <c r="X11656" s="4"/>
      <c r="Y11656" s="4"/>
    </row>
    <row r="11657" spans="5:25">
      <c r="E11657"/>
      <c r="G11657"/>
      <c r="H11657"/>
      <c r="I11657"/>
      <c r="K11657"/>
      <c r="O11657"/>
      <c r="R11657"/>
      <c r="W11657" s="4"/>
      <c r="X11657" s="4"/>
      <c r="Y11657" s="4"/>
    </row>
    <row r="11658" spans="5:25">
      <c r="E11658"/>
      <c r="G11658"/>
      <c r="H11658"/>
      <c r="I11658"/>
      <c r="K11658"/>
      <c r="O11658"/>
      <c r="R11658"/>
      <c r="W11658" s="4"/>
      <c r="X11658" s="4"/>
      <c r="Y11658" s="4"/>
    </row>
    <row r="11659" spans="5:25">
      <c r="E11659"/>
      <c r="G11659"/>
      <c r="H11659"/>
      <c r="I11659"/>
      <c r="K11659"/>
      <c r="O11659"/>
      <c r="R11659"/>
      <c r="W11659" s="4"/>
      <c r="X11659" s="4"/>
      <c r="Y11659" s="4"/>
    </row>
    <row r="11660" spans="5:25">
      <c r="E11660"/>
      <c r="G11660"/>
      <c r="H11660"/>
      <c r="I11660"/>
      <c r="K11660"/>
      <c r="O11660"/>
      <c r="R11660"/>
      <c r="W11660" s="4"/>
      <c r="X11660" s="4"/>
      <c r="Y11660" s="4"/>
    </row>
    <row r="11661" spans="5:25">
      <c r="E11661"/>
      <c r="G11661"/>
      <c r="H11661"/>
      <c r="I11661"/>
      <c r="K11661"/>
      <c r="O11661"/>
      <c r="R11661"/>
      <c r="W11661" s="4"/>
      <c r="X11661" s="4"/>
      <c r="Y11661" s="4"/>
    </row>
    <row r="11662" spans="5:25">
      <c r="E11662"/>
      <c r="G11662"/>
      <c r="H11662"/>
      <c r="I11662"/>
      <c r="K11662"/>
      <c r="O11662"/>
      <c r="R11662"/>
      <c r="W11662" s="4"/>
      <c r="X11662" s="4"/>
      <c r="Y11662" s="4"/>
    </row>
    <row r="11663" spans="5:25">
      <c r="E11663"/>
      <c r="G11663"/>
      <c r="H11663"/>
      <c r="I11663"/>
      <c r="K11663"/>
      <c r="O11663"/>
      <c r="R11663"/>
      <c r="W11663" s="4"/>
      <c r="X11663" s="4"/>
      <c r="Y11663" s="4"/>
    </row>
    <row r="11664" spans="5:25">
      <c r="E11664"/>
      <c r="G11664"/>
      <c r="H11664"/>
      <c r="I11664"/>
      <c r="K11664"/>
      <c r="O11664"/>
      <c r="R11664"/>
      <c r="W11664" s="4"/>
      <c r="X11664" s="4"/>
      <c r="Y11664" s="4"/>
    </row>
    <row r="11665" spans="5:25">
      <c r="E11665"/>
      <c r="G11665"/>
      <c r="H11665"/>
      <c r="I11665"/>
      <c r="K11665"/>
      <c r="O11665"/>
      <c r="R11665"/>
      <c r="W11665" s="4"/>
      <c r="X11665" s="4"/>
      <c r="Y11665" s="4"/>
    </row>
    <row r="11666" spans="5:25">
      <c r="E11666"/>
      <c r="G11666"/>
      <c r="H11666"/>
      <c r="I11666"/>
      <c r="K11666"/>
      <c r="O11666"/>
      <c r="R11666"/>
      <c r="W11666" s="4"/>
      <c r="X11666" s="4"/>
      <c r="Y11666" s="4"/>
    </row>
    <row r="11667" spans="5:25">
      <c r="E11667"/>
      <c r="G11667"/>
      <c r="H11667"/>
      <c r="I11667"/>
      <c r="K11667"/>
      <c r="O11667"/>
      <c r="R11667"/>
      <c r="W11667" s="4"/>
      <c r="X11667" s="4"/>
      <c r="Y11667" s="4"/>
    </row>
    <row r="11668" spans="5:25">
      <c r="E11668"/>
      <c r="G11668"/>
      <c r="H11668"/>
      <c r="I11668"/>
      <c r="K11668"/>
      <c r="O11668"/>
      <c r="R11668"/>
      <c r="W11668" s="4"/>
      <c r="X11668" s="4"/>
      <c r="Y11668" s="4"/>
    </row>
    <row r="11669" spans="5:25">
      <c r="E11669"/>
      <c r="G11669"/>
      <c r="H11669"/>
      <c r="I11669"/>
      <c r="K11669"/>
      <c r="O11669"/>
      <c r="R11669"/>
      <c r="W11669" s="4"/>
      <c r="X11669" s="4"/>
      <c r="Y11669" s="4"/>
    </row>
    <row r="11670" spans="5:25">
      <c r="E11670"/>
      <c r="G11670"/>
      <c r="H11670"/>
      <c r="I11670"/>
      <c r="K11670"/>
      <c r="O11670"/>
      <c r="R11670"/>
      <c r="W11670" s="4"/>
      <c r="X11670" s="4"/>
      <c r="Y11670" s="4"/>
    </row>
    <row r="11671" spans="5:25">
      <c r="E11671"/>
      <c r="G11671"/>
      <c r="H11671"/>
      <c r="I11671"/>
      <c r="K11671"/>
      <c r="O11671"/>
      <c r="R11671"/>
      <c r="W11671" s="4"/>
      <c r="X11671" s="4"/>
      <c r="Y11671" s="4"/>
    </row>
    <row r="11672" spans="5:25">
      <c r="E11672"/>
      <c r="G11672"/>
      <c r="H11672"/>
      <c r="I11672"/>
      <c r="K11672"/>
      <c r="O11672"/>
      <c r="R11672"/>
      <c r="W11672" s="4"/>
      <c r="X11672" s="4"/>
      <c r="Y11672" s="4"/>
    </row>
    <row r="11673" spans="5:25">
      <c r="E11673"/>
      <c r="G11673"/>
      <c r="H11673"/>
      <c r="I11673"/>
      <c r="K11673"/>
      <c r="O11673"/>
      <c r="R11673"/>
      <c r="W11673" s="4"/>
      <c r="X11673" s="4"/>
      <c r="Y11673" s="4"/>
    </row>
    <row r="11674" spans="5:25">
      <c r="E11674"/>
      <c r="G11674"/>
      <c r="H11674"/>
      <c r="I11674"/>
      <c r="K11674"/>
      <c r="O11674"/>
      <c r="R11674"/>
      <c r="W11674" s="4"/>
      <c r="X11674" s="4"/>
      <c r="Y11674" s="4"/>
    </row>
    <row r="11675" spans="5:25">
      <c r="E11675"/>
      <c r="G11675"/>
      <c r="H11675"/>
      <c r="I11675"/>
      <c r="K11675"/>
      <c r="O11675"/>
      <c r="R11675"/>
      <c r="W11675" s="4"/>
      <c r="X11675" s="4"/>
      <c r="Y11675" s="4"/>
    </row>
    <row r="11676" spans="5:25">
      <c r="E11676"/>
      <c r="G11676"/>
      <c r="H11676"/>
      <c r="I11676"/>
      <c r="K11676"/>
      <c r="O11676"/>
      <c r="R11676"/>
      <c r="W11676" s="4"/>
      <c r="X11676" s="4"/>
      <c r="Y11676" s="4"/>
    </row>
    <row r="11677" spans="5:25">
      <c r="E11677"/>
      <c r="G11677"/>
      <c r="H11677"/>
      <c r="I11677"/>
      <c r="K11677"/>
      <c r="O11677"/>
      <c r="R11677"/>
      <c r="W11677" s="4"/>
      <c r="X11677" s="4"/>
      <c r="Y11677" s="4"/>
    </row>
    <row r="11678" spans="5:25">
      <c r="E11678"/>
      <c r="G11678"/>
      <c r="H11678"/>
      <c r="I11678"/>
      <c r="K11678"/>
      <c r="O11678"/>
      <c r="R11678"/>
      <c r="W11678" s="4"/>
      <c r="X11678" s="4"/>
      <c r="Y11678" s="4"/>
    </row>
    <row r="11679" spans="5:25">
      <c r="E11679"/>
      <c r="G11679"/>
      <c r="H11679"/>
      <c r="I11679"/>
      <c r="K11679"/>
      <c r="O11679"/>
      <c r="R11679"/>
      <c r="W11679" s="4"/>
      <c r="X11679" s="4"/>
      <c r="Y11679" s="4"/>
    </row>
    <row r="11680" spans="5:25">
      <c r="E11680"/>
      <c r="G11680"/>
      <c r="H11680"/>
      <c r="I11680"/>
      <c r="K11680"/>
      <c r="O11680"/>
      <c r="R11680"/>
      <c r="W11680" s="4"/>
      <c r="X11680" s="4"/>
      <c r="Y11680" s="4"/>
    </row>
    <row r="11681" spans="5:25">
      <c r="E11681"/>
      <c r="G11681"/>
      <c r="H11681"/>
      <c r="I11681"/>
      <c r="K11681"/>
      <c r="O11681"/>
      <c r="R11681"/>
      <c r="W11681" s="4"/>
      <c r="X11681" s="4"/>
      <c r="Y11681" s="4"/>
    </row>
    <row r="11682" spans="5:25">
      <c r="E11682"/>
      <c r="G11682"/>
      <c r="H11682"/>
      <c r="I11682"/>
      <c r="K11682"/>
      <c r="O11682"/>
      <c r="R11682"/>
      <c r="W11682" s="4"/>
      <c r="X11682" s="4"/>
      <c r="Y11682" s="4"/>
    </row>
    <row r="11683" spans="5:25">
      <c r="E11683"/>
      <c r="G11683"/>
      <c r="H11683"/>
      <c r="I11683"/>
      <c r="K11683"/>
      <c r="O11683"/>
      <c r="R11683"/>
      <c r="W11683" s="4"/>
      <c r="X11683" s="4"/>
      <c r="Y11683" s="4"/>
    </row>
    <row r="11684" spans="5:25">
      <c r="E11684"/>
      <c r="G11684"/>
      <c r="H11684"/>
      <c r="I11684"/>
      <c r="K11684"/>
      <c r="O11684"/>
      <c r="R11684"/>
      <c r="W11684" s="4"/>
      <c r="X11684" s="4"/>
      <c r="Y11684" s="4"/>
    </row>
    <row r="11685" spans="5:25">
      <c r="E11685"/>
      <c r="G11685"/>
      <c r="H11685"/>
      <c r="I11685"/>
      <c r="K11685"/>
      <c r="O11685"/>
      <c r="R11685"/>
      <c r="W11685" s="4"/>
      <c r="X11685" s="4"/>
      <c r="Y11685" s="4"/>
    </row>
    <row r="11686" spans="5:25">
      <c r="E11686"/>
      <c r="G11686"/>
      <c r="H11686"/>
      <c r="I11686"/>
      <c r="K11686"/>
      <c r="O11686"/>
      <c r="R11686"/>
      <c r="W11686" s="4"/>
      <c r="X11686" s="4"/>
      <c r="Y11686" s="4"/>
    </row>
    <row r="11687" spans="5:25">
      <c r="E11687"/>
      <c r="G11687"/>
      <c r="H11687"/>
      <c r="I11687"/>
      <c r="K11687"/>
      <c r="O11687"/>
      <c r="R11687"/>
      <c r="W11687" s="4"/>
      <c r="X11687" s="4"/>
      <c r="Y11687" s="4"/>
    </row>
    <row r="11688" spans="5:25">
      <c r="E11688"/>
      <c r="G11688"/>
      <c r="H11688"/>
      <c r="I11688"/>
      <c r="K11688"/>
      <c r="O11688"/>
      <c r="R11688"/>
      <c r="W11688" s="4"/>
      <c r="X11688" s="4"/>
      <c r="Y11688" s="4"/>
    </row>
    <row r="11689" spans="5:25">
      <c r="E11689"/>
      <c r="G11689"/>
      <c r="H11689"/>
      <c r="I11689"/>
      <c r="K11689"/>
      <c r="O11689"/>
      <c r="R11689"/>
      <c r="W11689" s="4"/>
      <c r="X11689" s="4"/>
      <c r="Y11689" s="4"/>
    </row>
    <row r="11690" spans="5:25">
      <c r="E11690"/>
      <c r="G11690"/>
      <c r="H11690"/>
      <c r="I11690"/>
      <c r="K11690"/>
      <c r="O11690"/>
      <c r="R11690"/>
      <c r="W11690" s="4"/>
      <c r="X11690" s="4"/>
      <c r="Y11690" s="4"/>
    </row>
    <row r="11691" spans="5:25">
      <c r="E11691"/>
      <c r="G11691"/>
      <c r="H11691"/>
      <c r="I11691"/>
      <c r="K11691"/>
      <c r="O11691"/>
      <c r="R11691"/>
      <c r="W11691" s="4"/>
      <c r="X11691" s="4"/>
      <c r="Y11691" s="4"/>
    </row>
    <row r="11692" spans="5:25">
      <c r="E11692"/>
      <c r="G11692"/>
      <c r="H11692"/>
      <c r="I11692"/>
      <c r="K11692"/>
      <c r="O11692"/>
      <c r="R11692"/>
      <c r="W11692" s="4"/>
      <c r="X11692" s="4"/>
      <c r="Y11692" s="4"/>
    </row>
    <row r="11693" spans="5:25">
      <c r="E11693"/>
      <c r="G11693"/>
      <c r="H11693"/>
      <c r="I11693"/>
      <c r="K11693"/>
      <c r="O11693"/>
      <c r="R11693"/>
      <c r="W11693" s="4"/>
      <c r="X11693" s="4"/>
      <c r="Y11693" s="4"/>
    </row>
    <row r="11694" spans="5:25">
      <c r="E11694"/>
      <c r="G11694"/>
      <c r="H11694"/>
      <c r="I11694"/>
      <c r="K11694"/>
      <c r="O11694"/>
      <c r="R11694"/>
      <c r="W11694" s="4"/>
      <c r="X11694" s="4"/>
      <c r="Y11694" s="4"/>
    </row>
    <row r="11695" spans="5:25">
      <c r="E11695"/>
      <c r="G11695"/>
      <c r="H11695"/>
      <c r="I11695"/>
      <c r="K11695"/>
      <c r="O11695"/>
      <c r="R11695"/>
      <c r="W11695" s="4"/>
      <c r="X11695" s="4"/>
      <c r="Y11695" s="4"/>
    </row>
    <row r="11696" spans="5:25">
      <c r="E11696"/>
      <c r="G11696"/>
      <c r="H11696"/>
      <c r="I11696"/>
      <c r="K11696"/>
      <c r="O11696"/>
      <c r="R11696"/>
      <c r="W11696" s="4"/>
      <c r="X11696" s="4"/>
      <c r="Y11696" s="4"/>
    </row>
    <row r="11697" spans="5:25">
      <c r="E11697"/>
      <c r="G11697"/>
      <c r="H11697"/>
      <c r="I11697"/>
      <c r="K11697"/>
      <c r="O11697"/>
      <c r="R11697"/>
      <c r="W11697" s="4"/>
      <c r="X11697" s="4"/>
      <c r="Y11697" s="4"/>
    </row>
    <row r="11698" spans="5:25">
      <c r="E11698"/>
      <c r="G11698"/>
      <c r="H11698"/>
      <c r="I11698"/>
      <c r="K11698"/>
      <c r="O11698"/>
      <c r="R11698"/>
      <c r="W11698" s="4"/>
      <c r="X11698" s="4"/>
      <c r="Y11698" s="4"/>
    </row>
    <row r="11699" spans="5:25">
      <c r="E11699"/>
      <c r="G11699"/>
      <c r="H11699"/>
      <c r="I11699"/>
      <c r="K11699"/>
      <c r="O11699"/>
      <c r="R11699"/>
      <c r="W11699" s="4"/>
      <c r="X11699" s="4"/>
      <c r="Y11699" s="4"/>
    </row>
    <row r="11700" spans="5:25">
      <c r="E11700"/>
      <c r="G11700"/>
      <c r="H11700"/>
      <c r="I11700"/>
      <c r="K11700"/>
      <c r="O11700"/>
      <c r="R11700"/>
      <c r="W11700" s="4"/>
      <c r="X11700" s="4"/>
      <c r="Y11700" s="4"/>
    </row>
    <row r="11701" spans="5:25">
      <c r="E11701"/>
      <c r="G11701"/>
      <c r="H11701"/>
      <c r="I11701"/>
      <c r="K11701"/>
      <c r="O11701"/>
      <c r="R11701"/>
      <c r="W11701" s="4"/>
      <c r="X11701" s="4"/>
      <c r="Y11701" s="4"/>
    </row>
    <row r="11702" spans="5:25">
      <c r="E11702"/>
      <c r="G11702"/>
      <c r="H11702"/>
      <c r="I11702"/>
      <c r="K11702"/>
      <c r="O11702"/>
      <c r="R11702"/>
      <c r="W11702" s="4"/>
      <c r="X11702" s="4"/>
      <c r="Y11702" s="4"/>
    </row>
    <row r="11703" spans="5:25">
      <c r="E11703"/>
      <c r="G11703"/>
      <c r="H11703"/>
      <c r="I11703"/>
      <c r="K11703"/>
      <c r="O11703"/>
      <c r="R11703"/>
      <c r="W11703" s="4"/>
      <c r="X11703" s="4"/>
      <c r="Y11703" s="4"/>
    </row>
    <row r="11704" spans="5:25">
      <c r="E11704"/>
      <c r="G11704"/>
      <c r="H11704"/>
      <c r="I11704"/>
      <c r="K11704"/>
      <c r="O11704"/>
      <c r="R11704"/>
      <c r="W11704" s="4"/>
      <c r="X11704" s="4"/>
      <c r="Y11704" s="4"/>
    </row>
    <row r="11705" spans="5:25">
      <c r="E11705"/>
      <c r="G11705"/>
      <c r="H11705"/>
      <c r="I11705"/>
      <c r="K11705"/>
      <c r="O11705"/>
      <c r="R11705"/>
      <c r="W11705" s="4"/>
      <c r="X11705" s="4"/>
      <c r="Y11705" s="4"/>
    </row>
    <row r="11706" spans="5:25">
      <c r="E11706"/>
      <c r="G11706"/>
      <c r="H11706"/>
      <c r="I11706"/>
      <c r="K11706"/>
      <c r="O11706"/>
      <c r="R11706"/>
      <c r="W11706" s="4"/>
      <c r="X11706" s="4"/>
      <c r="Y11706" s="4"/>
    </row>
    <row r="11707" spans="5:25">
      <c r="E11707"/>
      <c r="G11707"/>
      <c r="H11707"/>
      <c r="I11707"/>
      <c r="K11707"/>
      <c r="O11707"/>
      <c r="R11707"/>
      <c r="W11707" s="4"/>
      <c r="X11707" s="4"/>
      <c r="Y11707" s="4"/>
    </row>
    <row r="11708" spans="5:25">
      <c r="E11708"/>
      <c r="G11708"/>
      <c r="H11708"/>
      <c r="I11708"/>
      <c r="K11708"/>
      <c r="O11708"/>
      <c r="R11708"/>
      <c r="W11708" s="4"/>
      <c r="X11708" s="4"/>
      <c r="Y11708" s="4"/>
    </row>
    <row r="11709" spans="5:25">
      <c r="E11709"/>
      <c r="G11709"/>
      <c r="H11709"/>
      <c r="I11709"/>
      <c r="K11709"/>
      <c r="O11709"/>
      <c r="R11709"/>
      <c r="W11709" s="4"/>
      <c r="X11709" s="4"/>
      <c r="Y11709" s="4"/>
    </row>
    <row r="11710" spans="5:25">
      <c r="E11710"/>
      <c r="G11710"/>
      <c r="H11710"/>
      <c r="I11710"/>
      <c r="K11710"/>
      <c r="O11710"/>
      <c r="R11710"/>
      <c r="W11710" s="4"/>
      <c r="X11710" s="4"/>
      <c r="Y11710" s="4"/>
    </row>
    <row r="11711" spans="5:25">
      <c r="E11711"/>
      <c r="G11711"/>
      <c r="H11711"/>
      <c r="I11711"/>
      <c r="K11711"/>
      <c r="O11711"/>
      <c r="R11711"/>
      <c r="W11711" s="4"/>
      <c r="X11711" s="4"/>
      <c r="Y11711" s="4"/>
    </row>
    <row r="11712" spans="5:25">
      <c r="E11712"/>
      <c r="G11712"/>
      <c r="H11712"/>
      <c r="I11712"/>
      <c r="K11712"/>
      <c r="O11712"/>
      <c r="R11712"/>
      <c r="W11712" s="4"/>
      <c r="X11712" s="4"/>
      <c r="Y11712" s="4"/>
    </row>
    <row r="11713" spans="5:25">
      <c r="E11713"/>
      <c r="G11713"/>
      <c r="H11713"/>
      <c r="I11713"/>
      <c r="K11713"/>
      <c r="O11713"/>
      <c r="R11713"/>
      <c r="W11713" s="4"/>
      <c r="X11713" s="4"/>
      <c r="Y11713" s="4"/>
    </row>
    <row r="11714" spans="5:25">
      <c r="E11714"/>
      <c r="G11714"/>
      <c r="H11714"/>
      <c r="I11714"/>
      <c r="K11714"/>
      <c r="O11714"/>
      <c r="R11714"/>
      <c r="W11714" s="4"/>
      <c r="X11714" s="4"/>
      <c r="Y11714" s="4"/>
    </row>
    <row r="11715" spans="5:25">
      <c r="E11715"/>
      <c r="G11715"/>
      <c r="H11715"/>
      <c r="I11715"/>
      <c r="K11715"/>
      <c r="O11715"/>
      <c r="R11715"/>
      <c r="W11715" s="4"/>
      <c r="X11715" s="4"/>
      <c r="Y11715" s="4"/>
    </row>
    <row r="11716" spans="5:25">
      <c r="E11716"/>
      <c r="G11716"/>
      <c r="H11716"/>
      <c r="I11716"/>
      <c r="K11716"/>
      <c r="O11716"/>
      <c r="R11716"/>
      <c r="W11716" s="4"/>
      <c r="X11716" s="4"/>
      <c r="Y11716" s="4"/>
    </row>
    <row r="11717" spans="5:25">
      <c r="E11717"/>
      <c r="G11717"/>
      <c r="H11717"/>
      <c r="I11717"/>
      <c r="K11717"/>
      <c r="O11717"/>
      <c r="R11717"/>
      <c r="W11717" s="4"/>
      <c r="X11717" s="4"/>
      <c r="Y11717" s="4"/>
    </row>
    <row r="11718" spans="5:25">
      <c r="E11718"/>
      <c r="G11718"/>
      <c r="H11718"/>
      <c r="I11718"/>
      <c r="K11718"/>
      <c r="O11718"/>
      <c r="R11718"/>
      <c r="W11718" s="4"/>
      <c r="X11718" s="4"/>
      <c r="Y11718" s="4"/>
    </row>
    <row r="11719" spans="5:25">
      <c r="E11719"/>
      <c r="G11719"/>
      <c r="H11719"/>
      <c r="I11719"/>
      <c r="K11719"/>
      <c r="O11719"/>
      <c r="R11719"/>
      <c r="W11719" s="4"/>
      <c r="X11719" s="4"/>
      <c r="Y11719" s="4"/>
    </row>
    <row r="11720" spans="5:25">
      <c r="E11720"/>
      <c r="G11720"/>
      <c r="H11720"/>
      <c r="I11720"/>
      <c r="K11720"/>
      <c r="O11720"/>
      <c r="R11720"/>
      <c r="W11720" s="4"/>
      <c r="X11720" s="4"/>
      <c r="Y11720" s="4"/>
    </row>
    <row r="11721" spans="5:25">
      <c r="E11721"/>
      <c r="G11721"/>
      <c r="H11721"/>
      <c r="I11721"/>
      <c r="K11721"/>
      <c r="O11721"/>
      <c r="R11721"/>
      <c r="W11721" s="4"/>
      <c r="X11721" s="4"/>
      <c r="Y11721" s="4"/>
    </row>
    <row r="11722" spans="5:25">
      <c r="E11722"/>
      <c r="G11722"/>
      <c r="H11722"/>
      <c r="I11722"/>
      <c r="K11722"/>
      <c r="O11722"/>
      <c r="R11722"/>
      <c r="W11722" s="4"/>
      <c r="X11722" s="4"/>
      <c r="Y11722" s="4"/>
    </row>
    <row r="11723" spans="5:25">
      <c r="E11723"/>
      <c r="G11723"/>
      <c r="H11723"/>
      <c r="I11723"/>
      <c r="K11723"/>
      <c r="O11723"/>
      <c r="R11723"/>
      <c r="W11723" s="4"/>
      <c r="X11723" s="4"/>
      <c r="Y11723" s="4"/>
    </row>
    <row r="11724" spans="5:25">
      <c r="E11724"/>
      <c r="G11724"/>
      <c r="H11724"/>
      <c r="I11724"/>
      <c r="K11724"/>
      <c r="O11724"/>
      <c r="R11724"/>
      <c r="W11724" s="4"/>
      <c r="X11724" s="4"/>
      <c r="Y11724" s="4"/>
    </row>
    <row r="11725" spans="5:25">
      <c r="E11725"/>
      <c r="G11725"/>
      <c r="H11725"/>
      <c r="I11725"/>
      <c r="K11725"/>
      <c r="O11725"/>
      <c r="R11725"/>
      <c r="W11725" s="4"/>
      <c r="X11725" s="4"/>
      <c r="Y11725" s="4"/>
    </row>
    <row r="11726" spans="5:25">
      <c r="E11726"/>
      <c r="G11726"/>
      <c r="H11726"/>
      <c r="I11726"/>
      <c r="K11726"/>
      <c r="O11726"/>
      <c r="R11726"/>
      <c r="W11726" s="4"/>
      <c r="X11726" s="4"/>
      <c r="Y11726" s="4"/>
    </row>
    <row r="11727" spans="5:25">
      <c r="E11727"/>
      <c r="G11727"/>
      <c r="H11727"/>
      <c r="I11727"/>
      <c r="K11727"/>
      <c r="O11727"/>
      <c r="R11727"/>
      <c r="W11727" s="4"/>
      <c r="X11727" s="4"/>
      <c r="Y11727" s="4"/>
    </row>
    <row r="11728" spans="5:25">
      <c r="E11728"/>
      <c r="G11728"/>
      <c r="H11728"/>
      <c r="I11728"/>
      <c r="K11728"/>
      <c r="O11728"/>
      <c r="R11728"/>
      <c r="W11728" s="4"/>
      <c r="X11728" s="4"/>
      <c r="Y11728" s="4"/>
    </row>
    <row r="11729" spans="5:25">
      <c r="E11729"/>
      <c r="G11729"/>
      <c r="H11729"/>
      <c r="I11729"/>
      <c r="K11729"/>
      <c r="O11729"/>
      <c r="R11729"/>
      <c r="W11729" s="4"/>
      <c r="X11729" s="4"/>
      <c r="Y11729" s="4"/>
    </row>
    <row r="11730" spans="5:25">
      <c r="E11730"/>
      <c r="G11730"/>
      <c r="H11730"/>
      <c r="I11730"/>
      <c r="K11730"/>
      <c r="O11730"/>
      <c r="R11730"/>
      <c r="W11730" s="4"/>
      <c r="X11730" s="4"/>
      <c r="Y11730" s="4"/>
    </row>
    <row r="11731" spans="5:25">
      <c r="E11731"/>
      <c r="G11731"/>
      <c r="H11731"/>
      <c r="I11731"/>
      <c r="K11731"/>
      <c r="O11731"/>
      <c r="R11731"/>
      <c r="W11731" s="4"/>
      <c r="X11731" s="4"/>
      <c r="Y11731" s="4"/>
    </row>
    <row r="11732" spans="5:25">
      <c r="E11732"/>
      <c r="G11732"/>
      <c r="H11732"/>
      <c r="I11732"/>
      <c r="K11732"/>
      <c r="O11732"/>
      <c r="R11732"/>
      <c r="W11732" s="4"/>
      <c r="X11732" s="4"/>
      <c r="Y11732" s="4"/>
    </row>
    <row r="11733" spans="5:25">
      <c r="E11733"/>
      <c r="G11733"/>
      <c r="H11733"/>
      <c r="I11733"/>
      <c r="K11733"/>
      <c r="O11733"/>
      <c r="R11733"/>
      <c r="W11733" s="4"/>
      <c r="X11733" s="4"/>
      <c r="Y11733" s="4"/>
    </row>
    <row r="11734" spans="5:25">
      <c r="E11734"/>
      <c r="G11734"/>
      <c r="H11734"/>
      <c r="I11734"/>
      <c r="K11734"/>
      <c r="O11734"/>
      <c r="R11734"/>
      <c r="W11734" s="4"/>
      <c r="X11734" s="4"/>
      <c r="Y11734" s="4"/>
    </row>
    <row r="11735" spans="5:25">
      <c r="E11735"/>
      <c r="G11735"/>
      <c r="H11735"/>
      <c r="I11735"/>
      <c r="K11735"/>
      <c r="O11735"/>
      <c r="R11735"/>
      <c r="W11735" s="4"/>
      <c r="X11735" s="4"/>
      <c r="Y11735" s="4"/>
    </row>
    <row r="11736" spans="5:25">
      <c r="E11736"/>
      <c r="G11736"/>
      <c r="H11736"/>
      <c r="I11736"/>
      <c r="K11736"/>
      <c r="O11736"/>
      <c r="R11736"/>
      <c r="W11736" s="4"/>
      <c r="X11736" s="4"/>
      <c r="Y11736" s="4"/>
    </row>
    <row r="11737" spans="5:25">
      <c r="E11737"/>
      <c r="G11737"/>
      <c r="H11737"/>
      <c r="I11737"/>
      <c r="K11737"/>
      <c r="O11737"/>
      <c r="R11737"/>
      <c r="W11737" s="4"/>
      <c r="X11737" s="4"/>
      <c r="Y11737" s="4"/>
    </row>
    <row r="11738" spans="5:25">
      <c r="E11738"/>
      <c r="G11738"/>
      <c r="H11738"/>
      <c r="I11738"/>
      <c r="K11738"/>
      <c r="O11738"/>
      <c r="R11738"/>
      <c r="W11738" s="4"/>
      <c r="X11738" s="4"/>
      <c r="Y11738" s="4"/>
    </row>
    <row r="11739" spans="5:25">
      <c r="E11739"/>
      <c r="G11739"/>
      <c r="H11739"/>
      <c r="I11739"/>
      <c r="K11739"/>
      <c r="O11739"/>
      <c r="R11739"/>
      <c r="W11739" s="4"/>
      <c r="X11739" s="4"/>
      <c r="Y11739" s="4"/>
    </row>
    <row r="11740" spans="5:25">
      <c r="E11740"/>
      <c r="G11740"/>
      <c r="H11740"/>
      <c r="I11740"/>
      <c r="K11740"/>
      <c r="O11740"/>
      <c r="R11740"/>
      <c r="W11740" s="4"/>
      <c r="X11740" s="4"/>
      <c r="Y11740" s="4"/>
    </row>
    <row r="11741" spans="5:25">
      <c r="E11741"/>
      <c r="G11741"/>
      <c r="H11741"/>
      <c r="I11741"/>
      <c r="K11741"/>
      <c r="O11741"/>
      <c r="R11741"/>
      <c r="W11741" s="4"/>
      <c r="X11741" s="4"/>
      <c r="Y11741" s="4"/>
    </row>
    <row r="11742" spans="5:25">
      <c r="E11742"/>
      <c r="G11742"/>
      <c r="H11742"/>
      <c r="I11742"/>
      <c r="K11742"/>
      <c r="O11742"/>
      <c r="R11742"/>
      <c r="W11742" s="4"/>
      <c r="X11742" s="4"/>
      <c r="Y11742" s="4"/>
    </row>
    <row r="11743" spans="5:25">
      <c r="E11743"/>
      <c r="G11743"/>
      <c r="H11743"/>
      <c r="I11743"/>
      <c r="K11743"/>
      <c r="O11743"/>
      <c r="R11743"/>
      <c r="W11743" s="4"/>
      <c r="X11743" s="4"/>
      <c r="Y11743" s="4"/>
    </row>
    <row r="11744" spans="5:25">
      <c r="E11744"/>
      <c r="G11744"/>
      <c r="H11744"/>
      <c r="I11744"/>
      <c r="K11744"/>
      <c r="O11744"/>
      <c r="R11744"/>
      <c r="W11744" s="4"/>
      <c r="X11744" s="4"/>
      <c r="Y11744" s="4"/>
    </row>
    <row r="11745" spans="5:25">
      <c r="E11745"/>
      <c r="G11745"/>
      <c r="H11745"/>
      <c r="I11745"/>
      <c r="K11745"/>
      <c r="O11745"/>
      <c r="R11745"/>
      <c r="W11745" s="4"/>
      <c r="X11745" s="4"/>
      <c r="Y11745" s="4"/>
    </row>
    <row r="11746" spans="5:25">
      <c r="E11746"/>
      <c r="G11746"/>
      <c r="H11746"/>
      <c r="I11746"/>
      <c r="K11746"/>
      <c r="O11746"/>
      <c r="R11746"/>
      <c r="W11746" s="4"/>
      <c r="X11746" s="4"/>
      <c r="Y11746" s="4"/>
    </row>
    <row r="11747" spans="5:25">
      <c r="E11747"/>
      <c r="G11747"/>
      <c r="H11747"/>
      <c r="I11747"/>
      <c r="K11747"/>
      <c r="O11747"/>
      <c r="R11747"/>
      <c r="W11747" s="4"/>
      <c r="X11747" s="4"/>
      <c r="Y11747" s="4"/>
    </row>
    <row r="11748" spans="5:25">
      <c r="E11748"/>
      <c r="G11748"/>
      <c r="H11748"/>
      <c r="I11748"/>
      <c r="K11748"/>
      <c r="O11748"/>
      <c r="R11748"/>
      <c r="W11748" s="4"/>
      <c r="X11748" s="4"/>
      <c r="Y11748" s="4"/>
    </row>
    <row r="11749" spans="5:25">
      <c r="E11749"/>
      <c r="G11749"/>
      <c r="H11749"/>
      <c r="I11749"/>
      <c r="K11749"/>
      <c r="O11749"/>
      <c r="R11749"/>
      <c r="W11749" s="4"/>
      <c r="X11749" s="4"/>
      <c r="Y11749" s="4"/>
    </row>
    <row r="11750" spans="5:25">
      <c r="E11750"/>
      <c r="G11750"/>
      <c r="H11750"/>
      <c r="I11750"/>
      <c r="K11750"/>
      <c r="O11750"/>
      <c r="R11750"/>
      <c r="W11750" s="4"/>
      <c r="X11750" s="4"/>
      <c r="Y11750" s="4"/>
    </row>
    <row r="11751" spans="5:25">
      <c r="E11751"/>
      <c r="G11751"/>
      <c r="H11751"/>
      <c r="I11751"/>
      <c r="K11751"/>
      <c r="O11751"/>
      <c r="R11751"/>
      <c r="W11751" s="4"/>
      <c r="X11751" s="4"/>
      <c r="Y11751" s="4"/>
    </row>
    <row r="11752" spans="5:25">
      <c r="E11752"/>
      <c r="G11752"/>
      <c r="H11752"/>
      <c r="I11752"/>
      <c r="K11752"/>
      <c r="O11752"/>
      <c r="R11752"/>
      <c r="W11752" s="4"/>
      <c r="X11752" s="4"/>
      <c r="Y11752" s="4"/>
    </row>
    <row r="11753" spans="5:25">
      <c r="E11753"/>
      <c r="G11753"/>
      <c r="H11753"/>
      <c r="I11753"/>
      <c r="K11753"/>
      <c r="O11753"/>
      <c r="R11753"/>
      <c r="W11753" s="4"/>
      <c r="X11753" s="4"/>
      <c r="Y11753" s="4"/>
    </row>
    <row r="11754" spans="5:25">
      <c r="E11754"/>
      <c r="G11754"/>
      <c r="H11754"/>
      <c r="I11754"/>
      <c r="K11754"/>
      <c r="O11754"/>
      <c r="R11754"/>
      <c r="W11754" s="4"/>
      <c r="X11754" s="4"/>
      <c r="Y11754" s="4"/>
    </row>
    <row r="11755" spans="5:25">
      <c r="E11755"/>
      <c r="G11755"/>
      <c r="H11755"/>
      <c r="I11755"/>
      <c r="K11755"/>
      <c r="O11755"/>
      <c r="R11755"/>
      <c r="W11755" s="4"/>
      <c r="X11755" s="4"/>
      <c r="Y11755" s="4"/>
    </row>
    <row r="11756" spans="5:25">
      <c r="E11756"/>
      <c r="G11756"/>
      <c r="H11756"/>
      <c r="I11756"/>
      <c r="K11756"/>
      <c r="O11756"/>
      <c r="R11756"/>
      <c r="W11756" s="4"/>
      <c r="X11756" s="4"/>
      <c r="Y11756" s="4"/>
    </row>
    <row r="11757" spans="5:25">
      <c r="E11757"/>
      <c r="G11757"/>
      <c r="H11757"/>
      <c r="I11757"/>
      <c r="K11757"/>
      <c r="O11757"/>
      <c r="R11757"/>
      <c r="W11757" s="4"/>
      <c r="X11757" s="4"/>
      <c r="Y11757" s="4"/>
    </row>
    <row r="11758" spans="5:25">
      <c r="E11758"/>
      <c r="G11758"/>
      <c r="H11758"/>
      <c r="I11758"/>
      <c r="K11758"/>
      <c r="O11758"/>
      <c r="R11758"/>
      <c r="W11758" s="4"/>
      <c r="X11758" s="4"/>
      <c r="Y11758" s="4"/>
    </row>
    <row r="11759" spans="5:25">
      <c r="E11759"/>
      <c r="G11759"/>
      <c r="H11759"/>
      <c r="I11759"/>
      <c r="K11759"/>
      <c r="O11759"/>
      <c r="R11759"/>
      <c r="W11759" s="4"/>
      <c r="X11759" s="4"/>
      <c r="Y11759" s="4"/>
    </row>
    <row r="11760" spans="5:25">
      <c r="E11760"/>
      <c r="G11760"/>
      <c r="H11760"/>
      <c r="I11760"/>
      <c r="K11760"/>
      <c r="O11760"/>
      <c r="R11760"/>
      <c r="W11760" s="4"/>
      <c r="X11760" s="4"/>
      <c r="Y11760" s="4"/>
    </row>
    <row r="11761" spans="5:25">
      <c r="E11761"/>
      <c r="G11761"/>
      <c r="H11761"/>
      <c r="I11761"/>
      <c r="K11761"/>
      <c r="O11761"/>
      <c r="R11761"/>
      <c r="W11761" s="4"/>
      <c r="X11761" s="4"/>
      <c r="Y11761" s="4"/>
    </row>
    <row r="11762" spans="5:25">
      <c r="E11762"/>
      <c r="G11762"/>
      <c r="H11762"/>
      <c r="I11762"/>
      <c r="K11762"/>
      <c r="O11762"/>
      <c r="R11762"/>
      <c r="W11762" s="4"/>
      <c r="X11762" s="4"/>
      <c r="Y11762" s="4"/>
    </row>
    <row r="11763" spans="5:25">
      <c r="E11763"/>
      <c r="G11763"/>
      <c r="H11763"/>
      <c r="I11763"/>
      <c r="K11763"/>
      <c r="O11763"/>
      <c r="R11763"/>
      <c r="W11763" s="4"/>
      <c r="X11763" s="4"/>
      <c r="Y11763" s="4"/>
    </row>
    <row r="11764" spans="5:25">
      <c r="E11764"/>
      <c r="G11764"/>
      <c r="H11764"/>
      <c r="I11764"/>
      <c r="K11764"/>
      <c r="O11764"/>
      <c r="R11764"/>
      <c r="W11764" s="4"/>
      <c r="X11764" s="4"/>
      <c r="Y11764" s="4"/>
    </row>
    <row r="11765" spans="5:25">
      <c r="E11765"/>
      <c r="G11765"/>
      <c r="H11765"/>
      <c r="I11765"/>
      <c r="K11765"/>
      <c r="O11765"/>
      <c r="R11765"/>
      <c r="W11765" s="4"/>
      <c r="X11765" s="4"/>
      <c r="Y11765" s="4"/>
    </row>
    <row r="11766" spans="5:25">
      <c r="E11766"/>
      <c r="G11766"/>
      <c r="H11766"/>
      <c r="I11766"/>
      <c r="K11766"/>
      <c r="O11766"/>
      <c r="R11766"/>
      <c r="W11766" s="4"/>
      <c r="X11766" s="4"/>
      <c r="Y11766" s="4"/>
    </row>
    <row r="11767" spans="5:25">
      <c r="E11767"/>
      <c r="G11767"/>
      <c r="H11767"/>
      <c r="I11767"/>
      <c r="K11767"/>
      <c r="O11767"/>
      <c r="R11767"/>
      <c r="W11767" s="4"/>
      <c r="X11767" s="4"/>
      <c r="Y11767" s="4"/>
    </row>
    <row r="11768" spans="5:25">
      <c r="E11768"/>
      <c r="G11768"/>
      <c r="H11768"/>
      <c r="I11768"/>
      <c r="K11768"/>
      <c r="O11768"/>
      <c r="R11768"/>
      <c r="W11768" s="4"/>
      <c r="X11768" s="4"/>
      <c r="Y11768" s="4"/>
    </row>
    <row r="11769" spans="5:25">
      <c r="E11769"/>
      <c r="G11769"/>
      <c r="H11769"/>
      <c r="I11769"/>
      <c r="K11769"/>
      <c r="O11769"/>
      <c r="R11769"/>
      <c r="W11769" s="4"/>
      <c r="X11769" s="4"/>
      <c r="Y11769" s="4"/>
    </row>
    <row r="11770" spans="5:25">
      <c r="E11770"/>
      <c r="G11770"/>
      <c r="H11770"/>
      <c r="I11770"/>
      <c r="K11770"/>
      <c r="O11770"/>
      <c r="R11770"/>
      <c r="W11770" s="4"/>
      <c r="X11770" s="4"/>
      <c r="Y11770" s="4"/>
    </row>
    <row r="11771" spans="5:25">
      <c r="E11771"/>
      <c r="G11771"/>
      <c r="H11771"/>
      <c r="I11771"/>
      <c r="K11771"/>
      <c r="O11771"/>
      <c r="R11771"/>
      <c r="W11771" s="4"/>
      <c r="X11771" s="4"/>
      <c r="Y11771" s="4"/>
    </row>
    <row r="11772" spans="5:25">
      <c r="E11772"/>
      <c r="G11772"/>
      <c r="H11772"/>
      <c r="I11772"/>
      <c r="K11772"/>
      <c r="O11772"/>
      <c r="R11772"/>
      <c r="W11772" s="4"/>
      <c r="X11772" s="4"/>
      <c r="Y11772" s="4"/>
    </row>
    <row r="11773" spans="5:25">
      <c r="E11773"/>
      <c r="G11773"/>
      <c r="H11773"/>
      <c r="I11773"/>
      <c r="K11773"/>
      <c r="O11773"/>
      <c r="R11773"/>
      <c r="W11773" s="4"/>
      <c r="X11773" s="4"/>
      <c r="Y11773" s="4"/>
    </row>
    <row r="11774" spans="5:25">
      <c r="E11774"/>
      <c r="G11774"/>
      <c r="H11774"/>
      <c r="I11774"/>
      <c r="K11774"/>
      <c r="O11774"/>
      <c r="R11774"/>
      <c r="W11774" s="4"/>
      <c r="X11774" s="4"/>
      <c r="Y11774" s="4"/>
    </row>
    <row r="11775" spans="5:25">
      <c r="E11775"/>
      <c r="G11775"/>
      <c r="H11775"/>
      <c r="I11775"/>
      <c r="K11775"/>
      <c r="O11775"/>
      <c r="R11775"/>
      <c r="W11775" s="4"/>
      <c r="X11775" s="4"/>
      <c r="Y11775" s="4"/>
    </row>
    <row r="11776" spans="5:25">
      <c r="E11776"/>
      <c r="G11776"/>
      <c r="H11776"/>
      <c r="I11776"/>
      <c r="K11776"/>
      <c r="O11776"/>
      <c r="R11776"/>
      <c r="W11776" s="4"/>
      <c r="X11776" s="4"/>
      <c r="Y11776" s="4"/>
    </row>
    <row r="11777" spans="5:25">
      <c r="E11777"/>
      <c r="G11777"/>
      <c r="H11777"/>
      <c r="I11777"/>
      <c r="K11777"/>
      <c r="O11777"/>
      <c r="R11777"/>
      <c r="W11777" s="4"/>
      <c r="X11777" s="4"/>
      <c r="Y11777" s="4"/>
    </row>
    <row r="11778" spans="5:25">
      <c r="E11778"/>
      <c r="G11778"/>
      <c r="H11778"/>
      <c r="I11778"/>
      <c r="K11778"/>
      <c r="O11778"/>
      <c r="R11778"/>
      <c r="W11778" s="4"/>
      <c r="X11778" s="4"/>
      <c r="Y11778" s="4"/>
    </row>
    <row r="11779" spans="5:25">
      <c r="E11779"/>
      <c r="G11779"/>
      <c r="H11779"/>
      <c r="I11779"/>
      <c r="K11779"/>
      <c r="O11779"/>
      <c r="R11779"/>
      <c r="W11779" s="4"/>
      <c r="X11779" s="4"/>
      <c r="Y11779" s="4"/>
    </row>
    <row r="11780" spans="5:25">
      <c r="E11780"/>
      <c r="G11780"/>
      <c r="H11780"/>
      <c r="I11780"/>
      <c r="K11780"/>
      <c r="O11780"/>
      <c r="R11780"/>
      <c r="W11780" s="4"/>
      <c r="X11780" s="4"/>
      <c r="Y11780" s="4"/>
    </row>
    <row r="11781" spans="5:25">
      <c r="E11781"/>
      <c r="G11781"/>
      <c r="H11781"/>
      <c r="I11781"/>
      <c r="K11781"/>
      <c r="O11781"/>
      <c r="R11781"/>
      <c r="W11781" s="4"/>
      <c r="X11781" s="4"/>
      <c r="Y11781" s="4"/>
    </row>
    <row r="11782" spans="5:25">
      <c r="E11782"/>
      <c r="G11782"/>
      <c r="H11782"/>
      <c r="I11782"/>
      <c r="K11782"/>
      <c r="O11782"/>
      <c r="R11782"/>
      <c r="W11782" s="4"/>
      <c r="X11782" s="4"/>
      <c r="Y11782" s="4"/>
    </row>
    <row r="11783" spans="5:25">
      <c r="E11783"/>
      <c r="G11783"/>
      <c r="H11783"/>
      <c r="I11783"/>
      <c r="K11783"/>
      <c r="O11783"/>
      <c r="R11783"/>
      <c r="W11783" s="4"/>
      <c r="X11783" s="4"/>
      <c r="Y11783" s="4"/>
    </row>
    <row r="11784" spans="5:25">
      <c r="E11784"/>
      <c r="G11784"/>
      <c r="H11784"/>
      <c r="I11784"/>
      <c r="K11784"/>
      <c r="O11784"/>
      <c r="R11784"/>
      <c r="W11784" s="4"/>
      <c r="X11784" s="4"/>
      <c r="Y11784" s="4"/>
    </row>
    <row r="11785" spans="5:25">
      <c r="E11785"/>
      <c r="G11785"/>
      <c r="H11785"/>
      <c r="I11785"/>
      <c r="K11785"/>
      <c r="O11785"/>
      <c r="R11785"/>
      <c r="W11785" s="4"/>
      <c r="X11785" s="4"/>
      <c r="Y11785" s="4"/>
    </row>
    <row r="11786" spans="5:25">
      <c r="E11786"/>
      <c r="G11786"/>
      <c r="H11786"/>
      <c r="I11786"/>
      <c r="K11786"/>
      <c r="O11786"/>
      <c r="R11786"/>
      <c r="W11786" s="4"/>
      <c r="X11786" s="4"/>
      <c r="Y11786" s="4"/>
    </row>
    <row r="11787" spans="5:25">
      <c r="E11787"/>
      <c r="G11787"/>
      <c r="H11787"/>
      <c r="I11787"/>
      <c r="K11787"/>
      <c r="O11787"/>
      <c r="R11787"/>
      <c r="W11787" s="4"/>
      <c r="X11787" s="4"/>
      <c r="Y11787" s="4"/>
    </row>
    <row r="11788" spans="5:25">
      <c r="E11788"/>
      <c r="G11788"/>
      <c r="H11788"/>
      <c r="I11788"/>
      <c r="K11788"/>
      <c r="O11788"/>
      <c r="R11788"/>
      <c r="W11788" s="4"/>
      <c r="X11788" s="4"/>
      <c r="Y11788" s="4"/>
    </row>
    <row r="11789" spans="5:25">
      <c r="E11789"/>
      <c r="G11789"/>
      <c r="H11789"/>
      <c r="I11789"/>
      <c r="K11789"/>
      <c r="O11789"/>
      <c r="R11789"/>
      <c r="W11789" s="4"/>
      <c r="X11789" s="4"/>
      <c r="Y11789" s="4"/>
    </row>
    <row r="11790" spans="5:25">
      <c r="E11790"/>
      <c r="G11790"/>
      <c r="H11790"/>
      <c r="I11790"/>
      <c r="K11790"/>
      <c r="O11790"/>
      <c r="R11790"/>
      <c r="W11790" s="4"/>
      <c r="X11790" s="4"/>
      <c r="Y11790" s="4"/>
    </row>
    <row r="11791" spans="5:25">
      <c r="E11791"/>
      <c r="G11791"/>
      <c r="H11791"/>
      <c r="I11791"/>
      <c r="K11791"/>
      <c r="O11791"/>
      <c r="R11791"/>
      <c r="W11791" s="4"/>
      <c r="X11791" s="4"/>
      <c r="Y11791" s="4"/>
    </row>
    <row r="11792" spans="5:25">
      <c r="E11792"/>
      <c r="G11792"/>
      <c r="H11792"/>
      <c r="I11792"/>
      <c r="K11792"/>
      <c r="O11792"/>
      <c r="R11792"/>
      <c r="W11792" s="4"/>
      <c r="X11792" s="4"/>
      <c r="Y11792" s="4"/>
    </row>
    <row r="11793" spans="5:25">
      <c r="E11793"/>
      <c r="G11793"/>
      <c r="H11793"/>
      <c r="I11793"/>
      <c r="K11793"/>
      <c r="O11793"/>
      <c r="R11793"/>
      <c r="W11793" s="4"/>
      <c r="X11793" s="4"/>
      <c r="Y11793" s="4"/>
    </row>
    <row r="11794" spans="5:25">
      <c r="E11794"/>
      <c r="G11794"/>
      <c r="H11794"/>
      <c r="I11794"/>
      <c r="K11794"/>
      <c r="O11794"/>
      <c r="R11794"/>
      <c r="W11794" s="4"/>
      <c r="X11794" s="4"/>
      <c r="Y11794" s="4"/>
    </row>
    <row r="11795" spans="5:25">
      <c r="E11795"/>
      <c r="G11795"/>
      <c r="H11795"/>
      <c r="I11795"/>
      <c r="K11795"/>
      <c r="O11795"/>
      <c r="R11795"/>
      <c r="W11795" s="4"/>
      <c r="X11795" s="4"/>
      <c r="Y11795" s="4"/>
    </row>
    <row r="11796" spans="5:25">
      <c r="E11796"/>
      <c r="G11796"/>
      <c r="H11796"/>
      <c r="I11796"/>
      <c r="K11796"/>
      <c r="O11796"/>
      <c r="R11796"/>
      <c r="W11796" s="4"/>
      <c r="X11796" s="4"/>
      <c r="Y11796" s="4"/>
    </row>
    <row r="11797" spans="5:25">
      <c r="E11797"/>
      <c r="G11797"/>
      <c r="H11797"/>
      <c r="I11797"/>
      <c r="K11797"/>
      <c r="O11797"/>
      <c r="R11797"/>
      <c r="W11797" s="4"/>
      <c r="X11797" s="4"/>
      <c r="Y11797" s="4"/>
    </row>
    <row r="11798" spans="5:25">
      <c r="E11798"/>
      <c r="G11798"/>
      <c r="H11798"/>
      <c r="I11798"/>
      <c r="K11798"/>
      <c r="O11798"/>
      <c r="R11798"/>
      <c r="W11798" s="4"/>
      <c r="X11798" s="4"/>
      <c r="Y11798" s="4"/>
    </row>
    <row r="11799" spans="5:25">
      <c r="E11799"/>
      <c r="G11799"/>
      <c r="H11799"/>
      <c r="I11799"/>
      <c r="K11799"/>
      <c r="O11799"/>
      <c r="R11799"/>
      <c r="W11799" s="4"/>
      <c r="X11799" s="4"/>
      <c r="Y11799" s="4"/>
    </row>
    <row r="11800" spans="5:25">
      <c r="E11800"/>
      <c r="G11800"/>
      <c r="H11800"/>
      <c r="I11800"/>
      <c r="K11800"/>
      <c r="O11800"/>
      <c r="R11800"/>
      <c r="W11800" s="4"/>
      <c r="X11800" s="4"/>
      <c r="Y11800" s="4"/>
    </row>
    <row r="11801" spans="5:25">
      <c r="E11801"/>
      <c r="G11801"/>
      <c r="H11801"/>
      <c r="I11801"/>
      <c r="K11801"/>
      <c r="O11801"/>
      <c r="R11801"/>
      <c r="W11801" s="4"/>
      <c r="X11801" s="4"/>
      <c r="Y11801" s="4"/>
    </row>
    <row r="11802" spans="5:25">
      <c r="E11802"/>
      <c r="G11802"/>
      <c r="H11802"/>
      <c r="I11802"/>
      <c r="K11802"/>
      <c r="O11802"/>
      <c r="R11802"/>
      <c r="W11802" s="4"/>
      <c r="X11802" s="4"/>
      <c r="Y11802" s="4"/>
    </row>
    <row r="11803" spans="5:25">
      <c r="E11803"/>
      <c r="G11803"/>
      <c r="H11803"/>
      <c r="I11803"/>
      <c r="K11803"/>
      <c r="O11803"/>
      <c r="R11803"/>
      <c r="W11803" s="4"/>
      <c r="X11803" s="4"/>
      <c r="Y11803" s="4"/>
    </row>
    <row r="11804" spans="5:25">
      <c r="E11804"/>
      <c r="G11804"/>
      <c r="H11804"/>
      <c r="I11804"/>
      <c r="K11804"/>
      <c r="O11804"/>
      <c r="R11804"/>
      <c r="W11804" s="4"/>
      <c r="X11804" s="4"/>
      <c r="Y11804" s="4"/>
    </row>
    <row r="11805" spans="5:25">
      <c r="E11805"/>
      <c r="G11805"/>
      <c r="H11805"/>
      <c r="I11805"/>
      <c r="K11805"/>
      <c r="O11805"/>
      <c r="R11805"/>
      <c r="W11805" s="4"/>
      <c r="X11805" s="4"/>
      <c r="Y11805" s="4"/>
    </row>
    <row r="11806" spans="5:25">
      <c r="E11806"/>
      <c r="G11806"/>
      <c r="H11806"/>
      <c r="I11806"/>
      <c r="K11806"/>
      <c r="O11806"/>
      <c r="R11806"/>
      <c r="W11806" s="4"/>
      <c r="X11806" s="4"/>
      <c r="Y11806" s="4"/>
    </row>
    <row r="11807" spans="5:25">
      <c r="E11807"/>
      <c r="G11807"/>
      <c r="H11807"/>
      <c r="I11807"/>
      <c r="K11807"/>
      <c r="O11807"/>
      <c r="R11807"/>
      <c r="W11807" s="4"/>
      <c r="X11807" s="4"/>
      <c r="Y11807" s="4"/>
    </row>
    <row r="11808" spans="5:25">
      <c r="E11808"/>
      <c r="G11808"/>
      <c r="H11808"/>
      <c r="I11808"/>
      <c r="K11808"/>
      <c r="O11808"/>
      <c r="R11808"/>
      <c r="W11808" s="4"/>
      <c r="X11808" s="4"/>
      <c r="Y11808" s="4"/>
    </row>
    <row r="11809" spans="5:25">
      <c r="E11809"/>
      <c r="G11809"/>
      <c r="H11809"/>
      <c r="I11809"/>
      <c r="K11809"/>
      <c r="O11809"/>
      <c r="R11809"/>
      <c r="W11809" s="4"/>
      <c r="X11809" s="4"/>
      <c r="Y11809" s="4"/>
    </row>
    <row r="11810" spans="5:25">
      <c r="E11810"/>
      <c r="G11810"/>
      <c r="H11810"/>
      <c r="I11810"/>
      <c r="K11810"/>
      <c r="O11810"/>
      <c r="R11810"/>
      <c r="W11810" s="4"/>
      <c r="X11810" s="4"/>
      <c r="Y11810" s="4"/>
    </row>
    <row r="11811" spans="5:25">
      <c r="E11811"/>
      <c r="G11811"/>
      <c r="H11811"/>
      <c r="I11811"/>
      <c r="K11811"/>
      <c r="O11811"/>
      <c r="R11811"/>
      <c r="W11811" s="4"/>
      <c r="X11811" s="4"/>
      <c r="Y11811" s="4"/>
    </row>
    <row r="11812" spans="5:25">
      <c r="E11812"/>
      <c r="G11812"/>
      <c r="H11812"/>
      <c r="I11812"/>
      <c r="K11812"/>
      <c r="O11812"/>
      <c r="R11812"/>
      <c r="W11812" s="4"/>
      <c r="X11812" s="4"/>
      <c r="Y11812" s="4"/>
    </row>
    <row r="11813" spans="5:25">
      <c r="E11813"/>
      <c r="G11813"/>
      <c r="H11813"/>
      <c r="I11813"/>
      <c r="K11813"/>
      <c r="O11813"/>
      <c r="R11813"/>
      <c r="W11813" s="4"/>
      <c r="X11813" s="4"/>
      <c r="Y11813" s="4"/>
    </row>
    <row r="11814" spans="5:25">
      <c r="E11814"/>
      <c r="G11814"/>
      <c r="H11814"/>
      <c r="I11814"/>
      <c r="K11814"/>
      <c r="O11814"/>
      <c r="R11814"/>
      <c r="W11814" s="4"/>
      <c r="X11814" s="4"/>
      <c r="Y11814" s="4"/>
    </row>
    <row r="11815" spans="5:25">
      <c r="E11815"/>
      <c r="G11815"/>
      <c r="H11815"/>
      <c r="I11815"/>
      <c r="K11815"/>
      <c r="O11815"/>
      <c r="R11815"/>
      <c r="W11815" s="4"/>
      <c r="X11815" s="4"/>
      <c r="Y11815" s="4"/>
    </row>
    <row r="11816" spans="5:25">
      <c r="E11816"/>
      <c r="G11816"/>
      <c r="H11816"/>
      <c r="I11816"/>
      <c r="K11816"/>
      <c r="O11816"/>
      <c r="R11816"/>
      <c r="W11816" s="4"/>
      <c r="X11816" s="4"/>
      <c r="Y11816" s="4"/>
    </row>
    <row r="11817" spans="5:25">
      <c r="E11817"/>
      <c r="G11817"/>
      <c r="H11817"/>
      <c r="I11817"/>
      <c r="K11817"/>
      <c r="O11817"/>
      <c r="R11817"/>
      <c r="W11817" s="4"/>
      <c r="X11817" s="4"/>
      <c r="Y11817" s="4"/>
    </row>
    <row r="11818" spans="5:25">
      <c r="E11818"/>
      <c r="G11818"/>
      <c r="H11818"/>
      <c r="I11818"/>
      <c r="K11818"/>
      <c r="O11818"/>
      <c r="R11818"/>
      <c r="W11818" s="4"/>
      <c r="X11818" s="4"/>
      <c r="Y11818" s="4"/>
    </row>
    <row r="11819" spans="5:25">
      <c r="E11819"/>
      <c r="G11819"/>
      <c r="H11819"/>
      <c r="I11819"/>
      <c r="K11819"/>
      <c r="O11819"/>
      <c r="R11819"/>
      <c r="W11819" s="4"/>
      <c r="X11819" s="4"/>
      <c r="Y11819" s="4"/>
    </row>
    <row r="11820" spans="5:25">
      <c r="E11820"/>
      <c r="G11820"/>
      <c r="H11820"/>
      <c r="I11820"/>
      <c r="K11820"/>
      <c r="O11820"/>
      <c r="R11820"/>
      <c r="W11820" s="4"/>
      <c r="X11820" s="4"/>
      <c r="Y11820" s="4"/>
    </row>
    <row r="11821" spans="5:25">
      <c r="E11821"/>
      <c r="G11821"/>
      <c r="H11821"/>
      <c r="I11821"/>
      <c r="K11821"/>
      <c r="O11821"/>
      <c r="R11821"/>
      <c r="W11821" s="4"/>
      <c r="X11821" s="4"/>
      <c r="Y11821" s="4"/>
    </row>
    <row r="11822" spans="5:25">
      <c r="E11822"/>
      <c r="G11822"/>
      <c r="H11822"/>
      <c r="I11822"/>
      <c r="K11822"/>
      <c r="O11822"/>
      <c r="R11822"/>
      <c r="W11822" s="4"/>
      <c r="X11822" s="4"/>
      <c r="Y11822" s="4"/>
    </row>
    <row r="11823" spans="5:25">
      <c r="E11823"/>
      <c r="G11823"/>
      <c r="H11823"/>
      <c r="I11823"/>
      <c r="K11823"/>
      <c r="O11823"/>
      <c r="R11823"/>
      <c r="W11823" s="4"/>
      <c r="X11823" s="4"/>
      <c r="Y11823" s="4"/>
    </row>
    <row r="11824" spans="5:25">
      <c r="E11824"/>
      <c r="G11824"/>
      <c r="H11824"/>
      <c r="I11824"/>
      <c r="K11824"/>
      <c r="O11824"/>
      <c r="R11824"/>
      <c r="W11824" s="4"/>
      <c r="X11824" s="4"/>
      <c r="Y11824" s="4"/>
    </row>
    <row r="11825" spans="5:25">
      <c r="E11825"/>
      <c r="G11825"/>
      <c r="H11825"/>
      <c r="I11825"/>
      <c r="K11825"/>
      <c r="O11825"/>
      <c r="R11825"/>
      <c r="W11825" s="4"/>
      <c r="X11825" s="4"/>
      <c r="Y11825" s="4"/>
    </row>
    <row r="11826" spans="5:25">
      <c r="E11826"/>
      <c r="G11826"/>
      <c r="H11826"/>
      <c r="I11826"/>
      <c r="K11826"/>
      <c r="O11826"/>
      <c r="R11826"/>
      <c r="W11826" s="4"/>
      <c r="X11826" s="4"/>
      <c r="Y11826" s="4"/>
    </row>
    <row r="11827" spans="5:25">
      <c r="E11827"/>
      <c r="G11827"/>
      <c r="H11827"/>
      <c r="I11827"/>
      <c r="K11827"/>
      <c r="O11827"/>
      <c r="R11827"/>
      <c r="W11827" s="4"/>
      <c r="X11827" s="4"/>
      <c r="Y11827" s="4"/>
    </row>
    <row r="11828" spans="5:25">
      <c r="E11828"/>
      <c r="G11828"/>
      <c r="H11828"/>
      <c r="I11828"/>
      <c r="K11828"/>
      <c r="O11828"/>
      <c r="R11828"/>
      <c r="W11828" s="4"/>
      <c r="X11828" s="4"/>
      <c r="Y11828" s="4"/>
    </row>
    <row r="11829" spans="5:25">
      <c r="E11829"/>
      <c r="G11829"/>
      <c r="H11829"/>
      <c r="I11829"/>
      <c r="K11829"/>
      <c r="O11829"/>
      <c r="R11829"/>
      <c r="W11829" s="4"/>
      <c r="X11829" s="4"/>
      <c r="Y11829" s="4"/>
    </row>
    <row r="11830" spans="5:25">
      <c r="E11830"/>
      <c r="G11830"/>
      <c r="H11830"/>
      <c r="I11830"/>
      <c r="K11830"/>
      <c r="O11830"/>
      <c r="R11830"/>
      <c r="W11830" s="4"/>
      <c r="X11830" s="4"/>
      <c r="Y11830" s="4"/>
    </row>
    <row r="11831" spans="5:25">
      <c r="E11831"/>
      <c r="G11831"/>
      <c r="H11831"/>
      <c r="I11831"/>
      <c r="K11831"/>
      <c r="O11831"/>
      <c r="R11831"/>
      <c r="W11831" s="4"/>
      <c r="X11831" s="4"/>
      <c r="Y11831" s="4"/>
    </row>
    <row r="11832" spans="5:25">
      <c r="E11832"/>
      <c r="G11832"/>
      <c r="H11832"/>
      <c r="I11832"/>
      <c r="K11832"/>
      <c r="O11832"/>
      <c r="R11832"/>
      <c r="W11832" s="4"/>
      <c r="X11832" s="4"/>
      <c r="Y11832" s="4"/>
    </row>
    <row r="11833" spans="5:25">
      <c r="E11833"/>
      <c r="G11833"/>
      <c r="H11833"/>
      <c r="I11833"/>
      <c r="K11833"/>
      <c r="O11833"/>
      <c r="R11833"/>
      <c r="W11833" s="4"/>
      <c r="X11833" s="4"/>
      <c r="Y11833" s="4"/>
    </row>
    <row r="11834" spans="5:25">
      <c r="E11834"/>
      <c r="G11834"/>
      <c r="H11834"/>
      <c r="I11834"/>
      <c r="K11834"/>
      <c r="O11834"/>
      <c r="R11834"/>
      <c r="W11834" s="4"/>
      <c r="X11834" s="4"/>
      <c r="Y11834" s="4"/>
    </row>
    <row r="11835" spans="5:25">
      <c r="E11835"/>
      <c r="G11835"/>
      <c r="H11835"/>
      <c r="I11835"/>
      <c r="K11835"/>
      <c r="O11835"/>
      <c r="R11835"/>
      <c r="W11835" s="4"/>
      <c r="X11835" s="4"/>
      <c r="Y11835" s="4"/>
    </row>
    <row r="11836" spans="5:25">
      <c r="E11836"/>
      <c r="G11836"/>
      <c r="H11836"/>
      <c r="I11836"/>
      <c r="K11836"/>
      <c r="O11836"/>
      <c r="R11836"/>
      <c r="W11836" s="4"/>
      <c r="X11836" s="4"/>
      <c r="Y11836" s="4"/>
    </row>
    <row r="11837" spans="5:25">
      <c r="E11837"/>
      <c r="G11837"/>
      <c r="H11837"/>
      <c r="I11837"/>
      <c r="K11837"/>
      <c r="O11837"/>
      <c r="R11837"/>
      <c r="W11837" s="4"/>
      <c r="X11837" s="4"/>
      <c r="Y11837" s="4"/>
    </row>
    <row r="11838" spans="5:25">
      <c r="E11838"/>
      <c r="G11838"/>
      <c r="H11838"/>
      <c r="I11838"/>
      <c r="K11838"/>
      <c r="O11838"/>
      <c r="R11838"/>
      <c r="W11838" s="4"/>
      <c r="X11838" s="4"/>
      <c r="Y11838" s="4"/>
    </row>
    <row r="11839" spans="5:25">
      <c r="E11839"/>
      <c r="G11839"/>
      <c r="H11839"/>
      <c r="I11839"/>
      <c r="K11839"/>
      <c r="O11839"/>
      <c r="R11839"/>
      <c r="W11839" s="4"/>
      <c r="X11839" s="4"/>
      <c r="Y11839" s="4"/>
    </row>
    <row r="11840" spans="5:25">
      <c r="E11840"/>
      <c r="G11840"/>
      <c r="H11840"/>
      <c r="I11840"/>
      <c r="K11840"/>
      <c r="O11840"/>
      <c r="R11840"/>
      <c r="W11840" s="4"/>
      <c r="X11840" s="4"/>
      <c r="Y11840" s="4"/>
    </row>
    <row r="11841" spans="5:25">
      <c r="E11841"/>
      <c r="G11841"/>
      <c r="H11841"/>
      <c r="I11841"/>
      <c r="K11841"/>
      <c r="O11841"/>
      <c r="R11841"/>
      <c r="W11841" s="4"/>
      <c r="X11841" s="4"/>
      <c r="Y11841" s="4"/>
    </row>
    <row r="11842" spans="5:25">
      <c r="E11842"/>
      <c r="G11842"/>
      <c r="H11842"/>
      <c r="I11842"/>
      <c r="K11842"/>
      <c r="O11842"/>
      <c r="R11842"/>
      <c r="W11842" s="4"/>
      <c r="X11842" s="4"/>
      <c r="Y11842" s="4"/>
    </row>
    <row r="11843" spans="5:25">
      <c r="E11843"/>
      <c r="G11843"/>
      <c r="H11843"/>
      <c r="I11843"/>
      <c r="K11843"/>
      <c r="O11843"/>
      <c r="R11843"/>
      <c r="W11843" s="4"/>
      <c r="X11843" s="4"/>
      <c r="Y11843" s="4"/>
    </row>
    <row r="11844" spans="5:25">
      <c r="E11844"/>
      <c r="G11844"/>
      <c r="H11844"/>
      <c r="I11844"/>
      <c r="K11844"/>
      <c r="O11844"/>
      <c r="R11844"/>
      <c r="W11844" s="4"/>
      <c r="X11844" s="4"/>
      <c r="Y11844" s="4"/>
    </row>
    <row r="11845" spans="5:25">
      <c r="E11845"/>
      <c r="G11845"/>
      <c r="H11845"/>
      <c r="I11845"/>
      <c r="K11845"/>
      <c r="O11845"/>
      <c r="R11845"/>
      <c r="W11845" s="4"/>
      <c r="X11845" s="4"/>
      <c r="Y11845" s="4"/>
    </row>
    <row r="11846" spans="5:25">
      <c r="E11846"/>
      <c r="G11846"/>
      <c r="H11846"/>
      <c r="I11846"/>
      <c r="K11846"/>
      <c r="O11846"/>
      <c r="R11846"/>
      <c r="W11846" s="4"/>
      <c r="X11846" s="4"/>
      <c r="Y11846" s="4"/>
    </row>
    <row r="11847" spans="5:25">
      <c r="E11847"/>
      <c r="G11847"/>
      <c r="H11847"/>
      <c r="I11847"/>
      <c r="K11847"/>
      <c r="O11847"/>
      <c r="R11847"/>
      <c r="W11847" s="4"/>
      <c r="X11847" s="4"/>
      <c r="Y11847" s="4"/>
    </row>
    <row r="11848" spans="5:25">
      <c r="E11848"/>
      <c r="G11848"/>
      <c r="H11848"/>
      <c r="I11848"/>
      <c r="K11848"/>
      <c r="O11848"/>
      <c r="R11848"/>
      <c r="W11848" s="4"/>
      <c r="X11848" s="4"/>
      <c r="Y11848" s="4"/>
    </row>
    <row r="11849" spans="5:25">
      <c r="E11849"/>
      <c r="G11849"/>
      <c r="H11849"/>
      <c r="I11849"/>
      <c r="K11849"/>
      <c r="O11849"/>
      <c r="R11849"/>
      <c r="W11849" s="4"/>
      <c r="X11849" s="4"/>
      <c r="Y11849" s="4"/>
    </row>
    <row r="11850" spans="5:25">
      <c r="E11850"/>
      <c r="G11850"/>
      <c r="H11850"/>
      <c r="I11850"/>
      <c r="K11850"/>
      <c r="O11850"/>
      <c r="R11850"/>
      <c r="W11850" s="4"/>
      <c r="X11850" s="4"/>
      <c r="Y11850" s="4"/>
    </row>
    <row r="11851" spans="5:25">
      <c r="E11851"/>
      <c r="G11851"/>
      <c r="H11851"/>
      <c r="I11851"/>
      <c r="K11851"/>
      <c r="O11851"/>
      <c r="R11851"/>
      <c r="W11851" s="4"/>
      <c r="X11851" s="4"/>
      <c r="Y11851" s="4"/>
    </row>
    <row r="11852" spans="5:25">
      <c r="E11852"/>
      <c r="G11852"/>
      <c r="H11852"/>
      <c r="I11852"/>
      <c r="K11852"/>
      <c r="O11852"/>
      <c r="R11852"/>
      <c r="W11852" s="4"/>
      <c r="X11852" s="4"/>
      <c r="Y11852" s="4"/>
    </row>
    <row r="11853" spans="5:25">
      <c r="E11853"/>
      <c r="G11853"/>
      <c r="H11853"/>
      <c r="I11853"/>
      <c r="K11853"/>
      <c r="O11853"/>
      <c r="R11853"/>
      <c r="W11853" s="4"/>
      <c r="X11853" s="4"/>
      <c r="Y11853" s="4"/>
    </row>
    <row r="11854" spans="5:25">
      <c r="E11854"/>
      <c r="G11854"/>
      <c r="H11854"/>
      <c r="I11854"/>
      <c r="K11854"/>
      <c r="O11854"/>
      <c r="R11854"/>
      <c r="W11854" s="4"/>
      <c r="X11854" s="4"/>
      <c r="Y11854" s="4"/>
    </row>
    <row r="11855" spans="5:25">
      <c r="E11855"/>
      <c r="G11855"/>
      <c r="H11855"/>
      <c r="I11855"/>
      <c r="K11855"/>
      <c r="O11855"/>
      <c r="R11855"/>
      <c r="W11855" s="4"/>
      <c r="X11855" s="4"/>
      <c r="Y11855" s="4"/>
    </row>
    <row r="11856" spans="5:25">
      <c r="E11856"/>
      <c r="G11856"/>
      <c r="H11856"/>
      <c r="I11856"/>
      <c r="K11856"/>
      <c r="O11856"/>
      <c r="R11856"/>
      <c r="W11856" s="4"/>
      <c r="X11856" s="4"/>
      <c r="Y11856" s="4"/>
    </row>
    <row r="11857" spans="5:25">
      <c r="E11857"/>
      <c r="G11857"/>
      <c r="H11857"/>
      <c r="I11857"/>
      <c r="K11857"/>
      <c r="O11857"/>
      <c r="R11857"/>
      <c r="W11857" s="4"/>
      <c r="X11857" s="4"/>
      <c r="Y11857" s="4"/>
    </row>
    <row r="11858" spans="5:25">
      <c r="E11858"/>
      <c r="G11858"/>
      <c r="H11858"/>
      <c r="I11858"/>
      <c r="K11858"/>
      <c r="O11858"/>
      <c r="R11858"/>
      <c r="W11858" s="4"/>
      <c r="X11858" s="4"/>
      <c r="Y11858" s="4"/>
    </row>
    <row r="11859" spans="5:25">
      <c r="E11859"/>
      <c r="G11859"/>
      <c r="H11859"/>
      <c r="I11859"/>
      <c r="K11859"/>
      <c r="O11859"/>
      <c r="R11859"/>
      <c r="W11859" s="4"/>
      <c r="X11859" s="4"/>
      <c r="Y11859" s="4"/>
    </row>
    <row r="11860" spans="5:25">
      <c r="E11860"/>
      <c r="G11860"/>
      <c r="H11860"/>
      <c r="I11860"/>
      <c r="K11860"/>
      <c r="O11860"/>
      <c r="R11860"/>
      <c r="W11860" s="4"/>
      <c r="X11860" s="4"/>
      <c r="Y11860" s="4"/>
    </row>
    <row r="11861" spans="5:25">
      <c r="E11861"/>
      <c r="G11861"/>
      <c r="H11861"/>
      <c r="I11861"/>
      <c r="K11861"/>
      <c r="O11861"/>
      <c r="R11861"/>
      <c r="W11861" s="4"/>
      <c r="X11861" s="4"/>
      <c r="Y11861" s="4"/>
    </row>
    <row r="11862" spans="5:25">
      <c r="E11862"/>
      <c r="G11862"/>
      <c r="H11862"/>
      <c r="I11862"/>
      <c r="K11862"/>
      <c r="O11862"/>
      <c r="R11862"/>
      <c r="W11862" s="4"/>
      <c r="X11862" s="4"/>
      <c r="Y11862" s="4"/>
    </row>
    <row r="11863" spans="5:25">
      <c r="E11863"/>
      <c r="G11863"/>
      <c r="H11863"/>
      <c r="I11863"/>
      <c r="K11863"/>
      <c r="O11863"/>
      <c r="R11863"/>
      <c r="W11863" s="4"/>
      <c r="X11863" s="4"/>
      <c r="Y11863" s="4"/>
    </row>
    <row r="11864" spans="5:25">
      <c r="E11864"/>
      <c r="G11864"/>
      <c r="H11864"/>
      <c r="I11864"/>
      <c r="K11864"/>
      <c r="O11864"/>
      <c r="R11864"/>
      <c r="W11864" s="4"/>
      <c r="X11864" s="4"/>
      <c r="Y11864" s="4"/>
    </row>
    <row r="11865" spans="5:25">
      <c r="E11865"/>
      <c r="G11865"/>
      <c r="H11865"/>
      <c r="I11865"/>
      <c r="K11865"/>
      <c r="O11865"/>
      <c r="R11865"/>
      <c r="W11865" s="4"/>
      <c r="X11865" s="4"/>
      <c r="Y11865" s="4"/>
    </row>
    <row r="11866" spans="5:25">
      <c r="E11866"/>
      <c r="G11866"/>
      <c r="H11866"/>
      <c r="I11866"/>
      <c r="K11866"/>
      <c r="O11866"/>
      <c r="R11866"/>
      <c r="W11866" s="4"/>
      <c r="X11866" s="4"/>
      <c r="Y11866" s="4"/>
    </row>
    <row r="11867" spans="5:25">
      <c r="E11867"/>
      <c r="G11867"/>
      <c r="H11867"/>
      <c r="I11867"/>
      <c r="K11867"/>
      <c r="O11867"/>
      <c r="R11867"/>
      <c r="W11867" s="4"/>
      <c r="X11867" s="4"/>
      <c r="Y11867" s="4"/>
    </row>
    <row r="11868" spans="5:25">
      <c r="E11868"/>
      <c r="G11868"/>
      <c r="H11868"/>
      <c r="I11868"/>
      <c r="K11868"/>
      <c r="O11868"/>
      <c r="R11868"/>
      <c r="W11868" s="4"/>
      <c r="X11868" s="4"/>
      <c r="Y11868" s="4"/>
    </row>
    <row r="11869" spans="5:25">
      <c r="E11869"/>
      <c r="G11869"/>
      <c r="H11869"/>
      <c r="I11869"/>
      <c r="K11869"/>
      <c r="O11869"/>
      <c r="R11869"/>
      <c r="W11869" s="4"/>
      <c r="X11869" s="4"/>
      <c r="Y11869" s="4"/>
    </row>
    <row r="11870" spans="5:25">
      <c r="E11870"/>
      <c r="G11870"/>
      <c r="H11870"/>
      <c r="I11870"/>
      <c r="K11870"/>
      <c r="O11870"/>
      <c r="R11870"/>
      <c r="W11870" s="4"/>
      <c r="X11870" s="4"/>
      <c r="Y11870" s="4"/>
    </row>
    <row r="11871" spans="5:25">
      <c r="E11871"/>
      <c r="G11871"/>
      <c r="H11871"/>
      <c r="I11871"/>
      <c r="K11871"/>
      <c r="O11871"/>
      <c r="R11871"/>
      <c r="W11871" s="4"/>
      <c r="X11871" s="4"/>
      <c r="Y11871" s="4"/>
    </row>
    <row r="11872" spans="5:25">
      <c r="E11872"/>
      <c r="G11872"/>
      <c r="H11872"/>
      <c r="I11872"/>
      <c r="K11872"/>
      <c r="O11872"/>
      <c r="R11872"/>
      <c r="W11872" s="4"/>
      <c r="X11872" s="4"/>
      <c r="Y11872" s="4"/>
    </row>
    <row r="11873" spans="5:25">
      <c r="E11873"/>
      <c r="G11873"/>
      <c r="H11873"/>
      <c r="I11873"/>
      <c r="K11873"/>
      <c r="O11873"/>
      <c r="R11873"/>
      <c r="W11873" s="4"/>
      <c r="X11873" s="4"/>
      <c r="Y11873" s="4"/>
    </row>
    <row r="11874" spans="5:25">
      <c r="E11874"/>
      <c r="G11874"/>
      <c r="H11874"/>
      <c r="I11874"/>
      <c r="K11874"/>
      <c r="O11874"/>
      <c r="R11874"/>
      <c r="W11874" s="4"/>
      <c r="X11874" s="4"/>
      <c r="Y11874" s="4"/>
    </row>
    <row r="11875" spans="5:25">
      <c r="E11875"/>
      <c r="G11875"/>
      <c r="H11875"/>
      <c r="I11875"/>
      <c r="K11875"/>
      <c r="O11875"/>
      <c r="R11875"/>
      <c r="W11875" s="4"/>
      <c r="X11875" s="4"/>
      <c r="Y11875" s="4"/>
    </row>
    <row r="11876" spans="5:25">
      <c r="E11876"/>
      <c r="G11876"/>
      <c r="H11876"/>
      <c r="I11876"/>
      <c r="K11876"/>
      <c r="O11876"/>
      <c r="R11876"/>
      <c r="W11876" s="4"/>
      <c r="X11876" s="4"/>
      <c r="Y11876" s="4"/>
    </row>
    <row r="11877" spans="5:25">
      <c r="E11877"/>
      <c r="G11877"/>
      <c r="H11877"/>
      <c r="I11877"/>
      <c r="K11877"/>
      <c r="O11877"/>
      <c r="R11877"/>
      <c r="W11877" s="4"/>
      <c r="X11877" s="4"/>
      <c r="Y11877" s="4"/>
    </row>
    <row r="11878" spans="5:25">
      <c r="E11878"/>
      <c r="G11878"/>
      <c r="H11878"/>
      <c r="I11878"/>
      <c r="K11878"/>
      <c r="O11878"/>
      <c r="R11878"/>
      <c r="W11878" s="4"/>
      <c r="X11878" s="4"/>
      <c r="Y11878" s="4"/>
    </row>
    <row r="11879" spans="5:25">
      <c r="E11879"/>
      <c r="G11879"/>
      <c r="H11879"/>
      <c r="I11879"/>
      <c r="K11879"/>
      <c r="O11879"/>
      <c r="R11879"/>
      <c r="W11879" s="4"/>
      <c r="X11879" s="4"/>
      <c r="Y11879" s="4"/>
    </row>
    <row r="11880" spans="5:25">
      <c r="E11880"/>
      <c r="G11880"/>
      <c r="H11880"/>
      <c r="I11880"/>
      <c r="K11880"/>
      <c r="O11880"/>
      <c r="R11880"/>
      <c r="W11880" s="4"/>
      <c r="X11880" s="4"/>
      <c r="Y11880" s="4"/>
    </row>
    <row r="11881" spans="5:25">
      <c r="E11881"/>
      <c r="G11881"/>
      <c r="H11881"/>
      <c r="I11881"/>
      <c r="K11881"/>
      <c r="O11881"/>
      <c r="R11881"/>
      <c r="W11881" s="4"/>
      <c r="X11881" s="4"/>
      <c r="Y11881" s="4"/>
    </row>
    <row r="11882" spans="5:25">
      <c r="E11882"/>
      <c r="G11882"/>
      <c r="H11882"/>
      <c r="I11882"/>
      <c r="K11882"/>
      <c r="O11882"/>
      <c r="R11882"/>
      <c r="W11882" s="4"/>
      <c r="X11882" s="4"/>
      <c r="Y11882" s="4"/>
    </row>
    <row r="11883" spans="5:25">
      <c r="E11883"/>
      <c r="G11883"/>
      <c r="H11883"/>
      <c r="I11883"/>
      <c r="K11883"/>
      <c r="O11883"/>
      <c r="R11883"/>
      <c r="W11883" s="4"/>
      <c r="X11883" s="4"/>
      <c r="Y11883" s="4"/>
    </row>
    <row r="11884" spans="5:25">
      <c r="E11884"/>
      <c r="G11884"/>
      <c r="H11884"/>
      <c r="I11884"/>
      <c r="K11884"/>
      <c r="O11884"/>
      <c r="R11884"/>
      <c r="W11884" s="4"/>
      <c r="X11884" s="4"/>
      <c r="Y11884" s="4"/>
    </row>
    <row r="11885" spans="5:25">
      <c r="E11885"/>
      <c r="G11885"/>
      <c r="H11885"/>
      <c r="I11885"/>
      <c r="K11885"/>
      <c r="O11885"/>
      <c r="R11885"/>
      <c r="W11885" s="4"/>
      <c r="X11885" s="4"/>
      <c r="Y11885" s="4"/>
    </row>
    <row r="11886" spans="5:25">
      <c r="E11886"/>
      <c r="G11886"/>
      <c r="H11886"/>
      <c r="I11886"/>
      <c r="K11886"/>
      <c r="O11886"/>
      <c r="R11886"/>
      <c r="W11886" s="4"/>
      <c r="X11886" s="4"/>
      <c r="Y11886" s="4"/>
    </row>
    <row r="11887" spans="5:25">
      <c r="E11887"/>
      <c r="G11887"/>
      <c r="H11887"/>
      <c r="I11887"/>
      <c r="K11887"/>
      <c r="O11887"/>
      <c r="R11887"/>
      <c r="W11887" s="4"/>
      <c r="X11887" s="4"/>
      <c r="Y11887" s="4"/>
    </row>
    <row r="11888" spans="5:25">
      <c r="E11888"/>
      <c r="G11888"/>
      <c r="H11888"/>
      <c r="I11888"/>
      <c r="K11888"/>
      <c r="O11888"/>
      <c r="R11888"/>
      <c r="W11888" s="4"/>
      <c r="X11888" s="4"/>
      <c r="Y11888" s="4"/>
    </row>
    <row r="11889" spans="5:25">
      <c r="E11889"/>
      <c r="G11889"/>
      <c r="H11889"/>
      <c r="I11889"/>
      <c r="K11889"/>
      <c r="O11889"/>
      <c r="R11889"/>
      <c r="W11889" s="4"/>
      <c r="X11889" s="4"/>
      <c r="Y11889" s="4"/>
    </row>
    <row r="11890" spans="5:25">
      <c r="E11890"/>
      <c r="G11890"/>
      <c r="H11890"/>
      <c r="I11890"/>
      <c r="K11890"/>
      <c r="O11890"/>
      <c r="R11890"/>
      <c r="W11890" s="4"/>
      <c r="X11890" s="4"/>
      <c r="Y11890" s="4"/>
    </row>
    <row r="11891" spans="5:25">
      <c r="E11891"/>
      <c r="G11891"/>
      <c r="H11891"/>
      <c r="I11891"/>
      <c r="K11891"/>
      <c r="O11891"/>
      <c r="R11891"/>
      <c r="W11891" s="4"/>
      <c r="X11891" s="4"/>
      <c r="Y11891" s="4"/>
    </row>
    <row r="11892" spans="5:25">
      <c r="E11892"/>
      <c r="G11892"/>
      <c r="H11892"/>
      <c r="I11892"/>
      <c r="K11892"/>
      <c r="O11892"/>
      <c r="R11892"/>
      <c r="W11892" s="4"/>
      <c r="X11892" s="4"/>
      <c r="Y11892" s="4"/>
    </row>
    <row r="11893" spans="5:25">
      <c r="E11893"/>
      <c r="G11893"/>
      <c r="H11893"/>
      <c r="I11893"/>
      <c r="K11893"/>
      <c r="O11893"/>
      <c r="R11893"/>
      <c r="W11893" s="4"/>
      <c r="X11893" s="4"/>
      <c r="Y11893" s="4"/>
    </row>
    <row r="11894" spans="5:25">
      <c r="E11894"/>
      <c r="G11894"/>
      <c r="H11894"/>
      <c r="I11894"/>
      <c r="K11894"/>
      <c r="O11894"/>
      <c r="R11894"/>
      <c r="W11894" s="4"/>
      <c r="X11894" s="4"/>
      <c r="Y11894" s="4"/>
    </row>
    <row r="11895" spans="5:25">
      <c r="E11895"/>
      <c r="G11895"/>
      <c r="H11895"/>
      <c r="I11895"/>
      <c r="K11895"/>
      <c r="O11895"/>
      <c r="R11895"/>
      <c r="W11895" s="4"/>
      <c r="X11895" s="4"/>
      <c r="Y11895" s="4"/>
    </row>
    <row r="11896" spans="5:25">
      <c r="E11896"/>
      <c r="G11896"/>
      <c r="H11896"/>
      <c r="I11896"/>
      <c r="K11896"/>
      <c r="O11896"/>
      <c r="R11896"/>
      <c r="W11896" s="4"/>
      <c r="X11896" s="4"/>
      <c r="Y11896" s="4"/>
    </row>
    <row r="11897" spans="5:25">
      <c r="E11897"/>
      <c r="G11897"/>
      <c r="H11897"/>
      <c r="I11897"/>
      <c r="K11897"/>
      <c r="O11897"/>
      <c r="R11897"/>
      <c r="W11897" s="4"/>
      <c r="X11897" s="4"/>
      <c r="Y11897" s="4"/>
    </row>
    <row r="11898" spans="5:25">
      <c r="E11898"/>
      <c r="G11898"/>
      <c r="H11898"/>
      <c r="I11898"/>
      <c r="K11898"/>
      <c r="O11898"/>
      <c r="R11898"/>
      <c r="W11898" s="4"/>
      <c r="X11898" s="4"/>
      <c r="Y11898" s="4"/>
    </row>
    <row r="11899" spans="5:25">
      <c r="E11899"/>
      <c r="G11899"/>
      <c r="H11899"/>
      <c r="I11899"/>
      <c r="K11899"/>
      <c r="O11899"/>
      <c r="R11899"/>
      <c r="W11899" s="4"/>
      <c r="X11899" s="4"/>
      <c r="Y11899" s="4"/>
    </row>
    <row r="11900" spans="5:25">
      <c r="E11900"/>
      <c r="G11900"/>
      <c r="H11900"/>
      <c r="I11900"/>
      <c r="K11900"/>
      <c r="O11900"/>
      <c r="R11900"/>
      <c r="W11900" s="4"/>
      <c r="X11900" s="4"/>
      <c r="Y11900" s="4"/>
    </row>
    <row r="11901" spans="5:25">
      <c r="E11901"/>
      <c r="G11901"/>
      <c r="H11901"/>
      <c r="I11901"/>
      <c r="K11901"/>
      <c r="O11901"/>
      <c r="R11901"/>
      <c r="W11901" s="4"/>
      <c r="X11901" s="4"/>
      <c r="Y11901" s="4"/>
    </row>
    <row r="11902" spans="5:25">
      <c r="E11902"/>
      <c r="G11902"/>
      <c r="H11902"/>
      <c r="I11902"/>
      <c r="K11902"/>
      <c r="O11902"/>
      <c r="R11902"/>
      <c r="W11902" s="4"/>
      <c r="X11902" s="4"/>
      <c r="Y11902" s="4"/>
    </row>
    <row r="11903" spans="5:25">
      <c r="E11903"/>
      <c r="G11903"/>
      <c r="H11903"/>
      <c r="I11903"/>
      <c r="K11903"/>
      <c r="O11903"/>
      <c r="R11903"/>
      <c r="W11903" s="4"/>
      <c r="X11903" s="4"/>
      <c r="Y11903" s="4"/>
    </row>
    <row r="11904" spans="5:25">
      <c r="E11904"/>
      <c r="G11904"/>
      <c r="H11904"/>
      <c r="I11904"/>
      <c r="K11904"/>
      <c r="O11904"/>
      <c r="R11904"/>
      <c r="W11904" s="4"/>
      <c r="X11904" s="4"/>
      <c r="Y11904" s="4"/>
    </row>
    <row r="11905" spans="5:25">
      <c r="E11905"/>
      <c r="G11905"/>
      <c r="H11905"/>
      <c r="I11905"/>
      <c r="K11905"/>
      <c r="O11905"/>
      <c r="R11905"/>
      <c r="W11905" s="4"/>
      <c r="X11905" s="4"/>
      <c r="Y11905" s="4"/>
    </row>
    <row r="11906" spans="5:25">
      <c r="E11906"/>
      <c r="G11906"/>
      <c r="H11906"/>
      <c r="I11906"/>
      <c r="K11906"/>
      <c r="O11906"/>
      <c r="R11906"/>
      <c r="W11906" s="4"/>
      <c r="X11906" s="4"/>
      <c r="Y11906" s="4"/>
    </row>
    <row r="11907" spans="5:25">
      <c r="E11907"/>
      <c r="G11907"/>
      <c r="H11907"/>
      <c r="I11907"/>
      <c r="K11907"/>
      <c r="O11907"/>
      <c r="R11907"/>
      <c r="W11907" s="4"/>
      <c r="X11907" s="4"/>
      <c r="Y11907" s="4"/>
    </row>
    <row r="11908" spans="5:25">
      <c r="E11908"/>
      <c r="G11908"/>
      <c r="H11908"/>
      <c r="I11908"/>
      <c r="K11908"/>
      <c r="O11908"/>
      <c r="R11908"/>
      <c r="W11908" s="4"/>
      <c r="X11908" s="4"/>
      <c r="Y11908" s="4"/>
    </row>
    <row r="11909" spans="5:25">
      <c r="E11909"/>
      <c r="G11909"/>
      <c r="H11909"/>
      <c r="I11909"/>
      <c r="K11909"/>
      <c r="O11909"/>
      <c r="R11909"/>
      <c r="W11909" s="4"/>
      <c r="X11909" s="4"/>
      <c r="Y11909" s="4"/>
    </row>
    <row r="11910" spans="5:25">
      <c r="E11910"/>
      <c r="G11910"/>
      <c r="H11910"/>
      <c r="I11910"/>
      <c r="K11910"/>
      <c r="O11910"/>
      <c r="R11910"/>
      <c r="W11910" s="4"/>
      <c r="X11910" s="4"/>
      <c r="Y11910" s="4"/>
    </row>
    <row r="11911" spans="5:25">
      <c r="E11911"/>
      <c r="G11911"/>
      <c r="H11911"/>
      <c r="I11911"/>
      <c r="K11911"/>
      <c r="O11911"/>
      <c r="R11911"/>
      <c r="W11911" s="4"/>
      <c r="X11911" s="4"/>
      <c r="Y11911" s="4"/>
    </row>
    <row r="11912" spans="5:25">
      <c r="E11912"/>
      <c r="G11912"/>
      <c r="H11912"/>
      <c r="I11912"/>
      <c r="K11912"/>
      <c r="O11912"/>
      <c r="R11912"/>
      <c r="W11912" s="4"/>
      <c r="X11912" s="4"/>
      <c r="Y11912" s="4"/>
    </row>
    <row r="11913" spans="5:25">
      <c r="E11913"/>
      <c r="G11913"/>
      <c r="H11913"/>
      <c r="I11913"/>
      <c r="K11913"/>
      <c r="O11913"/>
      <c r="R11913"/>
      <c r="W11913" s="4"/>
      <c r="X11913" s="4"/>
      <c r="Y11913" s="4"/>
    </row>
    <row r="11914" spans="5:25">
      <c r="E11914"/>
      <c r="G11914"/>
      <c r="H11914"/>
      <c r="I11914"/>
      <c r="K11914"/>
      <c r="O11914"/>
      <c r="R11914"/>
      <c r="W11914" s="4"/>
      <c r="X11914" s="4"/>
      <c r="Y11914" s="4"/>
    </row>
    <row r="11915" spans="5:25">
      <c r="E11915"/>
      <c r="G11915"/>
      <c r="H11915"/>
      <c r="I11915"/>
      <c r="K11915"/>
      <c r="O11915"/>
      <c r="R11915"/>
      <c r="W11915" s="4"/>
      <c r="X11915" s="4"/>
      <c r="Y11915" s="4"/>
    </row>
    <row r="11916" spans="5:25">
      <c r="E11916"/>
      <c r="G11916"/>
      <c r="H11916"/>
      <c r="I11916"/>
      <c r="K11916"/>
      <c r="O11916"/>
      <c r="R11916"/>
      <c r="W11916" s="4"/>
      <c r="X11916" s="4"/>
      <c r="Y11916" s="4"/>
    </row>
    <row r="11917" spans="5:25">
      <c r="E11917"/>
      <c r="G11917"/>
      <c r="H11917"/>
      <c r="I11917"/>
      <c r="K11917"/>
      <c r="O11917"/>
      <c r="R11917"/>
      <c r="W11917" s="4"/>
      <c r="X11917" s="4"/>
      <c r="Y11917" s="4"/>
    </row>
    <row r="11918" spans="5:25">
      <c r="E11918"/>
      <c r="G11918"/>
      <c r="H11918"/>
      <c r="I11918"/>
      <c r="K11918"/>
      <c r="O11918"/>
      <c r="R11918"/>
      <c r="W11918" s="4"/>
      <c r="X11918" s="4"/>
      <c r="Y11918" s="4"/>
    </row>
    <row r="11919" spans="5:25">
      <c r="E11919"/>
      <c r="G11919"/>
      <c r="H11919"/>
      <c r="I11919"/>
      <c r="K11919"/>
      <c r="O11919"/>
      <c r="R11919"/>
      <c r="W11919" s="4"/>
      <c r="X11919" s="4"/>
      <c r="Y11919" s="4"/>
    </row>
    <row r="11920" spans="5:25">
      <c r="E11920"/>
      <c r="G11920"/>
      <c r="H11920"/>
      <c r="I11920"/>
      <c r="K11920"/>
      <c r="O11920"/>
      <c r="R11920"/>
      <c r="W11920" s="4"/>
      <c r="X11920" s="4"/>
      <c r="Y11920" s="4"/>
    </row>
    <row r="11921" spans="5:25">
      <c r="E11921"/>
      <c r="G11921"/>
      <c r="H11921"/>
      <c r="I11921"/>
      <c r="K11921"/>
      <c r="O11921"/>
      <c r="R11921"/>
      <c r="W11921" s="4"/>
      <c r="X11921" s="4"/>
      <c r="Y11921" s="4"/>
    </row>
    <row r="11922" spans="5:25">
      <c r="E11922"/>
      <c r="G11922"/>
      <c r="H11922"/>
      <c r="I11922"/>
      <c r="K11922"/>
      <c r="O11922"/>
      <c r="R11922"/>
      <c r="W11922" s="4"/>
      <c r="X11922" s="4"/>
      <c r="Y11922" s="4"/>
    </row>
    <row r="11923" spans="5:25">
      <c r="E11923"/>
      <c r="G11923"/>
      <c r="H11923"/>
      <c r="I11923"/>
      <c r="K11923"/>
      <c r="O11923"/>
      <c r="R11923"/>
      <c r="W11923" s="4"/>
      <c r="X11923" s="4"/>
      <c r="Y11923" s="4"/>
    </row>
    <row r="11924" spans="5:25">
      <c r="E11924"/>
      <c r="G11924"/>
      <c r="H11924"/>
      <c r="I11924"/>
      <c r="K11924"/>
      <c r="O11924"/>
      <c r="R11924"/>
      <c r="W11924" s="4"/>
      <c r="X11924" s="4"/>
      <c r="Y11924" s="4"/>
    </row>
    <row r="11925" spans="5:25">
      <c r="E11925"/>
      <c r="G11925"/>
      <c r="H11925"/>
      <c r="I11925"/>
      <c r="K11925"/>
      <c r="O11925"/>
      <c r="R11925"/>
      <c r="W11925" s="4"/>
      <c r="X11925" s="4"/>
      <c r="Y11925" s="4"/>
    </row>
    <row r="11926" spans="5:25">
      <c r="E11926"/>
      <c r="G11926"/>
      <c r="H11926"/>
      <c r="I11926"/>
      <c r="K11926"/>
      <c r="O11926"/>
      <c r="R11926"/>
      <c r="W11926" s="4"/>
      <c r="X11926" s="4"/>
      <c r="Y11926" s="4"/>
    </row>
    <row r="11927" spans="5:25">
      <c r="E11927"/>
      <c r="G11927"/>
      <c r="H11927"/>
      <c r="I11927"/>
      <c r="K11927"/>
      <c r="O11927"/>
      <c r="R11927"/>
      <c r="W11927" s="4"/>
      <c r="X11927" s="4"/>
      <c r="Y11927" s="4"/>
    </row>
    <row r="11928" spans="5:25">
      <c r="E11928"/>
      <c r="G11928"/>
      <c r="H11928"/>
      <c r="I11928"/>
      <c r="K11928"/>
      <c r="O11928"/>
      <c r="R11928"/>
      <c r="W11928" s="4"/>
      <c r="X11928" s="4"/>
      <c r="Y11928" s="4"/>
    </row>
    <row r="11929" spans="5:25">
      <c r="E11929"/>
      <c r="G11929"/>
      <c r="H11929"/>
      <c r="I11929"/>
      <c r="K11929"/>
      <c r="O11929"/>
      <c r="R11929"/>
      <c r="W11929" s="4"/>
      <c r="X11929" s="4"/>
      <c r="Y11929" s="4"/>
    </row>
    <row r="11930" spans="5:25">
      <c r="E11930"/>
      <c r="G11930"/>
      <c r="H11930"/>
      <c r="I11930"/>
      <c r="K11930"/>
      <c r="O11930"/>
      <c r="R11930"/>
      <c r="W11930" s="4"/>
      <c r="X11930" s="4"/>
      <c r="Y11930" s="4"/>
    </row>
    <row r="11931" spans="5:25">
      <c r="E11931"/>
      <c r="G11931"/>
      <c r="H11931"/>
      <c r="I11931"/>
      <c r="K11931"/>
      <c r="O11931"/>
      <c r="R11931"/>
      <c r="W11931" s="4"/>
      <c r="X11931" s="4"/>
      <c r="Y11931" s="4"/>
    </row>
    <row r="11932" spans="5:25">
      <c r="E11932"/>
      <c r="G11932"/>
      <c r="H11932"/>
      <c r="I11932"/>
      <c r="K11932"/>
      <c r="O11932"/>
      <c r="R11932"/>
      <c r="W11932" s="4"/>
      <c r="X11932" s="4"/>
      <c r="Y11932" s="4"/>
    </row>
    <row r="11933" spans="5:25">
      <c r="E11933"/>
      <c r="G11933"/>
      <c r="H11933"/>
      <c r="I11933"/>
      <c r="K11933"/>
      <c r="O11933"/>
      <c r="R11933"/>
      <c r="W11933" s="4"/>
      <c r="X11933" s="4"/>
      <c r="Y11933" s="4"/>
    </row>
    <row r="11934" spans="5:25">
      <c r="E11934"/>
      <c r="G11934"/>
      <c r="H11934"/>
      <c r="I11934"/>
      <c r="K11934"/>
      <c r="O11934"/>
      <c r="R11934"/>
      <c r="W11934" s="4"/>
      <c r="X11934" s="4"/>
      <c r="Y11934" s="4"/>
    </row>
    <row r="11935" spans="5:25">
      <c r="E11935"/>
      <c r="G11935"/>
      <c r="H11935"/>
      <c r="I11935"/>
      <c r="K11935"/>
      <c r="O11935"/>
      <c r="R11935"/>
      <c r="W11935" s="4"/>
      <c r="X11935" s="4"/>
      <c r="Y11935" s="4"/>
    </row>
    <row r="11936" spans="5:25">
      <c r="E11936"/>
      <c r="G11936"/>
      <c r="H11936"/>
      <c r="I11936"/>
      <c r="K11936"/>
      <c r="O11936"/>
      <c r="R11936"/>
      <c r="W11936" s="4"/>
      <c r="X11936" s="4"/>
      <c r="Y11936" s="4"/>
    </row>
    <row r="11937" spans="5:25">
      <c r="E11937"/>
      <c r="G11937"/>
      <c r="H11937"/>
      <c r="I11937"/>
      <c r="K11937"/>
      <c r="O11937"/>
      <c r="R11937"/>
      <c r="W11937" s="4"/>
      <c r="X11937" s="4"/>
      <c r="Y11937" s="4"/>
    </row>
    <row r="11938" spans="5:25">
      <c r="E11938"/>
      <c r="G11938"/>
      <c r="H11938"/>
      <c r="I11938"/>
      <c r="K11938"/>
      <c r="O11938"/>
      <c r="R11938"/>
      <c r="W11938" s="4"/>
      <c r="X11938" s="4"/>
      <c r="Y11938" s="4"/>
    </row>
    <row r="11939" spans="5:25">
      <c r="E11939"/>
      <c r="G11939"/>
      <c r="H11939"/>
      <c r="I11939"/>
      <c r="K11939"/>
      <c r="O11939"/>
      <c r="R11939"/>
      <c r="W11939" s="4"/>
      <c r="X11939" s="4"/>
      <c r="Y11939" s="4"/>
    </row>
    <row r="11940" spans="5:25">
      <c r="E11940"/>
      <c r="G11940"/>
      <c r="H11940"/>
      <c r="I11940"/>
      <c r="K11940"/>
      <c r="O11940"/>
      <c r="R11940"/>
      <c r="W11940" s="4"/>
      <c r="X11940" s="4"/>
      <c r="Y11940" s="4"/>
    </row>
    <row r="11941" spans="5:25">
      <c r="E11941"/>
      <c r="G11941"/>
      <c r="H11941"/>
      <c r="I11941"/>
      <c r="K11941"/>
      <c r="O11941"/>
      <c r="R11941"/>
      <c r="W11941" s="4"/>
      <c r="X11941" s="4"/>
      <c r="Y11941" s="4"/>
    </row>
    <row r="11942" spans="5:25">
      <c r="E11942"/>
      <c r="G11942"/>
      <c r="H11942"/>
      <c r="I11942"/>
      <c r="K11942"/>
      <c r="O11942"/>
      <c r="R11942"/>
      <c r="W11942" s="4"/>
      <c r="X11942" s="4"/>
      <c r="Y11942" s="4"/>
    </row>
    <row r="11943" spans="5:25">
      <c r="E11943"/>
      <c r="G11943"/>
      <c r="H11943"/>
      <c r="I11943"/>
      <c r="K11943"/>
      <c r="O11943"/>
      <c r="R11943"/>
      <c r="W11943" s="4"/>
      <c r="X11943" s="4"/>
      <c r="Y11943" s="4"/>
    </row>
    <row r="11944" spans="5:25">
      <c r="E11944"/>
      <c r="G11944"/>
      <c r="H11944"/>
      <c r="I11944"/>
      <c r="K11944"/>
      <c r="O11944"/>
      <c r="R11944"/>
      <c r="W11944" s="4"/>
      <c r="X11944" s="4"/>
      <c r="Y11944" s="4"/>
    </row>
    <row r="11945" spans="5:25">
      <c r="E11945"/>
      <c r="G11945"/>
      <c r="H11945"/>
      <c r="I11945"/>
      <c r="K11945"/>
      <c r="O11945"/>
      <c r="R11945"/>
      <c r="W11945" s="4"/>
      <c r="X11945" s="4"/>
      <c r="Y11945" s="4"/>
    </row>
    <row r="11946" spans="5:25">
      <c r="E11946"/>
      <c r="G11946"/>
      <c r="H11946"/>
      <c r="I11946"/>
      <c r="K11946"/>
      <c r="O11946"/>
      <c r="R11946"/>
      <c r="W11946" s="4"/>
      <c r="X11946" s="4"/>
      <c r="Y11946" s="4"/>
    </row>
    <row r="11947" spans="5:25">
      <c r="E11947"/>
      <c r="G11947"/>
      <c r="H11947"/>
      <c r="I11947"/>
      <c r="K11947"/>
      <c r="O11947"/>
      <c r="R11947"/>
      <c r="W11947" s="4"/>
      <c r="X11947" s="4"/>
      <c r="Y11947" s="4"/>
    </row>
    <row r="11948" spans="5:25">
      <c r="E11948"/>
      <c r="G11948"/>
      <c r="H11948"/>
      <c r="I11948"/>
      <c r="K11948"/>
      <c r="O11948"/>
      <c r="R11948"/>
      <c r="W11948" s="4"/>
      <c r="X11948" s="4"/>
      <c r="Y11948" s="4"/>
    </row>
    <row r="11949" spans="5:25">
      <c r="E11949"/>
      <c r="G11949"/>
      <c r="H11949"/>
      <c r="I11949"/>
      <c r="K11949"/>
      <c r="O11949"/>
      <c r="R11949"/>
      <c r="W11949" s="4"/>
      <c r="X11949" s="4"/>
      <c r="Y11949" s="4"/>
    </row>
    <row r="11950" spans="5:25">
      <c r="E11950"/>
      <c r="G11950"/>
      <c r="H11950"/>
      <c r="I11950"/>
      <c r="K11950"/>
      <c r="O11950"/>
      <c r="R11950"/>
      <c r="W11950" s="4"/>
      <c r="X11950" s="4"/>
      <c r="Y11950" s="4"/>
    </row>
    <row r="11951" spans="5:25">
      <c r="E11951"/>
      <c r="G11951"/>
      <c r="H11951"/>
      <c r="I11951"/>
      <c r="K11951"/>
      <c r="O11951"/>
      <c r="R11951"/>
      <c r="W11951" s="4"/>
      <c r="X11951" s="4"/>
      <c r="Y11951" s="4"/>
    </row>
    <row r="11952" spans="5:25">
      <c r="E11952"/>
      <c r="G11952"/>
      <c r="H11952"/>
      <c r="I11952"/>
      <c r="K11952"/>
      <c r="O11952"/>
      <c r="R11952"/>
      <c r="W11952" s="4"/>
      <c r="X11952" s="4"/>
      <c r="Y11952" s="4"/>
    </row>
    <row r="11953" spans="5:25">
      <c r="E11953"/>
      <c r="G11953"/>
      <c r="H11953"/>
      <c r="I11953"/>
      <c r="K11953"/>
      <c r="O11953"/>
      <c r="R11953"/>
      <c r="W11953" s="4"/>
      <c r="X11953" s="4"/>
      <c r="Y11953" s="4"/>
    </row>
    <row r="11954" spans="5:25">
      <c r="E11954"/>
      <c r="G11954"/>
      <c r="H11954"/>
      <c r="I11954"/>
      <c r="K11954"/>
      <c r="O11954"/>
      <c r="R11954"/>
      <c r="W11954" s="4"/>
      <c r="X11954" s="4"/>
      <c r="Y11954" s="4"/>
    </row>
    <row r="11955" spans="5:25">
      <c r="E11955"/>
      <c r="G11955"/>
      <c r="H11955"/>
      <c r="I11955"/>
      <c r="K11955"/>
      <c r="O11955"/>
      <c r="R11955"/>
      <c r="W11955" s="4"/>
      <c r="X11955" s="4"/>
      <c r="Y11955" s="4"/>
    </row>
    <row r="11956" spans="5:25">
      <c r="E11956"/>
      <c r="G11956"/>
      <c r="H11956"/>
      <c r="I11956"/>
      <c r="K11956"/>
      <c r="O11956"/>
      <c r="R11956"/>
      <c r="W11956" s="4"/>
      <c r="X11956" s="4"/>
      <c r="Y11956" s="4"/>
    </row>
    <row r="11957" spans="5:25">
      <c r="E11957"/>
      <c r="G11957"/>
      <c r="H11957"/>
      <c r="I11957"/>
      <c r="K11957"/>
      <c r="O11957"/>
      <c r="R11957"/>
      <c r="W11957" s="4"/>
      <c r="X11957" s="4"/>
      <c r="Y11957" s="4"/>
    </row>
    <row r="11958" spans="5:25">
      <c r="E11958"/>
      <c r="G11958"/>
      <c r="H11958"/>
      <c r="I11958"/>
      <c r="K11958"/>
      <c r="O11958"/>
      <c r="R11958"/>
      <c r="W11958" s="4"/>
      <c r="X11958" s="4"/>
      <c r="Y11958" s="4"/>
    </row>
    <row r="11959" spans="5:25">
      <c r="E11959"/>
      <c r="G11959"/>
      <c r="H11959"/>
      <c r="I11959"/>
      <c r="K11959"/>
      <c r="O11959"/>
      <c r="R11959"/>
      <c r="W11959" s="4"/>
      <c r="X11959" s="4"/>
      <c r="Y11959" s="4"/>
    </row>
    <row r="11960" spans="5:25">
      <c r="E11960"/>
      <c r="G11960"/>
      <c r="H11960"/>
      <c r="I11960"/>
      <c r="K11960"/>
      <c r="O11960"/>
      <c r="R11960"/>
      <c r="W11960" s="4"/>
      <c r="X11960" s="4"/>
      <c r="Y11960" s="4"/>
    </row>
    <row r="11961" spans="5:25">
      <c r="E11961"/>
      <c r="G11961"/>
      <c r="H11961"/>
      <c r="I11961"/>
      <c r="K11961"/>
      <c r="O11961"/>
      <c r="R11961"/>
      <c r="W11961" s="4"/>
      <c r="X11961" s="4"/>
      <c r="Y11961" s="4"/>
    </row>
    <row r="11962" spans="5:25">
      <c r="E11962"/>
      <c r="G11962"/>
      <c r="H11962"/>
      <c r="I11962"/>
      <c r="K11962"/>
      <c r="O11962"/>
      <c r="R11962"/>
      <c r="W11962" s="4"/>
      <c r="X11962" s="4"/>
      <c r="Y11962" s="4"/>
    </row>
    <row r="11963" spans="5:25">
      <c r="E11963"/>
      <c r="G11963"/>
      <c r="H11963"/>
      <c r="I11963"/>
      <c r="K11963"/>
      <c r="O11963"/>
      <c r="R11963"/>
      <c r="W11963" s="4"/>
      <c r="X11963" s="4"/>
      <c r="Y11963" s="4"/>
    </row>
    <row r="11964" spans="5:25">
      <c r="E11964"/>
      <c r="G11964"/>
      <c r="H11964"/>
      <c r="I11964"/>
      <c r="K11964"/>
      <c r="O11964"/>
      <c r="R11964"/>
      <c r="W11964" s="4"/>
      <c r="X11964" s="4"/>
      <c r="Y11964" s="4"/>
    </row>
    <row r="11965" spans="5:25">
      <c r="E11965"/>
      <c r="G11965"/>
      <c r="H11965"/>
      <c r="I11965"/>
      <c r="K11965"/>
      <c r="O11965"/>
      <c r="R11965"/>
      <c r="W11965" s="4"/>
      <c r="X11965" s="4"/>
      <c r="Y11965" s="4"/>
    </row>
    <row r="11966" spans="5:25">
      <c r="E11966"/>
      <c r="G11966"/>
      <c r="H11966"/>
      <c r="I11966"/>
      <c r="K11966"/>
      <c r="O11966"/>
      <c r="R11966"/>
      <c r="W11966" s="4"/>
      <c r="X11966" s="4"/>
      <c r="Y11966" s="4"/>
    </row>
    <row r="11967" spans="5:25">
      <c r="E11967"/>
      <c r="G11967"/>
      <c r="H11967"/>
      <c r="I11967"/>
      <c r="K11967"/>
      <c r="O11967"/>
      <c r="R11967"/>
      <c r="W11967" s="4"/>
      <c r="X11967" s="4"/>
      <c r="Y11967" s="4"/>
    </row>
    <row r="11968" spans="5:25">
      <c r="E11968"/>
      <c r="G11968"/>
      <c r="H11968"/>
      <c r="I11968"/>
      <c r="K11968"/>
      <c r="O11968"/>
      <c r="R11968"/>
      <c r="W11968" s="4"/>
      <c r="X11968" s="4"/>
      <c r="Y11968" s="4"/>
    </row>
    <row r="11969" spans="5:25">
      <c r="E11969"/>
      <c r="G11969"/>
      <c r="H11969"/>
      <c r="I11969"/>
      <c r="K11969"/>
      <c r="O11969"/>
      <c r="R11969"/>
      <c r="W11969" s="4"/>
      <c r="X11969" s="4"/>
      <c r="Y11969" s="4"/>
    </row>
    <row r="11970" spans="5:25">
      <c r="E11970"/>
      <c r="G11970"/>
      <c r="H11970"/>
      <c r="I11970"/>
      <c r="K11970"/>
      <c r="O11970"/>
      <c r="R11970"/>
      <c r="W11970" s="4"/>
      <c r="X11970" s="4"/>
      <c r="Y11970" s="4"/>
    </row>
    <row r="11971" spans="5:25">
      <c r="E11971"/>
      <c r="G11971"/>
      <c r="H11971"/>
      <c r="I11971"/>
      <c r="K11971"/>
      <c r="O11971"/>
      <c r="R11971"/>
      <c r="W11971" s="4"/>
      <c r="X11971" s="4"/>
      <c r="Y11971" s="4"/>
    </row>
    <row r="11972" spans="5:25">
      <c r="E11972"/>
      <c r="G11972"/>
      <c r="H11972"/>
      <c r="I11972"/>
      <c r="K11972"/>
      <c r="O11972"/>
      <c r="R11972"/>
      <c r="W11972" s="4"/>
      <c r="X11972" s="4"/>
      <c r="Y11972" s="4"/>
    </row>
    <row r="11973" spans="5:25">
      <c r="E11973"/>
      <c r="G11973"/>
      <c r="H11973"/>
      <c r="I11973"/>
      <c r="K11973"/>
      <c r="O11973"/>
      <c r="R11973"/>
      <c r="W11973" s="4"/>
      <c r="X11973" s="4"/>
      <c r="Y11973" s="4"/>
    </row>
    <row r="11974" spans="5:25">
      <c r="E11974"/>
      <c r="G11974"/>
      <c r="H11974"/>
      <c r="I11974"/>
      <c r="K11974"/>
      <c r="O11974"/>
      <c r="R11974"/>
      <c r="W11974" s="4"/>
      <c r="X11974" s="4"/>
      <c r="Y11974" s="4"/>
    </row>
    <row r="11975" spans="5:25">
      <c r="E11975"/>
      <c r="G11975"/>
      <c r="H11975"/>
      <c r="I11975"/>
      <c r="K11975"/>
      <c r="O11975"/>
      <c r="R11975"/>
      <c r="W11975" s="4"/>
      <c r="X11975" s="4"/>
      <c r="Y11975" s="4"/>
    </row>
    <row r="11976" spans="5:25">
      <c r="E11976"/>
      <c r="G11976"/>
      <c r="H11976"/>
      <c r="I11976"/>
      <c r="K11976"/>
      <c r="O11976"/>
      <c r="R11976"/>
      <c r="W11976" s="4"/>
      <c r="X11976" s="4"/>
      <c r="Y11976" s="4"/>
    </row>
    <row r="11977" spans="5:25">
      <c r="E11977"/>
      <c r="G11977"/>
      <c r="H11977"/>
      <c r="I11977"/>
      <c r="K11977"/>
      <c r="O11977"/>
      <c r="R11977"/>
      <c r="W11977" s="4"/>
      <c r="X11977" s="4"/>
      <c r="Y11977" s="4"/>
    </row>
    <row r="11978" spans="5:25">
      <c r="E11978"/>
      <c r="G11978"/>
      <c r="H11978"/>
      <c r="I11978"/>
      <c r="K11978"/>
      <c r="O11978"/>
      <c r="R11978"/>
      <c r="W11978" s="4"/>
      <c r="X11978" s="4"/>
      <c r="Y11978" s="4"/>
    </row>
    <row r="11979" spans="5:25">
      <c r="E11979"/>
      <c r="G11979"/>
      <c r="H11979"/>
      <c r="I11979"/>
      <c r="K11979"/>
      <c r="O11979"/>
      <c r="R11979"/>
      <c r="W11979" s="4"/>
      <c r="X11979" s="4"/>
      <c r="Y11979" s="4"/>
    </row>
    <row r="11980" spans="5:25">
      <c r="E11980"/>
      <c r="G11980"/>
      <c r="H11980"/>
      <c r="I11980"/>
      <c r="K11980"/>
      <c r="O11980"/>
      <c r="R11980"/>
      <c r="W11980" s="4"/>
      <c r="X11980" s="4"/>
      <c r="Y11980" s="4"/>
    </row>
    <row r="11981" spans="5:25">
      <c r="E11981"/>
      <c r="G11981"/>
      <c r="H11981"/>
      <c r="I11981"/>
      <c r="K11981"/>
      <c r="O11981"/>
      <c r="R11981"/>
      <c r="W11981" s="4"/>
      <c r="X11981" s="4"/>
      <c r="Y11981" s="4"/>
    </row>
    <row r="11982" spans="5:25">
      <c r="E11982"/>
      <c r="G11982"/>
      <c r="H11982"/>
      <c r="I11982"/>
      <c r="K11982"/>
      <c r="O11982"/>
      <c r="R11982"/>
      <c r="W11982" s="4"/>
      <c r="X11982" s="4"/>
      <c r="Y11982" s="4"/>
    </row>
    <row r="11983" spans="5:25">
      <c r="E11983"/>
      <c r="G11983"/>
      <c r="H11983"/>
      <c r="I11983"/>
      <c r="K11983"/>
      <c r="O11983"/>
      <c r="R11983"/>
      <c r="W11983" s="4"/>
      <c r="X11983" s="4"/>
      <c r="Y11983" s="4"/>
    </row>
    <row r="11984" spans="5:25">
      <c r="E11984"/>
      <c r="G11984"/>
      <c r="H11984"/>
      <c r="I11984"/>
      <c r="K11984"/>
      <c r="O11984"/>
      <c r="R11984"/>
      <c r="W11984" s="4"/>
      <c r="X11984" s="4"/>
      <c r="Y11984" s="4"/>
    </row>
    <row r="11985" spans="5:25">
      <c r="E11985"/>
      <c r="G11985"/>
      <c r="H11985"/>
      <c r="I11985"/>
      <c r="K11985"/>
      <c r="O11985"/>
      <c r="R11985"/>
      <c r="W11985" s="4"/>
      <c r="X11985" s="4"/>
      <c r="Y11985" s="4"/>
    </row>
    <row r="11986" spans="5:25">
      <c r="E11986"/>
      <c r="G11986"/>
      <c r="H11986"/>
      <c r="I11986"/>
      <c r="K11986"/>
      <c r="O11986"/>
      <c r="R11986"/>
      <c r="W11986" s="4"/>
      <c r="X11986" s="4"/>
      <c r="Y11986" s="4"/>
    </row>
    <row r="11987" spans="5:25">
      <c r="E11987"/>
      <c r="G11987"/>
      <c r="H11987"/>
      <c r="I11987"/>
      <c r="K11987"/>
      <c r="O11987"/>
      <c r="R11987"/>
      <c r="W11987" s="4"/>
      <c r="X11987" s="4"/>
      <c r="Y11987" s="4"/>
    </row>
    <row r="11988" spans="5:25">
      <c r="E11988"/>
      <c r="G11988"/>
      <c r="H11988"/>
      <c r="I11988"/>
      <c r="K11988"/>
      <c r="O11988"/>
      <c r="R11988"/>
      <c r="W11988" s="4"/>
      <c r="X11988" s="4"/>
      <c r="Y11988" s="4"/>
    </row>
    <row r="11989" spans="5:25">
      <c r="E11989"/>
      <c r="G11989"/>
      <c r="H11989"/>
      <c r="I11989"/>
      <c r="K11989"/>
      <c r="O11989"/>
      <c r="R11989"/>
      <c r="W11989" s="4"/>
      <c r="X11989" s="4"/>
      <c r="Y11989" s="4"/>
    </row>
    <row r="11990" spans="5:25">
      <c r="E11990"/>
      <c r="G11990"/>
      <c r="H11990"/>
      <c r="I11990"/>
      <c r="K11990"/>
      <c r="O11990"/>
      <c r="R11990"/>
      <c r="W11990" s="4"/>
      <c r="X11990" s="4"/>
      <c r="Y11990" s="4"/>
    </row>
    <row r="11991" spans="5:25">
      <c r="E11991"/>
      <c r="G11991"/>
      <c r="H11991"/>
      <c r="I11991"/>
      <c r="K11991"/>
      <c r="O11991"/>
      <c r="R11991"/>
      <c r="W11991" s="4"/>
      <c r="X11991" s="4"/>
      <c r="Y11991" s="4"/>
    </row>
    <row r="11992" spans="5:25">
      <c r="E11992"/>
      <c r="G11992"/>
      <c r="H11992"/>
      <c r="I11992"/>
      <c r="K11992"/>
      <c r="O11992"/>
      <c r="R11992"/>
      <c r="W11992" s="4"/>
      <c r="X11992" s="4"/>
      <c r="Y11992" s="4"/>
    </row>
    <row r="11993" spans="5:25">
      <c r="E11993"/>
      <c r="G11993"/>
      <c r="H11993"/>
      <c r="I11993"/>
      <c r="K11993"/>
      <c r="O11993"/>
      <c r="R11993"/>
      <c r="W11993" s="4"/>
      <c r="X11993" s="4"/>
      <c r="Y11993" s="4"/>
    </row>
    <row r="11994" spans="5:25">
      <c r="E11994"/>
      <c r="G11994"/>
      <c r="H11994"/>
      <c r="I11994"/>
      <c r="K11994"/>
      <c r="O11994"/>
      <c r="R11994"/>
      <c r="W11994" s="4"/>
      <c r="X11994" s="4"/>
      <c r="Y11994" s="4"/>
    </row>
    <row r="11995" spans="5:25">
      <c r="E11995"/>
      <c r="G11995"/>
      <c r="H11995"/>
      <c r="I11995"/>
      <c r="K11995"/>
      <c r="O11995"/>
      <c r="R11995"/>
      <c r="W11995" s="4"/>
      <c r="X11995" s="4"/>
      <c r="Y11995" s="4"/>
    </row>
    <row r="11996" spans="5:25">
      <c r="E11996"/>
      <c r="G11996"/>
      <c r="H11996"/>
      <c r="I11996"/>
      <c r="K11996"/>
      <c r="O11996"/>
      <c r="R11996"/>
      <c r="W11996" s="4"/>
      <c r="X11996" s="4"/>
      <c r="Y11996" s="4"/>
    </row>
    <row r="11997" spans="5:25">
      <c r="E11997"/>
      <c r="G11997"/>
      <c r="H11997"/>
      <c r="I11997"/>
      <c r="K11997"/>
      <c r="O11997"/>
      <c r="R11997"/>
      <c r="W11997" s="4"/>
      <c r="X11997" s="4"/>
      <c r="Y11997" s="4"/>
    </row>
    <row r="11998" spans="5:25">
      <c r="E11998"/>
      <c r="G11998"/>
      <c r="H11998"/>
      <c r="I11998"/>
      <c r="K11998"/>
      <c r="O11998"/>
      <c r="R11998"/>
      <c r="W11998" s="4"/>
      <c r="X11998" s="4"/>
      <c r="Y11998" s="4"/>
    </row>
    <row r="11999" spans="5:25">
      <c r="E11999"/>
      <c r="G11999"/>
      <c r="H11999"/>
      <c r="I11999"/>
      <c r="K11999"/>
      <c r="O11999"/>
      <c r="R11999"/>
      <c r="W11999" s="4"/>
      <c r="X11999" s="4"/>
      <c r="Y11999" s="4"/>
    </row>
    <row r="12000" spans="5:25">
      <c r="E12000"/>
      <c r="G12000"/>
      <c r="H12000"/>
      <c r="I12000"/>
      <c r="K12000"/>
      <c r="O12000"/>
      <c r="R12000"/>
      <c r="W12000" s="4"/>
      <c r="X12000" s="4"/>
      <c r="Y12000" s="4"/>
    </row>
    <row r="12001" spans="5:25">
      <c r="E12001"/>
      <c r="G12001"/>
      <c r="H12001"/>
      <c r="I12001"/>
      <c r="K12001"/>
      <c r="O12001"/>
      <c r="R12001"/>
      <c r="W12001" s="4"/>
      <c r="X12001" s="4"/>
      <c r="Y12001" s="4"/>
    </row>
    <row r="12002" spans="5:25">
      <c r="E12002"/>
      <c r="G12002"/>
      <c r="H12002"/>
      <c r="I12002"/>
      <c r="K12002"/>
      <c r="O12002"/>
      <c r="R12002"/>
      <c r="W12002" s="4"/>
      <c r="X12002" s="4"/>
      <c r="Y12002" s="4"/>
    </row>
    <row r="12003" spans="5:25">
      <c r="E12003"/>
      <c r="G12003"/>
      <c r="H12003"/>
      <c r="I12003"/>
      <c r="K12003"/>
      <c r="O12003"/>
      <c r="R12003"/>
      <c r="W12003" s="4"/>
      <c r="X12003" s="4"/>
      <c r="Y12003" s="4"/>
    </row>
    <row r="12004" spans="5:25">
      <c r="E12004"/>
      <c r="G12004"/>
      <c r="H12004"/>
      <c r="I12004"/>
      <c r="K12004"/>
      <c r="O12004"/>
      <c r="R12004"/>
      <c r="W12004" s="4"/>
      <c r="X12004" s="4"/>
      <c r="Y12004" s="4"/>
    </row>
    <row r="12005" spans="5:25">
      <c r="E12005"/>
      <c r="G12005"/>
      <c r="H12005"/>
      <c r="I12005"/>
      <c r="K12005"/>
      <c r="O12005"/>
      <c r="R12005"/>
      <c r="W12005" s="4"/>
      <c r="X12005" s="4"/>
      <c r="Y12005" s="4"/>
    </row>
    <row r="12006" spans="5:25">
      <c r="E12006"/>
      <c r="G12006"/>
      <c r="H12006"/>
      <c r="I12006"/>
      <c r="K12006"/>
      <c r="O12006"/>
      <c r="R12006"/>
      <c r="W12006" s="4"/>
      <c r="X12006" s="4"/>
      <c r="Y12006" s="4"/>
    </row>
    <row r="12007" spans="5:25">
      <c r="E12007"/>
      <c r="G12007"/>
      <c r="H12007"/>
      <c r="I12007"/>
      <c r="K12007"/>
      <c r="O12007"/>
      <c r="R12007"/>
      <c r="W12007" s="4"/>
      <c r="X12007" s="4"/>
      <c r="Y12007" s="4"/>
    </row>
    <row r="12008" spans="5:25">
      <c r="E12008"/>
      <c r="G12008"/>
      <c r="H12008"/>
      <c r="I12008"/>
      <c r="K12008"/>
      <c r="O12008"/>
      <c r="R12008"/>
      <c r="W12008" s="4"/>
      <c r="X12008" s="4"/>
      <c r="Y12008" s="4"/>
    </row>
    <row r="12009" spans="5:25">
      <c r="E12009"/>
      <c r="G12009"/>
      <c r="H12009"/>
      <c r="I12009"/>
      <c r="K12009"/>
      <c r="O12009"/>
      <c r="R12009"/>
      <c r="W12009" s="4"/>
      <c r="X12009" s="4"/>
      <c r="Y12009" s="4"/>
    </row>
    <row r="12010" spans="5:25">
      <c r="E12010"/>
      <c r="G12010"/>
      <c r="H12010"/>
      <c r="I12010"/>
      <c r="K12010"/>
      <c r="O12010"/>
      <c r="R12010"/>
      <c r="W12010" s="4"/>
      <c r="X12010" s="4"/>
      <c r="Y12010" s="4"/>
    </row>
    <row r="12011" spans="5:25">
      <c r="E12011"/>
      <c r="G12011"/>
      <c r="H12011"/>
      <c r="I12011"/>
      <c r="K12011"/>
      <c r="O12011"/>
      <c r="R12011"/>
      <c r="W12011" s="4"/>
      <c r="X12011" s="4"/>
      <c r="Y12011" s="4"/>
    </row>
    <row r="12012" spans="5:25">
      <c r="E12012"/>
      <c r="G12012"/>
      <c r="H12012"/>
      <c r="I12012"/>
      <c r="K12012"/>
      <c r="O12012"/>
      <c r="R12012"/>
      <c r="W12012" s="4"/>
      <c r="X12012" s="4"/>
      <c r="Y12012" s="4"/>
    </row>
    <row r="12013" spans="5:25">
      <c r="E12013"/>
      <c r="G12013"/>
      <c r="H12013"/>
      <c r="I12013"/>
      <c r="K12013"/>
      <c r="O12013"/>
      <c r="R12013"/>
      <c r="W12013" s="4"/>
      <c r="X12013" s="4"/>
      <c r="Y12013" s="4"/>
    </row>
    <row r="12014" spans="5:25">
      <c r="E12014"/>
      <c r="G12014"/>
      <c r="H12014"/>
      <c r="I12014"/>
      <c r="K12014"/>
      <c r="O12014"/>
      <c r="R12014"/>
      <c r="W12014" s="4"/>
      <c r="X12014" s="4"/>
      <c r="Y12014" s="4"/>
    </row>
    <row r="12015" spans="5:25">
      <c r="E12015"/>
      <c r="G12015"/>
      <c r="H12015"/>
      <c r="I12015"/>
      <c r="K12015"/>
      <c r="O12015"/>
      <c r="R12015"/>
      <c r="W12015" s="4"/>
      <c r="X12015" s="4"/>
      <c r="Y12015" s="4"/>
    </row>
    <row r="12016" spans="5:25">
      <c r="E12016"/>
      <c r="G12016"/>
      <c r="H12016"/>
      <c r="I12016"/>
      <c r="K12016"/>
      <c r="O12016"/>
      <c r="R12016"/>
      <c r="W12016" s="4"/>
      <c r="X12016" s="4"/>
      <c r="Y12016" s="4"/>
    </row>
    <row r="12017" spans="5:25">
      <c r="E12017"/>
      <c r="G12017"/>
      <c r="H12017"/>
      <c r="I12017"/>
      <c r="K12017"/>
      <c r="O12017"/>
      <c r="R12017"/>
      <c r="W12017" s="4"/>
      <c r="X12017" s="4"/>
      <c r="Y12017" s="4"/>
    </row>
    <row r="12018" spans="5:25">
      <c r="E12018"/>
      <c r="G12018"/>
      <c r="H12018"/>
      <c r="I12018"/>
      <c r="K12018"/>
      <c r="O12018"/>
      <c r="R12018"/>
      <c r="W12018" s="4"/>
      <c r="X12018" s="4"/>
      <c r="Y12018" s="4"/>
    </row>
    <row r="12019" spans="5:25">
      <c r="E12019"/>
      <c r="G12019"/>
      <c r="H12019"/>
      <c r="I12019"/>
      <c r="K12019"/>
      <c r="O12019"/>
      <c r="R12019"/>
      <c r="W12019" s="4"/>
      <c r="X12019" s="4"/>
      <c r="Y12019" s="4"/>
    </row>
    <row r="12020" spans="5:25">
      <c r="E12020"/>
      <c r="G12020"/>
      <c r="H12020"/>
      <c r="I12020"/>
      <c r="K12020"/>
      <c r="O12020"/>
      <c r="R12020"/>
      <c r="W12020" s="4"/>
      <c r="X12020" s="4"/>
      <c r="Y12020" s="4"/>
    </row>
    <row r="12021" spans="5:25">
      <c r="E12021"/>
      <c r="G12021"/>
      <c r="H12021"/>
      <c r="I12021"/>
      <c r="K12021"/>
      <c r="O12021"/>
      <c r="R12021"/>
      <c r="W12021" s="4"/>
      <c r="X12021" s="4"/>
      <c r="Y12021" s="4"/>
    </row>
    <row r="12022" spans="5:25">
      <c r="E12022"/>
      <c r="G12022"/>
      <c r="H12022"/>
      <c r="I12022"/>
      <c r="K12022"/>
      <c r="O12022"/>
      <c r="R12022"/>
      <c r="W12022" s="4"/>
      <c r="X12022" s="4"/>
      <c r="Y12022" s="4"/>
    </row>
    <row r="12023" spans="5:25">
      <c r="E12023"/>
      <c r="G12023"/>
      <c r="H12023"/>
      <c r="I12023"/>
      <c r="K12023"/>
      <c r="O12023"/>
      <c r="R12023"/>
      <c r="W12023" s="4"/>
      <c r="X12023" s="4"/>
      <c r="Y12023" s="4"/>
    </row>
    <row r="12024" spans="5:25">
      <c r="E12024"/>
      <c r="G12024"/>
      <c r="H12024"/>
      <c r="I12024"/>
      <c r="K12024"/>
      <c r="O12024"/>
      <c r="R12024"/>
      <c r="W12024" s="4"/>
      <c r="X12024" s="4"/>
      <c r="Y12024" s="4"/>
    </row>
    <row r="12025" spans="5:25">
      <c r="E12025"/>
      <c r="G12025"/>
      <c r="H12025"/>
      <c r="I12025"/>
      <c r="K12025"/>
      <c r="O12025"/>
      <c r="R12025"/>
      <c r="W12025" s="4"/>
      <c r="X12025" s="4"/>
      <c r="Y12025" s="4"/>
    </row>
    <row r="12026" spans="5:25">
      <c r="E12026"/>
      <c r="G12026"/>
      <c r="H12026"/>
      <c r="I12026"/>
      <c r="K12026"/>
      <c r="O12026"/>
      <c r="R12026"/>
      <c r="W12026" s="4"/>
      <c r="X12026" s="4"/>
      <c r="Y12026" s="4"/>
    </row>
    <row r="12027" spans="5:25">
      <c r="E12027"/>
      <c r="G12027"/>
      <c r="H12027"/>
      <c r="I12027"/>
      <c r="K12027"/>
      <c r="O12027"/>
      <c r="R12027"/>
      <c r="W12027" s="4"/>
      <c r="X12027" s="4"/>
      <c r="Y12027" s="4"/>
    </row>
    <row r="12028" spans="5:25">
      <c r="E12028"/>
      <c r="G12028"/>
      <c r="H12028"/>
      <c r="I12028"/>
      <c r="K12028"/>
      <c r="O12028"/>
      <c r="R12028"/>
      <c r="W12028" s="4"/>
      <c r="X12028" s="4"/>
      <c r="Y12028" s="4"/>
    </row>
    <row r="12029" spans="5:25">
      <c r="E12029"/>
      <c r="G12029"/>
      <c r="H12029"/>
      <c r="I12029"/>
      <c r="K12029"/>
      <c r="O12029"/>
      <c r="R12029"/>
      <c r="W12029" s="4"/>
      <c r="X12029" s="4"/>
      <c r="Y12029" s="4"/>
    </row>
    <row r="12030" spans="5:25">
      <c r="E12030"/>
      <c r="G12030"/>
      <c r="H12030"/>
      <c r="I12030"/>
      <c r="K12030"/>
      <c r="O12030"/>
      <c r="R12030"/>
      <c r="W12030" s="4"/>
      <c r="X12030" s="4"/>
      <c r="Y12030" s="4"/>
    </row>
    <row r="12031" spans="5:25">
      <c r="E12031"/>
      <c r="G12031"/>
      <c r="H12031"/>
      <c r="I12031"/>
      <c r="K12031"/>
      <c r="O12031"/>
      <c r="R12031"/>
      <c r="W12031" s="4"/>
      <c r="X12031" s="4"/>
      <c r="Y12031" s="4"/>
    </row>
    <row r="12032" spans="5:25">
      <c r="E12032"/>
      <c r="G12032"/>
      <c r="H12032"/>
      <c r="I12032"/>
      <c r="K12032"/>
      <c r="O12032"/>
      <c r="R12032"/>
      <c r="W12032" s="4"/>
      <c r="X12032" s="4"/>
      <c r="Y12032" s="4"/>
    </row>
    <row r="12033" spans="5:25">
      <c r="E12033"/>
      <c r="G12033"/>
      <c r="H12033"/>
      <c r="I12033"/>
      <c r="K12033"/>
      <c r="O12033"/>
      <c r="R12033"/>
      <c r="W12033" s="4"/>
      <c r="X12033" s="4"/>
      <c r="Y12033" s="4"/>
    </row>
    <row r="12034" spans="5:25">
      <c r="E12034"/>
      <c r="G12034"/>
      <c r="H12034"/>
      <c r="I12034"/>
      <c r="K12034"/>
      <c r="O12034"/>
      <c r="R12034"/>
      <c r="W12034" s="4"/>
      <c r="X12034" s="4"/>
      <c r="Y12034" s="4"/>
    </row>
    <row r="12035" spans="5:25">
      <c r="E12035"/>
      <c r="G12035"/>
      <c r="H12035"/>
      <c r="I12035"/>
      <c r="K12035"/>
      <c r="O12035"/>
      <c r="R12035"/>
      <c r="W12035" s="4"/>
      <c r="X12035" s="4"/>
      <c r="Y12035" s="4"/>
    </row>
    <row r="12036" spans="5:25">
      <c r="E12036"/>
      <c r="G12036"/>
      <c r="H12036"/>
      <c r="I12036"/>
      <c r="K12036"/>
      <c r="O12036"/>
      <c r="R12036"/>
      <c r="W12036" s="4"/>
      <c r="X12036" s="4"/>
      <c r="Y12036" s="4"/>
    </row>
    <row r="12037" spans="5:25">
      <c r="E12037"/>
      <c r="G12037"/>
      <c r="H12037"/>
      <c r="I12037"/>
      <c r="K12037"/>
      <c r="O12037"/>
      <c r="R12037"/>
      <c r="W12037" s="4"/>
      <c r="X12037" s="4"/>
      <c r="Y12037" s="4"/>
    </row>
    <row r="12038" spans="5:25">
      <c r="E12038"/>
      <c r="G12038"/>
      <c r="H12038"/>
      <c r="I12038"/>
      <c r="K12038"/>
      <c r="O12038"/>
      <c r="R12038"/>
      <c r="W12038" s="4"/>
      <c r="X12038" s="4"/>
      <c r="Y12038" s="4"/>
    </row>
    <row r="12039" spans="5:25">
      <c r="E12039"/>
      <c r="G12039"/>
      <c r="H12039"/>
      <c r="I12039"/>
      <c r="K12039"/>
      <c r="O12039"/>
      <c r="R12039"/>
      <c r="W12039" s="4"/>
      <c r="X12039" s="4"/>
      <c r="Y12039" s="4"/>
    </row>
    <row r="12040" spans="5:25">
      <c r="E12040"/>
      <c r="G12040"/>
      <c r="H12040"/>
      <c r="I12040"/>
      <c r="K12040"/>
      <c r="O12040"/>
      <c r="R12040"/>
      <c r="W12040" s="4"/>
      <c r="X12040" s="4"/>
      <c r="Y12040" s="4"/>
    </row>
    <row r="12041" spans="5:25">
      <c r="E12041"/>
      <c r="G12041"/>
      <c r="H12041"/>
      <c r="I12041"/>
      <c r="K12041"/>
      <c r="O12041"/>
      <c r="R12041"/>
      <c r="W12041" s="4"/>
      <c r="X12041" s="4"/>
      <c r="Y12041" s="4"/>
    </row>
    <row r="12042" spans="5:25">
      <c r="E12042"/>
      <c r="G12042"/>
      <c r="H12042"/>
      <c r="I12042"/>
      <c r="K12042"/>
      <c r="O12042"/>
      <c r="R12042"/>
      <c r="W12042" s="4"/>
      <c r="X12042" s="4"/>
      <c r="Y12042" s="4"/>
    </row>
    <row r="12043" spans="5:25">
      <c r="E12043"/>
      <c r="G12043"/>
      <c r="H12043"/>
      <c r="I12043"/>
      <c r="K12043"/>
      <c r="O12043"/>
      <c r="R12043"/>
      <c r="W12043" s="4"/>
      <c r="X12043" s="4"/>
      <c r="Y12043" s="4"/>
    </row>
    <row r="12044" spans="5:25">
      <c r="E12044"/>
      <c r="G12044"/>
      <c r="H12044"/>
      <c r="I12044"/>
      <c r="K12044"/>
      <c r="O12044"/>
      <c r="R12044"/>
      <c r="W12044" s="4"/>
      <c r="X12044" s="4"/>
      <c r="Y12044" s="4"/>
    </row>
    <row r="12045" spans="5:25">
      <c r="E12045"/>
      <c r="G12045"/>
      <c r="H12045"/>
      <c r="I12045"/>
      <c r="K12045"/>
      <c r="O12045"/>
      <c r="R12045"/>
      <c r="W12045" s="4"/>
      <c r="X12045" s="4"/>
      <c r="Y12045" s="4"/>
    </row>
    <row r="12046" spans="5:25">
      <c r="E12046"/>
      <c r="G12046"/>
      <c r="H12046"/>
      <c r="I12046"/>
      <c r="K12046"/>
      <c r="O12046"/>
      <c r="R12046"/>
      <c r="W12046" s="4"/>
      <c r="X12046" s="4"/>
      <c r="Y12046" s="4"/>
    </row>
    <row r="12047" spans="5:25">
      <c r="E12047"/>
      <c r="G12047"/>
      <c r="H12047"/>
      <c r="I12047"/>
      <c r="K12047"/>
      <c r="O12047"/>
      <c r="R12047"/>
      <c r="W12047" s="4"/>
      <c r="X12047" s="4"/>
      <c r="Y12047" s="4"/>
    </row>
    <row r="12048" spans="5:25">
      <c r="E12048"/>
      <c r="G12048"/>
      <c r="H12048"/>
      <c r="I12048"/>
      <c r="K12048"/>
      <c r="O12048"/>
      <c r="R12048"/>
      <c r="W12048" s="4"/>
      <c r="X12048" s="4"/>
      <c r="Y12048" s="4"/>
    </row>
    <row r="12049" spans="5:25">
      <c r="E12049"/>
      <c r="G12049"/>
      <c r="H12049"/>
      <c r="I12049"/>
      <c r="K12049"/>
      <c r="O12049"/>
      <c r="R12049"/>
      <c r="W12049" s="4"/>
      <c r="X12049" s="4"/>
      <c r="Y12049" s="4"/>
    </row>
    <row r="12050" spans="5:25">
      <c r="E12050"/>
      <c r="G12050"/>
      <c r="H12050"/>
      <c r="I12050"/>
      <c r="K12050"/>
      <c r="O12050"/>
      <c r="R12050"/>
      <c r="W12050" s="4"/>
      <c r="X12050" s="4"/>
      <c r="Y12050" s="4"/>
    </row>
    <row r="12051" spans="5:25">
      <c r="E12051"/>
      <c r="G12051"/>
      <c r="H12051"/>
      <c r="I12051"/>
      <c r="K12051"/>
      <c r="O12051"/>
      <c r="R12051"/>
      <c r="W12051" s="4"/>
      <c r="X12051" s="4"/>
      <c r="Y12051" s="4"/>
    </row>
    <row r="12052" spans="5:25">
      <c r="E12052"/>
      <c r="G12052"/>
      <c r="H12052"/>
      <c r="I12052"/>
      <c r="K12052"/>
      <c r="O12052"/>
      <c r="R12052"/>
      <c r="W12052" s="4"/>
      <c r="X12052" s="4"/>
      <c r="Y12052" s="4"/>
    </row>
    <row r="12053" spans="5:25">
      <c r="E12053"/>
      <c r="G12053"/>
      <c r="H12053"/>
      <c r="I12053"/>
      <c r="K12053"/>
      <c r="O12053"/>
      <c r="R12053"/>
      <c r="W12053" s="4"/>
      <c r="X12053" s="4"/>
      <c r="Y12053" s="4"/>
    </row>
    <row r="12054" spans="5:25">
      <c r="E12054"/>
      <c r="G12054"/>
      <c r="H12054"/>
      <c r="I12054"/>
      <c r="K12054"/>
      <c r="O12054"/>
      <c r="R12054"/>
      <c r="W12054" s="4"/>
      <c r="X12054" s="4"/>
      <c r="Y12054" s="4"/>
    </row>
    <row r="12055" spans="5:25">
      <c r="E12055"/>
      <c r="G12055"/>
      <c r="H12055"/>
      <c r="I12055"/>
      <c r="K12055"/>
      <c r="O12055"/>
      <c r="R12055"/>
      <c r="W12055" s="4"/>
      <c r="X12055" s="4"/>
      <c r="Y12055" s="4"/>
    </row>
    <row r="12056" spans="5:25">
      <c r="E12056"/>
      <c r="G12056"/>
      <c r="H12056"/>
      <c r="I12056"/>
      <c r="K12056"/>
      <c r="O12056"/>
      <c r="R12056"/>
      <c r="W12056" s="4"/>
      <c r="X12056" s="4"/>
      <c r="Y12056" s="4"/>
    </row>
    <row r="12057" spans="5:25">
      <c r="E12057"/>
      <c r="G12057"/>
      <c r="H12057"/>
      <c r="I12057"/>
      <c r="K12057"/>
      <c r="O12057"/>
      <c r="R12057"/>
      <c r="W12057" s="4"/>
      <c r="X12057" s="4"/>
      <c r="Y12057" s="4"/>
    </row>
    <row r="12058" spans="5:25">
      <c r="E12058"/>
      <c r="G12058"/>
      <c r="H12058"/>
      <c r="I12058"/>
      <c r="K12058"/>
      <c r="O12058"/>
      <c r="R12058"/>
      <c r="W12058" s="4"/>
      <c r="X12058" s="4"/>
      <c r="Y12058" s="4"/>
    </row>
    <row r="12059" spans="5:25">
      <c r="E12059"/>
      <c r="G12059"/>
      <c r="H12059"/>
      <c r="I12059"/>
      <c r="K12059"/>
      <c r="O12059"/>
      <c r="R12059"/>
      <c r="W12059" s="4"/>
      <c r="X12059" s="4"/>
      <c r="Y12059" s="4"/>
    </row>
    <row r="12060" spans="5:25">
      <c r="E12060"/>
      <c r="G12060"/>
      <c r="H12060"/>
      <c r="I12060"/>
      <c r="K12060"/>
      <c r="O12060"/>
      <c r="R12060"/>
      <c r="W12060" s="4"/>
      <c r="X12060" s="4"/>
      <c r="Y12060" s="4"/>
    </row>
    <row r="12061" spans="5:25">
      <c r="E12061"/>
      <c r="G12061"/>
      <c r="H12061"/>
      <c r="I12061"/>
      <c r="K12061"/>
      <c r="O12061"/>
      <c r="R12061"/>
      <c r="W12061" s="4"/>
      <c r="X12061" s="4"/>
      <c r="Y12061" s="4"/>
    </row>
    <row r="12062" spans="5:25">
      <c r="E12062"/>
      <c r="G12062"/>
      <c r="H12062"/>
      <c r="I12062"/>
      <c r="K12062"/>
      <c r="O12062"/>
      <c r="R12062"/>
      <c r="W12062" s="4"/>
      <c r="X12062" s="4"/>
      <c r="Y12062" s="4"/>
    </row>
    <row r="12063" spans="5:25">
      <c r="E12063"/>
      <c r="G12063"/>
      <c r="H12063"/>
      <c r="I12063"/>
      <c r="K12063"/>
      <c r="O12063"/>
      <c r="R12063"/>
      <c r="W12063" s="4"/>
      <c r="X12063" s="4"/>
      <c r="Y12063" s="4"/>
    </row>
    <row r="12064" spans="5:25">
      <c r="E12064"/>
      <c r="G12064"/>
      <c r="H12064"/>
      <c r="I12064"/>
      <c r="K12064"/>
      <c r="O12064"/>
      <c r="R12064"/>
      <c r="W12064" s="4"/>
      <c r="X12064" s="4"/>
      <c r="Y12064" s="4"/>
    </row>
    <row r="12065" spans="5:25">
      <c r="E12065"/>
      <c r="G12065"/>
      <c r="H12065"/>
      <c r="I12065"/>
      <c r="K12065"/>
      <c r="O12065"/>
      <c r="R12065"/>
      <c r="W12065" s="4"/>
      <c r="X12065" s="4"/>
      <c r="Y12065" s="4"/>
    </row>
    <row r="12066" spans="5:25">
      <c r="E12066"/>
      <c r="G12066"/>
      <c r="H12066"/>
      <c r="I12066"/>
      <c r="K12066"/>
      <c r="O12066"/>
      <c r="R12066"/>
      <c r="W12066" s="4"/>
      <c r="X12066" s="4"/>
      <c r="Y12066" s="4"/>
    </row>
    <row r="12067" spans="5:25">
      <c r="E12067"/>
      <c r="G12067"/>
      <c r="H12067"/>
      <c r="I12067"/>
      <c r="K12067"/>
      <c r="O12067"/>
      <c r="R12067"/>
      <c r="W12067" s="4"/>
      <c r="X12067" s="4"/>
      <c r="Y12067" s="4"/>
    </row>
    <row r="12068" spans="5:25">
      <c r="E12068"/>
      <c r="G12068"/>
      <c r="H12068"/>
      <c r="I12068"/>
      <c r="K12068"/>
      <c r="O12068"/>
      <c r="R12068"/>
      <c r="W12068" s="4"/>
      <c r="X12068" s="4"/>
      <c r="Y12068" s="4"/>
    </row>
    <row r="12069" spans="5:25">
      <c r="E12069"/>
      <c r="G12069"/>
      <c r="H12069"/>
      <c r="I12069"/>
      <c r="K12069"/>
      <c r="O12069"/>
      <c r="R12069"/>
      <c r="W12069" s="4"/>
      <c r="X12069" s="4"/>
      <c r="Y12069" s="4"/>
    </row>
    <row r="12070" spans="5:25">
      <c r="E12070"/>
      <c r="G12070"/>
      <c r="H12070"/>
      <c r="I12070"/>
      <c r="K12070"/>
      <c r="O12070"/>
      <c r="R12070"/>
      <c r="W12070" s="4"/>
      <c r="X12070" s="4"/>
      <c r="Y12070" s="4"/>
    </row>
    <row r="12071" spans="5:25">
      <c r="E12071"/>
      <c r="G12071"/>
      <c r="H12071"/>
      <c r="I12071"/>
      <c r="K12071"/>
      <c r="O12071"/>
      <c r="R12071"/>
      <c r="W12071" s="4"/>
      <c r="X12071" s="4"/>
      <c r="Y12071" s="4"/>
    </row>
    <row r="12072" spans="5:25">
      <c r="E12072"/>
      <c r="G12072"/>
      <c r="H12072"/>
      <c r="I12072"/>
      <c r="K12072"/>
      <c r="O12072"/>
      <c r="R12072"/>
      <c r="W12072" s="4"/>
      <c r="X12072" s="4"/>
      <c r="Y12072" s="4"/>
    </row>
    <row r="12073" spans="5:25">
      <c r="E12073"/>
      <c r="G12073"/>
      <c r="H12073"/>
      <c r="I12073"/>
      <c r="K12073"/>
      <c r="O12073"/>
      <c r="R12073"/>
      <c r="W12073" s="4"/>
      <c r="X12073" s="4"/>
      <c r="Y12073" s="4"/>
    </row>
    <row r="12074" spans="5:25">
      <c r="E12074"/>
      <c r="G12074"/>
      <c r="H12074"/>
      <c r="I12074"/>
      <c r="K12074"/>
      <c r="O12074"/>
      <c r="R12074"/>
      <c r="W12074" s="4"/>
      <c r="X12074" s="4"/>
      <c r="Y12074" s="4"/>
    </row>
    <row r="12075" spans="5:25">
      <c r="E12075"/>
      <c r="G12075"/>
      <c r="H12075"/>
      <c r="I12075"/>
      <c r="K12075"/>
      <c r="O12075"/>
      <c r="R12075"/>
      <c r="W12075" s="4"/>
      <c r="X12075" s="4"/>
      <c r="Y12075" s="4"/>
    </row>
    <row r="12076" spans="5:25">
      <c r="E12076"/>
      <c r="G12076"/>
      <c r="H12076"/>
      <c r="I12076"/>
      <c r="K12076"/>
      <c r="O12076"/>
      <c r="R12076"/>
      <c r="W12076" s="4"/>
      <c r="X12076" s="4"/>
      <c r="Y12076" s="4"/>
    </row>
    <row r="12077" spans="5:25">
      <c r="E12077"/>
      <c r="G12077"/>
      <c r="H12077"/>
      <c r="I12077"/>
      <c r="K12077"/>
      <c r="O12077"/>
      <c r="R12077"/>
      <c r="W12077" s="4"/>
      <c r="X12077" s="4"/>
      <c r="Y12077" s="4"/>
    </row>
    <row r="12078" spans="5:25">
      <c r="E12078"/>
      <c r="G12078"/>
      <c r="H12078"/>
      <c r="I12078"/>
      <c r="K12078"/>
      <c r="O12078"/>
      <c r="R12078"/>
      <c r="W12078" s="4"/>
      <c r="X12078" s="4"/>
      <c r="Y12078" s="4"/>
    </row>
    <row r="12079" spans="5:25">
      <c r="E12079"/>
      <c r="G12079"/>
      <c r="H12079"/>
      <c r="I12079"/>
      <c r="K12079"/>
      <c r="O12079"/>
      <c r="R12079"/>
      <c r="W12079" s="4"/>
      <c r="X12079" s="4"/>
      <c r="Y12079" s="4"/>
    </row>
    <row r="12080" spans="5:25">
      <c r="E12080"/>
      <c r="G12080"/>
      <c r="H12080"/>
      <c r="I12080"/>
      <c r="K12080"/>
      <c r="O12080"/>
      <c r="R12080"/>
      <c r="W12080" s="4"/>
      <c r="X12080" s="4"/>
      <c r="Y12080" s="4"/>
    </row>
    <row r="12081" spans="5:25">
      <c r="E12081"/>
      <c r="G12081"/>
      <c r="H12081"/>
      <c r="I12081"/>
      <c r="K12081"/>
      <c r="O12081"/>
      <c r="R12081"/>
      <c r="W12081" s="4"/>
      <c r="X12081" s="4"/>
      <c r="Y12081" s="4"/>
    </row>
    <row r="12082" spans="5:25">
      <c r="E12082"/>
      <c r="G12082"/>
      <c r="H12082"/>
      <c r="I12082"/>
      <c r="K12082"/>
      <c r="O12082"/>
      <c r="R12082"/>
      <c r="W12082" s="4"/>
      <c r="X12082" s="4"/>
      <c r="Y12082" s="4"/>
    </row>
    <row r="12083" spans="5:25">
      <c r="E12083"/>
      <c r="G12083"/>
      <c r="H12083"/>
      <c r="I12083"/>
      <c r="K12083"/>
      <c r="O12083"/>
      <c r="R12083"/>
      <c r="W12083" s="4"/>
      <c r="X12083" s="4"/>
      <c r="Y12083" s="4"/>
    </row>
    <row r="12084" spans="5:25">
      <c r="E12084"/>
      <c r="G12084"/>
      <c r="H12084"/>
      <c r="I12084"/>
      <c r="K12084"/>
      <c r="O12084"/>
      <c r="R12084"/>
      <c r="W12084" s="4"/>
      <c r="X12084" s="4"/>
      <c r="Y12084" s="4"/>
    </row>
    <row r="12085" spans="5:25">
      <c r="E12085"/>
      <c r="G12085"/>
      <c r="H12085"/>
      <c r="I12085"/>
      <c r="K12085"/>
      <c r="O12085"/>
      <c r="R12085"/>
      <c r="W12085" s="4"/>
      <c r="X12085" s="4"/>
      <c r="Y12085" s="4"/>
    </row>
    <row r="12086" spans="5:25">
      <c r="E12086"/>
      <c r="G12086"/>
      <c r="H12086"/>
      <c r="I12086"/>
      <c r="K12086"/>
      <c r="O12086"/>
      <c r="R12086"/>
      <c r="W12086" s="4"/>
      <c r="X12086" s="4"/>
      <c r="Y12086" s="4"/>
    </row>
    <row r="12087" spans="5:25">
      <c r="E12087"/>
      <c r="G12087"/>
      <c r="H12087"/>
      <c r="I12087"/>
      <c r="K12087"/>
      <c r="O12087"/>
      <c r="R12087"/>
      <c r="W12087" s="4"/>
      <c r="X12087" s="4"/>
      <c r="Y12087" s="4"/>
    </row>
    <row r="12088" spans="5:25">
      <c r="E12088"/>
      <c r="G12088"/>
      <c r="H12088"/>
      <c r="I12088"/>
      <c r="K12088"/>
      <c r="O12088"/>
      <c r="R12088"/>
      <c r="W12088" s="4"/>
      <c r="X12088" s="4"/>
      <c r="Y12088" s="4"/>
    </row>
    <row r="12089" spans="5:25">
      <c r="E12089"/>
      <c r="G12089"/>
      <c r="H12089"/>
      <c r="I12089"/>
      <c r="K12089"/>
      <c r="O12089"/>
      <c r="R12089"/>
      <c r="W12089" s="4"/>
      <c r="X12089" s="4"/>
      <c r="Y12089" s="4"/>
    </row>
    <row r="12090" spans="5:25">
      <c r="E12090"/>
      <c r="G12090"/>
      <c r="H12090"/>
      <c r="I12090"/>
      <c r="K12090"/>
      <c r="O12090"/>
      <c r="R12090"/>
      <c r="W12090" s="4"/>
      <c r="X12090" s="4"/>
      <c r="Y12090" s="4"/>
    </row>
    <row r="12091" spans="5:25">
      <c r="E12091"/>
      <c r="G12091"/>
      <c r="H12091"/>
      <c r="I12091"/>
      <c r="K12091"/>
      <c r="O12091"/>
      <c r="R12091"/>
      <c r="W12091" s="4"/>
      <c r="X12091" s="4"/>
      <c r="Y12091" s="4"/>
    </row>
    <row r="12092" spans="5:25">
      <c r="E12092"/>
      <c r="G12092"/>
      <c r="H12092"/>
      <c r="I12092"/>
      <c r="K12092"/>
      <c r="O12092"/>
      <c r="R12092"/>
      <c r="W12092" s="4"/>
      <c r="X12092" s="4"/>
      <c r="Y12092" s="4"/>
    </row>
    <row r="12093" spans="5:25">
      <c r="E12093"/>
      <c r="G12093"/>
      <c r="H12093"/>
      <c r="I12093"/>
      <c r="K12093"/>
      <c r="O12093"/>
      <c r="R12093"/>
      <c r="W12093" s="4"/>
      <c r="X12093" s="4"/>
      <c r="Y12093" s="4"/>
    </row>
    <row r="12094" spans="5:25">
      <c r="E12094"/>
      <c r="G12094"/>
      <c r="H12094"/>
      <c r="I12094"/>
      <c r="K12094"/>
      <c r="O12094"/>
      <c r="R12094"/>
      <c r="W12094" s="4"/>
      <c r="X12094" s="4"/>
      <c r="Y12094" s="4"/>
    </row>
    <row r="12095" spans="5:25">
      <c r="E12095"/>
      <c r="G12095"/>
      <c r="H12095"/>
      <c r="I12095"/>
      <c r="K12095"/>
      <c r="O12095"/>
      <c r="R12095"/>
      <c r="W12095" s="4"/>
      <c r="X12095" s="4"/>
      <c r="Y12095" s="4"/>
    </row>
    <row r="12096" spans="5:25">
      <c r="E12096"/>
      <c r="G12096"/>
      <c r="H12096"/>
      <c r="I12096"/>
      <c r="K12096"/>
      <c r="O12096"/>
      <c r="R12096"/>
      <c r="W12096" s="4"/>
      <c r="X12096" s="4"/>
      <c r="Y12096" s="4"/>
    </row>
    <row r="12097" spans="5:25">
      <c r="E12097"/>
      <c r="G12097"/>
      <c r="H12097"/>
      <c r="I12097"/>
      <c r="K12097"/>
      <c r="O12097"/>
      <c r="R12097"/>
      <c r="W12097" s="4"/>
      <c r="X12097" s="4"/>
      <c r="Y12097" s="4"/>
    </row>
    <row r="12098" spans="5:25">
      <c r="E12098"/>
      <c r="G12098"/>
      <c r="H12098"/>
      <c r="I12098"/>
      <c r="K12098"/>
      <c r="O12098"/>
      <c r="R12098"/>
      <c r="W12098" s="4"/>
      <c r="X12098" s="4"/>
      <c r="Y12098" s="4"/>
    </row>
    <row r="12099" spans="5:25">
      <c r="E12099"/>
      <c r="G12099"/>
      <c r="H12099"/>
      <c r="I12099"/>
      <c r="K12099"/>
      <c r="O12099"/>
      <c r="R12099"/>
      <c r="W12099" s="4"/>
      <c r="X12099" s="4"/>
      <c r="Y12099" s="4"/>
    </row>
    <row r="12100" spans="5:25">
      <c r="E12100"/>
      <c r="G12100"/>
      <c r="H12100"/>
      <c r="I12100"/>
      <c r="K12100"/>
      <c r="O12100"/>
      <c r="R12100"/>
      <c r="W12100" s="4"/>
      <c r="X12100" s="4"/>
      <c r="Y12100" s="4"/>
    </row>
    <row r="12101" spans="5:25">
      <c r="E12101"/>
      <c r="G12101"/>
      <c r="H12101"/>
      <c r="I12101"/>
      <c r="K12101"/>
      <c r="O12101"/>
      <c r="R12101"/>
      <c r="W12101" s="4"/>
      <c r="X12101" s="4"/>
      <c r="Y12101" s="4"/>
    </row>
    <row r="12102" spans="5:25">
      <c r="E12102"/>
      <c r="G12102"/>
      <c r="H12102"/>
      <c r="I12102"/>
      <c r="K12102"/>
      <c r="O12102"/>
      <c r="R12102"/>
      <c r="W12102" s="4"/>
      <c r="X12102" s="4"/>
      <c r="Y12102" s="4"/>
    </row>
    <row r="12103" spans="5:25">
      <c r="E12103"/>
      <c r="G12103"/>
      <c r="H12103"/>
      <c r="I12103"/>
      <c r="K12103"/>
      <c r="O12103"/>
      <c r="R12103"/>
      <c r="W12103" s="4"/>
      <c r="X12103" s="4"/>
      <c r="Y12103" s="4"/>
    </row>
    <row r="12104" spans="5:25">
      <c r="E12104"/>
      <c r="G12104"/>
      <c r="H12104"/>
      <c r="I12104"/>
      <c r="K12104"/>
      <c r="O12104"/>
      <c r="R12104"/>
      <c r="W12104" s="4"/>
      <c r="X12104" s="4"/>
      <c r="Y12104" s="4"/>
    </row>
    <row r="12105" spans="5:25">
      <c r="E12105"/>
      <c r="G12105"/>
      <c r="H12105"/>
      <c r="I12105"/>
      <c r="K12105"/>
      <c r="O12105"/>
      <c r="R12105"/>
      <c r="W12105" s="4"/>
      <c r="X12105" s="4"/>
      <c r="Y12105" s="4"/>
    </row>
    <row r="12106" spans="5:25">
      <c r="E12106"/>
      <c r="G12106"/>
      <c r="H12106"/>
      <c r="I12106"/>
      <c r="K12106"/>
      <c r="O12106"/>
      <c r="R12106"/>
      <c r="W12106" s="4"/>
      <c r="X12106" s="4"/>
      <c r="Y12106" s="4"/>
    </row>
    <row r="12107" spans="5:25">
      <c r="E12107"/>
      <c r="G12107"/>
      <c r="H12107"/>
      <c r="I12107"/>
      <c r="K12107"/>
      <c r="O12107"/>
      <c r="R12107"/>
      <c r="W12107" s="4"/>
      <c r="X12107" s="4"/>
      <c r="Y12107" s="4"/>
    </row>
    <row r="12108" spans="5:25">
      <c r="E12108"/>
      <c r="G12108"/>
      <c r="H12108"/>
      <c r="I12108"/>
      <c r="K12108"/>
      <c r="O12108"/>
      <c r="R12108"/>
      <c r="W12108" s="4"/>
      <c r="X12108" s="4"/>
      <c r="Y12108" s="4"/>
    </row>
    <row r="12109" spans="5:25">
      <c r="E12109"/>
      <c r="G12109"/>
      <c r="H12109"/>
      <c r="I12109"/>
      <c r="K12109"/>
      <c r="O12109"/>
      <c r="R12109"/>
      <c r="W12109" s="4"/>
      <c r="X12109" s="4"/>
      <c r="Y12109" s="4"/>
    </row>
    <row r="12110" spans="5:25">
      <c r="E12110"/>
      <c r="G12110"/>
      <c r="H12110"/>
      <c r="I12110"/>
      <c r="K12110"/>
      <c r="O12110"/>
      <c r="R12110"/>
      <c r="W12110" s="4"/>
      <c r="X12110" s="4"/>
      <c r="Y12110" s="4"/>
    </row>
    <row r="12111" spans="5:25">
      <c r="E12111"/>
      <c r="G12111"/>
      <c r="H12111"/>
      <c r="I12111"/>
      <c r="K12111"/>
      <c r="O12111"/>
      <c r="R12111"/>
      <c r="W12111" s="4"/>
      <c r="X12111" s="4"/>
      <c r="Y12111" s="4"/>
    </row>
    <row r="12112" spans="5:25">
      <c r="E12112"/>
      <c r="G12112"/>
      <c r="H12112"/>
      <c r="I12112"/>
      <c r="K12112"/>
      <c r="O12112"/>
      <c r="R12112"/>
      <c r="W12112" s="4"/>
      <c r="X12112" s="4"/>
      <c r="Y12112" s="4"/>
    </row>
    <row r="12113" spans="5:25">
      <c r="E12113"/>
      <c r="G12113"/>
      <c r="H12113"/>
      <c r="I12113"/>
      <c r="K12113"/>
      <c r="O12113"/>
      <c r="R12113"/>
      <c r="W12113" s="4"/>
      <c r="X12113" s="4"/>
      <c r="Y12113" s="4"/>
    </row>
    <row r="12114" spans="5:25">
      <c r="E12114"/>
      <c r="G12114"/>
      <c r="H12114"/>
      <c r="I12114"/>
      <c r="K12114"/>
      <c r="O12114"/>
      <c r="R12114"/>
      <c r="W12114" s="4"/>
      <c r="X12114" s="4"/>
      <c r="Y12114" s="4"/>
    </row>
    <row r="12115" spans="5:25">
      <c r="E12115"/>
      <c r="G12115"/>
      <c r="H12115"/>
      <c r="I12115"/>
      <c r="K12115"/>
      <c r="O12115"/>
      <c r="R12115"/>
      <c r="W12115" s="4"/>
      <c r="X12115" s="4"/>
      <c r="Y12115" s="4"/>
    </row>
    <row r="12116" spans="5:25">
      <c r="E12116"/>
      <c r="G12116"/>
      <c r="H12116"/>
      <c r="I12116"/>
      <c r="K12116"/>
      <c r="O12116"/>
      <c r="R12116"/>
      <c r="W12116" s="4"/>
      <c r="X12116" s="4"/>
      <c r="Y12116" s="4"/>
    </row>
    <row r="12117" spans="5:25">
      <c r="E12117"/>
      <c r="G12117"/>
      <c r="H12117"/>
      <c r="I12117"/>
      <c r="K12117"/>
      <c r="O12117"/>
      <c r="R12117"/>
      <c r="W12117" s="4"/>
      <c r="X12117" s="4"/>
      <c r="Y12117" s="4"/>
    </row>
    <row r="12118" spans="5:25">
      <c r="E12118"/>
      <c r="G12118"/>
      <c r="H12118"/>
      <c r="I12118"/>
      <c r="K12118"/>
      <c r="O12118"/>
      <c r="R12118"/>
      <c r="W12118" s="4"/>
      <c r="X12118" s="4"/>
      <c r="Y12118" s="4"/>
    </row>
    <row r="12119" spans="5:25">
      <c r="E12119"/>
      <c r="G12119"/>
      <c r="H12119"/>
      <c r="I12119"/>
      <c r="K12119"/>
      <c r="O12119"/>
      <c r="R12119"/>
      <c r="W12119" s="4"/>
      <c r="X12119" s="4"/>
      <c r="Y12119" s="4"/>
    </row>
    <row r="12120" spans="5:25">
      <c r="E12120"/>
      <c r="G12120"/>
      <c r="H12120"/>
      <c r="I12120"/>
      <c r="K12120"/>
      <c r="O12120"/>
      <c r="R12120"/>
      <c r="W12120" s="4"/>
      <c r="X12120" s="4"/>
      <c r="Y12120" s="4"/>
    </row>
    <row r="12121" spans="5:25">
      <c r="E12121"/>
      <c r="G12121"/>
      <c r="H12121"/>
      <c r="I12121"/>
      <c r="K12121"/>
      <c r="O12121"/>
      <c r="R12121"/>
      <c r="W12121" s="4"/>
      <c r="X12121" s="4"/>
      <c r="Y12121" s="4"/>
    </row>
    <row r="12122" spans="5:25">
      <c r="E12122"/>
      <c r="G12122"/>
      <c r="H12122"/>
      <c r="I12122"/>
      <c r="K12122"/>
      <c r="O12122"/>
      <c r="R12122"/>
      <c r="W12122" s="4"/>
      <c r="X12122" s="4"/>
      <c r="Y12122" s="4"/>
    </row>
    <row r="12123" spans="5:25">
      <c r="E12123"/>
      <c r="G12123"/>
      <c r="H12123"/>
      <c r="I12123"/>
      <c r="K12123"/>
      <c r="O12123"/>
      <c r="R12123"/>
      <c r="W12123" s="4"/>
      <c r="X12123" s="4"/>
      <c r="Y12123" s="4"/>
    </row>
    <row r="12124" spans="5:25">
      <c r="E12124"/>
      <c r="G12124"/>
      <c r="H12124"/>
      <c r="I12124"/>
      <c r="K12124"/>
      <c r="O12124"/>
      <c r="R12124"/>
      <c r="W12124" s="4"/>
      <c r="X12124" s="4"/>
      <c r="Y12124" s="4"/>
    </row>
    <row r="12125" spans="5:25">
      <c r="E12125"/>
      <c r="G12125"/>
      <c r="H12125"/>
      <c r="I12125"/>
      <c r="K12125"/>
      <c r="O12125"/>
      <c r="R12125"/>
      <c r="W12125" s="4"/>
      <c r="X12125" s="4"/>
      <c r="Y12125" s="4"/>
    </row>
    <row r="12126" spans="5:25">
      <c r="E12126"/>
      <c r="G12126"/>
      <c r="H12126"/>
      <c r="I12126"/>
      <c r="K12126"/>
      <c r="O12126"/>
      <c r="R12126"/>
      <c r="W12126" s="4"/>
      <c r="X12126" s="4"/>
      <c r="Y12126" s="4"/>
    </row>
    <row r="12127" spans="5:25">
      <c r="E12127"/>
      <c r="G12127"/>
      <c r="H12127"/>
      <c r="I12127"/>
      <c r="K12127"/>
      <c r="O12127"/>
      <c r="R12127"/>
      <c r="W12127" s="4"/>
      <c r="X12127" s="4"/>
      <c r="Y12127" s="4"/>
    </row>
    <row r="12128" spans="5:25">
      <c r="E12128"/>
      <c r="G12128"/>
      <c r="H12128"/>
      <c r="I12128"/>
      <c r="K12128"/>
      <c r="O12128"/>
      <c r="R12128"/>
      <c r="W12128" s="4"/>
      <c r="X12128" s="4"/>
      <c r="Y12128" s="4"/>
    </row>
    <row r="12129" spans="5:25">
      <c r="E12129"/>
      <c r="G12129"/>
      <c r="H12129"/>
      <c r="I12129"/>
      <c r="K12129"/>
      <c r="O12129"/>
      <c r="R12129"/>
      <c r="W12129" s="4"/>
      <c r="X12129" s="4"/>
      <c r="Y12129" s="4"/>
    </row>
    <row r="12130" spans="5:25">
      <c r="E12130"/>
      <c r="G12130"/>
      <c r="H12130"/>
      <c r="I12130"/>
      <c r="K12130"/>
      <c r="O12130"/>
      <c r="R12130"/>
      <c r="W12130" s="4"/>
      <c r="X12130" s="4"/>
      <c r="Y12130" s="4"/>
    </row>
    <row r="12131" spans="5:25">
      <c r="E12131"/>
      <c r="G12131"/>
      <c r="H12131"/>
      <c r="I12131"/>
      <c r="K12131"/>
      <c r="O12131"/>
      <c r="R12131"/>
      <c r="W12131" s="4"/>
      <c r="X12131" s="4"/>
      <c r="Y12131" s="4"/>
    </row>
    <row r="12132" spans="5:25">
      <c r="E12132"/>
      <c r="G12132"/>
      <c r="H12132"/>
      <c r="I12132"/>
      <c r="K12132"/>
      <c r="O12132"/>
      <c r="R12132"/>
      <c r="W12132" s="4"/>
      <c r="X12132" s="4"/>
      <c r="Y12132" s="4"/>
    </row>
    <row r="12133" spans="5:25">
      <c r="E12133"/>
      <c r="G12133"/>
      <c r="H12133"/>
      <c r="I12133"/>
      <c r="K12133"/>
      <c r="O12133"/>
      <c r="R12133"/>
      <c r="W12133" s="4"/>
      <c r="X12133" s="4"/>
      <c r="Y12133" s="4"/>
    </row>
    <row r="12134" spans="5:25">
      <c r="E12134"/>
      <c r="G12134"/>
      <c r="H12134"/>
      <c r="I12134"/>
      <c r="K12134"/>
      <c r="O12134"/>
      <c r="R12134"/>
      <c r="W12134" s="4"/>
      <c r="X12134" s="4"/>
      <c r="Y12134" s="4"/>
    </row>
    <row r="12135" spans="5:25">
      <c r="E12135"/>
      <c r="G12135"/>
      <c r="H12135"/>
      <c r="I12135"/>
      <c r="K12135"/>
      <c r="O12135"/>
      <c r="R12135"/>
      <c r="W12135" s="4"/>
      <c r="X12135" s="4"/>
      <c r="Y12135" s="4"/>
    </row>
    <row r="12136" spans="5:25">
      <c r="E12136"/>
      <c r="G12136"/>
      <c r="H12136"/>
      <c r="I12136"/>
      <c r="K12136"/>
      <c r="O12136"/>
      <c r="R12136"/>
      <c r="W12136" s="4"/>
      <c r="X12136" s="4"/>
      <c r="Y12136" s="4"/>
    </row>
    <row r="12137" spans="5:25">
      <c r="E12137"/>
      <c r="G12137"/>
      <c r="H12137"/>
      <c r="I12137"/>
      <c r="K12137"/>
      <c r="O12137"/>
      <c r="R12137"/>
      <c r="W12137" s="4"/>
      <c r="X12137" s="4"/>
      <c r="Y12137" s="4"/>
    </row>
    <row r="12138" spans="5:25">
      <c r="E12138"/>
      <c r="G12138"/>
      <c r="H12138"/>
      <c r="I12138"/>
      <c r="K12138"/>
      <c r="O12138"/>
      <c r="R12138"/>
      <c r="W12138" s="4"/>
      <c r="X12138" s="4"/>
      <c r="Y12138" s="4"/>
    </row>
    <row r="12139" spans="5:25">
      <c r="E12139"/>
      <c r="G12139"/>
      <c r="H12139"/>
      <c r="I12139"/>
      <c r="K12139"/>
      <c r="O12139"/>
      <c r="R12139"/>
      <c r="W12139" s="4"/>
      <c r="X12139" s="4"/>
      <c r="Y12139" s="4"/>
    </row>
    <row r="12140" spans="5:25">
      <c r="E12140"/>
      <c r="G12140"/>
      <c r="H12140"/>
      <c r="I12140"/>
      <c r="K12140"/>
      <c r="O12140"/>
      <c r="R12140"/>
      <c r="W12140" s="4"/>
      <c r="X12140" s="4"/>
      <c r="Y12140" s="4"/>
    </row>
    <row r="12141" spans="5:25">
      <c r="E12141"/>
      <c r="G12141"/>
      <c r="H12141"/>
      <c r="I12141"/>
      <c r="K12141"/>
      <c r="O12141"/>
      <c r="R12141"/>
      <c r="W12141" s="4"/>
      <c r="X12141" s="4"/>
      <c r="Y12141" s="4"/>
    </row>
    <row r="12142" spans="5:25">
      <c r="E12142"/>
      <c r="G12142"/>
      <c r="H12142"/>
      <c r="I12142"/>
      <c r="K12142"/>
      <c r="O12142"/>
      <c r="R12142"/>
      <c r="W12142" s="4"/>
      <c r="X12142" s="4"/>
      <c r="Y12142" s="4"/>
    </row>
    <row r="12143" spans="5:25">
      <c r="E12143"/>
      <c r="G12143"/>
      <c r="H12143"/>
      <c r="I12143"/>
      <c r="K12143"/>
      <c r="O12143"/>
      <c r="R12143"/>
      <c r="W12143" s="4"/>
      <c r="X12143" s="4"/>
      <c r="Y12143" s="4"/>
    </row>
    <row r="12144" spans="5:25">
      <c r="E12144"/>
      <c r="G12144"/>
      <c r="H12144"/>
      <c r="I12144"/>
      <c r="K12144"/>
      <c r="O12144"/>
      <c r="R12144"/>
      <c r="W12144" s="4"/>
      <c r="X12144" s="4"/>
      <c r="Y12144" s="4"/>
    </row>
    <row r="12145" spans="5:25">
      <c r="E12145"/>
      <c r="G12145"/>
      <c r="H12145"/>
      <c r="I12145"/>
      <c r="K12145"/>
      <c r="O12145"/>
      <c r="R12145"/>
      <c r="W12145" s="4"/>
      <c r="X12145" s="4"/>
      <c r="Y12145" s="4"/>
    </row>
    <row r="12146" spans="5:25">
      <c r="E12146"/>
      <c r="G12146"/>
      <c r="H12146"/>
      <c r="I12146"/>
      <c r="K12146"/>
      <c r="O12146"/>
      <c r="R12146"/>
      <c r="W12146" s="4"/>
      <c r="X12146" s="4"/>
      <c r="Y12146" s="4"/>
    </row>
    <row r="12147" spans="5:25">
      <c r="E12147"/>
      <c r="G12147"/>
      <c r="H12147"/>
      <c r="I12147"/>
      <c r="K12147"/>
      <c r="O12147"/>
      <c r="R12147"/>
      <c r="W12147" s="4"/>
      <c r="X12147" s="4"/>
      <c r="Y12147" s="4"/>
    </row>
    <row r="12148" spans="5:25">
      <c r="E12148"/>
      <c r="G12148"/>
      <c r="H12148"/>
      <c r="I12148"/>
      <c r="K12148"/>
      <c r="O12148"/>
      <c r="R12148"/>
      <c r="W12148" s="4"/>
      <c r="X12148" s="4"/>
      <c r="Y12148" s="4"/>
    </row>
    <row r="12149" spans="5:25">
      <c r="E12149"/>
      <c r="G12149"/>
      <c r="H12149"/>
      <c r="I12149"/>
      <c r="K12149"/>
      <c r="O12149"/>
      <c r="R12149"/>
      <c r="W12149" s="4"/>
      <c r="X12149" s="4"/>
      <c r="Y12149" s="4"/>
    </row>
    <row r="12150" spans="5:25">
      <c r="E12150"/>
      <c r="G12150"/>
      <c r="H12150"/>
      <c r="I12150"/>
      <c r="K12150"/>
      <c r="O12150"/>
      <c r="R12150"/>
      <c r="W12150" s="4"/>
      <c r="X12150" s="4"/>
      <c r="Y12150" s="4"/>
    </row>
    <row r="12151" spans="5:25">
      <c r="E12151"/>
      <c r="G12151"/>
      <c r="H12151"/>
      <c r="I12151"/>
      <c r="K12151"/>
      <c r="O12151"/>
      <c r="R12151"/>
      <c r="W12151" s="4"/>
      <c r="X12151" s="4"/>
      <c r="Y12151" s="4"/>
    </row>
    <row r="12152" spans="5:25">
      <c r="E12152"/>
      <c r="G12152"/>
      <c r="H12152"/>
      <c r="I12152"/>
      <c r="K12152"/>
      <c r="O12152"/>
      <c r="R12152"/>
      <c r="W12152" s="4"/>
      <c r="X12152" s="4"/>
      <c r="Y12152" s="4"/>
    </row>
    <row r="12153" spans="5:25">
      <c r="E12153"/>
      <c r="G12153"/>
      <c r="H12153"/>
      <c r="I12153"/>
      <c r="K12153"/>
      <c r="O12153"/>
      <c r="R12153"/>
      <c r="W12153" s="4"/>
      <c r="X12153" s="4"/>
      <c r="Y12153" s="4"/>
    </row>
    <row r="12154" spans="5:25">
      <c r="E12154"/>
      <c r="G12154"/>
      <c r="H12154"/>
      <c r="I12154"/>
      <c r="K12154"/>
      <c r="O12154"/>
      <c r="R12154"/>
      <c r="W12154" s="4"/>
      <c r="X12154" s="4"/>
      <c r="Y12154" s="4"/>
    </row>
    <row r="12155" spans="5:25">
      <c r="E12155"/>
      <c r="G12155"/>
      <c r="H12155"/>
      <c r="I12155"/>
      <c r="K12155"/>
      <c r="O12155"/>
      <c r="R12155"/>
      <c r="W12155" s="4"/>
      <c r="X12155" s="4"/>
      <c r="Y12155" s="4"/>
    </row>
    <row r="12156" spans="5:25">
      <c r="E12156"/>
      <c r="G12156"/>
      <c r="H12156"/>
      <c r="I12156"/>
      <c r="K12156"/>
      <c r="O12156"/>
      <c r="R12156"/>
      <c r="W12156" s="4"/>
      <c r="X12156" s="4"/>
      <c r="Y12156" s="4"/>
    </row>
    <row r="12157" spans="5:25">
      <c r="E12157"/>
      <c r="G12157"/>
      <c r="H12157"/>
      <c r="I12157"/>
      <c r="K12157"/>
      <c r="O12157"/>
      <c r="R12157"/>
      <c r="W12157" s="4"/>
      <c r="X12157" s="4"/>
      <c r="Y12157" s="4"/>
    </row>
    <row r="12158" spans="5:25">
      <c r="E12158"/>
      <c r="G12158"/>
      <c r="H12158"/>
      <c r="I12158"/>
      <c r="K12158"/>
      <c r="O12158"/>
      <c r="R12158"/>
      <c r="W12158" s="4"/>
      <c r="X12158" s="4"/>
      <c r="Y12158" s="4"/>
    </row>
    <row r="12159" spans="5:25">
      <c r="E12159"/>
      <c r="G12159"/>
      <c r="H12159"/>
      <c r="I12159"/>
      <c r="K12159"/>
      <c r="O12159"/>
      <c r="R12159"/>
      <c r="W12159" s="4"/>
      <c r="X12159" s="4"/>
      <c r="Y12159" s="4"/>
    </row>
    <row r="12160" spans="5:25">
      <c r="E12160"/>
      <c r="G12160"/>
      <c r="H12160"/>
      <c r="I12160"/>
      <c r="K12160"/>
      <c r="O12160"/>
      <c r="R12160"/>
      <c r="W12160" s="4"/>
      <c r="X12160" s="4"/>
      <c r="Y12160" s="4"/>
    </row>
    <row r="12161" spans="5:25">
      <c r="E12161"/>
      <c r="G12161"/>
      <c r="H12161"/>
      <c r="I12161"/>
      <c r="K12161"/>
      <c r="O12161"/>
      <c r="R12161"/>
      <c r="W12161" s="4"/>
      <c r="X12161" s="4"/>
      <c r="Y12161" s="4"/>
    </row>
    <row r="12162" spans="5:25">
      <c r="E12162"/>
      <c r="G12162"/>
      <c r="H12162"/>
      <c r="I12162"/>
      <c r="K12162"/>
      <c r="O12162"/>
      <c r="R12162"/>
      <c r="W12162" s="4"/>
      <c r="X12162" s="4"/>
      <c r="Y12162" s="4"/>
    </row>
    <row r="12163" spans="5:25">
      <c r="E12163"/>
      <c r="G12163"/>
      <c r="H12163"/>
      <c r="I12163"/>
      <c r="K12163"/>
      <c r="O12163"/>
      <c r="R12163"/>
      <c r="W12163" s="4"/>
      <c r="X12163" s="4"/>
      <c r="Y12163" s="4"/>
    </row>
    <row r="12164" spans="5:25">
      <c r="E12164"/>
      <c r="G12164"/>
      <c r="H12164"/>
      <c r="I12164"/>
      <c r="K12164"/>
      <c r="O12164"/>
      <c r="R12164"/>
      <c r="W12164" s="4"/>
      <c r="X12164" s="4"/>
      <c r="Y12164" s="4"/>
    </row>
    <row r="12165" spans="5:25">
      <c r="E12165"/>
      <c r="G12165"/>
      <c r="H12165"/>
      <c r="I12165"/>
      <c r="K12165"/>
      <c r="O12165"/>
      <c r="R12165"/>
      <c r="W12165" s="4"/>
      <c r="X12165" s="4"/>
      <c r="Y12165" s="4"/>
    </row>
    <row r="12166" spans="5:25">
      <c r="E12166"/>
      <c r="G12166"/>
      <c r="H12166"/>
      <c r="I12166"/>
      <c r="K12166"/>
      <c r="O12166"/>
      <c r="R12166"/>
      <c r="W12166" s="4"/>
      <c r="X12166" s="4"/>
      <c r="Y12166" s="4"/>
    </row>
    <row r="12167" spans="5:25">
      <c r="E12167"/>
      <c r="G12167"/>
      <c r="H12167"/>
      <c r="I12167"/>
      <c r="K12167"/>
      <c r="O12167"/>
      <c r="R12167"/>
      <c r="W12167" s="4"/>
      <c r="X12167" s="4"/>
      <c r="Y12167" s="4"/>
    </row>
    <row r="12168" spans="5:25">
      <c r="E12168"/>
      <c r="G12168"/>
      <c r="H12168"/>
      <c r="I12168"/>
      <c r="K12168"/>
      <c r="O12168"/>
      <c r="R12168"/>
      <c r="W12168" s="4"/>
      <c r="X12168" s="4"/>
      <c r="Y12168" s="4"/>
    </row>
    <row r="12169" spans="5:25">
      <c r="E12169"/>
      <c r="G12169"/>
      <c r="H12169"/>
      <c r="I12169"/>
      <c r="K12169"/>
      <c r="O12169"/>
      <c r="R12169"/>
      <c r="W12169" s="4"/>
      <c r="X12169" s="4"/>
      <c r="Y12169" s="4"/>
    </row>
    <row r="12170" spans="5:25">
      <c r="E12170"/>
      <c r="G12170"/>
      <c r="H12170"/>
      <c r="I12170"/>
      <c r="K12170"/>
      <c r="O12170"/>
      <c r="R12170"/>
      <c r="W12170" s="4"/>
      <c r="X12170" s="4"/>
      <c r="Y12170" s="4"/>
    </row>
    <row r="12171" spans="5:25">
      <c r="E12171"/>
      <c r="G12171"/>
      <c r="H12171"/>
      <c r="I12171"/>
      <c r="K12171"/>
      <c r="O12171"/>
      <c r="R12171"/>
      <c r="W12171" s="4"/>
      <c r="X12171" s="4"/>
      <c r="Y12171" s="4"/>
    </row>
    <row r="12172" spans="5:25">
      <c r="E12172"/>
      <c r="G12172"/>
      <c r="H12172"/>
      <c r="I12172"/>
      <c r="K12172"/>
      <c r="O12172"/>
      <c r="R12172"/>
      <c r="W12172" s="4"/>
      <c r="X12172" s="4"/>
      <c r="Y12172" s="4"/>
    </row>
    <row r="12173" spans="5:25">
      <c r="E12173"/>
      <c r="G12173"/>
      <c r="H12173"/>
      <c r="I12173"/>
      <c r="K12173"/>
      <c r="O12173"/>
      <c r="R12173"/>
      <c r="W12173" s="4"/>
      <c r="X12173" s="4"/>
      <c r="Y12173" s="4"/>
    </row>
    <row r="12174" spans="5:25">
      <c r="E12174"/>
      <c r="G12174"/>
      <c r="H12174"/>
      <c r="I12174"/>
      <c r="K12174"/>
      <c r="O12174"/>
      <c r="R12174"/>
      <c r="W12174" s="4"/>
      <c r="X12174" s="4"/>
      <c r="Y12174" s="4"/>
    </row>
    <row r="12175" spans="5:25">
      <c r="E12175"/>
      <c r="G12175"/>
      <c r="H12175"/>
      <c r="I12175"/>
      <c r="K12175"/>
      <c r="O12175"/>
      <c r="R12175"/>
      <c r="W12175" s="4"/>
      <c r="X12175" s="4"/>
      <c r="Y12175" s="4"/>
    </row>
    <row r="12176" spans="5:25">
      <c r="E12176"/>
      <c r="G12176"/>
      <c r="H12176"/>
      <c r="I12176"/>
      <c r="K12176"/>
      <c r="O12176"/>
      <c r="R12176"/>
      <c r="W12176" s="4"/>
      <c r="X12176" s="4"/>
      <c r="Y12176" s="4"/>
    </row>
    <row r="12177" spans="5:25">
      <c r="E12177"/>
      <c r="G12177"/>
      <c r="H12177"/>
      <c r="I12177"/>
      <c r="K12177"/>
      <c r="O12177"/>
      <c r="R12177"/>
      <c r="W12177" s="4"/>
      <c r="X12177" s="4"/>
      <c r="Y12177" s="4"/>
    </row>
    <row r="12178" spans="5:25">
      <c r="E12178"/>
      <c r="G12178"/>
      <c r="H12178"/>
      <c r="I12178"/>
      <c r="K12178"/>
      <c r="O12178"/>
      <c r="R12178"/>
      <c r="W12178" s="4"/>
      <c r="X12178" s="4"/>
      <c r="Y12178" s="4"/>
    </row>
    <row r="12179" spans="5:25">
      <c r="E12179"/>
      <c r="G12179"/>
      <c r="H12179"/>
      <c r="I12179"/>
      <c r="K12179"/>
      <c r="O12179"/>
      <c r="R12179"/>
      <c r="W12179" s="4"/>
      <c r="X12179" s="4"/>
      <c r="Y12179" s="4"/>
    </row>
    <row r="12180" spans="5:25">
      <c r="E12180"/>
      <c r="G12180"/>
      <c r="H12180"/>
      <c r="I12180"/>
      <c r="K12180"/>
      <c r="O12180"/>
      <c r="R12180"/>
      <c r="W12180" s="4"/>
      <c r="X12180" s="4"/>
      <c r="Y12180" s="4"/>
    </row>
    <row r="12181" spans="5:25">
      <c r="E12181"/>
      <c r="G12181"/>
      <c r="H12181"/>
      <c r="I12181"/>
      <c r="K12181"/>
      <c r="O12181"/>
      <c r="R12181"/>
      <c r="W12181" s="4"/>
      <c r="X12181" s="4"/>
      <c r="Y12181" s="4"/>
    </row>
    <row r="12182" spans="5:25">
      <c r="E12182"/>
      <c r="G12182"/>
      <c r="H12182"/>
      <c r="I12182"/>
      <c r="K12182"/>
      <c r="O12182"/>
      <c r="R12182"/>
      <c r="W12182" s="4"/>
      <c r="X12182" s="4"/>
      <c r="Y12182" s="4"/>
    </row>
    <row r="12183" spans="5:25">
      <c r="E12183"/>
      <c r="G12183"/>
      <c r="H12183"/>
      <c r="I12183"/>
      <c r="K12183"/>
      <c r="O12183"/>
      <c r="R12183"/>
      <c r="W12183" s="4"/>
      <c r="X12183" s="4"/>
      <c r="Y12183" s="4"/>
    </row>
    <row r="12184" spans="5:25">
      <c r="E12184"/>
      <c r="G12184"/>
      <c r="H12184"/>
      <c r="I12184"/>
      <c r="K12184"/>
      <c r="O12184"/>
      <c r="R12184"/>
      <c r="W12184" s="4"/>
      <c r="X12184" s="4"/>
      <c r="Y12184" s="4"/>
    </row>
    <row r="12185" spans="5:25">
      <c r="E12185"/>
      <c r="G12185"/>
      <c r="H12185"/>
      <c r="I12185"/>
      <c r="K12185"/>
      <c r="O12185"/>
      <c r="R12185"/>
      <c r="W12185" s="4"/>
      <c r="X12185" s="4"/>
      <c r="Y12185" s="4"/>
    </row>
    <row r="12186" spans="5:25">
      <c r="E12186"/>
      <c r="G12186"/>
      <c r="H12186"/>
      <c r="I12186"/>
      <c r="K12186"/>
      <c r="O12186"/>
      <c r="R12186"/>
      <c r="W12186" s="4"/>
      <c r="X12186" s="4"/>
      <c r="Y12186" s="4"/>
    </row>
    <row r="12187" spans="5:25">
      <c r="E12187"/>
      <c r="G12187"/>
      <c r="H12187"/>
      <c r="I12187"/>
      <c r="K12187"/>
      <c r="O12187"/>
      <c r="R12187"/>
      <c r="W12187" s="4"/>
      <c r="X12187" s="4"/>
      <c r="Y12187" s="4"/>
    </row>
    <row r="12188" spans="5:25">
      <c r="E12188"/>
      <c r="G12188"/>
      <c r="H12188"/>
      <c r="I12188"/>
      <c r="K12188"/>
      <c r="O12188"/>
      <c r="R12188"/>
      <c r="W12188" s="4"/>
      <c r="X12188" s="4"/>
      <c r="Y12188" s="4"/>
    </row>
    <row r="12189" spans="5:25">
      <c r="E12189"/>
      <c r="G12189"/>
      <c r="H12189"/>
      <c r="I12189"/>
      <c r="K12189"/>
      <c r="O12189"/>
      <c r="R12189"/>
      <c r="W12189" s="4"/>
      <c r="X12189" s="4"/>
      <c r="Y12189" s="4"/>
    </row>
    <row r="12190" spans="5:25">
      <c r="E12190"/>
      <c r="G12190"/>
      <c r="H12190"/>
      <c r="I12190"/>
      <c r="K12190"/>
      <c r="O12190"/>
      <c r="R12190"/>
      <c r="W12190" s="4"/>
      <c r="X12190" s="4"/>
      <c r="Y12190" s="4"/>
    </row>
    <row r="12191" spans="5:25">
      <c r="E12191"/>
      <c r="G12191"/>
      <c r="H12191"/>
      <c r="I12191"/>
      <c r="K12191"/>
      <c r="O12191"/>
      <c r="R12191"/>
      <c r="W12191" s="4"/>
      <c r="X12191" s="4"/>
      <c r="Y12191" s="4"/>
    </row>
    <row r="12192" spans="5:25">
      <c r="E12192"/>
      <c r="G12192"/>
      <c r="H12192"/>
      <c r="I12192"/>
      <c r="K12192"/>
      <c r="O12192"/>
      <c r="R12192"/>
      <c r="W12192" s="4"/>
      <c r="X12192" s="4"/>
      <c r="Y12192" s="4"/>
    </row>
    <row r="12193" spans="5:25">
      <c r="E12193"/>
      <c r="G12193"/>
      <c r="H12193"/>
      <c r="I12193"/>
      <c r="K12193"/>
      <c r="O12193"/>
      <c r="R12193"/>
      <c r="W12193" s="4"/>
      <c r="X12193" s="4"/>
      <c r="Y12193" s="4"/>
    </row>
    <row r="12194" spans="5:25">
      <c r="E12194"/>
      <c r="G12194"/>
      <c r="H12194"/>
      <c r="I12194"/>
      <c r="K12194"/>
      <c r="O12194"/>
      <c r="R12194"/>
      <c r="W12194" s="4"/>
      <c r="X12194" s="4"/>
      <c r="Y12194" s="4"/>
    </row>
    <row r="12195" spans="5:25">
      <c r="E12195"/>
      <c r="G12195"/>
      <c r="H12195"/>
      <c r="I12195"/>
      <c r="K12195"/>
      <c r="O12195"/>
      <c r="R12195"/>
      <c r="W12195" s="4"/>
      <c r="X12195" s="4"/>
      <c r="Y12195" s="4"/>
    </row>
    <row r="12196" spans="5:25">
      <c r="E12196"/>
      <c r="G12196"/>
      <c r="H12196"/>
      <c r="I12196"/>
      <c r="K12196"/>
      <c r="O12196"/>
      <c r="R12196"/>
      <c r="W12196" s="4"/>
      <c r="X12196" s="4"/>
      <c r="Y12196" s="4"/>
    </row>
    <row r="12197" spans="5:25">
      <c r="E12197"/>
      <c r="G12197"/>
      <c r="H12197"/>
      <c r="I12197"/>
      <c r="K12197"/>
      <c r="O12197"/>
      <c r="R12197"/>
      <c r="W12197" s="4"/>
      <c r="X12197" s="4"/>
      <c r="Y12197" s="4"/>
    </row>
    <row r="12198" spans="5:25">
      <c r="E12198"/>
      <c r="G12198"/>
      <c r="H12198"/>
      <c r="I12198"/>
      <c r="K12198"/>
      <c r="O12198"/>
      <c r="R12198"/>
      <c r="W12198" s="4"/>
      <c r="X12198" s="4"/>
      <c r="Y12198" s="4"/>
    </row>
    <row r="12199" spans="5:25">
      <c r="E12199"/>
      <c r="G12199"/>
      <c r="H12199"/>
      <c r="I12199"/>
      <c r="K12199"/>
      <c r="O12199"/>
      <c r="R12199"/>
      <c r="W12199" s="4"/>
      <c r="X12199" s="4"/>
      <c r="Y12199" s="4"/>
    </row>
    <row r="12200" spans="5:25">
      <c r="E12200"/>
      <c r="G12200"/>
      <c r="H12200"/>
      <c r="I12200"/>
      <c r="K12200"/>
      <c r="O12200"/>
      <c r="R12200"/>
      <c r="W12200" s="4"/>
      <c r="X12200" s="4"/>
      <c r="Y12200" s="4"/>
    </row>
    <row r="12201" spans="5:25">
      <c r="E12201"/>
      <c r="G12201"/>
      <c r="H12201"/>
      <c r="I12201"/>
      <c r="K12201"/>
      <c r="O12201"/>
      <c r="R12201"/>
      <c r="W12201" s="4"/>
      <c r="X12201" s="4"/>
      <c r="Y12201" s="4"/>
    </row>
    <row r="12202" spans="5:25">
      <c r="E12202"/>
      <c r="G12202"/>
      <c r="H12202"/>
      <c r="I12202"/>
      <c r="K12202"/>
      <c r="O12202"/>
      <c r="R12202"/>
      <c r="W12202" s="4"/>
      <c r="X12202" s="4"/>
      <c r="Y12202" s="4"/>
    </row>
    <row r="12203" spans="5:25">
      <c r="E12203"/>
      <c r="G12203"/>
      <c r="H12203"/>
      <c r="I12203"/>
      <c r="K12203"/>
      <c r="O12203"/>
      <c r="R12203"/>
      <c r="W12203" s="4"/>
      <c r="X12203" s="4"/>
      <c r="Y12203" s="4"/>
    </row>
    <row r="12204" spans="5:25">
      <c r="E12204"/>
      <c r="G12204"/>
      <c r="H12204"/>
      <c r="I12204"/>
      <c r="K12204"/>
      <c r="O12204"/>
      <c r="R12204"/>
      <c r="W12204" s="4"/>
      <c r="X12204" s="4"/>
      <c r="Y12204" s="4"/>
    </row>
    <row r="12205" spans="5:25">
      <c r="E12205"/>
      <c r="G12205"/>
      <c r="H12205"/>
      <c r="I12205"/>
      <c r="K12205"/>
      <c r="O12205"/>
      <c r="R12205"/>
      <c r="W12205" s="4"/>
      <c r="X12205" s="4"/>
      <c r="Y12205" s="4"/>
    </row>
    <row r="12206" spans="5:25">
      <c r="E12206"/>
      <c r="G12206"/>
      <c r="H12206"/>
      <c r="I12206"/>
      <c r="K12206"/>
      <c r="O12206"/>
      <c r="R12206"/>
      <c r="W12206" s="4"/>
      <c r="X12206" s="4"/>
      <c r="Y12206" s="4"/>
    </row>
    <row r="12207" spans="5:25">
      <c r="E12207"/>
      <c r="G12207"/>
      <c r="H12207"/>
      <c r="I12207"/>
      <c r="K12207"/>
      <c r="O12207"/>
      <c r="R12207"/>
      <c r="W12207" s="4"/>
      <c r="X12207" s="4"/>
      <c r="Y12207" s="4"/>
    </row>
    <row r="12208" spans="5:25">
      <c r="E12208"/>
      <c r="G12208"/>
      <c r="H12208"/>
      <c r="I12208"/>
      <c r="K12208"/>
      <c r="O12208"/>
      <c r="R12208"/>
      <c r="W12208" s="4"/>
      <c r="X12208" s="4"/>
      <c r="Y12208" s="4"/>
    </row>
    <row r="12209" spans="5:25">
      <c r="E12209"/>
      <c r="G12209"/>
      <c r="H12209"/>
      <c r="I12209"/>
      <c r="K12209"/>
      <c r="O12209"/>
      <c r="R12209"/>
      <c r="W12209" s="4"/>
      <c r="X12209" s="4"/>
      <c r="Y12209" s="4"/>
    </row>
    <row r="12210" spans="5:25">
      <c r="E12210"/>
      <c r="G12210"/>
      <c r="H12210"/>
      <c r="I12210"/>
      <c r="K12210"/>
      <c r="O12210"/>
      <c r="R12210"/>
      <c r="W12210" s="4"/>
      <c r="X12210" s="4"/>
      <c r="Y12210" s="4"/>
    </row>
    <row r="12211" spans="5:25">
      <c r="E12211"/>
      <c r="G12211"/>
      <c r="H12211"/>
      <c r="I12211"/>
      <c r="K12211"/>
      <c r="O12211"/>
      <c r="R12211"/>
      <c r="W12211" s="4"/>
      <c r="X12211" s="4"/>
      <c r="Y12211" s="4"/>
    </row>
    <row r="12212" spans="5:25">
      <c r="E12212"/>
      <c r="G12212"/>
      <c r="H12212"/>
      <c r="I12212"/>
      <c r="K12212"/>
      <c r="O12212"/>
      <c r="R12212"/>
      <c r="W12212" s="4"/>
      <c r="X12212" s="4"/>
      <c r="Y12212" s="4"/>
    </row>
    <row r="12213" spans="5:25">
      <c r="E12213"/>
      <c r="G12213"/>
      <c r="H12213"/>
      <c r="I12213"/>
      <c r="K12213"/>
      <c r="O12213"/>
      <c r="R12213"/>
      <c r="W12213" s="4"/>
      <c r="X12213" s="4"/>
      <c r="Y12213" s="4"/>
    </row>
    <row r="12214" spans="5:25">
      <c r="E12214"/>
      <c r="G12214"/>
      <c r="H12214"/>
      <c r="I12214"/>
      <c r="K12214"/>
      <c r="O12214"/>
      <c r="R12214"/>
      <c r="W12214" s="4"/>
      <c r="X12214" s="4"/>
      <c r="Y12214" s="4"/>
    </row>
    <row r="12215" spans="5:25">
      <c r="E12215"/>
      <c r="G12215"/>
      <c r="H12215"/>
      <c r="I12215"/>
      <c r="K12215"/>
      <c r="O12215"/>
      <c r="R12215"/>
      <c r="W12215" s="4"/>
      <c r="X12215" s="4"/>
      <c r="Y12215" s="4"/>
    </row>
    <row r="12216" spans="5:25">
      <c r="E12216"/>
      <c r="G12216"/>
      <c r="H12216"/>
      <c r="I12216"/>
      <c r="K12216"/>
      <c r="O12216"/>
      <c r="R12216"/>
      <c r="W12216" s="4"/>
      <c r="X12216" s="4"/>
      <c r="Y12216" s="4"/>
    </row>
    <row r="12217" spans="5:25">
      <c r="E12217"/>
      <c r="G12217"/>
      <c r="H12217"/>
      <c r="I12217"/>
      <c r="K12217"/>
      <c r="O12217"/>
      <c r="R12217"/>
      <c r="W12217" s="4"/>
      <c r="X12217" s="4"/>
      <c r="Y12217" s="4"/>
    </row>
    <row r="12218" spans="5:25">
      <c r="E12218"/>
      <c r="G12218"/>
      <c r="H12218"/>
      <c r="I12218"/>
      <c r="K12218"/>
      <c r="O12218"/>
      <c r="R12218"/>
      <c r="W12218" s="4"/>
      <c r="X12218" s="4"/>
      <c r="Y12218" s="4"/>
    </row>
    <row r="12219" spans="5:25">
      <c r="E12219"/>
      <c r="G12219"/>
      <c r="H12219"/>
      <c r="I12219"/>
      <c r="K12219"/>
      <c r="O12219"/>
      <c r="R12219"/>
      <c r="W12219" s="4"/>
      <c r="X12219" s="4"/>
      <c r="Y12219" s="4"/>
    </row>
    <row r="12220" spans="5:25">
      <c r="E12220"/>
      <c r="G12220"/>
      <c r="H12220"/>
      <c r="I12220"/>
      <c r="K12220"/>
      <c r="O12220"/>
      <c r="R12220"/>
      <c r="W12220" s="4"/>
      <c r="X12220" s="4"/>
      <c r="Y12220" s="4"/>
    </row>
    <row r="12221" spans="5:25">
      <c r="E12221"/>
      <c r="G12221"/>
      <c r="H12221"/>
      <c r="I12221"/>
      <c r="K12221"/>
      <c r="O12221"/>
      <c r="R12221"/>
      <c r="W12221" s="4"/>
      <c r="X12221" s="4"/>
      <c r="Y12221" s="4"/>
    </row>
    <row r="12222" spans="5:25">
      <c r="E12222"/>
      <c r="G12222"/>
      <c r="H12222"/>
      <c r="I12222"/>
      <c r="K12222"/>
      <c r="O12222"/>
      <c r="R12222"/>
      <c r="W12222" s="4"/>
      <c r="X12222" s="4"/>
      <c r="Y12222" s="4"/>
    </row>
    <row r="12223" spans="5:25">
      <c r="E12223"/>
      <c r="G12223"/>
      <c r="H12223"/>
      <c r="I12223"/>
      <c r="K12223"/>
      <c r="O12223"/>
      <c r="R12223"/>
      <c r="W12223" s="4"/>
      <c r="X12223" s="4"/>
      <c r="Y12223" s="4"/>
    </row>
    <row r="12224" spans="5:25">
      <c r="E12224"/>
      <c r="G12224"/>
      <c r="H12224"/>
      <c r="I12224"/>
      <c r="K12224"/>
      <c r="O12224"/>
      <c r="R12224"/>
      <c r="W12224" s="4"/>
      <c r="X12224" s="4"/>
      <c r="Y12224" s="4"/>
    </row>
    <row r="12225" spans="5:25">
      <c r="E12225"/>
      <c r="G12225"/>
      <c r="H12225"/>
      <c r="I12225"/>
      <c r="K12225"/>
      <c r="O12225"/>
      <c r="R12225"/>
      <c r="W12225" s="4"/>
      <c r="X12225" s="4"/>
      <c r="Y12225" s="4"/>
    </row>
    <row r="12226" spans="5:25">
      <c r="E12226"/>
      <c r="G12226"/>
      <c r="H12226"/>
      <c r="I12226"/>
      <c r="K12226"/>
      <c r="O12226"/>
      <c r="R12226"/>
      <c r="W12226" s="4"/>
      <c r="X12226" s="4"/>
      <c r="Y12226" s="4"/>
    </row>
    <row r="12227" spans="5:25">
      <c r="E12227"/>
      <c r="G12227"/>
      <c r="H12227"/>
      <c r="I12227"/>
      <c r="K12227"/>
      <c r="O12227"/>
      <c r="R12227"/>
      <c r="W12227" s="4"/>
      <c r="X12227" s="4"/>
      <c r="Y12227" s="4"/>
    </row>
    <row r="12228" spans="5:25">
      <c r="E12228"/>
      <c r="G12228"/>
      <c r="H12228"/>
      <c r="I12228"/>
      <c r="K12228"/>
      <c r="O12228"/>
      <c r="R12228"/>
      <c r="W12228" s="4"/>
      <c r="X12228" s="4"/>
      <c r="Y12228" s="4"/>
    </row>
    <row r="12229" spans="5:25">
      <c r="E12229"/>
      <c r="G12229"/>
      <c r="H12229"/>
      <c r="I12229"/>
      <c r="K12229"/>
      <c r="O12229"/>
      <c r="R12229"/>
      <c r="W12229" s="4"/>
      <c r="X12229" s="4"/>
      <c r="Y12229" s="4"/>
    </row>
    <row r="12230" spans="5:25">
      <c r="E12230"/>
      <c r="G12230"/>
      <c r="H12230"/>
      <c r="I12230"/>
      <c r="K12230"/>
      <c r="O12230"/>
      <c r="R12230"/>
      <c r="W12230" s="4"/>
      <c r="X12230" s="4"/>
      <c r="Y12230" s="4"/>
    </row>
    <row r="12231" spans="5:25">
      <c r="E12231"/>
      <c r="G12231"/>
      <c r="H12231"/>
      <c r="I12231"/>
      <c r="K12231"/>
      <c r="O12231"/>
      <c r="R12231"/>
      <c r="W12231" s="4"/>
      <c r="X12231" s="4"/>
      <c r="Y12231" s="4"/>
    </row>
    <row r="12232" spans="5:25">
      <c r="E12232"/>
      <c r="G12232"/>
      <c r="H12232"/>
      <c r="I12232"/>
      <c r="K12232"/>
      <c r="O12232"/>
      <c r="R12232"/>
      <c r="W12232" s="4"/>
      <c r="X12232" s="4"/>
      <c r="Y12232" s="4"/>
    </row>
    <row r="12233" spans="5:25">
      <c r="E12233"/>
      <c r="G12233"/>
      <c r="H12233"/>
      <c r="I12233"/>
      <c r="K12233"/>
      <c r="O12233"/>
      <c r="R12233"/>
      <c r="W12233" s="4"/>
      <c r="X12233" s="4"/>
      <c r="Y12233" s="4"/>
    </row>
    <row r="12234" spans="5:25">
      <c r="E12234"/>
      <c r="G12234"/>
      <c r="H12234"/>
      <c r="I12234"/>
      <c r="K12234"/>
      <c r="O12234"/>
      <c r="R12234"/>
      <c r="W12234" s="4"/>
      <c r="X12234" s="4"/>
      <c r="Y12234" s="4"/>
    </row>
    <row r="12235" spans="5:25">
      <c r="E12235"/>
      <c r="G12235"/>
      <c r="H12235"/>
      <c r="I12235"/>
      <c r="K12235"/>
      <c r="O12235"/>
      <c r="R12235"/>
      <c r="W12235" s="4"/>
      <c r="X12235" s="4"/>
      <c r="Y12235" s="4"/>
    </row>
    <row r="12236" spans="5:25">
      <c r="E12236"/>
      <c r="G12236"/>
      <c r="H12236"/>
      <c r="I12236"/>
      <c r="K12236"/>
      <c r="O12236"/>
      <c r="R12236"/>
      <c r="W12236" s="4"/>
      <c r="X12236" s="4"/>
      <c r="Y12236" s="4"/>
    </row>
    <row r="12237" spans="5:25">
      <c r="E12237"/>
      <c r="G12237"/>
      <c r="H12237"/>
      <c r="I12237"/>
      <c r="K12237"/>
      <c r="O12237"/>
      <c r="R12237"/>
      <c r="W12237" s="4"/>
      <c r="X12237" s="4"/>
      <c r="Y12237" s="4"/>
    </row>
    <row r="12238" spans="5:25">
      <c r="E12238"/>
      <c r="G12238"/>
      <c r="H12238"/>
      <c r="I12238"/>
      <c r="K12238"/>
      <c r="O12238"/>
      <c r="R12238"/>
      <c r="W12238" s="4"/>
      <c r="X12238" s="4"/>
      <c r="Y12238" s="4"/>
    </row>
    <row r="12239" spans="5:25">
      <c r="E12239"/>
      <c r="G12239"/>
      <c r="H12239"/>
      <c r="I12239"/>
      <c r="K12239"/>
      <c r="O12239"/>
      <c r="R12239"/>
      <c r="W12239" s="4"/>
      <c r="X12239" s="4"/>
      <c r="Y12239" s="4"/>
    </row>
    <row r="12240" spans="5:25">
      <c r="E12240"/>
      <c r="G12240"/>
      <c r="H12240"/>
      <c r="I12240"/>
      <c r="K12240"/>
      <c r="O12240"/>
      <c r="R12240"/>
      <c r="W12240" s="4"/>
      <c r="X12240" s="4"/>
      <c r="Y12240" s="4"/>
    </row>
    <row r="12241" spans="5:25">
      <c r="E12241"/>
      <c r="G12241"/>
      <c r="H12241"/>
      <c r="I12241"/>
      <c r="K12241"/>
      <c r="O12241"/>
      <c r="R12241"/>
      <c r="W12241" s="4"/>
      <c r="X12241" s="4"/>
      <c r="Y12241" s="4"/>
    </row>
    <row r="12242" spans="5:25">
      <c r="E12242"/>
      <c r="G12242"/>
      <c r="H12242"/>
      <c r="I12242"/>
      <c r="K12242"/>
      <c r="O12242"/>
      <c r="R12242"/>
      <c r="W12242" s="4"/>
      <c r="X12242" s="4"/>
      <c r="Y12242" s="4"/>
    </row>
    <row r="12243" spans="5:25">
      <c r="E12243"/>
      <c r="G12243"/>
      <c r="H12243"/>
      <c r="I12243"/>
      <c r="K12243"/>
      <c r="O12243"/>
      <c r="R12243"/>
      <c r="W12243" s="4"/>
      <c r="X12243" s="4"/>
      <c r="Y12243" s="4"/>
    </row>
    <row r="12244" spans="5:25">
      <c r="E12244"/>
      <c r="G12244"/>
      <c r="H12244"/>
      <c r="I12244"/>
      <c r="K12244"/>
      <c r="O12244"/>
      <c r="R12244"/>
      <c r="W12244" s="4"/>
      <c r="X12244" s="4"/>
      <c r="Y12244" s="4"/>
    </row>
    <row r="12245" spans="5:25">
      <c r="E12245"/>
      <c r="G12245"/>
      <c r="H12245"/>
      <c r="I12245"/>
      <c r="K12245"/>
      <c r="O12245"/>
      <c r="R12245"/>
      <c r="W12245" s="4"/>
      <c r="X12245" s="4"/>
      <c r="Y12245" s="4"/>
    </row>
    <row r="12246" spans="5:25">
      <c r="E12246"/>
      <c r="G12246"/>
      <c r="H12246"/>
      <c r="I12246"/>
      <c r="K12246"/>
      <c r="O12246"/>
      <c r="R12246"/>
      <c r="W12246" s="4"/>
      <c r="X12246" s="4"/>
      <c r="Y12246" s="4"/>
    </row>
    <row r="12247" spans="5:25">
      <c r="E12247"/>
      <c r="G12247"/>
      <c r="H12247"/>
      <c r="I12247"/>
      <c r="K12247"/>
      <c r="O12247"/>
      <c r="R12247"/>
      <c r="W12247" s="4"/>
      <c r="X12247" s="4"/>
      <c r="Y12247" s="4"/>
    </row>
    <row r="12248" spans="5:25">
      <c r="E12248"/>
      <c r="G12248"/>
      <c r="H12248"/>
      <c r="I12248"/>
      <c r="K12248"/>
      <c r="O12248"/>
      <c r="R12248"/>
      <c r="W12248" s="4"/>
      <c r="X12248" s="4"/>
      <c r="Y12248" s="4"/>
    </row>
    <row r="12249" spans="5:25">
      <c r="E12249"/>
      <c r="G12249"/>
      <c r="H12249"/>
      <c r="I12249"/>
      <c r="K12249"/>
      <c r="O12249"/>
      <c r="R12249"/>
      <c r="W12249" s="4"/>
      <c r="X12249" s="4"/>
      <c r="Y12249" s="4"/>
    </row>
    <row r="12250" spans="5:25">
      <c r="E12250"/>
      <c r="G12250"/>
      <c r="H12250"/>
      <c r="I12250"/>
      <c r="K12250"/>
      <c r="O12250"/>
      <c r="R12250"/>
      <c r="W12250" s="4"/>
      <c r="X12250" s="4"/>
      <c r="Y12250" s="4"/>
    </row>
    <row r="12251" spans="5:25">
      <c r="E12251"/>
      <c r="G12251"/>
      <c r="H12251"/>
      <c r="I12251"/>
      <c r="K12251"/>
      <c r="O12251"/>
      <c r="R12251"/>
      <c r="W12251" s="4"/>
      <c r="X12251" s="4"/>
      <c r="Y12251" s="4"/>
    </row>
    <row r="12252" spans="5:25">
      <c r="E12252"/>
      <c r="G12252"/>
      <c r="H12252"/>
      <c r="I12252"/>
      <c r="K12252"/>
      <c r="O12252"/>
      <c r="R12252"/>
      <c r="W12252" s="4"/>
      <c r="X12252" s="4"/>
      <c r="Y12252" s="4"/>
    </row>
    <row r="12253" spans="5:25">
      <c r="E12253"/>
      <c r="G12253"/>
      <c r="H12253"/>
      <c r="I12253"/>
      <c r="K12253"/>
      <c r="O12253"/>
      <c r="R12253"/>
      <c r="W12253" s="4"/>
      <c r="X12253" s="4"/>
      <c r="Y12253" s="4"/>
    </row>
    <row r="12254" spans="5:25">
      <c r="E12254"/>
      <c r="G12254"/>
      <c r="H12254"/>
      <c r="I12254"/>
      <c r="K12254"/>
      <c r="O12254"/>
      <c r="R12254"/>
      <c r="W12254" s="4"/>
      <c r="X12254" s="4"/>
      <c r="Y12254" s="4"/>
    </row>
    <row r="12255" spans="5:25">
      <c r="E12255"/>
      <c r="G12255"/>
      <c r="H12255"/>
      <c r="I12255"/>
      <c r="K12255"/>
      <c r="O12255"/>
      <c r="R12255"/>
      <c r="W12255" s="4"/>
      <c r="X12255" s="4"/>
      <c r="Y12255" s="4"/>
    </row>
    <row r="12256" spans="5:25">
      <c r="E12256"/>
      <c r="G12256"/>
      <c r="H12256"/>
      <c r="I12256"/>
      <c r="K12256"/>
      <c r="O12256"/>
      <c r="R12256"/>
      <c r="W12256" s="4"/>
      <c r="X12256" s="4"/>
      <c r="Y12256" s="4"/>
    </row>
    <row r="12257" spans="5:25">
      <c r="E12257"/>
      <c r="G12257"/>
      <c r="H12257"/>
      <c r="I12257"/>
      <c r="K12257"/>
      <c r="O12257"/>
      <c r="R12257"/>
      <c r="W12257" s="4"/>
      <c r="X12257" s="4"/>
      <c r="Y12257" s="4"/>
    </row>
    <row r="12258" spans="5:25">
      <c r="E12258"/>
      <c r="G12258"/>
      <c r="H12258"/>
      <c r="I12258"/>
      <c r="K12258"/>
      <c r="O12258"/>
      <c r="R12258"/>
      <c r="W12258" s="4"/>
      <c r="X12258" s="4"/>
      <c r="Y12258" s="4"/>
    </row>
    <row r="12259" spans="5:25">
      <c r="E12259"/>
      <c r="G12259"/>
      <c r="H12259"/>
      <c r="I12259"/>
      <c r="K12259"/>
      <c r="O12259"/>
      <c r="R12259"/>
      <c r="W12259" s="4"/>
      <c r="X12259" s="4"/>
      <c r="Y12259" s="4"/>
    </row>
    <row r="12260" spans="5:25">
      <c r="E12260"/>
      <c r="G12260"/>
      <c r="H12260"/>
      <c r="I12260"/>
      <c r="K12260"/>
      <c r="O12260"/>
      <c r="R12260"/>
      <c r="W12260" s="4"/>
      <c r="X12260" s="4"/>
      <c r="Y12260" s="4"/>
    </row>
    <row r="12261" spans="5:25">
      <c r="E12261"/>
      <c r="G12261"/>
      <c r="H12261"/>
      <c r="I12261"/>
      <c r="K12261"/>
      <c r="O12261"/>
      <c r="R12261"/>
      <c r="W12261" s="4"/>
      <c r="X12261" s="4"/>
      <c r="Y12261" s="4"/>
    </row>
    <row r="12262" spans="5:25">
      <c r="E12262"/>
      <c r="G12262"/>
      <c r="H12262"/>
      <c r="I12262"/>
      <c r="K12262"/>
      <c r="O12262"/>
      <c r="R12262"/>
      <c r="W12262" s="4"/>
      <c r="X12262" s="4"/>
      <c r="Y12262" s="4"/>
    </row>
    <row r="12263" spans="5:25">
      <c r="E12263"/>
      <c r="G12263"/>
      <c r="H12263"/>
      <c r="I12263"/>
      <c r="K12263"/>
      <c r="O12263"/>
      <c r="R12263"/>
      <c r="W12263" s="4"/>
      <c r="X12263" s="4"/>
      <c r="Y12263" s="4"/>
    </row>
    <row r="12264" spans="5:25">
      <c r="E12264"/>
      <c r="G12264"/>
      <c r="H12264"/>
      <c r="I12264"/>
      <c r="K12264"/>
      <c r="O12264"/>
      <c r="R12264"/>
      <c r="W12264" s="4"/>
      <c r="X12264" s="4"/>
      <c r="Y12264" s="4"/>
    </row>
    <row r="12265" spans="5:25">
      <c r="E12265"/>
      <c r="G12265"/>
      <c r="H12265"/>
      <c r="I12265"/>
      <c r="K12265"/>
      <c r="O12265"/>
      <c r="R12265"/>
      <c r="W12265" s="4"/>
      <c r="X12265" s="4"/>
      <c r="Y12265" s="4"/>
    </row>
    <row r="12266" spans="5:25">
      <c r="E12266"/>
      <c r="G12266"/>
      <c r="H12266"/>
      <c r="I12266"/>
      <c r="K12266"/>
      <c r="O12266"/>
      <c r="R12266"/>
      <c r="W12266" s="4"/>
      <c r="X12266" s="4"/>
      <c r="Y12266" s="4"/>
    </row>
    <row r="12267" spans="5:25">
      <c r="E12267"/>
      <c r="G12267"/>
      <c r="H12267"/>
      <c r="I12267"/>
      <c r="K12267"/>
      <c r="O12267"/>
      <c r="R12267"/>
      <c r="W12267" s="4"/>
      <c r="X12267" s="4"/>
      <c r="Y12267" s="4"/>
    </row>
    <row r="12268" spans="5:25">
      <c r="E12268"/>
      <c r="G12268"/>
      <c r="H12268"/>
      <c r="I12268"/>
      <c r="K12268"/>
      <c r="O12268"/>
      <c r="R12268"/>
      <c r="W12268" s="4"/>
      <c r="X12268" s="4"/>
      <c r="Y12268" s="4"/>
    </row>
    <row r="12269" spans="5:25">
      <c r="E12269"/>
      <c r="G12269"/>
      <c r="H12269"/>
      <c r="I12269"/>
      <c r="K12269"/>
      <c r="O12269"/>
      <c r="R12269"/>
      <c r="W12269" s="4"/>
      <c r="X12269" s="4"/>
      <c r="Y12269" s="4"/>
    </row>
    <row r="12270" spans="5:25">
      <c r="E12270"/>
      <c r="G12270"/>
      <c r="H12270"/>
      <c r="I12270"/>
      <c r="K12270"/>
      <c r="O12270"/>
      <c r="R12270"/>
      <c r="W12270" s="4"/>
      <c r="X12270" s="4"/>
      <c r="Y12270" s="4"/>
    </row>
    <row r="12271" spans="5:25">
      <c r="E12271"/>
      <c r="G12271"/>
      <c r="H12271"/>
      <c r="I12271"/>
      <c r="K12271"/>
      <c r="O12271"/>
      <c r="R12271"/>
      <c r="W12271" s="4"/>
      <c r="X12271" s="4"/>
      <c r="Y12271" s="4"/>
    </row>
    <row r="12272" spans="5:25">
      <c r="E12272"/>
      <c r="G12272"/>
      <c r="H12272"/>
      <c r="I12272"/>
      <c r="K12272"/>
      <c r="O12272"/>
      <c r="R12272"/>
      <c r="W12272" s="4"/>
      <c r="X12272" s="4"/>
      <c r="Y12272" s="4"/>
    </row>
    <row r="12273" spans="5:25">
      <c r="E12273"/>
      <c r="G12273"/>
      <c r="H12273"/>
      <c r="I12273"/>
      <c r="K12273"/>
      <c r="O12273"/>
      <c r="R12273"/>
      <c r="W12273" s="4"/>
      <c r="X12273" s="4"/>
      <c r="Y12273" s="4"/>
    </row>
    <row r="12274" spans="5:25">
      <c r="E12274"/>
      <c r="G12274"/>
      <c r="H12274"/>
      <c r="I12274"/>
      <c r="K12274"/>
      <c r="O12274"/>
      <c r="R12274"/>
      <c r="W12274" s="4"/>
      <c r="X12274" s="4"/>
      <c r="Y12274" s="4"/>
    </row>
    <row r="12275" spans="5:25">
      <c r="E12275"/>
      <c r="G12275"/>
      <c r="H12275"/>
      <c r="I12275"/>
      <c r="K12275"/>
      <c r="O12275"/>
      <c r="R12275"/>
      <c r="W12275" s="4"/>
      <c r="X12275" s="4"/>
      <c r="Y12275" s="4"/>
    </row>
    <row r="12276" spans="5:25">
      <c r="E12276"/>
      <c r="G12276"/>
      <c r="H12276"/>
      <c r="I12276"/>
      <c r="K12276"/>
      <c r="O12276"/>
      <c r="R12276"/>
      <c r="W12276" s="4"/>
      <c r="X12276" s="4"/>
      <c r="Y12276" s="4"/>
    </row>
    <row r="12277" spans="5:25">
      <c r="E12277"/>
      <c r="G12277"/>
      <c r="H12277"/>
      <c r="I12277"/>
      <c r="K12277"/>
      <c r="O12277"/>
      <c r="R12277"/>
      <c r="W12277" s="4"/>
      <c r="X12277" s="4"/>
      <c r="Y12277" s="4"/>
    </row>
    <row r="12278" spans="5:25">
      <c r="E12278"/>
      <c r="G12278"/>
      <c r="H12278"/>
      <c r="I12278"/>
      <c r="K12278"/>
      <c r="O12278"/>
      <c r="R12278"/>
      <c r="W12278" s="4"/>
      <c r="X12278" s="4"/>
      <c r="Y12278" s="4"/>
    </row>
    <row r="12279" spans="5:25">
      <c r="E12279"/>
      <c r="G12279"/>
      <c r="H12279"/>
      <c r="I12279"/>
      <c r="K12279"/>
      <c r="O12279"/>
      <c r="R12279"/>
      <c r="W12279" s="4"/>
      <c r="X12279" s="4"/>
      <c r="Y12279" s="4"/>
    </row>
    <row r="12280" spans="5:25">
      <c r="E12280"/>
      <c r="G12280"/>
      <c r="H12280"/>
      <c r="I12280"/>
      <c r="K12280"/>
      <c r="O12280"/>
      <c r="R12280"/>
      <c r="W12280" s="4"/>
      <c r="X12280" s="4"/>
      <c r="Y12280" s="4"/>
    </row>
    <row r="12281" spans="5:25">
      <c r="E12281"/>
      <c r="G12281"/>
      <c r="H12281"/>
      <c r="I12281"/>
      <c r="K12281"/>
      <c r="O12281"/>
      <c r="R12281"/>
      <c r="W12281" s="4"/>
      <c r="X12281" s="4"/>
      <c r="Y12281" s="4"/>
    </row>
    <row r="12282" spans="5:25">
      <c r="E12282"/>
      <c r="G12282"/>
      <c r="H12282"/>
      <c r="I12282"/>
      <c r="K12282"/>
      <c r="O12282"/>
      <c r="R12282"/>
      <c r="W12282" s="4"/>
      <c r="X12282" s="4"/>
      <c r="Y12282" s="4"/>
    </row>
    <row r="12283" spans="5:25">
      <c r="E12283"/>
      <c r="G12283"/>
      <c r="H12283"/>
      <c r="I12283"/>
      <c r="K12283"/>
      <c r="O12283"/>
      <c r="R12283"/>
      <c r="W12283" s="4"/>
      <c r="X12283" s="4"/>
      <c r="Y12283" s="4"/>
    </row>
    <row r="12284" spans="5:25">
      <c r="E12284"/>
      <c r="G12284"/>
      <c r="H12284"/>
      <c r="I12284"/>
      <c r="K12284"/>
      <c r="O12284"/>
      <c r="R12284"/>
      <c r="W12284" s="4"/>
      <c r="X12284" s="4"/>
      <c r="Y12284" s="4"/>
    </row>
    <row r="12285" spans="5:25">
      <c r="E12285"/>
      <c r="G12285"/>
      <c r="H12285"/>
      <c r="I12285"/>
      <c r="K12285"/>
      <c r="O12285"/>
      <c r="R12285"/>
      <c r="W12285" s="4"/>
      <c r="X12285" s="4"/>
      <c r="Y12285" s="4"/>
    </row>
    <row r="12286" spans="5:25">
      <c r="E12286"/>
      <c r="G12286"/>
      <c r="H12286"/>
      <c r="I12286"/>
      <c r="K12286"/>
      <c r="O12286"/>
      <c r="R12286"/>
      <c r="W12286" s="4"/>
      <c r="X12286" s="4"/>
      <c r="Y12286" s="4"/>
    </row>
    <row r="12287" spans="5:25">
      <c r="E12287"/>
      <c r="G12287"/>
      <c r="H12287"/>
      <c r="I12287"/>
      <c r="K12287"/>
      <c r="O12287"/>
      <c r="R12287"/>
      <c r="W12287" s="4"/>
      <c r="X12287" s="4"/>
      <c r="Y12287" s="4"/>
    </row>
    <row r="12288" spans="5:25">
      <c r="E12288"/>
      <c r="G12288"/>
      <c r="H12288"/>
      <c r="I12288"/>
      <c r="K12288"/>
      <c r="O12288"/>
      <c r="R12288"/>
      <c r="W12288" s="4"/>
      <c r="X12288" s="4"/>
      <c r="Y12288" s="4"/>
    </row>
    <row r="12289" spans="5:25">
      <c r="E12289"/>
      <c r="G12289"/>
      <c r="H12289"/>
      <c r="I12289"/>
      <c r="K12289"/>
      <c r="O12289"/>
      <c r="R12289"/>
      <c r="W12289" s="4"/>
      <c r="X12289" s="4"/>
      <c r="Y12289" s="4"/>
    </row>
    <row r="12290" spans="5:25">
      <c r="E12290"/>
      <c r="G12290"/>
      <c r="H12290"/>
      <c r="I12290"/>
      <c r="K12290"/>
      <c r="O12290"/>
      <c r="R12290"/>
      <c r="W12290" s="4"/>
      <c r="X12290" s="4"/>
      <c r="Y12290" s="4"/>
    </row>
    <row r="12291" spans="5:25">
      <c r="E12291"/>
      <c r="G12291"/>
      <c r="H12291"/>
      <c r="I12291"/>
      <c r="K12291"/>
      <c r="O12291"/>
      <c r="R12291"/>
      <c r="W12291" s="4"/>
      <c r="X12291" s="4"/>
      <c r="Y12291" s="4"/>
    </row>
    <row r="12292" spans="5:25">
      <c r="E12292"/>
      <c r="G12292"/>
      <c r="H12292"/>
      <c r="I12292"/>
      <c r="K12292"/>
      <c r="O12292"/>
      <c r="R12292"/>
      <c r="W12292" s="4"/>
      <c r="X12292" s="4"/>
      <c r="Y12292" s="4"/>
    </row>
    <row r="12293" spans="5:25">
      <c r="E12293"/>
      <c r="G12293"/>
      <c r="H12293"/>
      <c r="I12293"/>
      <c r="K12293"/>
      <c r="O12293"/>
      <c r="R12293"/>
      <c r="W12293" s="4"/>
      <c r="X12293" s="4"/>
      <c r="Y12293" s="4"/>
    </row>
    <row r="12294" spans="5:25">
      <c r="E12294"/>
      <c r="G12294"/>
      <c r="H12294"/>
      <c r="I12294"/>
      <c r="K12294"/>
      <c r="O12294"/>
      <c r="R12294"/>
      <c r="W12294" s="4"/>
      <c r="X12294" s="4"/>
      <c r="Y12294" s="4"/>
    </row>
    <row r="12295" spans="5:25">
      <c r="E12295"/>
      <c r="G12295"/>
      <c r="H12295"/>
      <c r="I12295"/>
      <c r="K12295"/>
      <c r="O12295"/>
      <c r="R12295"/>
      <c r="W12295" s="4"/>
      <c r="X12295" s="4"/>
      <c r="Y12295" s="4"/>
    </row>
    <row r="12296" spans="5:25">
      <c r="E12296"/>
      <c r="G12296"/>
      <c r="H12296"/>
      <c r="I12296"/>
      <c r="K12296"/>
      <c r="O12296"/>
      <c r="R12296"/>
      <c r="W12296" s="4"/>
      <c r="X12296" s="4"/>
      <c r="Y12296" s="4"/>
    </row>
    <row r="12297" spans="5:25">
      <c r="E12297"/>
      <c r="G12297"/>
      <c r="H12297"/>
      <c r="I12297"/>
      <c r="K12297"/>
      <c r="O12297"/>
      <c r="R12297"/>
      <c r="W12297" s="4"/>
      <c r="X12297" s="4"/>
      <c r="Y12297" s="4"/>
    </row>
    <row r="12298" spans="5:25">
      <c r="E12298"/>
      <c r="G12298"/>
      <c r="H12298"/>
      <c r="I12298"/>
      <c r="K12298"/>
      <c r="O12298"/>
      <c r="R12298"/>
      <c r="W12298" s="4"/>
      <c r="X12298" s="4"/>
      <c r="Y12298" s="4"/>
    </row>
    <row r="12299" spans="5:25">
      <c r="E12299"/>
      <c r="G12299"/>
      <c r="H12299"/>
      <c r="I12299"/>
      <c r="K12299"/>
      <c r="O12299"/>
      <c r="R12299"/>
      <c r="W12299" s="4"/>
      <c r="X12299" s="4"/>
      <c r="Y12299" s="4"/>
    </row>
    <row r="12300" spans="5:25">
      <c r="E12300"/>
      <c r="G12300"/>
      <c r="H12300"/>
      <c r="I12300"/>
      <c r="K12300"/>
      <c r="O12300"/>
      <c r="R12300"/>
      <c r="W12300" s="4"/>
      <c r="X12300" s="4"/>
      <c r="Y12300" s="4"/>
    </row>
    <row r="12301" spans="5:25">
      <c r="E12301"/>
      <c r="G12301"/>
      <c r="H12301"/>
      <c r="I12301"/>
      <c r="K12301"/>
      <c r="O12301"/>
      <c r="R12301"/>
      <c r="W12301" s="4"/>
      <c r="X12301" s="4"/>
      <c r="Y12301" s="4"/>
    </row>
    <row r="12302" spans="5:25">
      <c r="E12302"/>
      <c r="G12302"/>
      <c r="H12302"/>
      <c r="I12302"/>
      <c r="K12302"/>
      <c r="O12302"/>
      <c r="R12302"/>
      <c r="W12302" s="4"/>
      <c r="X12302" s="4"/>
      <c r="Y12302" s="4"/>
    </row>
    <row r="12303" spans="5:25">
      <c r="E12303"/>
      <c r="G12303"/>
      <c r="H12303"/>
      <c r="I12303"/>
      <c r="K12303"/>
      <c r="O12303"/>
      <c r="R12303"/>
      <c r="W12303" s="4"/>
      <c r="X12303" s="4"/>
      <c r="Y12303" s="4"/>
    </row>
    <row r="12304" spans="5:25">
      <c r="E12304"/>
      <c r="G12304"/>
      <c r="H12304"/>
      <c r="I12304"/>
      <c r="K12304"/>
      <c r="O12304"/>
      <c r="R12304"/>
      <c r="W12304" s="4"/>
      <c r="X12304" s="4"/>
      <c r="Y12304" s="4"/>
    </row>
    <row r="12305" spans="5:25">
      <c r="E12305"/>
      <c r="G12305"/>
      <c r="H12305"/>
      <c r="I12305"/>
      <c r="K12305"/>
      <c r="O12305"/>
      <c r="R12305"/>
      <c r="W12305" s="4"/>
      <c r="X12305" s="4"/>
      <c r="Y12305" s="4"/>
    </row>
    <row r="12306" spans="5:25">
      <c r="E12306"/>
      <c r="G12306"/>
      <c r="H12306"/>
      <c r="I12306"/>
      <c r="K12306"/>
      <c r="O12306"/>
      <c r="R12306"/>
      <c r="W12306" s="4"/>
      <c r="X12306" s="4"/>
      <c r="Y12306" s="4"/>
    </row>
    <row r="12307" spans="5:25">
      <c r="E12307"/>
      <c r="G12307"/>
      <c r="H12307"/>
      <c r="I12307"/>
      <c r="K12307"/>
      <c r="O12307"/>
      <c r="R12307"/>
      <c r="W12307" s="4"/>
      <c r="X12307" s="4"/>
      <c r="Y12307" s="4"/>
    </row>
    <row r="12308" spans="5:25">
      <c r="E12308"/>
      <c r="G12308"/>
      <c r="H12308"/>
      <c r="I12308"/>
      <c r="K12308"/>
      <c r="O12308"/>
      <c r="R12308"/>
      <c r="W12308" s="4"/>
      <c r="X12308" s="4"/>
      <c r="Y12308" s="4"/>
    </row>
    <row r="12309" spans="5:25">
      <c r="E12309"/>
      <c r="G12309"/>
      <c r="H12309"/>
      <c r="I12309"/>
      <c r="K12309"/>
      <c r="O12309"/>
      <c r="R12309"/>
      <c r="W12309" s="4"/>
      <c r="X12309" s="4"/>
      <c r="Y12309" s="4"/>
    </row>
    <row r="12310" spans="5:25">
      <c r="E12310"/>
      <c r="G12310"/>
      <c r="H12310"/>
      <c r="I12310"/>
      <c r="K12310"/>
      <c r="O12310"/>
      <c r="R12310"/>
      <c r="W12310" s="4"/>
      <c r="X12310" s="4"/>
      <c r="Y12310" s="4"/>
    </row>
    <row r="12311" spans="5:25">
      <c r="E12311"/>
      <c r="G12311"/>
      <c r="H12311"/>
      <c r="I12311"/>
      <c r="K12311"/>
      <c r="O12311"/>
      <c r="R12311"/>
      <c r="W12311" s="4"/>
      <c r="X12311" s="4"/>
      <c r="Y12311" s="4"/>
    </row>
    <row r="12312" spans="5:25">
      <c r="E12312"/>
      <c r="G12312"/>
      <c r="H12312"/>
      <c r="I12312"/>
      <c r="K12312"/>
      <c r="O12312"/>
      <c r="R12312"/>
      <c r="W12312" s="4"/>
      <c r="X12312" s="4"/>
      <c r="Y12312" s="4"/>
    </row>
    <row r="12313" spans="5:25">
      <c r="E12313"/>
      <c r="G12313"/>
      <c r="H12313"/>
      <c r="I12313"/>
      <c r="K12313"/>
      <c r="O12313"/>
      <c r="R12313"/>
      <c r="W12313" s="4"/>
      <c r="X12313" s="4"/>
      <c r="Y12313" s="4"/>
    </row>
    <row r="12314" spans="5:25">
      <c r="E12314"/>
      <c r="G12314"/>
      <c r="H12314"/>
      <c r="I12314"/>
      <c r="K12314"/>
      <c r="O12314"/>
      <c r="R12314"/>
      <c r="W12314" s="4"/>
      <c r="X12314" s="4"/>
      <c r="Y12314" s="4"/>
    </row>
    <row r="12315" spans="5:25">
      <c r="E12315"/>
      <c r="G12315"/>
      <c r="H12315"/>
      <c r="I12315"/>
      <c r="K12315"/>
      <c r="O12315"/>
      <c r="R12315"/>
      <c r="W12315" s="4"/>
      <c r="X12315" s="4"/>
      <c r="Y12315" s="4"/>
    </row>
    <row r="12316" spans="5:25">
      <c r="E12316"/>
      <c r="G12316"/>
      <c r="H12316"/>
      <c r="I12316"/>
      <c r="K12316"/>
      <c r="O12316"/>
      <c r="R12316"/>
      <c r="W12316" s="4"/>
      <c r="X12316" s="4"/>
      <c r="Y12316" s="4"/>
    </row>
    <row r="12317" spans="5:25">
      <c r="E12317"/>
      <c r="G12317"/>
      <c r="H12317"/>
      <c r="I12317"/>
      <c r="K12317"/>
      <c r="O12317"/>
      <c r="R12317"/>
      <c r="W12317" s="4"/>
      <c r="X12317" s="4"/>
      <c r="Y12317" s="4"/>
    </row>
    <row r="12318" spans="5:25">
      <c r="E12318"/>
      <c r="G12318"/>
      <c r="H12318"/>
      <c r="I12318"/>
      <c r="K12318"/>
      <c r="O12318"/>
      <c r="R12318"/>
      <c r="W12318" s="4"/>
      <c r="X12318" s="4"/>
      <c r="Y12318" s="4"/>
    </row>
    <row r="12319" spans="5:25">
      <c r="E12319"/>
      <c r="G12319"/>
      <c r="H12319"/>
      <c r="I12319"/>
      <c r="K12319"/>
      <c r="O12319"/>
      <c r="R12319"/>
      <c r="W12319" s="4"/>
      <c r="X12319" s="4"/>
      <c r="Y12319" s="4"/>
    </row>
    <row r="12320" spans="5:25">
      <c r="E12320"/>
      <c r="G12320"/>
      <c r="H12320"/>
      <c r="I12320"/>
      <c r="K12320"/>
      <c r="O12320"/>
      <c r="R12320"/>
      <c r="W12320" s="4"/>
      <c r="X12320" s="4"/>
      <c r="Y12320" s="4"/>
    </row>
    <row r="12321" spans="5:25">
      <c r="E12321"/>
      <c r="G12321"/>
      <c r="H12321"/>
      <c r="I12321"/>
      <c r="K12321"/>
      <c r="O12321"/>
      <c r="R12321"/>
      <c r="W12321" s="4"/>
      <c r="X12321" s="4"/>
      <c r="Y12321" s="4"/>
    </row>
    <row r="12322" spans="5:25">
      <c r="E12322"/>
      <c r="G12322"/>
      <c r="H12322"/>
      <c r="I12322"/>
      <c r="K12322"/>
      <c r="O12322"/>
      <c r="R12322"/>
      <c r="W12322" s="4"/>
      <c r="X12322" s="4"/>
      <c r="Y12322" s="4"/>
    </row>
    <row r="12323" spans="5:25">
      <c r="E12323"/>
      <c r="G12323"/>
      <c r="H12323"/>
      <c r="I12323"/>
      <c r="K12323"/>
      <c r="O12323"/>
      <c r="R12323"/>
      <c r="W12323" s="4"/>
      <c r="X12323" s="4"/>
      <c r="Y12323" s="4"/>
    </row>
    <row r="12324" spans="5:25">
      <c r="E12324"/>
      <c r="G12324"/>
      <c r="H12324"/>
      <c r="I12324"/>
      <c r="K12324"/>
      <c r="O12324"/>
      <c r="R12324"/>
      <c r="W12324" s="4"/>
      <c r="X12324" s="4"/>
      <c r="Y12324" s="4"/>
    </row>
    <row r="12325" spans="5:25">
      <c r="E12325"/>
      <c r="G12325"/>
      <c r="H12325"/>
      <c r="I12325"/>
      <c r="K12325"/>
      <c r="O12325"/>
      <c r="R12325"/>
      <c r="W12325" s="4"/>
      <c r="X12325" s="4"/>
      <c r="Y12325" s="4"/>
    </row>
    <row r="12326" spans="5:25">
      <c r="E12326"/>
      <c r="G12326"/>
      <c r="H12326"/>
      <c r="I12326"/>
      <c r="K12326"/>
      <c r="O12326"/>
      <c r="R12326"/>
      <c r="W12326" s="4"/>
      <c r="X12326" s="4"/>
      <c r="Y12326" s="4"/>
    </row>
    <row r="12327" spans="5:25">
      <c r="E12327"/>
      <c r="G12327"/>
      <c r="H12327"/>
      <c r="I12327"/>
      <c r="K12327"/>
      <c r="O12327"/>
      <c r="R12327"/>
      <c r="W12327" s="4"/>
      <c r="X12327" s="4"/>
      <c r="Y12327" s="4"/>
    </row>
    <row r="12328" spans="5:25">
      <c r="E12328"/>
      <c r="G12328"/>
      <c r="H12328"/>
      <c r="I12328"/>
      <c r="K12328"/>
      <c r="O12328"/>
      <c r="R12328"/>
      <c r="W12328" s="4"/>
      <c r="X12328" s="4"/>
      <c r="Y12328" s="4"/>
    </row>
    <row r="12329" spans="5:25">
      <c r="E12329"/>
      <c r="G12329"/>
      <c r="H12329"/>
      <c r="I12329"/>
      <c r="K12329"/>
      <c r="O12329"/>
      <c r="R12329"/>
      <c r="W12329" s="4"/>
      <c r="X12329" s="4"/>
      <c r="Y12329" s="4"/>
    </row>
    <row r="12330" spans="5:25">
      <c r="E12330"/>
      <c r="G12330"/>
      <c r="H12330"/>
      <c r="I12330"/>
      <c r="K12330"/>
      <c r="O12330"/>
      <c r="R12330"/>
      <c r="W12330" s="4"/>
      <c r="X12330" s="4"/>
      <c r="Y12330" s="4"/>
    </row>
    <row r="12331" spans="5:25">
      <c r="E12331"/>
      <c r="G12331"/>
      <c r="H12331"/>
      <c r="I12331"/>
      <c r="K12331"/>
      <c r="O12331"/>
      <c r="R12331"/>
      <c r="W12331" s="4"/>
      <c r="X12331" s="4"/>
      <c r="Y12331" s="4"/>
    </row>
    <row r="12332" spans="5:25">
      <c r="E12332"/>
      <c r="G12332"/>
      <c r="H12332"/>
      <c r="I12332"/>
      <c r="K12332"/>
      <c r="O12332"/>
      <c r="R12332"/>
      <c r="W12332" s="4"/>
      <c r="X12332" s="4"/>
      <c r="Y12332" s="4"/>
    </row>
    <row r="12333" spans="5:25">
      <c r="E12333"/>
      <c r="G12333"/>
      <c r="H12333"/>
      <c r="I12333"/>
      <c r="K12333"/>
      <c r="O12333"/>
      <c r="R12333"/>
      <c r="W12333" s="4"/>
      <c r="X12333" s="4"/>
      <c r="Y12333" s="4"/>
    </row>
    <row r="12334" spans="5:25">
      <c r="E12334"/>
      <c r="G12334"/>
      <c r="H12334"/>
      <c r="I12334"/>
      <c r="K12334"/>
      <c r="O12334"/>
      <c r="R12334"/>
      <c r="W12334" s="4"/>
      <c r="X12334" s="4"/>
      <c r="Y12334" s="4"/>
    </row>
    <row r="12335" spans="5:25">
      <c r="E12335"/>
      <c r="G12335"/>
      <c r="H12335"/>
      <c r="I12335"/>
      <c r="K12335"/>
      <c r="O12335"/>
      <c r="R12335"/>
      <c r="W12335" s="4"/>
      <c r="X12335" s="4"/>
      <c r="Y12335" s="4"/>
    </row>
    <row r="12336" spans="5:25">
      <c r="E12336"/>
      <c r="G12336"/>
      <c r="H12336"/>
      <c r="I12336"/>
      <c r="K12336"/>
      <c r="O12336"/>
      <c r="R12336"/>
      <c r="W12336" s="4"/>
      <c r="X12336" s="4"/>
      <c r="Y12336" s="4"/>
    </row>
    <row r="12337" spans="5:25">
      <c r="E12337"/>
      <c r="G12337"/>
      <c r="H12337"/>
      <c r="I12337"/>
      <c r="K12337"/>
      <c r="O12337"/>
      <c r="R12337"/>
      <c r="W12337" s="4"/>
      <c r="X12337" s="4"/>
      <c r="Y12337" s="4"/>
    </row>
    <row r="12338" spans="5:25">
      <c r="E12338"/>
      <c r="G12338"/>
      <c r="H12338"/>
      <c r="I12338"/>
      <c r="K12338"/>
      <c r="O12338"/>
      <c r="R12338"/>
      <c r="W12338" s="4"/>
      <c r="X12338" s="4"/>
      <c r="Y12338" s="4"/>
    </row>
    <row r="12339" spans="5:25">
      <c r="E12339"/>
      <c r="G12339"/>
      <c r="H12339"/>
      <c r="I12339"/>
      <c r="K12339"/>
      <c r="O12339"/>
      <c r="R12339"/>
      <c r="W12339" s="4"/>
      <c r="X12339" s="4"/>
      <c r="Y12339" s="4"/>
    </row>
    <row r="12340" spans="5:25">
      <c r="E12340"/>
      <c r="G12340"/>
      <c r="H12340"/>
      <c r="I12340"/>
      <c r="K12340"/>
      <c r="O12340"/>
      <c r="R12340"/>
      <c r="W12340" s="4"/>
      <c r="X12340" s="4"/>
      <c r="Y12340" s="4"/>
    </row>
    <row r="12341" spans="5:25">
      <c r="E12341"/>
      <c r="G12341"/>
      <c r="H12341"/>
      <c r="I12341"/>
      <c r="K12341"/>
      <c r="O12341"/>
      <c r="R12341"/>
      <c r="W12341" s="4"/>
      <c r="X12341" s="4"/>
      <c r="Y12341" s="4"/>
    </row>
    <row r="12342" spans="5:25">
      <c r="E12342"/>
      <c r="G12342"/>
      <c r="H12342"/>
      <c r="I12342"/>
      <c r="K12342"/>
      <c r="O12342"/>
      <c r="R12342"/>
      <c r="W12342" s="4"/>
      <c r="X12342" s="4"/>
      <c r="Y12342" s="4"/>
    </row>
    <row r="12343" spans="5:25">
      <c r="E12343"/>
      <c r="G12343"/>
      <c r="H12343"/>
      <c r="I12343"/>
      <c r="K12343"/>
      <c r="O12343"/>
      <c r="R12343"/>
      <c r="W12343" s="4"/>
      <c r="X12343" s="4"/>
      <c r="Y12343" s="4"/>
    </row>
    <row r="12344" spans="5:25">
      <c r="E12344"/>
      <c r="G12344"/>
      <c r="H12344"/>
      <c r="I12344"/>
      <c r="K12344"/>
      <c r="O12344"/>
      <c r="R12344"/>
      <c r="W12344" s="4"/>
      <c r="X12344" s="4"/>
      <c r="Y12344" s="4"/>
    </row>
    <row r="12345" spans="5:25">
      <c r="E12345"/>
      <c r="G12345"/>
      <c r="H12345"/>
      <c r="I12345"/>
      <c r="K12345"/>
      <c r="O12345"/>
      <c r="R12345"/>
      <c r="W12345" s="4"/>
      <c r="X12345" s="4"/>
      <c r="Y12345" s="4"/>
    </row>
    <row r="12346" spans="5:25">
      <c r="E12346"/>
      <c r="G12346"/>
      <c r="H12346"/>
      <c r="I12346"/>
      <c r="K12346"/>
      <c r="O12346"/>
      <c r="R12346"/>
      <c r="W12346" s="4"/>
      <c r="X12346" s="4"/>
      <c r="Y12346" s="4"/>
    </row>
    <row r="12347" spans="5:25">
      <c r="E12347"/>
      <c r="G12347"/>
      <c r="H12347"/>
      <c r="I12347"/>
      <c r="K12347"/>
      <c r="O12347"/>
      <c r="R12347"/>
      <c r="W12347" s="4"/>
      <c r="X12347" s="4"/>
      <c r="Y12347" s="4"/>
    </row>
    <row r="12348" spans="5:25">
      <c r="E12348"/>
      <c r="G12348"/>
      <c r="H12348"/>
      <c r="I12348"/>
      <c r="K12348"/>
      <c r="O12348"/>
      <c r="R12348"/>
      <c r="W12348" s="4"/>
      <c r="X12348" s="4"/>
      <c r="Y12348" s="4"/>
    </row>
    <row r="12349" spans="5:25">
      <c r="E12349"/>
      <c r="G12349"/>
      <c r="H12349"/>
      <c r="I12349"/>
      <c r="K12349"/>
      <c r="O12349"/>
      <c r="R12349"/>
      <c r="W12349" s="4"/>
      <c r="X12349" s="4"/>
      <c r="Y12349" s="4"/>
    </row>
    <row r="12350" spans="5:25">
      <c r="E12350"/>
      <c r="G12350"/>
      <c r="H12350"/>
      <c r="I12350"/>
      <c r="K12350"/>
      <c r="O12350"/>
      <c r="R12350"/>
      <c r="W12350" s="4"/>
      <c r="X12350" s="4"/>
      <c r="Y12350" s="4"/>
    </row>
    <row r="12351" spans="5:25">
      <c r="E12351"/>
      <c r="G12351"/>
      <c r="H12351"/>
      <c r="I12351"/>
      <c r="K12351"/>
      <c r="O12351"/>
      <c r="R12351"/>
      <c r="W12351" s="4"/>
      <c r="X12351" s="4"/>
      <c r="Y12351" s="4"/>
    </row>
    <row r="12352" spans="5:25">
      <c r="E12352"/>
      <c r="G12352"/>
      <c r="H12352"/>
      <c r="I12352"/>
      <c r="K12352"/>
      <c r="O12352"/>
      <c r="R12352"/>
      <c r="W12352" s="4"/>
      <c r="X12352" s="4"/>
      <c r="Y12352" s="4"/>
    </row>
    <row r="12353" spans="5:25">
      <c r="E12353"/>
      <c r="G12353"/>
      <c r="H12353"/>
      <c r="I12353"/>
      <c r="K12353"/>
      <c r="O12353"/>
      <c r="R12353"/>
      <c r="W12353" s="4"/>
      <c r="X12353" s="4"/>
      <c r="Y12353" s="4"/>
    </row>
    <row r="12354" spans="5:25">
      <c r="E12354"/>
      <c r="G12354"/>
      <c r="H12354"/>
      <c r="I12354"/>
      <c r="K12354"/>
      <c r="O12354"/>
      <c r="R12354"/>
      <c r="W12354" s="4"/>
      <c r="X12354" s="4"/>
      <c r="Y12354" s="4"/>
    </row>
    <row r="12355" spans="5:25">
      <c r="E12355"/>
      <c r="G12355"/>
      <c r="H12355"/>
      <c r="I12355"/>
      <c r="K12355"/>
      <c r="O12355"/>
      <c r="R12355"/>
      <c r="W12355" s="4"/>
      <c r="X12355" s="4"/>
      <c r="Y12355" s="4"/>
    </row>
    <row r="12356" spans="5:25">
      <c r="E12356"/>
      <c r="G12356"/>
      <c r="H12356"/>
      <c r="I12356"/>
      <c r="K12356"/>
      <c r="O12356"/>
      <c r="R12356"/>
      <c r="W12356" s="4"/>
      <c r="X12356" s="4"/>
      <c r="Y12356" s="4"/>
    </row>
    <row r="12357" spans="5:25">
      <c r="E12357"/>
      <c r="G12357"/>
      <c r="H12357"/>
      <c r="I12357"/>
      <c r="K12357"/>
      <c r="O12357"/>
      <c r="R12357"/>
      <c r="W12357" s="4"/>
      <c r="X12357" s="4"/>
      <c r="Y12357" s="4"/>
    </row>
    <row r="12358" spans="5:25">
      <c r="E12358"/>
      <c r="G12358"/>
      <c r="H12358"/>
      <c r="I12358"/>
      <c r="K12358"/>
      <c r="O12358"/>
      <c r="R12358"/>
      <c r="W12358" s="4"/>
      <c r="X12358" s="4"/>
      <c r="Y12358" s="4"/>
    </row>
    <row r="12359" spans="5:25">
      <c r="E12359"/>
      <c r="G12359"/>
      <c r="H12359"/>
      <c r="I12359"/>
      <c r="K12359"/>
      <c r="O12359"/>
      <c r="R12359"/>
      <c r="W12359" s="4"/>
      <c r="X12359" s="4"/>
      <c r="Y12359" s="4"/>
    </row>
    <row r="12360" spans="5:25">
      <c r="E12360"/>
      <c r="G12360"/>
      <c r="H12360"/>
      <c r="I12360"/>
      <c r="K12360"/>
      <c r="O12360"/>
      <c r="R12360"/>
      <c r="W12360" s="4"/>
      <c r="X12360" s="4"/>
      <c r="Y12360" s="4"/>
    </row>
    <row r="12361" spans="5:25">
      <c r="E12361"/>
      <c r="G12361"/>
      <c r="H12361"/>
      <c r="I12361"/>
      <c r="K12361"/>
      <c r="O12361"/>
      <c r="R12361"/>
      <c r="W12361" s="4"/>
      <c r="X12361" s="4"/>
      <c r="Y12361" s="4"/>
    </row>
    <row r="12362" spans="5:25">
      <c r="E12362"/>
      <c r="G12362"/>
      <c r="H12362"/>
      <c r="I12362"/>
      <c r="K12362"/>
      <c r="O12362"/>
      <c r="R12362"/>
      <c r="W12362" s="4"/>
      <c r="X12362" s="4"/>
      <c r="Y12362" s="4"/>
    </row>
    <row r="12363" spans="5:25">
      <c r="E12363"/>
      <c r="G12363"/>
      <c r="H12363"/>
      <c r="I12363"/>
      <c r="K12363"/>
      <c r="O12363"/>
      <c r="R12363"/>
      <c r="W12363" s="4"/>
      <c r="X12363" s="4"/>
      <c r="Y12363" s="4"/>
    </row>
    <row r="12364" spans="5:25">
      <c r="E12364"/>
      <c r="G12364"/>
      <c r="H12364"/>
      <c r="I12364"/>
      <c r="K12364"/>
      <c r="O12364"/>
      <c r="R12364"/>
      <c r="W12364" s="4"/>
      <c r="X12364" s="4"/>
      <c r="Y12364" s="4"/>
    </row>
    <row r="12365" spans="5:25">
      <c r="E12365"/>
      <c r="G12365"/>
      <c r="H12365"/>
      <c r="I12365"/>
      <c r="K12365"/>
      <c r="O12365"/>
      <c r="R12365"/>
      <c r="W12365" s="4"/>
      <c r="X12365" s="4"/>
      <c r="Y12365" s="4"/>
    </row>
    <row r="12366" spans="5:25">
      <c r="E12366"/>
      <c r="G12366"/>
      <c r="H12366"/>
      <c r="I12366"/>
      <c r="K12366"/>
      <c r="O12366"/>
      <c r="R12366"/>
      <c r="W12366" s="4"/>
      <c r="X12366" s="4"/>
      <c r="Y12366" s="4"/>
    </row>
    <row r="12367" spans="5:25">
      <c r="E12367"/>
      <c r="G12367"/>
      <c r="H12367"/>
      <c r="I12367"/>
      <c r="K12367"/>
      <c r="O12367"/>
      <c r="R12367"/>
      <c r="W12367" s="4"/>
      <c r="X12367" s="4"/>
      <c r="Y12367" s="4"/>
    </row>
    <row r="12368" spans="5:25">
      <c r="E12368"/>
      <c r="G12368"/>
      <c r="H12368"/>
      <c r="I12368"/>
      <c r="K12368"/>
      <c r="O12368"/>
      <c r="R12368"/>
      <c r="W12368" s="4"/>
      <c r="X12368" s="4"/>
      <c r="Y12368" s="4"/>
    </row>
    <row r="12369" spans="5:25">
      <c r="E12369"/>
      <c r="G12369"/>
      <c r="H12369"/>
      <c r="I12369"/>
      <c r="K12369"/>
      <c r="O12369"/>
      <c r="R12369"/>
      <c r="W12369" s="4"/>
      <c r="X12369" s="4"/>
      <c r="Y12369" s="4"/>
    </row>
    <row r="12370" spans="5:25">
      <c r="E12370"/>
      <c r="G12370"/>
      <c r="H12370"/>
      <c r="I12370"/>
      <c r="K12370"/>
      <c r="O12370"/>
      <c r="R12370"/>
      <c r="W12370" s="4"/>
      <c r="X12370" s="4"/>
      <c r="Y12370" s="4"/>
    </row>
    <row r="12371" spans="5:25">
      <c r="E12371"/>
      <c r="G12371"/>
      <c r="H12371"/>
      <c r="I12371"/>
      <c r="K12371"/>
      <c r="O12371"/>
      <c r="R12371"/>
      <c r="W12371" s="4"/>
      <c r="X12371" s="4"/>
      <c r="Y12371" s="4"/>
    </row>
    <row r="12372" spans="5:25">
      <c r="E12372"/>
      <c r="G12372"/>
      <c r="H12372"/>
      <c r="I12372"/>
      <c r="K12372"/>
      <c r="O12372"/>
      <c r="R12372"/>
      <c r="W12372" s="4"/>
      <c r="X12372" s="4"/>
      <c r="Y12372" s="4"/>
    </row>
    <row r="12373" spans="5:25">
      <c r="E12373"/>
      <c r="G12373"/>
      <c r="H12373"/>
      <c r="I12373"/>
      <c r="K12373"/>
      <c r="O12373"/>
      <c r="R12373"/>
      <c r="W12373" s="4"/>
      <c r="X12373" s="4"/>
      <c r="Y12373" s="4"/>
    </row>
    <row r="12374" spans="5:25">
      <c r="E12374"/>
      <c r="G12374"/>
      <c r="H12374"/>
      <c r="I12374"/>
      <c r="K12374"/>
      <c r="O12374"/>
      <c r="R12374"/>
      <c r="W12374" s="4"/>
      <c r="X12374" s="4"/>
      <c r="Y12374" s="4"/>
    </row>
    <row r="12375" spans="5:25">
      <c r="E12375"/>
      <c r="G12375"/>
      <c r="H12375"/>
      <c r="I12375"/>
      <c r="K12375"/>
      <c r="O12375"/>
      <c r="R12375"/>
      <c r="W12375" s="4"/>
      <c r="X12375" s="4"/>
      <c r="Y12375" s="4"/>
    </row>
    <row r="12376" spans="5:25">
      <c r="E12376"/>
      <c r="G12376"/>
      <c r="H12376"/>
      <c r="I12376"/>
      <c r="K12376"/>
      <c r="O12376"/>
      <c r="R12376"/>
      <c r="W12376" s="4"/>
      <c r="X12376" s="4"/>
      <c r="Y12376" s="4"/>
    </row>
    <row r="12377" spans="5:25">
      <c r="E12377"/>
      <c r="G12377"/>
      <c r="H12377"/>
      <c r="I12377"/>
      <c r="K12377"/>
      <c r="O12377"/>
      <c r="R12377"/>
      <c r="W12377" s="4"/>
      <c r="X12377" s="4"/>
      <c r="Y12377" s="4"/>
    </row>
    <row r="12378" spans="5:25">
      <c r="E12378"/>
      <c r="G12378"/>
      <c r="H12378"/>
      <c r="I12378"/>
      <c r="K12378"/>
      <c r="O12378"/>
      <c r="R12378"/>
      <c r="W12378" s="4"/>
      <c r="X12378" s="4"/>
      <c r="Y12378" s="4"/>
    </row>
    <row r="12379" spans="5:25">
      <c r="E12379"/>
      <c r="G12379"/>
      <c r="H12379"/>
      <c r="I12379"/>
      <c r="K12379"/>
      <c r="O12379"/>
      <c r="R12379"/>
      <c r="W12379" s="4"/>
      <c r="X12379" s="4"/>
      <c r="Y12379" s="4"/>
    </row>
    <row r="12380" spans="5:25">
      <c r="E12380"/>
      <c r="G12380"/>
      <c r="H12380"/>
      <c r="I12380"/>
      <c r="K12380"/>
      <c r="O12380"/>
      <c r="R12380"/>
      <c r="W12380" s="4"/>
      <c r="X12380" s="4"/>
      <c r="Y12380" s="4"/>
    </row>
    <row r="12381" spans="5:25">
      <c r="E12381"/>
      <c r="G12381"/>
      <c r="H12381"/>
      <c r="I12381"/>
      <c r="K12381"/>
      <c r="O12381"/>
      <c r="R12381"/>
      <c r="W12381" s="4"/>
      <c r="X12381" s="4"/>
      <c r="Y12381" s="4"/>
    </row>
    <row r="12382" spans="5:25">
      <c r="E12382"/>
      <c r="G12382"/>
      <c r="H12382"/>
      <c r="I12382"/>
      <c r="K12382"/>
      <c r="O12382"/>
      <c r="R12382"/>
      <c r="W12382" s="4"/>
      <c r="X12382" s="4"/>
      <c r="Y12382" s="4"/>
    </row>
    <row r="12383" spans="5:25">
      <c r="E12383"/>
      <c r="G12383"/>
      <c r="H12383"/>
      <c r="I12383"/>
      <c r="K12383"/>
      <c r="O12383"/>
      <c r="R12383"/>
      <c r="W12383" s="4"/>
      <c r="X12383" s="4"/>
      <c r="Y12383" s="4"/>
    </row>
    <row r="12384" spans="5:25">
      <c r="E12384"/>
      <c r="G12384"/>
      <c r="H12384"/>
      <c r="I12384"/>
      <c r="K12384"/>
      <c r="O12384"/>
      <c r="R12384"/>
      <c r="W12384" s="4"/>
      <c r="X12384" s="4"/>
      <c r="Y12384" s="4"/>
    </row>
    <row r="12385" spans="5:25">
      <c r="E12385"/>
      <c r="G12385"/>
      <c r="H12385"/>
      <c r="I12385"/>
      <c r="K12385"/>
      <c r="O12385"/>
      <c r="R12385"/>
      <c r="W12385" s="4"/>
      <c r="X12385" s="4"/>
      <c r="Y12385" s="4"/>
    </row>
    <row r="12386" spans="5:25">
      <c r="E12386"/>
      <c r="G12386"/>
      <c r="H12386"/>
      <c r="I12386"/>
      <c r="K12386"/>
      <c r="O12386"/>
      <c r="R12386"/>
      <c r="W12386" s="4"/>
      <c r="X12386" s="4"/>
      <c r="Y12386" s="4"/>
    </row>
    <row r="12387" spans="5:25">
      <c r="E12387"/>
      <c r="G12387"/>
      <c r="H12387"/>
      <c r="I12387"/>
      <c r="K12387"/>
      <c r="O12387"/>
      <c r="R12387"/>
      <c r="W12387" s="4"/>
      <c r="X12387" s="4"/>
      <c r="Y12387" s="4"/>
    </row>
    <row r="12388" spans="5:25">
      <c r="E12388"/>
      <c r="G12388"/>
      <c r="H12388"/>
      <c r="I12388"/>
      <c r="K12388"/>
      <c r="O12388"/>
      <c r="R12388"/>
      <c r="W12388" s="4"/>
      <c r="X12388" s="4"/>
      <c r="Y12388" s="4"/>
    </row>
    <row r="12389" spans="5:25">
      <c r="E12389"/>
      <c r="G12389"/>
      <c r="H12389"/>
      <c r="I12389"/>
      <c r="K12389"/>
      <c r="O12389"/>
      <c r="R12389"/>
      <c r="W12389" s="4"/>
      <c r="X12389" s="4"/>
      <c r="Y12389" s="4"/>
    </row>
    <row r="12390" spans="5:25">
      <c r="E12390"/>
      <c r="G12390"/>
      <c r="H12390"/>
      <c r="I12390"/>
      <c r="K12390"/>
      <c r="O12390"/>
      <c r="R12390"/>
      <c r="W12390" s="4"/>
      <c r="X12390" s="4"/>
      <c r="Y12390" s="4"/>
    </row>
    <row r="12391" spans="5:25">
      <c r="E12391"/>
      <c r="G12391"/>
      <c r="H12391"/>
      <c r="I12391"/>
      <c r="K12391"/>
      <c r="O12391"/>
      <c r="R12391"/>
      <c r="W12391" s="4"/>
      <c r="X12391" s="4"/>
      <c r="Y12391" s="4"/>
    </row>
    <row r="12392" spans="5:25">
      <c r="E12392"/>
      <c r="G12392"/>
      <c r="H12392"/>
      <c r="I12392"/>
      <c r="K12392"/>
      <c r="O12392"/>
      <c r="R12392"/>
      <c r="W12392" s="4"/>
      <c r="X12392" s="4"/>
      <c r="Y12392" s="4"/>
    </row>
    <row r="12393" spans="5:25">
      <c r="E12393"/>
      <c r="G12393"/>
      <c r="H12393"/>
      <c r="I12393"/>
      <c r="K12393"/>
      <c r="O12393"/>
      <c r="R12393"/>
      <c r="W12393" s="4"/>
      <c r="X12393" s="4"/>
      <c r="Y12393" s="4"/>
    </row>
    <row r="12394" spans="5:25">
      <c r="E12394"/>
      <c r="G12394"/>
      <c r="H12394"/>
      <c r="I12394"/>
      <c r="K12394"/>
      <c r="O12394"/>
      <c r="R12394"/>
      <c r="W12394" s="4"/>
      <c r="X12394" s="4"/>
      <c r="Y12394" s="4"/>
    </row>
    <row r="12395" spans="5:25">
      <c r="E12395"/>
      <c r="G12395"/>
      <c r="H12395"/>
      <c r="I12395"/>
      <c r="K12395"/>
      <c r="O12395"/>
      <c r="R12395"/>
      <c r="W12395" s="4"/>
      <c r="X12395" s="4"/>
      <c r="Y12395" s="4"/>
    </row>
    <row r="12396" spans="5:25">
      <c r="E12396"/>
      <c r="G12396"/>
      <c r="H12396"/>
      <c r="I12396"/>
      <c r="K12396"/>
      <c r="O12396"/>
      <c r="R12396"/>
      <c r="W12396" s="4"/>
      <c r="X12396" s="4"/>
      <c r="Y12396" s="4"/>
    </row>
    <row r="12397" spans="5:25">
      <c r="E12397"/>
      <c r="G12397"/>
      <c r="H12397"/>
      <c r="I12397"/>
      <c r="K12397"/>
      <c r="O12397"/>
      <c r="R12397"/>
      <c r="W12397" s="4"/>
      <c r="X12397" s="4"/>
      <c r="Y12397" s="4"/>
    </row>
    <row r="12398" spans="5:25">
      <c r="E12398"/>
      <c r="G12398"/>
      <c r="H12398"/>
      <c r="I12398"/>
      <c r="K12398"/>
      <c r="O12398"/>
      <c r="R12398"/>
      <c r="W12398" s="4"/>
      <c r="X12398" s="4"/>
      <c r="Y12398" s="4"/>
    </row>
    <row r="12399" spans="5:25">
      <c r="E12399"/>
      <c r="G12399"/>
      <c r="H12399"/>
      <c r="I12399"/>
      <c r="K12399"/>
      <c r="O12399"/>
      <c r="R12399"/>
      <c r="W12399" s="4"/>
      <c r="X12399" s="4"/>
      <c r="Y12399" s="4"/>
    </row>
    <row r="12400" spans="5:25">
      <c r="E12400"/>
      <c r="G12400"/>
      <c r="H12400"/>
      <c r="I12400"/>
      <c r="K12400"/>
      <c r="O12400"/>
      <c r="R12400"/>
      <c r="W12400" s="4"/>
      <c r="X12400" s="4"/>
      <c r="Y12400" s="4"/>
    </row>
    <row r="12401" spans="5:25">
      <c r="E12401"/>
      <c r="G12401"/>
      <c r="H12401"/>
      <c r="I12401"/>
      <c r="K12401"/>
      <c r="O12401"/>
      <c r="R12401"/>
      <c r="W12401" s="4"/>
      <c r="X12401" s="4"/>
      <c r="Y12401" s="4"/>
    </row>
    <row r="12402" spans="5:25">
      <c r="E12402"/>
      <c r="G12402"/>
      <c r="H12402"/>
      <c r="I12402"/>
      <c r="K12402"/>
      <c r="O12402"/>
      <c r="R12402"/>
      <c r="W12402" s="4"/>
      <c r="X12402" s="4"/>
      <c r="Y12402" s="4"/>
    </row>
    <row r="12403" spans="5:25">
      <c r="E12403"/>
      <c r="G12403"/>
      <c r="H12403"/>
      <c r="I12403"/>
      <c r="K12403"/>
      <c r="O12403"/>
      <c r="R12403"/>
      <c r="W12403" s="4"/>
      <c r="X12403" s="4"/>
      <c r="Y12403" s="4"/>
    </row>
    <row r="12404" spans="5:25">
      <c r="E12404"/>
      <c r="G12404"/>
      <c r="H12404"/>
      <c r="I12404"/>
      <c r="K12404"/>
      <c r="O12404"/>
      <c r="R12404"/>
      <c r="W12404" s="4"/>
      <c r="X12404" s="4"/>
      <c r="Y12404" s="4"/>
    </row>
    <row r="12405" spans="5:25">
      <c r="E12405"/>
      <c r="G12405"/>
      <c r="H12405"/>
      <c r="I12405"/>
      <c r="K12405"/>
      <c r="O12405"/>
      <c r="R12405"/>
      <c r="W12405" s="4"/>
      <c r="X12405" s="4"/>
      <c r="Y12405" s="4"/>
    </row>
    <row r="12406" spans="5:25">
      <c r="E12406"/>
      <c r="G12406"/>
      <c r="H12406"/>
      <c r="I12406"/>
      <c r="K12406"/>
      <c r="O12406"/>
      <c r="R12406"/>
      <c r="W12406" s="4"/>
      <c r="X12406" s="4"/>
      <c r="Y12406" s="4"/>
    </row>
    <row r="12407" spans="5:25">
      <c r="E12407"/>
      <c r="G12407"/>
      <c r="H12407"/>
      <c r="I12407"/>
      <c r="K12407"/>
      <c r="O12407"/>
      <c r="R12407"/>
      <c r="W12407" s="4"/>
      <c r="X12407" s="4"/>
      <c r="Y12407" s="4"/>
    </row>
    <row r="12408" spans="5:25">
      <c r="E12408"/>
      <c r="G12408"/>
      <c r="H12408"/>
      <c r="I12408"/>
      <c r="K12408"/>
      <c r="O12408"/>
      <c r="R12408"/>
      <c r="W12408" s="4"/>
      <c r="X12408" s="4"/>
      <c r="Y12408" s="4"/>
    </row>
    <row r="12409" spans="5:25">
      <c r="E12409"/>
      <c r="G12409"/>
      <c r="H12409"/>
      <c r="I12409"/>
      <c r="K12409"/>
      <c r="O12409"/>
      <c r="R12409"/>
      <c r="W12409" s="4"/>
      <c r="X12409" s="4"/>
      <c r="Y12409" s="4"/>
    </row>
    <row r="12410" spans="5:25">
      <c r="E12410"/>
      <c r="G12410"/>
      <c r="H12410"/>
      <c r="I12410"/>
      <c r="K12410"/>
      <c r="O12410"/>
      <c r="R12410"/>
      <c r="W12410" s="4"/>
      <c r="X12410" s="4"/>
      <c r="Y12410" s="4"/>
    </row>
    <row r="12411" spans="5:25">
      <c r="E12411"/>
      <c r="G12411"/>
      <c r="H12411"/>
      <c r="I12411"/>
      <c r="K12411"/>
      <c r="O12411"/>
      <c r="R12411"/>
      <c r="W12411" s="4"/>
      <c r="X12411" s="4"/>
      <c r="Y12411" s="4"/>
    </row>
    <row r="12412" spans="5:25">
      <c r="E12412"/>
      <c r="G12412"/>
      <c r="H12412"/>
      <c r="I12412"/>
      <c r="K12412"/>
      <c r="O12412"/>
      <c r="R12412"/>
      <c r="W12412" s="4"/>
      <c r="X12412" s="4"/>
      <c r="Y12412" s="4"/>
    </row>
    <row r="12413" spans="5:25">
      <c r="E12413"/>
      <c r="G12413"/>
      <c r="H12413"/>
      <c r="I12413"/>
      <c r="K12413"/>
      <c r="O12413"/>
      <c r="R12413"/>
      <c r="W12413" s="4"/>
      <c r="X12413" s="4"/>
      <c r="Y12413" s="4"/>
    </row>
    <row r="12414" spans="5:25">
      <c r="E12414"/>
      <c r="G12414"/>
      <c r="H12414"/>
      <c r="I12414"/>
      <c r="K12414"/>
      <c r="O12414"/>
      <c r="R12414"/>
      <c r="W12414" s="4"/>
      <c r="X12414" s="4"/>
      <c r="Y12414" s="4"/>
    </row>
    <row r="12415" spans="5:25">
      <c r="E12415"/>
      <c r="G12415"/>
      <c r="H12415"/>
      <c r="I12415"/>
      <c r="K12415"/>
      <c r="O12415"/>
      <c r="R12415"/>
      <c r="W12415" s="4"/>
      <c r="X12415" s="4"/>
      <c r="Y12415" s="4"/>
    </row>
    <row r="12416" spans="5:25">
      <c r="E12416"/>
      <c r="G12416"/>
      <c r="H12416"/>
      <c r="I12416"/>
      <c r="K12416"/>
      <c r="O12416"/>
      <c r="R12416"/>
      <c r="W12416" s="4"/>
      <c r="X12416" s="4"/>
      <c r="Y12416" s="4"/>
    </row>
    <row r="12417" spans="5:25">
      <c r="E12417"/>
      <c r="G12417"/>
      <c r="H12417"/>
      <c r="I12417"/>
      <c r="K12417"/>
      <c r="O12417"/>
      <c r="R12417"/>
      <c r="W12417" s="4"/>
      <c r="X12417" s="4"/>
      <c r="Y12417" s="4"/>
    </row>
    <row r="12418" spans="5:25">
      <c r="E12418"/>
      <c r="G12418"/>
      <c r="H12418"/>
      <c r="I12418"/>
      <c r="K12418"/>
      <c r="O12418"/>
      <c r="R12418"/>
      <c r="W12418" s="4"/>
      <c r="X12418" s="4"/>
      <c r="Y12418" s="4"/>
    </row>
    <row r="12419" spans="5:25">
      <c r="E12419"/>
      <c r="G12419"/>
      <c r="H12419"/>
      <c r="I12419"/>
      <c r="K12419"/>
      <c r="O12419"/>
      <c r="R12419"/>
      <c r="W12419" s="4"/>
      <c r="X12419" s="4"/>
      <c r="Y12419" s="4"/>
    </row>
    <row r="12420" spans="5:25">
      <c r="E12420"/>
      <c r="G12420"/>
      <c r="H12420"/>
      <c r="I12420"/>
      <c r="K12420"/>
      <c r="O12420"/>
      <c r="R12420"/>
      <c r="W12420" s="4"/>
      <c r="X12420" s="4"/>
      <c r="Y12420" s="4"/>
    </row>
    <row r="12421" spans="5:25">
      <c r="E12421"/>
      <c r="G12421"/>
      <c r="H12421"/>
      <c r="I12421"/>
      <c r="K12421"/>
      <c r="O12421"/>
      <c r="R12421"/>
      <c r="W12421" s="4"/>
      <c r="X12421" s="4"/>
      <c r="Y12421" s="4"/>
    </row>
    <row r="12422" spans="5:25">
      <c r="E12422"/>
      <c r="G12422"/>
      <c r="H12422"/>
      <c r="I12422"/>
      <c r="K12422"/>
      <c r="O12422"/>
      <c r="R12422"/>
      <c r="W12422" s="4"/>
      <c r="X12422" s="4"/>
      <c r="Y12422" s="4"/>
    </row>
    <row r="12423" spans="5:25">
      <c r="E12423"/>
      <c r="G12423"/>
      <c r="H12423"/>
      <c r="I12423"/>
      <c r="K12423"/>
      <c r="O12423"/>
      <c r="R12423"/>
      <c r="W12423" s="4"/>
      <c r="X12423" s="4"/>
      <c r="Y12423" s="4"/>
    </row>
    <row r="12424" spans="5:25">
      <c r="E12424"/>
      <c r="G12424"/>
      <c r="H12424"/>
      <c r="I12424"/>
      <c r="K12424"/>
      <c r="O12424"/>
      <c r="R12424"/>
      <c r="W12424" s="4"/>
      <c r="X12424" s="4"/>
      <c r="Y12424" s="4"/>
    </row>
    <row r="12425" spans="5:25">
      <c r="E12425"/>
      <c r="G12425"/>
      <c r="H12425"/>
      <c r="I12425"/>
      <c r="K12425"/>
      <c r="O12425"/>
      <c r="R12425"/>
      <c r="W12425" s="4"/>
      <c r="X12425" s="4"/>
      <c r="Y12425" s="4"/>
    </row>
    <row r="12426" spans="5:25">
      <c r="E12426"/>
      <c r="G12426"/>
      <c r="H12426"/>
      <c r="I12426"/>
      <c r="K12426"/>
      <c r="O12426"/>
      <c r="R12426"/>
      <c r="W12426" s="4"/>
      <c r="X12426" s="4"/>
      <c r="Y12426" s="4"/>
    </row>
    <row r="12427" spans="5:25">
      <c r="E12427"/>
      <c r="G12427"/>
      <c r="H12427"/>
      <c r="I12427"/>
      <c r="K12427"/>
      <c r="O12427"/>
      <c r="R12427"/>
      <c r="W12427" s="4"/>
      <c r="X12427" s="4"/>
      <c r="Y12427" s="4"/>
    </row>
    <row r="12428" spans="5:25">
      <c r="E12428"/>
      <c r="G12428"/>
      <c r="H12428"/>
      <c r="I12428"/>
      <c r="K12428"/>
      <c r="O12428"/>
      <c r="R12428"/>
      <c r="W12428" s="4"/>
      <c r="X12428" s="4"/>
      <c r="Y12428" s="4"/>
    </row>
    <row r="12429" spans="5:25">
      <c r="E12429"/>
      <c r="G12429"/>
      <c r="H12429"/>
      <c r="I12429"/>
      <c r="K12429"/>
      <c r="O12429"/>
      <c r="R12429"/>
      <c r="W12429" s="4"/>
      <c r="X12429" s="4"/>
      <c r="Y12429" s="4"/>
    </row>
    <row r="12430" spans="5:25">
      <c r="E12430"/>
      <c r="G12430"/>
      <c r="H12430"/>
      <c r="I12430"/>
      <c r="K12430"/>
      <c r="O12430"/>
      <c r="R12430"/>
      <c r="W12430" s="4"/>
      <c r="X12430" s="4"/>
      <c r="Y12430" s="4"/>
    </row>
    <row r="12431" spans="5:25">
      <c r="E12431"/>
      <c r="G12431"/>
      <c r="H12431"/>
      <c r="I12431"/>
      <c r="K12431"/>
      <c r="O12431"/>
      <c r="R12431"/>
      <c r="W12431" s="4"/>
      <c r="X12431" s="4"/>
      <c r="Y12431" s="4"/>
    </row>
    <row r="12432" spans="5:25">
      <c r="E12432"/>
      <c r="G12432"/>
      <c r="H12432"/>
      <c r="I12432"/>
      <c r="K12432"/>
      <c r="O12432"/>
      <c r="R12432"/>
      <c r="W12432" s="4"/>
      <c r="X12432" s="4"/>
      <c r="Y12432" s="4"/>
    </row>
    <row r="12433" spans="5:25">
      <c r="E12433"/>
      <c r="G12433"/>
      <c r="H12433"/>
      <c r="I12433"/>
      <c r="K12433"/>
      <c r="O12433"/>
      <c r="R12433"/>
      <c r="W12433" s="4"/>
      <c r="X12433" s="4"/>
      <c r="Y12433" s="4"/>
    </row>
    <row r="12434" spans="5:25">
      <c r="E12434"/>
      <c r="G12434"/>
      <c r="H12434"/>
      <c r="I12434"/>
      <c r="K12434"/>
      <c r="O12434"/>
      <c r="R12434"/>
      <c r="W12434" s="4"/>
      <c r="X12434" s="4"/>
      <c r="Y12434" s="4"/>
    </row>
    <row r="12435" spans="5:25">
      <c r="E12435"/>
      <c r="G12435"/>
      <c r="H12435"/>
      <c r="I12435"/>
      <c r="K12435"/>
      <c r="O12435"/>
      <c r="R12435"/>
      <c r="W12435" s="4"/>
      <c r="X12435" s="4"/>
      <c r="Y12435" s="4"/>
    </row>
    <row r="12436" spans="5:25">
      <c r="E12436"/>
      <c r="G12436"/>
      <c r="H12436"/>
      <c r="I12436"/>
      <c r="K12436"/>
      <c r="O12436"/>
      <c r="R12436"/>
      <c r="W12436" s="4"/>
      <c r="X12436" s="4"/>
      <c r="Y12436" s="4"/>
    </row>
    <row r="12437" spans="5:25">
      <c r="E12437"/>
      <c r="G12437"/>
      <c r="H12437"/>
      <c r="I12437"/>
      <c r="K12437"/>
      <c r="O12437"/>
      <c r="R12437"/>
      <c r="W12437" s="4"/>
      <c r="X12437" s="4"/>
      <c r="Y12437" s="4"/>
    </row>
    <row r="12438" spans="5:25">
      <c r="E12438"/>
      <c r="G12438"/>
      <c r="H12438"/>
      <c r="I12438"/>
      <c r="K12438"/>
      <c r="O12438"/>
      <c r="R12438"/>
      <c r="W12438" s="4"/>
      <c r="X12438" s="4"/>
      <c r="Y12438" s="4"/>
    </row>
    <row r="12439" spans="5:25">
      <c r="E12439"/>
      <c r="G12439"/>
      <c r="H12439"/>
      <c r="I12439"/>
      <c r="K12439"/>
      <c r="O12439"/>
      <c r="R12439"/>
      <c r="W12439" s="4"/>
      <c r="X12439" s="4"/>
      <c r="Y12439" s="4"/>
    </row>
    <row r="12440" spans="5:25">
      <c r="E12440"/>
      <c r="G12440"/>
      <c r="H12440"/>
      <c r="I12440"/>
      <c r="K12440"/>
      <c r="O12440"/>
      <c r="R12440"/>
      <c r="W12440" s="4"/>
      <c r="X12440" s="4"/>
      <c r="Y12440" s="4"/>
    </row>
    <row r="12441" spans="5:25">
      <c r="E12441"/>
      <c r="G12441"/>
      <c r="H12441"/>
      <c r="I12441"/>
      <c r="K12441"/>
      <c r="O12441"/>
      <c r="R12441"/>
      <c r="W12441" s="4"/>
      <c r="X12441" s="4"/>
      <c r="Y12441" s="4"/>
    </row>
    <row r="12442" spans="5:25">
      <c r="E12442"/>
      <c r="G12442"/>
      <c r="H12442"/>
      <c r="I12442"/>
      <c r="K12442"/>
      <c r="O12442"/>
      <c r="R12442"/>
      <c r="W12442" s="4"/>
      <c r="X12442" s="4"/>
      <c r="Y12442" s="4"/>
    </row>
    <row r="12443" spans="5:25">
      <c r="E12443"/>
      <c r="G12443"/>
      <c r="H12443"/>
      <c r="I12443"/>
      <c r="K12443"/>
      <c r="O12443"/>
      <c r="R12443"/>
      <c r="W12443" s="4"/>
      <c r="X12443" s="4"/>
      <c r="Y12443" s="4"/>
    </row>
    <row r="12444" spans="5:25">
      <c r="E12444"/>
      <c r="G12444"/>
      <c r="H12444"/>
      <c r="I12444"/>
      <c r="K12444"/>
      <c r="O12444"/>
      <c r="R12444"/>
      <c r="W12444" s="4"/>
      <c r="X12444" s="4"/>
      <c r="Y12444" s="4"/>
    </row>
    <row r="12445" spans="5:25">
      <c r="E12445"/>
      <c r="G12445"/>
      <c r="H12445"/>
      <c r="I12445"/>
      <c r="K12445"/>
      <c r="O12445"/>
      <c r="R12445"/>
      <c r="W12445" s="4"/>
      <c r="X12445" s="4"/>
      <c r="Y12445" s="4"/>
    </row>
    <row r="12446" spans="5:25">
      <c r="E12446"/>
      <c r="G12446"/>
      <c r="H12446"/>
      <c r="I12446"/>
      <c r="K12446"/>
      <c r="O12446"/>
      <c r="R12446"/>
      <c r="W12446" s="4"/>
      <c r="X12446" s="4"/>
      <c r="Y12446" s="4"/>
    </row>
    <row r="12447" spans="5:25">
      <c r="E12447"/>
      <c r="G12447"/>
      <c r="H12447"/>
      <c r="I12447"/>
      <c r="K12447"/>
      <c r="O12447"/>
      <c r="R12447"/>
      <c r="W12447" s="4"/>
      <c r="X12447" s="4"/>
      <c r="Y12447" s="4"/>
    </row>
    <row r="12448" spans="5:25">
      <c r="E12448"/>
      <c r="G12448"/>
      <c r="H12448"/>
      <c r="I12448"/>
      <c r="K12448"/>
      <c r="O12448"/>
      <c r="R12448"/>
      <c r="W12448" s="4"/>
      <c r="X12448" s="4"/>
      <c r="Y12448" s="4"/>
    </row>
    <row r="12449" spans="5:25">
      <c r="E12449"/>
      <c r="G12449"/>
      <c r="H12449"/>
      <c r="I12449"/>
      <c r="K12449"/>
      <c r="O12449"/>
      <c r="R12449"/>
      <c r="W12449" s="4"/>
      <c r="X12449" s="4"/>
      <c r="Y12449" s="4"/>
    </row>
    <row r="12450" spans="5:25">
      <c r="E12450"/>
      <c r="G12450"/>
      <c r="H12450"/>
      <c r="I12450"/>
      <c r="K12450"/>
      <c r="O12450"/>
      <c r="R12450"/>
      <c r="W12450" s="4"/>
      <c r="X12450" s="4"/>
      <c r="Y12450" s="4"/>
    </row>
    <row r="12451" spans="5:25">
      <c r="E12451"/>
      <c r="G12451"/>
      <c r="H12451"/>
      <c r="I12451"/>
      <c r="K12451"/>
      <c r="O12451"/>
      <c r="R12451"/>
      <c r="W12451" s="4"/>
      <c r="X12451" s="4"/>
      <c r="Y12451" s="4"/>
    </row>
    <row r="12452" spans="5:25">
      <c r="E12452"/>
      <c r="G12452"/>
      <c r="H12452"/>
      <c r="I12452"/>
      <c r="K12452"/>
      <c r="O12452"/>
      <c r="R12452"/>
      <c r="W12452" s="4"/>
      <c r="X12452" s="4"/>
      <c r="Y12452" s="4"/>
    </row>
    <row r="12453" spans="5:25">
      <c r="E12453"/>
      <c r="G12453"/>
      <c r="H12453"/>
      <c r="I12453"/>
      <c r="K12453"/>
      <c r="O12453"/>
      <c r="R12453"/>
      <c r="W12453" s="4"/>
      <c r="X12453" s="4"/>
      <c r="Y12453" s="4"/>
    </row>
    <row r="12454" spans="5:25">
      <c r="E12454"/>
      <c r="G12454"/>
      <c r="H12454"/>
      <c r="I12454"/>
      <c r="K12454"/>
      <c r="O12454"/>
      <c r="R12454"/>
      <c r="W12454" s="4"/>
      <c r="X12454" s="4"/>
      <c r="Y12454" s="4"/>
    </row>
    <row r="12455" spans="5:25">
      <c r="E12455"/>
      <c r="G12455"/>
      <c r="H12455"/>
      <c r="I12455"/>
      <c r="K12455"/>
      <c r="O12455"/>
      <c r="R12455"/>
      <c r="W12455" s="4"/>
      <c r="X12455" s="4"/>
      <c r="Y12455" s="4"/>
    </row>
    <row r="12456" spans="5:25">
      <c r="E12456"/>
      <c r="G12456"/>
      <c r="H12456"/>
      <c r="I12456"/>
      <c r="K12456"/>
      <c r="O12456"/>
      <c r="R12456"/>
      <c r="W12456" s="4"/>
      <c r="X12456" s="4"/>
      <c r="Y12456" s="4"/>
    </row>
    <row r="12457" spans="5:25">
      <c r="E12457"/>
      <c r="G12457"/>
      <c r="H12457"/>
      <c r="I12457"/>
      <c r="K12457"/>
      <c r="O12457"/>
      <c r="R12457"/>
      <c r="W12457" s="4"/>
      <c r="X12457" s="4"/>
      <c r="Y12457" s="4"/>
    </row>
    <row r="12458" spans="5:25">
      <c r="E12458"/>
      <c r="G12458"/>
      <c r="H12458"/>
      <c r="I12458"/>
      <c r="K12458"/>
      <c r="O12458"/>
      <c r="R12458"/>
      <c r="W12458" s="4"/>
      <c r="X12458" s="4"/>
      <c r="Y12458" s="4"/>
    </row>
    <row r="12459" spans="5:25">
      <c r="E12459"/>
      <c r="G12459"/>
      <c r="H12459"/>
      <c r="I12459"/>
      <c r="K12459"/>
      <c r="O12459"/>
      <c r="R12459"/>
      <c r="W12459" s="4"/>
      <c r="X12459" s="4"/>
      <c r="Y12459" s="4"/>
    </row>
    <row r="12460" spans="5:25">
      <c r="E12460"/>
      <c r="G12460"/>
      <c r="H12460"/>
      <c r="I12460"/>
      <c r="K12460"/>
      <c r="O12460"/>
      <c r="R12460"/>
      <c r="W12460" s="4"/>
      <c r="X12460" s="4"/>
      <c r="Y12460" s="4"/>
    </row>
    <row r="12461" spans="5:25">
      <c r="E12461"/>
      <c r="G12461"/>
      <c r="H12461"/>
      <c r="I12461"/>
      <c r="K12461"/>
      <c r="O12461"/>
      <c r="R12461"/>
      <c r="W12461" s="4"/>
      <c r="X12461" s="4"/>
      <c r="Y12461" s="4"/>
    </row>
    <row r="12462" spans="5:25">
      <c r="E12462"/>
      <c r="G12462"/>
      <c r="H12462"/>
      <c r="I12462"/>
      <c r="K12462"/>
      <c r="O12462"/>
      <c r="R12462"/>
      <c r="W12462" s="4"/>
      <c r="X12462" s="4"/>
      <c r="Y12462" s="4"/>
    </row>
    <row r="12463" spans="5:25">
      <c r="E12463"/>
      <c r="G12463"/>
      <c r="H12463"/>
      <c r="I12463"/>
      <c r="K12463"/>
      <c r="O12463"/>
      <c r="R12463"/>
      <c r="W12463" s="4"/>
      <c r="X12463" s="4"/>
      <c r="Y12463" s="4"/>
    </row>
    <row r="12464" spans="5:25">
      <c r="E12464"/>
      <c r="G12464"/>
      <c r="H12464"/>
      <c r="I12464"/>
      <c r="K12464"/>
      <c r="O12464"/>
      <c r="R12464"/>
      <c r="W12464" s="4"/>
      <c r="X12464" s="4"/>
      <c r="Y12464" s="4"/>
    </row>
    <row r="12465" spans="5:25">
      <c r="E12465"/>
      <c r="G12465"/>
      <c r="H12465"/>
      <c r="I12465"/>
      <c r="K12465"/>
      <c r="O12465"/>
      <c r="R12465"/>
      <c r="W12465" s="4"/>
      <c r="X12465" s="4"/>
      <c r="Y12465" s="4"/>
    </row>
    <row r="12466" spans="5:25">
      <c r="E12466"/>
      <c r="G12466"/>
      <c r="H12466"/>
      <c r="I12466"/>
      <c r="K12466"/>
      <c r="O12466"/>
      <c r="R12466"/>
      <c r="W12466" s="4"/>
      <c r="X12466" s="4"/>
      <c r="Y12466" s="4"/>
    </row>
    <row r="12467" spans="5:25">
      <c r="E12467"/>
      <c r="G12467"/>
      <c r="H12467"/>
      <c r="I12467"/>
      <c r="K12467"/>
      <c r="O12467"/>
      <c r="R12467"/>
      <c r="W12467" s="4"/>
      <c r="X12467" s="4"/>
      <c r="Y12467" s="4"/>
    </row>
    <row r="12468" spans="5:25">
      <c r="E12468"/>
      <c r="G12468"/>
      <c r="H12468"/>
      <c r="I12468"/>
      <c r="K12468"/>
      <c r="O12468"/>
      <c r="R12468"/>
      <c r="W12468" s="4"/>
      <c r="X12468" s="4"/>
      <c r="Y12468" s="4"/>
    </row>
    <row r="12469" spans="5:25">
      <c r="E12469"/>
      <c r="G12469"/>
      <c r="H12469"/>
      <c r="I12469"/>
      <c r="K12469"/>
      <c r="O12469"/>
      <c r="R12469"/>
      <c r="W12469" s="4"/>
      <c r="X12469" s="4"/>
      <c r="Y12469" s="4"/>
    </row>
    <row r="12470" spans="5:25">
      <c r="E12470"/>
      <c r="G12470"/>
      <c r="H12470"/>
      <c r="I12470"/>
      <c r="K12470"/>
      <c r="O12470"/>
      <c r="R12470"/>
      <c r="W12470" s="4"/>
      <c r="X12470" s="4"/>
      <c r="Y12470" s="4"/>
    </row>
    <row r="12471" spans="5:25">
      <c r="E12471"/>
      <c r="G12471"/>
      <c r="H12471"/>
      <c r="I12471"/>
      <c r="K12471"/>
      <c r="O12471"/>
      <c r="R12471"/>
      <c r="W12471" s="4"/>
      <c r="X12471" s="4"/>
      <c r="Y12471" s="4"/>
    </row>
    <row r="12472" spans="5:25">
      <c r="E12472"/>
      <c r="G12472"/>
      <c r="H12472"/>
      <c r="I12472"/>
      <c r="K12472"/>
      <c r="O12472"/>
      <c r="R12472"/>
      <c r="W12472" s="4"/>
      <c r="X12472" s="4"/>
      <c r="Y12472" s="4"/>
    </row>
    <row r="12473" spans="5:25">
      <c r="E12473"/>
      <c r="G12473"/>
      <c r="H12473"/>
      <c r="I12473"/>
      <c r="K12473"/>
      <c r="O12473"/>
      <c r="R12473"/>
      <c r="W12473" s="4"/>
      <c r="X12473" s="4"/>
      <c r="Y12473" s="4"/>
    </row>
    <row r="12474" spans="5:25">
      <c r="E12474"/>
      <c r="G12474"/>
      <c r="H12474"/>
      <c r="I12474"/>
      <c r="K12474"/>
      <c r="O12474"/>
      <c r="R12474"/>
      <c r="W12474" s="4"/>
      <c r="X12474" s="4"/>
      <c r="Y12474" s="4"/>
    </row>
    <row r="12475" spans="5:25">
      <c r="E12475"/>
      <c r="G12475"/>
      <c r="H12475"/>
      <c r="I12475"/>
      <c r="K12475"/>
      <c r="O12475"/>
      <c r="R12475"/>
      <c r="W12475" s="4"/>
      <c r="X12475" s="4"/>
      <c r="Y12475" s="4"/>
    </row>
    <row r="12476" spans="5:25">
      <c r="E12476"/>
      <c r="G12476"/>
      <c r="H12476"/>
      <c r="I12476"/>
      <c r="K12476"/>
      <c r="O12476"/>
      <c r="R12476"/>
      <c r="W12476" s="4"/>
      <c r="X12476" s="4"/>
      <c r="Y12476" s="4"/>
    </row>
    <row r="12477" spans="5:25">
      <c r="E12477"/>
      <c r="G12477"/>
      <c r="H12477"/>
      <c r="I12477"/>
      <c r="K12477"/>
      <c r="O12477"/>
      <c r="R12477"/>
      <c r="W12477" s="4"/>
      <c r="X12477" s="4"/>
      <c r="Y12477" s="4"/>
    </row>
    <row r="12478" spans="5:25">
      <c r="E12478"/>
      <c r="G12478"/>
      <c r="H12478"/>
      <c r="I12478"/>
      <c r="K12478"/>
      <c r="O12478"/>
      <c r="R12478"/>
      <c r="W12478" s="4"/>
      <c r="X12478" s="4"/>
      <c r="Y12478" s="4"/>
    </row>
    <row r="12479" spans="5:25">
      <c r="E12479"/>
      <c r="G12479"/>
      <c r="H12479"/>
      <c r="I12479"/>
      <c r="K12479"/>
      <c r="O12479"/>
      <c r="R12479"/>
      <c r="W12479" s="4"/>
      <c r="X12479" s="4"/>
      <c r="Y12479" s="4"/>
    </row>
    <row r="12480" spans="5:25">
      <c r="E12480"/>
      <c r="G12480"/>
      <c r="H12480"/>
      <c r="I12480"/>
      <c r="K12480"/>
      <c r="O12480"/>
      <c r="R12480"/>
      <c r="W12480" s="4"/>
      <c r="X12480" s="4"/>
      <c r="Y12480" s="4"/>
    </row>
    <row r="12481" spans="5:25">
      <c r="E12481"/>
      <c r="G12481"/>
      <c r="H12481"/>
      <c r="I12481"/>
      <c r="K12481"/>
      <c r="O12481"/>
      <c r="R12481"/>
      <c r="W12481" s="4"/>
      <c r="X12481" s="4"/>
      <c r="Y12481" s="4"/>
    </row>
    <row r="12482" spans="5:25">
      <c r="E12482"/>
      <c r="G12482"/>
      <c r="H12482"/>
      <c r="I12482"/>
      <c r="K12482"/>
      <c r="O12482"/>
      <c r="R12482"/>
      <c r="W12482" s="4"/>
      <c r="X12482" s="4"/>
      <c r="Y12482" s="4"/>
    </row>
    <row r="12483" spans="5:25">
      <c r="E12483"/>
      <c r="G12483"/>
      <c r="H12483"/>
      <c r="I12483"/>
      <c r="K12483"/>
      <c r="O12483"/>
      <c r="R12483"/>
      <c r="W12483" s="4"/>
      <c r="X12483" s="4"/>
      <c r="Y12483" s="4"/>
    </row>
    <row r="12484" spans="5:25">
      <c r="E12484"/>
      <c r="G12484"/>
      <c r="H12484"/>
      <c r="I12484"/>
      <c r="K12484"/>
      <c r="O12484"/>
      <c r="R12484"/>
      <c r="W12484" s="4"/>
      <c r="X12484" s="4"/>
      <c r="Y12484" s="4"/>
    </row>
    <row r="12485" spans="5:25">
      <c r="E12485"/>
      <c r="G12485"/>
      <c r="H12485"/>
      <c r="I12485"/>
      <c r="K12485"/>
      <c r="O12485"/>
      <c r="R12485"/>
      <c r="W12485" s="4"/>
      <c r="X12485" s="4"/>
      <c r="Y12485" s="4"/>
    </row>
    <row r="12486" spans="5:25">
      <c r="E12486"/>
      <c r="G12486"/>
      <c r="H12486"/>
      <c r="I12486"/>
      <c r="K12486"/>
      <c r="O12486"/>
      <c r="R12486"/>
      <c r="W12486" s="4"/>
      <c r="X12486" s="4"/>
      <c r="Y12486" s="4"/>
    </row>
    <row r="12487" spans="5:25">
      <c r="E12487"/>
      <c r="G12487"/>
      <c r="H12487"/>
      <c r="I12487"/>
      <c r="K12487"/>
      <c r="O12487"/>
      <c r="R12487"/>
      <c r="W12487" s="4"/>
      <c r="X12487" s="4"/>
      <c r="Y12487" s="4"/>
    </row>
    <row r="12488" spans="5:25">
      <c r="E12488"/>
      <c r="G12488"/>
      <c r="H12488"/>
      <c r="I12488"/>
      <c r="K12488"/>
      <c r="O12488"/>
      <c r="R12488"/>
      <c r="W12488" s="4"/>
      <c r="X12488" s="4"/>
      <c r="Y12488" s="4"/>
    </row>
    <row r="12489" spans="5:25">
      <c r="E12489"/>
      <c r="G12489"/>
      <c r="H12489"/>
      <c r="I12489"/>
      <c r="K12489"/>
      <c r="O12489"/>
      <c r="R12489"/>
      <c r="W12489" s="4"/>
      <c r="X12489" s="4"/>
      <c r="Y12489" s="4"/>
    </row>
    <row r="12490" spans="5:25">
      <c r="E12490"/>
      <c r="G12490"/>
      <c r="H12490"/>
      <c r="I12490"/>
      <c r="K12490"/>
      <c r="O12490"/>
      <c r="R12490"/>
      <c r="W12490" s="4"/>
      <c r="X12490" s="4"/>
      <c r="Y12490" s="4"/>
    </row>
    <row r="12491" spans="5:25">
      <c r="E12491"/>
      <c r="G12491"/>
      <c r="H12491"/>
      <c r="I12491"/>
      <c r="K12491"/>
      <c r="O12491"/>
      <c r="R12491"/>
      <c r="W12491" s="4"/>
      <c r="X12491" s="4"/>
      <c r="Y12491" s="4"/>
    </row>
    <row r="12492" spans="5:25">
      <c r="E12492"/>
      <c r="G12492"/>
      <c r="H12492"/>
      <c r="I12492"/>
      <c r="K12492"/>
      <c r="O12492"/>
      <c r="R12492"/>
      <c r="W12492" s="4"/>
      <c r="X12492" s="4"/>
      <c r="Y12492" s="4"/>
    </row>
    <row r="12493" spans="5:25">
      <c r="E12493"/>
      <c r="G12493"/>
      <c r="H12493"/>
      <c r="I12493"/>
      <c r="K12493"/>
      <c r="O12493"/>
      <c r="R12493"/>
      <c r="W12493" s="4"/>
      <c r="X12493" s="4"/>
      <c r="Y12493" s="4"/>
    </row>
    <row r="12494" spans="5:25">
      <c r="E12494"/>
      <c r="G12494"/>
      <c r="H12494"/>
      <c r="I12494"/>
      <c r="K12494"/>
      <c r="O12494"/>
      <c r="R12494"/>
      <c r="W12494" s="4"/>
      <c r="X12494" s="4"/>
      <c r="Y12494" s="4"/>
    </row>
    <row r="12495" spans="5:25">
      <c r="E12495"/>
      <c r="G12495"/>
      <c r="H12495"/>
      <c r="I12495"/>
      <c r="K12495"/>
      <c r="O12495"/>
      <c r="R12495"/>
      <c r="W12495" s="4"/>
      <c r="X12495" s="4"/>
      <c r="Y12495" s="4"/>
    </row>
    <row r="12496" spans="5:25">
      <c r="E12496"/>
      <c r="G12496"/>
      <c r="H12496"/>
      <c r="I12496"/>
      <c r="K12496"/>
      <c r="O12496"/>
      <c r="R12496"/>
      <c r="W12496" s="4"/>
      <c r="X12496" s="4"/>
      <c r="Y12496" s="4"/>
    </row>
    <row r="12497" spans="5:25">
      <c r="E12497"/>
      <c r="G12497"/>
      <c r="H12497"/>
      <c r="I12497"/>
      <c r="K12497"/>
      <c r="O12497"/>
      <c r="R12497"/>
      <c r="W12497" s="4"/>
      <c r="X12497" s="4"/>
      <c r="Y12497" s="4"/>
    </row>
    <row r="12498" spans="5:25">
      <c r="E12498"/>
      <c r="G12498"/>
      <c r="H12498"/>
      <c r="I12498"/>
      <c r="K12498"/>
      <c r="O12498"/>
      <c r="R12498"/>
      <c r="W12498" s="4"/>
      <c r="X12498" s="4"/>
      <c r="Y12498" s="4"/>
    </row>
    <row r="12499" spans="5:25">
      <c r="E12499"/>
      <c r="G12499"/>
      <c r="H12499"/>
      <c r="I12499"/>
      <c r="K12499"/>
      <c r="O12499"/>
      <c r="R12499"/>
      <c r="W12499" s="4"/>
      <c r="X12499" s="4"/>
      <c r="Y12499" s="4"/>
    </row>
    <row r="12500" spans="5:25">
      <c r="E12500"/>
      <c r="G12500"/>
      <c r="H12500"/>
      <c r="I12500"/>
      <c r="K12500"/>
      <c r="O12500"/>
      <c r="R12500"/>
      <c r="W12500" s="4"/>
      <c r="X12500" s="4"/>
      <c r="Y12500" s="4"/>
    </row>
    <row r="12501" spans="5:25">
      <c r="E12501"/>
      <c r="G12501"/>
      <c r="H12501"/>
      <c r="I12501"/>
      <c r="K12501"/>
      <c r="O12501"/>
      <c r="R12501"/>
      <c r="W12501" s="4"/>
      <c r="X12501" s="4"/>
      <c r="Y12501" s="4"/>
    </row>
    <row r="12502" spans="5:25">
      <c r="E12502"/>
      <c r="G12502"/>
      <c r="H12502"/>
      <c r="I12502"/>
      <c r="K12502"/>
      <c r="O12502"/>
      <c r="R12502"/>
      <c r="W12502" s="4"/>
      <c r="X12502" s="4"/>
      <c r="Y12502" s="4"/>
    </row>
    <row r="12503" spans="5:25">
      <c r="E12503"/>
      <c r="G12503"/>
      <c r="H12503"/>
      <c r="I12503"/>
      <c r="K12503"/>
      <c r="O12503"/>
      <c r="R12503"/>
      <c r="W12503" s="4"/>
      <c r="X12503" s="4"/>
      <c r="Y12503" s="4"/>
    </row>
    <row r="12504" spans="5:25">
      <c r="E12504"/>
      <c r="G12504"/>
      <c r="H12504"/>
      <c r="I12504"/>
      <c r="K12504"/>
      <c r="O12504"/>
      <c r="R12504"/>
      <c r="W12504" s="4"/>
      <c r="X12504" s="4"/>
      <c r="Y12504" s="4"/>
    </row>
    <row r="12505" spans="5:25">
      <c r="E12505"/>
      <c r="G12505"/>
      <c r="H12505"/>
      <c r="I12505"/>
      <c r="K12505"/>
      <c r="O12505"/>
      <c r="R12505"/>
      <c r="W12505" s="4"/>
      <c r="X12505" s="4"/>
      <c r="Y12505" s="4"/>
    </row>
    <row r="12506" spans="5:25">
      <c r="E12506"/>
      <c r="G12506"/>
      <c r="H12506"/>
      <c r="I12506"/>
      <c r="K12506"/>
      <c r="O12506"/>
      <c r="R12506"/>
      <c r="W12506" s="4"/>
      <c r="X12506" s="4"/>
      <c r="Y12506" s="4"/>
    </row>
    <row r="12507" spans="5:25">
      <c r="E12507"/>
      <c r="G12507"/>
      <c r="H12507"/>
      <c r="I12507"/>
      <c r="K12507"/>
      <c r="O12507"/>
      <c r="R12507"/>
      <c r="W12507" s="4"/>
      <c r="X12507" s="4"/>
      <c r="Y12507" s="4"/>
    </row>
    <row r="12508" spans="5:25">
      <c r="E12508"/>
      <c r="G12508"/>
      <c r="H12508"/>
      <c r="I12508"/>
      <c r="K12508"/>
      <c r="O12508"/>
      <c r="R12508"/>
      <c r="W12508" s="4"/>
      <c r="X12508" s="4"/>
      <c r="Y12508" s="4"/>
    </row>
    <row r="12509" spans="5:25">
      <c r="E12509"/>
      <c r="G12509"/>
      <c r="H12509"/>
      <c r="I12509"/>
      <c r="K12509"/>
      <c r="O12509"/>
      <c r="R12509"/>
      <c r="W12509" s="4"/>
      <c r="X12509" s="4"/>
      <c r="Y12509" s="4"/>
    </row>
    <row r="12510" spans="5:25">
      <c r="E12510"/>
      <c r="G12510"/>
      <c r="H12510"/>
      <c r="I12510"/>
      <c r="K12510"/>
      <c r="O12510"/>
      <c r="R12510"/>
      <c r="W12510" s="4"/>
      <c r="X12510" s="4"/>
      <c r="Y12510" s="4"/>
    </row>
    <row r="12511" spans="5:25">
      <c r="E12511"/>
      <c r="G12511"/>
      <c r="H12511"/>
      <c r="I12511"/>
      <c r="K12511"/>
      <c r="O12511"/>
      <c r="R12511"/>
      <c r="W12511" s="4"/>
      <c r="X12511" s="4"/>
      <c r="Y12511" s="4"/>
    </row>
    <row r="12512" spans="5:25">
      <c r="E12512"/>
      <c r="G12512"/>
      <c r="H12512"/>
      <c r="I12512"/>
      <c r="K12512"/>
      <c r="O12512"/>
      <c r="R12512"/>
      <c r="W12512" s="4"/>
      <c r="X12512" s="4"/>
      <c r="Y12512" s="4"/>
    </row>
    <row r="12513" spans="5:25">
      <c r="E12513"/>
      <c r="G12513"/>
      <c r="H12513"/>
      <c r="I12513"/>
      <c r="K12513"/>
      <c r="O12513"/>
      <c r="R12513"/>
      <c r="W12513" s="4"/>
      <c r="X12513" s="4"/>
      <c r="Y12513" s="4"/>
    </row>
    <row r="12514" spans="5:25">
      <c r="E12514"/>
      <c r="G12514"/>
      <c r="H12514"/>
      <c r="I12514"/>
      <c r="K12514"/>
      <c r="O12514"/>
      <c r="R12514"/>
      <c r="W12514" s="4"/>
      <c r="X12514" s="4"/>
      <c r="Y12514" s="4"/>
    </row>
    <row r="12515" spans="5:25">
      <c r="E12515"/>
      <c r="G12515"/>
      <c r="H12515"/>
      <c r="I12515"/>
      <c r="K12515"/>
      <c r="O12515"/>
      <c r="R12515"/>
      <c r="W12515" s="4"/>
      <c r="X12515" s="4"/>
      <c r="Y12515" s="4"/>
    </row>
    <row r="12516" spans="5:25">
      <c r="E12516"/>
      <c r="G12516"/>
      <c r="H12516"/>
      <c r="I12516"/>
      <c r="K12516"/>
      <c r="O12516"/>
      <c r="R12516"/>
      <c r="W12516" s="4"/>
      <c r="X12516" s="4"/>
      <c r="Y12516" s="4"/>
    </row>
    <row r="12517" spans="5:25">
      <c r="E12517"/>
      <c r="G12517"/>
      <c r="H12517"/>
      <c r="I12517"/>
      <c r="K12517"/>
      <c r="O12517"/>
      <c r="R12517"/>
      <c r="W12517" s="4"/>
      <c r="X12517" s="4"/>
      <c r="Y12517" s="4"/>
    </row>
    <row r="12518" spans="5:25">
      <c r="E12518"/>
      <c r="G12518"/>
      <c r="H12518"/>
      <c r="I12518"/>
      <c r="K12518"/>
      <c r="O12518"/>
      <c r="R12518"/>
      <c r="W12518" s="4"/>
      <c r="X12518" s="4"/>
      <c r="Y12518" s="4"/>
    </row>
    <row r="12519" spans="5:25">
      <c r="E12519"/>
      <c r="G12519"/>
      <c r="H12519"/>
      <c r="I12519"/>
      <c r="K12519"/>
      <c r="O12519"/>
      <c r="R12519"/>
      <c r="W12519" s="4"/>
      <c r="X12519" s="4"/>
      <c r="Y12519" s="4"/>
    </row>
    <row r="12520" spans="5:25">
      <c r="E12520"/>
      <c r="G12520"/>
      <c r="H12520"/>
      <c r="I12520"/>
      <c r="K12520"/>
      <c r="O12520"/>
      <c r="R12520"/>
      <c r="W12520" s="4"/>
      <c r="X12520" s="4"/>
      <c r="Y12520" s="4"/>
    </row>
    <row r="12521" spans="5:25">
      <c r="E12521"/>
      <c r="G12521"/>
      <c r="H12521"/>
      <c r="I12521"/>
      <c r="K12521"/>
      <c r="O12521"/>
      <c r="R12521"/>
      <c r="W12521" s="4"/>
      <c r="X12521" s="4"/>
      <c r="Y12521" s="4"/>
    </row>
    <row r="12522" spans="5:25">
      <c r="E12522"/>
      <c r="G12522"/>
      <c r="H12522"/>
      <c r="I12522"/>
      <c r="K12522"/>
      <c r="O12522"/>
      <c r="R12522"/>
      <c r="W12522" s="4"/>
      <c r="X12522" s="4"/>
      <c r="Y12522" s="4"/>
    </row>
    <row r="12523" spans="5:25">
      <c r="E12523"/>
      <c r="G12523"/>
      <c r="H12523"/>
      <c r="I12523"/>
      <c r="K12523"/>
      <c r="O12523"/>
      <c r="R12523"/>
      <c r="W12523" s="4"/>
      <c r="X12523" s="4"/>
      <c r="Y12523" s="4"/>
    </row>
    <row r="12524" spans="5:25">
      <c r="E12524"/>
      <c r="G12524"/>
      <c r="H12524"/>
      <c r="I12524"/>
      <c r="K12524"/>
      <c r="O12524"/>
      <c r="R12524"/>
      <c r="W12524" s="4"/>
      <c r="X12524" s="4"/>
      <c r="Y12524" s="4"/>
    </row>
    <row r="12525" spans="5:25">
      <c r="E12525"/>
      <c r="G12525"/>
      <c r="H12525"/>
      <c r="I12525"/>
      <c r="K12525"/>
      <c r="O12525"/>
      <c r="R12525"/>
      <c r="W12525" s="4"/>
      <c r="X12525" s="4"/>
      <c r="Y12525" s="4"/>
    </row>
    <row r="12526" spans="5:25">
      <c r="E12526"/>
      <c r="G12526"/>
      <c r="H12526"/>
      <c r="I12526"/>
      <c r="K12526"/>
      <c r="O12526"/>
      <c r="R12526"/>
      <c r="W12526" s="4"/>
      <c r="X12526" s="4"/>
      <c r="Y12526" s="4"/>
    </row>
    <row r="12527" spans="5:25">
      <c r="E12527"/>
      <c r="G12527"/>
      <c r="H12527"/>
      <c r="I12527"/>
      <c r="K12527"/>
      <c r="O12527"/>
      <c r="R12527"/>
      <c r="W12527" s="4"/>
      <c r="X12527" s="4"/>
      <c r="Y12527" s="4"/>
    </row>
    <row r="12528" spans="5:25">
      <c r="E12528"/>
      <c r="G12528"/>
      <c r="H12528"/>
      <c r="I12528"/>
      <c r="K12528"/>
      <c r="O12528"/>
      <c r="R12528"/>
      <c r="W12528" s="4"/>
      <c r="X12528" s="4"/>
      <c r="Y12528" s="4"/>
    </row>
    <row r="12529" spans="5:25">
      <c r="E12529"/>
      <c r="G12529"/>
      <c r="H12529"/>
      <c r="I12529"/>
      <c r="K12529"/>
      <c r="O12529"/>
      <c r="R12529"/>
      <c r="W12529" s="4"/>
      <c r="X12529" s="4"/>
      <c r="Y12529" s="4"/>
    </row>
    <row r="12530" spans="5:25">
      <c r="E12530"/>
      <c r="G12530"/>
      <c r="H12530"/>
      <c r="I12530"/>
      <c r="K12530"/>
      <c r="O12530"/>
      <c r="R12530"/>
      <c r="W12530" s="4"/>
      <c r="X12530" s="4"/>
      <c r="Y12530" s="4"/>
    </row>
    <row r="12531" spans="5:25">
      <c r="E12531"/>
      <c r="G12531"/>
      <c r="H12531"/>
      <c r="I12531"/>
      <c r="K12531"/>
      <c r="O12531"/>
      <c r="R12531"/>
      <c r="W12531" s="4"/>
      <c r="X12531" s="4"/>
      <c r="Y12531" s="4"/>
    </row>
    <row r="12532" spans="5:25">
      <c r="E12532"/>
      <c r="G12532"/>
      <c r="H12532"/>
      <c r="I12532"/>
      <c r="K12532"/>
      <c r="O12532"/>
      <c r="R12532"/>
      <c r="W12532" s="4"/>
      <c r="X12532" s="4"/>
      <c r="Y12532" s="4"/>
    </row>
    <row r="12533" spans="5:25">
      <c r="E12533"/>
      <c r="G12533"/>
      <c r="H12533"/>
      <c r="I12533"/>
      <c r="K12533"/>
      <c r="O12533"/>
      <c r="R12533"/>
      <c r="W12533" s="4"/>
      <c r="X12533" s="4"/>
      <c r="Y12533" s="4"/>
    </row>
    <row r="12534" spans="5:25">
      <c r="E12534"/>
      <c r="G12534"/>
      <c r="H12534"/>
      <c r="I12534"/>
      <c r="K12534"/>
      <c r="O12534"/>
      <c r="R12534"/>
      <c r="W12534" s="4"/>
      <c r="X12534" s="4"/>
      <c r="Y12534" s="4"/>
    </row>
    <row r="12535" spans="5:25">
      <c r="E12535"/>
      <c r="G12535"/>
      <c r="H12535"/>
      <c r="I12535"/>
      <c r="K12535"/>
      <c r="O12535"/>
      <c r="R12535"/>
      <c r="W12535" s="4"/>
      <c r="X12535" s="4"/>
      <c r="Y12535" s="4"/>
    </row>
    <row r="12536" spans="5:25">
      <c r="E12536"/>
      <c r="G12536"/>
      <c r="H12536"/>
      <c r="I12536"/>
      <c r="K12536"/>
      <c r="O12536"/>
      <c r="R12536"/>
      <c r="W12536" s="4"/>
      <c r="X12536" s="4"/>
      <c r="Y12536" s="4"/>
    </row>
    <row r="12537" spans="5:25">
      <c r="E12537"/>
      <c r="G12537"/>
      <c r="H12537"/>
      <c r="I12537"/>
      <c r="K12537"/>
      <c r="O12537"/>
      <c r="R12537"/>
      <c r="W12537" s="4"/>
      <c r="X12537" s="4"/>
      <c r="Y12537" s="4"/>
    </row>
    <row r="12538" spans="5:25">
      <c r="E12538"/>
      <c r="G12538"/>
      <c r="H12538"/>
      <c r="I12538"/>
      <c r="K12538"/>
      <c r="O12538"/>
      <c r="R12538"/>
      <c r="W12538" s="4"/>
      <c r="X12538" s="4"/>
      <c r="Y12538" s="4"/>
    </row>
    <row r="12539" spans="5:25">
      <c r="E12539"/>
      <c r="G12539"/>
      <c r="H12539"/>
      <c r="I12539"/>
      <c r="K12539"/>
      <c r="O12539"/>
      <c r="R12539"/>
      <c r="W12539" s="4"/>
      <c r="X12539" s="4"/>
      <c r="Y12539" s="4"/>
    </row>
    <row r="12540" spans="5:25">
      <c r="E12540"/>
      <c r="G12540"/>
      <c r="H12540"/>
      <c r="I12540"/>
      <c r="K12540"/>
      <c r="O12540"/>
      <c r="R12540"/>
      <c r="W12540" s="4"/>
      <c r="X12540" s="4"/>
      <c r="Y12540" s="4"/>
    </row>
    <row r="12541" spans="5:25">
      <c r="E12541"/>
      <c r="G12541"/>
      <c r="H12541"/>
      <c r="I12541"/>
      <c r="K12541"/>
      <c r="O12541"/>
      <c r="R12541"/>
      <c r="W12541" s="4"/>
      <c r="X12541" s="4"/>
      <c r="Y12541" s="4"/>
    </row>
    <row r="12542" spans="5:25">
      <c r="E12542"/>
      <c r="G12542"/>
      <c r="H12542"/>
      <c r="I12542"/>
      <c r="K12542"/>
      <c r="O12542"/>
      <c r="R12542"/>
      <c r="W12542" s="4"/>
      <c r="X12542" s="4"/>
      <c r="Y12542" s="4"/>
    </row>
    <row r="12543" spans="5:25">
      <c r="E12543"/>
      <c r="G12543"/>
      <c r="H12543"/>
      <c r="I12543"/>
      <c r="K12543"/>
      <c r="O12543"/>
      <c r="R12543"/>
      <c r="W12543" s="4"/>
      <c r="X12543" s="4"/>
      <c r="Y12543" s="4"/>
    </row>
    <row r="12544" spans="5:25">
      <c r="E12544"/>
      <c r="G12544"/>
      <c r="H12544"/>
      <c r="I12544"/>
      <c r="K12544"/>
      <c r="O12544"/>
      <c r="R12544"/>
      <c r="W12544" s="4"/>
      <c r="X12544" s="4"/>
      <c r="Y12544" s="4"/>
    </row>
    <row r="12545" spans="5:25">
      <c r="E12545"/>
      <c r="G12545"/>
      <c r="H12545"/>
      <c r="I12545"/>
      <c r="K12545"/>
      <c r="O12545"/>
      <c r="R12545"/>
      <c r="W12545" s="4"/>
      <c r="X12545" s="4"/>
      <c r="Y12545" s="4"/>
    </row>
    <row r="12546" spans="5:25">
      <c r="E12546"/>
      <c r="G12546"/>
      <c r="H12546"/>
      <c r="I12546"/>
      <c r="K12546"/>
      <c r="O12546"/>
      <c r="R12546"/>
      <c r="W12546" s="4"/>
      <c r="X12546" s="4"/>
      <c r="Y12546" s="4"/>
    </row>
    <row r="12547" spans="5:25">
      <c r="E12547"/>
      <c r="G12547"/>
      <c r="H12547"/>
      <c r="I12547"/>
      <c r="K12547"/>
      <c r="O12547"/>
      <c r="R12547"/>
      <c r="W12547" s="4"/>
      <c r="X12547" s="4"/>
      <c r="Y12547" s="4"/>
    </row>
    <row r="12548" spans="5:25">
      <c r="E12548"/>
      <c r="G12548"/>
      <c r="H12548"/>
      <c r="I12548"/>
      <c r="K12548"/>
      <c r="O12548"/>
      <c r="R12548"/>
      <c r="W12548" s="4"/>
      <c r="X12548" s="4"/>
      <c r="Y12548" s="4"/>
    </row>
    <row r="12549" spans="5:25">
      <c r="E12549"/>
      <c r="G12549"/>
      <c r="H12549"/>
      <c r="I12549"/>
      <c r="K12549"/>
      <c r="O12549"/>
      <c r="R12549"/>
      <c r="W12549" s="4"/>
      <c r="X12549" s="4"/>
      <c r="Y12549" s="4"/>
    </row>
    <row r="12550" spans="5:25">
      <c r="E12550"/>
      <c r="G12550"/>
      <c r="H12550"/>
      <c r="I12550"/>
      <c r="K12550"/>
      <c r="O12550"/>
      <c r="R12550"/>
      <c r="W12550" s="4"/>
      <c r="X12550" s="4"/>
      <c r="Y12550" s="4"/>
    </row>
    <row r="12551" spans="5:25">
      <c r="E12551"/>
      <c r="G12551"/>
      <c r="H12551"/>
      <c r="I12551"/>
      <c r="K12551"/>
      <c r="O12551"/>
      <c r="R12551"/>
      <c r="W12551" s="4"/>
      <c r="X12551" s="4"/>
      <c r="Y12551" s="4"/>
    </row>
    <row r="12552" spans="5:25">
      <c r="E12552"/>
      <c r="G12552"/>
      <c r="H12552"/>
      <c r="I12552"/>
      <c r="K12552"/>
      <c r="O12552"/>
      <c r="R12552"/>
      <c r="W12552" s="4"/>
      <c r="X12552" s="4"/>
      <c r="Y12552" s="4"/>
    </row>
    <row r="12553" spans="5:25">
      <c r="E12553"/>
      <c r="G12553"/>
      <c r="H12553"/>
      <c r="I12553"/>
      <c r="K12553"/>
      <c r="O12553"/>
      <c r="R12553"/>
      <c r="W12553" s="4"/>
      <c r="X12553" s="4"/>
      <c r="Y12553" s="4"/>
    </row>
    <row r="12554" spans="5:25">
      <c r="E12554"/>
      <c r="G12554"/>
      <c r="H12554"/>
      <c r="I12554"/>
      <c r="K12554"/>
      <c r="O12554"/>
      <c r="R12554"/>
      <c r="W12554" s="4"/>
      <c r="X12554" s="4"/>
      <c r="Y12554" s="4"/>
    </row>
    <row r="12555" spans="5:25">
      <c r="E12555"/>
      <c r="G12555"/>
      <c r="H12555"/>
      <c r="I12555"/>
      <c r="K12555"/>
      <c r="O12555"/>
      <c r="R12555"/>
      <c r="W12555" s="4"/>
      <c r="X12555" s="4"/>
      <c r="Y12555" s="4"/>
    </row>
    <row r="12556" spans="5:25">
      <c r="E12556"/>
      <c r="G12556"/>
      <c r="H12556"/>
      <c r="I12556"/>
      <c r="K12556"/>
      <c r="O12556"/>
      <c r="R12556"/>
      <c r="W12556" s="4"/>
      <c r="X12556" s="4"/>
      <c r="Y12556" s="4"/>
    </row>
    <row r="12557" spans="5:25">
      <c r="E12557"/>
      <c r="G12557"/>
      <c r="H12557"/>
      <c r="I12557"/>
      <c r="K12557"/>
      <c r="O12557"/>
      <c r="R12557"/>
      <c r="W12557" s="4"/>
      <c r="X12557" s="4"/>
      <c r="Y12557" s="4"/>
    </row>
    <row r="12558" spans="5:25">
      <c r="E12558"/>
      <c r="G12558"/>
      <c r="H12558"/>
      <c r="I12558"/>
      <c r="K12558"/>
      <c r="O12558"/>
      <c r="R12558"/>
      <c r="W12558" s="4"/>
      <c r="X12558" s="4"/>
      <c r="Y12558" s="4"/>
    </row>
    <row r="12559" spans="5:25">
      <c r="E12559"/>
      <c r="G12559"/>
      <c r="H12559"/>
      <c r="I12559"/>
      <c r="K12559"/>
      <c r="O12559"/>
      <c r="R12559"/>
      <c r="W12559" s="4"/>
      <c r="X12559" s="4"/>
      <c r="Y12559" s="4"/>
    </row>
    <row r="12560" spans="5:25">
      <c r="E12560"/>
      <c r="G12560"/>
      <c r="H12560"/>
      <c r="I12560"/>
      <c r="K12560"/>
      <c r="O12560"/>
      <c r="R12560"/>
      <c r="W12560" s="4"/>
      <c r="X12560" s="4"/>
      <c r="Y12560" s="4"/>
    </row>
    <row r="12561" spans="5:25">
      <c r="E12561"/>
      <c r="G12561"/>
      <c r="H12561"/>
      <c r="I12561"/>
      <c r="K12561"/>
      <c r="O12561"/>
      <c r="R12561"/>
      <c r="W12561" s="4"/>
      <c r="X12561" s="4"/>
      <c r="Y12561" s="4"/>
    </row>
    <row r="12562" spans="5:25">
      <c r="E12562"/>
      <c r="G12562"/>
      <c r="H12562"/>
      <c r="I12562"/>
      <c r="K12562"/>
      <c r="O12562"/>
      <c r="R12562"/>
      <c r="W12562" s="4"/>
      <c r="X12562" s="4"/>
      <c r="Y12562" s="4"/>
    </row>
    <row r="12563" spans="5:25">
      <c r="E12563"/>
      <c r="G12563"/>
      <c r="H12563"/>
      <c r="I12563"/>
      <c r="K12563"/>
      <c r="O12563"/>
      <c r="R12563"/>
      <c r="W12563" s="4"/>
      <c r="X12563" s="4"/>
      <c r="Y12563" s="4"/>
    </row>
    <row r="12564" spans="5:25">
      <c r="E12564"/>
      <c r="G12564"/>
      <c r="H12564"/>
      <c r="I12564"/>
      <c r="K12564"/>
      <c r="O12564"/>
      <c r="R12564"/>
      <c r="W12564" s="4"/>
      <c r="X12564" s="4"/>
      <c r="Y12564" s="4"/>
    </row>
    <row r="12565" spans="5:25">
      <c r="E12565"/>
      <c r="G12565"/>
      <c r="H12565"/>
      <c r="I12565"/>
      <c r="K12565"/>
      <c r="O12565"/>
      <c r="R12565"/>
      <c r="W12565" s="4"/>
      <c r="X12565" s="4"/>
      <c r="Y12565" s="4"/>
    </row>
    <row r="12566" spans="5:25">
      <c r="E12566"/>
      <c r="G12566"/>
      <c r="H12566"/>
      <c r="I12566"/>
      <c r="K12566"/>
      <c r="O12566"/>
      <c r="R12566"/>
      <c r="W12566" s="4"/>
      <c r="X12566" s="4"/>
      <c r="Y12566" s="4"/>
    </row>
    <row r="12567" spans="5:25">
      <c r="E12567"/>
      <c r="G12567"/>
      <c r="H12567"/>
      <c r="I12567"/>
      <c r="K12567"/>
      <c r="O12567"/>
      <c r="R12567"/>
      <c r="W12567" s="4"/>
      <c r="X12567" s="4"/>
      <c r="Y12567" s="4"/>
    </row>
    <row r="12568" spans="5:25">
      <c r="E12568"/>
      <c r="G12568"/>
      <c r="H12568"/>
      <c r="I12568"/>
      <c r="K12568"/>
      <c r="O12568"/>
      <c r="R12568"/>
      <c r="W12568" s="4"/>
      <c r="X12568" s="4"/>
      <c r="Y12568" s="4"/>
    </row>
    <row r="12569" spans="5:25">
      <c r="E12569"/>
      <c r="G12569"/>
      <c r="H12569"/>
      <c r="I12569"/>
      <c r="K12569"/>
      <c r="O12569"/>
      <c r="R12569"/>
      <c r="W12569" s="4"/>
      <c r="X12569" s="4"/>
      <c r="Y12569" s="4"/>
    </row>
    <row r="12570" spans="5:25">
      <c r="E12570"/>
      <c r="G12570"/>
      <c r="H12570"/>
      <c r="I12570"/>
      <c r="K12570"/>
      <c r="O12570"/>
      <c r="R12570"/>
      <c r="W12570" s="4"/>
      <c r="X12570" s="4"/>
      <c r="Y12570" s="4"/>
    </row>
    <row r="12571" spans="5:25">
      <c r="E12571"/>
      <c r="G12571"/>
      <c r="H12571"/>
      <c r="I12571"/>
      <c r="K12571"/>
      <c r="O12571"/>
      <c r="R12571"/>
      <c r="W12571" s="4"/>
      <c r="X12571" s="4"/>
      <c r="Y12571" s="4"/>
    </row>
    <row r="12572" spans="5:25">
      <c r="E12572"/>
      <c r="G12572"/>
      <c r="H12572"/>
      <c r="I12572"/>
      <c r="K12572"/>
      <c r="O12572"/>
      <c r="R12572"/>
      <c r="W12572" s="4"/>
      <c r="X12572" s="4"/>
      <c r="Y12572" s="4"/>
    </row>
    <row r="12573" spans="5:25">
      <c r="E12573"/>
      <c r="G12573"/>
      <c r="H12573"/>
      <c r="I12573"/>
      <c r="K12573"/>
      <c r="O12573"/>
      <c r="R12573"/>
      <c r="W12573" s="4"/>
      <c r="X12573" s="4"/>
      <c r="Y12573" s="4"/>
    </row>
    <row r="12574" spans="5:25">
      <c r="E12574"/>
      <c r="G12574"/>
      <c r="H12574"/>
      <c r="I12574"/>
      <c r="K12574"/>
      <c r="O12574"/>
      <c r="R12574"/>
      <c r="W12574" s="4"/>
      <c r="X12574" s="4"/>
      <c r="Y12574" s="4"/>
    </row>
    <row r="12575" spans="5:25">
      <c r="E12575"/>
      <c r="G12575"/>
      <c r="H12575"/>
      <c r="I12575"/>
      <c r="K12575"/>
      <c r="O12575"/>
      <c r="R12575"/>
      <c r="W12575" s="4"/>
      <c r="X12575" s="4"/>
      <c r="Y12575" s="4"/>
    </row>
    <row r="12576" spans="5:25">
      <c r="E12576"/>
      <c r="G12576"/>
      <c r="H12576"/>
      <c r="I12576"/>
      <c r="K12576"/>
      <c r="O12576"/>
      <c r="R12576"/>
      <c r="W12576" s="4"/>
      <c r="X12576" s="4"/>
      <c r="Y12576" s="4"/>
    </row>
    <row r="12577" spans="5:25">
      <c r="E12577"/>
      <c r="G12577"/>
      <c r="H12577"/>
      <c r="I12577"/>
      <c r="K12577"/>
      <c r="O12577"/>
      <c r="R12577"/>
      <c r="W12577" s="4"/>
      <c r="X12577" s="4"/>
      <c r="Y12577" s="4"/>
    </row>
    <row r="12578" spans="5:25">
      <c r="E12578"/>
      <c r="G12578"/>
      <c r="H12578"/>
      <c r="I12578"/>
      <c r="K12578"/>
      <c r="O12578"/>
      <c r="R12578"/>
      <c r="W12578" s="4"/>
      <c r="X12578" s="4"/>
      <c r="Y12578" s="4"/>
    </row>
    <row r="12579" spans="5:25">
      <c r="E12579"/>
      <c r="G12579"/>
      <c r="H12579"/>
      <c r="I12579"/>
      <c r="K12579"/>
      <c r="O12579"/>
      <c r="R12579"/>
      <c r="W12579" s="4"/>
      <c r="X12579" s="4"/>
      <c r="Y12579" s="4"/>
    </row>
    <row r="12580" spans="5:25">
      <c r="E12580"/>
      <c r="G12580"/>
      <c r="H12580"/>
      <c r="I12580"/>
      <c r="K12580"/>
      <c r="O12580"/>
      <c r="R12580"/>
      <c r="W12580" s="4"/>
      <c r="X12580" s="4"/>
      <c r="Y12580" s="4"/>
    </row>
    <row r="12581" spans="5:25">
      <c r="E12581"/>
      <c r="G12581"/>
      <c r="H12581"/>
      <c r="I12581"/>
      <c r="K12581"/>
      <c r="O12581"/>
      <c r="R12581"/>
      <c r="W12581" s="4"/>
      <c r="X12581" s="4"/>
      <c r="Y12581" s="4"/>
    </row>
    <row r="12582" spans="5:25">
      <c r="E12582"/>
      <c r="G12582"/>
      <c r="H12582"/>
      <c r="I12582"/>
      <c r="K12582"/>
      <c r="O12582"/>
      <c r="R12582"/>
      <c r="W12582" s="4"/>
      <c r="X12582" s="4"/>
      <c r="Y12582" s="4"/>
    </row>
    <row r="12583" spans="5:25">
      <c r="E12583"/>
      <c r="G12583"/>
      <c r="H12583"/>
      <c r="I12583"/>
      <c r="K12583"/>
      <c r="O12583"/>
      <c r="R12583"/>
      <c r="W12583" s="4"/>
      <c r="X12583" s="4"/>
      <c r="Y12583" s="4"/>
    </row>
    <row r="12584" spans="5:25">
      <c r="E12584"/>
      <c r="G12584"/>
      <c r="H12584"/>
      <c r="I12584"/>
      <c r="K12584"/>
      <c r="O12584"/>
      <c r="R12584"/>
      <c r="W12584" s="4"/>
      <c r="X12584" s="4"/>
      <c r="Y12584" s="4"/>
    </row>
    <row r="12585" spans="5:25">
      <c r="E12585"/>
      <c r="G12585"/>
      <c r="H12585"/>
      <c r="I12585"/>
      <c r="K12585"/>
      <c r="O12585"/>
      <c r="R12585"/>
      <c r="W12585" s="4"/>
      <c r="X12585" s="4"/>
      <c r="Y12585" s="4"/>
    </row>
    <row r="12586" spans="5:25">
      <c r="E12586"/>
      <c r="G12586"/>
      <c r="H12586"/>
      <c r="I12586"/>
      <c r="K12586"/>
      <c r="O12586"/>
      <c r="R12586"/>
      <c r="W12586" s="4"/>
      <c r="X12586" s="4"/>
      <c r="Y12586" s="4"/>
    </row>
    <row r="12587" spans="5:25">
      <c r="E12587"/>
      <c r="G12587"/>
      <c r="H12587"/>
      <c r="I12587"/>
      <c r="K12587"/>
      <c r="O12587"/>
      <c r="R12587"/>
      <c r="W12587" s="4"/>
      <c r="X12587" s="4"/>
      <c r="Y12587" s="4"/>
    </row>
    <row r="12588" spans="5:25">
      <c r="E12588"/>
      <c r="G12588"/>
      <c r="H12588"/>
      <c r="I12588"/>
      <c r="K12588"/>
      <c r="O12588"/>
      <c r="R12588"/>
      <c r="W12588" s="4"/>
      <c r="X12588" s="4"/>
      <c r="Y12588" s="4"/>
    </row>
    <row r="12589" spans="5:25">
      <c r="E12589"/>
      <c r="G12589"/>
      <c r="H12589"/>
      <c r="I12589"/>
      <c r="K12589"/>
      <c r="O12589"/>
      <c r="R12589"/>
      <c r="W12589" s="4"/>
      <c r="X12589" s="4"/>
      <c r="Y12589" s="4"/>
    </row>
    <row r="12590" spans="5:25">
      <c r="E12590"/>
      <c r="G12590"/>
      <c r="H12590"/>
      <c r="I12590"/>
      <c r="K12590"/>
      <c r="O12590"/>
      <c r="R12590"/>
      <c r="W12590" s="4"/>
      <c r="X12590" s="4"/>
      <c r="Y12590" s="4"/>
    </row>
    <row r="12591" spans="5:25">
      <c r="E12591"/>
      <c r="G12591"/>
      <c r="H12591"/>
      <c r="I12591"/>
      <c r="K12591"/>
      <c r="O12591"/>
      <c r="R12591"/>
      <c r="W12591" s="4"/>
      <c r="X12591" s="4"/>
      <c r="Y12591" s="4"/>
    </row>
    <row r="12592" spans="5:25">
      <c r="E12592"/>
      <c r="G12592"/>
      <c r="H12592"/>
      <c r="I12592"/>
      <c r="K12592"/>
      <c r="O12592"/>
      <c r="R12592"/>
      <c r="W12592" s="4"/>
      <c r="X12592" s="4"/>
      <c r="Y12592" s="4"/>
    </row>
    <row r="12593" spans="5:25">
      <c r="E12593"/>
      <c r="G12593"/>
      <c r="H12593"/>
      <c r="I12593"/>
      <c r="K12593"/>
      <c r="O12593"/>
      <c r="R12593"/>
      <c r="W12593" s="4"/>
      <c r="X12593" s="4"/>
      <c r="Y12593" s="4"/>
    </row>
    <row r="12594" spans="5:25">
      <c r="E12594"/>
      <c r="G12594"/>
      <c r="H12594"/>
      <c r="I12594"/>
      <c r="K12594"/>
      <c r="O12594"/>
      <c r="R12594"/>
      <c r="W12594" s="4"/>
      <c r="X12594" s="4"/>
      <c r="Y12594" s="4"/>
    </row>
    <row r="12595" spans="5:25">
      <c r="E12595"/>
      <c r="G12595"/>
      <c r="H12595"/>
      <c r="I12595"/>
      <c r="K12595"/>
      <c r="O12595"/>
      <c r="R12595"/>
      <c r="W12595" s="4"/>
      <c r="X12595" s="4"/>
      <c r="Y12595" s="4"/>
    </row>
    <row r="12596" spans="5:25">
      <c r="E12596"/>
      <c r="G12596"/>
      <c r="H12596"/>
      <c r="I12596"/>
      <c r="K12596"/>
      <c r="O12596"/>
      <c r="R12596"/>
      <c r="W12596" s="4"/>
      <c r="X12596" s="4"/>
      <c r="Y12596" s="4"/>
    </row>
    <row r="12597" spans="5:25">
      <c r="E12597"/>
      <c r="G12597"/>
      <c r="H12597"/>
      <c r="I12597"/>
      <c r="K12597"/>
      <c r="O12597"/>
      <c r="R12597"/>
      <c r="W12597" s="4"/>
      <c r="X12597" s="4"/>
      <c r="Y12597" s="4"/>
    </row>
    <row r="12598" spans="5:25">
      <c r="E12598"/>
      <c r="G12598"/>
      <c r="H12598"/>
      <c r="I12598"/>
      <c r="K12598"/>
      <c r="O12598"/>
      <c r="R12598"/>
      <c r="W12598" s="4"/>
      <c r="X12598" s="4"/>
      <c r="Y12598" s="4"/>
    </row>
    <row r="12599" spans="5:25">
      <c r="E12599"/>
      <c r="G12599"/>
      <c r="H12599"/>
      <c r="I12599"/>
      <c r="K12599"/>
      <c r="O12599"/>
      <c r="R12599"/>
      <c r="W12599" s="4"/>
      <c r="X12599" s="4"/>
      <c r="Y12599" s="4"/>
    </row>
    <row r="12600" spans="5:25">
      <c r="E12600"/>
      <c r="G12600"/>
      <c r="H12600"/>
      <c r="I12600"/>
      <c r="K12600"/>
      <c r="O12600"/>
      <c r="R12600"/>
      <c r="W12600" s="4"/>
      <c r="X12600" s="4"/>
      <c r="Y12600" s="4"/>
    </row>
    <row r="12601" spans="5:25">
      <c r="E12601"/>
      <c r="G12601"/>
      <c r="H12601"/>
      <c r="I12601"/>
      <c r="K12601"/>
      <c r="O12601"/>
      <c r="R12601"/>
      <c r="W12601" s="4"/>
      <c r="X12601" s="4"/>
      <c r="Y12601" s="4"/>
    </row>
    <row r="12602" spans="5:25">
      <c r="E12602"/>
      <c r="G12602"/>
      <c r="H12602"/>
      <c r="I12602"/>
      <c r="K12602"/>
      <c r="O12602"/>
      <c r="R12602"/>
      <c r="W12602" s="4"/>
      <c r="X12602" s="4"/>
      <c r="Y12602" s="4"/>
    </row>
    <row r="12603" spans="5:25">
      <c r="E12603"/>
      <c r="G12603"/>
      <c r="H12603"/>
      <c r="I12603"/>
      <c r="K12603"/>
      <c r="O12603"/>
      <c r="R12603"/>
      <c r="W12603" s="4"/>
      <c r="X12603" s="4"/>
      <c r="Y12603" s="4"/>
    </row>
    <row r="12604" spans="5:25">
      <c r="E12604"/>
      <c r="G12604"/>
      <c r="H12604"/>
      <c r="I12604"/>
      <c r="K12604"/>
      <c r="O12604"/>
      <c r="R12604"/>
      <c r="W12604" s="4"/>
      <c r="X12604" s="4"/>
      <c r="Y12604" s="4"/>
    </row>
    <row r="12605" spans="5:25">
      <c r="E12605"/>
      <c r="G12605"/>
      <c r="H12605"/>
      <c r="I12605"/>
      <c r="K12605"/>
      <c r="O12605"/>
      <c r="R12605"/>
      <c r="W12605" s="4"/>
      <c r="X12605" s="4"/>
      <c r="Y12605" s="4"/>
    </row>
    <row r="12606" spans="5:25">
      <c r="E12606"/>
      <c r="G12606"/>
      <c r="H12606"/>
      <c r="I12606"/>
      <c r="K12606"/>
      <c r="O12606"/>
      <c r="R12606"/>
      <c r="W12606" s="4"/>
      <c r="X12606" s="4"/>
      <c r="Y12606" s="4"/>
    </row>
    <row r="12607" spans="5:25">
      <c r="E12607"/>
      <c r="G12607"/>
      <c r="H12607"/>
      <c r="I12607"/>
      <c r="K12607"/>
      <c r="O12607"/>
      <c r="R12607"/>
      <c r="W12607" s="4"/>
      <c r="X12607" s="4"/>
      <c r="Y12607" s="4"/>
    </row>
    <row r="12608" spans="5:25">
      <c r="E12608"/>
      <c r="G12608"/>
      <c r="H12608"/>
      <c r="I12608"/>
      <c r="K12608"/>
      <c r="O12608"/>
      <c r="R12608"/>
      <c r="W12608" s="4"/>
      <c r="X12608" s="4"/>
      <c r="Y12608" s="4"/>
    </row>
    <row r="12609" spans="5:25">
      <c r="E12609"/>
      <c r="G12609"/>
      <c r="H12609"/>
      <c r="I12609"/>
      <c r="K12609"/>
      <c r="O12609"/>
      <c r="R12609"/>
      <c r="W12609" s="4"/>
      <c r="X12609" s="4"/>
      <c r="Y12609" s="4"/>
    </row>
    <row r="12610" spans="5:25">
      <c r="E12610"/>
      <c r="G12610"/>
      <c r="H12610"/>
      <c r="I12610"/>
      <c r="K12610"/>
      <c r="O12610"/>
      <c r="R12610"/>
      <c r="W12610" s="4"/>
      <c r="X12610" s="4"/>
      <c r="Y12610" s="4"/>
    </row>
    <row r="12611" spans="5:25">
      <c r="E12611"/>
      <c r="G12611"/>
      <c r="H12611"/>
      <c r="I12611"/>
      <c r="K12611"/>
      <c r="O12611"/>
      <c r="R12611"/>
      <c r="W12611" s="4"/>
      <c r="X12611" s="4"/>
      <c r="Y12611" s="4"/>
    </row>
    <row r="12612" spans="5:25">
      <c r="E12612"/>
      <c r="G12612"/>
      <c r="H12612"/>
      <c r="I12612"/>
      <c r="K12612"/>
      <c r="O12612"/>
      <c r="R12612"/>
      <c r="W12612" s="4"/>
      <c r="X12612" s="4"/>
      <c r="Y12612" s="4"/>
    </row>
    <row r="12613" spans="5:25">
      <c r="E12613"/>
      <c r="G12613"/>
      <c r="H12613"/>
      <c r="I12613"/>
      <c r="K12613"/>
      <c r="O12613"/>
      <c r="R12613"/>
      <c r="W12613" s="4"/>
      <c r="X12613" s="4"/>
      <c r="Y12613" s="4"/>
    </row>
    <row r="12614" spans="5:25">
      <c r="E12614"/>
      <c r="G12614"/>
      <c r="H12614"/>
      <c r="I12614"/>
      <c r="K12614"/>
      <c r="O12614"/>
      <c r="R12614"/>
      <c r="W12614" s="4"/>
      <c r="X12614" s="4"/>
      <c r="Y12614" s="4"/>
    </row>
    <row r="12615" spans="5:25">
      <c r="E12615"/>
      <c r="G12615"/>
      <c r="H12615"/>
      <c r="I12615"/>
      <c r="K12615"/>
      <c r="O12615"/>
      <c r="R12615"/>
      <c r="W12615" s="4"/>
      <c r="X12615" s="4"/>
      <c r="Y12615" s="4"/>
    </row>
    <row r="12616" spans="5:25">
      <c r="E12616"/>
      <c r="G12616"/>
      <c r="H12616"/>
      <c r="I12616"/>
      <c r="K12616"/>
      <c r="O12616"/>
      <c r="R12616"/>
      <c r="W12616" s="4"/>
      <c r="X12616" s="4"/>
      <c r="Y12616" s="4"/>
    </row>
    <row r="12617" spans="5:25">
      <c r="E12617"/>
      <c r="G12617"/>
      <c r="H12617"/>
      <c r="I12617"/>
      <c r="K12617"/>
      <c r="O12617"/>
      <c r="R12617"/>
      <c r="W12617" s="4"/>
      <c r="X12617" s="4"/>
      <c r="Y12617" s="4"/>
    </row>
    <row r="12618" spans="5:25">
      <c r="E12618"/>
      <c r="G12618"/>
      <c r="H12618"/>
      <c r="I12618"/>
      <c r="K12618"/>
      <c r="O12618"/>
      <c r="R12618"/>
      <c r="W12618" s="4"/>
      <c r="X12618" s="4"/>
      <c r="Y12618" s="4"/>
    </row>
    <row r="12619" spans="5:25">
      <c r="E12619"/>
      <c r="G12619"/>
      <c r="H12619"/>
      <c r="I12619"/>
      <c r="K12619"/>
      <c r="O12619"/>
      <c r="R12619"/>
      <c r="W12619" s="4"/>
      <c r="X12619" s="4"/>
      <c r="Y12619" s="4"/>
    </row>
    <row r="12620" spans="5:25">
      <c r="E12620"/>
      <c r="G12620"/>
      <c r="H12620"/>
      <c r="I12620"/>
      <c r="K12620"/>
      <c r="O12620"/>
      <c r="R12620"/>
      <c r="W12620" s="4"/>
      <c r="X12620" s="4"/>
      <c r="Y12620" s="4"/>
    </row>
    <row r="12621" spans="5:25">
      <c r="E12621"/>
      <c r="G12621"/>
      <c r="H12621"/>
      <c r="I12621"/>
      <c r="K12621"/>
      <c r="O12621"/>
      <c r="R12621"/>
      <c r="W12621" s="4"/>
      <c r="X12621" s="4"/>
      <c r="Y12621" s="4"/>
    </row>
    <row r="12622" spans="5:25">
      <c r="E12622"/>
      <c r="G12622"/>
      <c r="H12622"/>
      <c r="I12622"/>
      <c r="K12622"/>
      <c r="O12622"/>
      <c r="R12622"/>
      <c r="W12622" s="4"/>
      <c r="X12622" s="4"/>
      <c r="Y12622" s="4"/>
    </row>
    <row r="12623" spans="5:25">
      <c r="E12623"/>
      <c r="G12623"/>
      <c r="H12623"/>
      <c r="I12623"/>
      <c r="K12623"/>
      <c r="O12623"/>
      <c r="R12623"/>
      <c r="W12623" s="4"/>
      <c r="X12623" s="4"/>
      <c r="Y12623" s="4"/>
    </row>
    <row r="12624" spans="5:25">
      <c r="E12624"/>
      <c r="G12624"/>
      <c r="H12624"/>
      <c r="I12624"/>
      <c r="K12624"/>
      <c r="O12624"/>
      <c r="R12624"/>
      <c r="W12624" s="4"/>
      <c r="X12624" s="4"/>
      <c r="Y12624" s="4"/>
    </row>
    <row r="12625" spans="5:25">
      <c r="E12625"/>
      <c r="G12625"/>
      <c r="H12625"/>
      <c r="I12625"/>
      <c r="K12625"/>
      <c r="O12625"/>
      <c r="R12625"/>
      <c r="W12625" s="4"/>
      <c r="X12625" s="4"/>
      <c r="Y12625" s="4"/>
    </row>
    <row r="12626" spans="5:25">
      <c r="E12626"/>
      <c r="G12626"/>
      <c r="H12626"/>
      <c r="I12626"/>
      <c r="K12626"/>
      <c r="O12626"/>
      <c r="R12626"/>
      <c r="W12626" s="4"/>
      <c r="X12626" s="4"/>
      <c r="Y12626" s="4"/>
    </row>
    <row r="12627" spans="5:25">
      <c r="E12627"/>
      <c r="G12627"/>
      <c r="H12627"/>
      <c r="I12627"/>
      <c r="K12627"/>
      <c r="O12627"/>
      <c r="R12627"/>
      <c r="W12627" s="4"/>
      <c r="X12627" s="4"/>
      <c r="Y12627" s="4"/>
    </row>
    <row r="12628" spans="5:25">
      <c r="E12628"/>
      <c r="G12628"/>
      <c r="H12628"/>
      <c r="I12628"/>
      <c r="K12628"/>
      <c r="O12628"/>
      <c r="R12628"/>
      <c r="W12628" s="4"/>
      <c r="X12628" s="4"/>
      <c r="Y12628" s="4"/>
    </row>
    <row r="12629" spans="5:25">
      <c r="E12629"/>
      <c r="G12629"/>
      <c r="H12629"/>
      <c r="I12629"/>
      <c r="K12629"/>
      <c r="O12629"/>
      <c r="R12629"/>
      <c r="W12629" s="4"/>
      <c r="X12629" s="4"/>
      <c r="Y12629" s="4"/>
    </row>
    <row r="12630" spans="5:25">
      <c r="E12630"/>
      <c r="G12630"/>
      <c r="H12630"/>
      <c r="I12630"/>
      <c r="K12630"/>
      <c r="O12630"/>
      <c r="R12630"/>
      <c r="W12630" s="4"/>
      <c r="X12630" s="4"/>
      <c r="Y12630" s="4"/>
    </row>
    <row r="12631" spans="5:25">
      <c r="E12631"/>
      <c r="G12631"/>
      <c r="H12631"/>
      <c r="I12631"/>
      <c r="K12631"/>
      <c r="O12631"/>
      <c r="R12631"/>
      <c r="W12631" s="4"/>
      <c r="X12631" s="4"/>
      <c r="Y12631" s="4"/>
    </row>
    <row r="12632" spans="5:25">
      <c r="E12632"/>
      <c r="G12632"/>
      <c r="H12632"/>
      <c r="I12632"/>
      <c r="K12632"/>
      <c r="O12632"/>
      <c r="R12632"/>
      <c r="W12632" s="4"/>
      <c r="X12632" s="4"/>
      <c r="Y12632" s="4"/>
    </row>
    <row r="12633" spans="5:25">
      <c r="E12633"/>
      <c r="G12633"/>
      <c r="H12633"/>
      <c r="I12633"/>
      <c r="K12633"/>
      <c r="O12633"/>
      <c r="R12633"/>
      <c r="W12633" s="4"/>
      <c r="X12633" s="4"/>
      <c r="Y12633" s="4"/>
    </row>
    <row r="12634" spans="5:25">
      <c r="E12634"/>
      <c r="G12634"/>
      <c r="H12634"/>
      <c r="I12634"/>
      <c r="K12634"/>
      <c r="O12634"/>
      <c r="R12634"/>
      <c r="W12634" s="4"/>
      <c r="X12634" s="4"/>
      <c r="Y12634" s="4"/>
    </row>
    <row r="12635" spans="5:25">
      <c r="E12635"/>
      <c r="G12635"/>
      <c r="H12635"/>
      <c r="I12635"/>
      <c r="K12635"/>
      <c r="O12635"/>
      <c r="R12635"/>
      <c r="W12635" s="4"/>
      <c r="X12635" s="4"/>
      <c r="Y12635" s="4"/>
    </row>
    <row r="12636" spans="5:25">
      <c r="E12636"/>
      <c r="G12636"/>
      <c r="H12636"/>
      <c r="I12636"/>
      <c r="K12636"/>
      <c r="O12636"/>
      <c r="R12636"/>
      <c r="W12636" s="4"/>
      <c r="X12636" s="4"/>
      <c r="Y12636" s="4"/>
    </row>
    <row r="12637" spans="5:25">
      <c r="E12637"/>
      <c r="G12637"/>
      <c r="H12637"/>
      <c r="I12637"/>
      <c r="K12637"/>
      <c r="O12637"/>
      <c r="R12637"/>
      <c r="W12637" s="4"/>
      <c r="X12637" s="4"/>
      <c r="Y12637" s="4"/>
    </row>
    <row r="12638" spans="5:25">
      <c r="E12638"/>
      <c r="G12638"/>
      <c r="H12638"/>
      <c r="I12638"/>
      <c r="K12638"/>
      <c r="O12638"/>
      <c r="R12638"/>
      <c r="W12638" s="4"/>
      <c r="X12638" s="4"/>
      <c r="Y12638" s="4"/>
    </row>
    <row r="12639" spans="5:25">
      <c r="E12639"/>
      <c r="G12639"/>
      <c r="H12639"/>
      <c r="I12639"/>
      <c r="K12639"/>
      <c r="O12639"/>
      <c r="R12639"/>
      <c r="W12639" s="4"/>
      <c r="X12639" s="4"/>
      <c r="Y12639" s="4"/>
    </row>
    <row r="12640" spans="5:25">
      <c r="E12640"/>
      <c r="G12640"/>
      <c r="H12640"/>
      <c r="I12640"/>
      <c r="K12640"/>
      <c r="O12640"/>
      <c r="R12640"/>
      <c r="W12640" s="4"/>
      <c r="X12640" s="4"/>
      <c r="Y12640" s="4"/>
    </row>
    <row r="12641" spans="5:25">
      <c r="E12641"/>
      <c r="G12641"/>
      <c r="H12641"/>
      <c r="I12641"/>
      <c r="K12641"/>
      <c r="O12641"/>
      <c r="R12641"/>
      <c r="W12641" s="4"/>
      <c r="X12641" s="4"/>
      <c r="Y12641" s="4"/>
    </row>
    <row r="12642" spans="5:25">
      <c r="E12642"/>
      <c r="G12642"/>
      <c r="H12642"/>
      <c r="I12642"/>
      <c r="K12642"/>
      <c r="O12642"/>
      <c r="R12642"/>
      <c r="W12642" s="4"/>
      <c r="X12642" s="4"/>
      <c r="Y12642" s="4"/>
    </row>
    <row r="12643" spans="5:25">
      <c r="E12643"/>
      <c r="G12643"/>
      <c r="H12643"/>
      <c r="I12643"/>
      <c r="K12643"/>
      <c r="O12643"/>
      <c r="R12643"/>
      <c r="W12643" s="4"/>
      <c r="X12643" s="4"/>
      <c r="Y12643" s="4"/>
    </row>
    <row r="12644" spans="5:25">
      <c r="E12644"/>
      <c r="G12644"/>
      <c r="H12644"/>
      <c r="I12644"/>
      <c r="K12644"/>
      <c r="O12644"/>
      <c r="R12644"/>
      <c r="W12644" s="4"/>
      <c r="X12644" s="4"/>
      <c r="Y12644" s="4"/>
    </row>
    <row r="12645" spans="5:25">
      <c r="E12645"/>
      <c r="G12645"/>
      <c r="H12645"/>
      <c r="I12645"/>
      <c r="K12645"/>
      <c r="O12645"/>
      <c r="R12645"/>
      <c r="W12645" s="4"/>
      <c r="X12645" s="4"/>
      <c r="Y12645" s="4"/>
    </row>
    <row r="12646" spans="5:25">
      <c r="E12646"/>
      <c r="G12646"/>
      <c r="H12646"/>
      <c r="I12646"/>
      <c r="K12646"/>
      <c r="O12646"/>
      <c r="R12646"/>
      <c r="W12646" s="4"/>
      <c r="X12646" s="4"/>
      <c r="Y12646" s="4"/>
    </row>
    <row r="12647" spans="5:25">
      <c r="E12647"/>
      <c r="G12647"/>
      <c r="H12647"/>
      <c r="I12647"/>
      <c r="K12647"/>
      <c r="O12647"/>
      <c r="R12647"/>
      <c r="W12647" s="4"/>
      <c r="X12647" s="4"/>
      <c r="Y12647" s="4"/>
    </row>
    <row r="12648" spans="5:25">
      <c r="E12648"/>
      <c r="G12648"/>
      <c r="H12648"/>
      <c r="I12648"/>
      <c r="K12648"/>
      <c r="O12648"/>
      <c r="R12648"/>
      <c r="W12648" s="4"/>
      <c r="X12648" s="4"/>
      <c r="Y12648" s="4"/>
    </row>
    <row r="12649" spans="5:25">
      <c r="E12649"/>
      <c r="G12649"/>
      <c r="H12649"/>
      <c r="I12649"/>
      <c r="K12649"/>
      <c r="O12649"/>
      <c r="R12649"/>
      <c r="W12649" s="4"/>
      <c r="X12649" s="4"/>
      <c r="Y12649" s="4"/>
    </row>
    <row r="12650" spans="5:25">
      <c r="E12650"/>
      <c r="G12650"/>
      <c r="H12650"/>
      <c r="I12650"/>
      <c r="K12650"/>
      <c r="O12650"/>
      <c r="R12650"/>
      <c r="W12650" s="4"/>
      <c r="X12650" s="4"/>
      <c r="Y12650" s="4"/>
    </row>
    <row r="12651" spans="5:25">
      <c r="E12651"/>
      <c r="G12651"/>
      <c r="H12651"/>
      <c r="I12651"/>
      <c r="K12651"/>
      <c r="O12651"/>
      <c r="R12651"/>
      <c r="W12651" s="4"/>
      <c r="X12651" s="4"/>
      <c r="Y12651" s="4"/>
    </row>
    <row r="12652" spans="5:25">
      <c r="E12652"/>
      <c r="G12652"/>
      <c r="H12652"/>
      <c r="I12652"/>
      <c r="K12652"/>
      <c r="O12652"/>
      <c r="R12652"/>
      <c r="W12652" s="4"/>
      <c r="X12652" s="4"/>
      <c r="Y12652" s="4"/>
    </row>
    <row r="12653" spans="5:25">
      <c r="E12653"/>
      <c r="G12653"/>
      <c r="H12653"/>
      <c r="I12653"/>
      <c r="K12653"/>
      <c r="O12653"/>
      <c r="R12653"/>
      <c r="W12653" s="4"/>
      <c r="X12653" s="4"/>
      <c r="Y12653" s="4"/>
    </row>
    <row r="12654" spans="5:25">
      <c r="E12654"/>
      <c r="G12654"/>
      <c r="H12654"/>
      <c r="I12654"/>
      <c r="K12654"/>
      <c r="O12654"/>
      <c r="R12654"/>
      <c r="W12654" s="4"/>
      <c r="X12654" s="4"/>
      <c r="Y12654" s="4"/>
    </row>
    <row r="12655" spans="5:25">
      <c r="E12655"/>
      <c r="G12655"/>
      <c r="H12655"/>
      <c r="I12655"/>
      <c r="K12655"/>
      <c r="O12655"/>
      <c r="R12655"/>
      <c r="W12655" s="4"/>
      <c r="X12655" s="4"/>
      <c r="Y12655" s="4"/>
    </row>
    <row r="12656" spans="5:25">
      <c r="E12656"/>
      <c r="G12656"/>
      <c r="H12656"/>
      <c r="I12656"/>
      <c r="K12656"/>
      <c r="O12656"/>
      <c r="R12656"/>
      <c r="W12656" s="4"/>
      <c r="X12656" s="4"/>
      <c r="Y12656" s="4"/>
    </row>
    <row r="12657" spans="5:25">
      <c r="E12657"/>
      <c r="G12657"/>
      <c r="H12657"/>
      <c r="I12657"/>
      <c r="K12657"/>
      <c r="O12657"/>
      <c r="R12657"/>
      <c r="W12657" s="4"/>
      <c r="X12657" s="4"/>
      <c r="Y12657" s="4"/>
    </row>
    <row r="12658" spans="5:25">
      <c r="E12658"/>
      <c r="G12658"/>
      <c r="H12658"/>
      <c r="I12658"/>
      <c r="K12658"/>
      <c r="O12658"/>
      <c r="R12658"/>
      <c r="W12658" s="4"/>
      <c r="X12658" s="4"/>
      <c r="Y12658" s="4"/>
    </row>
    <row r="12659" spans="5:25">
      <c r="E12659"/>
      <c r="G12659"/>
      <c r="H12659"/>
      <c r="I12659"/>
      <c r="K12659"/>
      <c r="O12659"/>
      <c r="R12659"/>
      <c r="W12659" s="4"/>
      <c r="X12659" s="4"/>
      <c r="Y12659" s="4"/>
    </row>
    <row r="12660" spans="5:25">
      <c r="E12660"/>
      <c r="G12660"/>
      <c r="H12660"/>
      <c r="I12660"/>
      <c r="K12660"/>
      <c r="O12660"/>
      <c r="R12660"/>
      <c r="W12660" s="4"/>
      <c r="X12660" s="4"/>
      <c r="Y12660" s="4"/>
    </row>
    <row r="12661" spans="5:25">
      <c r="E12661"/>
      <c r="G12661"/>
      <c r="H12661"/>
      <c r="I12661"/>
      <c r="K12661"/>
      <c r="O12661"/>
      <c r="R12661"/>
      <c r="W12661" s="4"/>
      <c r="X12661" s="4"/>
      <c r="Y12661" s="4"/>
    </row>
    <row r="12662" spans="5:25">
      <c r="E12662"/>
      <c r="G12662"/>
      <c r="H12662"/>
      <c r="I12662"/>
      <c r="K12662"/>
      <c r="O12662"/>
      <c r="R12662"/>
      <c r="W12662" s="4"/>
      <c r="X12662" s="4"/>
      <c r="Y12662" s="4"/>
    </row>
    <row r="12663" spans="5:25">
      <c r="E12663"/>
      <c r="G12663"/>
      <c r="H12663"/>
      <c r="I12663"/>
      <c r="K12663"/>
      <c r="O12663"/>
      <c r="R12663"/>
      <c r="W12663" s="4"/>
      <c r="X12663" s="4"/>
      <c r="Y12663" s="4"/>
    </row>
    <row r="12664" spans="5:25">
      <c r="E12664"/>
      <c r="G12664"/>
      <c r="H12664"/>
      <c r="I12664"/>
      <c r="K12664"/>
      <c r="O12664"/>
      <c r="R12664"/>
      <c r="W12664" s="4"/>
      <c r="X12664" s="4"/>
      <c r="Y12664" s="4"/>
    </row>
    <row r="12665" spans="5:25">
      <c r="E12665"/>
      <c r="G12665"/>
      <c r="H12665"/>
      <c r="I12665"/>
      <c r="K12665"/>
      <c r="O12665"/>
      <c r="R12665"/>
      <c r="W12665" s="4"/>
      <c r="X12665" s="4"/>
      <c r="Y12665" s="4"/>
    </row>
    <row r="12666" spans="5:25">
      <c r="E12666"/>
      <c r="G12666"/>
      <c r="H12666"/>
      <c r="I12666"/>
      <c r="K12666"/>
      <c r="O12666"/>
      <c r="R12666"/>
      <c r="W12666" s="4"/>
      <c r="X12666" s="4"/>
      <c r="Y12666" s="4"/>
    </row>
    <row r="12667" spans="5:25">
      <c r="E12667"/>
      <c r="G12667"/>
      <c r="H12667"/>
      <c r="I12667"/>
      <c r="K12667"/>
      <c r="O12667"/>
      <c r="R12667"/>
      <c r="W12667" s="4"/>
      <c r="X12667" s="4"/>
      <c r="Y12667" s="4"/>
    </row>
    <row r="12668" spans="5:25">
      <c r="E12668"/>
      <c r="G12668"/>
      <c r="H12668"/>
      <c r="I12668"/>
      <c r="K12668"/>
      <c r="O12668"/>
      <c r="R12668"/>
      <c r="W12668" s="4"/>
      <c r="X12668" s="4"/>
      <c r="Y12668" s="4"/>
    </row>
    <row r="12669" spans="5:25">
      <c r="E12669"/>
      <c r="G12669"/>
      <c r="H12669"/>
      <c r="I12669"/>
      <c r="K12669"/>
      <c r="O12669"/>
      <c r="R12669"/>
      <c r="W12669" s="4"/>
      <c r="X12669" s="4"/>
      <c r="Y12669" s="4"/>
    </row>
    <row r="12670" spans="5:25">
      <c r="E12670"/>
      <c r="G12670"/>
      <c r="H12670"/>
      <c r="I12670"/>
      <c r="K12670"/>
      <c r="O12670"/>
      <c r="R12670"/>
      <c r="W12670" s="4"/>
      <c r="X12670" s="4"/>
      <c r="Y12670" s="4"/>
    </row>
    <row r="12671" spans="5:25">
      <c r="E12671"/>
      <c r="G12671"/>
      <c r="H12671"/>
      <c r="I12671"/>
      <c r="K12671"/>
      <c r="O12671"/>
      <c r="R12671"/>
      <c r="W12671" s="4"/>
      <c r="X12671" s="4"/>
      <c r="Y12671" s="4"/>
    </row>
    <row r="12672" spans="5:25">
      <c r="E12672"/>
      <c r="G12672"/>
      <c r="H12672"/>
      <c r="I12672"/>
      <c r="K12672"/>
      <c r="O12672"/>
      <c r="R12672"/>
      <c r="W12672" s="4"/>
      <c r="X12672" s="4"/>
      <c r="Y12672" s="4"/>
    </row>
    <row r="12673" spans="5:25">
      <c r="E12673"/>
      <c r="G12673"/>
      <c r="H12673"/>
      <c r="I12673"/>
      <c r="K12673"/>
      <c r="O12673"/>
      <c r="R12673"/>
      <c r="W12673" s="4"/>
      <c r="X12673" s="4"/>
      <c r="Y12673" s="4"/>
    </row>
    <row r="12674" spans="5:25">
      <c r="E12674"/>
      <c r="G12674"/>
      <c r="H12674"/>
      <c r="I12674"/>
      <c r="K12674"/>
      <c r="O12674"/>
      <c r="R12674"/>
      <c r="W12674" s="4"/>
      <c r="X12674" s="4"/>
      <c r="Y12674" s="4"/>
    </row>
    <row r="12675" spans="5:25">
      <c r="E12675"/>
      <c r="G12675"/>
      <c r="H12675"/>
      <c r="I12675"/>
      <c r="K12675"/>
      <c r="O12675"/>
      <c r="R12675"/>
      <c r="W12675" s="4"/>
      <c r="X12675" s="4"/>
      <c r="Y12675" s="4"/>
    </row>
    <row r="12676" spans="5:25">
      <c r="E12676"/>
      <c r="G12676"/>
      <c r="H12676"/>
      <c r="I12676"/>
      <c r="K12676"/>
      <c r="O12676"/>
      <c r="R12676"/>
      <c r="W12676" s="4"/>
      <c r="X12676" s="4"/>
      <c r="Y12676" s="4"/>
    </row>
    <row r="12677" spans="5:25">
      <c r="E12677"/>
      <c r="G12677"/>
      <c r="H12677"/>
      <c r="I12677"/>
      <c r="K12677"/>
      <c r="O12677"/>
      <c r="R12677"/>
      <c r="W12677" s="4"/>
      <c r="X12677" s="4"/>
      <c r="Y12677" s="4"/>
    </row>
    <row r="12678" spans="5:25">
      <c r="E12678"/>
      <c r="G12678"/>
      <c r="H12678"/>
      <c r="I12678"/>
      <c r="K12678"/>
      <c r="O12678"/>
      <c r="R12678"/>
      <c r="W12678" s="4"/>
      <c r="X12678" s="4"/>
      <c r="Y12678" s="4"/>
    </row>
    <row r="12679" spans="5:25">
      <c r="E12679"/>
      <c r="G12679"/>
      <c r="H12679"/>
      <c r="I12679"/>
      <c r="K12679"/>
      <c r="O12679"/>
      <c r="R12679"/>
      <c r="W12679" s="4"/>
      <c r="X12679" s="4"/>
      <c r="Y12679" s="4"/>
    </row>
    <row r="12680" spans="5:25">
      <c r="E12680"/>
      <c r="G12680"/>
      <c r="H12680"/>
      <c r="I12680"/>
      <c r="K12680"/>
      <c r="O12680"/>
      <c r="R12680"/>
      <c r="W12680" s="4"/>
      <c r="X12680" s="4"/>
      <c r="Y12680" s="4"/>
    </row>
    <row r="12681" spans="5:25">
      <c r="E12681"/>
      <c r="G12681"/>
      <c r="H12681"/>
      <c r="I12681"/>
      <c r="K12681"/>
      <c r="O12681"/>
      <c r="R12681"/>
      <c r="W12681" s="4"/>
      <c r="X12681" s="4"/>
      <c r="Y12681" s="4"/>
    </row>
    <row r="12682" spans="5:25">
      <c r="E12682"/>
      <c r="G12682"/>
      <c r="H12682"/>
      <c r="I12682"/>
      <c r="K12682"/>
      <c r="O12682"/>
      <c r="R12682"/>
      <c r="W12682" s="4"/>
      <c r="X12682" s="4"/>
      <c r="Y12682" s="4"/>
    </row>
    <row r="12683" spans="5:25">
      <c r="E12683"/>
      <c r="G12683"/>
      <c r="H12683"/>
      <c r="I12683"/>
      <c r="K12683"/>
      <c r="O12683"/>
      <c r="R12683"/>
      <c r="W12683" s="4"/>
      <c r="X12683" s="4"/>
      <c r="Y12683" s="4"/>
    </row>
    <row r="12684" spans="5:25">
      <c r="E12684"/>
      <c r="G12684"/>
      <c r="H12684"/>
      <c r="I12684"/>
      <c r="K12684"/>
      <c r="O12684"/>
      <c r="R12684"/>
      <c r="W12684" s="4"/>
      <c r="X12684" s="4"/>
      <c r="Y12684" s="4"/>
    </row>
    <row r="12685" spans="5:25">
      <c r="E12685"/>
      <c r="G12685"/>
      <c r="H12685"/>
      <c r="I12685"/>
      <c r="K12685"/>
      <c r="O12685"/>
      <c r="R12685"/>
      <c r="W12685" s="4"/>
      <c r="X12685" s="4"/>
      <c r="Y12685" s="4"/>
    </row>
    <row r="12686" spans="5:25">
      <c r="E12686"/>
      <c r="G12686"/>
      <c r="H12686"/>
      <c r="I12686"/>
      <c r="K12686"/>
      <c r="O12686"/>
      <c r="R12686"/>
      <c r="W12686" s="4"/>
      <c r="X12686" s="4"/>
      <c r="Y12686" s="4"/>
    </row>
    <row r="12687" spans="5:25">
      <c r="E12687"/>
      <c r="G12687"/>
      <c r="H12687"/>
      <c r="I12687"/>
      <c r="K12687"/>
      <c r="O12687"/>
      <c r="R12687"/>
      <c r="W12687" s="4"/>
      <c r="X12687" s="4"/>
      <c r="Y12687" s="4"/>
    </row>
    <row r="12688" spans="5:25">
      <c r="E12688"/>
      <c r="G12688"/>
      <c r="H12688"/>
      <c r="I12688"/>
      <c r="K12688"/>
      <c r="O12688"/>
      <c r="R12688"/>
      <c r="W12688" s="4"/>
      <c r="X12688" s="4"/>
      <c r="Y12688" s="4"/>
    </row>
    <row r="12689" spans="5:25">
      <c r="E12689"/>
      <c r="G12689"/>
      <c r="H12689"/>
      <c r="I12689"/>
      <c r="K12689"/>
      <c r="O12689"/>
      <c r="R12689"/>
      <c r="W12689" s="4"/>
      <c r="X12689" s="4"/>
      <c r="Y12689" s="4"/>
    </row>
    <row r="12690" spans="5:25">
      <c r="E12690"/>
      <c r="G12690"/>
      <c r="H12690"/>
      <c r="I12690"/>
      <c r="K12690"/>
      <c r="O12690"/>
      <c r="R12690"/>
      <c r="W12690" s="4"/>
      <c r="X12690" s="4"/>
      <c r="Y12690" s="4"/>
    </row>
    <row r="12691" spans="5:25">
      <c r="E12691"/>
      <c r="G12691"/>
      <c r="H12691"/>
      <c r="I12691"/>
      <c r="K12691"/>
      <c r="O12691"/>
      <c r="R12691"/>
      <c r="W12691" s="4"/>
      <c r="X12691" s="4"/>
      <c r="Y12691" s="4"/>
    </row>
    <row r="12692" spans="5:25">
      <c r="E12692"/>
      <c r="G12692"/>
      <c r="H12692"/>
      <c r="I12692"/>
      <c r="K12692"/>
      <c r="O12692"/>
      <c r="R12692"/>
      <c r="W12692" s="4"/>
      <c r="X12692" s="4"/>
      <c r="Y12692" s="4"/>
    </row>
    <row r="12693" spans="5:25">
      <c r="E12693"/>
      <c r="G12693"/>
      <c r="H12693"/>
      <c r="I12693"/>
      <c r="K12693"/>
      <c r="O12693"/>
      <c r="R12693"/>
      <c r="W12693" s="4"/>
      <c r="X12693" s="4"/>
      <c r="Y12693" s="4"/>
    </row>
    <row r="12694" spans="5:25">
      <c r="E12694"/>
      <c r="G12694"/>
      <c r="H12694"/>
      <c r="I12694"/>
      <c r="K12694"/>
      <c r="O12694"/>
      <c r="R12694"/>
      <c r="W12694" s="4"/>
      <c r="X12694" s="4"/>
      <c r="Y12694" s="4"/>
    </row>
    <row r="12695" spans="5:25">
      <c r="E12695"/>
      <c r="G12695"/>
      <c r="H12695"/>
      <c r="I12695"/>
      <c r="K12695"/>
      <c r="O12695"/>
      <c r="R12695"/>
      <c r="W12695" s="4"/>
      <c r="X12695" s="4"/>
      <c r="Y12695" s="4"/>
    </row>
    <row r="12696" spans="5:25">
      <c r="E12696"/>
      <c r="G12696"/>
      <c r="H12696"/>
      <c r="I12696"/>
      <c r="K12696"/>
      <c r="O12696"/>
      <c r="R12696"/>
      <c r="W12696" s="4"/>
      <c r="X12696" s="4"/>
      <c r="Y12696" s="4"/>
    </row>
    <row r="12697" spans="5:25">
      <c r="E12697"/>
      <c r="G12697"/>
      <c r="H12697"/>
      <c r="I12697"/>
      <c r="K12697"/>
      <c r="O12697"/>
      <c r="R12697"/>
      <c r="W12697" s="4"/>
      <c r="X12697" s="4"/>
      <c r="Y12697" s="4"/>
    </row>
    <row r="12698" spans="5:25">
      <c r="E12698"/>
      <c r="G12698"/>
      <c r="H12698"/>
      <c r="I12698"/>
      <c r="K12698"/>
      <c r="O12698"/>
      <c r="R12698"/>
      <c r="W12698" s="4"/>
      <c r="X12698" s="4"/>
      <c r="Y12698" s="4"/>
    </row>
    <row r="12699" spans="5:25">
      <c r="E12699"/>
      <c r="G12699"/>
      <c r="H12699"/>
      <c r="I12699"/>
      <c r="K12699"/>
      <c r="O12699"/>
      <c r="R12699"/>
      <c r="W12699" s="4"/>
      <c r="X12699" s="4"/>
      <c r="Y12699" s="4"/>
    </row>
    <row r="12700" spans="5:25">
      <c r="E12700"/>
      <c r="G12700"/>
      <c r="H12700"/>
      <c r="I12700"/>
      <c r="K12700"/>
      <c r="O12700"/>
      <c r="R12700"/>
      <c r="W12700" s="4"/>
      <c r="X12700" s="4"/>
      <c r="Y12700" s="4"/>
    </row>
    <row r="12701" spans="5:25">
      <c r="E12701"/>
      <c r="G12701"/>
      <c r="H12701"/>
      <c r="I12701"/>
      <c r="K12701"/>
      <c r="O12701"/>
      <c r="R12701"/>
      <c r="W12701" s="4"/>
      <c r="X12701" s="4"/>
      <c r="Y12701" s="4"/>
    </row>
    <row r="12702" spans="5:25">
      <c r="E12702"/>
      <c r="G12702"/>
      <c r="H12702"/>
      <c r="I12702"/>
      <c r="K12702"/>
      <c r="O12702"/>
      <c r="R12702"/>
      <c r="W12702" s="4"/>
      <c r="X12702" s="4"/>
      <c r="Y12702" s="4"/>
    </row>
    <row r="12703" spans="5:25">
      <c r="E12703"/>
      <c r="G12703"/>
      <c r="H12703"/>
      <c r="I12703"/>
      <c r="K12703"/>
      <c r="O12703"/>
      <c r="R12703"/>
      <c r="W12703" s="4"/>
      <c r="X12703" s="4"/>
      <c r="Y12703" s="4"/>
    </row>
    <row r="12704" spans="5:25">
      <c r="E12704"/>
      <c r="G12704"/>
      <c r="H12704"/>
      <c r="I12704"/>
      <c r="K12704"/>
      <c r="O12704"/>
      <c r="R12704"/>
      <c r="W12704" s="4"/>
      <c r="X12704" s="4"/>
      <c r="Y12704" s="4"/>
    </row>
    <row r="12705" spans="5:25">
      <c r="E12705"/>
      <c r="G12705"/>
      <c r="H12705"/>
      <c r="I12705"/>
      <c r="K12705"/>
      <c r="O12705"/>
      <c r="R12705"/>
      <c r="W12705" s="4"/>
      <c r="X12705" s="4"/>
      <c r="Y12705" s="4"/>
    </row>
    <row r="12706" spans="5:25">
      <c r="E12706"/>
      <c r="G12706"/>
      <c r="H12706"/>
      <c r="I12706"/>
      <c r="K12706"/>
      <c r="O12706"/>
      <c r="R12706"/>
      <c r="W12706" s="4"/>
      <c r="X12706" s="4"/>
      <c r="Y12706" s="4"/>
    </row>
    <row r="12707" spans="5:25">
      <c r="E12707"/>
      <c r="G12707"/>
      <c r="H12707"/>
      <c r="I12707"/>
      <c r="K12707"/>
      <c r="O12707"/>
      <c r="R12707"/>
      <c r="W12707" s="4"/>
      <c r="X12707" s="4"/>
      <c r="Y12707" s="4"/>
    </row>
    <row r="12708" spans="5:25">
      <c r="E12708"/>
      <c r="G12708"/>
      <c r="H12708"/>
      <c r="I12708"/>
      <c r="K12708"/>
      <c r="O12708"/>
      <c r="R12708"/>
      <c r="W12708" s="4"/>
      <c r="X12708" s="4"/>
      <c r="Y12708" s="4"/>
    </row>
    <row r="12709" spans="5:25">
      <c r="E12709"/>
      <c r="G12709"/>
      <c r="H12709"/>
      <c r="I12709"/>
      <c r="K12709"/>
      <c r="O12709"/>
      <c r="R12709"/>
      <c r="W12709" s="4"/>
      <c r="X12709" s="4"/>
      <c r="Y12709" s="4"/>
    </row>
    <row r="12710" spans="5:25">
      <c r="E12710"/>
      <c r="G12710"/>
      <c r="H12710"/>
      <c r="I12710"/>
      <c r="K12710"/>
      <c r="O12710"/>
      <c r="R12710"/>
      <c r="W12710" s="4"/>
      <c r="X12710" s="4"/>
      <c r="Y12710" s="4"/>
    </row>
    <row r="12711" spans="5:25">
      <c r="E12711"/>
      <c r="G12711"/>
      <c r="H12711"/>
      <c r="I12711"/>
      <c r="K12711"/>
      <c r="O12711"/>
      <c r="R12711"/>
      <c r="W12711" s="4"/>
      <c r="X12711" s="4"/>
      <c r="Y12711" s="4"/>
    </row>
    <row r="12712" spans="5:25">
      <c r="E12712"/>
      <c r="G12712"/>
      <c r="H12712"/>
      <c r="I12712"/>
      <c r="K12712"/>
      <c r="O12712"/>
      <c r="R12712"/>
      <c r="W12712" s="4"/>
      <c r="X12712" s="4"/>
      <c r="Y12712" s="4"/>
    </row>
    <row r="12713" spans="5:25">
      <c r="E12713"/>
      <c r="G12713"/>
      <c r="H12713"/>
      <c r="I12713"/>
      <c r="K12713"/>
      <c r="O12713"/>
      <c r="R12713"/>
      <c r="W12713" s="4"/>
      <c r="X12713" s="4"/>
      <c r="Y12713" s="4"/>
    </row>
    <row r="12714" spans="5:25">
      <c r="E12714"/>
      <c r="G12714"/>
      <c r="H12714"/>
      <c r="I12714"/>
      <c r="K12714"/>
      <c r="O12714"/>
      <c r="R12714"/>
      <c r="W12714" s="4"/>
      <c r="X12714" s="4"/>
      <c r="Y12714" s="4"/>
    </row>
    <row r="12715" spans="5:25">
      <c r="E12715"/>
      <c r="G12715"/>
      <c r="H12715"/>
      <c r="I12715"/>
      <c r="K12715"/>
      <c r="O12715"/>
      <c r="R12715"/>
      <c r="W12715" s="4"/>
      <c r="X12715" s="4"/>
      <c r="Y12715" s="4"/>
    </row>
    <row r="12716" spans="5:25">
      <c r="E12716"/>
      <c r="G12716"/>
      <c r="H12716"/>
      <c r="I12716"/>
      <c r="K12716"/>
      <c r="O12716"/>
      <c r="R12716"/>
      <c r="W12716" s="4"/>
      <c r="X12716" s="4"/>
      <c r="Y12716" s="4"/>
    </row>
    <row r="12717" spans="5:25">
      <c r="E12717"/>
      <c r="G12717"/>
      <c r="H12717"/>
      <c r="I12717"/>
      <c r="K12717"/>
      <c r="O12717"/>
      <c r="R12717"/>
      <c r="W12717" s="4"/>
      <c r="X12717" s="4"/>
      <c r="Y12717" s="4"/>
    </row>
    <row r="12718" spans="5:25">
      <c r="E12718"/>
      <c r="G12718"/>
      <c r="H12718"/>
      <c r="I12718"/>
      <c r="K12718"/>
      <c r="O12718"/>
      <c r="R12718"/>
      <c r="W12718" s="4"/>
      <c r="X12718" s="4"/>
      <c r="Y12718" s="4"/>
    </row>
    <row r="12719" spans="5:25">
      <c r="E12719"/>
      <c r="G12719"/>
      <c r="H12719"/>
      <c r="I12719"/>
      <c r="K12719"/>
      <c r="O12719"/>
      <c r="R12719"/>
      <c r="W12719" s="4"/>
      <c r="X12719" s="4"/>
      <c r="Y12719" s="4"/>
    </row>
    <row r="12720" spans="5:25">
      <c r="E12720"/>
      <c r="G12720"/>
      <c r="H12720"/>
      <c r="I12720"/>
      <c r="K12720"/>
      <c r="O12720"/>
      <c r="R12720"/>
      <c r="W12720" s="4"/>
      <c r="X12720" s="4"/>
      <c r="Y12720" s="4"/>
    </row>
    <row r="12721" spans="5:25">
      <c r="E12721"/>
      <c r="G12721"/>
      <c r="H12721"/>
      <c r="I12721"/>
      <c r="K12721"/>
      <c r="O12721"/>
      <c r="R12721"/>
      <c r="W12721" s="4"/>
      <c r="X12721" s="4"/>
      <c r="Y12721" s="4"/>
    </row>
    <row r="12722" spans="5:25">
      <c r="E12722"/>
      <c r="G12722"/>
      <c r="H12722"/>
      <c r="I12722"/>
      <c r="K12722"/>
      <c r="O12722"/>
      <c r="R12722"/>
      <c r="W12722" s="4"/>
      <c r="X12722" s="4"/>
      <c r="Y12722" s="4"/>
    </row>
    <row r="12723" spans="5:25">
      <c r="E12723"/>
      <c r="G12723"/>
      <c r="H12723"/>
      <c r="I12723"/>
      <c r="K12723"/>
      <c r="O12723"/>
      <c r="R12723"/>
      <c r="W12723" s="4"/>
      <c r="X12723" s="4"/>
      <c r="Y12723" s="4"/>
    </row>
    <row r="12724" spans="5:25">
      <c r="E12724"/>
      <c r="G12724"/>
      <c r="H12724"/>
      <c r="I12724"/>
      <c r="K12724"/>
      <c r="O12724"/>
      <c r="R12724"/>
      <c r="W12724" s="4"/>
      <c r="X12724" s="4"/>
      <c r="Y12724" s="4"/>
    </row>
    <row r="12725" spans="5:25">
      <c r="E12725"/>
      <c r="G12725"/>
      <c r="H12725"/>
      <c r="I12725"/>
      <c r="K12725"/>
      <c r="O12725"/>
      <c r="R12725"/>
      <c r="W12725" s="4"/>
      <c r="X12725" s="4"/>
      <c r="Y12725" s="4"/>
    </row>
    <row r="12726" spans="5:25">
      <c r="E12726"/>
      <c r="G12726"/>
      <c r="H12726"/>
      <c r="I12726"/>
      <c r="K12726"/>
      <c r="O12726"/>
      <c r="R12726"/>
      <c r="W12726" s="4"/>
      <c r="X12726" s="4"/>
      <c r="Y12726" s="4"/>
    </row>
    <row r="12727" spans="5:25">
      <c r="E12727"/>
      <c r="G12727"/>
      <c r="H12727"/>
      <c r="I12727"/>
      <c r="K12727"/>
      <c r="O12727"/>
      <c r="R12727"/>
      <c r="W12727" s="4"/>
      <c r="X12727" s="4"/>
      <c r="Y12727" s="4"/>
    </row>
    <row r="12728" spans="5:25">
      <c r="E12728"/>
      <c r="G12728"/>
      <c r="H12728"/>
      <c r="I12728"/>
      <c r="K12728"/>
      <c r="O12728"/>
      <c r="R12728"/>
      <c r="W12728" s="4"/>
      <c r="X12728" s="4"/>
      <c r="Y12728" s="4"/>
    </row>
    <row r="12729" spans="5:25">
      <c r="E12729"/>
      <c r="G12729"/>
      <c r="H12729"/>
      <c r="I12729"/>
      <c r="K12729"/>
      <c r="O12729"/>
      <c r="R12729"/>
      <c r="W12729" s="4"/>
      <c r="X12729" s="4"/>
      <c r="Y12729" s="4"/>
    </row>
    <row r="12730" spans="5:25">
      <c r="E12730"/>
      <c r="G12730"/>
      <c r="H12730"/>
      <c r="I12730"/>
      <c r="K12730"/>
      <c r="O12730"/>
      <c r="R12730"/>
      <c r="W12730" s="4"/>
      <c r="X12730" s="4"/>
      <c r="Y12730" s="4"/>
    </row>
    <row r="12731" spans="5:25">
      <c r="E12731"/>
      <c r="G12731"/>
      <c r="H12731"/>
      <c r="I12731"/>
      <c r="K12731"/>
      <c r="O12731"/>
      <c r="R12731"/>
      <c r="W12731" s="4"/>
      <c r="X12731" s="4"/>
      <c r="Y12731" s="4"/>
    </row>
    <row r="12732" spans="5:25">
      <c r="E12732"/>
      <c r="G12732"/>
      <c r="H12732"/>
      <c r="I12732"/>
      <c r="K12732"/>
      <c r="O12732"/>
      <c r="R12732"/>
      <c r="W12732" s="4"/>
      <c r="X12732" s="4"/>
      <c r="Y12732" s="4"/>
    </row>
    <row r="12733" spans="5:25">
      <c r="E12733"/>
      <c r="G12733"/>
      <c r="H12733"/>
      <c r="I12733"/>
      <c r="K12733"/>
      <c r="O12733"/>
      <c r="R12733"/>
      <c r="W12733" s="4"/>
      <c r="X12733" s="4"/>
      <c r="Y12733" s="4"/>
    </row>
    <row r="12734" spans="5:25">
      <c r="E12734"/>
      <c r="G12734"/>
      <c r="H12734"/>
      <c r="I12734"/>
      <c r="K12734"/>
      <c r="O12734"/>
      <c r="R12734"/>
      <c r="W12734" s="4"/>
      <c r="X12734" s="4"/>
      <c r="Y12734" s="4"/>
    </row>
    <row r="12735" spans="5:25">
      <c r="E12735"/>
      <c r="G12735"/>
      <c r="H12735"/>
      <c r="I12735"/>
      <c r="K12735"/>
      <c r="O12735"/>
      <c r="R12735"/>
      <c r="W12735" s="4"/>
      <c r="X12735" s="4"/>
      <c r="Y12735" s="4"/>
    </row>
    <row r="12736" spans="5:25">
      <c r="E12736"/>
      <c r="G12736"/>
      <c r="H12736"/>
      <c r="I12736"/>
      <c r="K12736"/>
      <c r="O12736"/>
      <c r="R12736"/>
      <c r="W12736" s="4"/>
      <c r="X12736" s="4"/>
      <c r="Y12736" s="4"/>
    </row>
    <row r="12737" spans="5:25">
      <c r="E12737"/>
      <c r="G12737"/>
      <c r="H12737"/>
      <c r="I12737"/>
      <c r="K12737"/>
      <c r="O12737"/>
      <c r="R12737"/>
      <c r="W12737" s="4"/>
      <c r="X12737" s="4"/>
      <c r="Y12737" s="4"/>
    </row>
    <row r="12738" spans="5:25">
      <c r="E12738"/>
      <c r="G12738"/>
      <c r="H12738"/>
      <c r="I12738"/>
      <c r="K12738"/>
      <c r="O12738"/>
      <c r="R12738"/>
      <c r="W12738" s="4"/>
      <c r="X12738" s="4"/>
      <c r="Y12738" s="4"/>
    </row>
    <row r="12739" spans="5:25">
      <c r="E12739"/>
      <c r="G12739"/>
      <c r="H12739"/>
      <c r="I12739"/>
      <c r="K12739"/>
      <c r="O12739"/>
      <c r="R12739"/>
      <c r="W12739" s="4"/>
      <c r="X12739" s="4"/>
      <c r="Y12739" s="4"/>
    </row>
    <row r="12740" spans="5:25">
      <c r="E12740"/>
      <c r="G12740"/>
      <c r="H12740"/>
      <c r="I12740"/>
      <c r="K12740"/>
      <c r="O12740"/>
      <c r="R12740"/>
      <c r="W12740" s="4"/>
      <c r="X12740" s="4"/>
      <c r="Y12740" s="4"/>
    </row>
    <row r="12741" spans="5:25">
      <c r="E12741"/>
      <c r="G12741"/>
      <c r="H12741"/>
      <c r="I12741"/>
      <c r="K12741"/>
      <c r="O12741"/>
      <c r="R12741"/>
      <c r="W12741" s="4"/>
      <c r="X12741" s="4"/>
      <c r="Y12741" s="4"/>
    </row>
    <row r="12742" spans="5:25">
      <c r="E12742"/>
      <c r="G12742"/>
      <c r="H12742"/>
      <c r="I12742"/>
      <c r="K12742"/>
      <c r="O12742"/>
      <c r="R12742"/>
      <c r="W12742" s="4"/>
      <c r="X12742" s="4"/>
      <c r="Y12742" s="4"/>
    </row>
    <row r="12743" spans="5:25">
      <c r="E12743"/>
      <c r="G12743"/>
      <c r="H12743"/>
      <c r="I12743"/>
      <c r="K12743"/>
      <c r="O12743"/>
      <c r="R12743"/>
      <c r="W12743" s="4"/>
      <c r="X12743" s="4"/>
      <c r="Y12743" s="4"/>
    </row>
    <row r="12744" spans="5:25">
      <c r="E12744"/>
      <c r="G12744"/>
      <c r="H12744"/>
      <c r="I12744"/>
      <c r="K12744"/>
      <c r="O12744"/>
      <c r="R12744"/>
      <c r="W12744" s="4"/>
      <c r="X12744" s="4"/>
      <c r="Y12744" s="4"/>
    </row>
    <row r="12745" spans="5:25">
      <c r="E12745"/>
      <c r="G12745"/>
      <c r="H12745"/>
      <c r="I12745"/>
      <c r="K12745"/>
      <c r="O12745"/>
      <c r="R12745"/>
      <c r="W12745" s="4"/>
      <c r="X12745" s="4"/>
      <c r="Y12745" s="4"/>
    </row>
    <row r="12746" spans="5:25">
      <c r="E12746"/>
      <c r="G12746"/>
      <c r="H12746"/>
      <c r="I12746"/>
      <c r="K12746"/>
      <c r="O12746"/>
      <c r="R12746"/>
      <c r="W12746" s="4"/>
      <c r="X12746" s="4"/>
      <c r="Y12746" s="4"/>
    </row>
    <row r="12747" spans="5:25">
      <c r="E12747"/>
      <c r="G12747"/>
      <c r="H12747"/>
      <c r="I12747"/>
      <c r="K12747"/>
      <c r="O12747"/>
      <c r="R12747"/>
      <c r="W12747" s="4"/>
      <c r="X12747" s="4"/>
      <c r="Y12747" s="4"/>
    </row>
    <row r="12748" spans="5:25">
      <c r="E12748"/>
      <c r="G12748"/>
      <c r="H12748"/>
      <c r="I12748"/>
      <c r="K12748"/>
      <c r="O12748"/>
      <c r="R12748"/>
      <c r="W12748" s="4"/>
      <c r="X12748" s="4"/>
      <c r="Y12748" s="4"/>
    </row>
    <row r="12749" spans="5:25">
      <c r="E12749"/>
      <c r="G12749"/>
      <c r="H12749"/>
      <c r="I12749"/>
      <c r="K12749"/>
      <c r="O12749"/>
      <c r="R12749"/>
      <c r="W12749" s="4"/>
      <c r="X12749" s="4"/>
      <c r="Y12749" s="4"/>
    </row>
    <row r="12750" spans="5:25">
      <c r="E12750"/>
      <c r="G12750"/>
      <c r="H12750"/>
      <c r="I12750"/>
      <c r="K12750"/>
      <c r="O12750"/>
      <c r="R12750"/>
      <c r="W12750" s="4"/>
      <c r="X12750" s="4"/>
      <c r="Y12750" s="4"/>
    </row>
    <row r="12751" spans="5:25">
      <c r="E12751"/>
      <c r="G12751"/>
      <c r="H12751"/>
      <c r="I12751"/>
      <c r="K12751"/>
      <c r="O12751"/>
      <c r="R12751"/>
      <c r="W12751" s="4"/>
      <c r="X12751" s="4"/>
      <c r="Y12751" s="4"/>
    </row>
    <row r="12752" spans="5:25">
      <c r="E12752"/>
      <c r="G12752"/>
      <c r="H12752"/>
      <c r="I12752"/>
      <c r="K12752"/>
      <c r="O12752"/>
      <c r="R12752"/>
      <c r="W12752" s="4"/>
      <c r="X12752" s="4"/>
      <c r="Y12752" s="4"/>
    </row>
    <row r="12753" spans="5:25">
      <c r="E12753"/>
      <c r="G12753"/>
      <c r="H12753"/>
      <c r="I12753"/>
      <c r="K12753"/>
      <c r="O12753"/>
      <c r="R12753"/>
      <c r="W12753" s="4"/>
      <c r="X12753" s="4"/>
      <c r="Y12753" s="4"/>
    </row>
    <row r="12754" spans="5:25">
      <c r="E12754"/>
      <c r="G12754"/>
      <c r="H12754"/>
      <c r="I12754"/>
      <c r="K12754"/>
      <c r="O12754"/>
      <c r="R12754"/>
      <c r="W12754" s="4"/>
      <c r="X12754" s="4"/>
      <c r="Y12754" s="4"/>
    </row>
    <row r="12755" spans="5:25">
      <c r="E12755"/>
      <c r="G12755"/>
      <c r="H12755"/>
      <c r="I12755"/>
      <c r="K12755"/>
      <c r="O12755"/>
      <c r="R12755"/>
      <c r="W12755" s="4"/>
      <c r="X12755" s="4"/>
      <c r="Y12755" s="4"/>
    </row>
    <row r="12756" spans="5:25">
      <c r="E12756"/>
      <c r="G12756"/>
      <c r="H12756"/>
      <c r="I12756"/>
      <c r="K12756"/>
      <c r="O12756"/>
      <c r="R12756"/>
      <c r="W12756" s="4"/>
      <c r="X12756" s="4"/>
      <c r="Y12756" s="4"/>
    </row>
    <row r="12757" spans="5:25">
      <c r="E12757"/>
      <c r="G12757"/>
      <c r="H12757"/>
      <c r="I12757"/>
      <c r="K12757"/>
      <c r="O12757"/>
      <c r="R12757"/>
      <c r="W12757" s="4"/>
      <c r="X12757" s="4"/>
      <c r="Y12757" s="4"/>
    </row>
    <row r="12758" spans="5:25">
      <c r="E12758"/>
      <c r="G12758"/>
      <c r="H12758"/>
      <c r="I12758"/>
      <c r="K12758"/>
      <c r="O12758"/>
      <c r="R12758"/>
      <c r="W12758" s="4"/>
      <c r="X12758" s="4"/>
      <c r="Y12758" s="4"/>
    </row>
    <row r="12759" spans="5:25">
      <c r="E12759"/>
      <c r="G12759"/>
      <c r="H12759"/>
      <c r="I12759"/>
      <c r="K12759"/>
      <c r="O12759"/>
      <c r="R12759"/>
      <c r="W12759" s="4"/>
      <c r="X12759" s="4"/>
      <c r="Y12759" s="4"/>
    </row>
    <row r="12760" spans="5:25">
      <c r="E12760"/>
      <c r="G12760"/>
      <c r="H12760"/>
      <c r="I12760"/>
      <c r="K12760"/>
      <c r="O12760"/>
      <c r="R12760"/>
      <c r="W12760" s="4"/>
      <c r="X12760" s="4"/>
      <c r="Y12760" s="4"/>
    </row>
    <row r="12761" spans="5:25">
      <c r="E12761"/>
      <c r="G12761"/>
      <c r="H12761"/>
      <c r="I12761"/>
      <c r="K12761"/>
      <c r="O12761"/>
      <c r="R12761"/>
      <c r="W12761" s="4"/>
      <c r="X12761" s="4"/>
      <c r="Y12761" s="4"/>
    </row>
    <row r="12762" spans="5:25">
      <c r="E12762"/>
      <c r="G12762"/>
      <c r="H12762"/>
      <c r="I12762"/>
      <c r="K12762"/>
      <c r="O12762"/>
      <c r="R12762"/>
      <c r="W12762" s="4"/>
      <c r="X12762" s="4"/>
      <c r="Y12762" s="4"/>
    </row>
    <row r="12763" spans="5:25">
      <c r="E12763"/>
      <c r="G12763"/>
      <c r="H12763"/>
      <c r="I12763"/>
      <c r="K12763"/>
      <c r="O12763"/>
      <c r="R12763"/>
      <c r="W12763" s="4"/>
      <c r="X12763" s="4"/>
      <c r="Y12763" s="4"/>
    </row>
    <row r="12764" spans="5:25">
      <c r="E12764"/>
      <c r="G12764"/>
      <c r="H12764"/>
      <c r="I12764"/>
      <c r="K12764"/>
      <c r="O12764"/>
      <c r="R12764"/>
      <c r="W12764" s="4"/>
      <c r="X12764" s="4"/>
      <c r="Y12764" s="4"/>
    </row>
    <row r="12765" spans="5:25">
      <c r="E12765"/>
      <c r="G12765"/>
      <c r="H12765"/>
      <c r="I12765"/>
      <c r="K12765"/>
      <c r="O12765"/>
      <c r="R12765"/>
      <c r="W12765" s="4"/>
      <c r="X12765" s="4"/>
      <c r="Y12765" s="4"/>
    </row>
    <row r="12766" spans="5:25">
      <c r="E12766"/>
      <c r="G12766"/>
      <c r="H12766"/>
      <c r="I12766"/>
      <c r="K12766"/>
      <c r="O12766"/>
      <c r="R12766"/>
      <c r="W12766" s="4"/>
      <c r="X12766" s="4"/>
      <c r="Y12766" s="4"/>
    </row>
    <row r="12767" spans="5:25">
      <c r="E12767"/>
      <c r="G12767"/>
      <c r="H12767"/>
      <c r="I12767"/>
      <c r="K12767"/>
      <c r="O12767"/>
      <c r="R12767"/>
      <c r="W12767" s="4"/>
      <c r="X12767" s="4"/>
      <c r="Y12767" s="4"/>
    </row>
    <row r="12768" spans="5:25">
      <c r="E12768"/>
      <c r="G12768"/>
      <c r="H12768"/>
      <c r="I12768"/>
      <c r="K12768"/>
      <c r="O12768"/>
      <c r="R12768"/>
      <c r="W12768" s="4"/>
      <c r="X12768" s="4"/>
      <c r="Y12768" s="4"/>
    </row>
    <row r="12769" spans="5:25">
      <c r="E12769"/>
      <c r="G12769"/>
      <c r="H12769"/>
      <c r="I12769"/>
      <c r="K12769"/>
      <c r="O12769"/>
      <c r="R12769"/>
      <c r="W12769" s="4"/>
      <c r="X12769" s="4"/>
      <c r="Y12769" s="4"/>
    </row>
    <row r="12770" spans="5:25">
      <c r="E12770"/>
      <c r="G12770"/>
      <c r="H12770"/>
      <c r="I12770"/>
      <c r="K12770"/>
      <c r="O12770"/>
      <c r="R12770"/>
      <c r="W12770" s="4"/>
      <c r="X12770" s="4"/>
      <c r="Y12770" s="4"/>
    </row>
    <row r="12771" spans="5:25">
      <c r="E12771"/>
      <c r="G12771"/>
      <c r="H12771"/>
      <c r="I12771"/>
      <c r="K12771"/>
      <c r="O12771"/>
      <c r="R12771"/>
      <c r="W12771" s="4"/>
      <c r="X12771" s="4"/>
      <c r="Y12771" s="4"/>
    </row>
    <row r="12772" spans="5:25">
      <c r="E12772"/>
      <c r="G12772"/>
      <c r="H12772"/>
      <c r="I12772"/>
      <c r="K12772"/>
      <c r="O12772"/>
      <c r="R12772"/>
      <c r="W12772" s="4"/>
      <c r="X12772" s="4"/>
      <c r="Y12772" s="4"/>
    </row>
    <row r="12773" spans="5:25">
      <c r="E12773"/>
      <c r="G12773"/>
      <c r="H12773"/>
      <c r="I12773"/>
      <c r="K12773"/>
      <c r="O12773"/>
      <c r="R12773"/>
      <c r="W12773" s="4"/>
      <c r="X12773" s="4"/>
      <c r="Y12773" s="4"/>
    </row>
    <row r="12774" spans="5:25">
      <c r="E12774"/>
      <c r="G12774"/>
      <c r="H12774"/>
      <c r="I12774"/>
      <c r="K12774"/>
      <c r="O12774"/>
      <c r="R12774"/>
      <c r="W12774" s="4"/>
      <c r="X12774" s="4"/>
      <c r="Y12774" s="4"/>
    </row>
    <row r="12775" spans="5:25">
      <c r="E12775"/>
      <c r="G12775"/>
      <c r="H12775"/>
      <c r="I12775"/>
      <c r="K12775"/>
      <c r="O12775"/>
      <c r="R12775"/>
      <c r="W12775" s="4"/>
      <c r="X12775" s="4"/>
      <c r="Y12775" s="4"/>
    </row>
    <row r="12776" spans="5:25">
      <c r="E12776"/>
      <c r="G12776"/>
      <c r="H12776"/>
      <c r="I12776"/>
      <c r="K12776"/>
      <c r="O12776"/>
      <c r="R12776"/>
      <c r="W12776" s="4"/>
      <c r="X12776" s="4"/>
      <c r="Y12776" s="4"/>
    </row>
    <row r="12777" spans="5:25">
      <c r="E12777"/>
      <c r="G12777"/>
      <c r="H12777"/>
      <c r="I12777"/>
      <c r="K12777"/>
      <c r="O12777"/>
      <c r="R12777"/>
      <c r="W12777" s="4"/>
      <c r="X12777" s="4"/>
      <c r="Y12777" s="4"/>
    </row>
    <row r="12778" spans="5:25">
      <c r="E12778"/>
      <c r="G12778"/>
      <c r="H12778"/>
      <c r="I12778"/>
      <c r="K12778"/>
      <c r="O12778"/>
      <c r="R12778"/>
      <c r="W12778" s="4"/>
      <c r="X12778" s="4"/>
      <c r="Y12778" s="4"/>
    </row>
    <row r="12779" spans="5:25">
      <c r="E12779"/>
      <c r="G12779"/>
      <c r="H12779"/>
      <c r="I12779"/>
      <c r="K12779"/>
      <c r="O12779"/>
      <c r="R12779"/>
      <c r="W12779" s="4"/>
      <c r="X12779" s="4"/>
      <c r="Y12779" s="4"/>
    </row>
    <row r="12780" spans="5:25">
      <c r="E12780"/>
      <c r="G12780"/>
      <c r="H12780"/>
      <c r="I12780"/>
      <c r="K12780"/>
      <c r="O12780"/>
      <c r="R12780"/>
      <c r="W12780" s="4"/>
      <c r="X12780" s="4"/>
      <c r="Y12780" s="4"/>
    </row>
    <row r="12781" spans="5:25">
      <c r="E12781"/>
      <c r="G12781"/>
      <c r="H12781"/>
      <c r="I12781"/>
      <c r="K12781"/>
      <c r="O12781"/>
      <c r="R12781"/>
      <c r="W12781" s="4"/>
      <c r="X12781" s="4"/>
      <c r="Y12781" s="4"/>
    </row>
    <row r="12782" spans="5:25">
      <c r="E12782"/>
      <c r="G12782"/>
      <c r="H12782"/>
      <c r="I12782"/>
      <c r="K12782"/>
      <c r="O12782"/>
      <c r="R12782"/>
      <c r="W12782" s="4"/>
      <c r="X12782" s="4"/>
      <c r="Y12782" s="4"/>
    </row>
    <row r="12783" spans="5:25">
      <c r="E12783"/>
      <c r="G12783"/>
      <c r="H12783"/>
      <c r="I12783"/>
      <c r="K12783"/>
      <c r="O12783"/>
      <c r="R12783"/>
      <c r="W12783" s="4"/>
      <c r="X12783" s="4"/>
      <c r="Y12783" s="4"/>
    </row>
    <row r="12784" spans="5:25">
      <c r="E12784"/>
      <c r="G12784"/>
      <c r="H12784"/>
      <c r="I12784"/>
      <c r="K12784"/>
      <c r="O12784"/>
      <c r="R12784"/>
      <c r="W12784" s="4"/>
      <c r="X12784" s="4"/>
      <c r="Y12784" s="4"/>
    </row>
    <row r="12785" spans="5:25">
      <c r="E12785"/>
      <c r="G12785"/>
      <c r="H12785"/>
      <c r="I12785"/>
      <c r="K12785"/>
      <c r="O12785"/>
      <c r="R12785"/>
      <c r="W12785" s="4"/>
      <c r="X12785" s="4"/>
      <c r="Y12785" s="4"/>
    </row>
    <row r="12786" spans="5:25">
      <c r="E12786"/>
      <c r="G12786"/>
      <c r="H12786"/>
      <c r="I12786"/>
      <c r="K12786"/>
      <c r="O12786"/>
      <c r="R12786"/>
      <c r="W12786" s="4"/>
      <c r="X12786" s="4"/>
      <c r="Y12786" s="4"/>
    </row>
    <row r="12787" spans="5:25">
      <c r="E12787"/>
      <c r="G12787"/>
      <c r="H12787"/>
      <c r="I12787"/>
      <c r="K12787"/>
      <c r="O12787"/>
      <c r="R12787"/>
      <c r="W12787" s="4"/>
      <c r="X12787" s="4"/>
      <c r="Y12787" s="4"/>
    </row>
    <row r="12788" spans="5:25">
      <c r="E12788"/>
      <c r="G12788"/>
      <c r="H12788"/>
      <c r="I12788"/>
      <c r="K12788"/>
      <c r="O12788"/>
      <c r="R12788"/>
      <c r="W12788" s="4"/>
      <c r="X12788" s="4"/>
      <c r="Y12788" s="4"/>
    </row>
    <row r="12789" spans="5:25">
      <c r="E12789"/>
      <c r="G12789"/>
      <c r="H12789"/>
      <c r="I12789"/>
      <c r="K12789"/>
      <c r="O12789"/>
      <c r="R12789"/>
      <c r="W12789" s="4"/>
      <c r="X12789" s="4"/>
      <c r="Y12789" s="4"/>
    </row>
    <row r="12790" spans="5:25">
      <c r="E12790"/>
      <c r="G12790"/>
      <c r="H12790"/>
      <c r="I12790"/>
      <c r="K12790"/>
      <c r="O12790"/>
      <c r="R12790"/>
      <c r="W12790" s="4"/>
      <c r="X12790" s="4"/>
      <c r="Y12790" s="4"/>
    </row>
    <row r="12791" spans="5:25">
      <c r="E12791"/>
      <c r="G12791"/>
      <c r="H12791"/>
      <c r="I12791"/>
      <c r="K12791"/>
      <c r="O12791"/>
      <c r="R12791"/>
      <c r="W12791" s="4"/>
      <c r="X12791" s="4"/>
      <c r="Y12791" s="4"/>
    </row>
    <row r="12792" spans="5:25">
      <c r="E12792"/>
      <c r="G12792"/>
      <c r="H12792"/>
      <c r="I12792"/>
      <c r="K12792"/>
      <c r="O12792"/>
      <c r="R12792"/>
      <c r="W12792" s="4"/>
      <c r="X12792" s="4"/>
      <c r="Y12792" s="4"/>
    </row>
    <row r="12793" spans="5:25">
      <c r="E12793"/>
      <c r="G12793"/>
      <c r="H12793"/>
      <c r="I12793"/>
      <c r="K12793"/>
      <c r="O12793"/>
      <c r="R12793"/>
      <c r="W12793" s="4"/>
      <c r="X12793" s="4"/>
      <c r="Y12793" s="4"/>
    </row>
    <row r="12794" spans="5:25">
      <c r="E12794"/>
      <c r="G12794"/>
      <c r="H12794"/>
      <c r="I12794"/>
      <c r="K12794"/>
      <c r="O12794"/>
      <c r="R12794"/>
      <c r="W12794" s="4"/>
      <c r="X12794" s="4"/>
      <c r="Y12794" s="4"/>
    </row>
    <row r="12795" spans="5:25">
      <c r="E12795"/>
      <c r="G12795"/>
      <c r="H12795"/>
      <c r="I12795"/>
      <c r="K12795"/>
      <c r="O12795"/>
      <c r="R12795"/>
      <c r="W12795" s="4"/>
      <c r="X12795" s="4"/>
      <c r="Y12795" s="4"/>
    </row>
    <row r="12796" spans="5:25">
      <c r="E12796"/>
      <c r="G12796"/>
      <c r="H12796"/>
      <c r="I12796"/>
      <c r="K12796"/>
      <c r="O12796"/>
      <c r="R12796"/>
      <c r="W12796" s="4"/>
      <c r="X12796" s="4"/>
      <c r="Y12796" s="4"/>
    </row>
    <row r="12797" spans="5:25">
      <c r="E12797"/>
      <c r="G12797"/>
      <c r="H12797"/>
      <c r="I12797"/>
      <c r="K12797"/>
      <c r="O12797"/>
      <c r="R12797"/>
      <c r="W12797" s="4"/>
      <c r="X12797" s="4"/>
      <c r="Y12797" s="4"/>
    </row>
    <row r="12798" spans="5:25">
      <c r="E12798"/>
      <c r="G12798"/>
      <c r="H12798"/>
      <c r="I12798"/>
      <c r="K12798"/>
      <c r="O12798"/>
      <c r="R12798"/>
      <c r="W12798" s="4"/>
      <c r="X12798" s="4"/>
      <c r="Y12798" s="4"/>
    </row>
    <row r="12799" spans="5:25">
      <c r="E12799"/>
      <c r="G12799"/>
      <c r="H12799"/>
      <c r="I12799"/>
      <c r="K12799"/>
      <c r="O12799"/>
      <c r="R12799"/>
      <c r="W12799" s="4"/>
      <c r="X12799" s="4"/>
      <c r="Y12799" s="4"/>
    </row>
    <row r="12800" spans="5:25">
      <c r="E12800"/>
      <c r="G12800"/>
      <c r="H12800"/>
      <c r="I12800"/>
      <c r="K12800"/>
      <c r="O12800"/>
      <c r="R12800"/>
      <c r="W12800" s="4"/>
      <c r="X12800" s="4"/>
      <c r="Y12800" s="4"/>
    </row>
    <row r="12801" spans="5:25">
      <c r="E12801"/>
      <c r="G12801"/>
      <c r="H12801"/>
      <c r="I12801"/>
      <c r="K12801"/>
      <c r="O12801"/>
      <c r="R12801"/>
      <c r="W12801" s="4"/>
      <c r="X12801" s="4"/>
      <c r="Y12801" s="4"/>
    </row>
    <row r="12802" spans="5:25">
      <c r="E12802"/>
      <c r="G12802"/>
      <c r="H12802"/>
      <c r="I12802"/>
      <c r="K12802"/>
      <c r="O12802"/>
      <c r="R12802"/>
      <c r="W12802" s="4"/>
      <c r="X12802" s="4"/>
      <c r="Y12802" s="4"/>
    </row>
    <row r="12803" spans="5:25">
      <c r="E12803"/>
      <c r="G12803"/>
      <c r="H12803"/>
      <c r="I12803"/>
      <c r="K12803"/>
      <c r="O12803"/>
      <c r="R12803"/>
      <c r="W12803" s="4"/>
      <c r="X12803" s="4"/>
      <c r="Y12803" s="4"/>
    </row>
    <row r="12804" spans="5:25">
      <c r="E12804"/>
      <c r="G12804"/>
      <c r="H12804"/>
      <c r="I12804"/>
      <c r="K12804"/>
      <c r="O12804"/>
      <c r="R12804"/>
      <c r="W12804" s="4"/>
      <c r="X12804" s="4"/>
      <c r="Y12804" s="4"/>
    </row>
    <row r="12805" spans="5:25">
      <c r="E12805"/>
      <c r="G12805"/>
      <c r="H12805"/>
      <c r="I12805"/>
      <c r="K12805"/>
      <c r="O12805"/>
      <c r="R12805"/>
      <c r="W12805" s="4"/>
      <c r="X12805" s="4"/>
      <c r="Y12805" s="4"/>
    </row>
    <row r="12806" spans="5:25">
      <c r="E12806"/>
      <c r="G12806"/>
      <c r="H12806"/>
      <c r="I12806"/>
      <c r="K12806"/>
      <c r="O12806"/>
      <c r="R12806"/>
      <c r="W12806" s="4"/>
      <c r="X12806" s="4"/>
      <c r="Y12806" s="4"/>
    </row>
    <row r="12807" spans="5:25">
      <c r="E12807"/>
      <c r="G12807"/>
      <c r="H12807"/>
      <c r="I12807"/>
      <c r="K12807"/>
      <c r="O12807"/>
      <c r="R12807"/>
      <c r="W12807" s="4"/>
      <c r="X12807" s="4"/>
      <c r="Y12807" s="4"/>
    </row>
    <row r="12808" spans="5:25">
      <c r="E12808"/>
      <c r="G12808"/>
      <c r="H12808"/>
      <c r="I12808"/>
      <c r="K12808"/>
      <c r="O12808"/>
      <c r="R12808"/>
      <c r="W12808" s="4"/>
      <c r="X12808" s="4"/>
      <c r="Y12808" s="4"/>
    </row>
    <row r="12809" spans="5:25">
      <c r="E12809"/>
      <c r="G12809"/>
      <c r="H12809"/>
      <c r="I12809"/>
      <c r="K12809"/>
      <c r="O12809"/>
      <c r="R12809"/>
      <c r="W12809" s="4"/>
      <c r="X12809" s="4"/>
      <c r="Y12809" s="4"/>
    </row>
    <row r="12810" spans="5:25">
      <c r="E12810"/>
      <c r="G12810"/>
      <c r="H12810"/>
      <c r="I12810"/>
      <c r="K12810"/>
      <c r="O12810"/>
      <c r="R12810"/>
      <c r="W12810" s="4"/>
      <c r="X12810" s="4"/>
      <c r="Y12810" s="4"/>
    </row>
    <row r="12811" spans="5:25">
      <c r="E12811"/>
      <c r="G12811"/>
      <c r="H12811"/>
      <c r="I12811"/>
      <c r="K12811"/>
      <c r="O12811"/>
      <c r="R12811"/>
      <c r="W12811" s="4"/>
      <c r="X12811" s="4"/>
      <c r="Y12811" s="4"/>
    </row>
    <row r="12812" spans="5:25">
      <c r="E12812"/>
      <c r="G12812"/>
      <c r="H12812"/>
      <c r="I12812"/>
      <c r="K12812"/>
      <c r="O12812"/>
      <c r="R12812"/>
      <c r="W12812" s="4"/>
      <c r="X12812" s="4"/>
      <c r="Y12812" s="4"/>
    </row>
    <row r="12813" spans="5:25">
      <c r="E12813"/>
      <c r="G12813"/>
      <c r="H12813"/>
      <c r="I12813"/>
      <c r="K12813"/>
      <c r="O12813"/>
      <c r="R12813"/>
      <c r="W12813" s="4"/>
      <c r="X12813" s="4"/>
      <c r="Y12813" s="4"/>
    </row>
    <row r="12814" spans="5:25">
      <c r="E12814"/>
      <c r="G12814"/>
      <c r="H12814"/>
      <c r="I12814"/>
      <c r="K12814"/>
      <c r="O12814"/>
      <c r="R12814"/>
      <c r="W12814" s="4"/>
      <c r="X12814" s="4"/>
      <c r="Y12814" s="4"/>
    </row>
    <row r="12815" spans="5:25">
      <c r="E12815"/>
      <c r="G12815"/>
      <c r="H12815"/>
      <c r="I12815"/>
      <c r="K12815"/>
      <c r="O12815"/>
      <c r="R12815"/>
      <c r="W12815" s="4"/>
      <c r="X12815" s="4"/>
      <c r="Y12815" s="4"/>
    </row>
    <row r="12816" spans="5:25">
      <c r="E12816"/>
      <c r="G12816"/>
      <c r="H12816"/>
      <c r="I12816"/>
      <c r="K12816"/>
      <c r="O12816"/>
      <c r="R12816"/>
      <c r="W12816" s="4"/>
      <c r="X12816" s="4"/>
      <c r="Y12816" s="4"/>
    </row>
    <row r="12817" spans="5:25">
      <c r="E12817"/>
      <c r="G12817"/>
      <c r="H12817"/>
      <c r="I12817"/>
      <c r="K12817"/>
      <c r="O12817"/>
      <c r="R12817"/>
      <c r="W12817" s="4"/>
      <c r="X12817" s="4"/>
      <c r="Y12817" s="4"/>
    </row>
    <row r="12818" spans="5:25">
      <c r="E12818"/>
      <c r="G12818"/>
      <c r="H12818"/>
      <c r="I12818"/>
      <c r="K12818"/>
      <c r="O12818"/>
      <c r="R12818"/>
      <c r="W12818" s="4"/>
      <c r="X12818" s="4"/>
      <c r="Y12818" s="4"/>
    </row>
    <row r="12819" spans="5:25">
      <c r="E12819"/>
      <c r="G12819"/>
      <c r="H12819"/>
      <c r="I12819"/>
      <c r="K12819"/>
      <c r="O12819"/>
      <c r="R12819"/>
      <c r="W12819" s="4"/>
      <c r="X12819" s="4"/>
      <c r="Y12819" s="4"/>
    </row>
    <row r="12820" spans="5:25">
      <c r="E12820"/>
      <c r="G12820"/>
      <c r="H12820"/>
      <c r="I12820"/>
      <c r="K12820"/>
      <c r="O12820"/>
      <c r="R12820"/>
      <c r="W12820" s="4"/>
      <c r="X12820" s="4"/>
      <c r="Y12820" s="4"/>
    </row>
    <row r="12821" spans="5:25">
      <c r="E12821"/>
      <c r="G12821"/>
      <c r="H12821"/>
      <c r="I12821"/>
      <c r="K12821"/>
      <c r="O12821"/>
      <c r="R12821"/>
      <c r="W12821" s="4"/>
      <c r="X12821" s="4"/>
      <c r="Y12821" s="4"/>
    </row>
    <row r="12822" spans="5:25">
      <c r="E12822"/>
      <c r="G12822"/>
      <c r="H12822"/>
      <c r="I12822"/>
      <c r="K12822"/>
      <c r="O12822"/>
      <c r="R12822"/>
      <c r="W12822" s="4"/>
      <c r="X12822" s="4"/>
      <c r="Y12822" s="4"/>
    </row>
    <row r="12823" spans="5:25">
      <c r="E12823"/>
      <c r="G12823"/>
      <c r="H12823"/>
      <c r="I12823"/>
      <c r="K12823"/>
      <c r="O12823"/>
      <c r="R12823"/>
      <c r="W12823" s="4"/>
      <c r="X12823" s="4"/>
      <c r="Y12823" s="4"/>
    </row>
    <row r="12824" spans="5:25">
      <c r="E12824"/>
      <c r="G12824"/>
      <c r="H12824"/>
      <c r="I12824"/>
      <c r="K12824"/>
      <c r="O12824"/>
      <c r="R12824"/>
      <c r="W12824" s="4"/>
      <c r="X12824" s="4"/>
      <c r="Y12824" s="4"/>
    </row>
    <row r="12825" spans="5:25">
      <c r="E12825"/>
      <c r="G12825"/>
      <c r="H12825"/>
      <c r="I12825"/>
      <c r="K12825"/>
      <c r="O12825"/>
      <c r="R12825"/>
      <c r="W12825" s="4"/>
      <c r="X12825" s="4"/>
      <c r="Y12825" s="4"/>
    </row>
    <row r="12826" spans="5:25">
      <c r="E12826"/>
      <c r="G12826"/>
      <c r="H12826"/>
      <c r="I12826"/>
      <c r="K12826"/>
      <c r="O12826"/>
      <c r="R12826"/>
      <c r="W12826" s="4"/>
      <c r="X12826" s="4"/>
      <c r="Y12826" s="4"/>
    </row>
    <row r="12827" spans="5:25">
      <c r="E12827"/>
      <c r="G12827"/>
      <c r="H12827"/>
      <c r="I12827"/>
      <c r="K12827"/>
      <c r="O12827"/>
      <c r="R12827"/>
      <c r="W12827" s="4"/>
      <c r="X12827" s="4"/>
      <c r="Y12827" s="4"/>
    </row>
    <row r="12828" spans="5:25">
      <c r="E12828"/>
      <c r="G12828"/>
      <c r="H12828"/>
      <c r="I12828"/>
      <c r="K12828"/>
      <c r="O12828"/>
      <c r="R12828"/>
      <c r="W12828" s="4"/>
      <c r="X12828" s="4"/>
      <c r="Y12828" s="4"/>
    </row>
    <row r="12829" spans="5:25">
      <c r="E12829"/>
      <c r="G12829"/>
      <c r="H12829"/>
      <c r="I12829"/>
      <c r="K12829"/>
      <c r="O12829"/>
      <c r="R12829"/>
      <c r="W12829" s="4"/>
      <c r="X12829" s="4"/>
      <c r="Y12829" s="4"/>
    </row>
    <row r="12830" spans="5:25">
      <c r="E12830"/>
      <c r="G12830"/>
      <c r="H12830"/>
      <c r="I12830"/>
      <c r="K12830"/>
      <c r="O12830"/>
      <c r="R12830"/>
      <c r="W12830" s="4"/>
      <c r="X12830" s="4"/>
      <c r="Y12830" s="4"/>
    </row>
    <row r="12831" spans="5:25">
      <c r="E12831"/>
      <c r="G12831"/>
      <c r="H12831"/>
      <c r="I12831"/>
      <c r="K12831"/>
      <c r="O12831"/>
      <c r="R12831"/>
      <c r="W12831" s="4"/>
      <c r="X12831" s="4"/>
      <c r="Y12831" s="4"/>
    </row>
    <row r="12832" spans="5:25">
      <c r="E12832"/>
      <c r="G12832"/>
      <c r="H12832"/>
      <c r="I12832"/>
      <c r="K12832"/>
      <c r="O12832"/>
      <c r="R12832"/>
      <c r="W12832" s="4"/>
      <c r="X12832" s="4"/>
      <c r="Y12832" s="4"/>
    </row>
    <row r="12833" spans="5:25">
      <c r="E12833"/>
      <c r="G12833"/>
      <c r="H12833"/>
      <c r="I12833"/>
      <c r="K12833"/>
      <c r="O12833"/>
      <c r="R12833"/>
      <c r="W12833" s="4"/>
      <c r="X12833" s="4"/>
      <c r="Y12833" s="4"/>
    </row>
    <row r="12834" spans="5:25">
      <c r="E12834"/>
      <c r="G12834"/>
      <c r="H12834"/>
      <c r="I12834"/>
      <c r="K12834"/>
      <c r="O12834"/>
      <c r="R12834"/>
      <c r="W12834" s="4"/>
      <c r="X12834" s="4"/>
      <c r="Y12834" s="4"/>
    </row>
    <row r="12835" spans="5:25">
      <c r="E12835"/>
      <c r="G12835"/>
      <c r="H12835"/>
      <c r="I12835"/>
      <c r="K12835"/>
      <c r="O12835"/>
      <c r="R12835"/>
      <c r="W12835" s="4"/>
      <c r="X12835" s="4"/>
      <c r="Y12835" s="4"/>
    </row>
    <row r="12836" spans="5:25">
      <c r="E12836"/>
      <c r="G12836"/>
      <c r="H12836"/>
      <c r="I12836"/>
      <c r="K12836"/>
      <c r="O12836"/>
      <c r="R12836"/>
      <c r="W12836" s="4"/>
      <c r="X12836" s="4"/>
      <c r="Y12836" s="4"/>
    </row>
    <row r="12837" spans="5:25">
      <c r="E12837"/>
      <c r="G12837"/>
      <c r="H12837"/>
      <c r="I12837"/>
      <c r="K12837"/>
      <c r="O12837"/>
      <c r="R12837"/>
      <c r="W12837" s="4"/>
      <c r="X12837" s="4"/>
      <c r="Y12837" s="4"/>
    </row>
    <row r="12838" spans="5:25">
      <c r="E12838"/>
      <c r="G12838"/>
      <c r="H12838"/>
      <c r="I12838"/>
      <c r="K12838"/>
      <c r="O12838"/>
      <c r="R12838"/>
      <c r="W12838" s="4"/>
      <c r="X12838" s="4"/>
      <c r="Y12838" s="4"/>
    </row>
    <row r="12839" spans="5:25">
      <c r="E12839"/>
      <c r="G12839"/>
      <c r="H12839"/>
      <c r="I12839"/>
      <c r="K12839"/>
      <c r="O12839"/>
      <c r="R12839"/>
      <c r="W12839" s="4"/>
      <c r="X12839" s="4"/>
      <c r="Y12839" s="4"/>
    </row>
    <row r="12840" spans="5:25">
      <c r="E12840"/>
      <c r="G12840"/>
      <c r="H12840"/>
      <c r="I12840"/>
      <c r="K12840"/>
      <c r="O12840"/>
      <c r="R12840"/>
      <c r="W12840" s="4"/>
      <c r="X12840" s="4"/>
      <c r="Y12840" s="4"/>
    </row>
    <row r="12841" spans="5:25">
      <c r="E12841"/>
      <c r="G12841"/>
      <c r="H12841"/>
      <c r="I12841"/>
      <c r="K12841"/>
      <c r="O12841"/>
      <c r="R12841"/>
      <c r="W12841" s="4"/>
      <c r="X12841" s="4"/>
      <c r="Y12841" s="4"/>
    </row>
    <row r="12842" spans="5:25">
      <c r="E12842"/>
      <c r="G12842"/>
      <c r="H12842"/>
      <c r="I12842"/>
      <c r="K12842"/>
      <c r="O12842"/>
      <c r="R12842"/>
      <c r="W12842" s="4"/>
      <c r="X12842" s="4"/>
      <c r="Y12842" s="4"/>
    </row>
    <row r="12843" spans="5:25">
      <c r="E12843"/>
      <c r="G12843"/>
      <c r="H12843"/>
      <c r="I12843"/>
      <c r="K12843"/>
      <c r="O12843"/>
      <c r="R12843"/>
      <c r="W12843" s="4"/>
      <c r="X12843" s="4"/>
      <c r="Y12843" s="4"/>
    </row>
    <row r="12844" spans="5:25">
      <c r="E12844"/>
      <c r="G12844"/>
      <c r="H12844"/>
      <c r="I12844"/>
      <c r="K12844"/>
      <c r="O12844"/>
      <c r="R12844"/>
      <c r="W12844" s="4"/>
      <c r="X12844" s="4"/>
      <c r="Y12844" s="4"/>
    </row>
    <row r="12845" spans="5:25">
      <c r="E12845"/>
      <c r="G12845"/>
      <c r="H12845"/>
      <c r="I12845"/>
      <c r="K12845"/>
      <c r="O12845"/>
      <c r="R12845"/>
      <c r="W12845" s="4"/>
      <c r="X12845" s="4"/>
      <c r="Y12845" s="4"/>
    </row>
    <row r="12846" spans="5:25">
      <c r="E12846"/>
      <c r="G12846"/>
      <c r="H12846"/>
      <c r="I12846"/>
      <c r="K12846"/>
      <c r="O12846"/>
      <c r="R12846"/>
      <c r="W12846" s="4"/>
      <c r="X12846" s="4"/>
      <c r="Y12846" s="4"/>
    </row>
    <row r="12847" spans="5:25">
      <c r="E12847"/>
      <c r="G12847"/>
      <c r="H12847"/>
      <c r="I12847"/>
      <c r="K12847"/>
      <c r="O12847"/>
      <c r="R12847"/>
      <c r="W12847" s="4"/>
      <c r="X12847" s="4"/>
      <c r="Y12847" s="4"/>
    </row>
    <row r="12848" spans="5:25">
      <c r="E12848"/>
      <c r="G12848"/>
      <c r="H12848"/>
      <c r="I12848"/>
      <c r="K12848"/>
      <c r="O12848"/>
      <c r="R12848"/>
      <c r="W12848" s="4"/>
      <c r="X12848" s="4"/>
      <c r="Y12848" s="4"/>
    </row>
    <row r="12849" spans="5:25">
      <c r="E12849"/>
      <c r="G12849"/>
      <c r="H12849"/>
      <c r="I12849"/>
      <c r="K12849"/>
      <c r="O12849"/>
      <c r="R12849"/>
      <c r="W12849" s="4"/>
      <c r="X12849" s="4"/>
      <c r="Y12849" s="4"/>
    </row>
    <row r="12850" spans="5:25">
      <c r="E12850"/>
      <c r="G12850"/>
      <c r="H12850"/>
      <c r="I12850"/>
      <c r="K12850"/>
      <c r="O12850"/>
      <c r="R12850"/>
      <c r="W12850" s="4"/>
      <c r="X12850" s="4"/>
      <c r="Y12850" s="4"/>
    </row>
    <row r="12851" spans="5:25">
      <c r="E12851"/>
      <c r="G12851"/>
      <c r="H12851"/>
      <c r="I12851"/>
      <c r="K12851"/>
      <c r="O12851"/>
      <c r="R12851"/>
      <c r="W12851" s="4"/>
      <c r="X12851" s="4"/>
      <c r="Y12851" s="4"/>
    </row>
    <row r="12852" spans="5:25">
      <c r="E12852"/>
      <c r="G12852"/>
      <c r="H12852"/>
      <c r="I12852"/>
      <c r="K12852"/>
      <c r="O12852"/>
      <c r="R12852"/>
      <c r="W12852" s="4"/>
      <c r="X12852" s="4"/>
      <c r="Y12852" s="4"/>
    </row>
    <row r="12853" spans="5:25">
      <c r="E12853"/>
      <c r="G12853"/>
      <c r="H12853"/>
      <c r="I12853"/>
      <c r="K12853"/>
      <c r="O12853"/>
      <c r="R12853"/>
      <c r="W12853" s="4"/>
      <c r="X12853" s="4"/>
      <c r="Y12853" s="4"/>
    </row>
    <row r="12854" spans="5:25">
      <c r="E12854"/>
      <c r="G12854"/>
      <c r="H12854"/>
      <c r="I12854"/>
      <c r="K12854"/>
      <c r="O12854"/>
      <c r="R12854"/>
      <c r="W12854" s="4"/>
      <c r="X12854" s="4"/>
      <c r="Y12854" s="4"/>
    </row>
    <row r="12855" spans="5:25">
      <c r="E12855"/>
      <c r="G12855"/>
      <c r="H12855"/>
      <c r="I12855"/>
      <c r="K12855"/>
      <c r="O12855"/>
      <c r="R12855"/>
      <c r="W12855" s="4"/>
      <c r="X12855" s="4"/>
      <c r="Y12855" s="4"/>
    </row>
    <row r="12856" spans="5:25">
      <c r="E12856"/>
      <c r="G12856"/>
      <c r="H12856"/>
      <c r="I12856"/>
      <c r="K12856"/>
      <c r="O12856"/>
      <c r="R12856"/>
      <c r="W12856" s="4"/>
      <c r="X12856" s="4"/>
      <c r="Y12856" s="4"/>
    </row>
    <row r="12857" spans="5:25">
      <c r="E12857"/>
      <c r="G12857"/>
      <c r="H12857"/>
      <c r="I12857"/>
      <c r="K12857"/>
      <c r="O12857"/>
      <c r="R12857"/>
      <c r="W12857" s="4"/>
      <c r="X12857" s="4"/>
      <c r="Y12857" s="4"/>
    </row>
    <row r="12858" spans="5:25">
      <c r="E12858"/>
      <c r="G12858"/>
      <c r="H12858"/>
      <c r="I12858"/>
      <c r="K12858"/>
      <c r="O12858"/>
      <c r="R12858"/>
      <c r="W12858" s="4"/>
      <c r="X12858" s="4"/>
      <c r="Y12858" s="4"/>
    </row>
    <row r="12859" spans="5:25">
      <c r="E12859"/>
      <c r="G12859"/>
      <c r="H12859"/>
      <c r="I12859"/>
      <c r="K12859"/>
      <c r="O12859"/>
      <c r="R12859"/>
      <c r="W12859" s="4"/>
      <c r="X12859" s="4"/>
      <c r="Y12859" s="4"/>
    </row>
    <row r="12860" spans="5:25">
      <c r="E12860"/>
      <c r="G12860"/>
      <c r="H12860"/>
      <c r="I12860"/>
      <c r="K12860"/>
      <c r="O12860"/>
      <c r="R12860"/>
      <c r="W12860" s="4"/>
      <c r="X12860" s="4"/>
      <c r="Y12860" s="4"/>
    </row>
    <row r="12861" spans="5:25">
      <c r="E12861"/>
      <c r="G12861"/>
      <c r="H12861"/>
      <c r="I12861"/>
      <c r="K12861"/>
      <c r="O12861"/>
      <c r="R12861"/>
      <c r="W12861" s="4"/>
      <c r="X12861" s="4"/>
      <c r="Y12861" s="4"/>
    </row>
    <row r="12862" spans="5:25">
      <c r="E12862"/>
      <c r="G12862"/>
      <c r="H12862"/>
      <c r="I12862"/>
      <c r="K12862"/>
      <c r="O12862"/>
      <c r="R12862"/>
      <c r="W12862" s="4"/>
      <c r="X12862" s="4"/>
      <c r="Y12862" s="4"/>
    </row>
    <row r="12863" spans="5:25">
      <c r="E12863"/>
      <c r="G12863"/>
      <c r="H12863"/>
      <c r="I12863"/>
      <c r="K12863"/>
      <c r="O12863"/>
      <c r="R12863"/>
      <c r="W12863" s="4"/>
      <c r="X12863" s="4"/>
      <c r="Y12863" s="4"/>
    </row>
    <row r="12864" spans="5:25">
      <c r="E12864"/>
      <c r="G12864"/>
      <c r="H12864"/>
      <c r="I12864"/>
      <c r="K12864"/>
      <c r="O12864"/>
      <c r="R12864"/>
      <c r="W12864" s="4"/>
      <c r="X12864" s="4"/>
      <c r="Y12864" s="4"/>
    </row>
    <row r="12865" spans="5:25">
      <c r="E12865"/>
      <c r="G12865"/>
      <c r="H12865"/>
      <c r="I12865"/>
      <c r="K12865"/>
      <c r="O12865"/>
      <c r="R12865"/>
      <c r="W12865" s="4"/>
      <c r="X12865" s="4"/>
      <c r="Y12865" s="4"/>
    </row>
    <row r="12866" spans="5:25">
      <c r="E12866"/>
      <c r="G12866"/>
      <c r="H12866"/>
      <c r="I12866"/>
      <c r="K12866"/>
      <c r="O12866"/>
      <c r="R12866"/>
      <c r="W12866" s="4"/>
      <c r="X12866" s="4"/>
      <c r="Y12866" s="4"/>
    </row>
    <row r="12867" spans="5:25">
      <c r="E12867"/>
      <c r="G12867"/>
      <c r="H12867"/>
      <c r="I12867"/>
      <c r="K12867"/>
      <c r="O12867"/>
      <c r="R12867"/>
      <c r="W12867" s="4"/>
      <c r="X12867" s="4"/>
      <c r="Y12867" s="4"/>
    </row>
    <row r="12868" spans="5:25">
      <c r="E12868"/>
      <c r="G12868"/>
      <c r="H12868"/>
      <c r="I12868"/>
      <c r="K12868"/>
      <c r="O12868"/>
      <c r="R12868"/>
      <c r="W12868" s="4"/>
      <c r="X12868" s="4"/>
      <c r="Y12868" s="4"/>
    </row>
    <row r="12869" spans="5:25">
      <c r="E12869"/>
      <c r="G12869"/>
      <c r="H12869"/>
      <c r="I12869"/>
      <c r="K12869"/>
      <c r="O12869"/>
      <c r="R12869"/>
      <c r="W12869" s="4"/>
      <c r="X12869" s="4"/>
      <c r="Y12869" s="4"/>
    </row>
    <row r="12870" spans="5:25">
      <c r="E12870"/>
      <c r="G12870"/>
      <c r="H12870"/>
      <c r="I12870"/>
      <c r="K12870"/>
      <c r="O12870"/>
      <c r="R12870"/>
      <c r="W12870" s="4"/>
      <c r="X12870" s="4"/>
      <c r="Y12870" s="4"/>
    </row>
    <row r="12871" spans="5:25">
      <c r="E12871"/>
      <c r="G12871"/>
      <c r="H12871"/>
      <c r="I12871"/>
      <c r="K12871"/>
      <c r="O12871"/>
      <c r="R12871"/>
      <c r="W12871" s="4"/>
      <c r="X12871" s="4"/>
      <c r="Y12871" s="4"/>
    </row>
    <row r="12872" spans="5:25">
      <c r="E12872"/>
      <c r="G12872"/>
      <c r="H12872"/>
      <c r="I12872"/>
      <c r="K12872"/>
      <c r="O12872"/>
      <c r="R12872"/>
      <c r="W12872" s="4"/>
      <c r="X12872" s="4"/>
      <c r="Y12872" s="4"/>
    </row>
    <row r="12873" spans="5:25">
      <c r="E12873"/>
      <c r="G12873"/>
      <c r="H12873"/>
      <c r="I12873"/>
      <c r="K12873"/>
      <c r="O12873"/>
      <c r="R12873"/>
      <c r="W12873" s="4"/>
      <c r="X12873" s="4"/>
      <c r="Y12873" s="4"/>
    </row>
    <row r="12874" spans="5:25">
      <c r="E12874"/>
      <c r="G12874"/>
      <c r="H12874"/>
      <c r="I12874"/>
      <c r="K12874"/>
      <c r="O12874"/>
      <c r="R12874"/>
      <c r="W12874" s="4"/>
      <c r="X12874" s="4"/>
      <c r="Y12874" s="4"/>
    </row>
    <row r="12875" spans="5:25">
      <c r="E12875"/>
      <c r="G12875"/>
      <c r="H12875"/>
      <c r="I12875"/>
      <c r="K12875"/>
      <c r="O12875"/>
      <c r="R12875"/>
      <c r="W12875" s="4"/>
      <c r="X12875" s="4"/>
      <c r="Y12875" s="4"/>
    </row>
    <row r="12876" spans="5:25">
      <c r="E12876"/>
      <c r="G12876"/>
      <c r="H12876"/>
      <c r="I12876"/>
      <c r="K12876"/>
      <c r="O12876"/>
      <c r="R12876"/>
      <c r="W12876" s="4"/>
      <c r="X12876" s="4"/>
      <c r="Y12876" s="4"/>
    </row>
    <row r="12877" spans="5:25">
      <c r="E12877"/>
      <c r="G12877"/>
      <c r="H12877"/>
      <c r="I12877"/>
      <c r="K12877"/>
      <c r="O12877"/>
      <c r="R12877"/>
      <c r="W12877" s="4"/>
      <c r="X12877" s="4"/>
      <c r="Y12877" s="4"/>
    </row>
    <row r="12878" spans="5:25">
      <c r="E12878"/>
      <c r="G12878"/>
      <c r="H12878"/>
      <c r="I12878"/>
      <c r="K12878"/>
      <c r="O12878"/>
      <c r="R12878"/>
      <c r="W12878" s="4"/>
      <c r="X12878" s="4"/>
      <c r="Y12878" s="4"/>
    </row>
    <row r="12879" spans="5:25">
      <c r="E12879"/>
      <c r="G12879"/>
      <c r="H12879"/>
      <c r="I12879"/>
      <c r="K12879"/>
      <c r="O12879"/>
      <c r="R12879"/>
      <c r="W12879" s="4"/>
      <c r="X12879" s="4"/>
      <c r="Y12879" s="4"/>
    </row>
    <row r="12880" spans="5:25">
      <c r="E12880"/>
      <c r="G12880"/>
      <c r="H12880"/>
      <c r="I12880"/>
      <c r="K12880"/>
      <c r="O12880"/>
      <c r="R12880"/>
      <c r="W12880" s="4"/>
      <c r="X12880" s="4"/>
      <c r="Y12880" s="4"/>
    </row>
    <row r="12881" spans="5:25">
      <c r="E12881"/>
      <c r="G12881"/>
      <c r="H12881"/>
      <c r="I12881"/>
      <c r="K12881"/>
      <c r="O12881"/>
      <c r="R12881"/>
      <c r="W12881" s="4"/>
      <c r="X12881" s="4"/>
      <c r="Y12881" s="4"/>
    </row>
    <row r="12882" spans="5:25">
      <c r="E12882"/>
      <c r="G12882"/>
      <c r="H12882"/>
      <c r="I12882"/>
      <c r="K12882"/>
      <c r="O12882"/>
      <c r="R12882"/>
      <c r="W12882" s="4"/>
      <c r="X12882" s="4"/>
      <c r="Y12882" s="4"/>
    </row>
    <row r="12883" spans="5:25">
      <c r="E12883"/>
      <c r="G12883"/>
      <c r="H12883"/>
      <c r="I12883"/>
      <c r="K12883"/>
      <c r="O12883"/>
      <c r="R12883"/>
      <c r="W12883" s="4"/>
      <c r="X12883" s="4"/>
      <c r="Y12883" s="4"/>
    </row>
    <row r="12884" spans="5:25">
      <c r="E12884"/>
      <c r="G12884"/>
      <c r="H12884"/>
      <c r="I12884"/>
      <c r="K12884"/>
      <c r="O12884"/>
      <c r="R12884"/>
      <c r="W12884" s="4"/>
      <c r="X12884" s="4"/>
      <c r="Y12884" s="4"/>
    </row>
    <row r="12885" spans="5:25">
      <c r="E12885"/>
      <c r="G12885"/>
      <c r="H12885"/>
      <c r="I12885"/>
      <c r="K12885"/>
      <c r="O12885"/>
      <c r="R12885"/>
      <c r="W12885" s="4"/>
      <c r="X12885" s="4"/>
      <c r="Y12885" s="4"/>
    </row>
    <row r="12886" spans="5:25">
      <c r="E12886"/>
      <c r="G12886"/>
      <c r="H12886"/>
      <c r="I12886"/>
      <c r="K12886"/>
      <c r="O12886"/>
      <c r="R12886"/>
      <c r="W12886" s="4"/>
      <c r="X12886" s="4"/>
      <c r="Y12886" s="4"/>
    </row>
    <row r="12887" spans="5:25">
      <c r="E12887"/>
      <c r="G12887"/>
      <c r="H12887"/>
      <c r="I12887"/>
      <c r="K12887"/>
      <c r="O12887"/>
      <c r="R12887"/>
      <c r="W12887" s="4"/>
      <c r="X12887" s="4"/>
      <c r="Y12887" s="4"/>
    </row>
    <row r="12888" spans="5:25">
      <c r="E12888"/>
      <c r="G12888"/>
      <c r="H12888"/>
      <c r="I12888"/>
      <c r="K12888"/>
      <c r="O12888"/>
      <c r="R12888"/>
      <c r="W12888" s="4"/>
      <c r="X12888" s="4"/>
      <c r="Y12888" s="4"/>
    </row>
    <row r="12889" spans="5:25">
      <c r="E12889"/>
      <c r="G12889"/>
      <c r="H12889"/>
      <c r="I12889"/>
      <c r="K12889"/>
      <c r="O12889"/>
      <c r="R12889"/>
      <c r="W12889" s="4"/>
      <c r="X12889" s="4"/>
      <c r="Y12889" s="4"/>
    </row>
    <row r="12890" spans="5:25">
      <c r="E12890"/>
      <c r="G12890"/>
      <c r="H12890"/>
      <c r="I12890"/>
      <c r="K12890"/>
      <c r="O12890"/>
      <c r="R12890"/>
      <c r="W12890" s="4"/>
      <c r="X12890" s="4"/>
      <c r="Y12890" s="4"/>
    </row>
    <row r="12891" spans="5:25">
      <c r="E12891"/>
      <c r="G12891"/>
      <c r="H12891"/>
      <c r="I12891"/>
      <c r="K12891"/>
      <c r="O12891"/>
      <c r="R12891"/>
      <c r="W12891" s="4"/>
      <c r="X12891" s="4"/>
      <c r="Y12891" s="4"/>
    </row>
    <row r="12892" spans="5:25">
      <c r="E12892"/>
      <c r="G12892"/>
      <c r="H12892"/>
      <c r="I12892"/>
      <c r="K12892"/>
      <c r="O12892"/>
      <c r="R12892"/>
      <c r="W12892" s="4"/>
      <c r="X12892" s="4"/>
      <c r="Y12892" s="4"/>
    </row>
    <row r="12893" spans="5:25">
      <c r="E12893"/>
      <c r="G12893"/>
      <c r="H12893"/>
      <c r="I12893"/>
      <c r="K12893"/>
      <c r="O12893"/>
      <c r="R12893"/>
      <c r="W12893" s="4"/>
      <c r="X12893" s="4"/>
      <c r="Y12893" s="4"/>
    </row>
    <row r="12894" spans="5:25">
      <c r="E12894"/>
      <c r="G12894"/>
      <c r="H12894"/>
      <c r="I12894"/>
      <c r="K12894"/>
      <c r="O12894"/>
      <c r="R12894"/>
      <c r="W12894" s="4"/>
      <c r="X12894" s="4"/>
      <c r="Y12894" s="4"/>
    </row>
    <row r="12895" spans="5:25">
      <c r="E12895"/>
      <c r="G12895"/>
      <c r="H12895"/>
      <c r="I12895"/>
      <c r="K12895"/>
      <c r="O12895"/>
      <c r="R12895"/>
      <c r="W12895" s="4"/>
      <c r="X12895" s="4"/>
      <c r="Y12895" s="4"/>
    </row>
    <row r="12896" spans="5:25">
      <c r="E12896"/>
      <c r="G12896"/>
      <c r="H12896"/>
      <c r="I12896"/>
      <c r="K12896"/>
      <c r="O12896"/>
      <c r="R12896"/>
      <c r="W12896" s="4"/>
      <c r="X12896" s="4"/>
      <c r="Y12896" s="4"/>
    </row>
    <row r="12897" spans="5:25">
      <c r="E12897"/>
      <c r="G12897"/>
      <c r="H12897"/>
      <c r="I12897"/>
      <c r="K12897"/>
      <c r="O12897"/>
      <c r="R12897"/>
      <c r="W12897" s="4"/>
      <c r="X12897" s="4"/>
      <c r="Y12897" s="4"/>
    </row>
    <row r="12898" spans="5:25">
      <c r="E12898"/>
      <c r="G12898"/>
      <c r="H12898"/>
      <c r="I12898"/>
      <c r="K12898"/>
      <c r="O12898"/>
      <c r="R12898"/>
      <c r="W12898" s="4"/>
      <c r="X12898" s="4"/>
      <c r="Y12898" s="4"/>
    </row>
    <row r="12899" spans="5:25">
      <c r="E12899"/>
      <c r="G12899"/>
      <c r="H12899"/>
      <c r="I12899"/>
      <c r="K12899"/>
      <c r="O12899"/>
      <c r="R12899"/>
      <c r="W12899" s="4"/>
      <c r="X12899" s="4"/>
      <c r="Y12899" s="4"/>
    </row>
    <row r="12900" spans="5:25">
      <c r="E12900"/>
      <c r="G12900"/>
      <c r="H12900"/>
      <c r="I12900"/>
      <c r="K12900"/>
      <c r="O12900"/>
      <c r="R12900"/>
      <c r="W12900" s="4"/>
      <c r="X12900" s="4"/>
      <c r="Y12900" s="4"/>
    </row>
    <row r="12901" spans="5:25">
      <c r="E12901"/>
      <c r="G12901"/>
      <c r="H12901"/>
      <c r="I12901"/>
      <c r="K12901"/>
      <c r="O12901"/>
      <c r="R12901"/>
      <c r="W12901" s="4"/>
      <c r="X12901" s="4"/>
      <c r="Y12901" s="4"/>
    </row>
    <row r="12902" spans="5:25">
      <c r="E12902"/>
      <c r="G12902"/>
      <c r="H12902"/>
      <c r="I12902"/>
      <c r="K12902"/>
      <c r="O12902"/>
      <c r="R12902"/>
      <c r="W12902" s="4"/>
      <c r="X12902" s="4"/>
      <c r="Y12902" s="4"/>
    </row>
    <row r="12903" spans="5:25">
      <c r="E12903"/>
      <c r="G12903"/>
      <c r="H12903"/>
      <c r="I12903"/>
      <c r="K12903"/>
      <c r="O12903"/>
      <c r="R12903"/>
      <c r="W12903" s="4"/>
      <c r="X12903" s="4"/>
      <c r="Y12903" s="4"/>
    </row>
    <row r="12904" spans="5:25">
      <c r="E12904"/>
      <c r="G12904"/>
      <c r="H12904"/>
      <c r="I12904"/>
      <c r="K12904"/>
      <c r="O12904"/>
      <c r="R12904"/>
      <c r="W12904" s="4"/>
      <c r="X12904" s="4"/>
      <c r="Y12904" s="4"/>
    </row>
    <row r="12905" spans="5:25">
      <c r="E12905"/>
      <c r="G12905"/>
      <c r="H12905"/>
      <c r="I12905"/>
      <c r="K12905"/>
      <c r="O12905"/>
      <c r="R12905"/>
      <c r="W12905" s="4"/>
      <c r="X12905" s="4"/>
      <c r="Y12905" s="4"/>
    </row>
    <row r="12906" spans="5:25">
      <c r="E12906"/>
      <c r="G12906"/>
      <c r="H12906"/>
      <c r="I12906"/>
      <c r="K12906"/>
      <c r="O12906"/>
      <c r="R12906"/>
      <c r="W12906" s="4"/>
      <c r="X12906" s="4"/>
      <c r="Y12906" s="4"/>
    </row>
    <row r="12907" spans="5:25">
      <c r="E12907"/>
      <c r="G12907"/>
      <c r="H12907"/>
      <c r="I12907"/>
      <c r="K12907"/>
      <c r="O12907"/>
      <c r="R12907"/>
      <c r="W12907" s="4"/>
      <c r="X12907" s="4"/>
      <c r="Y12907" s="4"/>
    </row>
    <row r="12908" spans="5:25">
      <c r="E12908"/>
      <c r="G12908"/>
      <c r="H12908"/>
      <c r="I12908"/>
      <c r="K12908"/>
      <c r="O12908"/>
      <c r="R12908"/>
      <c r="W12908" s="4"/>
      <c r="X12908" s="4"/>
      <c r="Y12908" s="4"/>
    </row>
    <row r="12909" spans="5:25">
      <c r="E12909"/>
      <c r="G12909"/>
      <c r="H12909"/>
      <c r="I12909"/>
      <c r="K12909"/>
      <c r="O12909"/>
      <c r="R12909"/>
      <c r="W12909" s="4"/>
      <c r="X12909" s="4"/>
      <c r="Y12909" s="4"/>
    </row>
    <row r="12910" spans="5:25">
      <c r="E12910"/>
      <c r="G12910"/>
      <c r="H12910"/>
      <c r="I12910"/>
      <c r="K12910"/>
      <c r="O12910"/>
      <c r="R12910"/>
      <c r="W12910" s="4"/>
      <c r="X12910" s="4"/>
      <c r="Y12910" s="4"/>
    </row>
    <row r="12911" spans="5:25">
      <c r="E12911"/>
      <c r="G12911"/>
      <c r="H12911"/>
      <c r="I12911"/>
      <c r="K12911"/>
      <c r="O12911"/>
      <c r="R12911"/>
      <c r="W12911" s="4"/>
      <c r="X12911" s="4"/>
      <c r="Y12911" s="4"/>
    </row>
    <row r="12912" spans="5:25">
      <c r="E12912"/>
      <c r="G12912"/>
      <c r="H12912"/>
      <c r="I12912"/>
      <c r="K12912"/>
      <c r="O12912"/>
      <c r="R12912"/>
      <c r="W12912" s="4"/>
      <c r="X12912" s="4"/>
      <c r="Y12912" s="4"/>
    </row>
    <row r="12913" spans="5:25">
      <c r="E12913"/>
      <c r="G12913"/>
      <c r="H12913"/>
      <c r="I12913"/>
      <c r="K12913"/>
      <c r="O12913"/>
      <c r="R12913"/>
      <c r="W12913" s="4"/>
      <c r="X12913" s="4"/>
      <c r="Y12913" s="4"/>
    </row>
    <row r="12914" spans="5:25">
      <c r="E12914"/>
      <c r="G12914"/>
      <c r="H12914"/>
      <c r="I12914"/>
      <c r="K12914"/>
      <c r="O12914"/>
      <c r="R12914"/>
      <c r="W12914" s="4"/>
      <c r="X12914" s="4"/>
      <c r="Y12914" s="4"/>
    </row>
    <row r="12915" spans="5:25">
      <c r="E12915"/>
      <c r="G12915"/>
      <c r="H12915"/>
      <c r="I12915"/>
      <c r="K12915"/>
      <c r="O12915"/>
      <c r="R12915"/>
      <c r="W12915" s="4"/>
      <c r="X12915" s="4"/>
      <c r="Y12915" s="4"/>
    </row>
    <row r="12916" spans="5:25">
      <c r="E12916"/>
      <c r="G12916"/>
      <c r="H12916"/>
      <c r="I12916"/>
      <c r="K12916"/>
      <c r="O12916"/>
      <c r="R12916"/>
      <c r="W12916" s="4"/>
      <c r="X12916" s="4"/>
      <c r="Y12916" s="4"/>
    </row>
    <row r="12917" spans="5:25">
      <c r="E12917"/>
      <c r="G12917"/>
      <c r="H12917"/>
      <c r="I12917"/>
      <c r="K12917"/>
      <c r="O12917"/>
      <c r="R12917"/>
      <c r="W12917" s="4"/>
      <c r="X12917" s="4"/>
      <c r="Y12917" s="4"/>
    </row>
    <row r="12918" spans="5:25">
      <c r="E12918"/>
      <c r="G12918"/>
      <c r="H12918"/>
      <c r="I12918"/>
      <c r="K12918"/>
      <c r="O12918"/>
      <c r="R12918"/>
      <c r="W12918" s="4"/>
      <c r="X12918" s="4"/>
      <c r="Y12918" s="4"/>
    </row>
    <row r="12919" spans="5:25">
      <c r="E12919"/>
      <c r="G12919"/>
      <c r="H12919"/>
      <c r="I12919"/>
      <c r="K12919"/>
      <c r="O12919"/>
      <c r="R12919"/>
      <c r="W12919" s="4"/>
      <c r="X12919" s="4"/>
      <c r="Y12919" s="4"/>
    </row>
    <row r="12920" spans="5:25">
      <c r="E12920"/>
      <c r="G12920"/>
      <c r="H12920"/>
      <c r="I12920"/>
      <c r="K12920"/>
      <c r="O12920"/>
      <c r="R12920"/>
      <c r="W12920" s="4"/>
      <c r="X12920" s="4"/>
      <c r="Y12920" s="4"/>
    </row>
    <row r="12921" spans="5:25">
      <c r="E12921"/>
      <c r="G12921"/>
      <c r="H12921"/>
      <c r="I12921"/>
      <c r="K12921"/>
      <c r="O12921"/>
      <c r="R12921"/>
      <c r="W12921" s="4"/>
      <c r="X12921" s="4"/>
      <c r="Y12921" s="4"/>
    </row>
    <row r="12922" spans="5:25">
      <c r="E12922"/>
      <c r="G12922"/>
      <c r="H12922"/>
      <c r="I12922"/>
      <c r="K12922"/>
      <c r="O12922"/>
      <c r="R12922"/>
      <c r="W12922" s="4"/>
      <c r="X12922" s="4"/>
      <c r="Y12922" s="4"/>
    </row>
    <row r="12923" spans="5:25">
      <c r="E12923"/>
      <c r="G12923"/>
      <c r="H12923"/>
      <c r="I12923"/>
      <c r="K12923"/>
      <c r="O12923"/>
      <c r="R12923"/>
      <c r="W12923" s="4"/>
      <c r="X12923" s="4"/>
      <c r="Y12923" s="4"/>
    </row>
    <row r="12924" spans="5:25">
      <c r="E12924"/>
      <c r="G12924"/>
      <c r="H12924"/>
      <c r="I12924"/>
      <c r="K12924"/>
      <c r="O12924"/>
      <c r="R12924"/>
      <c r="W12924" s="4"/>
      <c r="X12924" s="4"/>
      <c r="Y12924" s="4"/>
    </row>
    <row r="12925" spans="5:25">
      <c r="E12925"/>
      <c r="G12925"/>
      <c r="H12925"/>
      <c r="I12925"/>
      <c r="K12925"/>
      <c r="O12925"/>
      <c r="R12925"/>
      <c r="W12925" s="4"/>
      <c r="X12925" s="4"/>
      <c r="Y12925" s="4"/>
    </row>
    <row r="12926" spans="5:25">
      <c r="E12926"/>
      <c r="G12926"/>
      <c r="H12926"/>
      <c r="I12926"/>
      <c r="K12926"/>
      <c r="O12926"/>
      <c r="R12926"/>
      <c r="W12926" s="4"/>
      <c r="X12926" s="4"/>
      <c r="Y12926" s="4"/>
    </row>
    <row r="12927" spans="5:25">
      <c r="E12927"/>
      <c r="G12927"/>
      <c r="H12927"/>
      <c r="I12927"/>
      <c r="K12927"/>
      <c r="O12927"/>
      <c r="R12927"/>
      <c r="W12927" s="4"/>
      <c r="X12927" s="4"/>
      <c r="Y12927" s="4"/>
    </row>
    <row r="12928" spans="5:25">
      <c r="E12928"/>
      <c r="G12928"/>
      <c r="H12928"/>
      <c r="I12928"/>
      <c r="K12928"/>
      <c r="O12928"/>
      <c r="R12928"/>
      <c r="W12928" s="4"/>
      <c r="X12928" s="4"/>
      <c r="Y12928" s="4"/>
    </row>
    <row r="12929" spans="5:25">
      <c r="E12929"/>
      <c r="G12929"/>
      <c r="H12929"/>
      <c r="I12929"/>
      <c r="K12929"/>
      <c r="O12929"/>
      <c r="R12929"/>
      <c r="W12929" s="4"/>
      <c r="X12929" s="4"/>
      <c r="Y12929" s="4"/>
    </row>
    <row r="12930" spans="5:25">
      <c r="E12930"/>
      <c r="G12930"/>
      <c r="H12930"/>
      <c r="I12930"/>
      <c r="K12930"/>
      <c r="O12930"/>
      <c r="R12930"/>
      <c r="W12930" s="4"/>
      <c r="X12930" s="4"/>
      <c r="Y12930" s="4"/>
    </row>
    <row r="12931" spans="5:25">
      <c r="E12931"/>
      <c r="G12931"/>
      <c r="H12931"/>
      <c r="I12931"/>
      <c r="K12931"/>
      <c r="O12931"/>
      <c r="R12931"/>
      <c r="W12931" s="4"/>
      <c r="X12931" s="4"/>
      <c r="Y12931" s="4"/>
    </row>
    <row r="12932" spans="5:25">
      <c r="E12932"/>
      <c r="G12932"/>
      <c r="H12932"/>
      <c r="I12932"/>
      <c r="K12932"/>
      <c r="O12932"/>
      <c r="R12932"/>
      <c r="W12932" s="4"/>
      <c r="X12932" s="4"/>
      <c r="Y12932" s="4"/>
    </row>
    <row r="12933" spans="5:25">
      <c r="E12933"/>
      <c r="G12933"/>
      <c r="H12933"/>
      <c r="I12933"/>
      <c r="K12933"/>
      <c r="O12933"/>
      <c r="R12933"/>
      <c r="W12933" s="4"/>
      <c r="X12933" s="4"/>
      <c r="Y12933" s="4"/>
    </row>
    <row r="12934" spans="5:25">
      <c r="E12934"/>
      <c r="G12934"/>
      <c r="H12934"/>
      <c r="I12934"/>
      <c r="K12934"/>
      <c r="O12934"/>
      <c r="R12934"/>
      <c r="W12934" s="4"/>
      <c r="X12934" s="4"/>
      <c r="Y12934" s="4"/>
    </row>
    <row r="12935" spans="5:25">
      <c r="E12935"/>
      <c r="G12935"/>
      <c r="H12935"/>
      <c r="I12935"/>
      <c r="K12935"/>
      <c r="O12935"/>
      <c r="R12935"/>
      <c r="W12935" s="4"/>
      <c r="X12935" s="4"/>
      <c r="Y12935" s="4"/>
    </row>
    <row r="12936" spans="5:25">
      <c r="E12936"/>
      <c r="G12936"/>
      <c r="H12936"/>
      <c r="I12936"/>
      <c r="K12936"/>
      <c r="O12936"/>
      <c r="R12936"/>
      <c r="W12936" s="4"/>
      <c r="X12936" s="4"/>
      <c r="Y12936" s="4"/>
    </row>
    <row r="12937" spans="5:25">
      <c r="E12937"/>
      <c r="G12937"/>
      <c r="H12937"/>
      <c r="I12937"/>
      <c r="K12937"/>
      <c r="O12937"/>
      <c r="R12937"/>
      <c r="W12937" s="4"/>
      <c r="X12937" s="4"/>
      <c r="Y12937" s="4"/>
    </row>
    <row r="12938" spans="5:25">
      <c r="E12938"/>
      <c r="G12938"/>
      <c r="H12938"/>
      <c r="I12938"/>
      <c r="K12938"/>
      <c r="O12938"/>
      <c r="R12938"/>
      <c r="W12938" s="4"/>
      <c r="X12938" s="4"/>
      <c r="Y12938" s="4"/>
    </row>
    <row r="12939" spans="5:25">
      <c r="E12939"/>
      <c r="G12939"/>
      <c r="H12939"/>
      <c r="I12939"/>
      <c r="K12939"/>
      <c r="O12939"/>
      <c r="R12939"/>
      <c r="W12939" s="4"/>
      <c r="X12939" s="4"/>
      <c r="Y12939" s="4"/>
    </row>
    <row r="12940" spans="5:25">
      <c r="E12940"/>
      <c r="G12940"/>
      <c r="H12940"/>
      <c r="I12940"/>
      <c r="K12940"/>
      <c r="O12940"/>
      <c r="R12940"/>
      <c r="W12940" s="4"/>
      <c r="X12940" s="4"/>
      <c r="Y12940" s="4"/>
    </row>
    <row r="12941" spans="5:25">
      <c r="E12941"/>
      <c r="G12941"/>
      <c r="H12941"/>
      <c r="I12941"/>
      <c r="K12941"/>
      <c r="O12941"/>
      <c r="R12941"/>
      <c r="W12941" s="4"/>
      <c r="X12941" s="4"/>
      <c r="Y12941" s="4"/>
    </row>
    <row r="12942" spans="5:25">
      <c r="E12942"/>
      <c r="G12942"/>
      <c r="H12942"/>
      <c r="I12942"/>
      <c r="K12942"/>
      <c r="O12942"/>
      <c r="R12942"/>
      <c r="W12942" s="4"/>
      <c r="X12942" s="4"/>
      <c r="Y12942" s="4"/>
    </row>
    <row r="12943" spans="5:25">
      <c r="E12943"/>
      <c r="G12943"/>
      <c r="H12943"/>
      <c r="I12943"/>
      <c r="K12943"/>
      <c r="O12943"/>
      <c r="R12943"/>
      <c r="W12943" s="4"/>
      <c r="X12943" s="4"/>
      <c r="Y12943" s="4"/>
    </row>
    <row r="12944" spans="5:25">
      <c r="E12944"/>
      <c r="G12944"/>
      <c r="H12944"/>
      <c r="I12944"/>
      <c r="K12944"/>
      <c r="O12944"/>
      <c r="R12944"/>
      <c r="W12944" s="4"/>
      <c r="X12944" s="4"/>
      <c r="Y12944" s="4"/>
    </row>
    <row r="12945" spans="5:25">
      <c r="E12945"/>
      <c r="G12945"/>
      <c r="H12945"/>
      <c r="I12945"/>
      <c r="K12945"/>
      <c r="O12945"/>
      <c r="R12945"/>
      <c r="W12945" s="4"/>
      <c r="X12945" s="4"/>
      <c r="Y12945" s="4"/>
    </row>
    <row r="12946" spans="5:25">
      <c r="E12946"/>
      <c r="G12946"/>
      <c r="H12946"/>
      <c r="I12946"/>
      <c r="K12946"/>
      <c r="O12946"/>
      <c r="R12946"/>
      <c r="W12946" s="4"/>
      <c r="X12946" s="4"/>
      <c r="Y12946" s="4"/>
    </row>
    <row r="12947" spans="5:25">
      <c r="E12947"/>
      <c r="G12947"/>
      <c r="H12947"/>
      <c r="I12947"/>
      <c r="K12947"/>
      <c r="O12947"/>
      <c r="R12947"/>
      <c r="W12947" s="4"/>
      <c r="X12947" s="4"/>
      <c r="Y12947" s="4"/>
    </row>
    <row r="12948" spans="5:25">
      <c r="E12948"/>
      <c r="G12948"/>
      <c r="H12948"/>
      <c r="I12948"/>
      <c r="K12948"/>
      <c r="O12948"/>
      <c r="R12948"/>
      <c r="W12948" s="4"/>
      <c r="X12948" s="4"/>
      <c r="Y12948" s="4"/>
    </row>
    <row r="12949" spans="5:25">
      <c r="E12949"/>
      <c r="G12949"/>
      <c r="H12949"/>
      <c r="I12949"/>
      <c r="K12949"/>
      <c r="O12949"/>
      <c r="R12949"/>
      <c r="W12949" s="4"/>
      <c r="X12949" s="4"/>
      <c r="Y12949" s="4"/>
    </row>
    <row r="12950" spans="5:25">
      <c r="E12950"/>
      <c r="G12950"/>
      <c r="H12950"/>
      <c r="I12950"/>
      <c r="K12950"/>
      <c r="O12950"/>
      <c r="R12950"/>
      <c r="W12950" s="4"/>
      <c r="X12950" s="4"/>
      <c r="Y12950" s="4"/>
    </row>
    <row r="12951" spans="5:25">
      <c r="E12951"/>
      <c r="G12951"/>
      <c r="H12951"/>
      <c r="I12951"/>
      <c r="K12951"/>
      <c r="O12951"/>
      <c r="R12951"/>
      <c r="W12951" s="4"/>
      <c r="X12951" s="4"/>
      <c r="Y12951" s="4"/>
    </row>
    <row r="12952" spans="5:25">
      <c r="E12952"/>
      <c r="G12952"/>
      <c r="H12952"/>
      <c r="I12952"/>
      <c r="K12952"/>
      <c r="O12952"/>
      <c r="R12952"/>
      <c r="W12952" s="4"/>
      <c r="X12952" s="4"/>
      <c r="Y12952" s="4"/>
    </row>
    <row r="12953" spans="5:25">
      <c r="E12953"/>
      <c r="G12953"/>
      <c r="H12953"/>
      <c r="I12953"/>
      <c r="K12953"/>
      <c r="O12953"/>
      <c r="R12953"/>
      <c r="W12953" s="4"/>
      <c r="X12953" s="4"/>
      <c r="Y12953" s="4"/>
    </row>
    <row r="12954" spans="5:25">
      <c r="E12954"/>
      <c r="G12954"/>
      <c r="H12954"/>
      <c r="I12954"/>
      <c r="K12954"/>
      <c r="O12954"/>
      <c r="R12954"/>
      <c r="W12954" s="4"/>
      <c r="X12954" s="4"/>
      <c r="Y12954" s="4"/>
    </row>
    <row r="12955" spans="5:25">
      <c r="E12955"/>
      <c r="G12955"/>
      <c r="H12955"/>
      <c r="I12955"/>
      <c r="K12955"/>
      <c r="O12955"/>
      <c r="R12955"/>
      <c r="W12955" s="4"/>
      <c r="X12955" s="4"/>
      <c r="Y12955" s="4"/>
    </row>
    <row r="12956" spans="5:25">
      <c r="E12956"/>
      <c r="G12956"/>
      <c r="H12956"/>
      <c r="I12956"/>
      <c r="K12956"/>
      <c r="O12956"/>
      <c r="R12956"/>
      <c r="W12956" s="4"/>
      <c r="X12956" s="4"/>
      <c r="Y12956" s="4"/>
    </row>
    <row r="12957" spans="5:25">
      <c r="E12957"/>
      <c r="G12957"/>
      <c r="H12957"/>
      <c r="I12957"/>
      <c r="K12957"/>
      <c r="O12957"/>
      <c r="R12957"/>
      <c r="W12957" s="4"/>
      <c r="X12957" s="4"/>
      <c r="Y12957" s="4"/>
    </row>
    <row r="12958" spans="5:25">
      <c r="E12958"/>
      <c r="G12958"/>
      <c r="H12958"/>
      <c r="I12958"/>
      <c r="K12958"/>
      <c r="O12958"/>
      <c r="R12958"/>
      <c r="W12958" s="4"/>
      <c r="X12958" s="4"/>
      <c r="Y12958" s="4"/>
    </row>
    <row r="12959" spans="5:25">
      <c r="E12959"/>
      <c r="G12959"/>
      <c r="H12959"/>
      <c r="I12959"/>
      <c r="K12959"/>
      <c r="O12959"/>
      <c r="R12959"/>
      <c r="W12959" s="4"/>
      <c r="X12959" s="4"/>
      <c r="Y12959" s="4"/>
    </row>
    <row r="12960" spans="5:25">
      <c r="E12960"/>
      <c r="G12960"/>
      <c r="H12960"/>
      <c r="I12960"/>
      <c r="K12960"/>
      <c r="O12960"/>
      <c r="R12960"/>
      <c r="W12960" s="4"/>
      <c r="X12960" s="4"/>
      <c r="Y12960" s="4"/>
    </row>
    <row r="12961" spans="5:25">
      <c r="E12961"/>
      <c r="G12961"/>
      <c r="H12961"/>
      <c r="I12961"/>
      <c r="K12961"/>
      <c r="O12961"/>
      <c r="R12961"/>
      <c r="W12961" s="4"/>
      <c r="X12961" s="4"/>
      <c r="Y12961" s="4"/>
    </row>
    <row r="12962" spans="5:25">
      <c r="E12962"/>
      <c r="G12962"/>
      <c r="H12962"/>
      <c r="I12962"/>
      <c r="K12962"/>
      <c r="O12962"/>
      <c r="R12962"/>
      <c r="W12962" s="4"/>
      <c r="X12962" s="4"/>
      <c r="Y12962" s="4"/>
    </row>
    <row r="12963" spans="5:25">
      <c r="E12963"/>
      <c r="G12963"/>
      <c r="H12963"/>
      <c r="I12963"/>
      <c r="K12963"/>
      <c r="O12963"/>
      <c r="R12963"/>
      <c r="W12963" s="4"/>
      <c r="X12963" s="4"/>
      <c r="Y12963" s="4"/>
    </row>
    <row r="12964" spans="5:25">
      <c r="E12964"/>
      <c r="G12964"/>
      <c r="H12964"/>
      <c r="I12964"/>
      <c r="K12964"/>
      <c r="O12964"/>
      <c r="R12964"/>
      <c r="W12964" s="4"/>
      <c r="X12964" s="4"/>
      <c r="Y12964" s="4"/>
    </row>
    <row r="12965" spans="5:25">
      <c r="E12965"/>
      <c r="G12965"/>
      <c r="H12965"/>
      <c r="I12965"/>
      <c r="K12965"/>
      <c r="O12965"/>
      <c r="R12965"/>
      <c r="W12965" s="4"/>
      <c r="X12965" s="4"/>
      <c r="Y12965" s="4"/>
    </row>
    <row r="12966" spans="5:25">
      <c r="E12966"/>
      <c r="G12966"/>
      <c r="H12966"/>
      <c r="I12966"/>
      <c r="K12966"/>
      <c r="O12966"/>
      <c r="R12966"/>
      <c r="W12966" s="4"/>
      <c r="X12966" s="4"/>
      <c r="Y12966" s="4"/>
    </row>
    <row r="12967" spans="5:25">
      <c r="E12967"/>
      <c r="G12967"/>
      <c r="H12967"/>
      <c r="I12967"/>
      <c r="K12967"/>
      <c r="O12967"/>
      <c r="R12967"/>
      <c r="W12967" s="4"/>
      <c r="X12967" s="4"/>
      <c r="Y12967" s="4"/>
    </row>
    <row r="12968" spans="5:25">
      <c r="E12968"/>
      <c r="G12968"/>
      <c r="H12968"/>
      <c r="I12968"/>
      <c r="K12968"/>
      <c r="O12968"/>
      <c r="R12968"/>
      <c r="W12968" s="4"/>
      <c r="X12968" s="4"/>
      <c r="Y12968" s="4"/>
    </row>
    <row r="12969" spans="5:25">
      <c r="E12969"/>
      <c r="G12969"/>
      <c r="H12969"/>
      <c r="I12969"/>
      <c r="K12969"/>
      <c r="O12969"/>
      <c r="R12969"/>
      <c r="W12969" s="4"/>
      <c r="X12969" s="4"/>
      <c r="Y12969" s="4"/>
    </row>
    <row r="12970" spans="5:25">
      <c r="E12970"/>
      <c r="G12970"/>
      <c r="H12970"/>
      <c r="I12970"/>
      <c r="K12970"/>
      <c r="O12970"/>
      <c r="R12970"/>
      <c r="W12970" s="4"/>
      <c r="X12970" s="4"/>
      <c r="Y12970" s="4"/>
    </row>
    <row r="12971" spans="5:25">
      <c r="E12971"/>
      <c r="G12971"/>
      <c r="H12971"/>
      <c r="I12971"/>
      <c r="K12971"/>
      <c r="O12971"/>
      <c r="R12971"/>
      <c r="W12971" s="4"/>
      <c r="X12971" s="4"/>
      <c r="Y12971" s="4"/>
    </row>
    <row r="12972" spans="5:25">
      <c r="E12972"/>
      <c r="G12972"/>
      <c r="H12972"/>
      <c r="I12972"/>
      <c r="K12972"/>
      <c r="O12972"/>
      <c r="R12972"/>
      <c r="W12972" s="4"/>
      <c r="X12972" s="4"/>
      <c r="Y12972" s="4"/>
    </row>
    <row r="12973" spans="5:25">
      <c r="E12973"/>
      <c r="G12973"/>
      <c r="H12973"/>
      <c r="I12973"/>
      <c r="K12973"/>
      <c r="O12973"/>
      <c r="R12973"/>
      <c r="W12973" s="4"/>
      <c r="X12973" s="4"/>
      <c r="Y12973" s="4"/>
    </row>
    <row r="12974" spans="5:25">
      <c r="E12974"/>
      <c r="G12974"/>
      <c r="H12974"/>
      <c r="I12974"/>
      <c r="K12974"/>
      <c r="O12974"/>
      <c r="R12974"/>
      <c r="W12974" s="4"/>
      <c r="X12974" s="4"/>
      <c r="Y12974" s="4"/>
    </row>
    <row r="12975" spans="5:25">
      <c r="E12975"/>
      <c r="G12975"/>
      <c r="H12975"/>
      <c r="I12975"/>
      <c r="K12975"/>
      <c r="O12975"/>
      <c r="R12975"/>
      <c r="W12975" s="4"/>
      <c r="X12975" s="4"/>
      <c r="Y12975" s="4"/>
    </row>
    <row r="12976" spans="5:25">
      <c r="E12976"/>
      <c r="G12976"/>
      <c r="H12976"/>
      <c r="I12976"/>
      <c r="K12976"/>
      <c r="O12976"/>
      <c r="R12976"/>
      <c r="W12976" s="4"/>
      <c r="X12976" s="4"/>
      <c r="Y12976" s="4"/>
    </row>
    <row r="12977" spans="5:25">
      <c r="E12977"/>
      <c r="G12977"/>
      <c r="H12977"/>
      <c r="I12977"/>
      <c r="K12977"/>
      <c r="O12977"/>
      <c r="R12977"/>
      <c r="W12977" s="4"/>
      <c r="X12977" s="4"/>
      <c r="Y12977" s="4"/>
    </row>
    <row r="12978" spans="5:25">
      <c r="E12978"/>
      <c r="G12978"/>
      <c r="H12978"/>
      <c r="I12978"/>
      <c r="K12978"/>
      <c r="O12978"/>
      <c r="R12978"/>
      <c r="W12978" s="4"/>
      <c r="X12978" s="4"/>
      <c r="Y12978" s="4"/>
    </row>
    <row r="12979" spans="5:25">
      <c r="E12979"/>
      <c r="G12979"/>
      <c r="H12979"/>
      <c r="I12979"/>
      <c r="K12979"/>
      <c r="O12979"/>
      <c r="R12979"/>
      <c r="W12979" s="4"/>
      <c r="X12979" s="4"/>
      <c r="Y12979" s="4"/>
    </row>
    <row r="12980" spans="5:25">
      <c r="E12980"/>
      <c r="G12980"/>
      <c r="H12980"/>
      <c r="I12980"/>
      <c r="K12980"/>
      <c r="O12980"/>
      <c r="R12980"/>
      <c r="W12980" s="4"/>
      <c r="X12980" s="4"/>
      <c r="Y12980" s="4"/>
    </row>
    <row r="12981" spans="5:25">
      <c r="E12981"/>
      <c r="G12981"/>
      <c r="H12981"/>
      <c r="I12981"/>
      <c r="K12981"/>
      <c r="O12981"/>
      <c r="R12981"/>
      <c r="W12981" s="4"/>
      <c r="X12981" s="4"/>
      <c r="Y12981" s="4"/>
    </row>
    <row r="12982" spans="5:25">
      <c r="E12982"/>
      <c r="G12982"/>
      <c r="H12982"/>
      <c r="I12982"/>
      <c r="K12982"/>
      <c r="O12982"/>
      <c r="R12982"/>
      <c r="W12982" s="4"/>
      <c r="X12982" s="4"/>
      <c r="Y12982" s="4"/>
    </row>
    <row r="12983" spans="5:25">
      <c r="E12983"/>
      <c r="G12983"/>
      <c r="H12983"/>
      <c r="I12983"/>
      <c r="K12983"/>
      <c r="O12983"/>
      <c r="R12983"/>
      <c r="W12983" s="4"/>
      <c r="X12983" s="4"/>
      <c r="Y12983" s="4"/>
    </row>
    <row r="12984" spans="5:25">
      <c r="E12984"/>
      <c r="G12984"/>
      <c r="H12984"/>
      <c r="I12984"/>
      <c r="K12984"/>
      <c r="O12984"/>
      <c r="R12984"/>
      <c r="W12984" s="4"/>
      <c r="X12984" s="4"/>
      <c r="Y12984" s="4"/>
    </row>
    <row r="12985" spans="5:25">
      <c r="E12985"/>
      <c r="G12985"/>
      <c r="H12985"/>
      <c r="I12985"/>
      <c r="K12985"/>
      <c r="O12985"/>
      <c r="R12985"/>
      <c r="W12985" s="4"/>
      <c r="X12985" s="4"/>
      <c r="Y12985" s="4"/>
    </row>
    <row r="12986" spans="5:25">
      <c r="E12986"/>
      <c r="G12986"/>
      <c r="H12986"/>
      <c r="I12986"/>
      <c r="K12986"/>
      <c r="O12986"/>
      <c r="R12986"/>
      <c r="W12986" s="4"/>
      <c r="X12986" s="4"/>
      <c r="Y12986" s="4"/>
    </row>
    <row r="12987" spans="5:25">
      <c r="E12987"/>
      <c r="G12987"/>
      <c r="H12987"/>
      <c r="I12987"/>
      <c r="K12987"/>
      <c r="O12987"/>
      <c r="R12987"/>
      <c r="W12987" s="4"/>
      <c r="X12987" s="4"/>
      <c r="Y12987" s="4"/>
    </row>
    <row r="12988" spans="5:25">
      <c r="E12988"/>
      <c r="G12988"/>
      <c r="H12988"/>
      <c r="I12988"/>
      <c r="K12988"/>
      <c r="O12988"/>
      <c r="R12988"/>
      <c r="W12988" s="4"/>
      <c r="X12988" s="4"/>
      <c r="Y12988" s="4"/>
    </row>
    <row r="12989" spans="5:25">
      <c r="E12989"/>
      <c r="G12989"/>
      <c r="H12989"/>
      <c r="I12989"/>
      <c r="K12989"/>
      <c r="O12989"/>
      <c r="R12989"/>
      <c r="W12989" s="4"/>
      <c r="X12989" s="4"/>
      <c r="Y12989" s="4"/>
    </row>
    <row r="12990" spans="5:25">
      <c r="E12990"/>
      <c r="G12990"/>
      <c r="H12990"/>
      <c r="I12990"/>
      <c r="K12990"/>
      <c r="O12990"/>
      <c r="R12990"/>
      <c r="W12990" s="4"/>
      <c r="X12990" s="4"/>
      <c r="Y12990" s="4"/>
    </row>
    <row r="12991" spans="5:25">
      <c r="E12991"/>
      <c r="G12991"/>
      <c r="H12991"/>
      <c r="I12991"/>
      <c r="K12991"/>
      <c r="O12991"/>
      <c r="R12991"/>
      <c r="W12991" s="4"/>
      <c r="X12991" s="4"/>
      <c r="Y12991" s="4"/>
    </row>
    <row r="12992" spans="5:25">
      <c r="E12992"/>
      <c r="G12992"/>
      <c r="H12992"/>
      <c r="I12992"/>
      <c r="K12992"/>
      <c r="O12992"/>
      <c r="R12992"/>
      <c r="W12992" s="4"/>
      <c r="X12992" s="4"/>
      <c r="Y12992" s="4"/>
    </row>
    <row r="12993" spans="5:25">
      <c r="E12993"/>
      <c r="G12993"/>
      <c r="H12993"/>
      <c r="I12993"/>
      <c r="K12993"/>
      <c r="O12993"/>
      <c r="R12993"/>
      <c r="W12993" s="4"/>
      <c r="X12993" s="4"/>
      <c r="Y12993" s="4"/>
    </row>
    <row r="12994" spans="5:25">
      <c r="E12994"/>
      <c r="G12994"/>
      <c r="H12994"/>
      <c r="I12994"/>
      <c r="K12994"/>
      <c r="O12994"/>
      <c r="R12994"/>
      <c r="W12994" s="4"/>
      <c r="X12994" s="4"/>
      <c r="Y12994" s="4"/>
    </row>
    <row r="12995" spans="5:25">
      <c r="E12995"/>
      <c r="G12995"/>
      <c r="H12995"/>
      <c r="I12995"/>
      <c r="K12995"/>
      <c r="O12995"/>
      <c r="R12995"/>
      <c r="W12995" s="4"/>
      <c r="X12995" s="4"/>
      <c r="Y12995" s="4"/>
    </row>
    <row r="12996" spans="5:25">
      <c r="E12996"/>
      <c r="G12996"/>
      <c r="H12996"/>
      <c r="I12996"/>
      <c r="K12996"/>
      <c r="O12996"/>
      <c r="R12996"/>
      <c r="W12996" s="4"/>
      <c r="X12996" s="4"/>
      <c r="Y12996" s="4"/>
    </row>
    <row r="12997" spans="5:25">
      <c r="E12997"/>
      <c r="G12997"/>
      <c r="H12997"/>
      <c r="I12997"/>
      <c r="K12997"/>
      <c r="O12997"/>
      <c r="R12997"/>
      <c r="W12997" s="4"/>
      <c r="X12997" s="4"/>
      <c r="Y12997" s="4"/>
    </row>
    <row r="12998" spans="5:25">
      <c r="E12998"/>
      <c r="G12998"/>
      <c r="H12998"/>
      <c r="I12998"/>
      <c r="K12998"/>
      <c r="O12998"/>
      <c r="R12998"/>
      <c r="W12998" s="4"/>
      <c r="X12998" s="4"/>
      <c r="Y12998" s="4"/>
    </row>
    <row r="12999" spans="5:25">
      <c r="E12999"/>
      <c r="G12999"/>
      <c r="H12999"/>
      <c r="I12999"/>
      <c r="K12999"/>
      <c r="O12999"/>
      <c r="R12999"/>
      <c r="W12999" s="4"/>
      <c r="X12999" s="4"/>
      <c r="Y12999" s="4"/>
    </row>
    <row r="13000" spans="5:25">
      <c r="E13000"/>
      <c r="G13000"/>
      <c r="H13000"/>
      <c r="I13000"/>
      <c r="K13000"/>
      <c r="O13000"/>
      <c r="R13000"/>
      <c r="W13000" s="4"/>
      <c r="X13000" s="4"/>
      <c r="Y13000" s="4"/>
    </row>
    <row r="13001" spans="5:25">
      <c r="E13001"/>
      <c r="G13001"/>
      <c r="H13001"/>
      <c r="I13001"/>
      <c r="K13001"/>
      <c r="O13001"/>
      <c r="R13001"/>
      <c r="W13001" s="4"/>
      <c r="X13001" s="4"/>
      <c r="Y13001" s="4"/>
    </row>
    <row r="13002" spans="5:25">
      <c r="E13002"/>
      <c r="G13002"/>
      <c r="H13002"/>
      <c r="I13002"/>
      <c r="K13002"/>
      <c r="O13002"/>
      <c r="R13002"/>
      <c r="W13002" s="4"/>
      <c r="X13002" s="4"/>
      <c r="Y13002" s="4"/>
    </row>
    <row r="13003" spans="5:25">
      <c r="E13003"/>
      <c r="G13003"/>
      <c r="H13003"/>
      <c r="I13003"/>
      <c r="K13003"/>
      <c r="O13003"/>
      <c r="R13003"/>
      <c r="W13003" s="4"/>
      <c r="X13003" s="4"/>
      <c r="Y13003" s="4"/>
    </row>
    <row r="13004" spans="5:25">
      <c r="E13004"/>
      <c r="G13004"/>
      <c r="H13004"/>
      <c r="I13004"/>
      <c r="K13004"/>
      <c r="O13004"/>
      <c r="R13004"/>
      <c r="W13004" s="4"/>
      <c r="X13004" s="4"/>
      <c r="Y13004" s="4"/>
    </row>
    <row r="13005" spans="5:25">
      <c r="E13005"/>
      <c r="G13005"/>
      <c r="H13005"/>
      <c r="I13005"/>
      <c r="K13005"/>
      <c r="O13005"/>
      <c r="R13005"/>
      <c r="W13005" s="4"/>
      <c r="X13005" s="4"/>
      <c r="Y13005" s="4"/>
    </row>
    <row r="13006" spans="5:25">
      <c r="E13006"/>
      <c r="G13006"/>
      <c r="H13006"/>
      <c r="I13006"/>
      <c r="K13006"/>
      <c r="O13006"/>
      <c r="R13006"/>
      <c r="W13006" s="4"/>
      <c r="X13006" s="4"/>
      <c r="Y13006" s="4"/>
    </row>
    <row r="13007" spans="5:25">
      <c r="E13007"/>
      <c r="G13007"/>
      <c r="H13007"/>
      <c r="I13007"/>
      <c r="K13007"/>
      <c r="O13007"/>
      <c r="R13007"/>
      <c r="W13007" s="4"/>
      <c r="X13007" s="4"/>
      <c r="Y13007" s="4"/>
    </row>
    <row r="13008" spans="5:25">
      <c r="E13008"/>
      <c r="G13008"/>
      <c r="H13008"/>
      <c r="I13008"/>
      <c r="K13008"/>
      <c r="O13008"/>
      <c r="R13008"/>
      <c r="W13008" s="4"/>
      <c r="X13008" s="4"/>
      <c r="Y13008" s="4"/>
    </row>
    <row r="13009" spans="5:25">
      <c r="E13009"/>
      <c r="G13009"/>
      <c r="H13009"/>
      <c r="I13009"/>
      <c r="K13009"/>
      <c r="O13009"/>
      <c r="R13009"/>
      <c r="W13009" s="4"/>
      <c r="X13009" s="4"/>
      <c r="Y13009" s="4"/>
    </row>
    <row r="13010" spans="5:25">
      <c r="E13010"/>
      <c r="G13010"/>
      <c r="H13010"/>
      <c r="I13010"/>
      <c r="K13010"/>
      <c r="O13010"/>
      <c r="R13010"/>
      <c r="W13010" s="4"/>
      <c r="X13010" s="4"/>
      <c r="Y13010" s="4"/>
    </row>
    <row r="13011" spans="5:25">
      <c r="E13011"/>
      <c r="G13011"/>
      <c r="H13011"/>
      <c r="I13011"/>
      <c r="K13011"/>
      <c r="O13011"/>
      <c r="R13011"/>
      <c r="W13011" s="4"/>
      <c r="X13011" s="4"/>
      <c r="Y13011" s="4"/>
    </row>
    <row r="13012" spans="5:25">
      <c r="E13012"/>
      <c r="G13012"/>
      <c r="H13012"/>
      <c r="I13012"/>
      <c r="K13012"/>
      <c r="O13012"/>
      <c r="R13012"/>
      <c r="W13012" s="4"/>
      <c r="X13012" s="4"/>
      <c r="Y13012" s="4"/>
    </row>
    <row r="13013" spans="5:25">
      <c r="E13013"/>
      <c r="G13013"/>
      <c r="H13013"/>
      <c r="I13013"/>
      <c r="K13013"/>
      <c r="O13013"/>
      <c r="R13013"/>
      <c r="W13013" s="4"/>
      <c r="X13013" s="4"/>
      <c r="Y13013" s="4"/>
    </row>
    <row r="13014" spans="5:25">
      <c r="E13014"/>
      <c r="G13014"/>
      <c r="H13014"/>
      <c r="I13014"/>
      <c r="K13014"/>
      <c r="O13014"/>
      <c r="R13014"/>
      <c r="W13014" s="4"/>
      <c r="X13014" s="4"/>
      <c r="Y13014" s="4"/>
    </row>
    <row r="13015" spans="5:25">
      <c r="E13015"/>
      <c r="G13015"/>
      <c r="H13015"/>
      <c r="I13015"/>
      <c r="K13015"/>
      <c r="O13015"/>
      <c r="R13015"/>
      <c r="W13015" s="4"/>
      <c r="X13015" s="4"/>
      <c r="Y13015" s="4"/>
    </row>
    <row r="13016" spans="5:25">
      <c r="E13016"/>
      <c r="G13016"/>
      <c r="H13016"/>
      <c r="I13016"/>
      <c r="K13016"/>
      <c r="O13016"/>
      <c r="R13016"/>
      <c r="W13016" s="4"/>
      <c r="X13016" s="4"/>
      <c r="Y13016" s="4"/>
    </row>
    <row r="13017" spans="5:25">
      <c r="E13017"/>
      <c r="G13017"/>
      <c r="H13017"/>
      <c r="I13017"/>
      <c r="K13017"/>
      <c r="O13017"/>
      <c r="R13017"/>
      <c r="W13017" s="4"/>
      <c r="X13017" s="4"/>
      <c r="Y13017" s="4"/>
    </row>
    <row r="13018" spans="5:25">
      <c r="E13018"/>
      <c r="G13018"/>
      <c r="H13018"/>
      <c r="I13018"/>
      <c r="K13018"/>
      <c r="O13018"/>
      <c r="R13018"/>
      <c r="W13018" s="4"/>
      <c r="X13018" s="4"/>
      <c r="Y13018" s="4"/>
    </row>
    <row r="13019" spans="5:25">
      <c r="E13019"/>
      <c r="G13019"/>
      <c r="H13019"/>
      <c r="I13019"/>
      <c r="K13019"/>
      <c r="O13019"/>
      <c r="R13019"/>
      <c r="W13019" s="4"/>
      <c r="X13019" s="4"/>
      <c r="Y13019" s="4"/>
    </row>
    <row r="13020" spans="5:25">
      <c r="E13020"/>
      <c r="G13020"/>
      <c r="H13020"/>
      <c r="I13020"/>
      <c r="K13020"/>
      <c r="O13020"/>
      <c r="R13020"/>
      <c r="W13020" s="4"/>
      <c r="X13020" s="4"/>
      <c r="Y13020" s="4"/>
    </row>
    <row r="13021" spans="5:25">
      <c r="E13021"/>
      <c r="G13021"/>
      <c r="H13021"/>
      <c r="I13021"/>
      <c r="K13021"/>
      <c r="O13021"/>
      <c r="R13021"/>
      <c r="W13021" s="4"/>
      <c r="X13021" s="4"/>
      <c r="Y13021" s="4"/>
    </row>
    <row r="13022" spans="5:25">
      <c r="E13022"/>
      <c r="G13022"/>
      <c r="H13022"/>
      <c r="I13022"/>
      <c r="K13022"/>
      <c r="O13022"/>
      <c r="R13022"/>
      <c r="W13022" s="4"/>
      <c r="X13022" s="4"/>
      <c r="Y13022" s="4"/>
    </row>
    <row r="13023" spans="5:25">
      <c r="E13023"/>
      <c r="G13023"/>
      <c r="H13023"/>
      <c r="I13023"/>
      <c r="K13023"/>
      <c r="O13023"/>
      <c r="R13023"/>
      <c r="W13023" s="4"/>
      <c r="X13023" s="4"/>
      <c r="Y13023" s="4"/>
    </row>
    <row r="13024" spans="5:25">
      <c r="E13024"/>
      <c r="G13024"/>
      <c r="H13024"/>
      <c r="I13024"/>
      <c r="K13024"/>
      <c r="O13024"/>
      <c r="R13024"/>
      <c r="W13024" s="4"/>
      <c r="X13024" s="4"/>
      <c r="Y13024" s="4"/>
    </row>
    <row r="13025" spans="5:25">
      <c r="E13025"/>
      <c r="G13025"/>
      <c r="H13025"/>
      <c r="I13025"/>
      <c r="K13025"/>
      <c r="O13025"/>
      <c r="R13025"/>
      <c r="W13025" s="4"/>
      <c r="X13025" s="4"/>
      <c r="Y13025" s="4"/>
    </row>
    <row r="13026" spans="5:25">
      <c r="E13026"/>
      <c r="G13026"/>
      <c r="H13026"/>
      <c r="I13026"/>
      <c r="K13026"/>
      <c r="O13026"/>
      <c r="R13026"/>
      <c r="W13026" s="4"/>
      <c r="X13026" s="4"/>
      <c r="Y13026" s="4"/>
    </row>
    <row r="13027" spans="5:25">
      <c r="E13027"/>
      <c r="G13027"/>
      <c r="H13027"/>
      <c r="I13027"/>
      <c r="K13027"/>
      <c r="O13027"/>
      <c r="R13027"/>
      <c r="W13027" s="4"/>
      <c r="X13027" s="4"/>
      <c r="Y13027" s="4"/>
    </row>
    <row r="13028" spans="5:25">
      <c r="E13028"/>
      <c r="G13028"/>
      <c r="H13028"/>
      <c r="I13028"/>
      <c r="K13028"/>
      <c r="O13028"/>
      <c r="R13028"/>
      <c r="W13028" s="4"/>
      <c r="X13028" s="4"/>
      <c r="Y13028" s="4"/>
    </row>
    <row r="13029" spans="5:25">
      <c r="E13029"/>
      <c r="G13029"/>
      <c r="H13029"/>
      <c r="I13029"/>
      <c r="K13029"/>
      <c r="O13029"/>
      <c r="R13029"/>
      <c r="W13029" s="4"/>
      <c r="X13029" s="4"/>
      <c r="Y13029" s="4"/>
    </row>
    <row r="13030" spans="5:25">
      <c r="E13030"/>
      <c r="G13030"/>
      <c r="H13030"/>
      <c r="I13030"/>
      <c r="K13030"/>
      <c r="O13030"/>
      <c r="R13030"/>
      <c r="W13030" s="4"/>
      <c r="X13030" s="4"/>
      <c r="Y13030" s="4"/>
    </row>
    <row r="13031" spans="5:25">
      <c r="E13031"/>
      <c r="G13031"/>
      <c r="H13031"/>
      <c r="I13031"/>
      <c r="K13031"/>
      <c r="O13031"/>
      <c r="R13031"/>
      <c r="W13031" s="4"/>
      <c r="X13031" s="4"/>
      <c r="Y13031" s="4"/>
    </row>
    <row r="13032" spans="5:25">
      <c r="E13032"/>
      <c r="G13032"/>
      <c r="H13032"/>
      <c r="I13032"/>
      <c r="K13032"/>
      <c r="O13032"/>
      <c r="R13032"/>
      <c r="W13032" s="4"/>
      <c r="X13032" s="4"/>
      <c r="Y13032" s="4"/>
    </row>
    <row r="13033" spans="5:25">
      <c r="E13033"/>
      <c r="G13033"/>
      <c r="H13033"/>
      <c r="I13033"/>
      <c r="K13033"/>
      <c r="O13033"/>
      <c r="R13033"/>
      <c r="W13033" s="4"/>
      <c r="X13033" s="4"/>
      <c r="Y13033" s="4"/>
    </row>
    <row r="13034" spans="5:25">
      <c r="E13034"/>
      <c r="G13034"/>
      <c r="H13034"/>
      <c r="I13034"/>
      <c r="K13034"/>
      <c r="O13034"/>
      <c r="R13034"/>
      <c r="W13034" s="4"/>
      <c r="X13034" s="4"/>
      <c r="Y13034" s="4"/>
    </row>
    <row r="13035" spans="5:25">
      <c r="E13035"/>
      <c r="G13035"/>
      <c r="H13035"/>
      <c r="I13035"/>
      <c r="K13035"/>
      <c r="O13035"/>
      <c r="R13035"/>
      <c r="W13035" s="4"/>
      <c r="X13035" s="4"/>
      <c r="Y13035" s="4"/>
    </row>
    <row r="13036" spans="5:25">
      <c r="E13036"/>
      <c r="G13036"/>
      <c r="H13036"/>
      <c r="I13036"/>
      <c r="K13036"/>
      <c r="O13036"/>
      <c r="R13036"/>
      <c r="W13036" s="4"/>
      <c r="X13036" s="4"/>
      <c r="Y13036" s="4"/>
    </row>
    <row r="13037" spans="5:25">
      <c r="E13037"/>
      <c r="G13037"/>
      <c r="H13037"/>
      <c r="I13037"/>
      <c r="K13037"/>
      <c r="O13037"/>
      <c r="R13037"/>
      <c r="W13037" s="4"/>
      <c r="X13037" s="4"/>
      <c r="Y13037" s="4"/>
    </row>
    <row r="13038" spans="5:25">
      <c r="E13038"/>
      <c r="G13038"/>
      <c r="H13038"/>
      <c r="I13038"/>
      <c r="K13038"/>
      <c r="O13038"/>
      <c r="R13038"/>
      <c r="W13038" s="4"/>
      <c r="X13038" s="4"/>
      <c r="Y13038" s="4"/>
    </row>
    <row r="13039" spans="5:25">
      <c r="E13039"/>
      <c r="G13039"/>
      <c r="H13039"/>
      <c r="I13039"/>
      <c r="K13039"/>
      <c r="O13039"/>
      <c r="R13039"/>
      <c r="W13039" s="4"/>
      <c r="X13039" s="4"/>
      <c r="Y13039" s="4"/>
    </row>
    <row r="13040" spans="5:25">
      <c r="E13040"/>
      <c r="G13040"/>
      <c r="H13040"/>
      <c r="I13040"/>
      <c r="K13040"/>
      <c r="O13040"/>
      <c r="R13040"/>
      <c r="W13040" s="4"/>
      <c r="X13040" s="4"/>
      <c r="Y13040" s="4"/>
    </row>
    <row r="13041" spans="5:25">
      <c r="E13041"/>
      <c r="G13041"/>
      <c r="H13041"/>
      <c r="I13041"/>
      <c r="K13041"/>
      <c r="O13041"/>
      <c r="R13041"/>
      <c r="W13041" s="4"/>
      <c r="X13041" s="4"/>
      <c r="Y13041" s="4"/>
    </row>
    <row r="13042" spans="5:25">
      <c r="E13042"/>
      <c r="G13042"/>
      <c r="H13042"/>
      <c r="I13042"/>
      <c r="K13042"/>
      <c r="O13042"/>
      <c r="R13042"/>
      <c r="W13042" s="4"/>
      <c r="X13042" s="4"/>
      <c r="Y13042" s="4"/>
    </row>
    <row r="13043" spans="5:25">
      <c r="E13043"/>
      <c r="G13043"/>
      <c r="H13043"/>
      <c r="I13043"/>
      <c r="K13043"/>
      <c r="O13043"/>
      <c r="R13043"/>
      <c r="W13043" s="4"/>
      <c r="X13043" s="4"/>
      <c r="Y13043" s="4"/>
    </row>
    <row r="13044" spans="5:25">
      <c r="E13044"/>
      <c r="G13044"/>
      <c r="H13044"/>
      <c r="I13044"/>
      <c r="K13044"/>
      <c r="O13044"/>
      <c r="R13044"/>
      <c r="W13044" s="4"/>
      <c r="X13044" s="4"/>
      <c r="Y13044" s="4"/>
    </row>
    <row r="13045" spans="5:25">
      <c r="E13045"/>
      <c r="G13045"/>
      <c r="H13045"/>
      <c r="I13045"/>
      <c r="K13045"/>
      <c r="O13045"/>
      <c r="R13045"/>
      <c r="W13045" s="4"/>
      <c r="X13045" s="4"/>
      <c r="Y13045" s="4"/>
    </row>
    <row r="13046" spans="5:25">
      <c r="E13046"/>
      <c r="G13046"/>
      <c r="H13046"/>
      <c r="I13046"/>
      <c r="K13046"/>
      <c r="O13046"/>
      <c r="R13046"/>
      <c r="W13046" s="4"/>
      <c r="X13046" s="4"/>
      <c r="Y13046" s="4"/>
    </row>
    <row r="13047" spans="5:25">
      <c r="E13047"/>
      <c r="G13047"/>
      <c r="H13047"/>
      <c r="I13047"/>
      <c r="K13047"/>
      <c r="O13047"/>
      <c r="R13047"/>
      <c r="W13047" s="4"/>
      <c r="X13047" s="4"/>
      <c r="Y13047" s="4"/>
    </row>
    <row r="13048" spans="5:25">
      <c r="E13048"/>
      <c r="G13048"/>
      <c r="H13048"/>
      <c r="I13048"/>
      <c r="K13048"/>
      <c r="O13048"/>
      <c r="R13048"/>
      <c r="W13048" s="4"/>
      <c r="X13048" s="4"/>
      <c r="Y13048" s="4"/>
    </row>
    <row r="13049" spans="5:25">
      <c r="E13049"/>
      <c r="G13049"/>
      <c r="H13049"/>
      <c r="I13049"/>
      <c r="K13049"/>
      <c r="O13049"/>
      <c r="R13049"/>
      <c r="W13049" s="4"/>
      <c r="X13049" s="4"/>
      <c r="Y13049" s="4"/>
    </row>
    <row r="13050" spans="5:25">
      <c r="E13050"/>
      <c r="G13050"/>
      <c r="H13050"/>
      <c r="I13050"/>
      <c r="K13050"/>
      <c r="O13050"/>
      <c r="R13050"/>
      <c r="W13050" s="4"/>
      <c r="X13050" s="4"/>
      <c r="Y13050" s="4"/>
    </row>
    <row r="13051" spans="5:25">
      <c r="E13051"/>
      <c r="G13051"/>
      <c r="H13051"/>
      <c r="I13051"/>
      <c r="K13051"/>
      <c r="O13051"/>
      <c r="R13051"/>
      <c r="W13051" s="4"/>
      <c r="X13051" s="4"/>
      <c r="Y13051" s="4"/>
    </row>
    <row r="13052" spans="5:25">
      <c r="E13052"/>
      <c r="G13052"/>
      <c r="H13052"/>
      <c r="I13052"/>
      <c r="K13052"/>
      <c r="O13052"/>
      <c r="R13052"/>
      <c r="W13052" s="4"/>
      <c r="X13052" s="4"/>
      <c r="Y13052" s="4"/>
    </row>
    <row r="13053" spans="5:25">
      <c r="E13053"/>
      <c r="G13053"/>
      <c r="H13053"/>
      <c r="I13053"/>
      <c r="K13053"/>
      <c r="O13053"/>
      <c r="R13053"/>
      <c r="W13053" s="4"/>
      <c r="X13053" s="4"/>
      <c r="Y13053" s="4"/>
    </row>
    <row r="13054" spans="5:25">
      <c r="E13054"/>
      <c r="G13054"/>
      <c r="H13054"/>
      <c r="I13054"/>
      <c r="K13054"/>
      <c r="O13054"/>
      <c r="R13054"/>
      <c r="W13054" s="4"/>
      <c r="X13054" s="4"/>
      <c r="Y13054" s="4"/>
    </row>
    <row r="13055" spans="5:25">
      <c r="E13055"/>
      <c r="G13055"/>
      <c r="H13055"/>
      <c r="I13055"/>
      <c r="K13055"/>
      <c r="O13055"/>
      <c r="R13055"/>
      <c r="W13055" s="4"/>
      <c r="X13055" s="4"/>
      <c r="Y13055" s="4"/>
    </row>
    <row r="13056" spans="5:25">
      <c r="E13056"/>
      <c r="G13056"/>
      <c r="H13056"/>
      <c r="I13056"/>
      <c r="K13056"/>
      <c r="O13056"/>
      <c r="R13056"/>
      <c r="W13056" s="4"/>
      <c r="X13056" s="4"/>
      <c r="Y13056" s="4"/>
    </row>
    <row r="13057" spans="5:25">
      <c r="E13057"/>
      <c r="G13057"/>
      <c r="H13057"/>
      <c r="I13057"/>
      <c r="K13057"/>
      <c r="O13057"/>
      <c r="R13057"/>
      <c r="W13057" s="4"/>
      <c r="X13057" s="4"/>
      <c r="Y13057" s="4"/>
    </row>
    <row r="13058" spans="5:25">
      <c r="E13058"/>
      <c r="G13058"/>
      <c r="H13058"/>
      <c r="I13058"/>
      <c r="K13058"/>
      <c r="O13058"/>
      <c r="R13058"/>
      <c r="W13058" s="4"/>
      <c r="X13058" s="4"/>
      <c r="Y13058" s="4"/>
    </row>
    <row r="13059" spans="5:25">
      <c r="E13059"/>
      <c r="G13059"/>
      <c r="H13059"/>
      <c r="I13059"/>
      <c r="K13059"/>
      <c r="O13059"/>
      <c r="R13059"/>
      <c r="W13059" s="4"/>
      <c r="X13059" s="4"/>
      <c r="Y13059" s="4"/>
    </row>
    <row r="13060" spans="5:25">
      <c r="E13060"/>
      <c r="G13060"/>
      <c r="H13060"/>
      <c r="I13060"/>
      <c r="K13060"/>
      <c r="O13060"/>
      <c r="R13060"/>
      <c r="W13060" s="4"/>
      <c r="X13060" s="4"/>
      <c r="Y13060" s="4"/>
    </row>
    <row r="13061" spans="5:25">
      <c r="E13061"/>
      <c r="G13061"/>
      <c r="H13061"/>
      <c r="I13061"/>
      <c r="K13061"/>
      <c r="O13061"/>
      <c r="R13061"/>
      <c r="W13061" s="4"/>
      <c r="X13061" s="4"/>
      <c r="Y13061" s="4"/>
    </row>
    <row r="13062" spans="5:25">
      <c r="E13062"/>
      <c r="G13062"/>
      <c r="H13062"/>
      <c r="I13062"/>
      <c r="K13062"/>
      <c r="O13062"/>
      <c r="R13062"/>
      <c r="W13062" s="4"/>
      <c r="X13062" s="4"/>
      <c r="Y13062" s="4"/>
    </row>
    <row r="13063" spans="5:25">
      <c r="E13063"/>
      <c r="G13063"/>
      <c r="H13063"/>
      <c r="I13063"/>
      <c r="K13063"/>
      <c r="O13063"/>
      <c r="R13063"/>
      <c r="W13063" s="4"/>
      <c r="X13063" s="4"/>
      <c r="Y13063" s="4"/>
    </row>
    <row r="13064" spans="5:25">
      <c r="E13064"/>
      <c r="G13064"/>
      <c r="H13064"/>
      <c r="I13064"/>
      <c r="K13064"/>
      <c r="O13064"/>
      <c r="R13064"/>
      <c r="W13064" s="4"/>
      <c r="X13064" s="4"/>
      <c r="Y13064" s="4"/>
    </row>
    <row r="13065" spans="5:25">
      <c r="E13065"/>
      <c r="G13065"/>
      <c r="H13065"/>
      <c r="I13065"/>
      <c r="K13065"/>
      <c r="O13065"/>
      <c r="R13065"/>
      <c r="W13065" s="4"/>
      <c r="X13065" s="4"/>
      <c r="Y13065" s="4"/>
    </row>
    <row r="13066" spans="5:25">
      <c r="E13066"/>
      <c r="G13066"/>
      <c r="H13066"/>
      <c r="I13066"/>
      <c r="K13066"/>
      <c r="O13066"/>
      <c r="R13066"/>
      <c r="W13066" s="4"/>
      <c r="X13066" s="4"/>
      <c r="Y13066" s="4"/>
    </row>
    <row r="13067" spans="5:25">
      <c r="E13067"/>
      <c r="G13067"/>
      <c r="H13067"/>
      <c r="I13067"/>
      <c r="K13067"/>
      <c r="O13067"/>
      <c r="R13067"/>
      <c r="W13067" s="4"/>
      <c r="X13067" s="4"/>
      <c r="Y13067" s="4"/>
    </row>
    <row r="13068" spans="5:25">
      <c r="E13068"/>
      <c r="G13068"/>
      <c r="H13068"/>
      <c r="I13068"/>
      <c r="K13068"/>
      <c r="O13068"/>
      <c r="R13068"/>
      <c r="W13068" s="4"/>
      <c r="X13068" s="4"/>
      <c r="Y13068" s="4"/>
    </row>
    <row r="13069" spans="5:25">
      <c r="E13069"/>
      <c r="G13069"/>
      <c r="H13069"/>
      <c r="I13069"/>
      <c r="K13069"/>
      <c r="O13069"/>
      <c r="R13069"/>
      <c r="W13069" s="4"/>
      <c r="X13069" s="4"/>
      <c r="Y13069" s="4"/>
    </row>
    <row r="13070" spans="5:25">
      <c r="E13070"/>
      <c r="G13070"/>
      <c r="H13070"/>
      <c r="I13070"/>
      <c r="K13070"/>
      <c r="O13070"/>
      <c r="R13070"/>
      <c r="W13070" s="4"/>
      <c r="X13070" s="4"/>
      <c r="Y13070" s="4"/>
    </row>
    <row r="13071" spans="5:25">
      <c r="E13071"/>
      <c r="G13071"/>
      <c r="H13071"/>
      <c r="I13071"/>
      <c r="K13071"/>
      <c r="O13071"/>
      <c r="R13071"/>
      <c r="W13071" s="4"/>
      <c r="X13071" s="4"/>
      <c r="Y13071" s="4"/>
    </row>
    <row r="13072" spans="5:25">
      <c r="E13072"/>
      <c r="G13072"/>
      <c r="H13072"/>
      <c r="I13072"/>
      <c r="K13072"/>
      <c r="O13072"/>
      <c r="R13072"/>
      <c r="W13072" s="4"/>
      <c r="X13072" s="4"/>
      <c r="Y13072" s="4"/>
    </row>
    <row r="13073" spans="5:25">
      <c r="E13073"/>
      <c r="G13073"/>
      <c r="H13073"/>
      <c r="I13073"/>
      <c r="K13073"/>
      <c r="O13073"/>
      <c r="R13073"/>
      <c r="W13073" s="4"/>
      <c r="X13073" s="4"/>
      <c r="Y13073" s="4"/>
    </row>
    <row r="13074" spans="5:25">
      <c r="E13074"/>
      <c r="G13074"/>
      <c r="H13074"/>
      <c r="I13074"/>
      <c r="K13074"/>
      <c r="O13074"/>
      <c r="R13074"/>
      <c r="W13074" s="4"/>
      <c r="X13074" s="4"/>
      <c r="Y13074" s="4"/>
    </row>
    <row r="13075" spans="5:25">
      <c r="E13075"/>
      <c r="G13075"/>
      <c r="H13075"/>
      <c r="I13075"/>
      <c r="K13075"/>
      <c r="O13075"/>
      <c r="R13075"/>
      <c r="W13075" s="4"/>
      <c r="X13075" s="4"/>
      <c r="Y13075" s="4"/>
    </row>
    <row r="13076" spans="5:25">
      <c r="E13076"/>
      <c r="G13076"/>
      <c r="H13076"/>
      <c r="I13076"/>
      <c r="K13076"/>
      <c r="O13076"/>
      <c r="R13076"/>
      <c r="W13076" s="4"/>
      <c r="X13076" s="4"/>
      <c r="Y13076" s="4"/>
    </row>
    <row r="13077" spans="5:25">
      <c r="E13077"/>
      <c r="G13077"/>
      <c r="H13077"/>
      <c r="I13077"/>
      <c r="K13077"/>
      <c r="O13077"/>
      <c r="R13077"/>
      <c r="W13077" s="4"/>
      <c r="X13077" s="4"/>
      <c r="Y13077" s="4"/>
    </row>
    <row r="13078" spans="5:25">
      <c r="E13078"/>
      <c r="G13078"/>
      <c r="H13078"/>
      <c r="I13078"/>
      <c r="K13078"/>
      <c r="O13078"/>
      <c r="R13078"/>
      <c r="W13078" s="4"/>
      <c r="X13078" s="4"/>
      <c r="Y13078" s="4"/>
    </row>
    <row r="13079" spans="5:25">
      <c r="E13079"/>
      <c r="G13079"/>
      <c r="H13079"/>
      <c r="I13079"/>
      <c r="K13079"/>
      <c r="O13079"/>
      <c r="R13079"/>
      <c r="W13079" s="4"/>
      <c r="X13079" s="4"/>
      <c r="Y13079" s="4"/>
    </row>
    <row r="13080" spans="5:25">
      <c r="E13080"/>
      <c r="G13080"/>
      <c r="H13080"/>
      <c r="I13080"/>
      <c r="K13080"/>
      <c r="O13080"/>
      <c r="R13080"/>
      <c r="W13080" s="4"/>
      <c r="X13080" s="4"/>
      <c r="Y13080" s="4"/>
    </row>
    <row r="13081" spans="5:25">
      <c r="E13081"/>
      <c r="G13081"/>
      <c r="H13081"/>
      <c r="I13081"/>
      <c r="K13081"/>
      <c r="O13081"/>
      <c r="R13081"/>
      <c r="W13081" s="4"/>
      <c r="X13081" s="4"/>
      <c r="Y13081" s="4"/>
    </row>
    <row r="13082" spans="5:25">
      <c r="E13082"/>
      <c r="G13082"/>
      <c r="H13082"/>
      <c r="I13082"/>
      <c r="K13082"/>
      <c r="O13082"/>
      <c r="R13082"/>
      <c r="W13082" s="4"/>
      <c r="X13082" s="4"/>
      <c r="Y13082" s="4"/>
    </row>
    <row r="13083" spans="5:25">
      <c r="E13083"/>
      <c r="G13083"/>
      <c r="H13083"/>
      <c r="I13083"/>
      <c r="K13083"/>
      <c r="O13083"/>
      <c r="R13083"/>
      <c r="W13083" s="4"/>
      <c r="X13083" s="4"/>
      <c r="Y13083" s="4"/>
    </row>
    <row r="13084" spans="5:25">
      <c r="E13084"/>
      <c r="G13084"/>
      <c r="H13084"/>
      <c r="I13084"/>
      <c r="K13084"/>
      <c r="O13084"/>
      <c r="R13084"/>
      <c r="W13084" s="4"/>
      <c r="X13084" s="4"/>
      <c r="Y13084" s="4"/>
    </row>
    <row r="13085" spans="5:25">
      <c r="E13085"/>
      <c r="G13085"/>
      <c r="H13085"/>
      <c r="I13085"/>
      <c r="K13085"/>
      <c r="O13085"/>
      <c r="R13085"/>
      <c r="W13085" s="4"/>
      <c r="X13085" s="4"/>
      <c r="Y13085" s="4"/>
    </row>
    <row r="13086" spans="5:25">
      <c r="E13086"/>
      <c r="G13086"/>
      <c r="H13086"/>
      <c r="I13086"/>
      <c r="K13086"/>
      <c r="O13086"/>
      <c r="R13086"/>
      <c r="W13086" s="4"/>
      <c r="X13086" s="4"/>
      <c r="Y13086" s="4"/>
    </row>
    <row r="13087" spans="5:25">
      <c r="E13087"/>
      <c r="G13087"/>
      <c r="H13087"/>
      <c r="I13087"/>
      <c r="K13087"/>
      <c r="O13087"/>
      <c r="R13087"/>
      <c r="W13087" s="4"/>
      <c r="X13087" s="4"/>
      <c r="Y13087" s="4"/>
    </row>
    <row r="13088" spans="5:25">
      <c r="E13088"/>
      <c r="G13088"/>
      <c r="H13088"/>
      <c r="I13088"/>
      <c r="K13088"/>
      <c r="O13088"/>
      <c r="R13088"/>
      <c r="W13088" s="4"/>
      <c r="X13088" s="4"/>
      <c r="Y13088" s="4"/>
    </row>
    <row r="13089" spans="5:25">
      <c r="E13089"/>
      <c r="G13089"/>
      <c r="H13089"/>
      <c r="I13089"/>
      <c r="K13089"/>
      <c r="O13089"/>
      <c r="R13089"/>
      <c r="W13089" s="4"/>
      <c r="X13089" s="4"/>
      <c r="Y13089" s="4"/>
    </row>
    <row r="13090" spans="5:25">
      <c r="E13090"/>
      <c r="G13090"/>
      <c r="H13090"/>
      <c r="I13090"/>
      <c r="K13090"/>
      <c r="O13090"/>
      <c r="R13090"/>
      <c r="W13090" s="4"/>
      <c r="X13090" s="4"/>
      <c r="Y13090" s="4"/>
    </row>
    <row r="13091" spans="5:25">
      <c r="E13091"/>
      <c r="G13091"/>
      <c r="H13091"/>
      <c r="I13091"/>
      <c r="K13091"/>
      <c r="O13091"/>
      <c r="R13091"/>
      <c r="W13091" s="4"/>
      <c r="X13091" s="4"/>
      <c r="Y13091" s="4"/>
    </row>
    <row r="13092" spans="5:25">
      <c r="E13092"/>
      <c r="G13092"/>
      <c r="H13092"/>
      <c r="I13092"/>
      <c r="K13092"/>
      <c r="O13092"/>
      <c r="R13092"/>
      <c r="W13092" s="4"/>
      <c r="X13092" s="4"/>
      <c r="Y13092" s="4"/>
    </row>
    <row r="13093" spans="5:25">
      <c r="E13093"/>
      <c r="G13093"/>
      <c r="H13093"/>
      <c r="I13093"/>
      <c r="K13093"/>
      <c r="O13093"/>
      <c r="R13093"/>
      <c r="W13093" s="4"/>
      <c r="X13093" s="4"/>
      <c r="Y13093" s="4"/>
    </row>
    <row r="13094" spans="5:25">
      <c r="E13094"/>
      <c r="G13094"/>
      <c r="H13094"/>
      <c r="I13094"/>
      <c r="K13094"/>
      <c r="O13094"/>
      <c r="R13094"/>
      <c r="W13094" s="4"/>
      <c r="X13094" s="4"/>
      <c r="Y13094" s="4"/>
    </row>
    <row r="13095" spans="5:25">
      <c r="E13095"/>
      <c r="G13095"/>
      <c r="H13095"/>
      <c r="I13095"/>
      <c r="K13095"/>
      <c r="O13095"/>
      <c r="R13095"/>
      <c r="W13095" s="4"/>
      <c r="X13095" s="4"/>
      <c r="Y13095" s="4"/>
    </row>
    <row r="13096" spans="5:25">
      <c r="E13096"/>
      <c r="G13096"/>
      <c r="H13096"/>
      <c r="I13096"/>
      <c r="K13096"/>
      <c r="O13096"/>
      <c r="R13096"/>
      <c r="W13096" s="4"/>
      <c r="X13096" s="4"/>
      <c r="Y13096" s="4"/>
    </row>
    <row r="13097" spans="5:25">
      <c r="E13097"/>
      <c r="G13097"/>
      <c r="H13097"/>
      <c r="I13097"/>
      <c r="K13097"/>
      <c r="O13097"/>
      <c r="R13097"/>
      <c r="W13097" s="4"/>
      <c r="X13097" s="4"/>
      <c r="Y13097" s="4"/>
    </row>
    <row r="13098" spans="5:25">
      <c r="E13098"/>
      <c r="G13098"/>
      <c r="H13098"/>
      <c r="I13098"/>
      <c r="K13098"/>
      <c r="O13098"/>
      <c r="R13098"/>
      <c r="W13098" s="4"/>
      <c r="X13098" s="4"/>
      <c r="Y13098" s="4"/>
    </row>
    <row r="13099" spans="5:25">
      <c r="E13099"/>
      <c r="G13099"/>
      <c r="H13099"/>
      <c r="I13099"/>
      <c r="K13099"/>
      <c r="O13099"/>
      <c r="R13099"/>
      <c r="W13099" s="4"/>
      <c r="X13099" s="4"/>
      <c r="Y13099" s="4"/>
    </row>
    <row r="13100" spans="5:25">
      <c r="E13100"/>
      <c r="G13100"/>
      <c r="H13100"/>
      <c r="I13100"/>
      <c r="K13100"/>
      <c r="O13100"/>
      <c r="R13100"/>
      <c r="W13100" s="4"/>
      <c r="X13100" s="4"/>
      <c r="Y13100" s="4"/>
    </row>
    <row r="13101" spans="5:25">
      <c r="E13101"/>
      <c r="G13101"/>
      <c r="H13101"/>
      <c r="I13101"/>
      <c r="K13101"/>
      <c r="O13101"/>
      <c r="R13101"/>
      <c r="W13101" s="4"/>
      <c r="X13101" s="4"/>
      <c r="Y13101" s="4"/>
    </row>
    <row r="13102" spans="5:25">
      <c r="E13102"/>
      <c r="G13102"/>
      <c r="H13102"/>
      <c r="I13102"/>
      <c r="K13102"/>
      <c r="O13102"/>
      <c r="R13102"/>
      <c r="W13102" s="4"/>
      <c r="X13102" s="4"/>
      <c r="Y13102" s="4"/>
    </row>
    <row r="13103" spans="5:25">
      <c r="E13103"/>
      <c r="G13103"/>
      <c r="H13103"/>
      <c r="I13103"/>
      <c r="K13103"/>
      <c r="O13103"/>
      <c r="R13103"/>
      <c r="W13103" s="4"/>
      <c r="X13103" s="4"/>
      <c r="Y13103" s="4"/>
    </row>
    <row r="13104" spans="5:25">
      <c r="E13104"/>
      <c r="G13104"/>
      <c r="H13104"/>
      <c r="I13104"/>
      <c r="K13104"/>
      <c r="O13104"/>
      <c r="R13104"/>
      <c r="W13104" s="4"/>
      <c r="X13104" s="4"/>
      <c r="Y13104" s="4"/>
    </row>
    <row r="13105" spans="5:25">
      <c r="E13105"/>
      <c r="G13105"/>
      <c r="H13105"/>
      <c r="I13105"/>
      <c r="K13105"/>
      <c r="O13105"/>
      <c r="R13105"/>
      <c r="W13105" s="4"/>
      <c r="X13105" s="4"/>
      <c r="Y13105" s="4"/>
    </row>
    <row r="13106" spans="5:25">
      <c r="E13106"/>
      <c r="G13106"/>
      <c r="H13106"/>
      <c r="I13106"/>
      <c r="K13106"/>
      <c r="O13106"/>
      <c r="R13106"/>
      <c r="W13106" s="4"/>
      <c r="X13106" s="4"/>
      <c r="Y13106" s="4"/>
    </row>
    <row r="13107" spans="5:25">
      <c r="E13107"/>
      <c r="G13107"/>
      <c r="H13107"/>
      <c r="I13107"/>
      <c r="K13107"/>
      <c r="O13107"/>
      <c r="R13107"/>
      <c r="W13107" s="4"/>
      <c r="X13107" s="4"/>
      <c r="Y13107" s="4"/>
    </row>
    <row r="13108" spans="5:25">
      <c r="E13108"/>
      <c r="G13108"/>
      <c r="H13108"/>
      <c r="I13108"/>
      <c r="K13108"/>
      <c r="O13108"/>
      <c r="R13108"/>
      <c r="W13108" s="4"/>
      <c r="X13108" s="4"/>
      <c r="Y13108" s="4"/>
    </row>
    <row r="13109" spans="5:25">
      <c r="E13109"/>
      <c r="G13109"/>
      <c r="H13109"/>
      <c r="I13109"/>
      <c r="K13109"/>
      <c r="O13109"/>
      <c r="R13109"/>
      <c r="W13109" s="4"/>
      <c r="X13109" s="4"/>
      <c r="Y13109" s="4"/>
    </row>
    <row r="13110" spans="5:25">
      <c r="E13110"/>
      <c r="G13110"/>
      <c r="H13110"/>
      <c r="I13110"/>
      <c r="K13110"/>
      <c r="O13110"/>
      <c r="R13110"/>
      <c r="W13110" s="4"/>
      <c r="X13110" s="4"/>
      <c r="Y13110" s="4"/>
    </row>
    <row r="13111" spans="5:25">
      <c r="E13111"/>
      <c r="G13111"/>
      <c r="H13111"/>
      <c r="I13111"/>
      <c r="K13111"/>
      <c r="O13111"/>
      <c r="R13111"/>
      <c r="W13111" s="4"/>
      <c r="X13111" s="4"/>
      <c r="Y13111" s="4"/>
    </row>
    <row r="13112" spans="5:25">
      <c r="E13112"/>
      <c r="G13112"/>
      <c r="H13112"/>
      <c r="I13112"/>
      <c r="K13112"/>
      <c r="O13112"/>
      <c r="R13112"/>
      <c r="W13112" s="4"/>
      <c r="X13112" s="4"/>
      <c r="Y13112" s="4"/>
    </row>
    <row r="13113" spans="5:25">
      <c r="E13113"/>
      <c r="G13113"/>
      <c r="H13113"/>
      <c r="I13113"/>
      <c r="K13113"/>
      <c r="O13113"/>
      <c r="R13113"/>
      <c r="W13113" s="4"/>
      <c r="X13113" s="4"/>
      <c r="Y13113" s="4"/>
    </row>
    <row r="13114" spans="5:25">
      <c r="E13114"/>
      <c r="G13114"/>
      <c r="H13114"/>
      <c r="I13114"/>
      <c r="K13114"/>
      <c r="O13114"/>
      <c r="R13114"/>
      <c r="W13114" s="4"/>
      <c r="X13114" s="4"/>
      <c r="Y13114" s="4"/>
    </row>
    <row r="13115" spans="5:25">
      <c r="E13115"/>
      <c r="G13115"/>
      <c r="H13115"/>
      <c r="I13115"/>
      <c r="K13115"/>
      <c r="O13115"/>
      <c r="R13115"/>
      <c r="W13115" s="4"/>
      <c r="X13115" s="4"/>
      <c r="Y13115" s="4"/>
    </row>
    <row r="13116" spans="5:25">
      <c r="E13116"/>
      <c r="G13116"/>
      <c r="H13116"/>
      <c r="I13116"/>
      <c r="K13116"/>
      <c r="O13116"/>
      <c r="R13116"/>
      <c r="W13116" s="4"/>
      <c r="X13116" s="4"/>
      <c r="Y13116" s="4"/>
    </row>
    <row r="13117" spans="5:25">
      <c r="E13117"/>
      <c r="G13117"/>
      <c r="H13117"/>
      <c r="I13117"/>
      <c r="K13117"/>
      <c r="O13117"/>
      <c r="R13117"/>
      <c r="W13117" s="4"/>
      <c r="X13117" s="4"/>
      <c r="Y13117" s="4"/>
    </row>
    <row r="13118" spans="5:25">
      <c r="E13118"/>
      <c r="G13118"/>
      <c r="H13118"/>
      <c r="I13118"/>
      <c r="K13118"/>
      <c r="O13118"/>
      <c r="R13118"/>
      <c r="W13118" s="4"/>
      <c r="X13118" s="4"/>
      <c r="Y13118" s="4"/>
    </row>
    <row r="13119" spans="5:25">
      <c r="E13119"/>
      <c r="G13119"/>
      <c r="H13119"/>
      <c r="I13119"/>
      <c r="K13119"/>
      <c r="O13119"/>
      <c r="R13119"/>
      <c r="W13119" s="4"/>
      <c r="X13119" s="4"/>
      <c r="Y13119" s="4"/>
    </row>
    <row r="13120" spans="5:25">
      <c r="E13120"/>
      <c r="G13120"/>
      <c r="H13120"/>
      <c r="I13120"/>
      <c r="K13120"/>
      <c r="O13120"/>
      <c r="R13120"/>
      <c r="W13120" s="4"/>
      <c r="X13120" s="4"/>
      <c r="Y13120" s="4"/>
    </row>
    <row r="13121" spans="5:25">
      <c r="E13121"/>
      <c r="G13121"/>
      <c r="H13121"/>
      <c r="I13121"/>
      <c r="K13121"/>
      <c r="O13121"/>
      <c r="R13121"/>
      <c r="W13121" s="4"/>
      <c r="X13121" s="4"/>
      <c r="Y13121" s="4"/>
    </row>
    <row r="13122" spans="5:25">
      <c r="E13122"/>
      <c r="G13122"/>
      <c r="H13122"/>
      <c r="I13122"/>
      <c r="K13122"/>
      <c r="O13122"/>
      <c r="R13122"/>
      <c r="W13122" s="4"/>
      <c r="X13122" s="4"/>
      <c r="Y13122" s="4"/>
    </row>
    <row r="13123" spans="5:25">
      <c r="E13123"/>
      <c r="G13123"/>
      <c r="H13123"/>
      <c r="I13123"/>
      <c r="K13123"/>
      <c r="O13123"/>
      <c r="R13123"/>
      <c r="W13123" s="4"/>
      <c r="X13123" s="4"/>
      <c r="Y13123" s="4"/>
    </row>
    <row r="13124" spans="5:25">
      <c r="E13124"/>
      <c r="G13124"/>
      <c r="H13124"/>
      <c r="I13124"/>
      <c r="K13124"/>
      <c r="O13124"/>
      <c r="R13124"/>
      <c r="W13124" s="4"/>
      <c r="X13124" s="4"/>
      <c r="Y13124" s="4"/>
    </row>
    <row r="13125" spans="5:25">
      <c r="E13125"/>
      <c r="G13125"/>
      <c r="H13125"/>
      <c r="I13125"/>
      <c r="K13125"/>
      <c r="O13125"/>
      <c r="R13125"/>
      <c r="W13125" s="4"/>
      <c r="X13125" s="4"/>
      <c r="Y13125" s="4"/>
    </row>
    <row r="13126" spans="5:25">
      <c r="E13126"/>
      <c r="G13126"/>
      <c r="H13126"/>
      <c r="I13126"/>
      <c r="K13126"/>
      <c r="O13126"/>
      <c r="R13126"/>
      <c r="W13126" s="4"/>
      <c r="X13126" s="4"/>
      <c r="Y13126" s="4"/>
    </row>
    <row r="13127" spans="5:25">
      <c r="E13127"/>
      <c r="G13127"/>
      <c r="H13127"/>
      <c r="I13127"/>
      <c r="K13127"/>
      <c r="O13127"/>
      <c r="R13127"/>
      <c r="W13127" s="4"/>
      <c r="X13127" s="4"/>
      <c r="Y13127" s="4"/>
    </row>
    <row r="13128" spans="5:25">
      <c r="E13128"/>
      <c r="G13128"/>
      <c r="H13128"/>
      <c r="I13128"/>
      <c r="K13128"/>
      <c r="O13128"/>
      <c r="R13128"/>
      <c r="W13128" s="4"/>
      <c r="X13128" s="4"/>
      <c r="Y13128" s="4"/>
    </row>
    <row r="13129" spans="5:25">
      <c r="E13129"/>
      <c r="G13129"/>
      <c r="H13129"/>
      <c r="I13129"/>
      <c r="K13129"/>
      <c r="O13129"/>
      <c r="R13129"/>
      <c r="W13129" s="4"/>
      <c r="X13129" s="4"/>
      <c r="Y13129" s="4"/>
    </row>
    <row r="13130" spans="5:25">
      <c r="E13130"/>
      <c r="G13130"/>
      <c r="H13130"/>
      <c r="I13130"/>
      <c r="K13130"/>
      <c r="O13130"/>
      <c r="R13130"/>
      <c r="W13130" s="4"/>
      <c r="X13130" s="4"/>
      <c r="Y13130" s="4"/>
    </row>
    <row r="13131" spans="5:25">
      <c r="E13131"/>
      <c r="G13131"/>
      <c r="H13131"/>
      <c r="I13131"/>
      <c r="K13131"/>
      <c r="O13131"/>
      <c r="R13131"/>
      <c r="W13131" s="4"/>
      <c r="X13131" s="4"/>
      <c r="Y13131" s="4"/>
    </row>
    <row r="13132" spans="5:25">
      <c r="E13132"/>
      <c r="G13132"/>
      <c r="H13132"/>
      <c r="I13132"/>
      <c r="K13132"/>
      <c r="O13132"/>
      <c r="R13132"/>
      <c r="W13132" s="4"/>
      <c r="X13132" s="4"/>
      <c r="Y13132" s="4"/>
    </row>
    <row r="13133" spans="5:25">
      <c r="E13133"/>
      <c r="G13133"/>
      <c r="H13133"/>
      <c r="I13133"/>
      <c r="K13133"/>
      <c r="O13133"/>
      <c r="R13133"/>
      <c r="W13133" s="4"/>
      <c r="X13133" s="4"/>
      <c r="Y13133" s="4"/>
    </row>
    <row r="13134" spans="5:25">
      <c r="E13134"/>
      <c r="G13134"/>
      <c r="H13134"/>
      <c r="I13134"/>
      <c r="K13134"/>
      <c r="O13134"/>
      <c r="R13134"/>
      <c r="W13134" s="4"/>
      <c r="X13134" s="4"/>
      <c r="Y13134" s="4"/>
    </row>
    <row r="13135" spans="5:25">
      <c r="E13135"/>
      <c r="G13135"/>
      <c r="H13135"/>
      <c r="I13135"/>
      <c r="K13135"/>
      <c r="O13135"/>
      <c r="R13135"/>
      <c r="W13135" s="4"/>
      <c r="X13135" s="4"/>
      <c r="Y13135" s="4"/>
    </row>
    <row r="13136" spans="5:25">
      <c r="E13136"/>
      <c r="G13136"/>
      <c r="H13136"/>
      <c r="I13136"/>
      <c r="K13136"/>
      <c r="O13136"/>
      <c r="R13136"/>
      <c r="W13136" s="4"/>
      <c r="X13136" s="4"/>
      <c r="Y13136" s="4"/>
    </row>
    <row r="13137" spans="5:25">
      <c r="E13137"/>
      <c r="G13137"/>
      <c r="H13137"/>
      <c r="I13137"/>
      <c r="K13137"/>
      <c r="O13137"/>
      <c r="R13137"/>
      <c r="W13137" s="4"/>
      <c r="X13137" s="4"/>
      <c r="Y13137" s="4"/>
    </row>
    <row r="13138" spans="5:25">
      <c r="E13138"/>
      <c r="G13138"/>
      <c r="H13138"/>
      <c r="I13138"/>
      <c r="K13138"/>
      <c r="O13138"/>
      <c r="R13138"/>
      <c r="W13138" s="4"/>
      <c r="X13138" s="4"/>
      <c r="Y13138" s="4"/>
    </row>
    <row r="13139" spans="5:25">
      <c r="E13139"/>
      <c r="G13139"/>
      <c r="H13139"/>
      <c r="I13139"/>
      <c r="K13139"/>
      <c r="O13139"/>
      <c r="R13139"/>
      <c r="W13139" s="4"/>
      <c r="X13139" s="4"/>
      <c r="Y13139" s="4"/>
    </row>
    <row r="13140" spans="5:25">
      <c r="E13140"/>
      <c r="G13140"/>
      <c r="H13140"/>
      <c r="I13140"/>
      <c r="K13140"/>
      <c r="O13140"/>
      <c r="R13140"/>
      <c r="W13140" s="4"/>
      <c r="X13140" s="4"/>
      <c r="Y13140" s="4"/>
    </row>
    <row r="13141" spans="5:25">
      <c r="E13141"/>
      <c r="G13141"/>
      <c r="H13141"/>
      <c r="I13141"/>
      <c r="K13141"/>
      <c r="O13141"/>
      <c r="R13141"/>
      <c r="W13141" s="4"/>
      <c r="X13141" s="4"/>
      <c r="Y13141" s="4"/>
    </row>
    <row r="13142" spans="5:25">
      <c r="E13142"/>
      <c r="G13142"/>
      <c r="H13142"/>
      <c r="I13142"/>
      <c r="K13142"/>
      <c r="O13142"/>
      <c r="R13142"/>
      <c r="W13142" s="4"/>
      <c r="X13142" s="4"/>
      <c r="Y13142" s="4"/>
    </row>
    <row r="13143" spans="5:25">
      <c r="E13143"/>
      <c r="G13143"/>
      <c r="H13143"/>
      <c r="I13143"/>
      <c r="K13143"/>
      <c r="O13143"/>
      <c r="R13143"/>
      <c r="W13143" s="4"/>
      <c r="X13143" s="4"/>
      <c r="Y13143" s="4"/>
    </row>
    <row r="13144" spans="5:25">
      <c r="E13144"/>
      <c r="G13144"/>
      <c r="H13144"/>
      <c r="I13144"/>
      <c r="K13144"/>
      <c r="O13144"/>
      <c r="R13144"/>
      <c r="W13144" s="4"/>
      <c r="X13144" s="4"/>
      <c r="Y13144" s="4"/>
    </row>
    <row r="13145" spans="5:25">
      <c r="E13145"/>
      <c r="G13145"/>
      <c r="H13145"/>
      <c r="I13145"/>
      <c r="K13145"/>
      <c r="O13145"/>
      <c r="R13145"/>
      <c r="W13145" s="4"/>
      <c r="X13145" s="4"/>
      <c r="Y13145" s="4"/>
    </row>
    <row r="13146" spans="5:25">
      <c r="E13146"/>
      <c r="G13146"/>
      <c r="H13146"/>
      <c r="I13146"/>
      <c r="K13146"/>
      <c r="O13146"/>
      <c r="R13146"/>
      <c r="W13146" s="4"/>
      <c r="X13146" s="4"/>
      <c r="Y13146" s="4"/>
    </row>
    <row r="13147" spans="5:25">
      <c r="E13147"/>
      <c r="G13147"/>
      <c r="H13147"/>
      <c r="I13147"/>
      <c r="K13147"/>
      <c r="O13147"/>
      <c r="R13147"/>
      <c r="W13147" s="4"/>
      <c r="X13147" s="4"/>
      <c r="Y13147" s="4"/>
    </row>
    <row r="13148" spans="5:25">
      <c r="E13148"/>
      <c r="G13148"/>
      <c r="H13148"/>
      <c r="I13148"/>
      <c r="K13148"/>
      <c r="O13148"/>
      <c r="R13148"/>
      <c r="W13148" s="4"/>
      <c r="X13148" s="4"/>
      <c r="Y13148" s="4"/>
    </row>
    <row r="13149" spans="5:25">
      <c r="E13149"/>
      <c r="G13149"/>
      <c r="H13149"/>
      <c r="I13149"/>
      <c r="K13149"/>
      <c r="O13149"/>
      <c r="R13149"/>
      <c r="W13149" s="4"/>
      <c r="X13149" s="4"/>
      <c r="Y13149" s="4"/>
    </row>
    <row r="13150" spans="5:25">
      <c r="E13150"/>
      <c r="G13150"/>
      <c r="H13150"/>
      <c r="I13150"/>
      <c r="K13150"/>
      <c r="O13150"/>
      <c r="R13150"/>
      <c r="W13150" s="4"/>
      <c r="X13150" s="4"/>
      <c r="Y13150" s="4"/>
    </row>
    <row r="13151" spans="5:25">
      <c r="E13151"/>
      <c r="G13151"/>
      <c r="H13151"/>
      <c r="I13151"/>
      <c r="K13151"/>
      <c r="O13151"/>
      <c r="R13151"/>
      <c r="W13151" s="4"/>
      <c r="X13151" s="4"/>
      <c r="Y13151" s="4"/>
    </row>
    <row r="13152" spans="5:25">
      <c r="E13152"/>
      <c r="G13152"/>
      <c r="H13152"/>
      <c r="I13152"/>
      <c r="K13152"/>
      <c r="O13152"/>
      <c r="R13152"/>
      <c r="W13152" s="4"/>
      <c r="X13152" s="4"/>
      <c r="Y13152" s="4"/>
    </row>
    <row r="13153" spans="5:25">
      <c r="E13153"/>
      <c r="G13153"/>
      <c r="H13153"/>
      <c r="I13153"/>
      <c r="K13153"/>
      <c r="O13153"/>
      <c r="R13153"/>
      <c r="W13153" s="4"/>
      <c r="X13153" s="4"/>
      <c r="Y13153" s="4"/>
    </row>
    <row r="13154" spans="5:25">
      <c r="E13154"/>
      <c r="G13154"/>
      <c r="H13154"/>
      <c r="I13154"/>
      <c r="K13154"/>
      <c r="O13154"/>
      <c r="R13154"/>
      <c r="W13154" s="4"/>
      <c r="X13154" s="4"/>
      <c r="Y13154" s="4"/>
    </row>
    <row r="13155" spans="5:25">
      <c r="E13155"/>
      <c r="G13155"/>
      <c r="H13155"/>
      <c r="I13155"/>
      <c r="K13155"/>
      <c r="O13155"/>
      <c r="R13155"/>
      <c r="W13155" s="4"/>
      <c r="X13155" s="4"/>
      <c r="Y13155" s="4"/>
    </row>
    <row r="13156" spans="5:25">
      <c r="E13156"/>
      <c r="G13156"/>
      <c r="H13156"/>
      <c r="I13156"/>
      <c r="K13156"/>
      <c r="O13156"/>
      <c r="R13156"/>
      <c r="W13156" s="4"/>
      <c r="X13156" s="4"/>
      <c r="Y13156" s="4"/>
    </row>
    <row r="13157" spans="5:25">
      <c r="E13157"/>
      <c r="G13157"/>
      <c r="H13157"/>
      <c r="I13157"/>
      <c r="K13157"/>
      <c r="O13157"/>
      <c r="R13157"/>
      <c r="W13157" s="4"/>
      <c r="X13157" s="4"/>
      <c r="Y13157" s="4"/>
    </row>
    <row r="13158" spans="5:25">
      <c r="E13158"/>
      <c r="G13158"/>
      <c r="H13158"/>
      <c r="I13158"/>
      <c r="K13158"/>
      <c r="O13158"/>
      <c r="R13158"/>
      <c r="W13158" s="4"/>
      <c r="X13158" s="4"/>
      <c r="Y13158" s="4"/>
    </row>
    <row r="13159" spans="5:25">
      <c r="E13159"/>
      <c r="G13159"/>
      <c r="H13159"/>
      <c r="I13159"/>
      <c r="K13159"/>
      <c r="O13159"/>
      <c r="R13159"/>
      <c r="W13159" s="4"/>
      <c r="X13159" s="4"/>
      <c r="Y13159" s="4"/>
    </row>
    <row r="13160" spans="5:25">
      <c r="E13160"/>
      <c r="G13160"/>
      <c r="H13160"/>
      <c r="I13160"/>
      <c r="K13160"/>
      <c r="O13160"/>
      <c r="R13160"/>
      <c r="W13160" s="4"/>
      <c r="X13160" s="4"/>
      <c r="Y13160" s="4"/>
    </row>
    <row r="13161" spans="5:25">
      <c r="E13161"/>
      <c r="G13161"/>
      <c r="H13161"/>
      <c r="I13161"/>
      <c r="K13161"/>
      <c r="O13161"/>
      <c r="R13161"/>
      <c r="W13161" s="4"/>
      <c r="X13161" s="4"/>
      <c r="Y13161" s="4"/>
    </row>
    <row r="13162" spans="5:25">
      <c r="E13162"/>
      <c r="G13162"/>
      <c r="H13162"/>
      <c r="I13162"/>
      <c r="K13162"/>
      <c r="O13162"/>
      <c r="R13162"/>
      <c r="W13162" s="4"/>
      <c r="X13162" s="4"/>
      <c r="Y13162" s="4"/>
    </row>
    <row r="13163" spans="5:25">
      <c r="E13163"/>
      <c r="G13163"/>
      <c r="H13163"/>
      <c r="I13163"/>
      <c r="K13163"/>
      <c r="O13163"/>
      <c r="R13163"/>
      <c r="W13163" s="4"/>
      <c r="X13163" s="4"/>
      <c r="Y13163" s="4"/>
    </row>
    <row r="13164" spans="5:25">
      <c r="E13164"/>
      <c r="G13164"/>
      <c r="H13164"/>
      <c r="I13164"/>
      <c r="K13164"/>
      <c r="O13164"/>
      <c r="R13164"/>
      <c r="W13164" s="4"/>
      <c r="X13164" s="4"/>
      <c r="Y13164" s="4"/>
    </row>
    <row r="13165" spans="5:25">
      <c r="E13165"/>
      <c r="G13165"/>
      <c r="H13165"/>
      <c r="I13165"/>
      <c r="K13165"/>
      <c r="O13165"/>
      <c r="R13165"/>
      <c r="W13165" s="4"/>
      <c r="X13165" s="4"/>
      <c r="Y13165" s="4"/>
    </row>
    <row r="13166" spans="5:25">
      <c r="E13166"/>
      <c r="G13166"/>
      <c r="H13166"/>
      <c r="I13166"/>
      <c r="K13166"/>
      <c r="O13166"/>
      <c r="R13166"/>
      <c r="W13166" s="4"/>
      <c r="X13166" s="4"/>
      <c r="Y13166" s="4"/>
    </row>
    <row r="13167" spans="5:25">
      <c r="E13167"/>
      <c r="G13167"/>
      <c r="H13167"/>
      <c r="I13167"/>
      <c r="K13167"/>
      <c r="O13167"/>
      <c r="R13167"/>
      <c r="W13167" s="4"/>
      <c r="X13167" s="4"/>
      <c r="Y13167" s="4"/>
    </row>
    <row r="13168" spans="5:25">
      <c r="E13168"/>
      <c r="G13168"/>
      <c r="H13168"/>
      <c r="I13168"/>
      <c r="K13168"/>
      <c r="O13168"/>
      <c r="R13168"/>
      <c r="W13168" s="4"/>
      <c r="X13168" s="4"/>
      <c r="Y13168" s="4"/>
    </row>
    <row r="13169" spans="5:25">
      <c r="E13169"/>
      <c r="G13169"/>
      <c r="H13169"/>
      <c r="I13169"/>
      <c r="K13169"/>
      <c r="O13169"/>
      <c r="R13169"/>
      <c r="W13169" s="4"/>
      <c r="X13169" s="4"/>
      <c r="Y13169" s="4"/>
    </row>
    <row r="13170" spans="5:25">
      <c r="E13170"/>
      <c r="G13170"/>
      <c r="H13170"/>
      <c r="I13170"/>
      <c r="K13170"/>
      <c r="O13170"/>
      <c r="R13170"/>
      <c r="W13170" s="4"/>
      <c r="X13170" s="4"/>
      <c r="Y13170" s="4"/>
    </row>
    <row r="13171" spans="5:25">
      <c r="E13171"/>
      <c r="G13171"/>
      <c r="H13171"/>
      <c r="I13171"/>
      <c r="K13171"/>
      <c r="O13171"/>
      <c r="R13171"/>
      <c r="W13171" s="4"/>
      <c r="X13171" s="4"/>
      <c r="Y13171" s="4"/>
    </row>
    <row r="13172" spans="5:25">
      <c r="E13172"/>
      <c r="G13172"/>
      <c r="H13172"/>
      <c r="I13172"/>
      <c r="K13172"/>
      <c r="O13172"/>
      <c r="R13172"/>
      <c r="W13172" s="4"/>
      <c r="X13172" s="4"/>
      <c r="Y13172" s="4"/>
    </row>
    <row r="13173" spans="5:25">
      <c r="E13173"/>
      <c r="G13173"/>
      <c r="H13173"/>
      <c r="I13173"/>
      <c r="K13173"/>
      <c r="O13173"/>
      <c r="R13173"/>
      <c r="W13173" s="4"/>
      <c r="X13173" s="4"/>
      <c r="Y13173" s="4"/>
    </row>
    <row r="13174" spans="5:25">
      <c r="E13174"/>
      <c r="G13174"/>
      <c r="H13174"/>
      <c r="I13174"/>
      <c r="K13174"/>
      <c r="O13174"/>
      <c r="R13174"/>
      <c r="W13174" s="4"/>
      <c r="X13174" s="4"/>
      <c r="Y13174" s="4"/>
    </row>
    <row r="13175" spans="5:25">
      <c r="E13175"/>
      <c r="G13175"/>
      <c r="H13175"/>
      <c r="I13175"/>
      <c r="K13175"/>
      <c r="O13175"/>
      <c r="R13175"/>
      <c r="W13175" s="4"/>
      <c r="X13175" s="4"/>
      <c r="Y13175" s="4"/>
    </row>
    <row r="13176" spans="5:25">
      <c r="E13176"/>
      <c r="G13176"/>
      <c r="H13176"/>
      <c r="I13176"/>
      <c r="K13176"/>
      <c r="O13176"/>
      <c r="R13176"/>
      <c r="W13176" s="4"/>
      <c r="X13176" s="4"/>
      <c r="Y13176" s="4"/>
    </row>
    <row r="13177" spans="5:25">
      <c r="E13177"/>
      <c r="G13177"/>
      <c r="H13177"/>
      <c r="I13177"/>
      <c r="K13177"/>
      <c r="O13177"/>
      <c r="R13177"/>
      <c r="W13177" s="4"/>
      <c r="X13177" s="4"/>
      <c r="Y13177" s="4"/>
    </row>
    <row r="13178" spans="5:25">
      <c r="E13178"/>
      <c r="G13178"/>
      <c r="H13178"/>
      <c r="I13178"/>
      <c r="K13178"/>
      <c r="O13178"/>
      <c r="R13178"/>
      <c r="W13178" s="4"/>
      <c r="X13178" s="4"/>
      <c r="Y13178" s="4"/>
    </row>
    <row r="13179" spans="5:25">
      <c r="E13179"/>
      <c r="G13179"/>
      <c r="H13179"/>
      <c r="I13179"/>
      <c r="K13179"/>
      <c r="O13179"/>
      <c r="R13179"/>
      <c r="W13179" s="4"/>
      <c r="X13179" s="4"/>
      <c r="Y13179" s="4"/>
    </row>
    <row r="13180" spans="5:25">
      <c r="E13180"/>
      <c r="G13180"/>
      <c r="H13180"/>
      <c r="I13180"/>
      <c r="K13180"/>
      <c r="O13180"/>
      <c r="R13180"/>
      <c r="W13180" s="4"/>
      <c r="X13180" s="4"/>
      <c r="Y13180" s="4"/>
    </row>
    <row r="13181" spans="5:25">
      <c r="E13181"/>
      <c r="G13181"/>
      <c r="H13181"/>
      <c r="I13181"/>
      <c r="K13181"/>
      <c r="O13181"/>
      <c r="R13181"/>
      <c r="W13181" s="4"/>
      <c r="X13181" s="4"/>
      <c r="Y13181" s="4"/>
    </row>
    <row r="13182" spans="5:25">
      <c r="E13182"/>
      <c r="G13182"/>
      <c r="H13182"/>
      <c r="I13182"/>
      <c r="K13182"/>
      <c r="O13182"/>
      <c r="R13182"/>
      <c r="W13182" s="4"/>
      <c r="X13182" s="4"/>
      <c r="Y13182" s="4"/>
    </row>
    <row r="13183" spans="5:25">
      <c r="E13183"/>
      <c r="G13183"/>
      <c r="H13183"/>
      <c r="I13183"/>
      <c r="K13183"/>
      <c r="O13183"/>
      <c r="R13183"/>
      <c r="W13183" s="4"/>
      <c r="X13183" s="4"/>
      <c r="Y13183" s="4"/>
    </row>
    <row r="13184" spans="5:25">
      <c r="E13184"/>
      <c r="G13184"/>
      <c r="H13184"/>
      <c r="I13184"/>
      <c r="K13184"/>
      <c r="O13184"/>
      <c r="R13184"/>
      <c r="W13184" s="4"/>
      <c r="X13184" s="4"/>
      <c r="Y13184" s="4"/>
    </row>
    <row r="13185" spans="5:25">
      <c r="E13185"/>
      <c r="G13185"/>
      <c r="H13185"/>
      <c r="I13185"/>
      <c r="K13185"/>
      <c r="O13185"/>
      <c r="R13185"/>
      <c r="W13185" s="4"/>
      <c r="X13185" s="4"/>
      <c r="Y13185" s="4"/>
    </row>
    <row r="13186" spans="5:25">
      <c r="E13186"/>
      <c r="G13186"/>
      <c r="H13186"/>
      <c r="I13186"/>
      <c r="K13186"/>
      <c r="O13186"/>
      <c r="R13186"/>
      <c r="W13186" s="4"/>
      <c r="X13186" s="4"/>
      <c r="Y13186" s="4"/>
    </row>
    <row r="13187" spans="5:25">
      <c r="E13187"/>
      <c r="G13187"/>
      <c r="H13187"/>
      <c r="I13187"/>
      <c r="K13187"/>
      <c r="O13187"/>
      <c r="R13187"/>
      <c r="W13187" s="4"/>
      <c r="X13187" s="4"/>
      <c r="Y13187" s="4"/>
    </row>
    <row r="13188" spans="5:25">
      <c r="E13188"/>
      <c r="G13188"/>
      <c r="H13188"/>
      <c r="I13188"/>
      <c r="K13188"/>
      <c r="O13188"/>
      <c r="R13188"/>
      <c r="W13188" s="4"/>
      <c r="X13188" s="4"/>
      <c r="Y13188" s="4"/>
    </row>
    <row r="13189" spans="5:25">
      <c r="E13189"/>
      <c r="G13189"/>
      <c r="H13189"/>
      <c r="I13189"/>
      <c r="K13189"/>
      <c r="O13189"/>
      <c r="R13189"/>
      <c r="W13189" s="4"/>
      <c r="X13189" s="4"/>
      <c r="Y13189" s="4"/>
    </row>
    <row r="13190" spans="5:25">
      <c r="E13190"/>
      <c r="G13190"/>
      <c r="H13190"/>
      <c r="I13190"/>
      <c r="K13190"/>
      <c r="O13190"/>
      <c r="R13190"/>
      <c r="W13190" s="4"/>
      <c r="X13190" s="4"/>
      <c r="Y13190" s="4"/>
    </row>
    <row r="13191" spans="5:25">
      <c r="E13191"/>
      <c r="G13191"/>
      <c r="H13191"/>
      <c r="I13191"/>
      <c r="K13191"/>
      <c r="O13191"/>
      <c r="R13191"/>
      <c r="W13191" s="4"/>
      <c r="X13191" s="4"/>
      <c r="Y13191" s="4"/>
    </row>
    <row r="13192" spans="5:25">
      <c r="E13192"/>
      <c r="G13192"/>
      <c r="H13192"/>
      <c r="I13192"/>
      <c r="K13192"/>
      <c r="O13192"/>
      <c r="R13192"/>
      <c r="W13192" s="4"/>
      <c r="X13192" s="4"/>
      <c r="Y13192" s="4"/>
    </row>
    <row r="13193" spans="5:25">
      <c r="E13193"/>
      <c r="G13193"/>
      <c r="H13193"/>
      <c r="I13193"/>
      <c r="K13193"/>
      <c r="O13193"/>
      <c r="R13193"/>
      <c r="W13193" s="4"/>
      <c r="X13193" s="4"/>
      <c r="Y13193" s="4"/>
    </row>
    <row r="13194" spans="5:25">
      <c r="E13194"/>
      <c r="G13194"/>
      <c r="H13194"/>
      <c r="I13194"/>
      <c r="K13194"/>
      <c r="O13194"/>
      <c r="R13194"/>
      <c r="W13194" s="4"/>
      <c r="X13194" s="4"/>
      <c r="Y13194" s="4"/>
    </row>
    <row r="13195" spans="5:25">
      <c r="E13195"/>
      <c r="G13195"/>
      <c r="H13195"/>
      <c r="I13195"/>
      <c r="K13195"/>
      <c r="O13195"/>
      <c r="R13195"/>
      <c r="W13195" s="4"/>
      <c r="X13195" s="4"/>
      <c r="Y13195" s="4"/>
    </row>
    <row r="13196" spans="5:25">
      <c r="E13196"/>
      <c r="G13196"/>
      <c r="H13196"/>
      <c r="I13196"/>
      <c r="K13196"/>
      <c r="O13196"/>
      <c r="R13196"/>
      <c r="W13196" s="4"/>
      <c r="X13196" s="4"/>
      <c r="Y13196" s="4"/>
    </row>
    <row r="13197" spans="5:25">
      <c r="E13197"/>
      <c r="G13197"/>
      <c r="H13197"/>
      <c r="I13197"/>
      <c r="K13197"/>
      <c r="O13197"/>
      <c r="R13197"/>
      <c r="W13197" s="4"/>
      <c r="X13197" s="4"/>
      <c r="Y13197" s="4"/>
    </row>
    <row r="13198" spans="5:25">
      <c r="E13198"/>
      <c r="G13198"/>
      <c r="H13198"/>
      <c r="I13198"/>
      <c r="K13198"/>
      <c r="O13198"/>
      <c r="R13198"/>
      <c r="W13198" s="4"/>
      <c r="X13198" s="4"/>
      <c r="Y13198" s="4"/>
    </row>
    <row r="13199" spans="5:25">
      <c r="E13199"/>
      <c r="G13199"/>
      <c r="H13199"/>
      <c r="I13199"/>
      <c r="K13199"/>
      <c r="O13199"/>
      <c r="R13199"/>
      <c r="W13199" s="4"/>
      <c r="X13199" s="4"/>
      <c r="Y13199" s="4"/>
    </row>
    <row r="13200" spans="5:25">
      <c r="E13200"/>
      <c r="G13200"/>
      <c r="H13200"/>
      <c r="I13200"/>
      <c r="K13200"/>
      <c r="O13200"/>
      <c r="R13200"/>
      <c r="W13200" s="4"/>
      <c r="X13200" s="4"/>
      <c r="Y13200" s="4"/>
    </row>
    <row r="13201" spans="5:25">
      <c r="E13201"/>
      <c r="G13201"/>
      <c r="H13201"/>
      <c r="I13201"/>
      <c r="K13201"/>
      <c r="O13201"/>
      <c r="R13201"/>
      <c r="W13201" s="4"/>
      <c r="X13201" s="4"/>
      <c r="Y13201" s="4"/>
    </row>
    <row r="13202" spans="5:25">
      <c r="E13202"/>
      <c r="G13202"/>
      <c r="H13202"/>
      <c r="I13202"/>
      <c r="K13202"/>
      <c r="O13202"/>
      <c r="R13202"/>
      <c r="W13202" s="4"/>
      <c r="X13202" s="4"/>
      <c r="Y13202" s="4"/>
    </row>
    <row r="13203" spans="5:25">
      <c r="E13203"/>
      <c r="G13203"/>
      <c r="H13203"/>
      <c r="I13203"/>
      <c r="K13203"/>
      <c r="O13203"/>
      <c r="R13203"/>
      <c r="W13203" s="4"/>
      <c r="X13203" s="4"/>
      <c r="Y13203" s="4"/>
    </row>
    <row r="13204" spans="5:25">
      <c r="E13204"/>
      <c r="G13204"/>
      <c r="H13204"/>
      <c r="I13204"/>
      <c r="K13204"/>
      <c r="O13204"/>
      <c r="R13204"/>
      <c r="W13204" s="4"/>
      <c r="X13204" s="4"/>
      <c r="Y13204" s="4"/>
    </row>
    <row r="13205" spans="5:25">
      <c r="E13205"/>
      <c r="G13205"/>
      <c r="H13205"/>
      <c r="I13205"/>
      <c r="K13205"/>
      <c r="O13205"/>
      <c r="R13205"/>
      <c r="W13205" s="4"/>
      <c r="X13205" s="4"/>
      <c r="Y13205" s="4"/>
    </row>
    <row r="13206" spans="5:25">
      <c r="E13206"/>
      <c r="G13206"/>
      <c r="H13206"/>
      <c r="I13206"/>
      <c r="K13206"/>
      <c r="O13206"/>
      <c r="R13206"/>
      <c r="W13206" s="4"/>
      <c r="X13206" s="4"/>
      <c r="Y13206" s="4"/>
    </row>
    <row r="13207" spans="5:25">
      <c r="E13207"/>
      <c r="G13207"/>
      <c r="H13207"/>
      <c r="I13207"/>
      <c r="K13207"/>
      <c r="O13207"/>
      <c r="R13207"/>
      <c r="W13207" s="4"/>
      <c r="X13207" s="4"/>
      <c r="Y13207" s="4"/>
    </row>
    <row r="13208" spans="5:25">
      <c r="E13208"/>
      <c r="G13208"/>
      <c r="H13208"/>
      <c r="I13208"/>
      <c r="K13208"/>
      <c r="O13208"/>
      <c r="R13208"/>
      <c r="W13208" s="4"/>
      <c r="X13208" s="4"/>
      <c r="Y13208" s="4"/>
    </row>
    <row r="13209" spans="5:25">
      <c r="E13209"/>
      <c r="G13209"/>
      <c r="H13209"/>
      <c r="I13209"/>
      <c r="K13209"/>
      <c r="O13209"/>
      <c r="R13209"/>
      <c r="W13209" s="4"/>
      <c r="X13209" s="4"/>
      <c r="Y13209" s="4"/>
    </row>
    <row r="13210" spans="5:25">
      <c r="E13210"/>
      <c r="G13210"/>
      <c r="H13210"/>
      <c r="I13210"/>
      <c r="K13210"/>
      <c r="O13210"/>
      <c r="R13210"/>
      <c r="W13210" s="4"/>
      <c r="X13210" s="4"/>
      <c r="Y13210" s="4"/>
    </row>
    <row r="13211" spans="5:25">
      <c r="E13211"/>
      <c r="G13211"/>
      <c r="H13211"/>
      <c r="I13211"/>
      <c r="K13211"/>
      <c r="O13211"/>
      <c r="R13211"/>
      <c r="W13211" s="4"/>
      <c r="X13211" s="4"/>
      <c r="Y13211" s="4"/>
    </row>
    <row r="13212" spans="5:25">
      <c r="E13212"/>
      <c r="G13212"/>
      <c r="H13212"/>
      <c r="I13212"/>
      <c r="K13212"/>
      <c r="O13212"/>
      <c r="R13212"/>
      <c r="W13212" s="4"/>
      <c r="X13212" s="4"/>
      <c r="Y13212" s="4"/>
    </row>
    <row r="13213" spans="5:25">
      <c r="E13213"/>
      <c r="G13213"/>
      <c r="H13213"/>
      <c r="I13213"/>
      <c r="K13213"/>
      <c r="O13213"/>
      <c r="R13213"/>
      <c r="W13213" s="4"/>
      <c r="X13213" s="4"/>
      <c r="Y13213" s="4"/>
    </row>
    <row r="13214" spans="5:25">
      <c r="E13214"/>
      <c r="G13214"/>
      <c r="H13214"/>
      <c r="I13214"/>
      <c r="K13214"/>
      <c r="O13214"/>
      <c r="R13214"/>
      <c r="W13214" s="4"/>
      <c r="X13214" s="4"/>
      <c r="Y13214" s="4"/>
    </row>
    <row r="13215" spans="5:25">
      <c r="E13215"/>
      <c r="G13215"/>
      <c r="H13215"/>
      <c r="I13215"/>
      <c r="K13215"/>
      <c r="O13215"/>
      <c r="R13215"/>
      <c r="W13215" s="4"/>
      <c r="X13215" s="4"/>
      <c r="Y13215" s="4"/>
    </row>
    <row r="13216" spans="5:25">
      <c r="E13216"/>
      <c r="G13216"/>
      <c r="H13216"/>
      <c r="I13216"/>
      <c r="K13216"/>
      <c r="O13216"/>
      <c r="R13216"/>
      <c r="W13216" s="4"/>
      <c r="X13216" s="4"/>
      <c r="Y13216" s="4"/>
    </row>
    <row r="13217" spans="5:25">
      <c r="E13217"/>
      <c r="G13217"/>
      <c r="H13217"/>
      <c r="I13217"/>
      <c r="K13217"/>
      <c r="O13217"/>
      <c r="R13217"/>
      <c r="W13217" s="4"/>
      <c r="X13217" s="4"/>
      <c r="Y13217" s="4"/>
    </row>
    <row r="13218" spans="5:25">
      <c r="E13218"/>
      <c r="G13218"/>
      <c r="H13218"/>
      <c r="I13218"/>
      <c r="K13218"/>
      <c r="O13218"/>
      <c r="R13218"/>
      <c r="W13218" s="4"/>
      <c r="X13218" s="4"/>
      <c r="Y13218" s="4"/>
    </row>
    <row r="13219" spans="5:25">
      <c r="E13219"/>
      <c r="G13219"/>
      <c r="H13219"/>
      <c r="I13219"/>
      <c r="K13219"/>
      <c r="O13219"/>
      <c r="R13219"/>
      <c r="W13219" s="4"/>
      <c r="X13219" s="4"/>
      <c r="Y13219" s="4"/>
    </row>
    <row r="13220" spans="5:25">
      <c r="E13220"/>
      <c r="G13220"/>
      <c r="H13220"/>
      <c r="I13220"/>
      <c r="K13220"/>
      <c r="O13220"/>
      <c r="R13220"/>
      <c r="W13220" s="4"/>
      <c r="X13220" s="4"/>
      <c r="Y13220" s="4"/>
    </row>
    <row r="13221" spans="5:25">
      <c r="E13221"/>
      <c r="G13221"/>
      <c r="H13221"/>
      <c r="I13221"/>
      <c r="K13221"/>
      <c r="O13221"/>
      <c r="R13221"/>
      <c r="W13221" s="4"/>
      <c r="X13221" s="4"/>
      <c r="Y13221" s="4"/>
    </row>
    <row r="13222" spans="5:25">
      <c r="E13222"/>
      <c r="G13222"/>
      <c r="H13222"/>
      <c r="I13222"/>
      <c r="K13222"/>
      <c r="O13222"/>
      <c r="R13222"/>
      <c r="W13222" s="4"/>
      <c r="X13222" s="4"/>
      <c r="Y13222" s="4"/>
    </row>
    <row r="13223" spans="5:25">
      <c r="E13223"/>
      <c r="G13223"/>
      <c r="H13223"/>
      <c r="I13223"/>
      <c r="K13223"/>
      <c r="O13223"/>
      <c r="R13223"/>
      <c r="W13223" s="4"/>
      <c r="X13223" s="4"/>
      <c r="Y13223" s="4"/>
    </row>
    <row r="13224" spans="5:25">
      <c r="E13224"/>
      <c r="G13224"/>
      <c r="H13224"/>
      <c r="I13224"/>
      <c r="K13224"/>
      <c r="O13224"/>
      <c r="R13224"/>
      <c r="W13224" s="4"/>
      <c r="X13224" s="4"/>
      <c r="Y13224" s="4"/>
    </row>
    <row r="13225" spans="5:25">
      <c r="E13225"/>
      <c r="G13225"/>
      <c r="H13225"/>
      <c r="I13225"/>
      <c r="K13225"/>
      <c r="O13225"/>
      <c r="R13225"/>
      <c r="W13225" s="4"/>
      <c r="X13225" s="4"/>
      <c r="Y13225" s="4"/>
    </row>
    <row r="13226" spans="5:25">
      <c r="E13226"/>
      <c r="G13226"/>
      <c r="H13226"/>
      <c r="I13226"/>
      <c r="K13226"/>
      <c r="O13226"/>
      <c r="R13226"/>
      <c r="W13226" s="4"/>
      <c r="X13226" s="4"/>
      <c r="Y13226" s="4"/>
    </row>
    <row r="13227" spans="5:25">
      <c r="E13227"/>
      <c r="G13227"/>
      <c r="H13227"/>
      <c r="I13227"/>
      <c r="K13227"/>
      <c r="O13227"/>
      <c r="R13227"/>
      <c r="W13227" s="4"/>
      <c r="X13227" s="4"/>
      <c r="Y13227" s="4"/>
    </row>
    <row r="13228" spans="5:25">
      <c r="E13228"/>
      <c r="G13228"/>
      <c r="H13228"/>
      <c r="I13228"/>
      <c r="K13228"/>
      <c r="O13228"/>
      <c r="R13228"/>
      <c r="W13228" s="4"/>
      <c r="X13228" s="4"/>
      <c r="Y13228" s="4"/>
    </row>
    <row r="13229" spans="5:25">
      <c r="E13229"/>
      <c r="G13229"/>
      <c r="H13229"/>
      <c r="I13229"/>
      <c r="K13229"/>
      <c r="O13229"/>
      <c r="R13229"/>
      <c r="W13229" s="4"/>
      <c r="X13229" s="4"/>
      <c r="Y13229" s="4"/>
    </row>
    <row r="13230" spans="5:25">
      <c r="E13230"/>
      <c r="G13230"/>
      <c r="H13230"/>
      <c r="I13230"/>
      <c r="K13230"/>
      <c r="O13230"/>
      <c r="R13230"/>
      <c r="W13230" s="4"/>
      <c r="X13230" s="4"/>
      <c r="Y13230" s="4"/>
    </row>
    <row r="13231" spans="5:25">
      <c r="E13231"/>
      <c r="G13231"/>
      <c r="H13231"/>
      <c r="I13231"/>
      <c r="K13231"/>
      <c r="O13231"/>
      <c r="R13231"/>
      <c r="W13231" s="4"/>
      <c r="X13231" s="4"/>
      <c r="Y13231" s="4"/>
    </row>
    <row r="13232" spans="5:25">
      <c r="E13232"/>
      <c r="G13232"/>
      <c r="H13232"/>
      <c r="I13232"/>
      <c r="K13232"/>
      <c r="O13232"/>
      <c r="R13232"/>
      <c r="W13232" s="4"/>
      <c r="X13232" s="4"/>
      <c r="Y13232" s="4"/>
    </row>
    <row r="13233" spans="5:25">
      <c r="E13233"/>
      <c r="G13233"/>
      <c r="H13233"/>
      <c r="I13233"/>
      <c r="K13233"/>
      <c r="O13233"/>
      <c r="R13233"/>
      <c r="W13233" s="4"/>
      <c r="X13233" s="4"/>
      <c r="Y13233" s="4"/>
    </row>
    <row r="13234" spans="5:25">
      <c r="E13234"/>
      <c r="G13234"/>
      <c r="H13234"/>
      <c r="I13234"/>
      <c r="K13234"/>
      <c r="O13234"/>
      <c r="R13234"/>
      <c r="W13234" s="4"/>
      <c r="X13234" s="4"/>
      <c r="Y13234" s="4"/>
    </row>
    <row r="13235" spans="5:25">
      <c r="E13235"/>
      <c r="G13235"/>
      <c r="H13235"/>
      <c r="I13235"/>
      <c r="K13235"/>
      <c r="O13235"/>
      <c r="R13235"/>
      <c r="W13235" s="4"/>
      <c r="X13235" s="4"/>
      <c r="Y13235" s="4"/>
    </row>
    <row r="13236" spans="5:25">
      <c r="E13236"/>
      <c r="G13236"/>
      <c r="H13236"/>
      <c r="I13236"/>
      <c r="K13236"/>
      <c r="O13236"/>
      <c r="R13236"/>
      <c r="W13236" s="4"/>
      <c r="X13236" s="4"/>
      <c r="Y13236" s="4"/>
    </row>
    <row r="13237" spans="5:25">
      <c r="E13237"/>
      <c r="G13237"/>
      <c r="H13237"/>
      <c r="I13237"/>
      <c r="K13237"/>
      <c r="O13237"/>
      <c r="R13237"/>
      <c r="W13237" s="4"/>
      <c r="X13237" s="4"/>
      <c r="Y13237" s="4"/>
    </row>
    <row r="13238" spans="5:25">
      <c r="E13238"/>
      <c r="G13238"/>
      <c r="H13238"/>
      <c r="I13238"/>
      <c r="K13238"/>
      <c r="O13238"/>
      <c r="R13238"/>
      <c r="W13238" s="4"/>
      <c r="X13238" s="4"/>
      <c r="Y13238" s="4"/>
    </row>
    <row r="13239" spans="5:25">
      <c r="E13239"/>
      <c r="G13239"/>
      <c r="H13239"/>
      <c r="I13239"/>
      <c r="K13239"/>
      <c r="O13239"/>
      <c r="R13239"/>
      <c r="W13239" s="4"/>
      <c r="X13239" s="4"/>
      <c r="Y13239" s="4"/>
    </row>
    <row r="13240" spans="5:25">
      <c r="E13240"/>
      <c r="G13240"/>
      <c r="H13240"/>
      <c r="I13240"/>
      <c r="K13240"/>
      <c r="O13240"/>
      <c r="R13240"/>
      <c r="W13240" s="4"/>
      <c r="X13240" s="4"/>
      <c r="Y13240" s="4"/>
    </row>
    <row r="13241" spans="5:25">
      <c r="E13241"/>
      <c r="G13241"/>
      <c r="H13241"/>
      <c r="I13241"/>
      <c r="K13241"/>
      <c r="O13241"/>
      <c r="R13241"/>
      <c r="W13241" s="4"/>
      <c r="X13241" s="4"/>
      <c r="Y13241" s="4"/>
    </row>
    <row r="13242" spans="5:25">
      <c r="E13242"/>
      <c r="G13242"/>
      <c r="H13242"/>
      <c r="I13242"/>
      <c r="K13242"/>
      <c r="O13242"/>
      <c r="R13242"/>
      <c r="W13242" s="4"/>
      <c r="X13242" s="4"/>
      <c r="Y13242" s="4"/>
    </row>
    <row r="13243" spans="5:25">
      <c r="E13243"/>
      <c r="G13243"/>
      <c r="H13243"/>
      <c r="I13243"/>
      <c r="K13243"/>
      <c r="O13243"/>
      <c r="R13243"/>
      <c r="W13243" s="4"/>
      <c r="X13243" s="4"/>
      <c r="Y13243" s="4"/>
    </row>
    <row r="13244" spans="5:25">
      <c r="E13244"/>
      <c r="G13244"/>
      <c r="H13244"/>
      <c r="I13244"/>
      <c r="K13244"/>
      <c r="O13244"/>
      <c r="R13244"/>
      <c r="W13244" s="4"/>
      <c r="X13244" s="4"/>
      <c r="Y13244" s="4"/>
    </row>
    <row r="13245" spans="5:25">
      <c r="E13245"/>
      <c r="G13245"/>
      <c r="H13245"/>
      <c r="I13245"/>
      <c r="K13245"/>
      <c r="O13245"/>
      <c r="R13245"/>
      <c r="W13245" s="4"/>
      <c r="X13245" s="4"/>
      <c r="Y13245" s="4"/>
    </row>
    <row r="13246" spans="5:25">
      <c r="E13246"/>
      <c r="G13246"/>
      <c r="H13246"/>
      <c r="I13246"/>
      <c r="K13246"/>
      <c r="O13246"/>
      <c r="R13246"/>
      <c r="W13246" s="4"/>
      <c r="X13246" s="4"/>
      <c r="Y13246" s="4"/>
    </row>
    <row r="13247" spans="5:25">
      <c r="E13247"/>
      <c r="G13247"/>
      <c r="H13247"/>
      <c r="I13247"/>
      <c r="K13247"/>
      <c r="O13247"/>
      <c r="R13247"/>
      <c r="W13247" s="4"/>
      <c r="X13247" s="4"/>
      <c r="Y13247" s="4"/>
    </row>
    <row r="13248" spans="5:25">
      <c r="E13248"/>
      <c r="G13248"/>
      <c r="H13248"/>
      <c r="I13248"/>
      <c r="K13248"/>
      <c r="O13248"/>
      <c r="R13248"/>
      <c r="W13248" s="4"/>
      <c r="X13248" s="4"/>
      <c r="Y13248" s="4"/>
    </row>
    <row r="13249" spans="5:25">
      <c r="E13249"/>
      <c r="G13249"/>
      <c r="H13249"/>
      <c r="I13249"/>
      <c r="K13249"/>
      <c r="O13249"/>
      <c r="R13249"/>
      <c r="W13249" s="4"/>
      <c r="X13249" s="4"/>
      <c r="Y13249" s="4"/>
    </row>
    <row r="13250" spans="5:25">
      <c r="E13250"/>
      <c r="G13250"/>
      <c r="H13250"/>
      <c r="I13250"/>
      <c r="K13250"/>
      <c r="O13250"/>
      <c r="R13250"/>
      <c r="W13250" s="4"/>
      <c r="X13250" s="4"/>
      <c r="Y13250" s="4"/>
    </row>
    <row r="13251" spans="5:25">
      <c r="E13251"/>
      <c r="G13251"/>
      <c r="H13251"/>
      <c r="I13251"/>
      <c r="K13251"/>
      <c r="O13251"/>
      <c r="R13251"/>
      <c r="W13251" s="4"/>
      <c r="X13251" s="4"/>
      <c r="Y13251" s="4"/>
    </row>
    <row r="13252" spans="5:25">
      <c r="E13252"/>
      <c r="G13252"/>
      <c r="H13252"/>
      <c r="I13252"/>
      <c r="K13252"/>
      <c r="O13252"/>
      <c r="R13252"/>
      <c r="W13252" s="4"/>
      <c r="X13252" s="4"/>
      <c r="Y13252" s="4"/>
    </row>
    <row r="13253" spans="5:25">
      <c r="E13253"/>
      <c r="G13253"/>
      <c r="H13253"/>
      <c r="I13253"/>
      <c r="K13253"/>
      <c r="O13253"/>
      <c r="R13253"/>
      <c r="W13253" s="4"/>
      <c r="X13253" s="4"/>
      <c r="Y13253" s="4"/>
    </row>
    <row r="13254" spans="5:25">
      <c r="E13254"/>
      <c r="G13254"/>
      <c r="H13254"/>
      <c r="I13254"/>
      <c r="K13254"/>
      <c r="O13254"/>
      <c r="R13254"/>
      <c r="W13254" s="4"/>
      <c r="X13254" s="4"/>
      <c r="Y13254" s="4"/>
    </row>
    <row r="13255" spans="5:25">
      <c r="E13255"/>
      <c r="G13255"/>
      <c r="H13255"/>
      <c r="I13255"/>
      <c r="K13255"/>
      <c r="O13255"/>
      <c r="R13255"/>
      <c r="W13255" s="4"/>
      <c r="X13255" s="4"/>
      <c r="Y13255" s="4"/>
    </row>
    <row r="13256" spans="5:25">
      <c r="E13256"/>
      <c r="G13256"/>
      <c r="H13256"/>
      <c r="I13256"/>
      <c r="K13256"/>
      <c r="O13256"/>
      <c r="R13256"/>
      <c r="W13256" s="4"/>
      <c r="X13256" s="4"/>
      <c r="Y13256" s="4"/>
    </row>
    <row r="13257" spans="5:25">
      <c r="E13257"/>
      <c r="G13257"/>
      <c r="H13257"/>
      <c r="I13257"/>
      <c r="K13257"/>
      <c r="O13257"/>
      <c r="R13257"/>
      <c r="W13257" s="4"/>
      <c r="X13257" s="4"/>
      <c r="Y13257" s="4"/>
    </row>
    <row r="13258" spans="5:25">
      <c r="E13258"/>
      <c r="G13258"/>
      <c r="H13258"/>
      <c r="I13258"/>
      <c r="K13258"/>
      <c r="O13258"/>
      <c r="R13258"/>
      <c r="W13258" s="4"/>
      <c r="X13258" s="4"/>
      <c r="Y13258" s="4"/>
    </row>
    <row r="13259" spans="5:25">
      <c r="E13259"/>
      <c r="G13259"/>
      <c r="H13259"/>
      <c r="I13259"/>
      <c r="K13259"/>
      <c r="O13259"/>
      <c r="R13259"/>
      <c r="W13259" s="4"/>
      <c r="X13259" s="4"/>
      <c r="Y13259" s="4"/>
    </row>
    <row r="13260" spans="5:25">
      <c r="E13260"/>
      <c r="G13260"/>
      <c r="H13260"/>
      <c r="I13260"/>
      <c r="K13260"/>
      <c r="O13260"/>
      <c r="R13260"/>
      <c r="W13260" s="4"/>
      <c r="X13260" s="4"/>
      <c r="Y13260" s="4"/>
    </row>
    <row r="13261" spans="5:25">
      <c r="E13261"/>
      <c r="G13261"/>
      <c r="H13261"/>
      <c r="I13261"/>
      <c r="K13261"/>
      <c r="O13261"/>
      <c r="R13261"/>
      <c r="W13261" s="4"/>
      <c r="X13261" s="4"/>
      <c r="Y13261" s="4"/>
    </row>
    <row r="13262" spans="5:25">
      <c r="E13262"/>
      <c r="G13262"/>
      <c r="H13262"/>
      <c r="I13262"/>
      <c r="K13262"/>
      <c r="O13262"/>
      <c r="R13262"/>
      <c r="W13262" s="4"/>
      <c r="X13262" s="4"/>
      <c r="Y13262" s="4"/>
    </row>
    <row r="13263" spans="5:25">
      <c r="E13263"/>
      <c r="G13263"/>
      <c r="H13263"/>
      <c r="I13263"/>
      <c r="K13263"/>
      <c r="O13263"/>
      <c r="R13263"/>
      <c r="W13263" s="4"/>
      <c r="X13263" s="4"/>
      <c r="Y13263" s="4"/>
    </row>
    <row r="13264" spans="5:25">
      <c r="E13264"/>
      <c r="G13264"/>
      <c r="H13264"/>
      <c r="I13264"/>
      <c r="K13264"/>
      <c r="O13264"/>
      <c r="R13264"/>
      <c r="W13264" s="4"/>
      <c r="X13264" s="4"/>
      <c r="Y13264" s="4"/>
    </row>
    <row r="13265" spans="5:25">
      <c r="E13265"/>
      <c r="G13265"/>
      <c r="H13265"/>
      <c r="I13265"/>
      <c r="K13265"/>
      <c r="O13265"/>
      <c r="R13265"/>
      <c r="W13265" s="4"/>
      <c r="X13265" s="4"/>
      <c r="Y13265" s="4"/>
    </row>
    <row r="13266" spans="5:25">
      <c r="E13266"/>
      <c r="G13266"/>
      <c r="H13266"/>
      <c r="I13266"/>
      <c r="K13266"/>
      <c r="O13266"/>
      <c r="R13266"/>
      <c r="W13266" s="4"/>
      <c r="X13266" s="4"/>
      <c r="Y13266" s="4"/>
    </row>
    <row r="13267" spans="5:25">
      <c r="E13267"/>
      <c r="G13267"/>
      <c r="H13267"/>
      <c r="I13267"/>
      <c r="K13267"/>
      <c r="O13267"/>
      <c r="R13267"/>
      <c r="W13267" s="4"/>
      <c r="X13267" s="4"/>
      <c r="Y13267" s="4"/>
    </row>
    <row r="13268" spans="5:25">
      <c r="E13268"/>
      <c r="G13268"/>
      <c r="H13268"/>
      <c r="I13268"/>
      <c r="K13268"/>
      <c r="O13268"/>
      <c r="R13268"/>
      <c r="W13268" s="4"/>
      <c r="X13268" s="4"/>
      <c r="Y13268" s="4"/>
    </row>
    <row r="13269" spans="5:25">
      <c r="E13269"/>
      <c r="G13269"/>
      <c r="H13269"/>
      <c r="I13269"/>
      <c r="K13269"/>
      <c r="O13269"/>
      <c r="R13269"/>
      <c r="W13269" s="4"/>
      <c r="X13269" s="4"/>
      <c r="Y13269" s="4"/>
    </row>
    <row r="13270" spans="5:25">
      <c r="E13270"/>
      <c r="G13270"/>
      <c r="H13270"/>
      <c r="I13270"/>
      <c r="K13270"/>
      <c r="O13270"/>
      <c r="R13270"/>
      <c r="W13270" s="4"/>
      <c r="X13270" s="4"/>
      <c r="Y13270" s="4"/>
    </row>
    <row r="13271" spans="5:25">
      <c r="E13271"/>
      <c r="G13271"/>
      <c r="H13271"/>
      <c r="I13271"/>
      <c r="K13271"/>
      <c r="O13271"/>
      <c r="R13271"/>
      <c r="W13271" s="4"/>
      <c r="X13271" s="4"/>
      <c r="Y13271" s="4"/>
    </row>
    <row r="13272" spans="5:25">
      <c r="E13272"/>
      <c r="G13272"/>
      <c r="H13272"/>
      <c r="I13272"/>
      <c r="K13272"/>
      <c r="O13272"/>
      <c r="R13272"/>
      <c r="W13272" s="4"/>
      <c r="X13272" s="4"/>
      <c r="Y13272" s="4"/>
    </row>
    <row r="13273" spans="5:25">
      <c r="E13273"/>
      <c r="G13273"/>
      <c r="H13273"/>
      <c r="I13273"/>
      <c r="K13273"/>
      <c r="O13273"/>
      <c r="R13273"/>
      <c r="W13273" s="4"/>
      <c r="X13273" s="4"/>
      <c r="Y13273" s="4"/>
    </row>
    <row r="13274" spans="5:25">
      <c r="E13274"/>
      <c r="G13274"/>
      <c r="H13274"/>
      <c r="I13274"/>
      <c r="K13274"/>
      <c r="O13274"/>
      <c r="R13274"/>
      <c r="W13274" s="4"/>
      <c r="X13274" s="4"/>
      <c r="Y13274" s="4"/>
    </row>
    <row r="13275" spans="5:25">
      <c r="E13275"/>
      <c r="G13275"/>
      <c r="H13275"/>
      <c r="I13275"/>
      <c r="K13275"/>
      <c r="O13275"/>
      <c r="R13275"/>
      <c r="W13275" s="4"/>
      <c r="X13275" s="4"/>
      <c r="Y13275" s="4"/>
    </row>
    <row r="13276" spans="5:25">
      <c r="E13276"/>
      <c r="G13276"/>
      <c r="H13276"/>
      <c r="I13276"/>
      <c r="K13276"/>
      <c r="O13276"/>
      <c r="R13276"/>
      <c r="W13276" s="4"/>
      <c r="X13276" s="4"/>
      <c r="Y13276" s="4"/>
    </row>
    <row r="13277" spans="5:25">
      <c r="E13277"/>
      <c r="G13277"/>
      <c r="H13277"/>
      <c r="I13277"/>
      <c r="K13277"/>
      <c r="O13277"/>
      <c r="R13277"/>
      <c r="W13277" s="4"/>
      <c r="X13277" s="4"/>
      <c r="Y13277" s="4"/>
    </row>
    <row r="13278" spans="5:25">
      <c r="E13278"/>
      <c r="G13278"/>
      <c r="H13278"/>
      <c r="I13278"/>
      <c r="K13278"/>
      <c r="O13278"/>
      <c r="R13278"/>
      <c r="W13278" s="4"/>
      <c r="X13278" s="4"/>
      <c r="Y13278" s="4"/>
    </row>
    <row r="13279" spans="5:25">
      <c r="E13279"/>
      <c r="G13279"/>
      <c r="H13279"/>
      <c r="I13279"/>
      <c r="K13279"/>
      <c r="O13279"/>
      <c r="R13279"/>
      <c r="W13279" s="4"/>
      <c r="X13279" s="4"/>
      <c r="Y13279" s="4"/>
    </row>
    <row r="13280" spans="5:25">
      <c r="E13280"/>
      <c r="G13280"/>
      <c r="H13280"/>
      <c r="I13280"/>
      <c r="K13280"/>
      <c r="O13280"/>
      <c r="R13280"/>
      <c r="W13280" s="4"/>
      <c r="X13280" s="4"/>
      <c r="Y13280" s="4"/>
    </row>
    <row r="13281" spans="5:25">
      <c r="E13281"/>
      <c r="G13281"/>
      <c r="H13281"/>
      <c r="I13281"/>
      <c r="K13281"/>
      <c r="O13281"/>
      <c r="R13281"/>
      <c r="W13281" s="4"/>
      <c r="X13281" s="4"/>
      <c r="Y13281" s="4"/>
    </row>
    <row r="13282" spans="5:25">
      <c r="E13282"/>
      <c r="G13282"/>
      <c r="H13282"/>
      <c r="I13282"/>
      <c r="K13282"/>
      <c r="O13282"/>
      <c r="R13282"/>
      <c r="W13282" s="4"/>
      <c r="X13282" s="4"/>
      <c r="Y13282" s="4"/>
    </row>
    <row r="13283" spans="5:25">
      <c r="E13283"/>
      <c r="G13283"/>
      <c r="H13283"/>
      <c r="I13283"/>
      <c r="K13283"/>
      <c r="O13283"/>
      <c r="R13283"/>
      <c r="W13283" s="4"/>
      <c r="X13283" s="4"/>
      <c r="Y13283" s="4"/>
    </row>
    <row r="13284" spans="5:25">
      <c r="E13284"/>
      <c r="G13284"/>
      <c r="H13284"/>
      <c r="I13284"/>
      <c r="K13284"/>
      <c r="O13284"/>
      <c r="R13284"/>
      <c r="W13284" s="4"/>
      <c r="X13284" s="4"/>
      <c r="Y13284" s="4"/>
    </row>
    <row r="13285" spans="5:25">
      <c r="E13285"/>
      <c r="G13285"/>
      <c r="H13285"/>
      <c r="I13285"/>
      <c r="K13285"/>
      <c r="O13285"/>
      <c r="R13285"/>
      <c r="W13285" s="4"/>
      <c r="X13285" s="4"/>
      <c r="Y13285" s="4"/>
    </row>
    <row r="13286" spans="5:25">
      <c r="E13286"/>
      <c r="G13286"/>
      <c r="H13286"/>
      <c r="I13286"/>
      <c r="K13286"/>
      <c r="O13286"/>
      <c r="R13286"/>
      <c r="W13286" s="4"/>
      <c r="X13286" s="4"/>
      <c r="Y13286" s="4"/>
    </row>
    <row r="13287" spans="5:25">
      <c r="E13287"/>
      <c r="G13287"/>
      <c r="H13287"/>
      <c r="I13287"/>
      <c r="K13287"/>
      <c r="O13287"/>
      <c r="R13287"/>
      <c r="W13287" s="4"/>
      <c r="X13287" s="4"/>
      <c r="Y13287" s="4"/>
    </row>
    <row r="13288" spans="5:25">
      <c r="E13288"/>
      <c r="G13288"/>
      <c r="H13288"/>
      <c r="I13288"/>
      <c r="K13288"/>
      <c r="O13288"/>
      <c r="R13288"/>
      <c r="W13288" s="4"/>
      <c r="X13288" s="4"/>
      <c r="Y13288" s="4"/>
    </row>
    <row r="13289" spans="5:25">
      <c r="E13289"/>
      <c r="G13289"/>
      <c r="H13289"/>
      <c r="I13289"/>
      <c r="K13289"/>
      <c r="O13289"/>
      <c r="R13289"/>
      <c r="W13289" s="4"/>
      <c r="X13289" s="4"/>
      <c r="Y13289" s="4"/>
    </row>
    <row r="13290" spans="5:25">
      <c r="E13290"/>
      <c r="G13290"/>
      <c r="H13290"/>
      <c r="I13290"/>
      <c r="K13290"/>
      <c r="O13290"/>
      <c r="R13290"/>
      <c r="W13290" s="4"/>
      <c r="X13290" s="4"/>
      <c r="Y13290" s="4"/>
    </row>
    <row r="13291" spans="5:25">
      <c r="E13291"/>
      <c r="G13291"/>
      <c r="H13291"/>
      <c r="I13291"/>
      <c r="K13291"/>
      <c r="O13291"/>
      <c r="R13291"/>
      <c r="W13291" s="4"/>
      <c r="X13291" s="4"/>
      <c r="Y13291" s="4"/>
    </row>
    <row r="13292" spans="5:25">
      <c r="E13292"/>
      <c r="G13292"/>
      <c r="H13292"/>
      <c r="I13292"/>
      <c r="K13292"/>
      <c r="O13292"/>
      <c r="R13292"/>
      <c r="W13292" s="4"/>
      <c r="X13292" s="4"/>
      <c r="Y13292" s="4"/>
    </row>
    <row r="13293" spans="5:25">
      <c r="E13293"/>
      <c r="G13293"/>
      <c r="H13293"/>
      <c r="I13293"/>
      <c r="K13293"/>
      <c r="O13293"/>
      <c r="R13293"/>
      <c r="W13293" s="4"/>
      <c r="X13293" s="4"/>
      <c r="Y13293" s="4"/>
    </row>
    <row r="13294" spans="5:25">
      <c r="E13294"/>
      <c r="G13294"/>
      <c r="H13294"/>
      <c r="I13294"/>
      <c r="K13294"/>
      <c r="O13294"/>
      <c r="R13294"/>
      <c r="W13294" s="4"/>
      <c r="X13294" s="4"/>
      <c r="Y13294" s="4"/>
    </row>
    <row r="13295" spans="5:25">
      <c r="E13295"/>
      <c r="G13295"/>
      <c r="H13295"/>
      <c r="I13295"/>
      <c r="K13295"/>
      <c r="O13295"/>
      <c r="R13295"/>
      <c r="W13295" s="4"/>
      <c r="X13295" s="4"/>
      <c r="Y13295" s="4"/>
    </row>
    <row r="13296" spans="5:25">
      <c r="E13296"/>
      <c r="G13296"/>
      <c r="H13296"/>
      <c r="I13296"/>
      <c r="K13296"/>
      <c r="O13296"/>
      <c r="R13296"/>
      <c r="W13296" s="4"/>
      <c r="X13296" s="4"/>
      <c r="Y13296" s="4"/>
    </row>
    <row r="13297" spans="5:25">
      <c r="E13297"/>
      <c r="G13297"/>
      <c r="H13297"/>
      <c r="I13297"/>
      <c r="K13297"/>
      <c r="O13297"/>
      <c r="R13297"/>
      <c r="W13297" s="4"/>
      <c r="X13297" s="4"/>
      <c r="Y13297" s="4"/>
    </row>
    <row r="13298" spans="5:25">
      <c r="E13298"/>
      <c r="G13298"/>
      <c r="H13298"/>
      <c r="I13298"/>
      <c r="K13298"/>
      <c r="O13298"/>
      <c r="R13298"/>
      <c r="W13298" s="4"/>
      <c r="X13298" s="4"/>
      <c r="Y13298" s="4"/>
    </row>
    <row r="13299" spans="5:25">
      <c r="E13299"/>
      <c r="G13299"/>
      <c r="H13299"/>
      <c r="I13299"/>
      <c r="K13299"/>
      <c r="O13299"/>
      <c r="R13299"/>
      <c r="W13299" s="4"/>
      <c r="X13299" s="4"/>
      <c r="Y13299" s="4"/>
    </row>
    <row r="13300" spans="5:25">
      <c r="E13300"/>
      <c r="G13300"/>
      <c r="H13300"/>
      <c r="I13300"/>
      <c r="K13300"/>
      <c r="O13300"/>
      <c r="R13300"/>
      <c r="W13300" s="4"/>
      <c r="X13300" s="4"/>
      <c r="Y13300" s="4"/>
    </row>
    <row r="13301" spans="5:25">
      <c r="E13301"/>
      <c r="G13301"/>
      <c r="H13301"/>
      <c r="I13301"/>
      <c r="K13301"/>
      <c r="O13301"/>
      <c r="R13301"/>
      <c r="W13301" s="4"/>
      <c r="X13301" s="4"/>
      <c r="Y13301" s="4"/>
    </row>
    <row r="13302" spans="5:25">
      <c r="E13302"/>
      <c r="G13302"/>
      <c r="H13302"/>
      <c r="I13302"/>
      <c r="K13302"/>
      <c r="O13302"/>
      <c r="R13302"/>
      <c r="W13302" s="4"/>
      <c r="X13302" s="4"/>
      <c r="Y13302" s="4"/>
    </row>
    <row r="13303" spans="5:25">
      <c r="E13303"/>
      <c r="G13303"/>
      <c r="H13303"/>
      <c r="I13303"/>
      <c r="K13303"/>
      <c r="O13303"/>
      <c r="R13303"/>
      <c r="W13303" s="4"/>
      <c r="X13303" s="4"/>
      <c r="Y13303" s="4"/>
    </row>
    <row r="13304" spans="5:25">
      <c r="E13304"/>
      <c r="G13304"/>
      <c r="H13304"/>
      <c r="I13304"/>
      <c r="K13304"/>
      <c r="O13304"/>
      <c r="R13304"/>
      <c r="W13304" s="4"/>
      <c r="X13304" s="4"/>
      <c r="Y13304" s="4"/>
    </row>
    <row r="13305" spans="5:25">
      <c r="E13305"/>
      <c r="G13305"/>
      <c r="H13305"/>
      <c r="I13305"/>
      <c r="K13305"/>
      <c r="O13305"/>
      <c r="R13305"/>
      <c r="W13305" s="4"/>
      <c r="X13305" s="4"/>
      <c r="Y13305" s="4"/>
    </row>
    <row r="13306" spans="5:25">
      <c r="E13306"/>
      <c r="G13306"/>
      <c r="H13306"/>
      <c r="I13306"/>
      <c r="K13306"/>
      <c r="O13306"/>
      <c r="R13306"/>
      <c r="W13306" s="4"/>
      <c r="X13306" s="4"/>
      <c r="Y13306" s="4"/>
    </row>
    <row r="13307" spans="5:25">
      <c r="E13307"/>
      <c r="G13307"/>
      <c r="H13307"/>
      <c r="I13307"/>
      <c r="K13307"/>
      <c r="O13307"/>
      <c r="R13307"/>
      <c r="W13307" s="4"/>
      <c r="X13307" s="4"/>
      <c r="Y13307" s="4"/>
    </row>
    <row r="13308" spans="5:25">
      <c r="E13308"/>
      <c r="G13308"/>
      <c r="H13308"/>
      <c r="I13308"/>
      <c r="K13308"/>
      <c r="O13308"/>
      <c r="R13308"/>
      <c r="W13308" s="4"/>
      <c r="X13308" s="4"/>
      <c r="Y13308" s="4"/>
    </row>
    <row r="13309" spans="5:25">
      <c r="E13309"/>
      <c r="G13309"/>
      <c r="H13309"/>
      <c r="I13309"/>
      <c r="K13309"/>
      <c r="O13309"/>
      <c r="R13309"/>
      <c r="W13309" s="4"/>
      <c r="X13309" s="4"/>
      <c r="Y13309" s="4"/>
    </row>
    <row r="13310" spans="5:25">
      <c r="E13310"/>
      <c r="G13310"/>
      <c r="H13310"/>
      <c r="I13310"/>
      <c r="K13310"/>
      <c r="O13310"/>
      <c r="R13310"/>
      <c r="W13310" s="4"/>
      <c r="X13310" s="4"/>
      <c r="Y13310" s="4"/>
    </row>
    <row r="13311" spans="5:25">
      <c r="E13311"/>
      <c r="G13311"/>
      <c r="H13311"/>
      <c r="I13311"/>
      <c r="K13311"/>
      <c r="O13311"/>
      <c r="R13311"/>
      <c r="W13311" s="4"/>
      <c r="X13311" s="4"/>
      <c r="Y13311" s="4"/>
    </row>
    <row r="13312" spans="5:25">
      <c r="E13312"/>
      <c r="G13312"/>
      <c r="H13312"/>
      <c r="I13312"/>
      <c r="K13312"/>
      <c r="O13312"/>
      <c r="R13312"/>
      <c r="W13312" s="4"/>
      <c r="X13312" s="4"/>
      <c r="Y13312" s="4"/>
    </row>
    <row r="13313" spans="5:25">
      <c r="E13313"/>
      <c r="G13313"/>
      <c r="H13313"/>
      <c r="I13313"/>
      <c r="K13313"/>
      <c r="O13313"/>
      <c r="R13313"/>
      <c r="W13313" s="4"/>
      <c r="X13313" s="4"/>
      <c r="Y13313" s="4"/>
    </row>
    <row r="13314" spans="5:25">
      <c r="E13314"/>
      <c r="G13314"/>
      <c r="H13314"/>
      <c r="I13314"/>
      <c r="K13314"/>
      <c r="O13314"/>
      <c r="R13314"/>
      <c r="W13314" s="4"/>
      <c r="X13314" s="4"/>
      <c r="Y13314" s="4"/>
    </row>
    <row r="13315" spans="5:25">
      <c r="E13315"/>
      <c r="G13315"/>
      <c r="H13315"/>
      <c r="I13315"/>
      <c r="K13315"/>
      <c r="O13315"/>
      <c r="R13315"/>
      <c r="W13315" s="4"/>
      <c r="X13315" s="4"/>
      <c r="Y13315" s="4"/>
    </row>
    <row r="13316" spans="5:25">
      <c r="E13316"/>
      <c r="G13316"/>
      <c r="H13316"/>
      <c r="I13316"/>
      <c r="K13316"/>
      <c r="O13316"/>
      <c r="R13316"/>
      <c r="W13316" s="4"/>
      <c r="X13316" s="4"/>
      <c r="Y13316" s="4"/>
    </row>
    <row r="13317" spans="5:25">
      <c r="E13317"/>
      <c r="G13317"/>
      <c r="H13317"/>
      <c r="I13317"/>
      <c r="K13317"/>
      <c r="O13317"/>
      <c r="R13317"/>
      <c r="W13317" s="4"/>
      <c r="X13317" s="4"/>
      <c r="Y13317" s="4"/>
    </row>
    <row r="13318" spans="5:25">
      <c r="E13318"/>
      <c r="G13318"/>
      <c r="H13318"/>
      <c r="I13318"/>
      <c r="K13318"/>
      <c r="O13318"/>
      <c r="R13318"/>
      <c r="W13318" s="4"/>
      <c r="X13318" s="4"/>
      <c r="Y13318" s="4"/>
    </row>
    <row r="13319" spans="5:25">
      <c r="E13319"/>
      <c r="G13319"/>
      <c r="H13319"/>
      <c r="I13319"/>
      <c r="K13319"/>
      <c r="O13319"/>
      <c r="R13319"/>
      <c r="W13319" s="4"/>
      <c r="X13319" s="4"/>
      <c r="Y13319" s="4"/>
    </row>
    <row r="13320" spans="5:25">
      <c r="E13320"/>
      <c r="G13320"/>
      <c r="H13320"/>
      <c r="I13320"/>
      <c r="K13320"/>
      <c r="O13320"/>
      <c r="R13320"/>
      <c r="W13320" s="4"/>
      <c r="X13320" s="4"/>
      <c r="Y13320" s="4"/>
    </row>
    <row r="13321" spans="5:25">
      <c r="E13321"/>
      <c r="G13321"/>
      <c r="H13321"/>
      <c r="I13321"/>
      <c r="K13321"/>
      <c r="O13321"/>
      <c r="R13321"/>
      <c r="W13321" s="4"/>
      <c r="X13321" s="4"/>
      <c r="Y13321" s="4"/>
    </row>
    <row r="13322" spans="5:25">
      <c r="E13322"/>
      <c r="G13322"/>
      <c r="H13322"/>
      <c r="I13322"/>
      <c r="K13322"/>
      <c r="O13322"/>
      <c r="R13322"/>
      <c r="W13322" s="4"/>
      <c r="X13322" s="4"/>
      <c r="Y13322" s="4"/>
    </row>
    <row r="13323" spans="5:25">
      <c r="E13323"/>
      <c r="G13323"/>
      <c r="H13323"/>
      <c r="I13323"/>
      <c r="K13323"/>
      <c r="O13323"/>
      <c r="R13323"/>
      <c r="W13323" s="4"/>
      <c r="X13323" s="4"/>
      <c r="Y13323" s="4"/>
    </row>
    <row r="13324" spans="5:25">
      <c r="E13324"/>
      <c r="G13324"/>
      <c r="H13324"/>
      <c r="I13324"/>
      <c r="K13324"/>
      <c r="O13324"/>
      <c r="R13324"/>
      <c r="W13324" s="4"/>
      <c r="X13324" s="4"/>
      <c r="Y13324" s="4"/>
    </row>
    <row r="13325" spans="5:25">
      <c r="E13325"/>
      <c r="G13325"/>
      <c r="H13325"/>
      <c r="I13325"/>
      <c r="K13325"/>
      <c r="O13325"/>
      <c r="R13325"/>
      <c r="W13325" s="4"/>
      <c r="X13325" s="4"/>
      <c r="Y13325" s="4"/>
    </row>
    <row r="13326" spans="5:25">
      <c r="E13326"/>
      <c r="G13326"/>
      <c r="H13326"/>
      <c r="I13326"/>
      <c r="K13326"/>
      <c r="O13326"/>
      <c r="R13326"/>
      <c r="W13326" s="4"/>
      <c r="X13326" s="4"/>
      <c r="Y13326" s="4"/>
    </row>
    <row r="13327" spans="5:25">
      <c r="E13327"/>
      <c r="G13327"/>
      <c r="H13327"/>
      <c r="I13327"/>
      <c r="K13327"/>
      <c r="O13327"/>
      <c r="R13327"/>
      <c r="W13327" s="4"/>
      <c r="X13327" s="4"/>
      <c r="Y13327" s="4"/>
    </row>
    <row r="13328" spans="5:25">
      <c r="E13328"/>
      <c r="G13328"/>
      <c r="H13328"/>
      <c r="I13328"/>
      <c r="K13328"/>
      <c r="O13328"/>
      <c r="R13328"/>
      <c r="W13328" s="4"/>
      <c r="X13328" s="4"/>
      <c r="Y13328" s="4"/>
    </row>
    <row r="13329" spans="5:25">
      <c r="E13329"/>
      <c r="G13329"/>
      <c r="H13329"/>
      <c r="I13329"/>
      <c r="K13329"/>
      <c r="O13329"/>
      <c r="R13329"/>
      <c r="W13329" s="4"/>
      <c r="X13329" s="4"/>
      <c r="Y13329" s="4"/>
    </row>
    <row r="13330" spans="5:25">
      <c r="E13330"/>
      <c r="G13330"/>
      <c r="H13330"/>
      <c r="I13330"/>
      <c r="K13330"/>
      <c r="O13330"/>
      <c r="R13330"/>
      <c r="W13330" s="4"/>
      <c r="X13330" s="4"/>
      <c r="Y13330" s="4"/>
    </row>
    <row r="13331" spans="5:25">
      <c r="E13331"/>
      <c r="G13331"/>
      <c r="H13331"/>
      <c r="I13331"/>
      <c r="K13331"/>
      <c r="O13331"/>
      <c r="R13331"/>
      <c r="W13331" s="4"/>
      <c r="X13331" s="4"/>
      <c r="Y13331" s="4"/>
    </row>
    <row r="13332" spans="5:25">
      <c r="E13332"/>
      <c r="G13332"/>
      <c r="H13332"/>
      <c r="I13332"/>
      <c r="K13332"/>
      <c r="O13332"/>
      <c r="R13332"/>
      <c r="W13332" s="4"/>
      <c r="X13332" s="4"/>
      <c r="Y13332" s="4"/>
    </row>
    <row r="13333" spans="5:25">
      <c r="E13333"/>
      <c r="G13333"/>
      <c r="H13333"/>
      <c r="I13333"/>
      <c r="K13333"/>
      <c r="O13333"/>
      <c r="R13333"/>
      <c r="W13333" s="4"/>
      <c r="X13333" s="4"/>
      <c r="Y13333" s="4"/>
    </row>
    <row r="13334" spans="5:25">
      <c r="E13334"/>
      <c r="G13334"/>
      <c r="H13334"/>
      <c r="I13334"/>
      <c r="K13334"/>
      <c r="O13334"/>
      <c r="R13334"/>
      <c r="W13334" s="4"/>
      <c r="X13334" s="4"/>
      <c r="Y13334" s="4"/>
    </row>
    <row r="13335" spans="5:25">
      <c r="E13335"/>
      <c r="G13335"/>
      <c r="H13335"/>
      <c r="I13335"/>
      <c r="K13335"/>
      <c r="O13335"/>
      <c r="R13335"/>
      <c r="W13335" s="4"/>
      <c r="X13335" s="4"/>
      <c r="Y13335" s="4"/>
    </row>
    <row r="13336" spans="5:25">
      <c r="E13336"/>
      <c r="G13336"/>
      <c r="H13336"/>
      <c r="I13336"/>
      <c r="K13336"/>
      <c r="O13336"/>
      <c r="R13336"/>
      <c r="W13336" s="4"/>
      <c r="X13336" s="4"/>
      <c r="Y13336" s="4"/>
    </row>
    <row r="13337" spans="5:25">
      <c r="E13337"/>
      <c r="G13337"/>
      <c r="H13337"/>
      <c r="I13337"/>
      <c r="K13337"/>
      <c r="O13337"/>
      <c r="R13337"/>
      <c r="W13337" s="4"/>
      <c r="X13337" s="4"/>
      <c r="Y13337" s="4"/>
    </row>
    <row r="13338" spans="5:25">
      <c r="E13338"/>
      <c r="G13338"/>
      <c r="H13338"/>
      <c r="I13338"/>
      <c r="K13338"/>
      <c r="O13338"/>
      <c r="R13338"/>
      <c r="W13338" s="4"/>
      <c r="X13338" s="4"/>
      <c r="Y13338" s="4"/>
    </row>
    <row r="13339" spans="5:25">
      <c r="E13339"/>
      <c r="G13339"/>
      <c r="H13339"/>
      <c r="I13339"/>
      <c r="K13339"/>
      <c r="O13339"/>
      <c r="R13339"/>
      <c r="W13339" s="4"/>
      <c r="X13339" s="4"/>
      <c r="Y13339" s="4"/>
    </row>
    <row r="13340" spans="5:25">
      <c r="E13340"/>
      <c r="G13340"/>
      <c r="H13340"/>
      <c r="I13340"/>
      <c r="K13340"/>
      <c r="O13340"/>
      <c r="R13340"/>
      <c r="W13340" s="4"/>
      <c r="X13340" s="4"/>
      <c r="Y13340" s="4"/>
    </row>
    <row r="13341" spans="5:25">
      <c r="E13341"/>
      <c r="G13341"/>
      <c r="H13341"/>
      <c r="I13341"/>
      <c r="K13341"/>
      <c r="O13341"/>
      <c r="R13341"/>
      <c r="W13341" s="4"/>
      <c r="X13341" s="4"/>
      <c r="Y13341" s="4"/>
    </row>
    <row r="13342" spans="5:25">
      <c r="E13342"/>
      <c r="G13342"/>
      <c r="H13342"/>
      <c r="I13342"/>
      <c r="K13342"/>
      <c r="O13342"/>
      <c r="R13342"/>
      <c r="W13342" s="4"/>
      <c r="X13342" s="4"/>
      <c r="Y13342" s="4"/>
    </row>
    <row r="13343" spans="5:25">
      <c r="E13343"/>
      <c r="G13343"/>
      <c r="H13343"/>
      <c r="I13343"/>
      <c r="K13343"/>
      <c r="O13343"/>
      <c r="R13343"/>
      <c r="W13343" s="4"/>
      <c r="X13343" s="4"/>
      <c r="Y13343" s="4"/>
    </row>
    <row r="13344" spans="5:25">
      <c r="E13344"/>
      <c r="G13344"/>
      <c r="H13344"/>
      <c r="I13344"/>
      <c r="K13344"/>
      <c r="O13344"/>
      <c r="R13344"/>
      <c r="W13344" s="4"/>
      <c r="X13344" s="4"/>
      <c r="Y13344" s="4"/>
    </row>
    <row r="13345" spans="5:25">
      <c r="E13345"/>
      <c r="G13345"/>
      <c r="H13345"/>
      <c r="I13345"/>
      <c r="K13345"/>
      <c r="O13345"/>
      <c r="R13345"/>
      <c r="W13345" s="4"/>
      <c r="X13345" s="4"/>
      <c r="Y13345" s="4"/>
    </row>
    <row r="13346" spans="5:25">
      <c r="E13346"/>
      <c r="G13346"/>
      <c r="H13346"/>
      <c r="I13346"/>
      <c r="K13346"/>
      <c r="O13346"/>
      <c r="R13346"/>
      <c r="W13346" s="4"/>
      <c r="X13346" s="4"/>
      <c r="Y13346" s="4"/>
    </row>
    <row r="13347" spans="5:25">
      <c r="E13347"/>
      <c r="G13347"/>
      <c r="H13347"/>
      <c r="I13347"/>
      <c r="K13347"/>
      <c r="O13347"/>
      <c r="R13347"/>
      <c r="W13347" s="4"/>
      <c r="X13347" s="4"/>
      <c r="Y13347" s="4"/>
    </row>
    <row r="13348" spans="5:25">
      <c r="E13348"/>
      <c r="G13348"/>
      <c r="H13348"/>
      <c r="I13348"/>
      <c r="K13348"/>
      <c r="O13348"/>
      <c r="R13348"/>
      <c r="W13348" s="4"/>
      <c r="X13348" s="4"/>
      <c r="Y13348" s="4"/>
    </row>
    <row r="13349" spans="5:25">
      <c r="E13349"/>
      <c r="G13349"/>
      <c r="H13349"/>
      <c r="I13349"/>
      <c r="K13349"/>
      <c r="O13349"/>
      <c r="R13349"/>
      <c r="W13349" s="4"/>
      <c r="X13349" s="4"/>
      <c r="Y13349" s="4"/>
    </row>
    <row r="13350" spans="5:25">
      <c r="E13350"/>
      <c r="G13350"/>
      <c r="H13350"/>
      <c r="I13350"/>
      <c r="K13350"/>
      <c r="O13350"/>
      <c r="R13350"/>
      <c r="W13350" s="4"/>
      <c r="X13350" s="4"/>
      <c r="Y13350" s="4"/>
    </row>
    <row r="13351" spans="5:25">
      <c r="E13351"/>
      <c r="G13351"/>
      <c r="H13351"/>
      <c r="I13351"/>
      <c r="K13351"/>
      <c r="O13351"/>
      <c r="R13351"/>
      <c r="W13351" s="4"/>
      <c r="X13351" s="4"/>
      <c r="Y13351" s="4"/>
    </row>
    <row r="13352" spans="5:25">
      <c r="E13352"/>
      <c r="G13352"/>
      <c r="H13352"/>
      <c r="I13352"/>
      <c r="K13352"/>
      <c r="O13352"/>
      <c r="R13352"/>
      <c r="W13352" s="4"/>
      <c r="X13352" s="4"/>
      <c r="Y13352" s="4"/>
    </row>
    <row r="13353" spans="5:25">
      <c r="E13353"/>
      <c r="G13353"/>
      <c r="H13353"/>
      <c r="I13353"/>
      <c r="K13353"/>
      <c r="O13353"/>
      <c r="R13353"/>
      <c r="W13353" s="4"/>
      <c r="X13353" s="4"/>
      <c r="Y13353" s="4"/>
    </row>
    <row r="13354" spans="5:25">
      <c r="E13354"/>
      <c r="G13354"/>
      <c r="H13354"/>
      <c r="I13354"/>
      <c r="K13354"/>
      <c r="O13354"/>
      <c r="R13354"/>
      <c r="W13354" s="4"/>
      <c r="X13354" s="4"/>
      <c r="Y13354" s="4"/>
    </row>
    <row r="13355" spans="5:25">
      <c r="E13355"/>
      <c r="G13355"/>
      <c r="H13355"/>
      <c r="I13355"/>
      <c r="K13355"/>
      <c r="O13355"/>
      <c r="R13355"/>
      <c r="W13355" s="4"/>
      <c r="X13355" s="4"/>
      <c r="Y13355" s="4"/>
    </row>
    <row r="13356" spans="5:25">
      <c r="E13356"/>
      <c r="G13356"/>
      <c r="H13356"/>
      <c r="I13356"/>
      <c r="K13356"/>
      <c r="O13356"/>
      <c r="R13356"/>
      <c r="W13356" s="4"/>
      <c r="X13356" s="4"/>
      <c r="Y13356" s="4"/>
    </row>
    <row r="13357" spans="5:25">
      <c r="E13357"/>
      <c r="G13357"/>
      <c r="H13357"/>
      <c r="I13357"/>
      <c r="K13357"/>
      <c r="O13357"/>
      <c r="R13357"/>
      <c r="W13357" s="4"/>
      <c r="X13357" s="4"/>
      <c r="Y13357" s="4"/>
    </row>
    <row r="13358" spans="5:25">
      <c r="E13358"/>
      <c r="G13358"/>
      <c r="H13358"/>
      <c r="I13358"/>
      <c r="K13358"/>
      <c r="O13358"/>
      <c r="R13358"/>
      <c r="W13358" s="4"/>
      <c r="X13358" s="4"/>
      <c r="Y13358" s="4"/>
    </row>
    <row r="13359" spans="5:25">
      <c r="E13359"/>
      <c r="G13359"/>
      <c r="H13359"/>
      <c r="I13359"/>
      <c r="K13359"/>
      <c r="O13359"/>
      <c r="R13359"/>
      <c r="W13359" s="4"/>
      <c r="X13359" s="4"/>
      <c r="Y13359" s="4"/>
    </row>
    <row r="13360" spans="5:25">
      <c r="E13360"/>
      <c r="G13360"/>
      <c r="H13360"/>
      <c r="I13360"/>
      <c r="K13360"/>
      <c r="O13360"/>
      <c r="R13360"/>
      <c r="W13360" s="4"/>
      <c r="X13360" s="4"/>
      <c r="Y13360" s="4"/>
    </row>
    <row r="13361" spans="5:25">
      <c r="E13361"/>
      <c r="G13361"/>
      <c r="H13361"/>
      <c r="I13361"/>
      <c r="K13361"/>
      <c r="O13361"/>
      <c r="R13361"/>
      <c r="W13361" s="4"/>
      <c r="X13361" s="4"/>
      <c r="Y13361" s="4"/>
    </row>
    <row r="13362" spans="5:25">
      <c r="E13362"/>
      <c r="G13362"/>
      <c r="H13362"/>
      <c r="I13362"/>
      <c r="K13362"/>
      <c r="O13362"/>
      <c r="R13362"/>
      <c r="W13362" s="4"/>
      <c r="X13362" s="4"/>
      <c r="Y13362" s="4"/>
    </row>
    <row r="13363" spans="5:25">
      <c r="E13363"/>
      <c r="G13363"/>
      <c r="H13363"/>
      <c r="I13363"/>
      <c r="K13363"/>
      <c r="O13363"/>
      <c r="R13363"/>
      <c r="W13363" s="4"/>
      <c r="X13363" s="4"/>
      <c r="Y13363" s="4"/>
    </row>
    <row r="13364" spans="5:25">
      <c r="E13364"/>
      <c r="G13364"/>
      <c r="H13364"/>
      <c r="I13364"/>
      <c r="K13364"/>
      <c r="O13364"/>
      <c r="R13364"/>
      <c r="W13364" s="4"/>
      <c r="X13364" s="4"/>
      <c r="Y13364" s="4"/>
    </row>
    <row r="13365" spans="5:25">
      <c r="E13365"/>
      <c r="G13365"/>
      <c r="H13365"/>
      <c r="I13365"/>
      <c r="K13365"/>
      <c r="O13365"/>
      <c r="R13365"/>
      <c r="W13365" s="4"/>
      <c r="X13365" s="4"/>
      <c r="Y13365" s="4"/>
    </row>
    <row r="13366" spans="5:25">
      <c r="E13366"/>
      <c r="G13366"/>
      <c r="H13366"/>
      <c r="I13366"/>
      <c r="K13366"/>
      <c r="O13366"/>
      <c r="R13366"/>
      <c r="W13366" s="4"/>
      <c r="X13366" s="4"/>
      <c r="Y13366" s="4"/>
    </row>
    <row r="13367" spans="5:25">
      <c r="E13367"/>
      <c r="G13367"/>
      <c r="H13367"/>
      <c r="I13367"/>
      <c r="K13367"/>
      <c r="O13367"/>
      <c r="R13367"/>
      <c r="W13367" s="4"/>
      <c r="X13367" s="4"/>
      <c r="Y13367" s="4"/>
    </row>
    <row r="13368" spans="5:25">
      <c r="E13368"/>
      <c r="G13368"/>
      <c r="H13368"/>
      <c r="I13368"/>
      <c r="K13368"/>
      <c r="O13368"/>
      <c r="R13368"/>
      <c r="W13368" s="4"/>
      <c r="X13368" s="4"/>
      <c r="Y13368" s="4"/>
    </row>
    <row r="13369" spans="5:25">
      <c r="E13369"/>
      <c r="G13369"/>
      <c r="H13369"/>
      <c r="I13369"/>
      <c r="K13369"/>
      <c r="O13369"/>
      <c r="R13369"/>
      <c r="W13369" s="4"/>
      <c r="X13369" s="4"/>
      <c r="Y13369" s="4"/>
    </row>
    <row r="13370" spans="5:25">
      <c r="E13370"/>
      <c r="G13370"/>
      <c r="H13370"/>
      <c r="I13370"/>
      <c r="K13370"/>
      <c r="O13370"/>
      <c r="R13370"/>
      <c r="W13370" s="4"/>
      <c r="X13370" s="4"/>
      <c r="Y13370" s="4"/>
    </row>
    <row r="13371" spans="5:25">
      <c r="E13371"/>
      <c r="G13371"/>
      <c r="H13371"/>
      <c r="I13371"/>
      <c r="K13371"/>
      <c r="O13371"/>
      <c r="R13371"/>
      <c r="W13371" s="4"/>
      <c r="X13371" s="4"/>
      <c r="Y13371" s="4"/>
    </row>
    <row r="13372" spans="5:25">
      <c r="E13372"/>
      <c r="G13372"/>
      <c r="H13372"/>
      <c r="I13372"/>
      <c r="K13372"/>
      <c r="O13372"/>
      <c r="R13372"/>
      <c r="W13372" s="4"/>
      <c r="X13372" s="4"/>
      <c r="Y13372" s="4"/>
    </row>
    <row r="13373" spans="5:25">
      <c r="E13373"/>
      <c r="G13373"/>
      <c r="H13373"/>
      <c r="I13373"/>
      <c r="K13373"/>
      <c r="O13373"/>
      <c r="R13373"/>
      <c r="W13373" s="4"/>
      <c r="X13373" s="4"/>
      <c r="Y13373" s="4"/>
    </row>
    <row r="13374" spans="5:25">
      <c r="E13374"/>
      <c r="G13374"/>
      <c r="H13374"/>
      <c r="I13374"/>
      <c r="K13374"/>
      <c r="O13374"/>
      <c r="R13374"/>
      <c r="W13374" s="4"/>
      <c r="X13374" s="4"/>
      <c r="Y13374" s="4"/>
    </row>
    <row r="13375" spans="5:25">
      <c r="E13375"/>
      <c r="G13375"/>
      <c r="H13375"/>
      <c r="I13375"/>
      <c r="K13375"/>
      <c r="O13375"/>
      <c r="R13375"/>
      <c r="W13375" s="4"/>
      <c r="X13375" s="4"/>
      <c r="Y13375" s="4"/>
    </row>
    <row r="13376" spans="5:25">
      <c r="E13376"/>
      <c r="G13376"/>
      <c r="H13376"/>
      <c r="I13376"/>
      <c r="K13376"/>
      <c r="O13376"/>
      <c r="R13376"/>
      <c r="W13376" s="4"/>
      <c r="X13376" s="4"/>
      <c r="Y13376" s="4"/>
    </row>
    <row r="13377" spans="5:25">
      <c r="E13377"/>
      <c r="G13377"/>
      <c r="H13377"/>
      <c r="I13377"/>
      <c r="K13377"/>
      <c r="O13377"/>
      <c r="R13377"/>
      <c r="W13377" s="4"/>
      <c r="X13377" s="4"/>
      <c r="Y13377" s="4"/>
    </row>
    <row r="13378" spans="5:25">
      <c r="E13378"/>
      <c r="G13378"/>
      <c r="H13378"/>
      <c r="I13378"/>
      <c r="K13378"/>
      <c r="O13378"/>
      <c r="R13378"/>
      <c r="W13378" s="4"/>
      <c r="X13378" s="4"/>
      <c r="Y13378" s="4"/>
    </row>
    <row r="13379" spans="5:25">
      <c r="E13379"/>
      <c r="G13379"/>
      <c r="H13379"/>
      <c r="I13379"/>
      <c r="K13379"/>
      <c r="O13379"/>
      <c r="R13379"/>
      <c r="W13379" s="4"/>
      <c r="X13379" s="4"/>
      <c r="Y13379" s="4"/>
    </row>
    <row r="13380" spans="5:25">
      <c r="E13380"/>
      <c r="G13380"/>
      <c r="H13380"/>
      <c r="I13380"/>
      <c r="K13380"/>
      <c r="O13380"/>
      <c r="R13380"/>
      <c r="W13380" s="4"/>
      <c r="X13380" s="4"/>
      <c r="Y13380" s="4"/>
    </row>
    <row r="13381" spans="5:25">
      <c r="E13381"/>
      <c r="G13381"/>
      <c r="H13381"/>
      <c r="I13381"/>
      <c r="K13381"/>
      <c r="O13381"/>
      <c r="R13381"/>
      <c r="W13381" s="4"/>
      <c r="X13381" s="4"/>
      <c r="Y13381" s="4"/>
    </row>
    <row r="13382" spans="5:25">
      <c r="E13382"/>
      <c r="G13382"/>
      <c r="H13382"/>
      <c r="I13382"/>
      <c r="K13382"/>
      <c r="O13382"/>
      <c r="R13382"/>
      <c r="W13382" s="4"/>
      <c r="X13382" s="4"/>
      <c r="Y13382" s="4"/>
    </row>
    <row r="13383" spans="5:25">
      <c r="E13383"/>
      <c r="G13383"/>
      <c r="H13383"/>
      <c r="I13383"/>
      <c r="K13383"/>
      <c r="O13383"/>
      <c r="R13383"/>
      <c r="W13383" s="4"/>
      <c r="X13383" s="4"/>
      <c r="Y13383" s="4"/>
    </row>
    <row r="13384" spans="5:25">
      <c r="E13384"/>
      <c r="G13384"/>
      <c r="H13384"/>
      <c r="I13384"/>
      <c r="K13384"/>
      <c r="O13384"/>
      <c r="R13384"/>
      <c r="W13384" s="4"/>
      <c r="X13384" s="4"/>
      <c r="Y13384" s="4"/>
    </row>
    <row r="13385" spans="5:25">
      <c r="E13385"/>
      <c r="G13385"/>
      <c r="H13385"/>
      <c r="I13385"/>
      <c r="K13385"/>
      <c r="O13385"/>
      <c r="R13385"/>
      <c r="W13385" s="4"/>
      <c r="X13385" s="4"/>
      <c r="Y13385" s="4"/>
    </row>
    <row r="13386" spans="5:25">
      <c r="E13386"/>
      <c r="G13386"/>
      <c r="H13386"/>
      <c r="I13386"/>
      <c r="K13386"/>
      <c r="O13386"/>
      <c r="R13386"/>
      <c r="W13386" s="4"/>
      <c r="X13386" s="4"/>
      <c r="Y13386" s="4"/>
    </row>
    <row r="13387" spans="5:25">
      <c r="E13387"/>
      <c r="G13387"/>
      <c r="H13387"/>
      <c r="I13387"/>
      <c r="K13387"/>
      <c r="O13387"/>
      <c r="R13387"/>
      <c r="W13387" s="4"/>
      <c r="X13387" s="4"/>
      <c r="Y13387" s="4"/>
    </row>
    <row r="13388" spans="5:25">
      <c r="E13388"/>
      <c r="G13388"/>
      <c r="H13388"/>
      <c r="I13388"/>
      <c r="K13388"/>
      <c r="O13388"/>
      <c r="R13388"/>
      <c r="W13388" s="4"/>
      <c r="X13388" s="4"/>
      <c r="Y13388" s="4"/>
    </row>
    <row r="13389" spans="5:25">
      <c r="E13389"/>
      <c r="G13389"/>
      <c r="H13389"/>
      <c r="I13389"/>
      <c r="K13389"/>
      <c r="O13389"/>
      <c r="R13389"/>
      <c r="W13389" s="4"/>
      <c r="X13389" s="4"/>
      <c r="Y13389" s="4"/>
    </row>
    <row r="13390" spans="5:25">
      <c r="E13390"/>
      <c r="G13390"/>
      <c r="H13390"/>
      <c r="I13390"/>
      <c r="K13390"/>
      <c r="O13390"/>
      <c r="R13390"/>
      <c r="W13390" s="4"/>
      <c r="X13390" s="4"/>
      <c r="Y13390" s="4"/>
    </row>
    <row r="13391" spans="5:25">
      <c r="E13391"/>
      <c r="G13391"/>
      <c r="H13391"/>
      <c r="I13391"/>
      <c r="K13391"/>
      <c r="O13391"/>
      <c r="R13391"/>
      <c r="W13391" s="4"/>
      <c r="X13391" s="4"/>
      <c r="Y13391" s="4"/>
    </row>
    <row r="13392" spans="5:25">
      <c r="E13392"/>
      <c r="G13392"/>
      <c r="H13392"/>
      <c r="I13392"/>
      <c r="K13392"/>
      <c r="O13392"/>
      <c r="R13392"/>
      <c r="W13392" s="4"/>
      <c r="X13392" s="4"/>
      <c r="Y13392" s="4"/>
    </row>
    <row r="13393" spans="5:25">
      <c r="E13393"/>
      <c r="G13393"/>
      <c r="H13393"/>
      <c r="I13393"/>
      <c r="K13393"/>
      <c r="O13393"/>
      <c r="R13393"/>
      <c r="W13393" s="4"/>
      <c r="X13393" s="4"/>
      <c r="Y13393" s="4"/>
    </row>
    <row r="13394" spans="5:25">
      <c r="E13394"/>
      <c r="G13394"/>
      <c r="H13394"/>
      <c r="I13394"/>
      <c r="K13394"/>
      <c r="O13394"/>
      <c r="R13394"/>
      <c r="W13394" s="4"/>
      <c r="X13394" s="4"/>
      <c r="Y13394" s="4"/>
    </row>
    <row r="13395" spans="5:25">
      <c r="E13395"/>
      <c r="G13395"/>
      <c r="H13395"/>
      <c r="I13395"/>
      <c r="K13395"/>
      <c r="O13395"/>
      <c r="R13395"/>
      <c r="W13395" s="4"/>
      <c r="X13395" s="4"/>
      <c r="Y13395" s="4"/>
    </row>
    <row r="13396" spans="5:25">
      <c r="E13396"/>
      <c r="G13396"/>
      <c r="H13396"/>
      <c r="I13396"/>
      <c r="K13396"/>
      <c r="O13396"/>
      <c r="R13396"/>
      <c r="W13396" s="4"/>
      <c r="X13396" s="4"/>
      <c r="Y13396" s="4"/>
    </row>
    <row r="13397" spans="5:25">
      <c r="E13397"/>
      <c r="G13397"/>
      <c r="H13397"/>
      <c r="I13397"/>
      <c r="K13397"/>
      <c r="O13397"/>
      <c r="R13397"/>
      <c r="W13397" s="4"/>
      <c r="X13397" s="4"/>
      <c r="Y13397" s="4"/>
    </row>
    <row r="13398" spans="5:25">
      <c r="E13398"/>
      <c r="G13398"/>
      <c r="H13398"/>
      <c r="I13398"/>
      <c r="K13398"/>
      <c r="O13398"/>
      <c r="R13398"/>
      <c r="W13398" s="4"/>
      <c r="X13398" s="4"/>
      <c r="Y13398" s="4"/>
    </row>
    <row r="13399" spans="5:25">
      <c r="E13399"/>
      <c r="G13399"/>
      <c r="H13399"/>
      <c r="I13399"/>
      <c r="K13399"/>
      <c r="O13399"/>
      <c r="R13399"/>
      <c r="W13399" s="4"/>
      <c r="X13399" s="4"/>
      <c r="Y13399" s="4"/>
    </row>
    <row r="13400" spans="5:25">
      <c r="E13400"/>
      <c r="G13400"/>
      <c r="H13400"/>
      <c r="I13400"/>
      <c r="K13400"/>
      <c r="O13400"/>
      <c r="R13400"/>
      <c r="W13400" s="4"/>
      <c r="X13400" s="4"/>
      <c r="Y13400" s="4"/>
    </row>
    <row r="13401" spans="5:25">
      <c r="E13401"/>
      <c r="G13401"/>
      <c r="H13401"/>
      <c r="I13401"/>
      <c r="K13401"/>
      <c r="O13401"/>
      <c r="R13401"/>
      <c r="W13401" s="4"/>
      <c r="X13401" s="4"/>
      <c r="Y13401" s="4"/>
    </row>
    <row r="13402" spans="5:25">
      <c r="E13402"/>
      <c r="G13402"/>
      <c r="H13402"/>
      <c r="I13402"/>
      <c r="K13402"/>
      <c r="O13402"/>
      <c r="R13402"/>
      <c r="W13402" s="4"/>
      <c r="X13402" s="4"/>
      <c r="Y13402" s="4"/>
    </row>
    <row r="13403" spans="5:25">
      <c r="E13403"/>
      <c r="G13403"/>
      <c r="H13403"/>
      <c r="I13403"/>
      <c r="K13403"/>
      <c r="O13403"/>
      <c r="R13403"/>
      <c r="W13403" s="4"/>
      <c r="X13403" s="4"/>
      <c r="Y13403" s="4"/>
    </row>
    <row r="13404" spans="5:25">
      <c r="E13404"/>
      <c r="G13404"/>
      <c r="H13404"/>
      <c r="I13404"/>
      <c r="K13404"/>
      <c r="O13404"/>
      <c r="R13404"/>
      <c r="W13404" s="4"/>
      <c r="X13404" s="4"/>
      <c r="Y13404" s="4"/>
    </row>
    <row r="13405" spans="5:25">
      <c r="E13405"/>
      <c r="G13405"/>
      <c r="H13405"/>
      <c r="I13405"/>
      <c r="K13405"/>
      <c r="O13405"/>
      <c r="R13405"/>
      <c r="W13405" s="4"/>
      <c r="X13405" s="4"/>
      <c r="Y13405" s="4"/>
    </row>
    <row r="13406" spans="5:25">
      <c r="E13406"/>
      <c r="G13406"/>
      <c r="H13406"/>
      <c r="I13406"/>
      <c r="K13406"/>
      <c r="O13406"/>
      <c r="R13406"/>
      <c r="W13406" s="4"/>
      <c r="X13406" s="4"/>
      <c r="Y13406" s="4"/>
    </row>
    <row r="13407" spans="5:25">
      <c r="E13407"/>
      <c r="G13407"/>
      <c r="H13407"/>
      <c r="I13407"/>
      <c r="K13407"/>
      <c r="O13407"/>
      <c r="R13407"/>
      <c r="W13407" s="4"/>
      <c r="X13407" s="4"/>
      <c r="Y13407" s="4"/>
    </row>
    <row r="13408" spans="5:25">
      <c r="E13408"/>
      <c r="G13408"/>
      <c r="H13408"/>
      <c r="I13408"/>
      <c r="K13408"/>
      <c r="O13408"/>
      <c r="R13408"/>
      <c r="W13408" s="4"/>
      <c r="X13408" s="4"/>
      <c r="Y13408" s="4"/>
    </row>
    <row r="13409" spans="5:25">
      <c r="E13409"/>
      <c r="G13409"/>
      <c r="H13409"/>
      <c r="I13409"/>
      <c r="K13409"/>
      <c r="O13409"/>
      <c r="R13409"/>
      <c r="W13409" s="4"/>
      <c r="X13409" s="4"/>
      <c r="Y13409" s="4"/>
    </row>
    <row r="13410" spans="5:25">
      <c r="E13410"/>
      <c r="G13410"/>
      <c r="H13410"/>
      <c r="I13410"/>
      <c r="K13410"/>
      <c r="O13410"/>
      <c r="R13410"/>
      <c r="W13410" s="4"/>
      <c r="X13410" s="4"/>
      <c r="Y13410" s="4"/>
    </row>
    <row r="13411" spans="5:25">
      <c r="E13411"/>
      <c r="G13411"/>
      <c r="H13411"/>
      <c r="I13411"/>
      <c r="K13411"/>
      <c r="O13411"/>
      <c r="R13411"/>
      <c r="W13411" s="4"/>
      <c r="X13411" s="4"/>
      <c r="Y13411" s="4"/>
    </row>
    <row r="13412" spans="5:25">
      <c r="E13412"/>
      <c r="G13412"/>
      <c r="H13412"/>
      <c r="I13412"/>
      <c r="K13412"/>
      <c r="O13412"/>
      <c r="R13412"/>
      <c r="W13412" s="4"/>
      <c r="X13412" s="4"/>
      <c r="Y13412" s="4"/>
    </row>
    <row r="13413" spans="5:25">
      <c r="E13413"/>
      <c r="G13413"/>
      <c r="H13413"/>
      <c r="I13413"/>
      <c r="K13413"/>
      <c r="O13413"/>
      <c r="R13413"/>
      <c r="W13413" s="4"/>
      <c r="X13413" s="4"/>
      <c r="Y13413" s="4"/>
    </row>
    <row r="13414" spans="5:25">
      <c r="E13414"/>
      <c r="G13414"/>
      <c r="H13414"/>
      <c r="I13414"/>
      <c r="K13414"/>
      <c r="O13414"/>
      <c r="R13414"/>
      <c r="W13414" s="4"/>
      <c r="X13414" s="4"/>
      <c r="Y13414" s="4"/>
    </row>
    <row r="13415" spans="5:25">
      <c r="E13415"/>
      <c r="G13415"/>
      <c r="H13415"/>
      <c r="I13415"/>
      <c r="K13415"/>
      <c r="O13415"/>
      <c r="R13415"/>
      <c r="W13415" s="4"/>
      <c r="X13415" s="4"/>
      <c r="Y13415" s="4"/>
    </row>
    <row r="13416" spans="5:25">
      <c r="E13416"/>
      <c r="G13416"/>
      <c r="H13416"/>
      <c r="I13416"/>
      <c r="K13416"/>
      <c r="O13416"/>
      <c r="R13416"/>
      <c r="W13416" s="4"/>
      <c r="X13416" s="4"/>
      <c r="Y13416" s="4"/>
    </row>
    <row r="13417" spans="5:25">
      <c r="E13417"/>
      <c r="G13417"/>
      <c r="H13417"/>
      <c r="I13417"/>
      <c r="K13417"/>
      <c r="O13417"/>
      <c r="R13417"/>
      <c r="W13417" s="4"/>
      <c r="X13417" s="4"/>
      <c r="Y13417" s="4"/>
    </row>
    <row r="13418" spans="5:25">
      <c r="E13418"/>
      <c r="G13418"/>
      <c r="H13418"/>
      <c r="I13418"/>
      <c r="K13418"/>
      <c r="O13418"/>
      <c r="R13418"/>
      <c r="W13418" s="4"/>
      <c r="X13418" s="4"/>
      <c r="Y13418" s="4"/>
    </row>
    <row r="13419" spans="5:25">
      <c r="E13419"/>
      <c r="G13419"/>
      <c r="H13419"/>
      <c r="I13419"/>
      <c r="K13419"/>
      <c r="O13419"/>
      <c r="R13419"/>
      <c r="W13419" s="4"/>
      <c r="X13419" s="4"/>
      <c r="Y13419" s="4"/>
    </row>
    <row r="13420" spans="5:25">
      <c r="E13420"/>
      <c r="G13420"/>
      <c r="H13420"/>
      <c r="I13420"/>
      <c r="K13420"/>
      <c r="O13420"/>
      <c r="R13420"/>
      <c r="W13420" s="4"/>
      <c r="X13420" s="4"/>
      <c r="Y13420" s="4"/>
    </row>
    <row r="13421" spans="5:25">
      <c r="E13421"/>
      <c r="G13421"/>
      <c r="H13421"/>
      <c r="I13421"/>
      <c r="K13421"/>
      <c r="O13421"/>
      <c r="R13421"/>
      <c r="W13421" s="4"/>
      <c r="X13421" s="4"/>
      <c r="Y13421" s="4"/>
    </row>
    <row r="13422" spans="5:25">
      <c r="E13422"/>
      <c r="G13422"/>
      <c r="H13422"/>
      <c r="I13422"/>
      <c r="K13422"/>
      <c r="O13422"/>
      <c r="R13422"/>
      <c r="W13422" s="4"/>
      <c r="X13422" s="4"/>
      <c r="Y13422" s="4"/>
    </row>
    <row r="13423" spans="5:25">
      <c r="E13423"/>
      <c r="G13423"/>
      <c r="H13423"/>
      <c r="I13423"/>
      <c r="K13423"/>
      <c r="O13423"/>
      <c r="R13423"/>
      <c r="W13423" s="4"/>
      <c r="X13423" s="4"/>
      <c r="Y13423" s="4"/>
    </row>
    <row r="13424" spans="5:25">
      <c r="E13424"/>
      <c r="G13424"/>
      <c r="H13424"/>
      <c r="I13424"/>
      <c r="K13424"/>
      <c r="O13424"/>
      <c r="R13424"/>
      <c r="W13424" s="4"/>
      <c r="X13424" s="4"/>
      <c r="Y13424" s="4"/>
    </row>
    <row r="13425" spans="5:25">
      <c r="E13425"/>
      <c r="G13425"/>
      <c r="H13425"/>
      <c r="I13425"/>
      <c r="K13425"/>
      <c r="O13425"/>
      <c r="R13425"/>
      <c r="W13425" s="4"/>
      <c r="X13425" s="4"/>
      <c r="Y13425" s="4"/>
    </row>
    <row r="13426" spans="5:25">
      <c r="E13426"/>
      <c r="G13426"/>
      <c r="H13426"/>
      <c r="I13426"/>
      <c r="K13426"/>
      <c r="O13426"/>
      <c r="R13426"/>
      <c r="W13426" s="4"/>
      <c r="X13426" s="4"/>
      <c r="Y13426" s="4"/>
    </row>
    <row r="13427" spans="5:25">
      <c r="E13427"/>
      <c r="G13427"/>
      <c r="H13427"/>
      <c r="I13427"/>
      <c r="K13427"/>
      <c r="O13427"/>
      <c r="R13427"/>
      <c r="W13427" s="4"/>
      <c r="X13427" s="4"/>
      <c r="Y13427" s="4"/>
    </row>
    <row r="13428" spans="5:25">
      <c r="E13428"/>
      <c r="G13428"/>
      <c r="H13428"/>
      <c r="I13428"/>
      <c r="K13428"/>
      <c r="O13428"/>
      <c r="R13428"/>
      <c r="W13428" s="4"/>
      <c r="X13428" s="4"/>
      <c r="Y13428" s="4"/>
    </row>
    <row r="13429" spans="5:25">
      <c r="E13429"/>
      <c r="G13429"/>
      <c r="H13429"/>
      <c r="I13429"/>
      <c r="K13429"/>
      <c r="O13429"/>
      <c r="R13429"/>
      <c r="W13429" s="4"/>
      <c r="X13429" s="4"/>
      <c r="Y13429" s="4"/>
    </row>
    <row r="13430" spans="5:25">
      <c r="E13430"/>
      <c r="G13430"/>
      <c r="H13430"/>
      <c r="I13430"/>
      <c r="K13430"/>
      <c r="O13430"/>
      <c r="R13430"/>
      <c r="W13430" s="4"/>
      <c r="X13430" s="4"/>
      <c r="Y13430" s="4"/>
    </row>
    <row r="13431" spans="5:25">
      <c r="E13431"/>
      <c r="G13431"/>
      <c r="H13431"/>
      <c r="I13431"/>
      <c r="K13431"/>
      <c r="O13431"/>
      <c r="R13431"/>
      <c r="W13431" s="4"/>
      <c r="X13431" s="4"/>
      <c r="Y13431" s="4"/>
    </row>
    <row r="13432" spans="5:25">
      <c r="E13432"/>
      <c r="G13432"/>
      <c r="H13432"/>
      <c r="I13432"/>
      <c r="K13432"/>
      <c r="O13432"/>
      <c r="R13432"/>
      <c r="W13432" s="4"/>
      <c r="X13432" s="4"/>
      <c r="Y13432" s="4"/>
    </row>
    <row r="13433" spans="5:25">
      <c r="E13433"/>
      <c r="G13433"/>
      <c r="H13433"/>
      <c r="I13433"/>
      <c r="K13433"/>
      <c r="O13433"/>
      <c r="R13433"/>
      <c r="W13433" s="4"/>
      <c r="X13433" s="4"/>
      <c r="Y13433" s="4"/>
    </row>
    <row r="13434" spans="5:25">
      <c r="E13434"/>
      <c r="G13434"/>
      <c r="H13434"/>
      <c r="I13434"/>
      <c r="K13434"/>
      <c r="O13434"/>
      <c r="R13434"/>
      <c r="W13434" s="4"/>
      <c r="X13434" s="4"/>
      <c r="Y13434" s="4"/>
    </row>
    <row r="13435" spans="5:25">
      <c r="E13435"/>
      <c r="G13435"/>
      <c r="H13435"/>
      <c r="I13435"/>
      <c r="K13435"/>
      <c r="O13435"/>
      <c r="R13435"/>
      <c r="W13435" s="4"/>
      <c r="X13435" s="4"/>
      <c r="Y13435" s="4"/>
    </row>
    <row r="13436" spans="5:25">
      <c r="E13436"/>
      <c r="G13436"/>
      <c r="H13436"/>
      <c r="I13436"/>
      <c r="K13436"/>
      <c r="O13436"/>
      <c r="R13436"/>
      <c r="W13436" s="4"/>
      <c r="X13436" s="4"/>
      <c r="Y13436" s="4"/>
    </row>
    <row r="13437" spans="5:25">
      <c r="E13437"/>
      <c r="G13437"/>
      <c r="H13437"/>
      <c r="I13437"/>
      <c r="K13437"/>
      <c r="O13437"/>
      <c r="R13437"/>
      <c r="W13437" s="4"/>
      <c r="X13437" s="4"/>
      <c r="Y13437" s="4"/>
    </row>
    <row r="13438" spans="5:25">
      <c r="E13438"/>
      <c r="G13438"/>
      <c r="H13438"/>
      <c r="I13438"/>
      <c r="K13438"/>
      <c r="O13438"/>
      <c r="R13438"/>
      <c r="W13438" s="4"/>
      <c r="X13438" s="4"/>
      <c r="Y13438" s="4"/>
    </row>
    <row r="13439" spans="5:25">
      <c r="E13439"/>
      <c r="G13439"/>
      <c r="H13439"/>
      <c r="I13439"/>
      <c r="K13439"/>
      <c r="O13439"/>
      <c r="R13439"/>
      <c r="W13439" s="4"/>
      <c r="X13439" s="4"/>
      <c r="Y13439" s="4"/>
    </row>
    <row r="13440" spans="5:25">
      <c r="E13440"/>
      <c r="G13440"/>
      <c r="H13440"/>
      <c r="I13440"/>
      <c r="K13440"/>
      <c r="O13440"/>
      <c r="R13440"/>
      <c r="W13440" s="4"/>
      <c r="X13440" s="4"/>
      <c r="Y13440" s="4"/>
    </row>
    <row r="13441" spans="5:25">
      <c r="E13441"/>
      <c r="G13441"/>
      <c r="H13441"/>
      <c r="I13441"/>
      <c r="K13441"/>
      <c r="O13441"/>
      <c r="R13441"/>
      <c r="W13441" s="4"/>
      <c r="X13441" s="4"/>
      <c r="Y13441" s="4"/>
    </row>
    <row r="13442" spans="5:25">
      <c r="E13442"/>
      <c r="G13442"/>
      <c r="H13442"/>
      <c r="I13442"/>
      <c r="K13442"/>
      <c r="O13442"/>
      <c r="R13442"/>
      <c r="W13442" s="4"/>
      <c r="X13442" s="4"/>
      <c r="Y13442" s="4"/>
    </row>
    <row r="13443" spans="5:25">
      <c r="E13443"/>
      <c r="G13443"/>
      <c r="H13443"/>
      <c r="I13443"/>
      <c r="K13443"/>
      <c r="O13443"/>
      <c r="R13443"/>
      <c r="W13443" s="4"/>
      <c r="X13443" s="4"/>
      <c r="Y13443" s="4"/>
    </row>
    <row r="13444" spans="5:25">
      <c r="E13444"/>
      <c r="G13444"/>
      <c r="H13444"/>
      <c r="I13444"/>
      <c r="K13444"/>
      <c r="O13444"/>
      <c r="R13444"/>
      <c r="W13444" s="4"/>
      <c r="X13444" s="4"/>
      <c r="Y13444" s="4"/>
    </row>
    <row r="13445" spans="5:25">
      <c r="E13445"/>
      <c r="G13445"/>
      <c r="H13445"/>
      <c r="I13445"/>
      <c r="K13445"/>
      <c r="O13445"/>
      <c r="R13445"/>
      <c r="W13445" s="4"/>
      <c r="X13445" s="4"/>
      <c r="Y13445" s="4"/>
    </row>
    <row r="13446" spans="5:25">
      <c r="E13446"/>
      <c r="G13446"/>
      <c r="H13446"/>
      <c r="I13446"/>
      <c r="K13446"/>
      <c r="O13446"/>
      <c r="R13446"/>
      <c r="W13446" s="4"/>
      <c r="X13446" s="4"/>
      <c r="Y13446" s="4"/>
    </row>
    <row r="13447" spans="5:25">
      <c r="E13447"/>
      <c r="G13447"/>
      <c r="H13447"/>
      <c r="I13447"/>
      <c r="K13447"/>
      <c r="O13447"/>
      <c r="R13447"/>
      <c r="W13447" s="4"/>
      <c r="X13447" s="4"/>
      <c r="Y13447" s="4"/>
    </row>
    <row r="13448" spans="5:25">
      <c r="E13448"/>
      <c r="G13448"/>
      <c r="H13448"/>
      <c r="I13448"/>
      <c r="K13448"/>
      <c r="O13448"/>
      <c r="R13448"/>
      <c r="W13448" s="4"/>
      <c r="X13448" s="4"/>
      <c r="Y13448" s="4"/>
    </row>
    <row r="13449" spans="5:25">
      <c r="E13449"/>
      <c r="G13449"/>
      <c r="H13449"/>
      <c r="I13449"/>
      <c r="K13449"/>
      <c r="O13449"/>
      <c r="R13449"/>
      <c r="W13449" s="4"/>
      <c r="X13449" s="4"/>
      <c r="Y13449" s="4"/>
    </row>
    <row r="13450" spans="5:25">
      <c r="E13450"/>
      <c r="G13450"/>
      <c r="H13450"/>
      <c r="I13450"/>
      <c r="K13450"/>
      <c r="O13450"/>
      <c r="R13450"/>
      <c r="W13450" s="4"/>
      <c r="X13450" s="4"/>
      <c r="Y13450" s="4"/>
    </row>
    <row r="13451" spans="5:25">
      <c r="E13451"/>
      <c r="G13451"/>
      <c r="H13451"/>
      <c r="I13451"/>
      <c r="K13451"/>
      <c r="O13451"/>
      <c r="R13451"/>
      <c r="W13451" s="4"/>
      <c r="X13451" s="4"/>
      <c r="Y13451" s="4"/>
    </row>
    <row r="13452" spans="5:25">
      <c r="E13452"/>
      <c r="G13452"/>
      <c r="H13452"/>
      <c r="I13452"/>
      <c r="K13452"/>
      <c r="O13452"/>
      <c r="R13452"/>
      <c r="W13452" s="4"/>
      <c r="X13452" s="4"/>
      <c r="Y13452" s="4"/>
    </row>
    <row r="13453" spans="5:25">
      <c r="E13453"/>
      <c r="G13453"/>
      <c r="H13453"/>
      <c r="I13453"/>
      <c r="K13453"/>
      <c r="O13453"/>
      <c r="R13453"/>
      <c r="W13453" s="4"/>
      <c r="X13453" s="4"/>
      <c r="Y13453" s="4"/>
    </row>
    <row r="13454" spans="5:25">
      <c r="E13454"/>
      <c r="G13454"/>
      <c r="H13454"/>
      <c r="I13454"/>
      <c r="K13454"/>
      <c r="O13454"/>
      <c r="R13454"/>
      <c r="W13454" s="4"/>
      <c r="X13454" s="4"/>
      <c r="Y13454" s="4"/>
    </row>
    <row r="13455" spans="5:25">
      <c r="E13455"/>
      <c r="G13455"/>
      <c r="H13455"/>
      <c r="I13455"/>
      <c r="K13455"/>
      <c r="O13455"/>
      <c r="R13455"/>
      <c r="W13455" s="4"/>
      <c r="X13455" s="4"/>
      <c r="Y13455" s="4"/>
    </row>
    <row r="13456" spans="5:25">
      <c r="E13456"/>
      <c r="G13456"/>
      <c r="H13456"/>
      <c r="I13456"/>
      <c r="K13456"/>
      <c r="O13456"/>
      <c r="R13456"/>
      <c r="W13456" s="4"/>
      <c r="X13456" s="4"/>
      <c r="Y13456" s="4"/>
    </row>
    <row r="13457" spans="5:25">
      <c r="E13457"/>
      <c r="G13457"/>
      <c r="H13457"/>
      <c r="I13457"/>
      <c r="K13457"/>
      <c r="O13457"/>
      <c r="R13457"/>
      <c r="W13457" s="4"/>
      <c r="X13457" s="4"/>
      <c r="Y13457" s="4"/>
    </row>
    <row r="13458" spans="5:25">
      <c r="E13458"/>
      <c r="G13458"/>
      <c r="H13458"/>
      <c r="I13458"/>
      <c r="K13458"/>
      <c r="O13458"/>
      <c r="R13458"/>
      <c r="W13458" s="4"/>
      <c r="X13458" s="4"/>
      <c r="Y13458" s="4"/>
    </row>
    <row r="13459" spans="5:25">
      <c r="E13459"/>
      <c r="G13459"/>
      <c r="H13459"/>
      <c r="I13459"/>
      <c r="K13459"/>
      <c r="O13459"/>
      <c r="R13459"/>
      <c r="W13459" s="4"/>
      <c r="X13459" s="4"/>
      <c r="Y13459" s="4"/>
    </row>
    <row r="13460" spans="5:25">
      <c r="E13460"/>
      <c r="G13460"/>
      <c r="H13460"/>
      <c r="I13460"/>
      <c r="K13460"/>
      <c r="O13460"/>
      <c r="R13460"/>
      <c r="W13460" s="4"/>
      <c r="X13460" s="4"/>
      <c r="Y13460" s="4"/>
    </row>
    <row r="13461" spans="5:25">
      <c r="E13461"/>
      <c r="G13461"/>
      <c r="H13461"/>
      <c r="I13461"/>
      <c r="K13461"/>
      <c r="O13461"/>
      <c r="R13461"/>
      <c r="W13461" s="4"/>
      <c r="X13461" s="4"/>
      <c r="Y13461" s="4"/>
    </row>
    <row r="13462" spans="5:25">
      <c r="E13462"/>
      <c r="G13462"/>
      <c r="H13462"/>
      <c r="I13462"/>
      <c r="K13462"/>
      <c r="O13462"/>
      <c r="R13462"/>
      <c r="W13462" s="4"/>
      <c r="X13462" s="4"/>
      <c r="Y13462" s="4"/>
    </row>
    <row r="13463" spans="5:25">
      <c r="E13463"/>
      <c r="G13463"/>
      <c r="H13463"/>
      <c r="I13463"/>
      <c r="K13463"/>
      <c r="O13463"/>
      <c r="R13463"/>
      <c r="W13463" s="4"/>
      <c r="X13463" s="4"/>
      <c r="Y13463" s="4"/>
    </row>
    <row r="13464" spans="5:25">
      <c r="E13464"/>
      <c r="G13464"/>
      <c r="H13464"/>
      <c r="I13464"/>
      <c r="K13464"/>
      <c r="O13464"/>
      <c r="R13464"/>
      <c r="W13464" s="4"/>
      <c r="X13464" s="4"/>
      <c r="Y13464" s="4"/>
    </row>
    <row r="13465" spans="5:25">
      <c r="E13465"/>
      <c r="G13465"/>
      <c r="H13465"/>
      <c r="I13465"/>
      <c r="K13465"/>
      <c r="O13465"/>
      <c r="R13465"/>
      <c r="W13465" s="4"/>
      <c r="X13465" s="4"/>
      <c r="Y13465" s="4"/>
    </row>
    <row r="13466" spans="5:25">
      <c r="E13466"/>
      <c r="G13466"/>
      <c r="H13466"/>
      <c r="I13466"/>
      <c r="K13466"/>
      <c r="O13466"/>
      <c r="R13466"/>
      <c r="W13466" s="4"/>
      <c r="X13466" s="4"/>
      <c r="Y13466" s="4"/>
    </row>
    <row r="13467" spans="5:25">
      <c r="E13467"/>
      <c r="G13467"/>
      <c r="H13467"/>
      <c r="I13467"/>
      <c r="K13467"/>
      <c r="O13467"/>
      <c r="R13467"/>
      <c r="W13467" s="4"/>
      <c r="X13467" s="4"/>
      <c r="Y13467" s="4"/>
    </row>
    <row r="13468" spans="5:25">
      <c r="E13468"/>
      <c r="G13468"/>
      <c r="H13468"/>
      <c r="I13468"/>
      <c r="K13468"/>
      <c r="O13468"/>
      <c r="R13468"/>
      <c r="W13468" s="4"/>
      <c r="X13468" s="4"/>
      <c r="Y13468" s="4"/>
    </row>
    <row r="13469" spans="5:25">
      <c r="E13469"/>
      <c r="G13469"/>
      <c r="H13469"/>
      <c r="I13469"/>
      <c r="K13469"/>
      <c r="O13469"/>
      <c r="R13469"/>
      <c r="W13469" s="4"/>
      <c r="X13469" s="4"/>
      <c r="Y13469" s="4"/>
    </row>
    <row r="13470" spans="5:25">
      <c r="E13470"/>
      <c r="G13470"/>
      <c r="H13470"/>
      <c r="I13470"/>
      <c r="K13470"/>
      <c r="O13470"/>
      <c r="R13470"/>
      <c r="W13470" s="4"/>
      <c r="X13470" s="4"/>
      <c r="Y13470" s="4"/>
    </row>
    <row r="13471" spans="5:25">
      <c r="E13471"/>
      <c r="G13471"/>
      <c r="H13471"/>
      <c r="I13471"/>
      <c r="K13471"/>
      <c r="O13471"/>
      <c r="R13471"/>
      <c r="W13471" s="4"/>
      <c r="X13471" s="4"/>
      <c r="Y13471" s="4"/>
    </row>
    <row r="13472" spans="5:25">
      <c r="E13472"/>
      <c r="G13472"/>
      <c r="H13472"/>
      <c r="I13472"/>
      <c r="K13472"/>
      <c r="O13472"/>
      <c r="R13472"/>
      <c r="W13472" s="4"/>
      <c r="X13472" s="4"/>
      <c r="Y13472" s="4"/>
    </row>
    <row r="13473" spans="5:25">
      <c r="E13473"/>
      <c r="G13473"/>
      <c r="H13473"/>
      <c r="I13473"/>
      <c r="K13473"/>
      <c r="O13473"/>
      <c r="R13473"/>
      <c r="W13473" s="4"/>
      <c r="X13473" s="4"/>
      <c r="Y13473" s="4"/>
    </row>
    <row r="13474" spans="5:25">
      <c r="E13474"/>
      <c r="G13474"/>
      <c r="H13474"/>
      <c r="I13474"/>
      <c r="K13474"/>
      <c r="O13474"/>
      <c r="R13474"/>
      <c r="W13474" s="4"/>
      <c r="X13474" s="4"/>
      <c r="Y13474" s="4"/>
    </row>
    <row r="13475" spans="5:25">
      <c r="E13475"/>
      <c r="G13475"/>
      <c r="H13475"/>
      <c r="I13475"/>
      <c r="K13475"/>
      <c r="O13475"/>
      <c r="R13475"/>
      <c r="W13475" s="4"/>
      <c r="X13475" s="4"/>
      <c r="Y13475" s="4"/>
    </row>
    <row r="13476" spans="5:25">
      <c r="E13476"/>
      <c r="G13476"/>
      <c r="H13476"/>
      <c r="I13476"/>
      <c r="K13476"/>
      <c r="O13476"/>
      <c r="R13476"/>
      <c r="W13476" s="4"/>
      <c r="X13476" s="4"/>
      <c r="Y13476" s="4"/>
    </row>
    <row r="13477" spans="5:25">
      <c r="E13477"/>
      <c r="G13477"/>
      <c r="H13477"/>
      <c r="I13477"/>
      <c r="K13477"/>
      <c r="O13477"/>
      <c r="R13477"/>
      <c r="W13477" s="4"/>
      <c r="X13477" s="4"/>
      <c r="Y13477" s="4"/>
    </row>
    <row r="13478" spans="5:25">
      <c r="E13478"/>
      <c r="G13478"/>
      <c r="H13478"/>
      <c r="I13478"/>
      <c r="K13478"/>
      <c r="O13478"/>
      <c r="R13478"/>
      <c r="W13478" s="4"/>
      <c r="X13478" s="4"/>
      <c r="Y13478" s="4"/>
    </row>
    <row r="13479" spans="5:25">
      <c r="E13479"/>
      <c r="G13479"/>
      <c r="H13479"/>
      <c r="I13479"/>
      <c r="K13479"/>
      <c r="O13479"/>
      <c r="R13479"/>
      <c r="W13479" s="4"/>
      <c r="X13479" s="4"/>
      <c r="Y13479" s="4"/>
    </row>
    <row r="13480" spans="5:25">
      <c r="E13480"/>
      <c r="G13480"/>
      <c r="H13480"/>
      <c r="I13480"/>
      <c r="K13480"/>
      <c r="O13480"/>
      <c r="R13480"/>
      <c r="W13480" s="4"/>
      <c r="X13480" s="4"/>
      <c r="Y13480" s="4"/>
    </row>
    <row r="13481" spans="5:25">
      <c r="E13481"/>
      <c r="G13481"/>
      <c r="H13481"/>
      <c r="I13481"/>
      <c r="K13481"/>
      <c r="O13481"/>
      <c r="R13481"/>
      <c r="W13481" s="4"/>
      <c r="X13481" s="4"/>
      <c r="Y13481" s="4"/>
    </row>
    <row r="13482" spans="5:25">
      <c r="E13482"/>
      <c r="G13482"/>
      <c r="H13482"/>
      <c r="I13482"/>
      <c r="K13482"/>
      <c r="O13482"/>
      <c r="R13482"/>
      <c r="W13482" s="4"/>
      <c r="X13482" s="4"/>
      <c r="Y13482" s="4"/>
    </row>
    <row r="13483" spans="5:25">
      <c r="E13483"/>
      <c r="G13483"/>
      <c r="H13483"/>
      <c r="I13483"/>
      <c r="K13483"/>
      <c r="O13483"/>
      <c r="R13483"/>
      <c r="W13483" s="4"/>
      <c r="X13483" s="4"/>
      <c r="Y13483" s="4"/>
    </row>
    <row r="13484" spans="5:25">
      <c r="E13484"/>
      <c r="G13484"/>
      <c r="H13484"/>
      <c r="I13484"/>
      <c r="K13484"/>
      <c r="O13484"/>
      <c r="R13484"/>
      <c r="W13484" s="4"/>
      <c r="X13484" s="4"/>
      <c r="Y13484" s="4"/>
    </row>
    <row r="13485" spans="5:25">
      <c r="E13485"/>
      <c r="G13485"/>
      <c r="H13485"/>
      <c r="I13485"/>
      <c r="K13485"/>
      <c r="O13485"/>
      <c r="R13485"/>
      <c r="W13485" s="4"/>
      <c r="X13485" s="4"/>
      <c r="Y13485" s="4"/>
    </row>
    <row r="13486" spans="5:25">
      <c r="E13486"/>
      <c r="G13486"/>
      <c r="H13486"/>
      <c r="I13486"/>
      <c r="K13486"/>
      <c r="O13486"/>
      <c r="R13486"/>
      <c r="W13486" s="4"/>
      <c r="X13486" s="4"/>
      <c r="Y13486" s="4"/>
    </row>
    <row r="13487" spans="5:25">
      <c r="E13487"/>
      <c r="G13487"/>
      <c r="H13487"/>
      <c r="I13487"/>
      <c r="K13487"/>
      <c r="O13487"/>
      <c r="R13487"/>
      <c r="W13487" s="4"/>
      <c r="X13487" s="4"/>
      <c r="Y13487" s="4"/>
    </row>
    <row r="13488" spans="5:25">
      <c r="E13488"/>
      <c r="G13488"/>
      <c r="H13488"/>
      <c r="I13488"/>
      <c r="K13488"/>
      <c r="O13488"/>
      <c r="R13488"/>
      <c r="W13488" s="4"/>
      <c r="X13488" s="4"/>
      <c r="Y13488" s="4"/>
    </row>
    <row r="13489" spans="5:25">
      <c r="E13489"/>
      <c r="G13489"/>
      <c r="H13489"/>
      <c r="I13489"/>
      <c r="K13489"/>
      <c r="O13489"/>
      <c r="R13489"/>
      <c r="W13489" s="4"/>
      <c r="X13489" s="4"/>
      <c r="Y13489" s="4"/>
    </row>
    <row r="13490" spans="5:25">
      <c r="E13490"/>
      <c r="G13490"/>
      <c r="H13490"/>
      <c r="I13490"/>
      <c r="K13490"/>
      <c r="O13490"/>
      <c r="R13490"/>
      <c r="W13490" s="4"/>
      <c r="X13490" s="4"/>
      <c r="Y13490" s="4"/>
    </row>
    <row r="13491" spans="5:25">
      <c r="E13491"/>
      <c r="G13491"/>
      <c r="H13491"/>
      <c r="I13491"/>
      <c r="K13491"/>
      <c r="O13491"/>
      <c r="R13491"/>
      <c r="W13491" s="4"/>
      <c r="X13491" s="4"/>
      <c r="Y13491" s="4"/>
    </row>
    <row r="13492" spans="5:25">
      <c r="E13492"/>
      <c r="G13492"/>
      <c r="H13492"/>
      <c r="I13492"/>
      <c r="K13492"/>
      <c r="O13492"/>
      <c r="R13492"/>
      <c r="W13492" s="4"/>
      <c r="X13492" s="4"/>
      <c r="Y13492" s="4"/>
    </row>
    <row r="13493" spans="5:25">
      <c r="E13493"/>
      <c r="G13493"/>
      <c r="H13493"/>
      <c r="I13493"/>
      <c r="K13493"/>
      <c r="O13493"/>
      <c r="R13493"/>
      <c r="W13493" s="4"/>
      <c r="X13493" s="4"/>
      <c r="Y13493" s="4"/>
    </row>
    <row r="13494" spans="5:25">
      <c r="E13494"/>
      <c r="G13494"/>
      <c r="H13494"/>
      <c r="I13494"/>
      <c r="K13494"/>
      <c r="O13494"/>
      <c r="R13494"/>
      <c r="W13494" s="4"/>
      <c r="X13494" s="4"/>
      <c r="Y13494" s="4"/>
    </row>
    <row r="13495" spans="5:25">
      <c r="E13495"/>
      <c r="G13495"/>
      <c r="H13495"/>
      <c r="I13495"/>
      <c r="K13495"/>
      <c r="O13495"/>
      <c r="R13495"/>
      <c r="W13495" s="4"/>
      <c r="X13495" s="4"/>
      <c r="Y13495" s="4"/>
    </row>
    <row r="13496" spans="5:25">
      <c r="E13496"/>
      <c r="G13496"/>
      <c r="H13496"/>
      <c r="I13496"/>
      <c r="K13496"/>
      <c r="O13496"/>
      <c r="R13496"/>
      <c r="W13496" s="4"/>
      <c r="X13496" s="4"/>
      <c r="Y13496" s="4"/>
    </row>
    <row r="13497" spans="5:25">
      <c r="E13497"/>
      <c r="G13497"/>
      <c r="H13497"/>
      <c r="I13497"/>
      <c r="K13497"/>
      <c r="O13497"/>
      <c r="R13497"/>
      <c r="W13497" s="4"/>
      <c r="X13497" s="4"/>
      <c r="Y13497" s="4"/>
    </row>
    <row r="13498" spans="5:25">
      <c r="E13498"/>
      <c r="G13498"/>
      <c r="H13498"/>
      <c r="I13498"/>
      <c r="K13498"/>
      <c r="O13498"/>
      <c r="R13498"/>
      <c r="W13498" s="4"/>
      <c r="X13498" s="4"/>
      <c r="Y13498" s="4"/>
    </row>
    <row r="13499" spans="5:25">
      <c r="E13499"/>
      <c r="G13499"/>
      <c r="H13499"/>
      <c r="I13499"/>
      <c r="K13499"/>
      <c r="O13499"/>
      <c r="R13499"/>
      <c r="W13499" s="4"/>
      <c r="X13499" s="4"/>
      <c r="Y13499" s="4"/>
    </row>
    <row r="13500" spans="5:25">
      <c r="E13500"/>
      <c r="G13500"/>
      <c r="H13500"/>
      <c r="I13500"/>
      <c r="K13500"/>
      <c r="O13500"/>
      <c r="R13500"/>
      <c r="W13500" s="4"/>
      <c r="X13500" s="4"/>
      <c r="Y13500" s="4"/>
    </row>
    <row r="13501" spans="5:25">
      <c r="E13501"/>
      <c r="G13501"/>
      <c r="H13501"/>
      <c r="I13501"/>
      <c r="K13501"/>
      <c r="O13501"/>
      <c r="R13501"/>
      <c r="W13501" s="4"/>
      <c r="X13501" s="4"/>
      <c r="Y13501" s="4"/>
    </row>
    <row r="13502" spans="5:25">
      <c r="E13502"/>
      <c r="G13502"/>
      <c r="H13502"/>
      <c r="I13502"/>
      <c r="K13502"/>
      <c r="O13502"/>
      <c r="R13502"/>
      <c r="W13502" s="4"/>
      <c r="X13502" s="4"/>
      <c r="Y13502" s="4"/>
    </row>
    <row r="13503" spans="5:25">
      <c r="E13503"/>
      <c r="G13503"/>
      <c r="H13503"/>
      <c r="I13503"/>
      <c r="K13503"/>
      <c r="O13503"/>
      <c r="R13503"/>
      <c r="W13503" s="4"/>
      <c r="X13503" s="4"/>
      <c r="Y13503" s="4"/>
    </row>
    <row r="13504" spans="5:25">
      <c r="E13504"/>
      <c r="G13504"/>
      <c r="H13504"/>
      <c r="I13504"/>
      <c r="K13504"/>
      <c r="O13504"/>
      <c r="R13504"/>
      <c r="W13504" s="4"/>
      <c r="X13504" s="4"/>
      <c r="Y13504" s="4"/>
    </row>
    <row r="13505" spans="5:25">
      <c r="E13505"/>
      <c r="G13505"/>
      <c r="H13505"/>
      <c r="I13505"/>
      <c r="K13505"/>
      <c r="O13505"/>
      <c r="R13505"/>
      <c r="W13505" s="4"/>
      <c r="X13505" s="4"/>
      <c r="Y13505" s="4"/>
    </row>
    <row r="13506" spans="5:25">
      <c r="E13506"/>
      <c r="G13506"/>
      <c r="H13506"/>
      <c r="I13506"/>
      <c r="K13506"/>
      <c r="O13506"/>
      <c r="R13506"/>
      <c r="W13506" s="4"/>
      <c r="X13506" s="4"/>
      <c r="Y13506" s="4"/>
    </row>
    <row r="13507" spans="5:25">
      <c r="E13507"/>
      <c r="G13507"/>
      <c r="H13507"/>
      <c r="I13507"/>
      <c r="K13507"/>
      <c r="O13507"/>
      <c r="R13507"/>
      <c r="W13507" s="4"/>
      <c r="X13507" s="4"/>
      <c r="Y13507" s="4"/>
    </row>
    <row r="13508" spans="5:25">
      <c r="E13508"/>
      <c r="G13508"/>
      <c r="H13508"/>
      <c r="I13508"/>
      <c r="K13508"/>
      <c r="O13508"/>
      <c r="R13508"/>
      <c r="W13508" s="4"/>
      <c r="X13508" s="4"/>
      <c r="Y13508" s="4"/>
    </row>
    <row r="13509" spans="5:25">
      <c r="E13509"/>
      <c r="G13509"/>
      <c r="H13509"/>
      <c r="I13509"/>
      <c r="K13509"/>
      <c r="O13509"/>
      <c r="R13509"/>
      <c r="W13509" s="4"/>
      <c r="X13509" s="4"/>
      <c r="Y13509" s="4"/>
    </row>
    <row r="13510" spans="5:25">
      <c r="E13510"/>
      <c r="G13510"/>
      <c r="H13510"/>
      <c r="I13510"/>
      <c r="K13510"/>
      <c r="O13510"/>
      <c r="R13510"/>
      <c r="W13510" s="4"/>
      <c r="X13510" s="4"/>
      <c r="Y13510" s="4"/>
    </row>
    <row r="13511" spans="5:25">
      <c r="E13511"/>
      <c r="G13511"/>
      <c r="H13511"/>
      <c r="I13511"/>
      <c r="K13511"/>
      <c r="O13511"/>
      <c r="R13511"/>
      <c r="W13511" s="4"/>
      <c r="X13511" s="4"/>
      <c r="Y13511" s="4"/>
    </row>
    <row r="13512" spans="5:25">
      <c r="E13512"/>
      <c r="G13512"/>
      <c r="H13512"/>
      <c r="I13512"/>
      <c r="K13512"/>
      <c r="O13512"/>
      <c r="R13512"/>
      <c r="W13512" s="4"/>
      <c r="X13512" s="4"/>
      <c r="Y13512" s="4"/>
    </row>
    <row r="13513" spans="5:25">
      <c r="E13513"/>
      <c r="G13513"/>
      <c r="H13513"/>
      <c r="I13513"/>
      <c r="K13513"/>
      <c r="O13513"/>
      <c r="R13513"/>
      <c r="W13513" s="4"/>
      <c r="X13513" s="4"/>
      <c r="Y13513" s="4"/>
    </row>
    <row r="13514" spans="5:25">
      <c r="E13514"/>
      <c r="G13514"/>
      <c r="H13514"/>
      <c r="I13514"/>
      <c r="K13514"/>
      <c r="O13514"/>
      <c r="R13514"/>
      <c r="W13514" s="4"/>
      <c r="X13514" s="4"/>
      <c r="Y13514" s="4"/>
    </row>
    <row r="13515" spans="5:25">
      <c r="E13515"/>
      <c r="G13515"/>
      <c r="H13515"/>
      <c r="I13515"/>
      <c r="K13515"/>
      <c r="O13515"/>
      <c r="R13515"/>
      <c r="W13515" s="4"/>
      <c r="X13515" s="4"/>
      <c r="Y13515" s="4"/>
    </row>
    <row r="13516" spans="5:25">
      <c r="E13516"/>
      <c r="G13516"/>
      <c r="H13516"/>
      <c r="I13516"/>
      <c r="K13516"/>
      <c r="O13516"/>
      <c r="R13516"/>
      <c r="W13516" s="4"/>
      <c r="X13516" s="4"/>
      <c r="Y13516" s="4"/>
    </row>
    <row r="13517" spans="5:25">
      <c r="E13517"/>
      <c r="G13517"/>
      <c r="H13517"/>
      <c r="I13517"/>
      <c r="K13517"/>
      <c r="O13517"/>
      <c r="R13517"/>
      <c r="W13517" s="4"/>
      <c r="X13517" s="4"/>
      <c r="Y13517" s="4"/>
    </row>
    <row r="13518" spans="5:25">
      <c r="E13518"/>
      <c r="G13518"/>
      <c r="H13518"/>
      <c r="I13518"/>
      <c r="K13518"/>
      <c r="O13518"/>
      <c r="R13518"/>
      <c r="W13518" s="4"/>
      <c r="X13518" s="4"/>
      <c r="Y13518" s="4"/>
    </row>
    <row r="13519" spans="5:25">
      <c r="E13519"/>
      <c r="G13519"/>
      <c r="H13519"/>
      <c r="I13519"/>
      <c r="K13519"/>
      <c r="O13519"/>
      <c r="R13519"/>
      <c r="W13519" s="4"/>
      <c r="X13519" s="4"/>
      <c r="Y13519" s="4"/>
    </row>
    <row r="13520" spans="5:25">
      <c r="E13520"/>
      <c r="G13520"/>
      <c r="H13520"/>
      <c r="I13520"/>
      <c r="K13520"/>
      <c r="O13520"/>
      <c r="R13520"/>
      <c r="W13520" s="4"/>
      <c r="X13520" s="4"/>
      <c r="Y13520" s="4"/>
    </row>
    <row r="13521" spans="5:25">
      <c r="E13521"/>
      <c r="G13521"/>
      <c r="H13521"/>
      <c r="I13521"/>
      <c r="K13521"/>
      <c r="O13521"/>
      <c r="R13521"/>
      <c r="W13521" s="4"/>
      <c r="X13521" s="4"/>
      <c r="Y13521" s="4"/>
    </row>
    <row r="13522" spans="5:25">
      <c r="E13522"/>
      <c r="G13522"/>
      <c r="H13522"/>
      <c r="I13522"/>
      <c r="K13522"/>
      <c r="O13522"/>
      <c r="R13522"/>
      <c r="W13522" s="4"/>
      <c r="X13522" s="4"/>
      <c r="Y13522" s="4"/>
    </row>
    <row r="13523" spans="5:25">
      <c r="E13523"/>
      <c r="G13523"/>
      <c r="H13523"/>
      <c r="I13523"/>
      <c r="K13523"/>
      <c r="O13523"/>
      <c r="R13523"/>
      <c r="W13523" s="4"/>
      <c r="X13523" s="4"/>
      <c r="Y13523" s="4"/>
    </row>
    <row r="13524" spans="5:25">
      <c r="E13524"/>
      <c r="G13524"/>
      <c r="H13524"/>
      <c r="I13524"/>
      <c r="K13524"/>
      <c r="O13524"/>
      <c r="R13524"/>
      <c r="W13524" s="4"/>
      <c r="X13524" s="4"/>
      <c r="Y13524" s="4"/>
    </row>
    <row r="13525" spans="5:25">
      <c r="E13525"/>
      <c r="G13525"/>
      <c r="H13525"/>
      <c r="I13525"/>
      <c r="K13525"/>
      <c r="O13525"/>
      <c r="R13525"/>
      <c r="W13525" s="4"/>
      <c r="X13525" s="4"/>
      <c r="Y13525" s="4"/>
    </row>
    <row r="13526" spans="5:25">
      <c r="E13526"/>
      <c r="G13526"/>
      <c r="H13526"/>
      <c r="I13526"/>
      <c r="K13526"/>
      <c r="O13526"/>
      <c r="R13526"/>
      <c r="W13526" s="4"/>
      <c r="X13526" s="4"/>
      <c r="Y13526" s="4"/>
    </row>
    <row r="13527" spans="5:25">
      <c r="E13527"/>
      <c r="G13527"/>
      <c r="H13527"/>
      <c r="I13527"/>
      <c r="K13527"/>
      <c r="O13527"/>
      <c r="R13527"/>
      <c r="W13527" s="4"/>
      <c r="X13527" s="4"/>
      <c r="Y13527" s="4"/>
    </row>
    <row r="13528" spans="5:25">
      <c r="E13528"/>
      <c r="G13528"/>
      <c r="H13528"/>
      <c r="I13528"/>
      <c r="K13528"/>
      <c r="O13528"/>
      <c r="R13528"/>
      <c r="W13528" s="4"/>
      <c r="X13528" s="4"/>
      <c r="Y13528" s="4"/>
    </row>
    <row r="13529" spans="5:25">
      <c r="E13529"/>
      <c r="G13529"/>
      <c r="H13529"/>
      <c r="I13529"/>
      <c r="K13529"/>
      <c r="O13529"/>
      <c r="R13529"/>
      <c r="W13529" s="4"/>
      <c r="X13529" s="4"/>
      <c r="Y13529" s="4"/>
    </row>
    <row r="13530" spans="5:25">
      <c r="E13530"/>
      <c r="G13530"/>
      <c r="H13530"/>
      <c r="I13530"/>
      <c r="K13530"/>
      <c r="O13530"/>
      <c r="R13530"/>
      <c r="W13530" s="4"/>
      <c r="X13530" s="4"/>
      <c r="Y13530" s="4"/>
    </row>
    <row r="13531" spans="5:25">
      <c r="E13531"/>
      <c r="G13531"/>
      <c r="H13531"/>
      <c r="I13531"/>
      <c r="K13531"/>
      <c r="O13531"/>
      <c r="R13531"/>
      <c r="W13531" s="4"/>
      <c r="X13531" s="4"/>
      <c r="Y13531" s="4"/>
    </row>
    <row r="13532" spans="5:25">
      <c r="E13532"/>
      <c r="G13532"/>
      <c r="H13532"/>
      <c r="I13532"/>
      <c r="K13532"/>
      <c r="O13532"/>
      <c r="R13532"/>
      <c r="W13532" s="4"/>
      <c r="X13532" s="4"/>
      <c r="Y13532" s="4"/>
    </row>
    <row r="13533" spans="5:25">
      <c r="E13533"/>
      <c r="G13533"/>
      <c r="H13533"/>
      <c r="I13533"/>
      <c r="K13533"/>
      <c r="O13533"/>
      <c r="R13533"/>
      <c r="W13533" s="4"/>
      <c r="X13533" s="4"/>
      <c r="Y13533" s="4"/>
    </row>
    <row r="13534" spans="5:25">
      <c r="E13534"/>
      <c r="G13534"/>
      <c r="H13534"/>
      <c r="I13534"/>
      <c r="K13534"/>
      <c r="O13534"/>
      <c r="R13534"/>
      <c r="W13534" s="4"/>
      <c r="X13534" s="4"/>
      <c r="Y13534" s="4"/>
    </row>
    <row r="13535" spans="5:25">
      <c r="E13535"/>
      <c r="G13535"/>
      <c r="H13535"/>
      <c r="I13535"/>
      <c r="K13535"/>
      <c r="O13535"/>
      <c r="R13535"/>
      <c r="W13535" s="4"/>
      <c r="X13535" s="4"/>
      <c r="Y13535" s="4"/>
    </row>
    <row r="13536" spans="5:25">
      <c r="E13536"/>
      <c r="G13536"/>
      <c r="H13536"/>
      <c r="I13536"/>
      <c r="K13536"/>
      <c r="O13536"/>
      <c r="R13536"/>
      <c r="W13536" s="4"/>
      <c r="X13536" s="4"/>
      <c r="Y13536" s="4"/>
    </row>
    <row r="13537" spans="5:25">
      <c r="E13537"/>
      <c r="G13537"/>
      <c r="H13537"/>
      <c r="I13537"/>
      <c r="K13537"/>
      <c r="O13537"/>
      <c r="R13537"/>
      <c r="W13537" s="4"/>
      <c r="X13537" s="4"/>
      <c r="Y13537" s="4"/>
    </row>
    <row r="13538" spans="5:25">
      <c r="E13538"/>
      <c r="G13538"/>
      <c r="H13538"/>
      <c r="I13538"/>
      <c r="K13538"/>
      <c r="O13538"/>
      <c r="R13538"/>
      <c r="W13538" s="4"/>
      <c r="X13538" s="4"/>
      <c r="Y13538" s="4"/>
    </row>
    <row r="13539" spans="5:25">
      <c r="E13539"/>
      <c r="G13539"/>
      <c r="H13539"/>
      <c r="I13539"/>
      <c r="K13539"/>
      <c r="O13539"/>
      <c r="R13539"/>
      <c r="W13539" s="4"/>
      <c r="X13539" s="4"/>
      <c r="Y13539" s="4"/>
    </row>
    <row r="13540" spans="5:25">
      <c r="E13540"/>
      <c r="G13540"/>
      <c r="H13540"/>
      <c r="I13540"/>
      <c r="K13540"/>
      <c r="O13540"/>
      <c r="R13540"/>
      <c r="W13540" s="4"/>
      <c r="X13540" s="4"/>
      <c r="Y13540" s="4"/>
    </row>
    <row r="13541" spans="5:25">
      <c r="E13541"/>
      <c r="G13541"/>
      <c r="H13541"/>
      <c r="I13541"/>
      <c r="K13541"/>
      <c r="O13541"/>
      <c r="R13541"/>
      <c r="W13541" s="4"/>
      <c r="X13541" s="4"/>
      <c r="Y13541" s="4"/>
    </row>
    <row r="13542" spans="5:25">
      <c r="E13542"/>
      <c r="G13542"/>
      <c r="H13542"/>
      <c r="I13542"/>
      <c r="K13542"/>
      <c r="O13542"/>
      <c r="R13542"/>
      <c r="W13542" s="4"/>
      <c r="X13542" s="4"/>
      <c r="Y13542" s="4"/>
    </row>
    <row r="13543" spans="5:25">
      <c r="E13543"/>
      <c r="G13543"/>
      <c r="H13543"/>
      <c r="I13543"/>
      <c r="K13543"/>
      <c r="O13543"/>
      <c r="R13543"/>
      <c r="W13543" s="4"/>
      <c r="X13543" s="4"/>
      <c r="Y13543" s="4"/>
    </row>
    <row r="13544" spans="5:25">
      <c r="E13544"/>
      <c r="G13544"/>
      <c r="H13544"/>
      <c r="I13544"/>
      <c r="K13544"/>
      <c r="O13544"/>
      <c r="R13544"/>
      <c r="W13544" s="4"/>
      <c r="X13544" s="4"/>
      <c r="Y13544" s="4"/>
    </row>
    <row r="13545" spans="5:25">
      <c r="E13545"/>
      <c r="G13545"/>
      <c r="H13545"/>
      <c r="I13545"/>
      <c r="K13545"/>
      <c r="O13545"/>
      <c r="R13545"/>
      <c r="W13545" s="4"/>
      <c r="X13545" s="4"/>
      <c r="Y13545" s="4"/>
    </row>
    <row r="13546" spans="5:25">
      <c r="E13546"/>
      <c r="G13546"/>
      <c r="H13546"/>
      <c r="I13546"/>
      <c r="K13546"/>
      <c r="O13546"/>
      <c r="R13546"/>
      <c r="W13546" s="4"/>
      <c r="X13546" s="4"/>
      <c r="Y13546" s="4"/>
    </row>
    <row r="13547" spans="5:25">
      <c r="E13547"/>
      <c r="G13547"/>
      <c r="H13547"/>
      <c r="I13547"/>
      <c r="K13547"/>
      <c r="O13547"/>
      <c r="R13547"/>
      <c r="W13547" s="4"/>
      <c r="X13547" s="4"/>
      <c r="Y13547" s="4"/>
    </row>
    <row r="13548" spans="5:25">
      <c r="E13548"/>
      <c r="G13548"/>
      <c r="H13548"/>
      <c r="I13548"/>
      <c r="K13548"/>
      <c r="O13548"/>
      <c r="R13548"/>
      <c r="W13548" s="4"/>
      <c r="X13548" s="4"/>
      <c r="Y13548" s="4"/>
    </row>
    <row r="13549" spans="5:25">
      <c r="E13549"/>
      <c r="G13549"/>
      <c r="H13549"/>
      <c r="I13549"/>
      <c r="K13549"/>
      <c r="O13549"/>
      <c r="R13549"/>
      <c r="W13549" s="4"/>
      <c r="X13549" s="4"/>
      <c r="Y13549" s="4"/>
    </row>
    <row r="13550" spans="5:25">
      <c r="E13550"/>
      <c r="G13550"/>
      <c r="H13550"/>
      <c r="I13550"/>
      <c r="K13550"/>
      <c r="O13550"/>
      <c r="R13550"/>
      <c r="W13550" s="4"/>
      <c r="X13550" s="4"/>
      <c r="Y13550" s="4"/>
    </row>
    <row r="13551" spans="5:25">
      <c r="E13551"/>
      <c r="G13551"/>
      <c r="H13551"/>
      <c r="I13551"/>
      <c r="K13551"/>
      <c r="O13551"/>
      <c r="R13551"/>
      <c r="W13551" s="4"/>
      <c r="X13551" s="4"/>
      <c r="Y13551" s="4"/>
    </row>
    <row r="13552" spans="5:25">
      <c r="E13552"/>
      <c r="G13552"/>
      <c r="H13552"/>
      <c r="I13552"/>
      <c r="K13552"/>
      <c r="O13552"/>
      <c r="R13552"/>
      <c r="W13552" s="4"/>
      <c r="X13552" s="4"/>
      <c r="Y13552" s="4"/>
    </row>
    <row r="13553" spans="5:25">
      <c r="E13553"/>
      <c r="G13553"/>
      <c r="H13553"/>
      <c r="I13553"/>
      <c r="K13553"/>
      <c r="O13553"/>
      <c r="R13553"/>
      <c r="W13553" s="4"/>
      <c r="X13553" s="4"/>
      <c r="Y13553" s="4"/>
    </row>
    <row r="13554" spans="5:25">
      <c r="E13554"/>
      <c r="G13554"/>
      <c r="H13554"/>
      <c r="I13554"/>
      <c r="K13554"/>
      <c r="O13554"/>
      <c r="R13554"/>
      <c r="W13554" s="4"/>
      <c r="X13554" s="4"/>
      <c r="Y13554" s="4"/>
    </row>
    <row r="13555" spans="5:25">
      <c r="E13555"/>
      <c r="G13555"/>
      <c r="H13555"/>
      <c r="I13555"/>
      <c r="K13555"/>
      <c r="O13555"/>
      <c r="R13555"/>
      <c r="W13555" s="4"/>
      <c r="X13555" s="4"/>
      <c r="Y13555" s="4"/>
    </row>
    <row r="13556" spans="5:25">
      <c r="E13556"/>
      <c r="G13556"/>
      <c r="H13556"/>
      <c r="I13556"/>
      <c r="K13556"/>
      <c r="O13556"/>
      <c r="R13556"/>
      <c r="W13556" s="4"/>
      <c r="X13556" s="4"/>
      <c r="Y13556" s="4"/>
    </row>
    <row r="13557" spans="5:25">
      <c r="E13557"/>
      <c r="G13557"/>
      <c r="H13557"/>
      <c r="I13557"/>
      <c r="K13557"/>
      <c r="O13557"/>
      <c r="R13557"/>
      <c r="W13557" s="4"/>
      <c r="X13557" s="4"/>
      <c r="Y13557" s="4"/>
    </row>
    <row r="13558" spans="5:25">
      <c r="E13558"/>
      <c r="G13558"/>
      <c r="H13558"/>
      <c r="I13558"/>
      <c r="K13558"/>
      <c r="O13558"/>
      <c r="R13558"/>
      <c r="W13558" s="4"/>
      <c r="X13558" s="4"/>
      <c r="Y13558" s="4"/>
    </row>
    <row r="13559" spans="5:25">
      <c r="E13559"/>
      <c r="G13559"/>
      <c r="H13559"/>
      <c r="I13559"/>
      <c r="K13559"/>
      <c r="O13559"/>
      <c r="R13559"/>
      <c r="W13559" s="4"/>
      <c r="X13559" s="4"/>
      <c r="Y13559" s="4"/>
    </row>
    <row r="13560" spans="5:25">
      <c r="E13560"/>
      <c r="G13560"/>
      <c r="H13560"/>
      <c r="I13560"/>
      <c r="K13560"/>
      <c r="O13560"/>
      <c r="R13560"/>
      <c r="W13560" s="4"/>
      <c r="X13560" s="4"/>
      <c r="Y13560" s="4"/>
    </row>
    <row r="13561" spans="5:25">
      <c r="E13561"/>
      <c r="G13561"/>
      <c r="H13561"/>
      <c r="I13561"/>
      <c r="K13561"/>
      <c r="O13561"/>
      <c r="R13561"/>
      <c r="W13561" s="4"/>
      <c r="X13561" s="4"/>
      <c r="Y13561" s="4"/>
    </row>
    <row r="13562" spans="5:25">
      <c r="E13562"/>
      <c r="G13562"/>
      <c r="H13562"/>
      <c r="I13562"/>
      <c r="K13562"/>
      <c r="O13562"/>
      <c r="R13562"/>
      <c r="W13562" s="4"/>
      <c r="X13562" s="4"/>
      <c r="Y13562" s="4"/>
    </row>
    <row r="13563" spans="5:25">
      <c r="E13563"/>
      <c r="G13563"/>
      <c r="H13563"/>
      <c r="I13563"/>
      <c r="K13563"/>
      <c r="O13563"/>
      <c r="R13563"/>
      <c r="W13563" s="4"/>
      <c r="X13563" s="4"/>
      <c r="Y13563" s="4"/>
    </row>
    <row r="13564" spans="5:25">
      <c r="E13564"/>
      <c r="G13564"/>
      <c r="H13564"/>
      <c r="I13564"/>
      <c r="K13564"/>
      <c r="O13564"/>
      <c r="R13564"/>
      <c r="W13564" s="4"/>
      <c r="X13564" s="4"/>
      <c r="Y13564" s="4"/>
    </row>
    <row r="13565" spans="5:25">
      <c r="E13565"/>
      <c r="G13565"/>
      <c r="H13565"/>
      <c r="I13565"/>
      <c r="K13565"/>
      <c r="O13565"/>
      <c r="R13565"/>
      <c r="W13565" s="4"/>
      <c r="X13565" s="4"/>
      <c r="Y13565" s="4"/>
    </row>
    <row r="13566" spans="5:25">
      <c r="E13566"/>
      <c r="G13566"/>
      <c r="H13566"/>
      <c r="I13566"/>
      <c r="K13566"/>
      <c r="O13566"/>
      <c r="R13566"/>
      <c r="W13566" s="4"/>
      <c r="X13566" s="4"/>
      <c r="Y13566" s="4"/>
    </row>
    <row r="13567" spans="5:25">
      <c r="E13567"/>
      <c r="G13567"/>
      <c r="H13567"/>
      <c r="I13567"/>
      <c r="K13567"/>
      <c r="O13567"/>
      <c r="R13567"/>
      <c r="W13567" s="4"/>
      <c r="X13567" s="4"/>
      <c r="Y13567" s="4"/>
    </row>
    <row r="13568" spans="5:25">
      <c r="E13568"/>
      <c r="G13568"/>
      <c r="H13568"/>
      <c r="I13568"/>
      <c r="K13568"/>
      <c r="O13568"/>
      <c r="R13568"/>
      <c r="W13568" s="4"/>
      <c r="X13568" s="4"/>
      <c r="Y13568" s="4"/>
    </row>
    <row r="13569" spans="5:25">
      <c r="E13569"/>
      <c r="G13569"/>
      <c r="H13569"/>
      <c r="I13569"/>
      <c r="K13569"/>
      <c r="O13569"/>
      <c r="R13569"/>
      <c r="W13569" s="4"/>
      <c r="X13569" s="4"/>
      <c r="Y13569" s="4"/>
    </row>
    <row r="13570" spans="5:25">
      <c r="E13570"/>
      <c r="G13570"/>
      <c r="H13570"/>
      <c r="I13570"/>
      <c r="K13570"/>
      <c r="O13570"/>
      <c r="R13570"/>
      <c r="W13570" s="4"/>
      <c r="X13570" s="4"/>
      <c r="Y13570" s="4"/>
    </row>
    <row r="13571" spans="5:25">
      <c r="E13571"/>
      <c r="G13571"/>
      <c r="H13571"/>
      <c r="I13571"/>
      <c r="K13571"/>
      <c r="O13571"/>
      <c r="R13571"/>
      <c r="W13571" s="4"/>
      <c r="X13571" s="4"/>
      <c r="Y13571" s="4"/>
    </row>
    <row r="13572" spans="5:25">
      <c r="E13572"/>
      <c r="G13572"/>
      <c r="H13572"/>
      <c r="I13572"/>
      <c r="K13572"/>
      <c r="O13572"/>
      <c r="R13572"/>
      <c r="W13572" s="4"/>
      <c r="X13572" s="4"/>
      <c r="Y13572" s="4"/>
    </row>
    <row r="13573" spans="5:25">
      <c r="E13573"/>
      <c r="G13573"/>
      <c r="H13573"/>
      <c r="I13573"/>
      <c r="K13573"/>
      <c r="O13573"/>
      <c r="R13573"/>
      <c r="W13573" s="4"/>
      <c r="X13573" s="4"/>
      <c r="Y13573" s="4"/>
    </row>
    <row r="13574" spans="5:25">
      <c r="E13574"/>
      <c r="G13574"/>
      <c r="H13574"/>
      <c r="I13574"/>
      <c r="K13574"/>
      <c r="O13574"/>
      <c r="R13574"/>
      <c r="W13574" s="4"/>
      <c r="X13574" s="4"/>
      <c r="Y13574" s="4"/>
    </row>
    <row r="13575" spans="5:25">
      <c r="E13575"/>
      <c r="G13575"/>
      <c r="H13575"/>
      <c r="I13575"/>
      <c r="K13575"/>
      <c r="O13575"/>
      <c r="R13575"/>
      <c r="W13575" s="4"/>
      <c r="X13575" s="4"/>
      <c r="Y13575" s="4"/>
    </row>
    <row r="13576" spans="5:25">
      <c r="E13576"/>
      <c r="G13576"/>
      <c r="H13576"/>
      <c r="I13576"/>
      <c r="K13576"/>
      <c r="O13576"/>
      <c r="R13576"/>
      <c r="W13576" s="4"/>
      <c r="X13576" s="4"/>
      <c r="Y13576" s="4"/>
    </row>
    <row r="13577" spans="5:25">
      <c r="E13577"/>
      <c r="G13577"/>
      <c r="H13577"/>
      <c r="I13577"/>
      <c r="K13577"/>
      <c r="O13577"/>
      <c r="R13577"/>
      <c r="W13577" s="4"/>
      <c r="X13577" s="4"/>
      <c r="Y13577" s="4"/>
    </row>
    <row r="13578" spans="5:25">
      <c r="E13578"/>
      <c r="G13578"/>
      <c r="H13578"/>
      <c r="I13578"/>
      <c r="K13578"/>
      <c r="O13578"/>
      <c r="R13578"/>
      <c r="W13578" s="4"/>
      <c r="X13578" s="4"/>
      <c r="Y13578" s="4"/>
    </row>
    <row r="13579" spans="5:25">
      <c r="E13579"/>
      <c r="G13579"/>
      <c r="H13579"/>
      <c r="I13579"/>
      <c r="K13579"/>
      <c r="O13579"/>
      <c r="R13579"/>
      <c r="W13579" s="4"/>
      <c r="X13579" s="4"/>
      <c r="Y13579" s="4"/>
    </row>
    <row r="13580" spans="5:25">
      <c r="E13580"/>
      <c r="G13580"/>
      <c r="H13580"/>
      <c r="I13580"/>
      <c r="K13580"/>
      <c r="O13580"/>
      <c r="R13580"/>
      <c r="W13580" s="4"/>
      <c r="X13580" s="4"/>
      <c r="Y13580" s="4"/>
    </row>
    <row r="13581" spans="5:25">
      <c r="E13581"/>
      <c r="G13581"/>
      <c r="H13581"/>
      <c r="I13581"/>
      <c r="K13581"/>
      <c r="O13581"/>
      <c r="R13581"/>
      <c r="W13581" s="4"/>
      <c r="X13581" s="4"/>
      <c r="Y13581" s="4"/>
    </row>
    <row r="13582" spans="5:25">
      <c r="E13582"/>
      <c r="G13582"/>
      <c r="H13582"/>
      <c r="I13582"/>
      <c r="K13582"/>
      <c r="O13582"/>
      <c r="R13582"/>
      <c r="W13582" s="4"/>
      <c r="X13582" s="4"/>
      <c r="Y13582" s="4"/>
    </row>
    <row r="13583" spans="5:25">
      <c r="E13583"/>
      <c r="G13583"/>
      <c r="H13583"/>
      <c r="I13583"/>
      <c r="K13583"/>
      <c r="O13583"/>
      <c r="R13583"/>
      <c r="W13583" s="4"/>
      <c r="X13583" s="4"/>
      <c r="Y13583" s="4"/>
    </row>
    <row r="13584" spans="5:25">
      <c r="E13584"/>
      <c r="G13584"/>
      <c r="H13584"/>
      <c r="I13584"/>
      <c r="K13584"/>
      <c r="O13584"/>
      <c r="R13584"/>
      <c r="W13584" s="4"/>
      <c r="X13584" s="4"/>
      <c r="Y13584" s="4"/>
    </row>
    <row r="13585" spans="5:25">
      <c r="E13585"/>
      <c r="G13585"/>
      <c r="H13585"/>
      <c r="I13585"/>
      <c r="K13585"/>
      <c r="O13585"/>
      <c r="R13585"/>
      <c r="W13585" s="4"/>
      <c r="X13585" s="4"/>
      <c r="Y13585" s="4"/>
    </row>
    <row r="13586" spans="5:25">
      <c r="E13586"/>
      <c r="G13586"/>
      <c r="H13586"/>
      <c r="I13586"/>
      <c r="K13586"/>
      <c r="O13586"/>
      <c r="R13586"/>
      <c r="W13586" s="4"/>
      <c r="X13586" s="4"/>
      <c r="Y13586" s="4"/>
    </row>
    <row r="13587" spans="5:25">
      <c r="E13587"/>
      <c r="G13587"/>
      <c r="H13587"/>
      <c r="I13587"/>
      <c r="K13587"/>
      <c r="O13587"/>
      <c r="R13587"/>
      <c r="W13587" s="4"/>
      <c r="X13587" s="4"/>
      <c r="Y13587" s="4"/>
    </row>
    <row r="13588" spans="5:25">
      <c r="E13588"/>
      <c r="G13588"/>
      <c r="H13588"/>
      <c r="I13588"/>
      <c r="K13588"/>
      <c r="O13588"/>
      <c r="R13588"/>
      <c r="W13588" s="4"/>
      <c r="X13588" s="4"/>
      <c r="Y13588" s="4"/>
    </row>
    <row r="13589" spans="5:25">
      <c r="E13589"/>
      <c r="G13589"/>
      <c r="H13589"/>
      <c r="I13589"/>
      <c r="K13589"/>
      <c r="O13589"/>
      <c r="R13589"/>
      <c r="W13589" s="4"/>
      <c r="X13589" s="4"/>
      <c r="Y13589" s="4"/>
    </row>
    <row r="13590" spans="5:25">
      <c r="E13590"/>
      <c r="G13590"/>
      <c r="H13590"/>
      <c r="I13590"/>
      <c r="K13590"/>
      <c r="O13590"/>
      <c r="R13590"/>
      <c r="W13590" s="4"/>
      <c r="X13590" s="4"/>
      <c r="Y13590" s="4"/>
    </row>
    <row r="13591" spans="5:25">
      <c r="E13591"/>
      <c r="G13591"/>
      <c r="H13591"/>
      <c r="I13591"/>
      <c r="K13591"/>
      <c r="O13591"/>
      <c r="R13591"/>
      <c r="W13591" s="4"/>
      <c r="X13591" s="4"/>
      <c r="Y13591" s="4"/>
    </row>
    <row r="13592" spans="5:25">
      <c r="E13592"/>
      <c r="G13592"/>
      <c r="H13592"/>
      <c r="I13592"/>
      <c r="K13592"/>
      <c r="O13592"/>
      <c r="R13592"/>
      <c r="W13592" s="4"/>
      <c r="X13592" s="4"/>
      <c r="Y13592" s="4"/>
    </row>
    <row r="13593" spans="5:25">
      <c r="E13593"/>
      <c r="G13593"/>
      <c r="H13593"/>
      <c r="I13593"/>
      <c r="K13593"/>
      <c r="O13593"/>
      <c r="R13593"/>
      <c r="W13593" s="4"/>
      <c r="X13593" s="4"/>
      <c r="Y13593" s="4"/>
    </row>
    <row r="13594" spans="5:25">
      <c r="E13594"/>
      <c r="G13594"/>
      <c r="H13594"/>
      <c r="I13594"/>
      <c r="K13594"/>
      <c r="O13594"/>
      <c r="R13594"/>
      <c r="W13594" s="4"/>
      <c r="X13594" s="4"/>
      <c r="Y13594" s="4"/>
    </row>
    <row r="13595" spans="5:25">
      <c r="E13595"/>
      <c r="G13595"/>
      <c r="H13595"/>
      <c r="I13595"/>
      <c r="K13595"/>
      <c r="O13595"/>
      <c r="R13595"/>
      <c r="W13595" s="4"/>
      <c r="X13595" s="4"/>
      <c r="Y13595" s="4"/>
    </row>
    <row r="13596" spans="5:25">
      <c r="E13596"/>
      <c r="G13596"/>
      <c r="H13596"/>
      <c r="I13596"/>
      <c r="K13596"/>
      <c r="O13596"/>
      <c r="R13596"/>
      <c r="W13596" s="4"/>
      <c r="X13596" s="4"/>
      <c r="Y13596" s="4"/>
    </row>
    <row r="13597" spans="5:25">
      <c r="E13597"/>
      <c r="G13597"/>
      <c r="H13597"/>
      <c r="I13597"/>
      <c r="K13597"/>
      <c r="O13597"/>
      <c r="R13597"/>
      <c r="W13597" s="4"/>
      <c r="X13597" s="4"/>
      <c r="Y13597" s="4"/>
    </row>
    <row r="13598" spans="5:25">
      <c r="E13598"/>
      <c r="G13598"/>
      <c r="H13598"/>
      <c r="I13598"/>
      <c r="K13598"/>
      <c r="O13598"/>
      <c r="R13598"/>
      <c r="W13598" s="4"/>
      <c r="X13598" s="4"/>
      <c r="Y13598" s="4"/>
    </row>
    <row r="13599" spans="5:25">
      <c r="E13599"/>
      <c r="G13599"/>
      <c r="H13599"/>
      <c r="I13599"/>
      <c r="K13599"/>
      <c r="O13599"/>
      <c r="R13599"/>
      <c r="W13599" s="4"/>
      <c r="X13599" s="4"/>
      <c r="Y13599" s="4"/>
    </row>
    <row r="13600" spans="5:25">
      <c r="E13600"/>
      <c r="G13600"/>
      <c r="H13600"/>
      <c r="I13600"/>
      <c r="K13600"/>
      <c r="O13600"/>
      <c r="R13600"/>
      <c r="W13600" s="4"/>
      <c r="X13600" s="4"/>
      <c r="Y13600" s="4"/>
    </row>
    <row r="13601" spans="5:25">
      <c r="E13601"/>
      <c r="G13601"/>
      <c r="H13601"/>
      <c r="I13601"/>
      <c r="K13601"/>
      <c r="O13601"/>
      <c r="R13601"/>
      <c r="W13601" s="4"/>
      <c r="X13601" s="4"/>
      <c r="Y13601" s="4"/>
    </row>
    <row r="13602" spans="5:25">
      <c r="E13602"/>
      <c r="G13602"/>
      <c r="H13602"/>
      <c r="I13602"/>
      <c r="K13602"/>
      <c r="O13602"/>
      <c r="R13602"/>
      <c r="W13602" s="4"/>
      <c r="X13602" s="4"/>
      <c r="Y13602" s="4"/>
    </row>
    <row r="13603" spans="5:25">
      <c r="E13603"/>
      <c r="G13603"/>
      <c r="H13603"/>
      <c r="I13603"/>
      <c r="K13603"/>
      <c r="O13603"/>
      <c r="R13603"/>
      <c r="W13603" s="4"/>
      <c r="X13603" s="4"/>
      <c r="Y13603" s="4"/>
    </row>
    <row r="13604" spans="5:25">
      <c r="E13604"/>
      <c r="G13604"/>
      <c r="H13604"/>
      <c r="I13604"/>
      <c r="K13604"/>
      <c r="O13604"/>
      <c r="R13604"/>
      <c r="W13604" s="4"/>
      <c r="X13604" s="4"/>
      <c r="Y13604" s="4"/>
    </row>
    <row r="13605" spans="5:25">
      <c r="E13605"/>
      <c r="G13605"/>
      <c r="H13605"/>
      <c r="I13605"/>
      <c r="K13605"/>
      <c r="O13605"/>
      <c r="R13605"/>
      <c r="W13605" s="4"/>
      <c r="X13605" s="4"/>
      <c r="Y13605" s="4"/>
    </row>
    <row r="13606" spans="5:25">
      <c r="E13606"/>
      <c r="G13606"/>
      <c r="H13606"/>
      <c r="I13606"/>
      <c r="K13606"/>
      <c r="O13606"/>
      <c r="R13606"/>
      <c r="W13606" s="4"/>
      <c r="X13606" s="4"/>
      <c r="Y13606" s="4"/>
    </row>
    <row r="13607" spans="5:25">
      <c r="E13607"/>
      <c r="G13607"/>
      <c r="H13607"/>
      <c r="I13607"/>
      <c r="K13607"/>
      <c r="O13607"/>
      <c r="R13607"/>
      <c r="W13607" s="4"/>
      <c r="X13607" s="4"/>
      <c r="Y13607" s="4"/>
    </row>
    <row r="13608" spans="5:25">
      <c r="E13608"/>
      <c r="G13608"/>
      <c r="H13608"/>
      <c r="I13608"/>
      <c r="K13608"/>
      <c r="O13608"/>
      <c r="R13608"/>
      <c r="W13608" s="4"/>
      <c r="X13608" s="4"/>
      <c r="Y13608" s="4"/>
    </row>
    <row r="13609" spans="5:25">
      <c r="E13609"/>
      <c r="G13609"/>
      <c r="H13609"/>
      <c r="I13609"/>
      <c r="K13609"/>
      <c r="O13609"/>
      <c r="R13609"/>
      <c r="W13609" s="4"/>
      <c r="X13609" s="4"/>
      <c r="Y13609" s="4"/>
    </row>
    <row r="13610" spans="5:25">
      <c r="E13610"/>
      <c r="G13610"/>
      <c r="H13610"/>
      <c r="I13610"/>
      <c r="K13610"/>
      <c r="O13610"/>
      <c r="R13610"/>
      <c r="W13610" s="4"/>
      <c r="X13610" s="4"/>
      <c r="Y13610" s="4"/>
    </row>
    <row r="13611" spans="5:25">
      <c r="E13611"/>
      <c r="G13611"/>
      <c r="H13611"/>
      <c r="I13611"/>
      <c r="K13611"/>
      <c r="O13611"/>
      <c r="R13611"/>
      <c r="W13611" s="4"/>
      <c r="X13611" s="4"/>
      <c r="Y13611" s="4"/>
    </row>
    <row r="13612" spans="5:25">
      <c r="E13612"/>
      <c r="G13612"/>
      <c r="H13612"/>
      <c r="I13612"/>
      <c r="K13612"/>
      <c r="O13612"/>
      <c r="R13612"/>
      <c r="W13612" s="4"/>
      <c r="X13612" s="4"/>
      <c r="Y13612" s="4"/>
    </row>
    <row r="13613" spans="5:25">
      <c r="E13613"/>
      <c r="G13613"/>
      <c r="H13613"/>
      <c r="I13613"/>
      <c r="K13613"/>
      <c r="O13613"/>
      <c r="R13613"/>
      <c r="W13613" s="4"/>
      <c r="X13613" s="4"/>
      <c r="Y13613" s="4"/>
    </row>
    <row r="13614" spans="5:25">
      <c r="E13614"/>
      <c r="G13614"/>
      <c r="H13614"/>
      <c r="I13614"/>
      <c r="K13614"/>
      <c r="O13614"/>
      <c r="R13614"/>
      <c r="W13614" s="4"/>
      <c r="X13614" s="4"/>
      <c r="Y13614" s="4"/>
    </row>
    <row r="13615" spans="5:25">
      <c r="E13615"/>
      <c r="G13615"/>
      <c r="H13615"/>
      <c r="I13615"/>
      <c r="K13615"/>
      <c r="O13615"/>
      <c r="R13615"/>
      <c r="W13615" s="4"/>
      <c r="X13615" s="4"/>
      <c r="Y13615" s="4"/>
    </row>
    <row r="13616" spans="5:25">
      <c r="E13616"/>
      <c r="G13616"/>
      <c r="H13616"/>
      <c r="I13616"/>
      <c r="K13616"/>
      <c r="O13616"/>
      <c r="R13616"/>
      <c r="W13616" s="4"/>
      <c r="X13616" s="4"/>
      <c r="Y13616" s="4"/>
    </row>
    <row r="13617" spans="5:25">
      <c r="E13617"/>
      <c r="G13617"/>
      <c r="H13617"/>
      <c r="I13617"/>
      <c r="K13617"/>
      <c r="O13617"/>
      <c r="R13617"/>
      <c r="W13617" s="4"/>
      <c r="X13617" s="4"/>
      <c r="Y13617" s="4"/>
    </row>
    <row r="13618" spans="5:25">
      <c r="E13618"/>
      <c r="G13618"/>
      <c r="H13618"/>
      <c r="I13618"/>
      <c r="K13618"/>
      <c r="O13618"/>
      <c r="R13618"/>
      <c r="W13618" s="4"/>
      <c r="X13618" s="4"/>
      <c r="Y13618" s="4"/>
    </row>
    <row r="13619" spans="5:25">
      <c r="E13619"/>
      <c r="G13619"/>
      <c r="H13619"/>
      <c r="I13619"/>
      <c r="K13619"/>
      <c r="O13619"/>
      <c r="R13619"/>
      <c r="W13619" s="4"/>
      <c r="X13619" s="4"/>
      <c r="Y13619" s="4"/>
    </row>
    <row r="13620" spans="5:25">
      <c r="E13620"/>
      <c r="G13620"/>
      <c r="H13620"/>
      <c r="I13620"/>
      <c r="K13620"/>
      <c r="O13620"/>
      <c r="R13620"/>
      <c r="W13620" s="4"/>
      <c r="X13620" s="4"/>
      <c r="Y13620" s="4"/>
    </row>
    <row r="13621" spans="5:25">
      <c r="E13621"/>
      <c r="G13621"/>
      <c r="H13621"/>
      <c r="I13621"/>
      <c r="K13621"/>
      <c r="O13621"/>
      <c r="R13621"/>
      <c r="W13621" s="4"/>
      <c r="X13621" s="4"/>
      <c r="Y13621" s="4"/>
    </row>
    <row r="13622" spans="5:25">
      <c r="E13622"/>
      <c r="G13622"/>
      <c r="H13622"/>
      <c r="I13622"/>
      <c r="K13622"/>
      <c r="O13622"/>
      <c r="R13622"/>
      <c r="W13622" s="4"/>
      <c r="X13622" s="4"/>
      <c r="Y13622" s="4"/>
    </row>
    <row r="13623" spans="5:25">
      <c r="E13623"/>
      <c r="G13623"/>
      <c r="H13623"/>
      <c r="I13623"/>
      <c r="K13623"/>
      <c r="O13623"/>
      <c r="R13623"/>
      <c r="W13623" s="4"/>
      <c r="X13623" s="4"/>
      <c r="Y13623" s="4"/>
    </row>
    <row r="13624" spans="5:25">
      <c r="E13624"/>
      <c r="G13624"/>
      <c r="H13624"/>
      <c r="I13624"/>
      <c r="K13624"/>
      <c r="O13624"/>
      <c r="R13624"/>
      <c r="W13624" s="4"/>
      <c r="X13624" s="4"/>
      <c r="Y13624" s="4"/>
    </row>
    <row r="13625" spans="5:25">
      <c r="E13625"/>
      <c r="G13625"/>
      <c r="H13625"/>
      <c r="I13625"/>
      <c r="K13625"/>
      <c r="O13625"/>
      <c r="R13625"/>
      <c r="W13625" s="4"/>
      <c r="X13625" s="4"/>
      <c r="Y13625" s="4"/>
    </row>
    <row r="13626" spans="5:25">
      <c r="E13626"/>
      <c r="G13626"/>
      <c r="H13626"/>
      <c r="I13626"/>
      <c r="K13626"/>
      <c r="O13626"/>
      <c r="R13626"/>
      <c r="W13626" s="4"/>
      <c r="X13626" s="4"/>
      <c r="Y13626" s="4"/>
    </row>
    <row r="13627" spans="5:25">
      <c r="E13627"/>
      <c r="G13627"/>
      <c r="H13627"/>
      <c r="I13627"/>
      <c r="K13627"/>
      <c r="O13627"/>
      <c r="R13627"/>
      <c r="W13627" s="4"/>
      <c r="X13627" s="4"/>
      <c r="Y13627" s="4"/>
    </row>
    <row r="13628" spans="5:25">
      <c r="E13628"/>
      <c r="G13628"/>
      <c r="H13628"/>
      <c r="I13628"/>
      <c r="K13628"/>
      <c r="O13628"/>
      <c r="R13628"/>
      <c r="W13628" s="4"/>
      <c r="X13628" s="4"/>
      <c r="Y13628" s="4"/>
    </row>
    <row r="13629" spans="5:25">
      <c r="E13629"/>
      <c r="G13629"/>
      <c r="H13629"/>
      <c r="I13629"/>
      <c r="K13629"/>
      <c r="O13629"/>
      <c r="R13629"/>
      <c r="W13629" s="4"/>
      <c r="X13629" s="4"/>
      <c r="Y13629" s="4"/>
    </row>
    <row r="13630" spans="5:25">
      <c r="E13630"/>
      <c r="G13630"/>
      <c r="H13630"/>
      <c r="I13630"/>
      <c r="K13630"/>
      <c r="O13630"/>
      <c r="R13630"/>
      <c r="W13630" s="4"/>
      <c r="X13630" s="4"/>
      <c r="Y13630" s="4"/>
    </row>
    <row r="13631" spans="5:25">
      <c r="E13631"/>
      <c r="G13631"/>
      <c r="H13631"/>
      <c r="I13631"/>
      <c r="K13631"/>
      <c r="O13631"/>
      <c r="R13631"/>
      <c r="W13631" s="4"/>
      <c r="X13631" s="4"/>
      <c r="Y13631" s="4"/>
    </row>
    <row r="13632" spans="5:25">
      <c r="E13632"/>
      <c r="G13632"/>
      <c r="H13632"/>
      <c r="I13632"/>
      <c r="K13632"/>
      <c r="O13632"/>
      <c r="R13632"/>
      <c r="W13632" s="4"/>
      <c r="X13632" s="4"/>
      <c r="Y13632" s="4"/>
    </row>
    <row r="13633" spans="5:25">
      <c r="E13633"/>
      <c r="G13633"/>
      <c r="H13633"/>
      <c r="I13633"/>
      <c r="K13633"/>
      <c r="O13633"/>
      <c r="R13633"/>
      <c r="W13633" s="4"/>
      <c r="X13633" s="4"/>
      <c r="Y13633" s="4"/>
    </row>
    <row r="13634" spans="5:25">
      <c r="E13634"/>
      <c r="G13634"/>
      <c r="H13634"/>
      <c r="I13634"/>
      <c r="K13634"/>
      <c r="O13634"/>
      <c r="R13634"/>
      <c r="W13634" s="4"/>
      <c r="X13634" s="4"/>
      <c r="Y13634" s="4"/>
    </row>
    <row r="13635" spans="5:25">
      <c r="E13635"/>
      <c r="G13635"/>
      <c r="H13635"/>
      <c r="I13635"/>
      <c r="K13635"/>
      <c r="O13635"/>
      <c r="R13635"/>
      <c r="W13635" s="4"/>
      <c r="X13635" s="4"/>
      <c r="Y13635" s="4"/>
    </row>
    <row r="13636" spans="5:25">
      <c r="E13636"/>
      <c r="G13636"/>
      <c r="H13636"/>
      <c r="I13636"/>
      <c r="K13636"/>
      <c r="O13636"/>
      <c r="R13636"/>
      <c r="W13636" s="4"/>
      <c r="X13636" s="4"/>
      <c r="Y13636" s="4"/>
    </row>
    <row r="13637" spans="5:25">
      <c r="E13637"/>
      <c r="G13637"/>
      <c r="H13637"/>
      <c r="I13637"/>
      <c r="K13637"/>
      <c r="O13637"/>
      <c r="R13637"/>
      <c r="W13637" s="4"/>
      <c r="X13637" s="4"/>
      <c r="Y13637" s="4"/>
    </row>
    <row r="13638" spans="5:25">
      <c r="E13638"/>
      <c r="G13638"/>
      <c r="H13638"/>
      <c r="I13638"/>
      <c r="K13638"/>
      <c r="O13638"/>
      <c r="R13638"/>
      <c r="W13638" s="4"/>
      <c r="X13638" s="4"/>
      <c r="Y13638" s="4"/>
    </row>
    <row r="13639" spans="5:25">
      <c r="E13639"/>
      <c r="G13639"/>
      <c r="H13639"/>
      <c r="I13639"/>
      <c r="K13639"/>
      <c r="O13639"/>
      <c r="R13639"/>
      <c r="W13639" s="4"/>
      <c r="X13639" s="4"/>
      <c r="Y13639" s="4"/>
    </row>
    <row r="13640" spans="5:25">
      <c r="E13640"/>
      <c r="G13640"/>
      <c r="H13640"/>
      <c r="I13640"/>
      <c r="K13640"/>
      <c r="O13640"/>
      <c r="R13640"/>
      <c r="W13640" s="4"/>
      <c r="X13640" s="4"/>
      <c r="Y13640" s="4"/>
    </row>
    <row r="13641" spans="5:25">
      <c r="E13641"/>
      <c r="G13641"/>
      <c r="H13641"/>
      <c r="I13641"/>
      <c r="K13641"/>
      <c r="O13641"/>
      <c r="R13641"/>
      <c r="W13641" s="4"/>
      <c r="X13641" s="4"/>
      <c r="Y13641" s="4"/>
    </row>
    <row r="13642" spans="5:25">
      <c r="E13642"/>
      <c r="G13642"/>
      <c r="H13642"/>
      <c r="I13642"/>
      <c r="K13642"/>
      <c r="O13642"/>
      <c r="R13642"/>
      <c r="W13642" s="4"/>
      <c r="X13642" s="4"/>
      <c r="Y13642" s="4"/>
    </row>
    <row r="13643" spans="5:25">
      <c r="E13643"/>
      <c r="G13643"/>
      <c r="H13643"/>
      <c r="I13643"/>
      <c r="K13643"/>
      <c r="O13643"/>
      <c r="R13643"/>
      <c r="W13643" s="4"/>
      <c r="X13643" s="4"/>
      <c r="Y13643" s="4"/>
    </row>
    <row r="13644" spans="5:25">
      <c r="E13644"/>
      <c r="G13644"/>
      <c r="H13644"/>
      <c r="I13644"/>
      <c r="K13644"/>
      <c r="O13644"/>
      <c r="R13644"/>
      <c r="W13644" s="4"/>
      <c r="X13644" s="4"/>
      <c r="Y13644" s="4"/>
    </row>
    <row r="13645" spans="5:25">
      <c r="E13645"/>
      <c r="G13645"/>
      <c r="H13645"/>
      <c r="I13645"/>
      <c r="K13645"/>
      <c r="O13645"/>
      <c r="R13645"/>
      <c r="W13645" s="4"/>
      <c r="X13645" s="4"/>
      <c r="Y13645" s="4"/>
    </row>
    <row r="13646" spans="5:25">
      <c r="E13646"/>
      <c r="G13646"/>
      <c r="H13646"/>
      <c r="I13646"/>
      <c r="K13646"/>
      <c r="O13646"/>
      <c r="R13646"/>
      <c r="W13646" s="4"/>
      <c r="X13646" s="4"/>
      <c r="Y13646" s="4"/>
    </row>
    <row r="13647" spans="5:25">
      <c r="E13647"/>
      <c r="G13647"/>
      <c r="H13647"/>
      <c r="I13647"/>
      <c r="K13647"/>
      <c r="O13647"/>
      <c r="R13647"/>
      <c r="W13647" s="4"/>
      <c r="X13647" s="4"/>
      <c r="Y13647" s="4"/>
    </row>
    <row r="13648" spans="5:25">
      <c r="E13648"/>
      <c r="G13648"/>
      <c r="H13648"/>
      <c r="I13648"/>
      <c r="K13648"/>
      <c r="O13648"/>
      <c r="R13648"/>
      <c r="W13648" s="4"/>
      <c r="X13648" s="4"/>
      <c r="Y13648" s="4"/>
    </row>
    <row r="13649" spans="5:25">
      <c r="E13649"/>
      <c r="G13649"/>
      <c r="H13649"/>
      <c r="I13649"/>
      <c r="K13649"/>
      <c r="O13649"/>
      <c r="R13649"/>
      <c r="W13649" s="4"/>
      <c r="X13649" s="4"/>
      <c r="Y13649" s="4"/>
    </row>
    <row r="13650" spans="5:25">
      <c r="E13650"/>
      <c r="G13650"/>
      <c r="H13650"/>
      <c r="I13650"/>
      <c r="K13650"/>
      <c r="O13650"/>
      <c r="R13650"/>
      <c r="W13650" s="4"/>
      <c r="X13650" s="4"/>
      <c r="Y13650" s="4"/>
    </row>
    <row r="13651" spans="5:25">
      <c r="E13651"/>
      <c r="G13651"/>
      <c r="H13651"/>
      <c r="I13651"/>
      <c r="K13651"/>
      <c r="O13651"/>
      <c r="R13651"/>
      <c r="W13651" s="4"/>
      <c r="X13651" s="4"/>
      <c r="Y13651" s="4"/>
    </row>
    <row r="13652" spans="5:25">
      <c r="E13652"/>
      <c r="G13652"/>
      <c r="H13652"/>
      <c r="I13652"/>
      <c r="K13652"/>
      <c r="O13652"/>
      <c r="R13652"/>
      <c r="W13652" s="4"/>
      <c r="X13652" s="4"/>
      <c r="Y13652" s="4"/>
    </row>
    <row r="13653" spans="5:25">
      <c r="E13653"/>
      <c r="G13653"/>
      <c r="H13653"/>
      <c r="I13653"/>
      <c r="K13653"/>
      <c r="O13653"/>
      <c r="R13653"/>
      <c r="W13653" s="4"/>
      <c r="X13653" s="4"/>
      <c r="Y13653" s="4"/>
    </row>
    <row r="13654" spans="5:25">
      <c r="E13654"/>
      <c r="G13654"/>
      <c r="H13654"/>
      <c r="I13654"/>
      <c r="K13654"/>
      <c r="O13654"/>
      <c r="R13654"/>
      <c r="W13654" s="4"/>
      <c r="X13654" s="4"/>
      <c r="Y13654" s="4"/>
    </row>
    <row r="13655" spans="5:25">
      <c r="E13655"/>
      <c r="G13655"/>
      <c r="H13655"/>
      <c r="I13655"/>
      <c r="K13655"/>
      <c r="O13655"/>
      <c r="R13655"/>
      <c r="W13655" s="4"/>
      <c r="X13655" s="4"/>
      <c r="Y13655" s="4"/>
    </row>
    <row r="13656" spans="5:25">
      <c r="E13656"/>
      <c r="G13656"/>
      <c r="H13656"/>
      <c r="I13656"/>
      <c r="K13656"/>
      <c r="O13656"/>
      <c r="R13656"/>
      <c r="W13656" s="4"/>
      <c r="X13656" s="4"/>
      <c r="Y13656" s="4"/>
    </row>
    <row r="13657" spans="5:25">
      <c r="E13657"/>
      <c r="G13657"/>
      <c r="H13657"/>
      <c r="I13657"/>
      <c r="K13657"/>
      <c r="O13657"/>
      <c r="R13657"/>
      <c r="W13657" s="4"/>
      <c r="X13657" s="4"/>
      <c r="Y13657" s="4"/>
    </row>
    <row r="13658" spans="5:25">
      <c r="E13658"/>
      <c r="G13658"/>
      <c r="H13658"/>
      <c r="I13658"/>
      <c r="K13658"/>
      <c r="O13658"/>
      <c r="R13658"/>
      <c r="W13658" s="4"/>
      <c r="X13658" s="4"/>
      <c r="Y13658" s="4"/>
    </row>
    <row r="13659" spans="5:25">
      <c r="E13659"/>
      <c r="G13659"/>
      <c r="H13659"/>
      <c r="I13659"/>
      <c r="K13659"/>
      <c r="O13659"/>
      <c r="R13659"/>
      <c r="W13659" s="4"/>
      <c r="X13659" s="4"/>
      <c r="Y13659" s="4"/>
    </row>
    <row r="13660" spans="5:25">
      <c r="E13660"/>
      <c r="G13660"/>
      <c r="H13660"/>
      <c r="I13660"/>
      <c r="K13660"/>
      <c r="O13660"/>
      <c r="R13660"/>
      <c r="W13660" s="4"/>
      <c r="X13660" s="4"/>
      <c r="Y13660" s="4"/>
    </row>
    <row r="13661" spans="5:25">
      <c r="E13661"/>
      <c r="G13661"/>
      <c r="H13661"/>
      <c r="I13661"/>
      <c r="K13661"/>
      <c r="O13661"/>
      <c r="R13661"/>
      <c r="W13661" s="4"/>
      <c r="X13661" s="4"/>
      <c r="Y13661" s="4"/>
    </row>
    <row r="13662" spans="5:25">
      <c r="E13662"/>
      <c r="G13662"/>
      <c r="H13662"/>
      <c r="I13662"/>
      <c r="K13662"/>
      <c r="O13662"/>
      <c r="R13662"/>
      <c r="W13662" s="4"/>
      <c r="X13662" s="4"/>
      <c r="Y13662" s="4"/>
    </row>
    <row r="13663" spans="5:25">
      <c r="E13663"/>
      <c r="G13663"/>
      <c r="H13663"/>
      <c r="I13663"/>
      <c r="K13663"/>
      <c r="O13663"/>
      <c r="R13663"/>
      <c r="W13663" s="4"/>
      <c r="X13663" s="4"/>
      <c r="Y13663" s="4"/>
    </row>
    <row r="13664" spans="5:25">
      <c r="E13664"/>
      <c r="G13664"/>
      <c r="H13664"/>
      <c r="I13664"/>
      <c r="K13664"/>
      <c r="O13664"/>
      <c r="R13664"/>
      <c r="W13664" s="4"/>
      <c r="X13664" s="4"/>
      <c r="Y13664" s="4"/>
    </row>
    <row r="13665" spans="5:25">
      <c r="E13665"/>
      <c r="G13665"/>
      <c r="H13665"/>
      <c r="I13665"/>
      <c r="K13665"/>
      <c r="O13665"/>
      <c r="R13665"/>
      <c r="W13665" s="4"/>
      <c r="X13665" s="4"/>
      <c r="Y13665" s="4"/>
    </row>
    <row r="13666" spans="5:25">
      <c r="E13666"/>
      <c r="G13666"/>
      <c r="H13666"/>
      <c r="I13666"/>
      <c r="K13666"/>
      <c r="O13666"/>
      <c r="R13666"/>
      <c r="W13666" s="4"/>
      <c r="X13666" s="4"/>
      <c r="Y13666" s="4"/>
    </row>
    <row r="13667" spans="5:25">
      <c r="E13667"/>
      <c r="G13667"/>
      <c r="H13667"/>
      <c r="I13667"/>
      <c r="K13667"/>
      <c r="O13667"/>
      <c r="R13667"/>
      <c r="W13667" s="4"/>
      <c r="X13667" s="4"/>
      <c r="Y13667" s="4"/>
    </row>
    <row r="13668" spans="5:25">
      <c r="E13668"/>
      <c r="G13668"/>
      <c r="H13668"/>
      <c r="I13668"/>
      <c r="K13668"/>
      <c r="O13668"/>
      <c r="R13668"/>
      <c r="W13668" s="4"/>
      <c r="X13668" s="4"/>
      <c r="Y13668" s="4"/>
    </row>
    <row r="13669" spans="5:25">
      <c r="E13669"/>
      <c r="G13669"/>
      <c r="H13669"/>
      <c r="I13669"/>
      <c r="K13669"/>
      <c r="O13669"/>
      <c r="R13669"/>
      <c r="W13669" s="4"/>
      <c r="X13669" s="4"/>
      <c r="Y13669" s="4"/>
    </row>
    <row r="13670" spans="5:25">
      <c r="E13670"/>
      <c r="G13670"/>
      <c r="H13670"/>
      <c r="I13670"/>
      <c r="K13670"/>
      <c r="O13670"/>
      <c r="R13670"/>
      <c r="W13670" s="4"/>
      <c r="X13670" s="4"/>
      <c r="Y13670" s="4"/>
    </row>
    <row r="13671" spans="5:25">
      <c r="E13671"/>
      <c r="G13671"/>
      <c r="H13671"/>
      <c r="I13671"/>
      <c r="K13671"/>
      <c r="O13671"/>
      <c r="R13671"/>
      <c r="W13671" s="4"/>
      <c r="X13671" s="4"/>
      <c r="Y13671" s="4"/>
    </row>
    <row r="13672" spans="5:25">
      <c r="E13672"/>
      <c r="G13672"/>
      <c r="H13672"/>
      <c r="I13672"/>
      <c r="K13672"/>
      <c r="O13672"/>
      <c r="R13672"/>
      <c r="W13672" s="4"/>
      <c r="X13672" s="4"/>
      <c r="Y13672" s="4"/>
    </row>
    <row r="13673" spans="5:25">
      <c r="E13673"/>
      <c r="G13673"/>
      <c r="H13673"/>
      <c r="I13673"/>
      <c r="K13673"/>
      <c r="O13673"/>
      <c r="R13673"/>
      <c r="W13673" s="4"/>
      <c r="X13673" s="4"/>
      <c r="Y13673" s="4"/>
    </row>
    <row r="13674" spans="5:25">
      <c r="E13674"/>
      <c r="G13674"/>
      <c r="H13674"/>
      <c r="I13674"/>
      <c r="K13674"/>
      <c r="O13674"/>
      <c r="R13674"/>
      <c r="W13674" s="4"/>
      <c r="X13674" s="4"/>
      <c r="Y13674" s="4"/>
    </row>
    <row r="13675" spans="5:25">
      <c r="E13675"/>
      <c r="G13675"/>
      <c r="H13675"/>
      <c r="I13675"/>
      <c r="K13675"/>
      <c r="O13675"/>
      <c r="R13675"/>
      <c r="W13675" s="4"/>
      <c r="X13675" s="4"/>
      <c r="Y13675" s="4"/>
    </row>
    <row r="13676" spans="5:25">
      <c r="E13676"/>
      <c r="G13676"/>
      <c r="H13676"/>
      <c r="I13676"/>
      <c r="K13676"/>
      <c r="O13676"/>
      <c r="R13676"/>
      <c r="W13676" s="4"/>
      <c r="X13676" s="4"/>
      <c r="Y13676" s="4"/>
    </row>
    <row r="13677" spans="5:25">
      <c r="E13677"/>
      <c r="G13677"/>
      <c r="H13677"/>
      <c r="I13677"/>
      <c r="K13677"/>
      <c r="O13677"/>
      <c r="R13677"/>
      <c r="W13677" s="4"/>
      <c r="X13677" s="4"/>
      <c r="Y13677" s="4"/>
    </row>
    <row r="13678" spans="5:25">
      <c r="E13678"/>
      <c r="G13678"/>
      <c r="H13678"/>
      <c r="I13678"/>
      <c r="K13678"/>
      <c r="O13678"/>
      <c r="R13678"/>
      <c r="W13678" s="4"/>
      <c r="X13678" s="4"/>
      <c r="Y13678" s="4"/>
    </row>
    <row r="13679" spans="5:25">
      <c r="E13679"/>
      <c r="G13679"/>
      <c r="H13679"/>
      <c r="I13679"/>
      <c r="K13679"/>
      <c r="O13679"/>
      <c r="R13679"/>
      <c r="W13679" s="4"/>
      <c r="X13679" s="4"/>
      <c r="Y13679" s="4"/>
    </row>
    <row r="13680" spans="5:25">
      <c r="E13680"/>
      <c r="G13680"/>
      <c r="H13680"/>
      <c r="I13680"/>
      <c r="K13680"/>
      <c r="O13680"/>
      <c r="R13680"/>
      <c r="W13680" s="4"/>
      <c r="X13680" s="4"/>
      <c r="Y13680" s="4"/>
    </row>
    <row r="13681" spans="5:25">
      <c r="E13681"/>
      <c r="G13681"/>
      <c r="H13681"/>
      <c r="I13681"/>
      <c r="K13681"/>
      <c r="O13681"/>
      <c r="R13681"/>
      <c r="W13681" s="4"/>
      <c r="X13681" s="4"/>
      <c r="Y13681" s="4"/>
    </row>
    <row r="13682" spans="5:25">
      <c r="E13682"/>
      <c r="G13682"/>
      <c r="H13682"/>
      <c r="I13682"/>
      <c r="K13682"/>
      <c r="O13682"/>
      <c r="R13682"/>
      <c r="W13682" s="4"/>
      <c r="X13682" s="4"/>
      <c r="Y13682" s="4"/>
    </row>
    <row r="13683" spans="5:25">
      <c r="E13683"/>
      <c r="G13683"/>
      <c r="H13683"/>
      <c r="I13683"/>
      <c r="K13683"/>
      <c r="O13683"/>
      <c r="R13683"/>
      <c r="W13683" s="4"/>
      <c r="X13683" s="4"/>
      <c r="Y13683" s="4"/>
    </row>
    <row r="13684" spans="5:25">
      <c r="E13684"/>
      <c r="G13684"/>
      <c r="H13684"/>
      <c r="I13684"/>
      <c r="K13684"/>
      <c r="O13684"/>
      <c r="R13684"/>
      <c r="W13684" s="4"/>
      <c r="X13684" s="4"/>
      <c r="Y13684" s="4"/>
    </row>
    <row r="13685" spans="5:25">
      <c r="E13685"/>
      <c r="G13685"/>
      <c r="H13685"/>
      <c r="I13685"/>
      <c r="K13685"/>
      <c r="O13685"/>
      <c r="R13685"/>
      <c r="W13685" s="4"/>
      <c r="X13685" s="4"/>
      <c r="Y13685" s="4"/>
    </row>
    <row r="13686" spans="5:25">
      <c r="E13686"/>
      <c r="G13686"/>
      <c r="H13686"/>
      <c r="I13686"/>
      <c r="K13686"/>
      <c r="O13686"/>
      <c r="R13686"/>
      <c r="W13686" s="4"/>
      <c r="X13686" s="4"/>
      <c r="Y13686" s="4"/>
    </row>
    <row r="13687" spans="5:25">
      <c r="E13687"/>
      <c r="G13687"/>
      <c r="H13687"/>
      <c r="I13687"/>
      <c r="K13687"/>
      <c r="O13687"/>
      <c r="R13687"/>
      <c r="W13687" s="4"/>
      <c r="X13687" s="4"/>
      <c r="Y13687" s="4"/>
    </row>
    <row r="13688" spans="5:25">
      <c r="E13688"/>
      <c r="G13688"/>
      <c r="H13688"/>
      <c r="I13688"/>
      <c r="K13688"/>
      <c r="O13688"/>
      <c r="R13688"/>
      <c r="W13688" s="4"/>
      <c r="X13688" s="4"/>
      <c r="Y13688" s="4"/>
    </row>
    <row r="13689" spans="5:25">
      <c r="E13689"/>
      <c r="G13689"/>
      <c r="H13689"/>
      <c r="I13689"/>
      <c r="K13689"/>
      <c r="O13689"/>
      <c r="R13689"/>
      <c r="W13689" s="4"/>
      <c r="X13689" s="4"/>
      <c r="Y13689" s="4"/>
    </row>
    <row r="13690" spans="5:25">
      <c r="E13690"/>
      <c r="G13690"/>
      <c r="H13690"/>
      <c r="I13690"/>
      <c r="K13690"/>
      <c r="O13690"/>
      <c r="R13690"/>
      <c r="W13690" s="4"/>
      <c r="X13690" s="4"/>
      <c r="Y13690" s="4"/>
    </row>
    <row r="13691" spans="5:25">
      <c r="E13691"/>
      <c r="G13691"/>
      <c r="H13691"/>
      <c r="I13691"/>
      <c r="K13691"/>
      <c r="O13691"/>
      <c r="R13691"/>
      <c r="W13691" s="4"/>
      <c r="X13691" s="4"/>
      <c r="Y13691" s="4"/>
    </row>
    <row r="13692" spans="5:25">
      <c r="E13692"/>
      <c r="G13692"/>
      <c r="H13692"/>
      <c r="I13692"/>
      <c r="K13692"/>
      <c r="O13692"/>
      <c r="R13692"/>
      <c r="W13692" s="4"/>
      <c r="X13692" s="4"/>
      <c r="Y13692" s="4"/>
    </row>
    <row r="13693" spans="5:25">
      <c r="E13693"/>
      <c r="G13693"/>
      <c r="H13693"/>
      <c r="I13693"/>
      <c r="K13693"/>
      <c r="O13693"/>
      <c r="R13693"/>
      <c r="W13693" s="4"/>
      <c r="X13693" s="4"/>
      <c r="Y13693" s="4"/>
    </row>
    <row r="13694" spans="5:25">
      <c r="E13694"/>
      <c r="G13694"/>
      <c r="H13694"/>
      <c r="I13694"/>
      <c r="K13694"/>
      <c r="O13694"/>
      <c r="R13694"/>
      <c r="W13694" s="4"/>
      <c r="X13694" s="4"/>
      <c r="Y13694" s="4"/>
    </row>
    <row r="13695" spans="5:25">
      <c r="E13695"/>
      <c r="G13695"/>
      <c r="H13695"/>
      <c r="I13695"/>
      <c r="K13695"/>
      <c r="O13695"/>
      <c r="R13695"/>
      <c r="W13695" s="4"/>
      <c r="X13695" s="4"/>
      <c r="Y13695" s="4"/>
    </row>
    <row r="13696" spans="5:25">
      <c r="E13696"/>
      <c r="G13696"/>
      <c r="H13696"/>
      <c r="I13696"/>
      <c r="K13696"/>
      <c r="O13696"/>
      <c r="R13696"/>
      <c r="W13696" s="4"/>
      <c r="X13696" s="4"/>
      <c r="Y13696" s="4"/>
    </row>
    <row r="13697" spans="5:25">
      <c r="E13697"/>
      <c r="G13697"/>
      <c r="H13697"/>
      <c r="I13697"/>
      <c r="K13697"/>
      <c r="O13697"/>
      <c r="R13697"/>
      <c r="W13697" s="4"/>
      <c r="X13697" s="4"/>
      <c r="Y13697" s="4"/>
    </row>
    <row r="13698" spans="5:25">
      <c r="E13698"/>
      <c r="G13698"/>
      <c r="H13698"/>
      <c r="I13698"/>
      <c r="K13698"/>
      <c r="O13698"/>
      <c r="R13698"/>
      <c r="W13698" s="4"/>
      <c r="X13698" s="4"/>
      <c r="Y13698" s="4"/>
    </row>
    <row r="13699" spans="5:25">
      <c r="E13699"/>
      <c r="G13699"/>
      <c r="H13699"/>
      <c r="I13699"/>
      <c r="K13699"/>
      <c r="O13699"/>
      <c r="R13699"/>
      <c r="W13699" s="4"/>
      <c r="X13699" s="4"/>
      <c r="Y13699" s="4"/>
    </row>
    <row r="13700" spans="5:25">
      <c r="E13700"/>
      <c r="G13700"/>
      <c r="H13700"/>
      <c r="I13700"/>
      <c r="K13700"/>
      <c r="O13700"/>
      <c r="R13700"/>
      <c r="W13700" s="4"/>
      <c r="X13700" s="4"/>
      <c r="Y13700" s="4"/>
    </row>
    <row r="13701" spans="5:25">
      <c r="E13701"/>
      <c r="G13701"/>
      <c r="H13701"/>
      <c r="I13701"/>
      <c r="K13701"/>
      <c r="O13701"/>
      <c r="R13701"/>
      <c r="W13701" s="4"/>
      <c r="X13701" s="4"/>
      <c r="Y13701" s="4"/>
    </row>
    <row r="13702" spans="5:25">
      <c r="E13702"/>
      <c r="G13702"/>
      <c r="H13702"/>
      <c r="I13702"/>
      <c r="K13702"/>
      <c r="O13702"/>
      <c r="R13702"/>
      <c r="W13702" s="4"/>
      <c r="X13702" s="4"/>
      <c r="Y13702" s="4"/>
    </row>
    <row r="13703" spans="5:25">
      <c r="E13703"/>
      <c r="G13703"/>
      <c r="H13703"/>
      <c r="I13703"/>
      <c r="K13703"/>
      <c r="O13703"/>
      <c r="R13703"/>
      <c r="W13703" s="4"/>
      <c r="X13703" s="4"/>
      <c r="Y13703" s="4"/>
    </row>
    <row r="13704" spans="5:25">
      <c r="E13704"/>
      <c r="G13704"/>
      <c r="H13704"/>
      <c r="I13704"/>
      <c r="K13704"/>
      <c r="O13704"/>
      <c r="R13704"/>
      <c r="W13704" s="4"/>
      <c r="X13704" s="4"/>
      <c r="Y13704" s="4"/>
    </row>
    <row r="13705" spans="5:25">
      <c r="E13705"/>
      <c r="G13705"/>
      <c r="H13705"/>
      <c r="I13705"/>
      <c r="K13705"/>
      <c r="O13705"/>
      <c r="R13705"/>
      <c r="W13705" s="4"/>
      <c r="X13705" s="4"/>
      <c r="Y13705" s="4"/>
    </row>
    <row r="13706" spans="5:25">
      <c r="E13706"/>
      <c r="G13706"/>
      <c r="H13706"/>
      <c r="I13706"/>
      <c r="K13706"/>
      <c r="O13706"/>
      <c r="R13706"/>
      <c r="W13706" s="4"/>
      <c r="X13706" s="4"/>
      <c r="Y13706" s="4"/>
    </row>
    <row r="13707" spans="5:25">
      <c r="E13707"/>
      <c r="G13707"/>
      <c r="H13707"/>
      <c r="I13707"/>
      <c r="K13707"/>
      <c r="O13707"/>
      <c r="R13707"/>
      <c r="W13707" s="4"/>
      <c r="X13707" s="4"/>
      <c r="Y13707" s="4"/>
    </row>
    <row r="13708" spans="5:25">
      <c r="E13708"/>
      <c r="G13708"/>
      <c r="H13708"/>
      <c r="I13708"/>
      <c r="K13708"/>
      <c r="O13708"/>
      <c r="R13708"/>
      <c r="W13708" s="4"/>
      <c r="X13708" s="4"/>
      <c r="Y13708" s="4"/>
    </row>
    <row r="13709" spans="5:25">
      <c r="E13709"/>
      <c r="G13709"/>
      <c r="H13709"/>
      <c r="I13709"/>
      <c r="K13709"/>
      <c r="O13709"/>
      <c r="R13709"/>
      <c r="W13709" s="4"/>
      <c r="X13709" s="4"/>
      <c r="Y13709" s="4"/>
    </row>
    <row r="13710" spans="5:25">
      <c r="E13710"/>
      <c r="G13710"/>
      <c r="H13710"/>
      <c r="I13710"/>
      <c r="K13710"/>
      <c r="O13710"/>
      <c r="R13710"/>
      <c r="W13710" s="4"/>
      <c r="X13710" s="4"/>
      <c r="Y13710" s="4"/>
    </row>
    <row r="13711" spans="5:25">
      <c r="E13711"/>
      <c r="G13711"/>
      <c r="H13711"/>
      <c r="I13711"/>
      <c r="K13711"/>
      <c r="O13711"/>
      <c r="R13711"/>
      <c r="W13711" s="4"/>
      <c r="X13711" s="4"/>
      <c r="Y13711" s="4"/>
    </row>
    <row r="13712" spans="5:25">
      <c r="E13712"/>
      <c r="G13712"/>
      <c r="H13712"/>
      <c r="I13712"/>
      <c r="K13712"/>
      <c r="O13712"/>
      <c r="R13712"/>
      <c r="W13712" s="4"/>
      <c r="X13712" s="4"/>
      <c r="Y13712" s="4"/>
    </row>
    <row r="13713" spans="5:25">
      <c r="E13713"/>
      <c r="G13713"/>
      <c r="H13713"/>
      <c r="I13713"/>
      <c r="K13713"/>
      <c r="O13713"/>
      <c r="R13713"/>
      <c r="W13713" s="4"/>
      <c r="X13713" s="4"/>
      <c r="Y13713" s="4"/>
    </row>
    <row r="13714" spans="5:25">
      <c r="E13714"/>
      <c r="G13714"/>
      <c r="H13714"/>
      <c r="I13714"/>
      <c r="K13714"/>
      <c r="O13714"/>
      <c r="R13714"/>
      <c r="W13714" s="4"/>
      <c r="X13714" s="4"/>
      <c r="Y13714" s="4"/>
    </row>
    <row r="13715" spans="5:25">
      <c r="E13715"/>
      <c r="G13715"/>
      <c r="H13715"/>
      <c r="I13715"/>
      <c r="K13715"/>
      <c r="O13715"/>
      <c r="R13715"/>
      <c r="W13715" s="4"/>
      <c r="X13715" s="4"/>
      <c r="Y13715" s="4"/>
    </row>
    <row r="13716" spans="5:25">
      <c r="E13716"/>
      <c r="G13716"/>
      <c r="H13716"/>
      <c r="I13716"/>
      <c r="K13716"/>
      <c r="O13716"/>
      <c r="R13716"/>
      <c r="W13716" s="4"/>
      <c r="X13716" s="4"/>
      <c r="Y13716" s="4"/>
    </row>
    <row r="13717" spans="5:25">
      <c r="E13717"/>
      <c r="G13717"/>
      <c r="H13717"/>
      <c r="I13717"/>
      <c r="K13717"/>
      <c r="O13717"/>
      <c r="R13717"/>
      <c r="W13717" s="4"/>
      <c r="X13717" s="4"/>
      <c r="Y13717" s="4"/>
    </row>
    <row r="13718" spans="5:25">
      <c r="E13718"/>
      <c r="G13718"/>
      <c r="H13718"/>
      <c r="I13718"/>
      <c r="K13718"/>
      <c r="O13718"/>
      <c r="R13718"/>
      <c r="W13718" s="4"/>
      <c r="X13718" s="4"/>
      <c r="Y13718" s="4"/>
    </row>
    <row r="13719" spans="5:25">
      <c r="E13719"/>
      <c r="G13719"/>
      <c r="H13719"/>
      <c r="I13719"/>
      <c r="K13719"/>
      <c r="O13719"/>
      <c r="R13719"/>
      <c r="W13719" s="4"/>
      <c r="X13719" s="4"/>
      <c r="Y13719" s="4"/>
    </row>
    <row r="13720" spans="5:25">
      <c r="E13720"/>
      <c r="G13720"/>
      <c r="H13720"/>
      <c r="I13720"/>
      <c r="K13720"/>
      <c r="O13720"/>
      <c r="R13720"/>
      <c r="W13720" s="4"/>
      <c r="X13720" s="4"/>
      <c r="Y13720" s="4"/>
    </row>
    <row r="13721" spans="5:25">
      <c r="E13721"/>
      <c r="G13721"/>
      <c r="H13721"/>
      <c r="I13721"/>
      <c r="K13721"/>
      <c r="O13721"/>
      <c r="R13721"/>
      <c r="W13721" s="4"/>
      <c r="X13721" s="4"/>
      <c r="Y13721" s="4"/>
    </row>
    <row r="13722" spans="5:25">
      <c r="E13722"/>
      <c r="G13722"/>
      <c r="H13722"/>
      <c r="I13722"/>
      <c r="K13722"/>
      <c r="O13722"/>
      <c r="R13722"/>
      <c r="W13722" s="4"/>
      <c r="X13722" s="4"/>
      <c r="Y13722" s="4"/>
    </row>
    <row r="13723" spans="5:25">
      <c r="E13723"/>
      <c r="G13723"/>
      <c r="H13723"/>
      <c r="I13723"/>
      <c r="K13723"/>
      <c r="O13723"/>
      <c r="R13723"/>
      <c r="W13723" s="4"/>
      <c r="X13723" s="4"/>
      <c r="Y13723" s="4"/>
    </row>
    <row r="13724" spans="5:25">
      <c r="E13724"/>
      <c r="G13724"/>
      <c r="H13724"/>
      <c r="I13724"/>
      <c r="K13724"/>
      <c r="O13724"/>
      <c r="R13724"/>
      <c r="W13724" s="4"/>
      <c r="X13724" s="4"/>
      <c r="Y13724" s="4"/>
    </row>
    <row r="13725" spans="5:25">
      <c r="E13725"/>
      <c r="G13725"/>
      <c r="H13725"/>
      <c r="I13725"/>
      <c r="K13725"/>
      <c r="O13725"/>
      <c r="R13725"/>
      <c r="W13725" s="4"/>
      <c r="X13725" s="4"/>
      <c r="Y13725" s="4"/>
    </row>
    <row r="13726" spans="5:25">
      <c r="E13726"/>
      <c r="G13726"/>
      <c r="H13726"/>
      <c r="I13726"/>
      <c r="K13726"/>
      <c r="O13726"/>
      <c r="R13726"/>
      <c r="W13726" s="4"/>
      <c r="X13726" s="4"/>
      <c r="Y13726" s="4"/>
    </row>
    <row r="13727" spans="5:25">
      <c r="E13727"/>
      <c r="G13727"/>
      <c r="H13727"/>
      <c r="I13727"/>
      <c r="K13727"/>
      <c r="O13727"/>
      <c r="R13727"/>
      <c r="W13727" s="4"/>
      <c r="X13727" s="4"/>
      <c r="Y13727" s="4"/>
    </row>
    <row r="13728" spans="5:25">
      <c r="E13728"/>
      <c r="G13728"/>
      <c r="H13728"/>
      <c r="I13728"/>
      <c r="K13728"/>
      <c r="O13728"/>
      <c r="R13728"/>
      <c r="W13728" s="4"/>
      <c r="X13728" s="4"/>
      <c r="Y13728" s="4"/>
    </row>
    <row r="13729" spans="5:25">
      <c r="E13729"/>
      <c r="G13729"/>
      <c r="H13729"/>
      <c r="I13729"/>
      <c r="K13729"/>
      <c r="O13729"/>
      <c r="R13729"/>
      <c r="W13729" s="4"/>
      <c r="X13729" s="4"/>
      <c r="Y13729" s="4"/>
    </row>
    <row r="13730" spans="5:25">
      <c r="E13730"/>
      <c r="G13730"/>
      <c r="H13730"/>
      <c r="I13730"/>
      <c r="K13730"/>
      <c r="O13730"/>
      <c r="R13730"/>
      <c r="W13730" s="4"/>
      <c r="X13730" s="4"/>
      <c r="Y13730" s="4"/>
    </row>
    <row r="13731" spans="5:25">
      <c r="E13731"/>
      <c r="G13731"/>
      <c r="H13731"/>
      <c r="I13731"/>
      <c r="K13731"/>
      <c r="O13731"/>
      <c r="R13731"/>
      <c r="W13731" s="4"/>
      <c r="X13731" s="4"/>
      <c r="Y13731" s="4"/>
    </row>
    <row r="13732" spans="5:25">
      <c r="E13732"/>
      <c r="G13732"/>
      <c r="H13732"/>
      <c r="I13732"/>
      <c r="K13732"/>
      <c r="O13732"/>
      <c r="R13732"/>
      <c r="W13732" s="4"/>
      <c r="X13732" s="4"/>
      <c r="Y13732" s="4"/>
    </row>
    <row r="13733" spans="5:25">
      <c r="E13733"/>
      <c r="G13733"/>
      <c r="H13733"/>
      <c r="I13733"/>
      <c r="K13733"/>
      <c r="O13733"/>
      <c r="R13733"/>
      <c r="W13733" s="4"/>
      <c r="X13733" s="4"/>
      <c r="Y13733" s="4"/>
    </row>
    <row r="13734" spans="5:25">
      <c r="E13734"/>
      <c r="G13734"/>
      <c r="H13734"/>
      <c r="I13734"/>
      <c r="K13734"/>
      <c r="O13734"/>
      <c r="R13734"/>
      <c r="W13734" s="4"/>
      <c r="X13734" s="4"/>
      <c r="Y13734" s="4"/>
    </row>
    <row r="13735" spans="5:25">
      <c r="E13735"/>
      <c r="G13735"/>
      <c r="H13735"/>
      <c r="I13735"/>
      <c r="K13735"/>
      <c r="O13735"/>
      <c r="R13735"/>
      <c r="W13735" s="4"/>
      <c r="X13735" s="4"/>
      <c r="Y13735" s="4"/>
    </row>
    <row r="13736" spans="5:25">
      <c r="E13736"/>
      <c r="G13736"/>
      <c r="H13736"/>
      <c r="I13736"/>
      <c r="K13736"/>
      <c r="O13736"/>
      <c r="R13736"/>
      <c r="W13736" s="4"/>
      <c r="X13736" s="4"/>
      <c r="Y13736" s="4"/>
    </row>
    <row r="13737" spans="5:25">
      <c r="E13737"/>
      <c r="G13737"/>
      <c r="H13737"/>
      <c r="I13737"/>
      <c r="K13737"/>
      <c r="O13737"/>
      <c r="R13737"/>
      <c r="W13737" s="4"/>
      <c r="X13737" s="4"/>
      <c r="Y13737" s="4"/>
    </row>
    <row r="13738" spans="5:25">
      <c r="E13738"/>
      <c r="G13738"/>
      <c r="H13738"/>
      <c r="I13738"/>
      <c r="K13738"/>
      <c r="O13738"/>
      <c r="R13738"/>
      <c r="W13738" s="4"/>
      <c r="X13738" s="4"/>
      <c r="Y13738" s="4"/>
    </row>
    <row r="13739" spans="5:25">
      <c r="E13739"/>
      <c r="G13739"/>
      <c r="H13739"/>
      <c r="I13739"/>
      <c r="K13739"/>
      <c r="O13739"/>
      <c r="R13739"/>
      <c r="W13739" s="4"/>
      <c r="X13739" s="4"/>
      <c r="Y13739" s="4"/>
    </row>
    <row r="13740" spans="5:25">
      <c r="E13740"/>
      <c r="G13740"/>
      <c r="H13740"/>
      <c r="I13740"/>
      <c r="K13740"/>
      <c r="O13740"/>
      <c r="R13740"/>
      <c r="W13740" s="4"/>
      <c r="X13740" s="4"/>
      <c r="Y13740" s="4"/>
    </row>
    <row r="13741" spans="5:25">
      <c r="E13741"/>
      <c r="G13741"/>
      <c r="H13741"/>
      <c r="I13741"/>
      <c r="K13741"/>
      <c r="O13741"/>
      <c r="R13741"/>
      <c r="W13741" s="4"/>
      <c r="X13741" s="4"/>
      <c r="Y13741" s="4"/>
    </row>
    <row r="13742" spans="5:25">
      <c r="E13742"/>
      <c r="G13742"/>
      <c r="H13742"/>
      <c r="I13742"/>
      <c r="K13742"/>
      <c r="O13742"/>
      <c r="R13742"/>
      <c r="W13742" s="4"/>
      <c r="X13742" s="4"/>
      <c r="Y13742" s="4"/>
    </row>
    <row r="13743" spans="5:25">
      <c r="E13743"/>
      <c r="G13743"/>
      <c r="H13743"/>
      <c r="I13743"/>
      <c r="K13743"/>
      <c r="O13743"/>
      <c r="R13743"/>
      <c r="W13743" s="4"/>
      <c r="X13743" s="4"/>
      <c r="Y13743" s="4"/>
    </row>
    <row r="13744" spans="5:25">
      <c r="E13744"/>
      <c r="G13744"/>
      <c r="H13744"/>
      <c r="I13744"/>
      <c r="K13744"/>
      <c r="O13744"/>
      <c r="R13744"/>
      <c r="W13744" s="4"/>
      <c r="X13744" s="4"/>
      <c r="Y13744" s="4"/>
    </row>
    <row r="13745" spans="5:25">
      <c r="E13745"/>
      <c r="G13745"/>
      <c r="H13745"/>
      <c r="I13745"/>
      <c r="K13745"/>
      <c r="O13745"/>
      <c r="R13745"/>
      <c r="W13745" s="4"/>
      <c r="X13745" s="4"/>
      <c r="Y13745" s="4"/>
    </row>
    <row r="13746" spans="5:25">
      <c r="E13746"/>
      <c r="G13746"/>
      <c r="H13746"/>
      <c r="I13746"/>
      <c r="K13746"/>
      <c r="O13746"/>
      <c r="R13746"/>
      <c r="W13746" s="4"/>
      <c r="X13746" s="4"/>
      <c r="Y13746" s="4"/>
    </row>
    <row r="13747" spans="5:25">
      <c r="E13747"/>
      <c r="G13747"/>
      <c r="H13747"/>
      <c r="I13747"/>
      <c r="K13747"/>
      <c r="O13747"/>
      <c r="R13747"/>
      <c r="W13747" s="4"/>
      <c r="X13747" s="4"/>
      <c r="Y13747" s="4"/>
    </row>
    <row r="13748" spans="5:25">
      <c r="E13748"/>
      <c r="G13748"/>
      <c r="H13748"/>
      <c r="I13748"/>
      <c r="K13748"/>
      <c r="O13748"/>
      <c r="R13748"/>
      <c r="W13748" s="4"/>
      <c r="X13748" s="4"/>
      <c r="Y13748" s="4"/>
    </row>
    <row r="13749" spans="5:25">
      <c r="E13749"/>
      <c r="G13749"/>
      <c r="H13749"/>
      <c r="I13749"/>
      <c r="K13749"/>
      <c r="O13749"/>
      <c r="R13749"/>
      <c r="W13749" s="4"/>
      <c r="X13749" s="4"/>
      <c r="Y13749" s="4"/>
    </row>
    <row r="13750" spans="5:25">
      <c r="E13750"/>
      <c r="G13750"/>
      <c r="H13750"/>
      <c r="I13750"/>
      <c r="K13750"/>
      <c r="O13750"/>
      <c r="R13750"/>
      <c r="W13750" s="4"/>
      <c r="X13750" s="4"/>
      <c r="Y13750" s="4"/>
    </row>
    <row r="13751" spans="5:25">
      <c r="E13751"/>
      <c r="G13751"/>
      <c r="H13751"/>
      <c r="I13751"/>
      <c r="K13751"/>
      <c r="O13751"/>
      <c r="R13751"/>
      <c r="W13751" s="4"/>
      <c r="X13751" s="4"/>
      <c r="Y13751" s="4"/>
    </row>
    <row r="13752" spans="5:25">
      <c r="E13752"/>
      <c r="G13752"/>
      <c r="H13752"/>
      <c r="I13752"/>
      <c r="K13752"/>
      <c r="O13752"/>
      <c r="R13752"/>
      <c r="W13752" s="4"/>
      <c r="X13752" s="4"/>
      <c r="Y13752" s="4"/>
    </row>
    <row r="13753" spans="5:25">
      <c r="E13753"/>
      <c r="G13753"/>
      <c r="H13753"/>
      <c r="I13753"/>
      <c r="K13753"/>
      <c r="O13753"/>
      <c r="R13753"/>
      <c r="W13753" s="4"/>
      <c r="X13753" s="4"/>
      <c r="Y13753" s="4"/>
    </row>
    <row r="13754" spans="5:25">
      <c r="E13754"/>
      <c r="G13754"/>
      <c r="H13754"/>
      <c r="I13754"/>
      <c r="K13754"/>
      <c r="O13754"/>
      <c r="R13754"/>
      <c r="W13754" s="4"/>
      <c r="X13754" s="4"/>
      <c r="Y13754" s="4"/>
    </row>
    <row r="13755" spans="5:25">
      <c r="E13755"/>
      <c r="G13755"/>
      <c r="H13755"/>
      <c r="I13755"/>
      <c r="K13755"/>
      <c r="O13755"/>
      <c r="R13755"/>
      <c r="W13755" s="4"/>
      <c r="X13755" s="4"/>
      <c r="Y13755" s="4"/>
    </row>
    <row r="13756" spans="5:25">
      <c r="E13756"/>
      <c r="G13756"/>
      <c r="H13756"/>
      <c r="I13756"/>
      <c r="K13756"/>
      <c r="O13756"/>
      <c r="R13756"/>
      <c r="W13756" s="4"/>
      <c r="X13756" s="4"/>
      <c r="Y13756" s="4"/>
    </row>
    <row r="13757" spans="5:25">
      <c r="E13757"/>
      <c r="G13757"/>
      <c r="H13757"/>
      <c r="I13757"/>
      <c r="K13757"/>
      <c r="O13757"/>
      <c r="R13757"/>
      <c r="W13757" s="4"/>
      <c r="X13757" s="4"/>
      <c r="Y13757" s="4"/>
    </row>
    <row r="13758" spans="5:25">
      <c r="E13758"/>
      <c r="G13758"/>
      <c r="H13758"/>
      <c r="I13758"/>
      <c r="K13758"/>
      <c r="O13758"/>
      <c r="R13758"/>
      <c r="W13758" s="4"/>
      <c r="X13758" s="4"/>
      <c r="Y13758" s="4"/>
    </row>
    <row r="13759" spans="5:25">
      <c r="E13759"/>
      <c r="G13759"/>
      <c r="H13759"/>
      <c r="I13759"/>
      <c r="K13759"/>
      <c r="O13759"/>
      <c r="R13759"/>
      <c r="W13759" s="4"/>
      <c r="X13759" s="4"/>
      <c r="Y13759" s="4"/>
    </row>
    <row r="13760" spans="5:25">
      <c r="E13760"/>
      <c r="G13760"/>
      <c r="H13760"/>
      <c r="I13760"/>
      <c r="K13760"/>
      <c r="O13760"/>
      <c r="R13760"/>
      <c r="W13760" s="4"/>
      <c r="X13760" s="4"/>
      <c r="Y13760" s="4"/>
    </row>
    <row r="13761" spans="5:25">
      <c r="E13761"/>
      <c r="G13761"/>
      <c r="H13761"/>
      <c r="I13761"/>
      <c r="K13761"/>
      <c r="O13761"/>
      <c r="R13761"/>
      <c r="W13761" s="4"/>
      <c r="X13761" s="4"/>
      <c r="Y13761" s="4"/>
    </row>
    <row r="13762" spans="5:25">
      <c r="E13762"/>
      <c r="G13762"/>
      <c r="H13762"/>
      <c r="I13762"/>
      <c r="K13762"/>
      <c r="O13762"/>
      <c r="R13762"/>
      <c r="W13762" s="4"/>
      <c r="X13762" s="4"/>
      <c r="Y13762" s="4"/>
    </row>
    <row r="13763" spans="5:25">
      <c r="E13763"/>
      <c r="G13763"/>
      <c r="H13763"/>
      <c r="I13763"/>
      <c r="K13763"/>
      <c r="O13763"/>
      <c r="R13763"/>
      <c r="W13763" s="4"/>
      <c r="X13763" s="4"/>
      <c r="Y13763" s="4"/>
    </row>
    <row r="13764" spans="5:25">
      <c r="E13764"/>
      <c r="G13764"/>
      <c r="H13764"/>
      <c r="I13764"/>
      <c r="K13764"/>
      <c r="O13764"/>
      <c r="R13764"/>
      <c r="W13764" s="4"/>
      <c r="X13764" s="4"/>
      <c r="Y13764" s="4"/>
    </row>
    <row r="13765" spans="5:25">
      <c r="E13765"/>
      <c r="G13765"/>
      <c r="H13765"/>
      <c r="I13765"/>
      <c r="K13765"/>
      <c r="O13765"/>
      <c r="R13765"/>
      <c r="W13765" s="4"/>
      <c r="X13765" s="4"/>
      <c r="Y13765" s="4"/>
    </row>
    <row r="13766" spans="5:25">
      <c r="E13766"/>
      <c r="G13766"/>
      <c r="H13766"/>
      <c r="I13766"/>
      <c r="K13766"/>
      <c r="O13766"/>
      <c r="R13766"/>
      <c r="W13766" s="4"/>
      <c r="X13766" s="4"/>
      <c r="Y13766" s="4"/>
    </row>
    <row r="13767" spans="5:25">
      <c r="E13767"/>
      <c r="G13767"/>
      <c r="H13767"/>
      <c r="I13767"/>
      <c r="K13767"/>
      <c r="O13767"/>
      <c r="R13767"/>
      <c r="W13767" s="4"/>
      <c r="X13767" s="4"/>
      <c r="Y13767" s="4"/>
    </row>
    <row r="13768" spans="5:25">
      <c r="E13768"/>
      <c r="G13768"/>
      <c r="H13768"/>
      <c r="I13768"/>
      <c r="K13768"/>
      <c r="O13768"/>
      <c r="R13768"/>
      <c r="W13768" s="4"/>
      <c r="X13768" s="4"/>
      <c r="Y13768" s="4"/>
    </row>
    <row r="13769" spans="5:25">
      <c r="E13769"/>
      <c r="G13769"/>
      <c r="H13769"/>
      <c r="I13769"/>
      <c r="K13769"/>
      <c r="O13769"/>
      <c r="R13769"/>
      <c r="W13769" s="4"/>
      <c r="X13769" s="4"/>
      <c r="Y13769" s="4"/>
    </row>
    <row r="13770" spans="5:25">
      <c r="E13770"/>
      <c r="G13770"/>
      <c r="H13770"/>
      <c r="I13770"/>
      <c r="K13770"/>
      <c r="O13770"/>
      <c r="R13770"/>
      <c r="W13770" s="4"/>
      <c r="X13770" s="4"/>
      <c r="Y13770" s="4"/>
    </row>
    <row r="13771" spans="5:25">
      <c r="E13771"/>
      <c r="G13771"/>
      <c r="H13771"/>
      <c r="I13771"/>
      <c r="K13771"/>
      <c r="O13771"/>
      <c r="R13771"/>
      <c r="W13771" s="4"/>
      <c r="X13771" s="4"/>
      <c r="Y13771" s="4"/>
    </row>
    <row r="13772" spans="5:25">
      <c r="E13772"/>
      <c r="G13772"/>
      <c r="H13772"/>
      <c r="I13772"/>
      <c r="K13772"/>
      <c r="O13772"/>
      <c r="R13772"/>
      <c r="W13772" s="4"/>
      <c r="X13772" s="4"/>
      <c r="Y13772" s="4"/>
    </row>
    <row r="13773" spans="5:25">
      <c r="E13773"/>
      <c r="G13773"/>
      <c r="H13773"/>
      <c r="I13773"/>
      <c r="K13773"/>
      <c r="O13773"/>
      <c r="R13773"/>
      <c r="W13773" s="4"/>
      <c r="X13773" s="4"/>
      <c r="Y13773" s="4"/>
    </row>
    <row r="13774" spans="5:25">
      <c r="E13774"/>
      <c r="G13774"/>
      <c r="H13774"/>
      <c r="I13774"/>
      <c r="K13774"/>
      <c r="O13774"/>
      <c r="R13774"/>
      <c r="W13774" s="4"/>
      <c r="X13774" s="4"/>
      <c r="Y13774" s="4"/>
    </row>
    <row r="13775" spans="5:25">
      <c r="E13775"/>
      <c r="G13775"/>
      <c r="H13775"/>
      <c r="I13775"/>
      <c r="K13775"/>
      <c r="O13775"/>
      <c r="R13775"/>
      <c r="W13775" s="4"/>
      <c r="X13775" s="4"/>
      <c r="Y13775" s="4"/>
    </row>
    <row r="13776" spans="5:25">
      <c r="E13776"/>
      <c r="G13776"/>
      <c r="H13776"/>
      <c r="I13776"/>
      <c r="K13776"/>
      <c r="O13776"/>
      <c r="R13776"/>
      <c r="W13776" s="4"/>
      <c r="X13776" s="4"/>
      <c r="Y13776" s="4"/>
    </row>
    <row r="13777" spans="5:25">
      <c r="E13777"/>
      <c r="G13777"/>
      <c r="H13777"/>
      <c r="I13777"/>
      <c r="K13777"/>
      <c r="O13777"/>
      <c r="R13777"/>
      <c r="W13777" s="4"/>
      <c r="X13777" s="4"/>
      <c r="Y13777" s="4"/>
    </row>
    <row r="13778" spans="5:25">
      <c r="E13778"/>
      <c r="G13778"/>
      <c r="H13778"/>
      <c r="I13778"/>
      <c r="K13778"/>
      <c r="O13778"/>
      <c r="R13778"/>
      <c r="W13778" s="4"/>
      <c r="X13778" s="4"/>
      <c r="Y13778" s="4"/>
    </row>
    <row r="13779" spans="5:25">
      <c r="E13779"/>
      <c r="G13779"/>
      <c r="H13779"/>
      <c r="I13779"/>
      <c r="K13779"/>
      <c r="O13779"/>
      <c r="R13779"/>
      <c r="W13779" s="4"/>
      <c r="X13779" s="4"/>
      <c r="Y13779" s="4"/>
    </row>
    <row r="13780" spans="5:25">
      <c r="E13780"/>
      <c r="G13780"/>
      <c r="H13780"/>
      <c r="I13780"/>
      <c r="K13780"/>
      <c r="O13780"/>
      <c r="R13780"/>
      <c r="W13780" s="4"/>
      <c r="X13780" s="4"/>
      <c r="Y13780" s="4"/>
    </row>
    <row r="13781" spans="5:25">
      <c r="E13781"/>
      <c r="G13781"/>
      <c r="H13781"/>
      <c r="I13781"/>
      <c r="K13781"/>
      <c r="O13781"/>
      <c r="R13781"/>
      <c r="W13781" s="4"/>
      <c r="X13781" s="4"/>
      <c r="Y13781" s="4"/>
    </row>
    <row r="13782" spans="5:25">
      <c r="E13782"/>
      <c r="G13782"/>
      <c r="H13782"/>
      <c r="I13782"/>
      <c r="K13782"/>
      <c r="O13782"/>
      <c r="R13782"/>
      <c r="W13782" s="4"/>
      <c r="X13782" s="4"/>
      <c r="Y13782" s="4"/>
    </row>
    <row r="13783" spans="5:25">
      <c r="E13783"/>
      <c r="G13783"/>
      <c r="H13783"/>
      <c r="I13783"/>
      <c r="K13783"/>
      <c r="O13783"/>
      <c r="R13783"/>
      <c r="W13783" s="4"/>
      <c r="X13783" s="4"/>
      <c r="Y13783" s="4"/>
    </row>
    <row r="13784" spans="5:25">
      <c r="E13784"/>
      <c r="G13784"/>
      <c r="H13784"/>
      <c r="I13784"/>
      <c r="K13784"/>
      <c r="O13784"/>
      <c r="R13784"/>
      <c r="W13784" s="4"/>
      <c r="X13784" s="4"/>
      <c r="Y13784" s="4"/>
    </row>
    <row r="13785" spans="5:25">
      <c r="E13785"/>
      <c r="G13785"/>
      <c r="H13785"/>
      <c r="I13785"/>
      <c r="K13785"/>
      <c r="O13785"/>
      <c r="R13785"/>
      <c r="W13785" s="4"/>
      <c r="X13785" s="4"/>
      <c r="Y13785" s="4"/>
    </row>
    <row r="13786" spans="5:25">
      <c r="E13786"/>
      <c r="G13786"/>
      <c r="H13786"/>
      <c r="I13786"/>
      <c r="K13786"/>
      <c r="O13786"/>
      <c r="R13786"/>
      <c r="W13786" s="4"/>
      <c r="X13786" s="4"/>
      <c r="Y13786" s="4"/>
    </row>
    <row r="13787" spans="5:25">
      <c r="E13787"/>
      <c r="G13787"/>
      <c r="H13787"/>
      <c r="I13787"/>
      <c r="K13787"/>
      <c r="O13787"/>
      <c r="R13787"/>
      <c r="W13787" s="4"/>
      <c r="X13787" s="4"/>
      <c r="Y13787" s="4"/>
    </row>
    <row r="13788" spans="5:25">
      <c r="E13788"/>
      <c r="G13788"/>
      <c r="H13788"/>
      <c r="I13788"/>
      <c r="K13788"/>
      <c r="O13788"/>
      <c r="R13788"/>
      <c r="W13788" s="4"/>
      <c r="X13788" s="4"/>
      <c r="Y13788" s="4"/>
    </row>
    <row r="13789" spans="5:25">
      <c r="E13789"/>
      <c r="G13789"/>
      <c r="H13789"/>
      <c r="I13789"/>
      <c r="K13789"/>
      <c r="O13789"/>
      <c r="R13789"/>
      <c r="W13789" s="4"/>
      <c r="X13789" s="4"/>
      <c r="Y13789" s="4"/>
    </row>
    <row r="13790" spans="5:25">
      <c r="E13790"/>
      <c r="G13790"/>
      <c r="H13790"/>
      <c r="I13790"/>
      <c r="K13790"/>
      <c r="O13790"/>
      <c r="R13790"/>
      <c r="W13790" s="4"/>
      <c r="X13790" s="4"/>
      <c r="Y13790" s="4"/>
    </row>
    <row r="13791" spans="5:25">
      <c r="E13791"/>
      <c r="G13791"/>
      <c r="H13791"/>
      <c r="I13791"/>
      <c r="K13791"/>
      <c r="O13791"/>
      <c r="R13791"/>
      <c r="W13791" s="4"/>
      <c r="X13791" s="4"/>
      <c r="Y13791" s="4"/>
    </row>
    <row r="13792" spans="5:25">
      <c r="E13792"/>
      <c r="G13792"/>
      <c r="H13792"/>
      <c r="I13792"/>
      <c r="K13792"/>
      <c r="O13792"/>
      <c r="R13792"/>
      <c r="W13792" s="4"/>
      <c r="X13792" s="4"/>
      <c r="Y13792" s="4"/>
    </row>
    <row r="13793" spans="5:25">
      <c r="E13793"/>
      <c r="G13793"/>
      <c r="H13793"/>
      <c r="I13793"/>
      <c r="K13793"/>
      <c r="O13793"/>
      <c r="R13793"/>
      <c r="W13793" s="4"/>
      <c r="X13793" s="4"/>
      <c r="Y13793" s="4"/>
    </row>
    <row r="13794" spans="5:25">
      <c r="E13794"/>
      <c r="G13794"/>
      <c r="H13794"/>
      <c r="I13794"/>
      <c r="K13794"/>
      <c r="O13794"/>
      <c r="R13794"/>
      <c r="W13794" s="4"/>
      <c r="X13794" s="4"/>
      <c r="Y13794" s="4"/>
    </row>
    <row r="13795" spans="5:25">
      <c r="E13795"/>
      <c r="G13795"/>
      <c r="H13795"/>
      <c r="I13795"/>
      <c r="K13795"/>
      <c r="O13795"/>
      <c r="R13795"/>
      <c r="W13795" s="4"/>
      <c r="X13795" s="4"/>
      <c r="Y13795" s="4"/>
    </row>
    <row r="13796" spans="5:25">
      <c r="E13796"/>
      <c r="G13796"/>
      <c r="H13796"/>
      <c r="I13796"/>
      <c r="K13796"/>
      <c r="O13796"/>
      <c r="R13796"/>
      <c r="W13796" s="4"/>
      <c r="X13796" s="4"/>
      <c r="Y13796" s="4"/>
    </row>
    <row r="13797" spans="5:25">
      <c r="E13797"/>
      <c r="G13797"/>
      <c r="H13797"/>
      <c r="I13797"/>
      <c r="K13797"/>
      <c r="O13797"/>
      <c r="R13797"/>
      <c r="W13797" s="4"/>
      <c r="X13797" s="4"/>
      <c r="Y13797" s="4"/>
    </row>
    <row r="13798" spans="5:25">
      <c r="E13798"/>
      <c r="G13798"/>
      <c r="H13798"/>
      <c r="I13798"/>
      <c r="K13798"/>
      <c r="O13798"/>
      <c r="R13798"/>
      <c r="W13798" s="4"/>
      <c r="X13798" s="4"/>
      <c r="Y13798" s="4"/>
    </row>
    <row r="13799" spans="5:25">
      <c r="E13799"/>
      <c r="G13799"/>
      <c r="H13799"/>
      <c r="I13799"/>
      <c r="K13799"/>
      <c r="O13799"/>
      <c r="R13799"/>
      <c r="W13799" s="4"/>
      <c r="X13799" s="4"/>
      <c r="Y13799" s="4"/>
    </row>
    <row r="13800" spans="5:25">
      <c r="E13800"/>
      <c r="G13800"/>
      <c r="H13800"/>
      <c r="I13800"/>
      <c r="K13800"/>
      <c r="O13800"/>
      <c r="R13800"/>
      <c r="W13800" s="4"/>
      <c r="X13800" s="4"/>
      <c r="Y13800" s="4"/>
    </row>
    <row r="13801" spans="5:25">
      <c r="E13801"/>
      <c r="G13801"/>
      <c r="H13801"/>
      <c r="I13801"/>
      <c r="K13801"/>
      <c r="O13801"/>
      <c r="R13801"/>
      <c r="W13801" s="4"/>
      <c r="X13801" s="4"/>
      <c r="Y13801" s="4"/>
    </row>
    <row r="13802" spans="5:25">
      <c r="E13802"/>
      <c r="G13802"/>
      <c r="H13802"/>
      <c r="I13802"/>
      <c r="K13802"/>
      <c r="O13802"/>
      <c r="R13802"/>
      <c r="W13802" s="4"/>
      <c r="X13802" s="4"/>
      <c r="Y13802" s="4"/>
    </row>
    <row r="13803" spans="5:25">
      <c r="E13803"/>
      <c r="G13803"/>
      <c r="H13803"/>
      <c r="I13803"/>
      <c r="K13803"/>
      <c r="O13803"/>
      <c r="R13803"/>
      <c r="W13803" s="4"/>
      <c r="X13803" s="4"/>
      <c r="Y13803" s="4"/>
    </row>
    <row r="13804" spans="5:25">
      <c r="E13804"/>
      <c r="G13804"/>
      <c r="H13804"/>
      <c r="I13804"/>
      <c r="K13804"/>
      <c r="O13804"/>
      <c r="R13804"/>
      <c r="W13804" s="4"/>
      <c r="X13804" s="4"/>
      <c r="Y13804" s="4"/>
    </row>
    <row r="13805" spans="5:25">
      <c r="E13805"/>
      <c r="G13805"/>
      <c r="H13805"/>
      <c r="I13805"/>
      <c r="K13805"/>
      <c r="O13805"/>
      <c r="R13805"/>
      <c r="W13805" s="4"/>
      <c r="X13805" s="4"/>
      <c r="Y13805" s="4"/>
    </row>
    <row r="13806" spans="5:25">
      <c r="E13806"/>
      <c r="G13806"/>
      <c r="H13806"/>
      <c r="I13806"/>
      <c r="K13806"/>
      <c r="O13806"/>
      <c r="R13806"/>
      <c r="W13806" s="4"/>
      <c r="X13806" s="4"/>
      <c r="Y13806" s="4"/>
    </row>
    <row r="13807" spans="5:25">
      <c r="E13807"/>
      <c r="G13807"/>
      <c r="H13807"/>
      <c r="I13807"/>
      <c r="K13807"/>
      <c r="O13807"/>
      <c r="R13807"/>
      <c r="W13807" s="4"/>
      <c r="X13807" s="4"/>
      <c r="Y13807" s="4"/>
    </row>
    <row r="13808" spans="5:25">
      <c r="E13808"/>
      <c r="G13808"/>
      <c r="H13808"/>
      <c r="I13808"/>
      <c r="K13808"/>
      <c r="O13808"/>
      <c r="R13808"/>
      <c r="W13808" s="4"/>
      <c r="X13808" s="4"/>
      <c r="Y13808" s="4"/>
    </row>
    <row r="13809" spans="5:25">
      <c r="E13809"/>
      <c r="G13809"/>
      <c r="H13809"/>
      <c r="I13809"/>
      <c r="K13809"/>
      <c r="O13809"/>
      <c r="R13809"/>
      <c r="W13809" s="4"/>
      <c r="X13809" s="4"/>
      <c r="Y13809" s="4"/>
    </row>
    <row r="13810" spans="5:25">
      <c r="E13810"/>
      <c r="G13810"/>
      <c r="H13810"/>
      <c r="I13810"/>
      <c r="K13810"/>
      <c r="O13810"/>
      <c r="R13810"/>
      <c r="W13810" s="4"/>
      <c r="X13810" s="4"/>
      <c r="Y13810" s="4"/>
    </row>
    <row r="13811" spans="5:25">
      <c r="E13811"/>
      <c r="G13811"/>
      <c r="H13811"/>
      <c r="I13811"/>
      <c r="K13811"/>
      <c r="O13811"/>
      <c r="R13811"/>
      <c r="W13811" s="4"/>
      <c r="X13811" s="4"/>
      <c r="Y13811" s="4"/>
    </row>
    <row r="13812" spans="5:25">
      <c r="E13812"/>
      <c r="G13812"/>
      <c r="H13812"/>
      <c r="I13812"/>
      <c r="K13812"/>
      <c r="O13812"/>
      <c r="R13812"/>
      <c r="W13812" s="4"/>
      <c r="X13812" s="4"/>
      <c r="Y13812" s="4"/>
    </row>
    <row r="13813" spans="5:25">
      <c r="E13813"/>
      <c r="G13813"/>
      <c r="H13813"/>
      <c r="I13813"/>
      <c r="K13813"/>
      <c r="O13813"/>
      <c r="R13813"/>
      <c r="W13813" s="4"/>
      <c r="X13813" s="4"/>
      <c r="Y13813" s="4"/>
    </row>
    <row r="13814" spans="5:25">
      <c r="E13814"/>
      <c r="G13814"/>
      <c r="H13814"/>
      <c r="I13814"/>
      <c r="K13814"/>
      <c r="O13814"/>
      <c r="R13814"/>
      <c r="W13814" s="4"/>
      <c r="X13814" s="4"/>
      <c r="Y13814" s="4"/>
    </row>
    <row r="13815" spans="5:25">
      <c r="E13815"/>
      <c r="G13815"/>
      <c r="H13815"/>
      <c r="I13815"/>
      <c r="K13815"/>
      <c r="O13815"/>
      <c r="R13815"/>
      <c r="W13815" s="4"/>
      <c r="X13815" s="4"/>
      <c r="Y13815" s="4"/>
    </row>
    <row r="13816" spans="5:25">
      <c r="E13816"/>
      <c r="G13816"/>
      <c r="H13816"/>
      <c r="I13816"/>
      <c r="K13816"/>
      <c r="O13816"/>
      <c r="R13816"/>
      <c r="W13816" s="4"/>
      <c r="X13816" s="4"/>
      <c r="Y13816" s="4"/>
    </row>
    <row r="13817" spans="5:25">
      <c r="E13817"/>
      <c r="G13817"/>
      <c r="H13817"/>
      <c r="I13817"/>
      <c r="K13817"/>
      <c r="O13817"/>
      <c r="R13817"/>
      <c r="W13817" s="4"/>
      <c r="X13817" s="4"/>
      <c r="Y13817" s="4"/>
    </row>
    <row r="13818" spans="5:25">
      <c r="E13818"/>
      <c r="G13818"/>
      <c r="H13818"/>
      <c r="I13818"/>
      <c r="K13818"/>
      <c r="O13818"/>
      <c r="R13818"/>
      <c r="W13818" s="4"/>
      <c r="X13818" s="4"/>
      <c r="Y13818" s="4"/>
    </row>
    <row r="13819" spans="5:25">
      <c r="E13819"/>
      <c r="G13819"/>
      <c r="H13819"/>
      <c r="I13819"/>
      <c r="K13819"/>
      <c r="O13819"/>
      <c r="R13819"/>
      <c r="W13819" s="4"/>
      <c r="X13819" s="4"/>
      <c r="Y13819" s="4"/>
    </row>
    <row r="13820" spans="5:25">
      <c r="E13820"/>
      <c r="G13820"/>
      <c r="H13820"/>
      <c r="I13820"/>
      <c r="K13820"/>
      <c r="O13820"/>
      <c r="R13820"/>
      <c r="W13820" s="4"/>
      <c r="X13820" s="4"/>
      <c r="Y13820" s="4"/>
    </row>
    <row r="13821" spans="5:25">
      <c r="E13821"/>
      <c r="G13821"/>
      <c r="H13821"/>
      <c r="I13821"/>
      <c r="K13821"/>
      <c r="O13821"/>
      <c r="R13821"/>
      <c r="W13821" s="4"/>
      <c r="X13821" s="4"/>
      <c r="Y13821" s="4"/>
    </row>
    <row r="13822" spans="5:25">
      <c r="E13822"/>
      <c r="G13822"/>
      <c r="H13822"/>
      <c r="I13822"/>
      <c r="K13822"/>
      <c r="O13822"/>
      <c r="R13822"/>
      <c r="W13822" s="4"/>
      <c r="X13822" s="4"/>
      <c r="Y13822" s="4"/>
    </row>
    <row r="13823" spans="5:25">
      <c r="E13823"/>
      <c r="G13823"/>
      <c r="H13823"/>
      <c r="I13823"/>
      <c r="K13823"/>
      <c r="O13823"/>
      <c r="R13823"/>
      <c r="W13823" s="4"/>
      <c r="X13823" s="4"/>
      <c r="Y13823" s="4"/>
    </row>
    <row r="13824" spans="5:25">
      <c r="E13824"/>
      <c r="G13824"/>
      <c r="H13824"/>
      <c r="I13824"/>
      <c r="K13824"/>
      <c r="O13824"/>
      <c r="R13824"/>
      <c r="W13824" s="4"/>
      <c r="X13824" s="4"/>
      <c r="Y13824" s="4"/>
    </row>
    <row r="13825" spans="5:25">
      <c r="E13825"/>
      <c r="G13825"/>
      <c r="H13825"/>
      <c r="I13825"/>
      <c r="K13825"/>
      <c r="O13825"/>
      <c r="R13825"/>
      <c r="W13825" s="4"/>
      <c r="X13825" s="4"/>
      <c r="Y13825" s="4"/>
    </row>
    <row r="13826" spans="5:25">
      <c r="E13826"/>
      <c r="G13826"/>
      <c r="H13826"/>
      <c r="I13826"/>
      <c r="K13826"/>
      <c r="O13826"/>
      <c r="R13826"/>
      <c r="W13826" s="4"/>
      <c r="X13826" s="4"/>
      <c r="Y13826" s="4"/>
    </row>
    <row r="13827" spans="5:25">
      <c r="E13827"/>
      <c r="G13827"/>
      <c r="H13827"/>
      <c r="I13827"/>
      <c r="K13827"/>
      <c r="O13827"/>
      <c r="R13827"/>
      <c r="W13827" s="4"/>
      <c r="X13827" s="4"/>
      <c r="Y13827" s="4"/>
    </row>
    <row r="13828" spans="5:25">
      <c r="E13828"/>
      <c r="G13828"/>
      <c r="H13828"/>
      <c r="I13828"/>
      <c r="K13828"/>
      <c r="O13828"/>
      <c r="R13828"/>
      <c r="W13828" s="4"/>
      <c r="X13828" s="4"/>
      <c r="Y13828" s="4"/>
    </row>
    <row r="13829" spans="5:25">
      <c r="E13829"/>
      <c r="G13829"/>
      <c r="H13829"/>
      <c r="I13829"/>
      <c r="K13829"/>
      <c r="O13829"/>
      <c r="R13829"/>
      <c r="W13829" s="4"/>
      <c r="X13829" s="4"/>
      <c r="Y13829" s="4"/>
    </row>
    <row r="13830" spans="5:25">
      <c r="E13830"/>
      <c r="G13830"/>
      <c r="H13830"/>
      <c r="I13830"/>
      <c r="K13830"/>
      <c r="O13830"/>
      <c r="R13830"/>
      <c r="W13830" s="4"/>
      <c r="X13830" s="4"/>
      <c r="Y13830" s="4"/>
    </row>
    <row r="13831" spans="5:25">
      <c r="E13831"/>
      <c r="G13831"/>
      <c r="H13831"/>
      <c r="I13831"/>
      <c r="K13831"/>
      <c r="O13831"/>
      <c r="R13831"/>
      <c r="W13831" s="4"/>
      <c r="X13831" s="4"/>
      <c r="Y13831" s="4"/>
    </row>
    <row r="13832" spans="5:25">
      <c r="E13832"/>
      <c r="G13832"/>
      <c r="H13832"/>
      <c r="I13832"/>
      <c r="K13832"/>
      <c r="O13832"/>
      <c r="R13832"/>
      <c r="W13832" s="4"/>
      <c r="X13832" s="4"/>
      <c r="Y13832" s="4"/>
    </row>
    <row r="13833" spans="5:25">
      <c r="E13833"/>
      <c r="G13833"/>
      <c r="H13833"/>
      <c r="I13833"/>
      <c r="K13833"/>
      <c r="O13833"/>
      <c r="R13833"/>
      <c r="W13833" s="4"/>
      <c r="X13833" s="4"/>
      <c r="Y13833" s="4"/>
    </row>
    <row r="13834" spans="5:25">
      <c r="E13834"/>
      <c r="G13834"/>
      <c r="H13834"/>
      <c r="I13834"/>
      <c r="K13834"/>
      <c r="O13834"/>
      <c r="R13834"/>
      <c r="W13834" s="4"/>
      <c r="X13834" s="4"/>
      <c r="Y13834" s="4"/>
    </row>
    <row r="13835" spans="5:25">
      <c r="E13835"/>
      <c r="G13835"/>
      <c r="H13835"/>
      <c r="I13835"/>
      <c r="K13835"/>
      <c r="O13835"/>
      <c r="R13835"/>
      <c r="W13835" s="4"/>
      <c r="X13835" s="4"/>
      <c r="Y13835" s="4"/>
    </row>
    <row r="13836" spans="5:25">
      <c r="E13836"/>
      <c r="G13836"/>
      <c r="H13836"/>
      <c r="I13836"/>
      <c r="K13836"/>
      <c r="O13836"/>
      <c r="R13836"/>
      <c r="W13836" s="4"/>
      <c r="X13836" s="4"/>
      <c r="Y13836" s="4"/>
    </row>
    <row r="13837" spans="5:25">
      <c r="E13837"/>
      <c r="G13837"/>
      <c r="H13837"/>
      <c r="I13837"/>
      <c r="K13837"/>
      <c r="O13837"/>
      <c r="R13837"/>
      <c r="W13837" s="4"/>
      <c r="X13837" s="4"/>
      <c r="Y13837" s="4"/>
    </row>
    <row r="13838" spans="5:25">
      <c r="E13838"/>
      <c r="G13838"/>
      <c r="H13838"/>
      <c r="I13838"/>
      <c r="K13838"/>
      <c r="O13838"/>
      <c r="R13838"/>
      <c r="W13838" s="4"/>
      <c r="X13838" s="4"/>
      <c r="Y13838" s="4"/>
    </row>
    <row r="13839" spans="5:25">
      <c r="E13839"/>
      <c r="G13839"/>
      <c r="H13839"/>
      <c r="I13839"/>
      <c r="K13839"/>
      <c r="O13839"/>
      <c r="R13839"/>
      <c r="W13839" s="4"/>
      <c r="X13839" s="4"/>
      <c r="Y13839" s="4"/>
    </row>
    <row r="13840" spans="5:25">
      <c r="E13840"/>
      <c r="G13840"/>
      <c r="H13840"/>
      <c r="I13840"/>
      <c r="K13840"/>
      <c r="O13840"/>
      <c r="R13840"/>
      <c r="W13840" s="4"/>
      <c r="X13840" s="4"/>
      <c r="Y13840" s="4"/>
    </row>
    <row r="13841" spans="5:25">
      <c r="E13841"/>
      <c r="G13841"/>
      <c r="H13841"/>
      <c r="I13841"/>
      <c r="K13841"/>
      <c r="O13841"/>
      <c r="R13841"/>
      <c r="W13841" s="4"/>
      <c r="X13841" s="4"/>
      <c r="Y13841" s="4"/>
    </row>
    <row r="13842" spans="5:25">
      <c r="E13842"/>
      <c r="G13842"/>
      <c r="H13842"/>
      <c r="I13842"/>
      <c r="K13842"/>
      <c r="O13842"/>
      <c r="R13842"/>
      <c r="W13842" s="4"/>
      <c r="X13842" s="4"/>
      <c r="Y13842" s="4"/>
    </row>
    <row r="13843" spans="5:25">
      <c r="E13843"/>
      <c r="G13843"/>
      <c r="H13843"/>
      <c r="I13843"/>
      <c r="K13843"/>
      <c r="O13843"/>
      <c r="R13843"/>
      <c r="W13843" s="4"/>
      <c r="X13843" s="4"/>
      <c r="Y13843" s="4"/>
    </row>
    <row r="13844" spans="5:25">
      <c r="E13844"/>
      <c r="G13844"/>
      <c r="H13844"/>
      <c r="I13844"/>
      <c r="K13844"/>
      <c r="O13844"/>
      <c r="R13844"/>
      <c r="W13844" s="4"/>
      <c r="X13844" s="4"/>
      <c r="Y13844" s="4"/>
    </row>
    <row r="13845" spans="5:25">
      <c r="E13845"/>
      <c r="G13845"/>
      <c r="H13845"/>
      <c r="I13845"/>
      <c r="K13845"/>
      <c r="O13845"/>
      <c r="R13845"/>
      <c r="W13845" s="4"/>
      <c r="X13845" s="4"/>
      <c r="Y13845" s="4"/>
    </row>
    <row r="13846" spans="5:25">
      <c r="E13846"/>
      <c r="G13846"/>
      <c r="H13846"/>
      <c r="I13846"/>
      <c r="K13846"/>
      <c r="O13846"/>
      <c r="R13846"/>
      <c r="W13846" s="4"/>
      <c r="X13846" s="4"/>
      <c r="Y13846" s="4"/>
    </row>
    <row r="13847" spans="5:25">
      <c r="E13847"/>
      <c r="G13847"/>
      <c r="H13847"/>
      <c r="I13847"/>
      <c r="K13847"/>
      <c r="O13847"/>
      <c r="R13847"/>
      <c r="W13847" s="4"/>
      <c r="X13847" s="4"/>
      <c r="Y13847" s="4"/>
    </row>
    <row r="13848" spans="5:25">
      <c r="E13848"/>
      <c r="G13848"/>
      <c r="H13848"/>
      <c r="I13848"/>
      <c r="K13848"/>
      <c r="O13848"/>
      <c r="R13848"/>
      <c r="W13848" s="4"/>
      <c r="X13848" s="4"/>
      <c r="Y13848" s="4"/>
    </row>
    <row r="13849" spans="5:25">
      <c r="E13849"/>
      <c r="G13849"/>
      <c r="H13849"/>
      <c r="I13849"/>
      <c r="K13849"/>
      <c r="O13849"/>
      <c r="R13849"/>
      <c r="W13849" s="4"/>
      <c r="X13849" s="4"/>
      <c r="Y13849" s="4"/>
    </row>
    <row r="13850" spans="5:25">
      <c r="E13850"/>
      <c r="G13850"/>
      <c r="H13850"/>
      <c r="I13850"/>
      <c r="K13850"/>
      <c r="O13850"/>
      <c r="R13850"/>
      <c r="W13850" s="4"/>
      <c r="X13850" s="4"/>
      <c r="Y13850" s="4"/>
    </row>
    <row r="13851" spans="5:25">
      <c r="E13851"/>
      <c r="G13851"/>
      <c r="H13851"/>
      <c r="I13851"/>
      <c r="K13851"/>
      <c r="O13851"/>
      <c r="R13851"/>
      <c r="W13851" s="4"/>
      <c r="X13851" s="4"/>
      <c r="Y13851" s="4"/>
    </row>
    <row r="13852" spans="5:25">
      <c r="E13852"/>
      <c r="G13852"/>
      <c r="H13852"/>
      <c r="I13852"/>
      <c r="K13852"/>
      <c r="O13852"/>
      <c r="R13852"/>
      <c r="W13852" s="4"/>
      <c r="X13852" s="4"/>
      <c r="Y13852" s="4"/>
    </row>
    <row r="13853" spans="5:25">
      <c r="E13853"/>
      <c r="G13853"/>
      <c r="H13853"/>
      <c r="I13853"/>
      <c r="K13853"/>
      <c r="O13853"/>
      <c r="R13853"/>
      <c r="W13853" s="4"/>
      <c r="X13853" s="4"/>
      <c r="Y13853" s="4"/>
    </row>
    <row r="13854" spans="5:25">
      <c r="E13854"/>
      <c r="G13854"/>
      <c r="H13854"/>
      <c r="I13854"/>
      <c r="K13854"/>
      <c r="O13854"/>
      <c r="R13854"/>
      <c r="W13854" s="4"/>
      <c r="X13854" s="4"/>
      <c r="Y13854" s="4"/>
    </row>
    <row r="13855" spans="5:25">
      <c r="E13855"/>
      <c r="G13855"/>
      <c r="H13855"/>
      <c r="I13855"/>
      <c r="K13855"/>
      <c r="O13855"/>
      <c r="R13855"/>
      <c r="W13855" s="4"/>
      <c r="X13855" s="4"/>
      <c r="Y13855" s="4"/>
    </row>
    <row r="13856" spans="5:25">
      <c r="E13856"/>
      <c r="G13856"/>
      <c r="H13856"/>
      <c r="I13856"/>
      <c r="K13856"/>
      <c r="O13856"/>
      <c r="R13856"/>
      <c r="W13856" s="4"/>
      <c r="X13856" s="4"/>
      <c r="Y13856" s="4"/>
    </row>
    <row r="13857" spans="5:25">
      <c r="E13857"/>
      <c r="G13857"/>
      <c r="H13857"/>
      <c r="I13857"/>
      <c r="K13857"/>
      <c r="O13857"/>
      <c r="R13857"/>
      <c r="W13857" s="4"/>
      <c r="X13857" s="4"/>
      <c r="Y13857" s="4"/>
    </row>
    <row r="13858" spans="5:25">
      <c r="E13858"/>
      <c r="G13858"/>
      <c r="H13858"/>
      <c r="I13858"/>
      <c r="K13858"/>
      <c r="O13858"/>
      <c r="R13858"/>
      <c r="W13858" s="4"/>
      <c r="X13858" s="4"/>
      <c r="Y13858" s="4"/>
    </row>
    <row r="13859" spans="5:25">
      <c r="E13859"/>
      <c r="G13859"/>
      <c r="H13859"/>
      <c r="I13859"/>
      <c r="K13859"/>
      <c r="O13859"/>
      <c r="R13859"/>
      <c r="W13859" s="4"/>
      <c r="X13859" s="4"/>
      <c r="Y13859" s="4"/>
    </row>
    <row r="13860" spans="5:25">
      <c r="E13860"/>
      <c r="G13860"/>
      <c r="H13860"/>
      <c r="I13860"/>
      <c r="K13860"/>
      <c r="O13860"/>
      <c r="R13860"/>
      <c r="W13860" s="4"/>
      <c r="X13860" s="4"/>
      <c r="Y13860" s="4"/>
    </row>
    <row r="13861" spans="5:25">
      <c r="E13861"/>
      <c r="G13861"/>
      <c r="H13861"/>
      <c r="I13861"/>
      <c r="K13861"/>
      <c r="O13861"/>
      <c r="R13861"/>
      <c r="W13861" s="4"/>
      <c r="X13861" s="4"/>
      <c r="Y13861" s="4"/>
    </row>
    <row r="13862" spans="5:25">
      <c r="E13862"/>
      <c r="G13862"/>
      <c r="H13862"/>
      <c r="I13862"/>
      <c r="K13862"/>
      <c r="O13862"/>
      <c r="R13862"/>
      <c r="W13862" s="4"/>
      <c r="X13862" s="4"/>
      <c r="Y13862" s="4"/>
    </row>
    <row r="13863" spans="5:25">
      <c r="E13863"/>
      <c r="G13863"/>
      <c r="H13863"/>
      <c r="I13863"/>
      <c r="K13863"/>
      <c r="O13863"/>
      <c r="R13863"/>
      <c r="W13863" s="4"/>
      <c r="X13863" s="4"/>
      <c r="Y13863" s="4"/>
    </row>
    <row r="13864" spans="5:25">
      <c r="E13864"/>
      <c r="G13864"/>
      <c r="H13864"/>
      <c r="I13864"/>
      <c r="K13864"/>
      <c r="O13864"/>
      <c r="R13864"/>
      <c r="W13864" s="4"/>
      <c r="X13864" s="4"/>
      <c r="Y13864" s="4"/>
    </row>
    <row r="13865" spans="5:25">
      <c r="E13865"/>
      <c r="G13865"/>
      <c r="H13865"/>
      <c r="I13865"/>
      <c r="K13865"/>
      <c r="O13865"/>
      <c r="R13865"/>
      <c r="W13865" s="4"/>
      <c r="X13865" s="4"/>
      <c r="Y13865" s="4"/>
    </row>
    <row r="13866" spans="5:25">
      <c r="E13866"/>
      <c r="G13866"/>
      <c r="H13866"/>
      <c r="I13866"/>
      <c r="K13866"/>
      <c r="O13866"/>
      <c r="R13866"/>
      <c r="W13866" s="4"/>
      <c r="X13866" s="4"/>
      <c r="Y13866" s="4"/>
    </row>
    <row r="13867" spans="5:25">
      <c r="E13867"/>
      <c r="G13867"/>
      <c r="H13867"/>
      <c r="I13867"/>
      <c r="K13867"/>
      <c r="O13867"/>
      <c r="R13867"/>
      <c r="W13867" s="4"/>
      <c r="X13867" s="4"/>
      <c r="Y13867" s="4"/>
    </row>
    <row r="13868" spans="5:25">
      <c r="E13868"/>
      <c r="G13868"/>
      <c r="H13868"/>
      <c r="I13868"/>
      <c r="K13868"/>
      <c r="O13868"/>
      <c r="R13868"/>
      <c r="W13868" s="4"/>
      <c r="X13868" s="4"/>
      <c r="Y13868" s="4"/>
    </row>
    <row r="13869" spans="5:25">
      <c r="E13869"/>
      <c r="G13869"/>
      <c r="H13869"/>
      <c r="I13869"/>
      <c r="K13869"/>
      <c r="O13869"/>
      <c r="R13869"/>
      <c r="W13869" s="4"/>
      <c r="X13869" s="4"/>
      <c r="Y13869" s="4"/>
    </row>
    <row r="13870" spans="5:25">
      <c r="E13870"/>
      <c r="G13870"/>
      <c r="H13870"/>
      <c r="I13870"/>
      <c r="K13870"/>
      <c r="O13870"/>
      <c r="R13870"/>
      <c r="W13870" s="4"/>
      <c r="X13870" s="4"/>
      <c r="Y13870" s="4"/>
    </row>
    <row r="13871" spans="5:25">
      <c r="E13871"/>
      <c r="G13871"/>
      <c r="H13871"/>
      <c r="I13871"/>
      <c r="K13871"/>
      <c r="O13871"/>
      <c r="R13871"/>
      <c r="W13871" s="4"/>
      <c r="X13871" s="4"/>
      <c r="Y13871" s="4"/>
    </row>
    <row r="13872" spans="5:25">
      <c r="E13872"/>
      <c r="G13872"/>
      <c r="H13872"/>
      <c r="I13872"/>
      <c r="K13872"/>
      <c r="O13872"/>
      <c r="R13872"/>
      <c r="W13872" s="4"/>
      <c r="X13872" s="4"/>
      <c r="Y13872" s="4"/>
    </row>
    <row r="13873" spans="5:25">
      <c r="E13873"/>
      <c r="G13873"/>
      <c r="H13873"/>
      <c r="I13873"/>
      <c r="K13873"/>
      <c r="O13873"/>
      <c r="R13873"/>
      <c r="W13873" s="4"/>
      <c r="X13873" s="4"/>
      <c r="Y13873" s="4"/>
    </row>
    <row r="13874" spans="5:25">
      <c r="E13874"/>
      <c r="G13874"/>
      <c r="H13874"/>
      <c r="I13874"/>
      <c r="K13874"/>
      <c r="O13874"/>
      <c r="R13874"/>
      <c r="W13874" s="4"/>
      <c r="X13874" s="4"/>
      <c r="Y13874" s="4"/>
    </row>
    <row r="13875" spans="5:25">
      <c r="E13875"/>
      <c r="G13875"/>
      <c r="H13875"/>
      <c r="I13875"/>
      <c r="K13875"/>
      <c r="O13875"/>
      <c r="R13875"/>
      <c r="W13875" s="4"/>
      <c r="X13875" s="4"/>
      <c r="Y13875" s="4"/>
    </row>
    <row r="13876" spans="5:25">
      <c r="E13876"/>
      <c r="G13876"/>
      <c r="H13876"/>
      <c r="I13876"/>
      <c r="K13876"/>
      <c r="O13876"/>
      <c r="R13876"/>
      <c r="W13876" s="4"/>
      <c r="X13876" s="4"/>
      <c r="Y13876" s="4"/>
    </row>
    <row r="13877" spans="5:25">
      <c r="E13877"/>
      <c r="G13877"/>
      <c r="H13877"/>
      <c r="I13877"/>
      <c r="K13877"/>
      <c r="O13877"/>
      <c r="R13877"/>
      <c r="W13877" s="4"/>
      <c r="X13877" s="4"/>
      <c r="Y13877" s="4"/>
    </row>
    <row r="13878" spans="5:25">
      <c r="E13878"/>
      <c r="G13878"/>
      <c r="H13878"/>
      <c r="I13878"/>
      <c r="K13878"/>
      <c r="O13878"/>
      <c r="R13878"/>
      <c r="W13878" s="4"/>
      <c r="X13878" s="4"/>
      <c r="Y13878" s="4"/>
    </row>
    <row r="13879" spans="5:25">
      <c r="E13879"/>
      <c r="G13879"/>
      <c r="H13879"/>
      <c r="I13879"/>
      <c r="K13879"/>
      <c r="O13879"/>
      <c r="R13879"/>
      <c r="W13879" s="4"/>
      <c r="X13879" s="4"/>
      <c r="Y13879" s="4"/>
    </row>
    <row r="13880" spans="5:25">
      <c r="E13880"/>
      <c r="G13880"/>
      <c r="H13880"/>
      <c r="I13880"/>
      <c r="K13880"/>
      <c r="O13880"/>
      <c r="R13880"/>
      <c r="W13880" s="4"/>
      <c r="X13880" s="4"/>
      <c r="Y13880" s="4"/>
    </row>
    <row r="13881" spans="5:25">
      <c r="E13881"/>
      <c r="G13881"/>
      <c r="H13881"/>
      <c r="I13881"/>
      <c r="K13881"/>
      <c r="O13881"/>
      <c r="R13881"/>
      <c r="W13881" s="4"/>
      <c r="X13881" s="4"/>
      <c r="Y13881" s="4"/>
    </row>
    <row r="13882" spans="5:25">
      <c r="E13882"/>
      <c r="G13882"/>
      <c r="H13882"/>
      <c r="I13882"/>
      <c r="K13882"/>
      <c r="O13882"/>
      <c r="R13882"/>
      <c r="W13882" s="4"/>
      <c r="X13882" s="4"/>
      <c r="Y13882" s="4"/>
    </row>
    <row r="13883" spans="5:25">
      <c r="E13883"/>
      <c r="G13883"/>
      <c r="H13883"/>
      <c r="I13883"/>
      <c r="K13883"/>
      <c r="O13883"/>
      <c r="R13883"/>
      <c r="W13883" s="4"/>
      <c r="X13883" s="4"/>
      <c r="Y13883" s="4"/>
    </row>
    <row r="13884" spans="5:25">
      <c r="E13884"/>
      <c r="G13884"/>
      <c r="H13884"/>
      <c r="I13884"/>
      <c r="K13884"/>
      <c r="O13884"/>
      <c r="R13884"/>
      <c r="W13884" s="4"/>
      <c r="X13884" s="4"/>
      <c r="Y13884" s="4"/>
    </row>
    <row r="13885" spans="5:25">
      <c r="E13885"/>
      <c r="G13885"/>
      <c r="H13885"/>
      <c r="I13885"/>
      <c r="K13885"/>
      <c r="O13885"/>
      <c r="R13885"/>
      <c r="W13885" s="4"/>
      <c r="X13885" s="4"/>
      <c r="Y13885" s="4"/>
    </row>
    <row r="13886" spans="5:25">
      <c r="E13886"/>
      <c r="G13886"/>
      <c r="H13886"/>
      <c r="I13886"/>
      <c r="K13886"/>
      <c r="O13886"/>
      <c r="R13886"/>
      <c r="W13886" s="4"/>
      <c r="X13886" s="4"/>
      <c r="Y13886" s="4"/>
    </row>
    <row r="13887" spans="5:25">
      <c r="E13887"/>
      <c r="G13887"/>
      <c r="H13887"/>
      <c r="I13887"/>
      <c r="K13887"/>
      <c r="O13887"/>
      <c r="R13887"/>
      <c r="W13887" s="4"/>
      <c r="X13887" s="4"/>
      <c r="Y13887" s="4"/>
    </row>
    <row r="13888" spans="5:25">
      <c r="E13888"/>
      <c r="G13888"/>
      <c r="H13888"/>
      <c r="I13888"/>
      <c r="K13888"/>
      <c r="O13888"/>
      <c r="R13888"/>
      <c r="W13888" s="4"/>
      <c r="X13888" s="4"/>
      <c r="Y13888" s="4"/>
    </row>
    <row r="13889" spans="5:25">
      <c r="E13889"/>
      <c r="G13889"/>
      <c r="H13889"/>
      <c r="I13889"/>
      <c r="K13889"/>
      <c r="O13889"/>
      <c r="R13889"/>
      <c r="W13889" s="4"/>
      <c r="X13889" s="4"/>
      <c r="Y13889" s="4"/>
    </row>
    <row r="13890" spans="5:25">
      <c r="E13890"/>
      <c r="G13890"/>
      <c r="H13890"/>
      <c r="I13890"/>
      <c r="K13890"/>
      <c r="O13890"/>
      <c r="R13890"/>
      <c r="W13890" s="4"/>
      <c r="X13890" s="4"/>
      <c r="Y13890" s="4"/>
    </row>
    <row r="13891" spans="5:25">
      <c r="E13891"/>
      <c r="G13891"/>
      <c r="H13891"/>
      <c r="I13891"/>
      <c r="K13891"/>
      <c r="O13891"/>
      <c r="R13891"/>
      <c r="W13891" s="4"/>
      <c r="X13891" s="4"/>
      <c r="Y13891" s="4"/>
    </row>
    <row r="13892" spans="5:25">
      <c r="E13892"/>
      <c r="G13892"/>
      <c r="H13892"/>
      <c r="I13892"/>
      <c r="K13892"/>
      <c r="O13892"/>
      <c r="R13892"/>
      <c r="W13892" s="4"/>
      <c r="X13892" s="4"/>
      <c r="Y13892" s="4"/>
    </row>
    <row r="13893" spans="5:25">
      <c r="E13893"/>
      <c r="G13893"/>
      <c r="H13893"/>
      <c r="I13893"/>
      <c r="K13893"/>
      <c r="O13893"/>
      <c r="R13893"/>
      <c r="W13893" s="4"/>
      <c r="X13893" s="4"/>
      <c r="Y13893" s="4"/>
    </row>
    <row r="13894" spans="5:25">
      <c r="E13894"/>
      <c r="G13894"/>
      <c r="H13894"/>
      <c r="I13894"/>
      <c r="K13894"/>
      <c r="O13894"/>
      <c r="R13894"/>
      <c r="W13894" s="4"/>
      <c r="X13894" s="4"/>
      <c r="Y13894" s="4"/>
    </row>
    <row r="13895" spans="5:25">
      <c r="E13895"/>
      <c r="G13895"/>
      <c r="H13895"/>
      <c r="I13895"/>
      <c r="K13895"/>
      <c r="O13895"/>
      <c r="R13895"/>
      <c r="W13895" s="4"/>
      <c r="X13895" s="4"/>
      <c r="Y13895" s="4"/>
    </row>
    <row r="13896" spans="5:25">
      <c r="E13896"/>
      <c r="G13896"/>
      <c r="H13896"/>
      <c r="I13896"/>
      <c r="K13896"/>
      <c r="O13896"/>
      <c r="R13896"/>
      <c r="W13896" s="4"/>
      <c r="X13896" s="4"/>
      <c r="Y13896" s="4"/>
    </row>
    <row r="13897" spans="5:25">
      <c r="E13897"/>
      <c r="G13897"/>
      <c r="H13897"/>
      <c r="I13897"/>
      <c r="K13897"/>
      <c r="O13897"/>
      <c r="R13897"/>
      <c r="W13897" s="4"/>
      <c r="X13897" s="4"/>
      <c r="Y13897" s="4"/>
    </row>
    <row r="13898" spans="5:25">
      <c r="E13898"/>
      <c r="G13898"/>
      <c r="H13898"/>
      <c r="I13898"/>
      <c r="K13898"/>
      <c r="O13898"/>
      <c r="R13898"/>
      <c r="W13898" s="4"/>
      <c r="X13898" s="4"/>
      <c r="Y13898" s="4"/>
    </row>
    <row r="13899" spans="5:25">
      <c r="E13899"/>
      <c r="G13899"/>
      <c r="H13899"/>
      <c r="I13899"/>
      <c r="K13899"/>
      <c r="O13899"/>
      <c r="R13899"/>
      <c r="W13899" s="4"/>
      <c r="X13899" s="4"/>
      <c r="Y13899" s="4"/>
    </row>
    <row r="13900" spans="5:25">
      <c r="E13900"/>
      <c r="G13900"/>
      <c r="H13900"/>
      <c r="I13900"/>
      <c r="K13900"/>
      <c r="O13900"/>
      <c r="R13900"/>
      <c r="W13900" s="4"/>
      <c r="X13900" s="4"/>
      <c r="Y13900" s="4"/>
    </row>
    <row r="13901" spans="5:25">
      <c r="E13901"/>
      <c r="G13901"/>
      <c r="H13901"/>
      <c r="I13901"/>
      <c r="K13901"/>
      <c r="O13901"/>
      <c r="R13901"/>
      <c r="W13901" s="4"/>
      <c r="X13901" s="4"/>
      <c r="Y13901" s="4"/>
    </row>
    <row r="13902" spans="5:25">
      <c r="E13902"/>
      <c r="G13902"/>
      <c r="H13902"/>
      <c r="I13902"/>
      <c r="K13902"/>
      <c r="O13902"/>
      <c r="R13902"/>
      <c r="W13902" s="4"/>
      <c r="X13902" s="4"/>
      <c r="Y13902" s="4"/>
    </row>
    <row r="13903" spans="5:25">
      <c r="E13903"/>
      <c r="G13903"/>
      <c r="H13903"/>
      <c r="I13903"/>
      <c r="K13903"/>
      <c r="O13903"/>
      <c r="R13903"/>
      <c r="W13903" s="4"/>
      <c r="X13903" s="4"/>
      <c r="Y13903" s="4"/>
    </row>
    <row r="13904" spans="5:25">
      <c r="E13904"/>
      <c r="G13904"/>
      <c r="H13904"/>
      <c r="I13904"/>
      <c r="K13904"/>
      <c r="O13904"/>
      <c r="R13904"/>
      <c r="W13904" s="4"/>
      <c r="X13904" s="4"/>
      <c r="Y13904" s="4"/>
    </row>
    <row r="13905" spans="5:25">
      <c r="E13905"/>
      <c r="G13905"/>
      <c r="H13905"/>
      <c r="I13905"/>
      <c r="K13905"/>
      <c r="O13905"/>
      <c r="R13905"/>
      <c r="W13905" s="4"/>
      <c r="X13905" s="4"/>
      <c r="Y13905" s="4"/>
    </row>
    <row r="13906" spans="5:25">
      <c r="E13906"/>
      <c r="G13906"/>
      <c r="H13906"/>
      <c r="I13906"/>
      <c r="K13906"/>
      <c r="O13906"/>
      <c r="R13906"/>
      <c r="W13906" s="4"/>
      <c r="X13906" s="4"/>
      <c r="Y13906" s="4"/>
    </row>
    <row r="13907" spans="5:25">
      <c r="E13907"/>
      <c r="G13907"/>
      <c r="H13907"/>
      <c r="I13907"/>
      <c r="K13907"/>
      <c r="O13907"/>
      <c r="R13907"/>
      <c r="W13907" s="4"/>
      <c r="X13907" s="4"/>
      <c r="Y13907" s="4"/>
    </row>
    <row r="13908" spans="5:25">
      <c r="E13908"/>
      <c r="G13908"/>
      <c r="H13908"/>
      <c r="I13908"/>
      <c r="K13908"/>
      <c r="O13908"/>
      <c r="R13908"/>
      <c r="W13908" s="4"/>
      <c r="X13908" s="4"/>
      <c r="Y13908" s="4"/>
    </row>
    <row r="13909" spans="5:25">
      <c r="E13909"/>
      <c r="G13909"/>
      <c r="H13909"/>
      <c r="I13909"/>
      <c r="K13909"/>
      <c r="O13909"/>
      <c r="R13909"/>
      <c r="W13909" s="4"/>
      <c r="X13909" s="4"/>
      <c r="Y13909" s="4"/>
    </row>
    <row r="13910" spans="5:25">
      <c r="E13910"/>
      <c r="G13910"/>
      <c r="H13910"/>
      <c r="I13910"/>
      <c r="K13910"/>
      <c r="O13910"/>
      <c r="R13910"/>
      <c r="W13910" s="4"/>
      <c r="X13910" s="4"/>
      <c r="Y13910" s="4"/>
    </row>
    <row r="13911" spans="5:25">
      <c r="E13911"/>
      <c r="G13911"/>
      <c r="H13911"/>
      <c r="I13911"/>
      <c r="K13911"/>
      <c r="O13911"/>
      <c r="R13911"/>
      <c r="W13911" s="4"/>
      <c r="X13911" s="4"/>
      <c r="Y13911" s="4"/>
    </row>
    <row r="13912" spans="5:25">
      <c r="E13912"/>
      <c r="G13912"/>
      <c r="H13912"/>
      <c r="I13912"/>
      <c r="K13912"/>
      <c r="O13912"/>
      <c r="R13912"/>
      <c r="W13912" s="4"/>
      <c r="X13912" s="4"/>
      <c r="Y13912" s="4"/>
    </row>
    <row r="13913" spans="5:25">
      <c r="E13913"/>
      <c r="G13913"/>
      <c r="H13913"/>
      <c r="I13913"/>
      <c r="K13913"/>
      <c r="O13913"/>
      <c r="R13913"/>
      <c r="W13913" s="4"/>
      <c r="X13913" s="4"/>
      <c r="Y13913" s="4"/>
    </row>
    <row r="13914" spans="5:25">
      <c r="E13914"/>
      <c r="G13914"/>
      <c r="H13914"/>
      <c r="I13914"/>
      <c r="K13914"/>
      <c r="O13914"/>
      <c r="R13914"/>
      <c r="W13914" s="4"/>
      <c r="X13914" s="4"/>
      <c r="Y13914" s="4"/>
    </row>
    <row r="13915" spans="5:25">
      <c r="E13915"/>
      <c r="G13915"/>
      <c r="H13915"/>
      <c r="I13915"/>
      <c r="K13915"/>
      <c r="O13915"/>
      <c r="R13915"/>
      <c r="W13915" s="4"/>
      <c r="X13915" s="4"/>
      <c r="Y13915" s="4"/>
    </row>
    <row r="13916" spans="5:25">
      <c r="E13916"/>
      <c r="G13916"/>
      <c r="H13916"/>
      <c r="I13916"/>
      <c r="K13916"/>
      <c r="O13916"/>
      <c r="R13916"/>
      <c r="W13916" s="4"/>
      <c r="X13916" s="4"/>
      <c r="Y13916" s="4"/>
    </row>
    <row r="13917" spans="5:25">
      <c r="E13917"/>
      <c r="G13917"/>
      <c r="H13917"/>
      <c r="I13917"/>
      <c r="K13917"/>
      <c r="O13917"/>
      <c r="R13917"/>
      <c r="W13917" s="4"/>
      <c r="X13917" s="4"/>
      <c r="Y13917" s="4"/>
    </row>
    <row r="13918" spans="5:25">
      <c r="E13918"/>
      <c r="G13918"/>
      <c r="H13918"/>
      <c r="I13918"/>
      <c r="K13918"/>
      <c r="O13918"/>
      <c r="R13918"/>
      <c r="W13918" s="4"/>
      <c r="X13918" s="4"/>
      <c r="Y13918" s="4"/>
    </row>
    <row r="13919" spans="5:25">
      <c r="E13919"/>
      <c r="G13919"/>
      <c r="H13919"/>
      <c r="I13919"/>
      <c r="K13919"/>
      <c r="O13919"/>
      <c r="R13919"/>
      <c r="W13919" s="4"/>
      <c r="X13919" s="4"/>
      <c r="Y13919" s="4"/>
    </row>
    <row r="13920" spans="5:25">
      <c r="E13920"/>
      <c r="G13920"/>
      <c r="H13920"/>
      <c r="I13920"/>
      <c r="K13920"/>
      <c r="O13920"/>
      <c r="R13920"/>
      <c r="W13920" s="4"/>
      <c r="X13920" s="4"/>
      <c r="Y13920" s="4"/>
    </row>
    <row r="13921" spans="5:25">
      <c r="E13921"/>
      <c r="G13921"/>
      <c r="H13921"/>
      <c r="I13921"/>
      <c r="K13921"/>
      <c r="O13921"/>
      <c r="R13921"/>
      <c r="W13921" s="4"/>
      <c r="X13921" s="4"/>
      <c r="Y13921" s="4"/>
    </row>
    <row r="13922" spans="5:25">
      <c r="E13922"/>
      <c r="G13922"/>
      <c r="H13922"/>
      <c r="I13922"/>
      <c r="K13922"/>
      <c r="O13922"/>
      <c r="R13922"/>
      <c r="W13922" s="4"/>
      <c r="X13922" s="4"/>
      <c r="Y13922" s="4"/>
    </row>
    <row r="13923" spans="5:25">
      <c r="E13923"/>
      <c r="G13923"/>
      <c r="H13923"/>
      <c r="I13923"/>
      <c r="K13923"/>
      <c r="O13923"/>
      <c r="R13923"/>
      <c r="W13923" s="4"/>
      <c r="X13923" s="4"/>
      <c r="Y13923" s="4"/>
    </row>
    <row r="13924" spans="5:25">
      <c r="E13924"/>
      <c r="G13924"/>
      <c r="H13924"/>
      <c r="I13924"/>
      <c r="K13924"/>
      <c r="O13924"/>
      <c r="R13924"/>
      <c r="W13924" s="4"/>
      <c r="X13924" s="4"/>
      <c r="Y13924" s="4"/>
    </row>
    <row r="13925" spans="5:25">
      <c r="E13925"/>
      <c r="G13925"/>
      <c r="H13925"/>
      <c r="I13925"/>
      <c r="K13925"/>
      <c r="O13925"/>
      <c r="R13925"/>
      <c r="W13925" s="4"/>
      <c r="X13925" s="4"/>
      <c r="Y13925" s="4"/>
    </row>
    <row r="13926" spans="5:25">
      <c r="E13926"/>
      <c r="G13926"/>
      <c r="H13926"/>
      <c r="I13926"/>
      <c r="K13926"/>
      <c r="O13926"/>
      <c r="R13926"/>
      <c r="W13926" s="4"/>
      <c r="X13926" s="4"/>
      <c r="Y13926" s="4"/>
    </row>
    <row r="13927" spans="5:25">
      <c r="E13927"/>
      <c r="G13927"/>
      <c r="H13927"/>
      <c r="I13927"/>
      <c r="K13927"/>
      <c r="O13927"/>
      <c r="R13927"/>
      <c r="W13927" s="4"/>
      <c r="X13927" s="4"/>
      <c r="Y13927" s="4"/>
    </row>
    <row r="13928" spans="5:25">
      <c r="E13928"/>
      <c r="G13928"/>
      <c r="H13928"/>
      <c r="I13928"/>
      <c r="K13928"/>
      <c r="O13928"/>
      <c r="R13928"/>
      <c r="W13928" s="4"/>
      <c r="X13928" s="4"/>
      <c r="Y13928" s="4"/>
    </row>
    <row r="13929" spans="5:25">
      <c r="E13929"/>
      <c r="G13929"/>
      <c r="H13929"/>
      <c r="I13929"/>
      <c r="K13929"/>
      <c r="O13929"/>
      <c r="R13929"/>
      <c r="W13929" s="4"/>
      <c r="X13929" s="4"/>
      <c r="Y13929" s="4"/>
    </row>
    <row r="13930" spans="5:25">
      <c r="E13930"/>
      <c r="G13930"/>
      <c r="H13930"/>
      <c r="I13930"/>
      <c r="K13930"/>
      <c r="O13930"/>
      <c r="R13930"/>
      <c r="W13930" s="4"/>
      <c r="X13930" s="4"/>
      <c r="Y13930" s="4"/>
    </row>
    <row r="13931" spans="5:25">
      <c r="E13931"/>
      <c r="G13931"/>
      <c r="H13931"/>
      <c r="I13931"/>
      <c r="K13931"/>
      <c r="O13931"/>
      <c r="R13931"/>
      <c r="W13931" s="4"/>
      <c r="X13931" s="4"/>
      <c r="Y13931" s="4"/>
    </row>
    <row r="13932" spans="5:25">
      <c r="E13932"/>
      <c r="G13932"/>
      <c r="H13932"/>
      <c r="I13932"/>
      <c r="K13932"/>
      <c r="O13932"/>
      <c r="R13932"/>
      <c r="W13932" s="4"/>
      <c r="X13932" s="4"/>
      <c r="Y13932" s="4"/>
    </row>
    <row r="13933" spans="5:25">
      <c r="E13933"/>
      <c r="G13933"/>
      <c r="H13933"/>
      <c r="I13933"/>
      <c r="K13933"/>
      <c r="O13933"/>
      <c r="R13933"/>
      <c r="W13933" s="4"/>
      <c r="X13933" s="4"/>
      <c r="Y13933" s="4"/>
    </row>
    <row r="13934" spans="5:25">
      <c r="E13934"/>
      <c r="G13934"/>
      <c r="H13934"/>
      <c r="I13934"/>
      <c r="K13934"/>
      <c r="O13934"/>
      <c r="R13934"/>
      <c r="W13934" s="4"/>
      <c r="X13934" s="4"/>
      <c r="Y13934" s="4"/>
    </row>
    <row r="13935" spans="5:25">
      <c r="E13935"/>
      <c r="G13935"/>
      <c r="H13935"/>
      <c r="I13935"/>
      <c r="K13935"/>
      <c r="O13935"/>
      <c r="R13935"/>
      <c r="W13935" s="4"/>
      <c r="X13935" s="4"/>
      <c r="Y13935" s="4"/>
    </row>
    <row r="13936" spans="5:25">
      <c r="E13936"/>
      <c r="G13936"/>
      <c r="H13936"/>
      <c r="I13936"/>
      <c r="K13936"/>
      <c r="O13936"/>
      <c r="R13936"/>
      <c r="W13936" s="4"/>
      <c r="X13936" s="4"/>
      <c r="Y13936" s="4"/>
    </row>
    <row r="13937" spans="5:25">
      <c r="E13937"/>
      <c r="G13937"/>
      <c r="H13937"/>
      <c r="I13937"/>
      <c r="K13937"/>
      <c r="O13937"/>
      <c r="R13937"/>
      <c r="W13937" s="4"/>
      <c r="X13937" s="4"/>
      <c r="Y13937" s="4"/>
    </row>
    <row r="13938" spans="5:25">
      <c r="E13938"/>
      <c r="G13938"/>
      <c r="H13938"/>
      <c r="I13938"/>
      <c r="K13938"/>
      <c r="O13938"/>
      <c r="R13938"/>
      <c r="W13938" s="4"/>
      <c r="X13938" s="4"/>
      <c r="Y13938" s="4"/>
    </row>
    <row r="13939" spans="5:25">
      <c r="E13939"/>
      <c r="G13939"/>
      <c r="H13939"/>
      <c r="I13939"/>
      <c r="K13939"/>
      <c r="O13939"/>
      <c r="R13939"/>
      <c r="W13939" s="4"/>
      <c r="X13939" s="4"/>
      <c r="Y13939" s="4"/>
    </row>
    <row r="13940" spans="5:25">
      <c r="E13940"/>
      <c r="G13940"/>
      <c r="H13940"/>
      <c r="I13940"/>
      <c r="K13940"/>
      <c r="O13940"/>
      <c r="R13940"/>
      <c r="W13940" s="4"/>
      <c r="X13940" s="4"/>
      <c r="Y13940" s="4"/>
    </row>
    <row r="13941" spans="5:25">
      <c r="E13941"/>
      <c r="G13941"/>
      <c r="H13941"/>
      <c r="I13941"/>
      <c r="K13941"/>
      <c r="O13941"/>
      <c r="R13941"/>
      <c r="W13941" s="4"/>
      <c r="X13941" s="4"/>
      <c r="Y13941" s="4"/>
    </row>
    <row r="13942" spans="5:25">
      <c r="E13942"/>
      <c r="G13942"/>
      <c r="H13942"/>
      <c r="I13942"/>
      <c r="K13942"/>
      <c r="O13942"/>
      <c r="R13942"/>
      <c r="W13942" s="4"/>
      <c r="X13942" s="4"/>
      <c r="Y13942" s="4"/>
    </row>
    <row r="13943" spans="5:25">
      <c r="E13943"/>
      <c r="G13943"/>
      <c r="H13943"/>
      <c r="I13943"/>
      <c r="K13943"/>
      <c r="O13943"/>
      <c r="R13943"/>
      <c r="W13943" s="4"/>
      <c r="X13943" s="4"/>
      <c r="Y13943" s="4"/>
    </row>
    <row r="13944" spans="5:25">
      <c r="E13944"/>
      <c r="G13944"/>
      <c r="H13944"/>
      <c r="I13944"/>
      <c r="K13944"/>
      <c r="O13944"/>
      <c r="R13944"/>
      <c r="W13944" s="4"/>
      <c r="X13944" s="4"/>
      <c r="Y13944" s="4"/>
    </row>
    <row r="13945" spans="5:25">
      <c r="E13945"/>
      <c r="G13945"/>
      <c r="H13945"/>
      <c r="I13945"/>
      <c r="K13945"/>
      <c r="O13945"/>
      <c r="R13945"/>
      <c r="W13945" s="4"/>
      <c r="X13945" s="4"/>
      <c r="Y13945" s="4"/>
    </row>
    <row r="13946" spans="5:25">
      <c r="E13946"/>
      <c r="G13946"/>
      <c r="H13946"/>
      <c r="I13946"/>
      <c r="K13946"/>
      <c r="O13946"/>
      <c r="R13946"/>
      <c r="W13946" s="4"/>
      <c r="X13946" s="4"/>
      <c r="Y13946" s="4"/>
    </row>
    <row r="13947" spans="5:25">
      <c r="E13947"/>
      <c r="G13947"/>
      <c r="H13947"/>
      <c r="I13947"/>
      <c r="K13947"/>
      <c r="O13947"/>
      <c r="R13947"/>
      <c r="W13947" s="4"/>
      <c r="X13947" s="4"/>
      <c r="Y13947" s="4"/>
    </row>
    <row r="13948" spans="5:25">
      <c r="E13948"/>
      <c r="G13948"/>
      <c r="H13948"/>
      <c r="I13948"/>
      <c r="K13948"/>
      <c r="O13948"/>
      <c r="R13948"/>
      <c r="W13948" s="4"/>
      <c r="X13948" s="4"/>
      <c r="Y13948" s="4"/>
    </row>
    <row r="13949" spans="5:25">
      <c r="E13949"/>
      <c r="G13949"/>
      <c r="H13949"/>
      <c r="I13949"/>
      <c r="K13949"/>
      <c r="O13949"/>
      <c r="R13949"/>
      <c r="W13949" s="4"/>
      <c r="X13949" s="4"/>
      <c r="Y13949" s="4"/>
    </row>
    <row r="13950" spans="5:25">
      <c r="E13950"/>
      <c r="G13950"/>
      <c r="H13950"/>
      <c r="I13950"/>
      <c r="K13950"/>
      <c r="O13950"/>
      <c r="R13950"/>
      <c r="W13950" s="4"/>
      <c r="X13950" s="4"/>
      <c r="Y13950" s="4"/>
    </row>
    <row r="13951" spans="5:25">
      <c r="E13951"/>
      <c r="G13951"/>
      <c r="H13951"/>
      <c r="I13951"/>
      <c r="K13951"/>
      <c r="O13951"/>
      <c r="R13951"/>
      <c r="W13951" s="4"/>
      <c r="X13951" s="4"/>
      <c r="Y13951" s="4"/>
    </row>
    <row r="13952" spans="5:25">
      <c r="E13952"/>
      <c r="G13952"/>
      <c r="H13952"/>
      <c r="I13952"/>
      <c r="K13952"/>
      <c r="O13952"/>
      <c r="R13952"/>
      <c r="W13952" s="4"/>
      <c r="X13952" s="4"/>
      <c r="Y13952" s="4"/>
    </row>
    <row r="13953" spans="5:25">
      <c r="E13953"/>
      <c r="G13953"/>
      <c r="H13953"/>
      <c r="I13953"/>
      <c r="K13953"/>
      <c r="O13953"/>
      <c r="R13953"/>
      <c r="W13953" s="4"/>
      <c r="X13953" s="4"/>
      <c r="Y13953" s="4"/>
    </row>
    <row r="13954" spans="5:25">
      <c r="E13954"/>
      <c r="G13954"/>
      <c r="H13954"/>
      <c r="I13954"/>
      <c r="K13954"/>
      <c r="O13954"/>
      <c r="R13954"/>
      <c r="W13954" s="4"/>
      <c r="X13954" s="4"/>
      <c r="Y13954" s="4"/>
    </row>
    <row r="13955" spans="5:25">
      <c r="E13955"/>
      <c r="G13955"/>
      <c r="H13955"/>
      <c r="I13955"/>
      <c r="K13955"/>
      <c r="O13955"/>
      <c r="R13955"/>
      <c r="W13955" s="4"/>
      <c r="X13955" s="4"/>
      <c r="Y13955" s="4"/>
    </row>
    <row r="13956" spans="5:25">
      <c r="E13956"/>
      <c r="G13956"/>
      <c r="H13956"/>
      <c r="I13956"/>
      <c r="K13956"/>
      <c r="O13956"/>
      <c r="R13956"/>
      <c r="W13956" s="4"/>
      <c r="X13956" s="4"/>
      <c r="Y13956" s="4"/>
    </row>
    <row r="13957" spans="5:25">
      <c r="E13957"/>
      <c r="G13957"/>
      <c r="H13957"/>
      <c r="I13957"/>
      <c r="K13957"/>
      <c r="O13957"/>
      <c r="R13957"/>
      <c r="W13957" s="4"/>
      <c r="X13957" s="4"/>
      <c r="Y13957" s="4"/>
    </row>
    <row r="13958" spans="5:25">
      <c r="E13958"/>
      <c r="G13958"/>
      <c r="H13958"/>
      <c r="I13958"/>
      <c r="K13958"/>
      <c r="O13958"/>
      <c r="R13958"/>
      <c r="W13958" s="4"/>
      <c r="X13958" s="4"/>
      <c r="Y13958" s="4"/>
    </row>
    <row r="13959" spans="5:25">
      <c r="E13959"/>
      <c r="G13959"/>
      <c r="H13959"/>
      <c r="I13959"/>
      <c r="K13959"/>
      <c r="O13959"/>
      <c r="R13959"/>
      <c r="W13959" s="4"/>
      <c r="X13959" s="4"/>
      <c r="Y13959" s="4"/>
    </row>
    <row r="13960" spans="5:25">
      <c r="E13960"/>
      <c r="G13960"/>
      <c r="H13960"/>
      <c r="I13960"/>
      <c r="K13960"/>
      <c r="O13960"/>
      <c r="R13960"/>
      <c r="W13960" s="4"/>
      <c r="X13960" s="4"/>
      <c r="Y13960" s="4"/>
    </row>
    <row r="13961" spans="5:25">
      <c r="E13961"/>
      <c r="G13961"/>
      <c r="H13961"/>
      <c r="I13961"/>
      <c r="K13961"/>
      <c r="O13961"/>
      <c r="R13961"/>
      <c r="W13961" s="4"/>
      <c r="X13961" s="4"/>
      <c r="Y13961" s="4"/>
    </row>
    <row r="13962" spans="5:25">
      <c r="E13962"/>
      <c r="G13962"/>
      <c r="H13962"/>
      <c r="I13962"/>
      <c r="K13962"/>
      <c r="O13962"/>
      <c r="R13962"/>
      <c r="W13962" s="4"/>
      <c r="X13962" s="4"/>
      <c r="Y13962" s="4"/>
    </row>
    <row r="13963" spans="5:25">
      <c r="E13963"/>
      <c r="G13963"/>
      <c r="H13963"/>
      <c r="I13963"/>
      <c r="K13963"/>
      <c r="O13963"/>
      <c r="R13963"/>
      <c r="W13963" s="4"/>
      <c r="X13963" s="4"/>
      <c r="Y13963" s="4"/>
    </row>
    <row r="13964" spans="5:25">
      <c r="E13964"/>
      <c r="G13964"/>
      <c r="H13964"/>
      <c r="I13964"/>
      <c r="K13964"/>
      <c r="O13964"/>
      <c r="R13964"/>
      <c r="W13964" s="4"/>
      <c r="X13964" s="4"/>
      <c r="Y13964" s="4"/>
    </row>
    <row r="13965" spans="5:25">
      <c r="E13965"/>
      <c r="G13965"/>
      <c r="H13965"/>
      <c r="I13965"/>
      <c r="K13965"/>
      <c r="O13965"/>
      <c r="R13965"/>
      <c r="W13965" s="4"/>
      <c r="X13965" s="4"/>
      <c r="Y13965" s="4"/>
    </row>
    <row r="13966" spans="5:25">
      <c r="E13966"/>
      <c r="G13966"/>
      <c r="H13966"/>
      <c r="I13966"/>
      <c r="K13966"/>
      <c r="O13966"/>
      <c r="R13966"/>
      <c r="W13966" s="4"/>
      <c r="X13966" s="4"/>
      <c r="Y13966" s="4"/>
    </row>
    <row r="13967" spans="5:25">
      <c r="E13967"/>
      <c r="G13967"/>
      <c r="H13967"/>
      <c r="I13967"/>
      <c r="K13967"/>
      <c r="O13967"/>
      <c r="R13967"/>
      <c r="W13967" s="4"/>
      <c r="X13967" s="4"/>
      <c r="Y13967" s="4"/>
    </row>
    <row r="13968" spans="5:25">
      <c r="E13968"/>
      <c r="G13968"/>
      <c r="H13968"/>
      <c r="I13968"/>
      <c r="K13968"/>
      <c r="O13968"/>
      <c r="R13968"/>
      <c r="W13968" s="4"/>
      <c r="X13968" s="4"/>
      <c r="Y13968" s="4"/>
    </row>
    <row r="13969" spans="5:25">
      <c r="E13969"/>
      <c r="G13969"/>
      <c r="H13969"/>
      <c r="I13969"/>
      <c r="K13969"/>
      <c r="O13969"/>
      <c r="R13969"/>
      <c r="W13969" s="4"/>
      <c r="X13969" s="4"/>
      <c r="Y13969" s="4"/>
    </row>
    <row r="13970" spans="5:25">
      <c r="E13970"/>
      <c r="G13970"/>
      <c r="H13970"/>
      <c r="I13970"/>
      <c r="K13970"/>
      <c r="O13970"/>
      <c r="R13970"/>
      <c r="W13970" s="4"/>
      <c r="X13970" s="4"/>
      <c r="Y13970" s="4"/>
    </row>
    <row r="13971" spans="5:25">
      <c r="E13971"/>
      <c r="G13971"/>
      <c r="H13971"/>
      <c r="I13971"/>
      <c r="K13971"/>
      <c r="O13971"/>
      <c r="R13971"/>
      <c r="W13971" s="4"/>
      <c r="X13971" s="4"/>
      <c r="Y13971" s="4"/>
    </row>
    <row r="13972" spans="5:25">
      <c r="E13972"/>
      <c r="G13972"/>
      <c r="H13972"/>
      <c r="I13972"/>
      <c r="K13972"/>
      <c r="O13972"/>
      <c r="R13972"/>
      <c r="W13972" s="4"/>
      <c r="X13972" s="4"/>
      <c r="Y13972" s="4"/>
    </row>
    <row r="13973" spans="5:25">
      <c r="E13973"/>
      <c r="G13973"/>
      <c r="H13973"/>
      <c r="I13973"/>
      <c r="K13973"/>
      <c r="O13973"/>
      <c r="R13973"/>
      <c r="W13973" s="4"/>
      <c r="X13973" s="4"/>
      <c r="Y13973" s="4"/>
    </row>
    <row r="13974" spans="5:25">
      <c r="E13974"/>
      <c r="G13974"/>
      <c r="H13974"/>
      <c r="I13974"/>
      <c r="K13974"/>
      <c r="O13974"/>
      <c r="R13974"/>
      <c r="W13974" s="4"/>
      <c r="X13974" s="4"/>
      <c r="Y13974" s="4"/>
    </row>
    <row r="13975" spans="5:25">
      <c r="E13975"/>
      <c r="G13975"/>
      <c r="H13975"/>
      <c r="I13975"/>
      <c r="K13975"/>
      <c r="O13975"/>
      <c r="R13975"/>
      <c r="W13975" s="4"/>
      <c r="X13975" s="4"/>
      <c r="Y13975" s="4"/>
    </row>
    <row r="13976" spans="5:25">
      <c r="E13976"/>
      <c r="G13976"/>
      <c r="H13976"/>
      <c r="I13976"/>
      <c r="K13976"/>
      <c r="O13976"/>
      <c r="R13976"/>
      <c r="W13976" s="4"/>
      <c r="X13976" s="4"/>
      <c r="Y13976" s="4"/>
    </row>
    <row r="13977" spans="5:25">
      <c r="E13977"/>
      <c r="G13977"/>
      <c r="H13977"/>
      <c r="I13977"/>
      <c r="K13977"/>
      <c r="O13977"/>
      <c r="R13977"/>
      <c r="W13977" s="4"/>
      <c r="X13977" s="4"/>
      <c r="Y13977" s="4"/>
    </row>
    <row r="13978" spans="5:25">
      <c r="E13978"/>
      <c r="G13978"/>
      <c r="H13978"/>
      <c r="I13978"/>
      <c r="K13978"/>
      <c r="O13978"/>
      <c r="R13978"/>
      <c r="W13978" s="4"/>
      <c r="X13978" s="4"/>
      <c r="Y13978" s="4"/>
    </row>
    <row r="13979" spans="5:25">
      <c r="E13979"/>
      <c r="G13979"/>
      <c r="H13979"/>
      <c r="I13979"/>
      <c r="K13979"/>
      <c r="O13979"/>
      <c r="R13979"/>
      <c r="W13979" s="4"/>
      <c r="X13979" s="4"/>
      <c r="Y13979" s="4"/>
    </row>
    <row r="13980" spans="5:25">
      <c r="E13980"/>
      <c r="G13980"/>
      <c r="H13980"/>
      <c r="I13980"/>
      <c r="K13980"/>
      <c r="O13980"/>
      <c r="R13980"/>
      <c r="W13980" s="4"/>
      <c r="X13980" s="4"/>
      <c r="Y13980" s="4"/>
    </row>
    <row r="13981" spans="5:25">
      <c r="E13981"/>
      <c r="G13981"/>
      <c r="H13981"/>
      <c r="I13981"/>
      <c r="K13981"/>
      <c r="O13981"/>
      <c r="R13981"/>
      <c r="W13981" s="4"/>
      <c r="X13981" s="4"/>
      <c r="Y13981" s="4"/>
    </row>
    <row r="13982" spans="5:25">
      <c r="E13982"/>
      <c r="G13982"/>
      <c r="H13982"/>
      <c r="I13982"/>
      <c r="K13982"/>
      <c r="O13982"/>
      <c r="R13982"/>
      <c r="W13982" s="4"/>
      <c r="X13982" s="4"/>
      <c r="Y13982" s="4"/>
    </row>
    <row r="13983" spans="5:25">
      <c r="E13983"/>
      <c r="G13983"/>
      <c r="H13983"/>
      <c r="I13983"/>
      <c r="K13983"/>
      <c r="O13983"/>
      <c r="R13983"/>
      <c r="W13983" s="4"/>
      <c r="X13983" s="4"/>
      <c r="Y13983" s="4"/>
    </row>
    <row r="13984" spans="5:25">
      <c r="E13984"/>
      <c r="G13984"/>
      <c r="H13984"/>
      <c r="I13984"/>
      <c r="K13984"/>
      <c r="O13984"/>
      <c r="R13984"/>
      <c r="W13984" s="4"/>
      <c r="X13984" s="4"/>
      <c r="Y13984" s="4"/>
    </row>
    <row r="13985" spans="5:25">
      <c r="E13985"/>
      <c r="G13985"/>
      <c r="H13985"/>
      <c r="I13985"/>
      <c r="K13985"/>
      <c r="O13985"/>
      <c r="R13985"/>
      <c r="W13985" s="4"/>
      <c r="X13985" s="4"/>
      <c r="Y13985" s="4"/>
    </row>
    <row r="13986" spans="5:25">
      <c r="E13986"/>
      <c r="G13986"/>
      <c r="H13986"/>
      <c r="I13986"/>
      <c r="K13986"/>
      <c r="O13986"/>
      <c r="R13986"/>
      <c r="W13986" s="4"/>
      <c r="X13986" s="4"/>
      <c r="Y13986" s="4"/>
    </row>
    <row r="13987" spans="5:25">
      <c r="E13987"/>
      <c r="G13987"/>
      <c r="H13987"/>
      <c r="I13987"/>
      <c r="K13987"/>
      <c r="O13987"/>
      <c r="R13987"/>
      <c r="W13987" s="4"/>
      <c r="X13987" s="4"/>
      <c r="Y13987" s="4"/>
    </row>
    <row r="13988" spans="5:25">
      <c r="E13988"/>
      <c r="G13988"/>
      <c r="H13988"/>
      <c r="I13988"/>
      <c r="K13988"/>
      <c r="O13988"/>
      <c r="R13988"/>
      <c r="W13988" s="4"/>
      <c r="X13988" s="4"/>
      <c r="Y13988" s="4"/>
    </row>
    <row r="13989" spans="5:25">
      <c r="E13989"/>
      <c r="G13989"/>
      <c r="H13989"/>
      <c r="I13989"/>
      <c r="K13989"/>
      <c r="O13989"/>
      <c r="R13989"/>
      <c r="W13989" s="4"/>
      <c r="X13989" s="4"/>
      <c r="Y13989" s="4"/>
    </row>
    <row r="13990" spans="5:25">
      <c r="E13990"/>
      <c r="G13990"/>
      <c r="H13990"/>
      <c r="I13990"/>
      <c r="K13990"/>
      <c r="O13990"/>
      <c r="R13990"/>
      <c r="W13990" s="4"/>
      <c r="X13990" s="4"/>
      <c r="Y13990" s="4"/>
    </row>
    <row r="13991" spans="5:25">
      <c r="E13991"/>
      <c r="G13991"/>
      <c r="H13991"/>
      <c r="I13991"/>
      <c r="K13991"/>
      <c r="O13991"/>
      <c r="R13991"/>
      <c r="W13991" s="4"/>
      <c r="X13991" s="4"/>
      <c r="Y13991" s="4"/>
    </row>
    <row r="13992" spans="5:25">
      <c r="E13992"/>
      <c r="G13992"/>
      <c r="H13992"/>
      <c r="I13992"/>
      <c r="K13992"/>
      <c r="O13992"/>
      <c r="R13992"/>
      <c r="W13992" s="4"/>
      <c r="X13992" s="4"/>
      <c r="Y13992" s="4"/>
    </row>
    <row r="13993" spans="5:25">
      <c r="E13993"/>
      <c r="G13993"/>
      <c r="H13993"/>
      <c r="I13993"/>
      <c r="K13993"/>
      <c r="O13993"/>
      <c r="R13993"/>
      <c r="W13993" s="4"/>
      <c r="X13993" s="4"/>
      <c r="Y13993" s="4"/>
    </row>
    <row r="13994" spans="5:25">
      <c r="E13994"/>
      <c r="G13994"/>
      <c r="H13994"/>
      <c r="I13994"/>
      <c r="K13994"/>
      <c r="O13994"/>
      <c r="R13994"/>
      <c r="W13994" s="4"/>
      <c r="X13994" s="4"/>
      <c r="Y13994" s="4"/>
    </row>
    <row r="13995" spans="5:25">
      <c r="E13995"/>
      <c r="G13995"/>
      <c r="H13995"/>
      <c r="I13995"/>
      <c r="K13995"/>
      <c r="O13995"/>
      <c r="R13995"/>
      <c r="W13995" s="4"/>
      <c r="X13995" s="4"/>
      <c r="Y13995" s="4"/>
    </row>
    <row r="13996" spans="5:25">
      <c r="E13996"/>
      <c r="G13996"/>
      <c r="H13996"/>
      <c r="I13996"/>
      <c r="K13996"/>
      <c r="O13996"/>
      <c r="R13996"/>
      <c r="W13996" s="4"/>
      <c r="X13996" s="4"/>
      <c r="Y13996" s="4"/>
    </row>
    <row r="13997" spans="5:25">
      <c r="E13997"/>
      <c r="G13997"/>
      <c r="H13997"/>
      <c r="I13997"/>
      <c r="K13997"/>
      <c r="O13997"/>
      <c r="R13997"/>
      <c r="W13997" s="4"/>
      <c r="X13997" s="4"/>
      <c r="Y13997" s="4"/>
    </row>
    <row r="13998" spans="5:25">
      <c r="E13998"/>
      <c r="G13998"/>
      <c r="H13998"/>
      <c r="I13998"/>
      <c r="K13998"/>
      <c r="O13998"/>
      <c r="R13998"/>
      <c r="W13998" s="4"/>
      <c r="X13998" s="4"/>
      <c r="Y13998" s="4"/>
    </row>
    <row r="13999" spans="5:25">
      <c r="E13999"/>
      <c r="G13999"/>
      <c r="H13999"/>
      <c r="I13999"/>
      <c r="K13999"/>
      <c r="O13999"/>
      <c r="R13999"/>
      <c r="W13999" s="4"/>
      <c r="X13999" s="4"/>
      <c r="Y13999" s="4"/>
    </row>
    <row r="14000" spans="5:25">
      <c r="E14000"/>
      <c r="G14000"/>
      <c r="H14000"/>
      <c r="I14000"/>
      <c r="K14000"/>
      <c r="O14000"/>
      <c r="R14000"/>
      <c r="W14000" s="4"/>
      <c r="X14000" s="4"/>
      <c r="Y14000" s="4"/>
    </row>
    <row r="14001" spans="5:25">
      <c r="E14001"/>
      <c r="G14001"/>
      <c r="H14001"/>
      <c r="I14001"/>
      <c r="K14001"/>
      <c r="O14001"/>
      <c r="R14001"/>
      <c r="W14001" s="4"/>
      <c r="X14001" s="4"/>
      <c r="Y14001" s="4"/>
    </row>
    <row r="14002" spans="5:25">
      <c r="E14002"/>
      <c r="G14002"/>
      <c r="H14002"/>
      <c r="I14002"/>
      <c r="K14002"/>
      <c r="O14002"/>
      <c r="R14002"/>
      <c r="W14002" s="4"/>
      <c r="X14002" s="4"/>
      <c r="Y14002" s="4"/>
    </row>
    <row r="14003" spans="5:25">
      <c r="E14003"/>
      <c r="G14003"/>
      <c r="H14003"/>
      <c r="I14003"/>
      <c r="K14003"/>
      <c r="O14003"/>
      <c r="R14003"/>
      <c r="W14003" s="4"/>
      <c r="X14003" s="4"/>
      <c r="Y14003" s="4"/>
    </row>
    <row r="14004" spans="5:25">
      <c r="E14004"/>
      <c r="G14004"/>
      <c r="H14004"/>
      <c r="I14004"/>
      <c r="K14004"/>
      <c r="O14004"/>
      <c r="R14004"/>
      <c r="W14004" s="4"/>
      <c r="X14004" s="4"/>
      <c r="Y14004" s="4"/>
    </row>
    <row r="14005" spans="5:25">
      <c r="E14005"/>
      <c r="G14005"/>
      <c r="H14005"/>
      <c r="I14005"/>
      <c r="K14005"/>
      <c r="O14005"/>
      <c r="R14005"/>
      <c r="W14005" s="4"/>
      <c r="X14005" s="4"/>
      <c r="Y14005" s="4"/>
    </row>
    <row r="14006" spans="5:25">
      <c r="E14006"/>
      <c r="G14006"/>
      <c r="H14006"/>
      <c r="I14006"/>
      <c r="K14006"/>
      <c r="O14006"/>
      <c r="R14006"/>
      <c r="W14006" s="4"/>
      <c r="X14006" s="4"/>
      <c r="Y14006" s="4"/>
    </row>
    <row r="14007" spans="5:25">
      <c r="E14007"/>
      <c r="G14007"/>
      <c r="H14007"/>
      <c r="I14007"/>
      <c r="K14007"/>
      <c r="O14007"/>
      <c r="R14007"/>
      <c r="W14007" s="4"/>
      <c r="X14007" s="4"/>
      <c r="Y14007" s="4"/>
    </row>
    <row r="14008" spans="5:25">
      <c r="E14008"/>
      <c r="G14008"/>
      <c r="H14008"/>
      <c r="I14008"/>
      <c r="K14008"/>
      <c r="O14008"/>
      <c r="R14008"/>
      <c r="W14008" s="4"/>
      <c r="X14008" s="4"/>
      <c r="Y14008" s="4"/>
    </row>
    <row r="14009" spans="5:25">
      <c r="E14009"/>
      <c r="G14009"/>
      <c r="H14009"/>
      <c r="I14009"/>
      <c r="K14009"/>
      <c r="O14009"/>
      <c r="R14009"/>
      <c r="W14009" s="4"/>
      <c r="X14009" s="4"/>
      <c r="Y14009" s="4"/>
    </row>
    <row r="14010" spans="5:25">
      <c r="E14010"/>
      <c r="G14010"/>
      <c r="H14010"/>
      <c r="I14010"/>
      <c r="K14010"/>
      <c r="O14010"/>
      <c r="R14010"/>
      <c r="W14010" s="4"/>
      <c r="X14010" s="4"/>
      <c r="Y14010" s="4"/>
    </row>
    <row r="14011" spans="5:25">
      <c r="E14011"/>
      <c r="G14011"/>
      <c r="H14011"/>
      <c r="I14011"/>
      <c r="K14011"/>
      <c r="O14011"/>
      <c r="R14011"/>
      <c r="W14011" s="4"/>
      <c r="X14011" s="4"/>
      <c r="Y14011" s="4"/>
    </row>
    <row r="14012" spans="5:25">
      <c r="E14012"/>
      <c r="G14012"/>
      <c r="H14012"/>
      <c r="I14012"/>
      <c r="K14012"/>
      <c r="O14012"/>
      <c r="R14012"/>
      <c r="W14012" s="4"/>
      <c r="X14012" s="4"/>
      <c r="Y14012" s="4"/>
    </row>
    <row r="14013" spans="5:25">
      <c r="E14013"/>
      <c r="G14013"/>
      <c r="H14013"/>
      <c r="I14013"/>
      <c r="K14013"/>
      <c r="O14013"/>
      <c r="R14013"/>
      <c r="W14013" s="4"/>
      <c r="X14013" s="4"/>
      <c r="Y14013" s="4"/>
    </row>
    <row r="14014" spans="5:25">
      <c r="E14014"/>
      <c r="G14014"/>
      <c r="H14014"/>
      <c r="I14014"/>
      <c r="K14014"/>
      <c r="O14014"/>
      <c r="R14014"/>
      <c r="W14014" s="4"/>
      <c r="X14014" s="4"/>
      <c r="Y14014" s="4"/>
    </row>
    <row r="14015" spans="5:25">
      <c r="E14015"/>
      <c r="G14015"/>
      <c r="H14015"/>
      <c r="I14015"/>
      <c r="K14015"/>
      <c r="O14015"/>
      <c r="R14015"/>
      <c r="W14015" s="4"/>
      <c r="X14015" s="4"/>
      <c r="Y14015" s="4"/>
    </row>
    <row r="14016" spans="5:25">
      <c r="E14016"/>
      <c r="G14016"/>
      <c r="H14016"/>
      <c r="I14016"/>
      <c r="K14016"/>
      <c r="O14016"/>
      <c r="R14016"/>
      <c r="W14016" s="4"/>
      <c r="X14016" s="4"/>
      <c r="Y14016" s="4"/>
    </row>
    <row r="14017" spans="5:25">
      <c r="E14017"/>
      <c r="G14017"/>
      <c r="H14017"/>
      <c r="I14017"/>
      <c r="K14017"/>
      <c r="O14017"/>
      <c r="R14017"/>
      <c r="W14017" s="4"/>
      <c r="X14017" s="4"/>
      <c r="Y14017" s="4"/>
    </row>
    <row r="14018" spans="5:25">
      <c r="E14018"/>
      <c r="G14018"/>
      <c r="H14018"/>
      <c r="I14018"/>
      <c r="K14018"/>
      <c r="O14018"/>
      <c r="R14018"/>
      <c r="W14018" s="4"/>
      <c r="X14018" s="4"/>
      <c r="Y14018" s="4"/>
    </row>
    <row r="14019" spans="5:25">
      <c r="E14019"/>
      <c r="G14019"/>
      <c r="H14019"/>
      <c r="I14019"/>
      <c r="K14019"/>
      <c r="O14019"/>
      <c r="R14019"/>
      <c r="W14019" s="4"/>
      <c r="X14019" s="4"/>
      <c r="Y14019" s="4"/>
    </row>
    <row r="14020" spans="5:25">
      <c r="E14020"/>
      <c r="G14020"/>
      <c r="H14020"/>
      <c r="I14020"/>
      <c r="K14020"/>
      <c r="O14020"/>
      <c r="R14020"/>
      <c r="W14020" s="4"/>
      <c r="X14020" s="4"/>
      <c r="Y14020" s="4"/>
    </row>
    <row r="14021" spans="5:25">
      <c r="E14021"/>
      <c r="G14021"/>
      <c r="H14021"/>
      <c r="I14021"/>
      <c r="K14021"/>
      <c r="O14021"/>
      <c r="R14021"/>
      <c r="W14021" s="4"/>
      <c r="X14021" s="4"/>
      <c r="Y14021" s="4"/>
    </row>
    <row r="14022" spans="5:25">
      <c r="E14022"/>
      <c r="G14022"/>
      <c r="H14022"/>
      <c r="I14022"/>
      <c r="K14022"/>
      <c r="O14022"/>
      <c r="R14022"/>
      <c r="W14022" s="4"/>
      <c r="X14022" s="4"/>
      <c r="Y14022" s="4"/>
    </row>
    <row r="14023" spans="5:25">
      <c r="E14023"/>
      <c r="G14023"/>
      <c r="H14023"/>
      <c r="I14023"/>
      <c r="K14023"/>
      <c r="O14023"/>
      <c r="R14023"/>
      <c r="W14023" s="4"/>
      <c r="X14023" s="4"/>
      <c r="Y14023" s="4"/>
    </row>
    <row r="14024" spans="5:25">
      <c r="E14024"/>
      <c r="G14024"/>
      <c r="H14024"/>
      <c r="I14024"/>
      <c r="K14024"/>
      <c r="O14024"/>
      <c r="R14024"/>
      <c r="W14024" s="4"/>
      <c r="X14024" s="4"/>
      <c r="Y14024" s="4"/>
    </row>
    <row r="14025" spans="5:25">
      <c r="E14025"/>
      <c r="G14025"/>
      <c r="H14025"/>
      <c r="I14025"/>
      <c r="K14025"/>
      <c r="O14025"/>
      <c r="R14025"/>
      <c r="W14025" s="4"/>
      <c r="X14025" s="4"/>
      <c r="Y14025" s="4"/>
    </row>
    <row r="14026" spans="5:25">
      <c r="E14026"/>
      <c r="G14026"/>
      <c r="H14026"/>
      <c r="I14026"/>
      <c r="K14026"/>
      <c r="O14026"/>
      <c r="R14026"/>
      <c r="W14026" s="4"/>
      <c r="X14026" s="4"/>
      <c r="Y14026" s="4"/>
    </row>
    <row r="14027" spans="5:25">
      <c r="E14027"/>
      <c r="G14027"/>
      <c r="H14027"/>
      <c r="I14027"/>
      <c r="K14027"/>
      <c r="O14027"/>
      <c r="R14027"/>
      <c r="W14027" s="4"/>
      <c r="X14027" s="4"/>
      <c r="Y14027" s="4"/>
    </row>
    <row r="14028" spans="5:25">
      <c r="E14028"/>
      <c r="G14028"/>
      <c r="H14028"/>
      <c r="I14028"/>
      <c r="K14028"/>
      <c r="O14028"/>
      <c r="R14028"/>
      <c r="W14028" s="4"/>
      <c r="X14028" s="4"/>
      <c r="Y14028" s="4"/>
    </row>
    <row r="14029" spans="5:25">
      <c r="E14029"/>
      <c r="G14029"/>
      <c r="H14029"/>
      <c r="I14029"/>
      <c r="K14029"/>
      <c r="O14029"/>
      <c r="R14029"/>
      <c r="W14029" s="4"/>
      <c r="X14029" s="4"/>
      <c r="Y14029" s="4"/>
    </row>
    <row r="14030" spans="5:25">
      <c r="E14030"/>
      <c r="G14030"/>
      <c r="H14030"/>
      <c r="I14030"/>
      <c r="K14030"/>
      <c r="O14030"/>
      <c r="R14030"/>
      <c r="W14030" s="4"/>
      <c r="X14030" s="4"/>
      <c r="Y14030" s="4"/>
    </row>
    <row r="14031" spans="5:25">
      <c r="E14031"/>
      <c r="G14031"/>
      <c r="H14031"/>
      <c r="I14031"/>
      <c r="K14031"/>
      <c r="O14031"/>
      <c r="R14031"/>
      <c r="W14031" s="4"/>
      <c r="X14031" s="4"/>
      <c r="Y14031" s="4"/>
    </row>
    <row r="14032" spans="5:25">
      <c r="E14032"/>
      <c r="G14032"/>
      <c r="H14032"/>
      <c r="I14032"/>
      <c r="K14032"/>
      <c r="O14032"/>
      <c r="R14032"/>
      <c r="W14032" s="4"/>
      <c r="X14032" s="4"/>
      <c r="Y14032" s="4"/>
    </row>
    <row r="14033" spans="5:25">
      <c r="E14033"/>
      <c r="G14033"/>
      <c r="H14033"/>
      <c r="I14033"/>
      <c r="K14033"/>
      <c r="O14033"/>
      <c r="R14033"/>
      <c r="W14033" s="4"/>
      <c r="X14033" s="4"/>
      <c r="Y14033" s="4"/>
    </row>
    <row r="14034" spans="5:25">
      <c r="E14034"/>
      <c r="G14034"/>
      <c r="H14034"/>
      <c r="I14034"/>
      <c r="K14034"/>
      <c r="O14034"/>
      <c r="R14034"/>
      <c r="W14034" s="4"/>
      <c r="X14034" s="4"/>
      <c r="Y14034" s="4"/>
    </row>
    <row r="14035" spans="5:25">
      <c r="E14035"/>
      <c r="G14035"/>
      <c r="H14035"/>
      <c r="I14035"/>
      <c r="K14035"/>
      <c r="O14035"/>
      <c r="R14035"/>
      <c r="W14035" s="4"/>
      <c r="X14035" s="4"/>
      <c r="Y14035" s="4"/>
    </row>
    <row r="14036" spans="5:25">
      <c r="E14036"/>
      <c r="G14036"/>
      <c r="H14036"/>
      <c r="I14036"/>
      <c r="K14036"/>
      <c r="O14036"/>
      <c r="R14036"/>
      <c r="W14036" s="4"/>
      <c r="X14036" s="4"/>
      <c r="Y14036" s="4"/>
    </row>
    <row r="14037" spans="5:25">
      <c r="E14037"/>
      <c r="G14037"/>
      <c r="H14037"/>
      <c r="I14037"/>
      <c r="K14037"/>
      <c r="O14037"/>
      <c r="R14037"/>
      <c r="W14037" s="4"/>
      <c r="X14037" s="4"/>
      <c r="Y14037" s="4"/>
    </row>
    <row r="14038" spans="5:25">
      <c r="E14038"/>
      <c r="G14038"/>
      <c r="H14038"/>
      <c r="I14038"/>
      <c r="K14038"/>
      <c r="O14038"/>
      <c r="R14038"/>
      <c r="W14038" s="4"/>
      <c r="X14038" s="4"/>
      <c r="Y14038" s="4"/>
    </row>
    <row r="14039" spans="5:25">
      <c r="E14039"/>
      <c r="G14039"/>
      <c r="H14039"/>
      <c r="I14039"/>
      <c r="K14039"/>
      <c r="O14039"/>
      <c r="R14039"/>
      <c r="W14039" s="4"/>
      <c r="X14039" s="4"/>
      <c r="Y14039" s="4"/>
    </row>
    <row r="14040" spans="5:25">
      <c r="E14040"/>
      <c r="G14040"/>
      <c r="H14040"/>
      <c r="I14040"/>
      <c r="K14040"/>
      <c r="O14040"/>
      <c r="R14040"/>
      <c r="W14040" s="4"/>
      <c r="X14040" s="4"/>
      <c r="Y14040" s="4"/>
    </row>
    <row r="14041" spans="5:25">
      <c r="E14041"/>
      <c r="G14041"/>
      <c r="H14041"/>
      <c r="I14041"/>
      <c r="K14041"/>
      <c r="O14041"/>
      <c r="R14041"/>
      <c r="W14041" s="4"/>
      <c r="X14041" s="4"/>
      <c r="Y14041" s="4"/>
    </row>
    <row r="14042" spans="5:25">
      <c r="E14042"/>
      <c r="G14042"/>
      <c r="H14042"/>
      <c r="I14042"/>
      <c r="K14042"/>
      <c r="O14042"/>
      <c r="R14042"/>
      <c r="W14042" s="4"/>
      <c r="X14042" s="4"/>
      <c r="Y14042" s="4"/>
    </row>
    <row r="14043" spans="5:25">
      <c r="E14043"/>
      <c r="G14043"/>
      <c r="H14043"/>
      <c r="I14043"/>
      <c r="K14043"/>
      <c r="O14043"/>
      <c r="R14043"/>
      <c r="W14043" s="4"/>
      <c r="X14043" s="4"/>
      <c r="Y14043" s="4"/>
    </row>
    <row r="14044" spans="5:25">
      <c r="E14044"/>
      <c r="G14044"/>
      <c r="H14044"/>
      <c r="I14044"/>
      <c r="K14044"/>
      <c r="O14044"/>
      <c r="R14044"/>
      <c r="W14044" s="4"/>
      <c r="X14044" s="4"/>
      <c r="Y14044" s="4"/>
    </row>
    <row r="14045" spans="5:25">
      <c r="E14045"/>
      <c r="G14045"/>
      <c r="H14045"/>
      <c r="I14045"/>
      <c r="K14045"/>
      <c r="O14045"/>
      <c r="R14045"/>
      <c r="W14045" s="4"/>
      <c r="X14045" s="4"/>
      <c r="Y14045" s="4"/>
    </row>
    <row r="14046" spans="5:25">
      <c r="E14046"/>
      <c r="G14046"/>
      <c r="H14046"/>
      <c r="I14046"/>
      <c r="K14046"/>
      <c r="O14046"/>
      <c r="R14046"/>
      <c r="W14046" s="4"/>
      <c r="X14046" s="4"/>
      <c r="Y14046" s="4"/>
    </row>
    <row r="14047" spans="5:25">
      <c r="E14047"/>
      <c r="G14047"/>
      <c r="H14047"/>
      <c r="I14047"/>
      <c r="K14047"/>
      <c r="O14047"/>
      <c r="R14047"/>
      <c r="W14047" s="4"/>
      <c r="X14047" s="4"/>
      <c r="Y14047" s="4"/>
    </row>
    <row r="14048" spans="5:25">
      <c r="E14048"/>
      <c r="G14048"/>
      <c r="H14048"/>
      <c r="I14048"/>
      <c r="K14048"/>
      <c r="O14048"/>
      <c r="R14048"/>
      <c r="W14048" s="4"/>
      <c r="X14048" s="4"/>
      <c r="Y14048" s="4"/>
    </row>
    <row r="14049" spans="5:25">
      <c r="E14049"/>
      <c r="G14049"/>
      <c r="H14049"/>
      <c r="I14049"/>
      <c r="K14049"/>
      <c r="O14049"/>
      <c r="R14049"/>
      <c r="W14049" s="4"/>
      <c r="X14049" s="4"/>
      <c r="Y14049" s="4"/>
    </row>
    <row r="14050" spans="5:25">
      <c r="E14050"/>
      <c r="G14050"/>
      <c r="H14050"/>
      <c r="I14050"/>
      <c r="K14050"/>
      <c r="O14050"/>
      <c r="R14050"/>
      <c r="W14050" s="4"/>
      <c r="X14050" s="4"/>
      <c r="Y14050" s="4"/>
    </row>
    <row r="14051" spans="5:25">
      <c r="E14051"/>
      <c r="G14051"/>
      <c r="H14051"/>
      <c r="I14051"/>
      <c r="K14051"/>
      <c r="O14051"/>
      <c r="R14051"/>
      <c r="W14051" s="4"/>
      <c r="X14051" s="4"/>
      <c r="Y14051" s="4"/>
    </row>
    <row r="14052" spans="5:25">
      <c r="E14052"/>
      <c r="G14052"/>
      <c r="H14052"/>
      <c r="I14052"/>
      <c r="K14052"/>
      <c r="O14052"/>
      <c r="R14052"/>
      <c r="W14052" s="4"/>
      <c r="X14052" s="4"/>
      <c r="Y14052" s="4"/>
    </row>
    <row r="14053" spans="5:25">
      <c r="E14053"/>
      <c r="G14053"/>
      <c r="H14053"/>
      <c r="I14053"/>
      <c r="K14053"/>
      <c r="O14053"/>
      <c r="R14053"/>
      <c r="W14053" s="4"/>
      <c r="X14053" s="4"/>
      <c r="Y14053" s="4"/>
    </row>
    <row r="14054" spans="5:25">
      <c r="E14054"/>
      <c r="G14054"/>
      <c r="H14054"/>
      <c r="I14054"/>
      <c r="K14054"/>
      <c r="O14054"/>
      <c r="R14054"/>
      <c r="W14054" s="4"/>
      <c r="X14054" s="4"/>
      <c r="Y14054" s="4"/>
    </row>
    <row r="14055" spans="5:25">
      <c r="E14055"/>
      <c r="G14055"/>
      <c r="H14055"/>
      <c r="I14055"/>
      <c r="K14055"/>
      <c r="O14055"/>
      <c r="R14055"/>
      <c r="W14055" s="4"/>
      <c r="X14055" s="4"/>
      <c r="Y14055" s="4"/>
    </row>
    <row r="14056" spans="5:25">
      <c r="E14056"/>
      <c r="G14056"/>
      <c r="H14056"/>
      <c r="I14056"/>
      <c r="K14056"/>
      <c r="O14056"/>
      <c r="R14056"/>
      <c r="W14056" s="4"/>
      <c r="X14056" s="4"/>
      <c r="Y14056" s="4"/>
    </row>
    <row r="14057" spans="5:25">
      <c r="E14057"/>
      <c r="G14057"/>
      <c r="H14057"/>
      <c r="I14057"/>
      <c r="K14057"/>
      <c r="O14057"/>
      <c r="R14057"/>
      <c r="W14057" s="4"/>
      <c r="X14057" s="4"/>
      <c r="Y14057" s="4"/>
    </row>
    <row r="14058" spans="5:25">
      <c r="E14058"/>
      <c r="G14058"/>
      <c r="H14058"/>
      <c r="I14058"/>
      <c r="K14058"/>
      <c r="O14058"/>
      <c r="R14058"/>
      <c r="W14058" s="4"/>
      <c r="X14058" s="4"/>
      <c r="Y14058" s="4"/>
    </row>
    <row r="14059" spans="5:25">
      <c r="E14059"/>
      <c r="G14059"/>
      <c r="H14059"/>
      <c r="I14059"/>
      <c r="K14059"/>
      <c r="O14059"/>
      <c r="R14059"/>
      <c r="W14059" s="4"/>
      <c r="X14059" s="4"/>
      <c r="Y14059" s="4"/>
    </row>
    <row r="14060" spans="5:25">
      <c r="E14060"/>
      <c r="G14060"/>
      <c r="H14060"/>
      <c r="I14060"/>
      <c r="K14060"/>
      <c r="O14060"/>
      <c r="R14060"/>
      <c r="W14060" s="4"/>
      <c r="X14060" s="4"/>
      <c r="Y14060" s="4"/>
    </row>
    <row r="14061" spans="5:25">
      <c r="E14061"/>
      <c r="G14061"/>
      <c r="H14061"/>
      <c r="I14061"/>
      <c r="K14061"/>
      <c r="O14061"/>
      <c r="R14061"/>
      <c r="W14061" s="4"/>
      <c r="X14061" s="4"/>
      <c r="Y14061" s="4"/>
    </row>
    <row r="14062" spans="5:25">
      <c r="E14062"/>
      <c r="G14062"/>
      <c r="H14062"/>
      <c r="I14062"/>
      <c r="K14062"/>
      <c r="O14062"/>
      <c r="R14062"/>
      <c r="W14062" s="4"/>
      <c r="X14062" s="4"/>
      <c r="Y14062" s="4"/>
    </row>
    <row r="14063" spans="5:25">
      <c r="E14063"/>
      <c r="G14063"/>
      <c r="H14063"/>
      <c r="I14063"/>
      <c r="K14063"/>
      <c r="O14063"/>
      <c r="R14063"/>
      <c r="W14063" s="4"/>
      <c r="X14063" s="4"/>
      <c r="Y14063" s="4"/>
    </row>
    <row r="14064" spans="5:25">
      <c r="E14064"/>
      <c r="G14064"/>
      <c r="H14064"/>
      <c r="I14064"/>
      <c r="K14064"/>
      <c r="O14064"/>
      <c r="R14064"/>
      <c r="W14064" s="4"/>
      <c r="X14064" s="4"/>
      <c r="Y14064" s="4"/>
    </row>
    <row r="14065" spans="5:25">
      <c r="E14065"/>
      <c r="G14065"/>
      <c r="H14065"/>
      <c r="I14065"/>
      <c r="K14065"/>
      <c r="O14065"/>
      <c r="R14065"/>
      <c r="W14065" s="4"/>
      <c r="X14065" s="4"/>
      <c r="Y14065" s="4"/>
    </row>
    <row r="14066" spans="5:25">
      <c r="E14066"/>
      <c r="G14066"/>
      <c r="H14066"/>
      <c r="I14066"/>
      <c r="K14066"/>
      <c r="O14066"/>
      <c r="R14066"/>
      <c r="W14066" s="4"/>
      <c r="X14066" s="4"/>
      <c r="Y14066" s="4"/>
    </row>
    <row r="14067" spans="5:25">
      <c r="E14067"/>
      <c r="G14067"/>
      <c r="H14067"/>
      <c r="I14067"/>
      <c r="K14067"/>
      <c r="O14067"/>
      <c r="R14067"/>
      <c r="W14067" s="4"/>
      <c r="X14067" s="4"/>
      <c r="Y14067" s="4"/>
    </row>
    <row r="14068" spans="5:25">
      <c r="E14068"/>
      <c r="G14068"/>
      <c r="H14068"/>
      <c r="I14068"/>
      <c r="K14068"/>
      <c r="O14068"/>
      <c r="R14068"/>
      <c r="W14068" s="4"/>
      <c r="X14068" s="4"/>
      <c r="Y14068" s="4"/>
    </row>
    <row r="14069" spans="5:25">
      <c r="E14069"/>
      <c r="G14069"/>
      <c r="H14069"/>
      <c r="I14069"/>
      <c r="K14069"/>
      <c r="O14069"/>
      <c r="R14069"/>
      <c r="W14069" s="4"/>
      <c r="X14069" s="4"/>
      <c r="Y14069" s="4"/>
    </row>
    <row r="14070" spans="5:25">
      <c r="E14070"/>
      <c r="G14070"/>
      <c r="H14070"/>
      <c r="I14070"/>
      <c r="K14070"/>
      <c r="O14070"/>
      <c r="R14070"/>
      <c r="W14070" s="4"/>
      <c r="X14070" s="4"/>
      <c r="Y14070" s="4"/>
    </row>
    <row r="14071" spans="5:25">
      <c r="E14071"/>
      <c r="G14071"/>
      <c r="H14071"/>
      <c r="I14071"/>
      <c r="K14071"/>
      <c r="O14071"/>
      <c r="R14071"/>
      <c r="W14071" s="4"/>
      <c r="X14071" s="4"/>
      <c r="Y14071" s="4"/>
    </row>
    <row r="14072" spans="5:25">
      <c r="E14072"/>
      <c r="G14072"/>
      <c r="H14072"/>
      <c r="I14072"/>
      <c r="K14072"/>
      <c r="O14072"/>
      <c r="R14072"/>
      <c r="W14072" s="4"/>
      <c r="X14072" s="4"/>
      <c r="Y14072" s="4"/>
    </row>
    <row r="14073" spans="5:25">
      <c r="E14073"/>
      <c r="G14073"/>
      <c r="H14073"/>
      <c r="I14073"/>
      <c r="K14073"/>
      <c r="O14073"/>
      <c r="R14073"/>
      <c r="W14073" s="4"/>
      <c r="X14073" s="4"/>
      <c r="Y14073" s="4"/>
    </row>
    <row r="14074" spans="5:25">
      <c r="E14074"/>
      <c r="G14074"/>
      <c r="H14074"/>
      <c r="I14074"/>
      <c r="K14074"/>
      <c r="O14074"/>
      <c r="R14074"/>
      <c r="W14074" s="4"/>
      <c r="X14074" s="4"/>
      <c r="Y14074" s="4"/>
    </row>
    <row r="14075" spans="5:25">
      <c r="E14075"/>
      <c r="G14075"/>
      <c r="H14075"/>
      <c r="I14075"/>
      <c r="K14075"/>
      <c r="O14075"/>
      <c r="R14075"/>
      <c r="W14075" s="4"/>
      <c r="X14075" s="4"/>
      <c r="Y14075" s="4"/>
    </row>
    <row r="14076" spans="5:25">
      <c r="E14076"/>
      <c r="G14076"/>
      <c r="H14076"/>
      <c r="I14076"/>
      <c r="K14076"/>
      <c r="O14076"/>
      <c r="R14076"/>
      <c r="W14076" s="4"/>
      <c r="X14076" s="4"/>
      <c r="Y14076" s="4"/>
    </row>
    <row r="14077" spans="5:25">
      <c r="E14077"/>
      <c r="G14077"/>
      <c r="H14077"/>
      <c r="I14077"/>
      <c r="K14077"/>
      <c r="O14077"/>
      <c r="R14077"/>
      <c r="W14077" s="4"/>
      <c r="X14077" s="4"/>
      <c r="Y14077" s="4"/>
    </row>
    <row r="14078" spans="5:25">
      <c r="E14078"/>
      <c r="G14078"/>
      <c r="H14078"/>
      <c r="I14078"/>
      <c r="K14078"/>
      <c r="O14078"/>
      <c r="R14078"/>
      <c r="W14078" s="4"/>
      <c r="X14078" s="4"/>
      <c r="Y14078" s="4"/>
    </row>
    <row r="14079" spans="5:25">
      <c r="E14079"/>
      <c r="G14079"/>
      <c r="H14079"/>
      <c r="I14079"/>
      <c r="K14079"/>
      <c r="O14079"/>
      <c r="R14079"/>
      <c r="W14079" s="4"/>
      <c r="X14079" s="4"/>
      <c r="Y14079" s="4"/>
    </row>
    <row r="14080" spans="5:25">
      <c r="E14080"/>
      <c r="G14080"/>
      <c r="H14080"/>
      <c r="I14080"/>
      <c r="K14080"/>
      <c r="O14080"/>
      <c r="R14080"/>
      <c r="W14080" s="4"/>
      <c r="X14080" s="4"/>
      <c r="Y14080" s="4"/>
    </row>
    <row r="14081" spans="5:25">
      <c r="E14081"/>
      <c r="G14081"/>
      <c r="H14081"/>
      <c r="I14081"/>
      <c r="K14081"/>
      <c r="O14081"/>
      <c r="R14081"/>
      <c r="W14081" s="4"/>
      <c r="X14081" s="4"/>
      <c r="Y14081" s="4"/>
    </row>
    <row r="14082" spans="5:25">
      <c r="E14082"/>
      <c r="G14082"/>
      <c r="H14082"/>
      <c r="I14082"/>
      <c r="K14082"/>
      <c r="O14082"/>
      <c r="R14082"/>
      <c r="W14082" s="4"/>
      <c r="X14082" s="4"/>
      <c r="Y14082" s="4"/>
    </row>
    <row r="14083" spans="5:25">
      <c r="E14083"/>
      <c r="G14083"/>
      <c r="H14083"/>
      <c r="I14083"/>
      <c r="K14083"/>
      <c r="O14083"/>
      <c r="R14083"/>
      <c r="W14083" s="4"/>
      <c r="X14083" s="4"/>
      <c r="Y14083" s="4"/>
    </row>
    <row r="14084" spans="5:25">
      <c r="E14084"/>
      <c r="G14084"/>
      <c r="H14084"/>
      <c r="I14084"/>
      <c r="K14084"/>
      <c r="O14084"/>
      <c r="R14084"/>
      <c r="W14084" s="4"/>
      <c r="X14084" s="4"/>
      <c r="Y14084" s="4"/>
    </row>
    <row r="14085" spans="5:25">
      <c r="E14085"/>
      <c r="G14085"/>
      <c r="H14085"/>
      <c r="I14085"/>
      <c r="K14085"/>
      <c r="O14085"/>
      <c r="R14085"/>
      <c r="W14085" s="4"/>
      <c r="X14085" s="4"/>
      <c r="Y14085" s="4"/>
    </row>
    <row r="14086" spans="5:25">
      <c r="E14086"/>
      <c r="G14086"/>
      <c r="H14086"/>
      <c r="I14086"/>
      <c r="K14086"/>
      <c r="O14086"/>
      <c r="R14086"/>
      <c r="W14086" s="4"/>
      <c r="X14086" s="4"/>
      <c r="Y14086" s="4"/>
    </row>
    <row r="14087" spans="5:25">
      <c r="E14087"/>
      <c r="G14087"/>
      <c r="H14087"/>
      <c r="I14087"/>
      <c r="K14087"/>
      <c r="O14087"/>
      <c r="R14087"/>
      <c r="W14087" s="4"/>
      <c r="X14087" s="4"/>
      <c r="Y14087" s="4"/>
    </row>
    <row r="14088" spans="5:25">
      <c r="E14088"/>
      <c r="G14088"/>
      <c r="H14088"/>
      <c r="I14088"/>
      <c r="K14088"/>
      <c r="O14088"/>
      <c r="R14088"/>
      <c r="W14088" s="4"/>
      <c r="X14088" s="4"/>
      <c r="Y14088" s="4"/>
    </row>
    <row r="14089" spans="5:25">
      <c r="E14089"/>
      <c r="G14089"/>
      <c r="H14089"/>
      <c r="I14089"/>
      <c r="K14089"/>
      <c r="O14089"/>
      <c r="R14089"/>
      <c r="W14089" s="4"/>
      <c r="X14089" s="4"/>
      <c r="Y14089" s="4"/>
    </row>
    <row r="14090" spans="5:25">
      <c r="E14090"/>
      <c r="G14090"/>
      <c r="H14090"/>
      <c r="I14090"/>
      <c r="K14090"/>
      <c r="O14090"/>
      <c r="R14090"/>
      <c r="W14090" s="4"/>
      <c r="X14090" s="4"/>
      <c r="Y14090" s="4"/>
    </row>
    <row r="14091" spans="5:25">
      <c r="E14091"/>
      <c r="G14091"/>
      <c r="H14091"/>
      <c r="I14091"/>
      <c r="K14091"/>
      <c r="O14091"/>
      <c r="R14091"/>
      <c r="W14091" s="4"/>
      <c r="X14091" s="4"/>
      <c r="Y14091" s="4"/>
    </row>
    <row r="14092" spans="5:25">
      <c r="E14092"/>
      <c r="G14092"/>
      <c r="H14092"/>
      <c r="I14092"/>
      <c r="K14092"/>
      <c r="O14092"/>
      <c r="R14092"/>
      <c r="W14092" s="4"/>
      <c r="X14092" s="4"/>
      <c r="Y14092" s="4"/>
    </row>
    <row r="14093" spans="5:25">
      <c r="E14093"/>
      <c r="G14093"/>
      <c r="H14093"/>
      <c r="I14093"/>
      <c r="K14093"/>
      <c r="O14093"/>
      <c r="R14093"/>
      <c r="W14093" s="4"/>
      <c r="X14093" s="4"/>
      <c r="Y14093" s="4"/>
    </row>
    <row r="14094" spans="5:25">
      <c r="E14094"/>
      <c r="G14094"/>
      <c r="H14094"/>
      <c r="I14094"/>
      <c r="K14094"/>
      <c r="O14094"/>
      <c r="R14094"/>
      <c r="W14094" s="4"/>
      <c r="X14094" s="4"/>
      <c r="Y14094" s="4"/>
    </row>
    <row r="14095" spans="5:25">
      <c r="E14095"/>
      <c r="G14095"/>
      <c r="H14095"/>
      <c r="I14095"/>
      <c r="K14095"/>
      <c r="O14095"/>
      <c r="R14095"/>
      <c r="W14095" s="4"/>
      <c r="X14095" s="4"/>
      <c r="Y14095" s="4"/>
    </row>
    <row r="14096" spans="5:25">
      <c r="E14096"/>
      <c r="G14096"/>
      <c r="H14096"/>
      <c r="I14096"/>
      <c r="K14096"/>
      <c r="O14096"/>
      <c r="R14096"/>
      <c r="W14096" s="4"/>
      <c r="X14096" s="4"/>
      <c r="Y14096" s="4"/>
    </row>
    <row r="14097" spans="5:25">
      <c r="E14097"/>
      <c r="G14097"/>
      <c r="H14097"/>
      <c r="I14097"/>
      <c r="K14097"/>
      <c r="O14097"/>
      <c r="R14097"/>
      <c r="W14097" s="4"/>
      <c r="X14097" s="4"/>
      <c r="Y14097" s="4"/>
    </row>
    <row r="14098" spans="5:25">
      <c r="E14098"/>
      <c r="G14098"/>
      <c r="H14098"/>
      <c r="I14098"/>
      <c r="K14098"/>
      <c r="O14098"/>
      <c r="R14098"/>
      <c r="W14098" s="4"/>
      <c r="X14098" s="4"/>
      <c r="Y14098" s="4"/>
    </row>
    <row r="14099" spans="5:25">
      <c r="E14099"/>
      <c r="G14099"/>
      <c r="H14099"/>
      <c r="I14099"/>
      <c r="K14099"/>
      <c r="O14099"/>
      <c r="R14099"/>
      <c r="W14099" s="4"/>
      <c r="X14099" s="4"/>
      <c r="Y14099" s="4"/>
    </row>
    <row r="14100" spans="5:25">
      <c r="E14100"/>
      <c r="G14100"/>
      <c r="H14100"/>
      <c r="I14100"/>
      <c r="K14100"/>
      <c r="O14100"/>
      <c r="R14100"/>
      <c r="W14100" s="4"/>
      <c r="X14100" s="4"/>
      <c r="Y14100" s="4"/>
    </row>
    <row r="14101" spans="5:25">
      <c r="E14101"/>
      <c r="G14101"/>
      <c r="H14101"/>
      <c r="I14101"/>
      <c r="K14101"/>
      <c r="O14101"/>
      <c r="R14101"/>
      <c r="W14101" s="4"/>
      <c r="X14101" s="4"/>
      <c r="Y14101" s="4"/>
    </row>
    <row r="14102" spans="5:25">
      <c r="E14102"/>
      <c r="G14102"/>
      <c r="H14102"/>
      <c r="I14102"/>
      <c r="K14102"/>
      <c r="O14102"/>
      <c r="R14102"/>
      <c r="W14102" s="4"/>
      <c r="X14102" s="4"/>
      <c r="Y14102" s="4"/>
    </row>
    <row r="14103" spans="5:25">
      <c r="E14103"/>
      <c r="G14103"/>
      <c r="H14103"/>
      <c r="I14103"/>
      <c r="K14103"/>
      <c r="O14103"/>
      <c r="R14103"/>
      <c r="W14103" s="4"/>
      <c r="X14103" s="4"/>
      <c r="Y14103" s="4"/>
    </row>
    <row r="14104" spans="5:25">
      <c r="E14104"/>
      <c r="G14104"/>
      <c r="H14104"/>
      <c r="I14104"/>
      <c r="K14104"/>
      <c r="O14104"/>
      <c r="R14104"/>
      <c r="W14104" s="4"/>
      <c r="X14104" s="4"/>
      <c r="Y14104" s="4"/>
    </row>
    <row r="14105" spans="5:25">
      <c r="E14105"/>
      <c r="G14105"/>
      <c r="H14105"/>
      <c r="I14105"/>
      <c r="K14105"/>
      <c r="O14105"/>
      <c r="R14105"/>
      <c r="W14105" s="4"/>
      <c r="X14105" s="4"/>
      <c r="Y14105" s="4"/>
    </row>
    <row r="14106" spans="5:25">
      <c r="E14106"/>
      <c r="G14106"/>
      <c r="H14106"/>
      <c r="I14106"/>
      <c r="K14106"/>
      <c r="O14106"/>
      <c r="R14106"/>
      <c r="W14106" s="4"/>
      <c r="X14106" s="4"/>
      <c r="Y14106" s="4"/>
    </row>
    <row r="14107" spans="5:25">
      <c r="E14107"/>
      <c r="G14107"/>
      <c r="H14107"/>
      <c r="I14107"/>
      <c r="K14107"/>
      <c r="O14107"/>
      <c r="R14107"/>
      <c r="W14107" s="4"/>
      <c r="X14107" s="4"/>
      <c r="Y14107" s="4"/>
    </row>
    <row r="14108" spans="5:25">
      <c r="E14108"/>
      <c r="G14108"/>
      <c r="H14108"/>
      <c r="I14108"/>
      <c r="K14108"/>
      <c r="O14108"/>
      <c r="R14108"/>
      <c r="W14108" s="4"/>
      <c r="X14108" s="4"/>
      <c r="Y14108" s="4"/>
    </row>
    <row r="14109" spans="5:25">
      <c r="E14109"/>
      <c r="G14109"/>
      <c r="H14109"/>
      <c r="I14109"/>
      <c r="K14109"/>
      <c r="O14109"/>
      <c r="R14109"/>
      <c r="W14109" s="4"/>
      <c r="X14109" s="4"/>
      <c r="Y14109" s="4"/>
    </row>
    <row r="14110" spans="5:25">
      <c r="E14110"/>
      <c r="G14110"/>
      <c r="H14110"/>
      <c r="I14110"/>
      <c r="K14110"/>
      <c r="O14110"/>
      <c r="R14110"/>
      <c r="W14110" s="4"/>
      <c r="X14110" s="4"/>
      <c r="Y14110" s="4"/>
    </row>
    <row r="14111" spans="5:25">
      <c r="E14111"/>
      <c r="G14111"/>
      <c r="H14111"/>
      <c r="I14111"/>
      <c r="K14111"/>
      <c r="O14111"/>
      <c r="R14111"/>
      <c r="W14111" s="4"/>
      <c r="X14111" s="4"/>
      <c r="Y14111" s="4"/>
    </row>
    <row r="14112" spans="5:25">
      <c r="E14112"/>
      <c r="G14112"/>
      <c r="H14112"/>
      <c r="I14112"/>
      <c r="K14112"/>
      <c r="O14112"/>
      <c r="R14112"/>
      <c r="W14112" s="4"/>
      <c r="X14112" s="4"/>
      <c r="Y14112" s="4"/>
    </row>
    <row r="14113" spans="5:25">
      <c r="E14113"/>
      <c r="G14113"/>
      <c r="H14113"/>
      <c r="I14113"/>
      <c r="K14113"/>
      <c r="O14113"/>
      <c r="R14113"/>
      <c r="W14113" s="4"/>
      <c r="X14113" s="4"/>
      <c r="Y14113" s="4"/>
    </row>
    <row r="14114" spans="5:25">
      <c r="E14114"/>
      <c r="G14114"/>
      <c r="H14114"/>
      <c r="I14114"/>
      <c r="K14114"/>
      <c r="O14114"/>
      <c r="R14114"/>
      <c r="W14114" s="4"/>
      <c r="X14114" s="4"/>
      <c r="Y14114" s="4"/>
    </row>
    <row r="14115" spans="5:25">
      <c r="E14115"/>
      <c r="G14115"/>
      <c r="H14115"/>
      <c r="I14115"/>
      <c r="K14115"/>
      <c r="O14115"/>
      <c r="R14115"/>
      <c r="W14115" s="4"/>
      <c r="X14115" s="4"/>
      <c r="Y14115" s="4"/>
    </row>
    <row r="14116" spans="5:25">
      <c r="E14116"/>
      <c r="G14116"/>
      <c r="H14116"/>
      <c r="I14116"/>
      <c r="K14116"/>
      <c r="O14116"/>
      <c r="R14116"/>
      <c r="W14116" s="4"/>
      <c r="X14116" s="4"/>
      <c r="Y14116" s="4"/>
    </row>
    <row r="14117" spans="5:25">
      <c r="E14117"/>
      <c r="G14117"/>
      <c r="H14117"/>
      <c r="I14117"/>
      <c r="K14117"/>
      <c r="O14117"/>
      <c r="R14117"/>
      <c r="W14117" s="4"/>
      <c r="X14117" s="4"/>
      <c r="Y14117" s="4"/>
    </row>
    <row r="14118" spans="5:25">
      <c r="E14118"/>
      <c r="G14118"/>
      <c r="H14118"/>
      <c r="I14118"/>
      <c r="K14118"/>
      <c r="O14118"/>
      <c r="R14118"/>
      <c r="W14118" s="4"/>
      <c r="X14118" s="4"/>
      <c r="Y14118" s="4"/>
    </row>
    <row r="14119" spans="5:25">
      <c r="E14119"/>
      <c r="G14119"/>
      <c r="H14119"/>
      <c r="I14119"/>
      <c r="K14119"/>
      <c r="O14119"/>
      <c r="R14119"/>
      <c r="W14119" s="4"/>
      <c r="X14119" s="4"/>
      <c r="Y14119" s="4"/>
    </row>
    <row r="14120" spans="5:25">
      <c r="E14120"/>
      <c r="G14120"/>
      <c r="H14120"/>
      <c r="I14120"/>
      <c r="K14120"/>
      <c r="O14120"/>
      <c r="R14120"/>
      <c r="W14120" s="4"/>
      <c r="X14120" s="4"/>
      <c r="Y14120" s="4"/>
    </row>
    <row r="14121" spans="5:25">
      <c r="E14121"/>
      <c r="G14121"/>
      <c r="H14121"/>
      <c r="I14121"/>
      <c r="K14121"/>
      <c r="O14121"/>
      <c r="R14121"/>
      <c r="W14121" s="4"/>
      <c r="X14121" s="4"/>
      <c r="Y14121" s="4"/>
    </row>
    <row r="14122" spans="5:25">
      <c r="E14122"/>
      <c r="G14122"/>
      <c r="H14122"/>
      <c r="I14122"/>
      <c r="K14122"/>
      <c r="O14122"/>
      <c r="R14122"/>
      <c r="W14122" s="4"/>
      <c r="X14122" s="4"/>
      <c r="Y14122" s="4"/>
    </row>
    <row r="14123" spans="5:25">
      <c r="E14123"/>
      <c r="G14123"/>
      <c r="H14123"/>
      <c r="I14123"/>
      <c r="K14123"/>
      <c r="O14123"/>
      <c r="R14123"/>
      <c r="W14123" s="4"/>
      <c r="X14123" s="4"/>
      <c r="Y14123" s="4"/>
    </row>
    <row r="14124" spans="5:25">
      <c r="E14124"/>
      <c r="G14124"/>
      <c r="H14124"/>
      <c r="I14124"/>
      <c r="K14124"/>
      <c r="O14124"/>
      <c r="R14124"/>
      <c r="W14124" s="4"/>
      <c r="X14124" s="4"/>
      <c r="Y14124" s="4"/>
    </row>
    <row r="14125" spans="5:25">
      <c r="E14125"/>
      <c r="G14125"/>
      <c r="H14125"/>
      <c r="I14125"/>
      <c r="K14125"/>
      <c r="O14125"/>
      <c r="R14125"/>
      <c r="W14125" s="4"/>
      <c r="X14125" s="4"/>
      <c r="Y14125" s="4"/>
    </row>
    <row r="14126" spans="5:25">
      <c r="E14126"/>
      <c r="G14126"/>
      <c r="H14126"/>
      <c r="I14126"/>
      <c r="K14126"/>
      <c r="O14126"/>
      <c r="R14126"/>
      <c r="W14126" s="4"/>
      <c r="X14126" s="4"/>
      <c r="Y14126" s="4"/>
    </row>
    <row r="14127" spans="5:25">
      <c r="E14127"/>
      <c r="G14127"/>
      <c r="H14127"/>
      <c r="I14127"/>
      <c r="K14127"/>
      <c r="O14127"/>
      <c r="R14127"/>
      <c r="W14127" s="4"/>
      <c r="X14127" s="4"/>
      <c r="Y14127" s="4"/>
    </row>
    <row r="14128" spans="5:25">
      <c r="E14128"/>
      <c r="G14128"/>
      <c r="H14128"/>
      <c r="I14128"/>
      <c r="K14128"/>
      <c r="O14128"/>
      <c r="R14128"/>
      <c r="W14128" s="4"/>
      <c r="X14128" s="4"/>
      <c r="Y14128" s="4"/>
    </row>
    <row r="14129" spans="5:25">
      <c r="E14129"/>
      <c r="G14129"/>
      <c r="H14129"/>
      <c r="I14129"/>
      <c r="K14129"/>
      <c r="O14129"/>
      <c r="R14129"/>
      <c r="W14129" s="4"/>
      <c r="X14129" s="4"/>
      <c r="Y14129" s="4"/>
    </row>
    <row r="14130" spans="5:25">
      <c r="E14130"/>
      <c r="G14130"/>
      <c r="H14130"/>
      <c r="I14130"/>
      <c r="K14130"/>
      <c r="O14130"/>
      <c r="R14130"/>
      <c r="W14130" s="4"/>
      <c r="X14130" s="4"/>
      <c r="Y14130" s="4"/>
    </row>
    <row r="14131" spans="5:25">
      <c r="E14131"/>
      <c r="G14131"/>
      <c r="H14131"/>
      <c r="I14131"/>
      <c r="K14131"/>
      <c r="O14131"/>
      <c r="R14131"/>
      <c r="W14131" s="4"/>
      <c r="X14131" s="4"/>
      <c r="Y14131" s="4"/>
    </row>
    <row r="14132" spans="5:25">
      <c r="E14132"/>
      <c r="G14132"/>
      <c r="H14132"/>
      <c r="I14132"/>
      <c r="K14132"/>
      <c r="O14132"/>
      <c r="R14132"/>
      <c r="W14132" s="4"/>
      <c r="X14132" s="4"/>
      <c r="Y14132" s="4"/>
    </row>
    <row r="14133" spans="5:25">
      <c r="E14133"/>
      <c r="G14133"/>
      <c r="H14133"/>
      <c r="I14133"/>
      <c r="K14133"/>
      <c r="O14133"/>
      <c r="R14133"/>
      <c r="W14133" s="4"/>
      <c r="X14133" s="4"/>
      <c r="Y14133" s="4"/>
    </row>
    <row r="14134" spans="5:25">
      <c r="E14134"/>
      <c r="G14134"/>
      <c r="H14134"/>
      <c r="I14134"/>
      <c r="K14134"/>
      <c r="O14134"/>
      <c r="R14134"/>
      <c r="W14134" s="4"/>
      <c r="X14134" s="4"/>
      <c r="Y14134" s="4"/>
    </row>
    <row r="14135" spans="5:25">
      <c r="E14135"/>
      <c r="G14135"/>
      <c r="H14135"/>
      <c r="I14135"/>
      <c r="K14135"/>
      <c r="O14135"/>
      <c r="R14135"/>
      <c r="W14135" s="4"/>
      <c r="X14135" s="4"/>
      <c r="Y14135" s="4"/>
    </row>
    <row r="14136" spans="5:25">
      <c r="E14136"/>
      <c r="G14136"/>
      <c r="H14136"/>
      <c r="I14136"/>
      <c r="K14136"/>
      <c r="O14136"/>
      <c r="R14136"/>
      <c r="W14136" s="4"/>
      <c r="X14136" s="4"/>
      <c r="Y14136" s="4"/>
    </row>
    <row r="14137" spans="5:25">
      <c r="E14137"/>
      <c r="G14137"/>
      <c r="H14137"/>
      <c r="I14137"/>
      <c r="K14137"/>
      <c r="O14137"/>
      <c r="R14137"/>
      <c r="W14137" s="4"/>
      <c r="X14137" s="4"/>
      <c r="Y14137" s="4"/>
    </row>
    <row r="14138" spans="5:25">
      <c r="E14138"/>
      <c r="G14138"/>
      <c r="H14138"/>
      <c r="I14138"/>
      <c r="K14138"/>
      <c r="O14138"/>
      <c r="R14138"/>
      <c r="W14138" s="4"/>
      <c r="X14138" s="4"/>
      <c r="Y14138" s="4"/>
    </row>
    <row r="14139" spans="5:25">
      <c r="E14139"/>
      <c r="G14139"/>
      <c r="H14139"/>
      <c r="I14139"/>
      <c r="K14139"/>
      <c r="O14139"/>
      <c r="R14139"/>
      <c r="W14139" s="4"/>
      <c r="X14139" s="4"/>
      <c r="Y14139" s="4"/>
    </row>
    <row r="14140" spans="5:25">
      <c r="E14140"/>
      <c r="G14140"/>
      <c r="H14140"/>
      <c r="I14140"/>
      <c r="K14140"/>
      <c r="O14140"/>
      <c r="R14140"/>
      <c r="W14140" s="4"/>
      <c r="X14140" s="4"/>
      <c r="Y14140" s="4"/>
    </row>
    <row r="14141" spans="5:25">
      <c r="E14141"/>
      <c r="G14141"/>
      <c r="H14141"/>
      <c r="I14141"/>
      <c r="K14141"/>
      <c r="O14141"/>
      <c r="R14141"/>
      <c r="W14141" s="4"/>
      <c r="X14141" s="4"/>
      <c r="Y14141" s="4"/>
    </row>
    <row r="14142" spans="5:25">
      <c r="E14142"/>
      <c r="G14142"/>
      <c r="H14142"/>
      <c r="I14142"/>
      <c r="K14142"/>
      <c r="O14142"/>
      <c r="R14142"/>
      <c r="W14142" s="4"/>
      <c r="X14142" s="4"/>
      <c r="Y14142" s="4"/>
    </row>
    <row r="14143" spans="5:25">
      <c r="E14143"/>
      <c r="G14143"/>
      <c r="H14143"/>
      <c r="I14143"/>
      <c r="K14143"/>
      <c r="O14143"/>
      <c r="R14143"/>
      <c r="W14143" s="4"/>
      <c r="X14143" s="4"/>
      <c r="Y14143" s="4"/>
    </row>
    <row r="14144" spans="5:25">
      <c r="E14144"/>
      <c r="G14144"/>
      <c r="H14144"/>
      <c r="I14144"/>
      <c r="K14144"/>
      <c r="O14144"/>
      <c r="R14144"/>
      <c r="W14144" s="4"/>
      <c r="X14144" s="4"/>
      <c r="Y14144" s="4"/>
    </row>
    <row r="14145" spans="5:25">
      <c r="E14145"/>
      <c r="G14145"/>
      <c r="H14145"/>
      <c r="I14145"/>
      <c r="K14145"/>
      <c r="O14145"/>
      <c r="R14145"/>
      <c r="W14145" s="4"/>
      <c r="X14145" s="4"/>
      <c r="Y14145" s="4"/>
    </row>
    <row r="14146" spans="5:25">
      <c r="E14146"/>
      <c r="G14146"/>
      <c r="H14146"/>
      <c r="I14146"/>
      <c r="K14146"/>
      <c r="O14146"/>
      <c r="R14146"/>
      <c r="W14146" s="4"/>
      <c r="X14146" s="4"/>
      <c r="Y14146" s="4"/>
    </row>
    <row r="14147" spans="5:25">
      <c r="E14147"/>
      <c r="G14147"/>
      <c r="H14147"/>
      <c r="I14147"/>
      <c r="K14147"/>
      <c r="O14147"/>
      <c r="R14147"/>
      <c r="W14147" s="4"/>
      <c r="X14147" s="4"/>
      <c r="Y14147" s="4"/>
    </row>
    <row r="14148" spans="5:25">
      <c r="E14148"/>
      <c r="G14148"/>
      <c r="H14148"/>
      <c r="I14148"/>
      <c r="K14148"/>
      <c r="O14148"/>
      <c r="R14148"/>
      <c r="W14148" s="4"/>
      <c r="X14148" s="4"/>
      <c r="Y14148" s="4"/>
    </row>
    <row r="14149" spans="5:25">
      <c r="E14149"/>
      <c r="G14149"/>
      <c r="H14149"/>
      <c r="I14149"/>
      <c r="K14149"/>
      <c r="O14149"/>
      <c r="R14149"/>
      <c r="W14149" s="4"/>
      <c r="X14149" s="4"/>
      <c r="Y14149" s="4"/>
    </row>
    <row r="14150" spans="5:25">
      <c r="E14150"/>
      <c r="G14150"/>
      <c r="H14150"/>
      <c r="I14150"/>
      <c r="K14150"/>
      <c r="O14150"/>
      <c r="R14150"/>
      <c r="W14150" s="4"/>
      <c r="X14150" s="4"/>
      <c r="Y14150" s="4"/>
    </row>
    <row r="14151" spans="5:25">
      <c r="E14151"/>
      <c r="G14151"/>
      <c r="H14151"/>
      <c r="I14151"/>
      <c r="K14151"/>
      <c r="O14151"/>
      <c r="R14151"/>
      <c r="W14151" s="4"/>
      <c r="X14151" s="4"/>
      <c r="Y14151" s="4"/>
    </row>
    <row r="14152" spans="5:25">
      <c r="E14152"/>
      <c r="G14152"/>
      <c r="H14152"/>
      <c r="I14152"/>
      <c r="K14152"/>
      <c r="O14152"/>
      <c r="R14152"/>
      <c r="W14152" s="4"/>
      <c r="X14152" s="4"/>
      <c r="Y14152" s="4"/>
    </row>
    <row r="14153" spans="5:25">
      <c r="E14153"/>
      <c r="G14153"/>
      <c r="H14153"/>
      <c r="I14153"/>
      <c r="K14153"/>
      <c r="O14153"/>
      <c r="R14153"/>
      <c r="W14153" s="4"/>
      <c r="X14153" s="4"/>
      <c r="Y14153" s="4"/>
    </row>
    <row r="14154" spans="5:25">
      <c r="E14154"/>
      <c r="G14154"/>
      <c r="H14154"/>
      <c r="I14154"/>
      <c r="K14154"/>
      <c r="O14154"/>
      <c r="R14154"/>
      <c r="W14154" s="4"/>
      <c r="X14154" s="4"/>
      <c r="Y14154" s="4"/>
    </row>
    <row r="14155" spans="5:25">
      <c r="E14155"/>
      <c r="G14155"/>
      <c r="H14155"/>
      <c r="I14155"/>
      <c r="K14155"/>
      <c r="O14155"/>
      <c r="R14155"/>
      <c r="W14155" s="4"/>
      <c r="X14155" s="4"/>
      <c r="Y14155" s="4"/>
    </row>
    <row r="14156" spans="5:25">
      <c r="E14156"/>
      <c r="G14156"/>
      <c r="H14156"/>
      <c r="I14156"/>
      <c r="K14156"/>
      <c r="O14156"/>
      <c r="R14156"/>
      <c r="W14156" s="4"/>
      <c r="X14156" s="4"/>
      <c r="Y14156" s="4"/>
    </row>
    <row r="14157" spans="5:25">
      <c r="E14157"/>
      <c r="G14157"/>
      <c r="H14157"/>
      <c r="I14157"/>
      <c r="K14157"/>
      <c r="O14157"/>
      <c r="R14157"/>
      <c r="W14157" s="4"/>
      <c r="X14157" s="4"/>
      <c r="Y14157" s="4"/>
    </row>
    <row r="14158" spans="5:25">
      <c r="E14158"/>
      <c r="G14158"/>
      <c r="H14158"/>
      <c r="I14158"/>
      <c r="K14158"/>
      <c r="O14158"/>
      <c r="R14158"/>
      <c r="W14158" s="4"/>
      <c r="X14158" s="4"/>
      <c r="Y14158" s="4"/>
    </row>
    <row r="14159" spans="5:25">
      <c r="E14159"/>
      <c r="G14159"/>
      <c r="H14159"/>
      <c r="I14159"/>
      <c r="K14159"/>
      <c r="O14159"/>
      <c r="R14159"/>
      <c r="W14159" s="4"/>
      <c r="X14159" s="4"/>
      <c r="Y14159" s="4"/>
    </row>
    <row r="14160" spans="5:25">
      <c r="E14160"/>
      <c r="G14160"/>
      <c r="H14160"/>
      <c r="I14160"/>
      <c r="K14160"/>
      <c r="O14160"/>
      <c r="R14160"/>
      <c r="W14160" s="4"/>
      <c r="X14160" s="4"/>
      <c r="Y14160" s="4"/>
    </row>
    <row r="14161" spans="5:25">
      <c r="E14161"/>
      <c r="G14161"/>
      <c r="H14161"/>
      <c r="I14161"/>
      <c r="K14161"/>
      <c r="O14161"/>
      <c r="R14161"/>
      <c r="W14161" s="4"/>
      <c r="X14161" s="4"/>
      <c r="Y14161" s="4"/>
    </row>
    <row r="14162" spans="5:25">
      <c r="E14162"/>
      <c r="G14162"/>
      <c r="H14162"/>
      <c r="I14162"/>
      <c r="K14162"/>
      <c r="O14162"/>
      <c r="R14162"/>
      <c r="W14162" s="4"/>
      <c r="X14162" s="4"/>
      <c r="Y14162" s="4"/>
    </row>
    <row r="14163" spans="5:25">
      <c r="E14163"/>
      <c r="G14163"/>
      <c r="H14163"/>
      <c r="I14163"/>
      <c r="K14163"/>
      <c r="O14163"/>
      <c r="R14163"/>
      <c r="W14163" s="4"/>
      <c r="X14163" s="4"/>
      <c r="Y14163" s="4"/>
    </row>
    <row r="14164" spans="5:25">
      <c r="E14164"/>
      <c r="G14164"/>
      <c r="H14164"/>
      <c r="I14164"/>
      <c r="K14164"/>
      <c r="O14164"/>
      <c r="R14164"/>
      <c r="W14164" s="4"/>
      <c r="X14164" s="4"/>
      <c r="Y14164" s="4"/>
    </row>
    <row r="14165" spans="5:25">
      <c r="E14165"/>
      <c r="G14165"/>
      <c r="H14165"/>
      <c r="I14165"/>
      <c r="K14165"/>
      <c r="O14165"/>
      <c r="R14165"/>
      <c r="W14165" s="4"/>
      <c r="X14165" s="4"/>
      <c r="Y14165" s="4"/>
    </row>
    <row r="14166" spans="5:25">
      <c r="E14166"/>
      <c r="G14166"/>
      <c r="H14166"/>
      <c r="I14166"/>
      <c r="K14166"/>
      <c r="O14166"/>
      <c r="R14166"/>
      <c r="W14166" s="4"/>
      <c r="X14166" s="4"/>
      <c r="Y14166" s="4"/>
    </row>
    <row r="14167" spans="5:25">
      <c r="E14167"/>
      <c r="G14167"/>
      <c r="H14167"/>
      <c r="I14167"/>
      <c r="K14167"/>
      <c r="O14167"/>
      <c r="R14167"/>
      <c r="W14167" s="4"/>
      <c r="X14167" s="4"/>
      <c r="Y14167" s="4"/>
    </row>
    <row r="14168" spans="5:25">
      <c r="E14168"/>
      <c r="G14168"/>
      <c r="H14168"/>
      <c r="I14168"/>
      <c r="K14168"/>
      <c r="O14168"/>
      <c r="R14168"/>
      <c r="W14168" s="4"/>
      <c r="X14168" s="4"/>
      <c r="Y14168" s="4"/>
    </row>
    <row r="14169" spans="5:25">
      <c r="E14169"/>
      <c r="G14169"/>
      <c r="H14169"/>
      <c r="I14169"/>
      <c r="K14169"/>
      <c r="O14169"/>
      <c r="R14169"/>
      <c r="W14169" s="4"/>
      <c r="X14169" s="4"/>
      <c r="Y14169" s="4"/>
    </row>
    <row r="14170" spans="5:25">
      <c r="E14170"/>
      <c r="G14170"/>
      <c r="H14170"/>
      <c r="I14170"/>
      <c r="K14170"/>
      <c r="O14170"/>
      <c r="R14170"/>
      <c r="W14170" s="4"/>
      <c r="X14170" s="4"/>
      <c r="Y14170" s="4"/>
    </row>
    <row r="14171" spans="5:25">
      <c r="E14171"/>
      <c r="G14171"/>
      <c r="H14171"/>
      <c r="I14171"/>
      <c r="K14171"/>
      <c r="O14171"/>
      <c r="R14171"/>
      <c r="W14171" s="4"/>
      <c r="X14171" s="4"/>
      <c r="Y14171" s="4"/>
    </row>
    <row r="14172" spans="5:25">
      <c r="E14172"/>
      <c r="G14172"/>
      <c r="H14172"/>
      <c r="I14172"/>
      <c r="K14172"/>
      <c r="O14172"/>
      <c r="R14172"/>
      <c r="W14172" s="4"/>
      <c r="X14172" s="4"/>
      <c r="Y14172" s="4"/>
    </row>
    <row r="14173" spans="5:25">
      <c r="E14173"/>
      <c r="G14173"/>
      <c r="H14173"/>
      <c r="I14173"/>
      <c r="K14173"/>
      <c r="O14173"/>
      <c r="R14173"/>
      <c r="W14173" s="4"/>
      <c r="X14173" s="4"/>
      <c r="Y14173" s="4"/>
    </row>
    <row r="14174" spans="5:25">
      <c r="E14174"/>
      <c r="G14174"/>
      <c r="H14174"/>
      <c r="I14174"/>
      <c r="K14174"/>
      <c r="O14174"/>
      <c r="R14174"/>
      <c r="W14174" s="4"/>
      <c r="X14174" s="4"/>
      <c r="Y14174" s="4"/>
    </row>
    <row r="14175" spans="5:25">
      <c r="E14175"/>
      <c r="G14175"/>
      <c r="H14175"/>
      <c r="I14175"/>
      <c r="K14175"/>
      <c r="O14175"/>
      <c r="R14175"/>
      <c r="W14175" s="4"/>
      <c r="X14175" s="4"/>
      <c r="Y14175" s="4"/>
    </row>
    <row r="14176" spans="5:25">
      <c r="E14176"/>
      <c r="G14176"/>
      <c r="H14176"/>
      <c r="I14176"/>
      <c r="K14176"/>
      <c r="O14176"/>
      <c r="R14176"/>
      <c r="W14176" s="4"/>
      <c r="X14176" s="4"/>
      <c r="Y14176" s="4"/>
    </row>
    <row r="14177" spans="5:25">
      <c r="E14177"/>
      <c r="G14177"/>
      <c r="H14177"/>
      <c r="I14177"/>
      <c r="K14177"/>
      <c r="O14177"/>
      <c r="R14177"/>
      <c r="W14177" s="4"/>
      <c r="X14177" s="4"/>
      <c r="Y14177" s="4"/>
    </row>
    <row r="14178" spans="5:25">
      <c r="E14178"/>
      <c r="G14178"/>
      <c r="H14178"/>
      <c r="I14178"/>
      <c r="K14178"/>
      <c r="O14178"/>
      <c r="R14178"/>
      <c r="W14178" s="4"/>
      <c r="X14178" s="4"/>
      <c r="Y14178" s="4"/>
    </row>
    <row r="14179" spans="5:25">
      <c r="E14179"/>
      <c r="G14179"/>
      <c r="H14179"/>
      <c r="I14179"/>
      <c r="K14179"/>
      <c r="O14179"/>
      <c r="R14179"/>
      <c r="W14179" s="4"/>
      <c r="X14179" s="4"/>
      <c r="Y14179" s="4"/>
    </row>
    <row r="14180" spans="5:25">
      <c r="E14180"/>
      <c r="G14180"/>
      <c r="H14180"/>
      <c r="I14180"/>
      <c r="K14180"/>
      <c r="O14180"/>
      <c r="R14180"/>
      <c r="W14180" s="4"/>
      <c r="X14180" s="4"/>
      <c r="Y14180" s="4"/>
    </row>
    <row r="14181" spans="5:25">
      <c r="E14181"/>
      <c r="G14181"/>
      <c r="H14181"/>
      <c r="I14181"/>
      <c r="K14181"/>
      <c r="O14181"/>
      <c r="R14181"/>
      <c r="W14181" s="4"/>
      <c r="X14181" s="4"/>
      <c r="Y14181" s="4"/>
    </row>
    <row r="14182" spans="5:25">
      <c r="E14182"/>
      <c r="G14182"/>
      <c r="H14182"/>
      <c r="I14182"/>
      <c r="K14182"/>
      <c r="O14182"/>
      <c r="R14182"/>
      <c r="W14182" s="4"/>
      <c r="X14182" s="4"/>
      <c r="Y14182" s="4"/>
    </row>
    <row r="14183" spans="5:25">
      <c r="E14183"/>
      <c r="G14183"/>
      <c r="H14183"/>
      <c r="I14183"/>
      <c r="K14183"/>
      <c r="O14183"/>
      <c r="R14183"/>
      <c r="W14183" s="4"/>
      <c r="X14183" s="4"/>
      <c r="Y14183" s="4"/>
    </row>
    <row r="14184" spans="5:25">
      <c r="E14184"/>
      <c r="G14184"/>
      <c r="H14184"/>
      <c r="I14184"/>
      <c r="K14184"/>
      <c r="O14184"/>
      <c r="R14184"/>
      <c r="W14184" s="4"/>
      <c r="X14184" s="4"/>
      <c r="Y14184" s="4"/>
    </row>
    <row r="14185" spans="5:25">
      <c r="E14185"/>
      <c r="G14185"/>
      <c r="H14185"/>
      <c r="I14185"/>
      <c r="K14185"/>
      <c r="O14185"/>
      <c r="R14185"/>
      <c r="W14185" s="4"/>
      <c r="X14185" s="4"/>
      <c r="Y14185" s="4"/>
    </row>
    <row r="14186" spans="5:25">
      <c r="E14186"/>
      <c r="G14186"/>
      <c r="H14186"/>
      <c r="I14186"/>
      <c r="K14186"/>
      <c r="O14186"/>
      <c r="R14186"/>
      <c r="W14186" s="4"/>
      <c r="X14186" s="4"/>
      <c r="Y14186" s="4"/>
    </row>
    <row r="14187" spans="5:25">
      <c r="E14187"/>
      <c r="G14187"/>
      <c r="H14187"/>
      <c r="I14187"/>
      <c r="K14187"/>
      <c r="O14187"/>
      <c r="R14187"/>
      <c r="W14187" s="4"/>
      <c r="X14187" s="4"/>
      <c r="Y14187" s="4"/>
    </row>
    <row r="14188" spans="5:25">
      <c r="E14188"/>
      <c r="G14188"/>
      <c r="H14188"/>
      <c r="I14188"/>
      <c r="K14188"/>
      <c r="O14188"/>
      <c r="R14188"/>
      <c r="W14188" s="4"/>
      <c r="X14188" s="4"/>
      <c r="Y14188" s="4"/>
    </row>
    <row r="14189" spans="5:25">
      <c r="E14189"/>
      <c r="G14189"/>
      <c r="H14189"/>
      <c r="I14189"/>
      <c r="K14189"/>
      <c r="O14189"/>
      <c r="R14189"/>
      <c r="W14189" s="4"/>
      <c r="X14189" s="4"/>
      <c r="Y14189" s="4"/>
    </row>
    <row r="14190" spans="5:25">
      <c r="E14190"/>
      <c r="G14190"/>
      <c r="H14190"/>
      <c r="I14190"/>
      <c r="K14190"/>
      <c r="O14190"/>
      <c r="R14190"/>
      <c r="W14190" s="4"/>
      <c r="X14190" s="4"/>
      <c r="Y14190" s="4"/>
    </row>
    <row r="14191" spans="5:25">
      <c r="E14191"/>
      <c r="G14191"/>
      <c r="H14191"/>
      <c r="I14191"/>
      <c r="K14191"/>
      <c r="O14191"/>
      <c r="R14191"/>
      <c r="W14191" s="4"/>
      <c r="X14191" s="4"/>
      <c r="Y14191" s="4"/>
    </row>
    <row r="14192" spans="5:25">
      <c r="E14192"/>
      <c r="G14192"/>
      <c r="H14192"/>
      <c r="I14192"/>
      <c r="K14192"/>
      <c r="O14192"/>
      <c r="R14192"/>
      <c r="W14192" s="4"/>
      <c r="X14192" s="4"/>
      <c r="Y14192" s="4"/>
    </row>
    <row r="14193" spans="5:25">
      <c r="E14193"/>
      <c r="G14193"/>
      <c r="H14193"/>
      <c r="I14193"/>
      <c r="K14193"/>
      <c r="O14193"/>
      <c r="R14193"/>
      <c r="W14193" s="4"/>
      <c r="X14193" s="4"/>
      <c r="Y14193" s="4"/>
    </row>
    <row r="14194" spans="5:25">
      <c r="E14194"/>
      <c r="G14194"/>
      <c r="H14194"/>
      <c r="I14194"/>
      <c r="K14194"/>
      <c r="O14194"/>
      <c r="R14194"/>
      <c r="W14194" s="4"/>
      <c r="X14194" s="4"/>
      <c r="Y14194" s="4"/>
    </row>
    <row r="14195" spans="5:25">
      <c r="E14195"/>
      <c r="G14195"/>
      <c r="H14195"/>
      <c r="I14195"/>
      <c r="K14195"/>
      <c r="O14195"/>
      <c r="R14195"/>
      <c r="W14195" s="4"/>
      <c r="X14195" s="4"/>
      <c r="Y14195" s="4"/>
    </row>
    <row r="14196" spans="5:25">
      <c r="E14196"/>
      <c r="G14196"/>
      <c r="H14196"/>
      <c r="I14196"/>
      <c r="K14196"/>
      <c r="O14196"/>
      <c r="R14196"/>
      <c r="W14196" s="4"/>
      <c r="X14196" s="4"/>
      <c r="Y14196" s="4"/>
    </row>
    <row r="14197" spans="5:25">
      <c r="E14197"/>
      <c r="G14197"/>
      <c r="H14197"/>
      <c r="I14197"/>
      <c r="K14197"/>
      <c r="O14197"/>
      <c r="R14197"/>
      <c r="W14197" s="4"/>
      <c r="X14197" s="4"/>
      <c r="Y14197" s="4"/>
    </row>
    <row r="14198" spans="5:25">
      <c r="E14198"/>
      <c r="G14198"/>
      <c r="H14198"/>
      <c r="I14198"/>
      <c r="K14198"/>
      <c r="O14198"/>
      <c r="R14198"/>
      <c r="W14198" s="4"/>
      <c r="X14198" s="4"/>
      <c r="Y14198" s="4"/>
    </row>
    <row r="14199" spans="5:25">
      <c r="E14199"/>
      <c r="G14199"/>
      <c r="H14199"/>
      <c r="I14199"/>
      <c r="K14199"/>
      <c r="O14199"/>
      <c r="R14199"/>
      <c r="W14199" s="4"/>
      <c r="X14199" s="4"/>
      <c r="Y14199" s="4"/>
    </row>
    <row r="14200" spans="5:25">
      <c r="E14200"/>
      <c r="G14200"/>
      <c r="H14200"/>
      <c r="I14200"/>
      <c r="K14200"/>
      <c r="O14200"/>
      <c r="R14200"/>
      <c r="W14200" s="4"/>
      <c r="X14200" s="4"/>
      <c r="Y14200" s="4"/>
    </row>
    <row r="14201" spans="5:25">
      <c r="E14201"/>
      <c r="G14201"/>
      <c r="H14201"/>
      <c r="I14201"/>
      <c r="K14201"/>
      <c r="O14201"/>
      <c r="R14201"/>
      <c r="W14201" s="4"/>
      <c r="X14201" s="4"/>
      <c r="Y14201" s="4"/>
    </row>
    <row r="14202" spans="5:25">
      <c r="E14202"/>
      <c r="G14202"/>
      <c r="H14202"/>
      <c r="I14202"/>
      <c r="K14202"/>
      <c r="O14202"/>
      <c r="R14202"/>
      <c r="W14202" s="4"/>
      <c r="X14202" s="4"/>
      <c r="Y14202" s="4"/>
    </row>
    <row r="14203" spans="5:25">
      <c r="E14203"/>
      <c r="G14203"/>
      <c r="H14203"/>
      <c r="I14203"/>
      <c r="K14203"/>
      <c r="O14203"/>
      <c r="R14203"/>
      <c r="W14203" s="4"/>
      <c r="X14203" s="4"/>
      <c r="Y14203" s="4"/>
    </row>
    <row r="14204" spans="5:25">
      <c r="E14204"/>
      <c r="G14204"/>
      <c r="H14204"/>
      <c r="I14204"/>
      <c r="K14204"/>
      <c r="O14204"/>
      <c r="R14204"/>
      <c r="W14204" s="4"/>
      <c r="X14204" s="4"/>
      <c r="Y14204" s="4"/>
    </row>
    <row r="14205" spans="5:25">
      <c r="E14205"/>
      <c r="G14205"/>
      <c r="H14205"/>
      <c r="I14205"/>
      <c r="K14205"/>
      <c r="O14205"/>
      <c r="R14205"/>
      <c r="W14205" s="4"/>
      <c r="X14205" s="4"/>
      <c r="Y14205" s="4"/>
    </row>
    <row r="14206" spans="5:25">
      <c r="E14206"/>
      <c r="G14206"/>
      <c r="H14206"/>
      <c r="I14206"/>
      <c r="K14206"/>
      <c r="O14206"/>
      <c r="R14206"/>
      <c r="W14206" s="4"/>
      <c r="X14206" s="4"/>
      <c r="Y14206" s="4"/>
    </row>
    <row r="14207" spans="5:25">
      <c r="E14207"/>
      <c r="G14207"/>
      <c r="H14207"/>
      <c r="I14207"/>
      <c r="K14207"/>
      <c r="O14207"/>
      <c r="R14207"/>
      <c r="W14207" s="4"/>
      <c r="X14207" s="4"/>
      <c r="Y14207" s="4"/>
    </row>
    <row r="14208" spans="5:25">
      <c r="E14208"/>
      <c r="G14208"/>
      <c r="H14208"/>
      <c r="I14208"/>
      <c r="K14208"/>
      <c r="O14208"/>
      <c r="R14208"/>
      <c r="W14208" s="4"/>
      <c r="X14208" s="4"/>
      <c r="Y14208" s="4"/>
    </row>
    <row r="14209" spans="5:25">
      <c r="E14209"/>
      <c r="G14209"/>
      <c r="H14209"/>
      <c r="I14209"/>
      <c r="K14209"/>
      <c r="O14209"/>
      <c r="R14209"/>
      <c r="W14209" s="4"/>
      <c r="X14209" s="4"/>
      <c r="Y14209" s="4"/>
    </row>
    <row r="14210" spans="5:25">
      <c r="E14210"/>
      <c r="G14210"/>
      <c r="H14210"/>
      <c r="I14210"/>
      <c r="K14210"/>
      <c r="O14210"/>
      <c r="R14210"/>
      <c r="W14210" s="4"/>
      <c r="X14210" s="4"/>
      <c r="Y14210" s="4"/>
    </row>
    <row r="14211" spans="5:25">
      <c r="E14211"/>
      <c r="G14211"/>
      <c r="H14211"/>
      <c r="I14211"/>
      <c r="K14211"/>
      <c r="O14211"/>
      <c r="R14211"/>
      <c r="W14211" s="4"/>
      <c r="X14211" s="4"/>
      <c r="Y14211" s="4"/>
    </row>
    <row r="14212" spans="5:25">
      <c r="E14212"/>
      <c r="G14212"/>
      <c r="H14212"/>
      <c r="I14212"/>
      <c r="K14212"/>
      <c r="O14212"/>
      <c r="R14212"/>
      <c r="W14212" s="4"/>
      <c r="X14212" s="4"/>
      <c r="Y14212" s="4"/>
    </row>
    <row r="14213" spans="5:25">
      <c r="E14213"/>
      <c r="G14213"/>
      <c r="H14213"/>
      <c r="I14213"/>
      <c r="K14213"/>
      <c r="O14213"/>
      <c r="R14213"/>
      <c r="W14213" s="4"/>
      <c r="X14213" s="4"/>
      <c r="Y14213" s="4"/>
    </row>
    <row r="14214" spans="5:25">
      <c r="E14214"/>
      <c r="G14214"/>
      <c r="H14214"/>
      <c r="I14214"/>
      <c r="K14214"/>
      <c r="O14214"/>
      <c r="R14214"/>
      <c r="W14214" s="4"/>
      <c r="X14214" s="4"/>
      <c r="Y14214" s="4"/>
    </row>
    <row r="14215" spans="5:25">
      <c r="E14215"/>
      <c r="G14215"/>
      <c r="H14215"/>
      <c r="I14215"/>
      <c r="K14215"/>
      <c r="O14215"/>
      <c r="R14215"/>
      <c r="W14215" s="4"/>
      <c r="X14215" s="4"/>
      <c r="Y14215" s="4"/>
    </row>
    <row r="14216" spans="5:25">
      <c r="E14216"/>
      <c r="G14216"/>
      <c r="H14216"/>
      <c r="I14216"/>
      <c r="K14216"/>
      <c r="O14216"/>
      <c r="R14216"/>
      <c r="W14216" s="4"/>
      <c r="X14216" s="4"/>
      <c r="Y14216" s="4"/>
    </row>
    <row r="14217" spans="5:25">
      <c r="E14217"/>
      <c r="G14217"/>
      <c r="H14217"/>
      <c r="I14217"/>
      <c r="K14217"/>
      <c r="O14217"/>
      <c r="R14217"/>
      <c r="W14217" s="4"/>
      <c r="X14217" s="4"/>
      <c r="Y14217" s="4"/>
    </row>
    <row r="14218" spans="5:25">
      <c r="E14218"/>
      <c r="G14218"/>
      <c r="H14218"/>
      <c r="I14218"/>
      <c r="K14218"/>
      <c r="O14218"/>
      <c r="R14218"/>
      <c r="W14218" s="4"/>
      <c r="X14218" s="4"/>
      <c r="Y14218" s="4"/>
    </row>
    <row r="14219" spans="5:25">
      <c r="E14219"/>
      <c r="G14219"/>
      <c r="H14219"/>
      <c r="I14219"/>
      <c r="K14219"/>
      <c r="O14219"/>
      <c r="R14219"/>
      <c r="W14219" s="4"/>
      <c r="X14219" s="4"/>
      <c r="Y14219" s="4"/>
    </row>
    <row r="14220" spans="5:25">
      <c r="E14220"/>
      <c r="G14220"/>
      <c r="H14220"/>
      <c r="I14220"/>
      <c r="K14220"/>
      <c r="O14220"/>
      <c r="R14220"/>
      <c r="W14220" s="4"/>
      <c r="X14220" s="4"/>
      <c r="Y14220" s="4"/>
    </row>
    <row r="14221" spans="5:25">
      <c r="E14221"/>
      <c r="G14221"/>
      <c r="H14221"/>
      <c r="I14221"/>
      <c r="K14221"/>
      <c r="O14221"/>
      <c r="R14221"/>
      <c r="W14221" s="4"/>
      <c r="X14221" s="4"/>
      <c r="Y14221" s="4"/>
    </row>
    <row r="14222" spans="5:25">
      <c r="E14222"/>
      <c r="G14222"/>
      <c r="H14222"/>
      <c r="I14222"/>
      <c r="K14222"/>
      <c r="O14222"/>
      <c r="R14222"/>
      <c r="W14222" s="4"/>
      <c r="X14222" s="4"/>
      <c r="Y14222" s="4"/>
    </row>
    <row r="14223" spans="5:25">
      <c r="E14223"/>
      <c r="G14223"/>
      <c r="H14223"/>
      <c r="I14223"/>
      <c r="K14223"/>
      <c r="O14223"/>
      <c r="R14223"/>
      <c r="W14223" s="4"/>
      <c r="X14223" s="4"/>
      <c r="Y14223" s="4"/>
    </row>
    <row r="14224" spans="5:25">
      <c r="E14224"/>
      <c r="G14224"/>
      <c r="H14224"/>
      <c r="I14224"/>
      <c r="K14224"/>
      <c r="O14224"/>
      <c r="R14224"/>
      <c r="W14224" s="4"/>
      <c r="X14224" s="4"/>
      <c r="Y14224" s="4"/>
    </row>
    <row r="14225" spans="5:25">
      <c r="E14225"/>
      <c r="G14225"/>
      <c r="H14225"/>
      <c r="I14225"/>
      <c r="K14225"/>
      <c r="O14225"/>
      <c r="R14225"/>
      <c r="W14225" s="4"/>
      <c r="X14225" s="4"/>
      <c r="Y14225" s="4"/>
    </row>
    <row r="14226" spans="5:25">
      <c r="E14226"/>
      <c r="G14226"/>
      <c r="H14226"/>
      <c r="I14226"/>
      <c r="K14226"/>
      <c r="O14226"/>
      <c r="R14226"/>
      <c r="W14226" s="4"/>
      <c r="X14226" s="4"/>
      <c r="Y14226" s="4"/>
    </row>
    <row r="14227" spans="5:25">
      <c r="E14227"/>
      <c r="G14227"/>
      <c r="H14227"/>
      <c r="I14227"/>
      <c r="K14227"/>
      <c r="O14227"/>
      <c r="R14227"/>
      <c r="W14227" s="4"/>
      <c r="X14227" s="4"/>
      <c r="Y14227" s="4"/>
    </row>
    <row r="14228" spans="5:25">
      <c r="E14228"/>
      <c r="G14228"/>
      <c r="H14228"/>
      <c r="I14228"/>
      <c r="K14228"/>
      <c r="O14228"/>
      <c r="R14228"/>
      <c r="W14228" s="4"/>
      <c r="X14228" s="4"/>
      <c r="Y14228" s="4"/>
    </row>
    <row r="14229" spans="5:25">
      <c r="E14229"/>
      <c r="G14229"/>
      <c r="H14229"/>
      <c r="I14229"/>
      <c r="K14229"/>
      <c r="O14229"/>
      <c r="R14229"/>
      <c r="W14229" s="4"/>
      <c r="X14229" s="4"/>
      <c r="Y14229" s="4"/>
    </row>
    <row r="14230" spans="5:25">
      <c r="E14230"/>
      <c r="G14230"/>
      <c r="H14230"/>
      <c r="I14230"/>
      <c r="K14230"/>
      <c r="O14230"/>
      <c r="R14230"/>
      <c r="W14230" s="4"/>
      <c r="X14230" s="4"/>
      <c r="Y14230" s="4"/>
    </row>
    <row r="14231" spans="5:25">
      <c r="E14231"/>
      <c r="G14231"/>
      <c r="H14231"/>
      <c r="I14231"/>
      <c r="K14231"/>
      <c r="O14231"/>
      <c r="R14231"/>
      <c r="W14231" s="4"/>
      <c r="X14231" s="4"/>
      <c r="Y14231" s="4"/>
    </row>
    <row r="14232" spans="5:25">
      <c r="E14232"/>
      <c r="G14232"/>
      <c r="H14232"/>
      <c r="I14232"/>
      <c r="K14232"/>
      <c r="O14232"/>
      <c r="R14232"/>
      <c r="W14232" s="4"/>
      <c r="X14232" s="4"/>
      <c r="Y14232" s="4"/>
    </row>
    <row r="14233" spans="5:25">
      <c r="E14233"/>
      <c r="G14233"/>
      <c r="H14233"/>
      <c r="I14233"/>
      <c r="K14233"/>
      <c r="O14233"/>
      <c r="R14233"/>
      <c r="W14233" s="4"/>
      <c r="X14233" s="4"/>
      <c r="Y14233" s="4"/>
    </row>
    <row r="14234" spans="5:25">
      <c r="E14234"/>
      <c r="G14234"/>
      <c r="H14234"/>
      <c r="I14234"/>
      <c r="K14234"/>
      <c r="O14234"/>
      <c r="R14234"/>
      <c r="W14234" s="4"/>
      <c r="X14234" s="4"/>
      <c r="Y14234" s="4"/>
    </row>
    <row r="14235" spans="5:25">
      <c r="E14235"/>
      <c r="G14235"/>
      <c r="H14235"/>
      <c r="I14235"/>
      <c r="K14235"/>
      <c r="O14235"/>
      <c r="R14235"/>
      <c r="W14235" s="4"/>
      <c r="X14235" s="4"/>
      <c r="Y14235" s="4"/>
    </row>
    <row r="14236" spans="5:25">
      <c r="E14236"/>
      <c r="G14236"/>
      <c r="H14236"/>
      <c r="I14236"/>
      <c r="K14236"/>
      <c r="O14236"/>
      <c r="R14236"/>
      <c r="W14236" s="4"/>
      <c r="X14236" s="4"/>
      <c r="Y14236" s="4"/>
    </row>
    <row r="14237" spans="5:25">
      <c r="E14237"/>
      <c r="G14237"/>
      <c r="H14237"/>
      <c r="I14237"/>
      <c r="K14237"/>
      <c r="O14237"/>
      <c r="R14237"/>
      <c r="W14237" s="4"/>
      <c r="X14237" s="4"/>
      <c r="Y14237" s="4"/>
    </row>
    <row r="14238" spans="5:25">
      <c r="E14238"/>
      <c r="G14238"/>
      <c r="H14238"/>
      <c r="I14238"/>
      <c r="K14238"/>
      <c r="O14238"/>
      <c r="R14238"/>
      <c r="W14238" s="4"/>
      <c r="X14238" s="4"/>
      <c r="Y14238" s="4"/>
    </row>
    <row r="14239" spans="5:25">
      <c r="E14239"/>
      <c r="G14239"/>
      <c r="H14239"/>
      <c r="I14239"/>
      <c r="K14239"/>
      <c r="O14239"/>
      <c r="R14239"/>
      <c r="W14239" s="4"/>
      <c r="X14239" s="4"/>
      <c r="Y14239" s="4"/>
    </row>
    <row r="14240" spans="5:25">
      <c r="E14240"/>
      <c r="G14240"/>
      <c r="H14240"/>
      <c r="I14240"/>
      <c r="K14240"/>
      <c r="O14240"/>
      <c r="R14240"/>
      <c r="W14240" s="4"/>
      <c r="X14240" s="4"/>
      <c r="Y14240" s="4"/>
    </row>
    <row r="14241" spans="5:25">
      <c r="E14241"/>
      <c r="G14241"/>
      <c r="H14241"/>
      <c r="I14241"/>
      <c r="K14241"/>
      <c r="O14241"/>
      <c r="R14241"/>
      <c r="W14241" s="4"/>
      <c r="X14241" s="4"/>
      <c r="Y14241" s="4"/>
    </row>
    <row r="14242" spans="5:25">
      <c r="E14242"/>
      <c r="G14242"/>
      <c r="H14242"/>
      <c r="I14242"/>
      <c r="K14242"/>
      <c r="O14242"/>
      <c r="R14242"/>
      <c r="W14242" s="4"/>
      <c r="X14242" s="4"/>
      <c r="Y14242" s="4"/>
    </row>
    <row r="14243" spans="5:25">
      <c r="E14243"/>
      <c r="G14243"/>
      <c r="H14243"/>
      <c r="I14243"/>
      <c r="K14243"/>
      <c r="O14243"/>
      <c r="R14243"/>
      <c r="W14243" s="4"/>
      <c r="X14243" s="4"/>
      <c r="Y14243" s="4"/>
    </row>
    <row r="14244" spans="5:25">
      <c r="E14244"/>
      <c r="G14244"/>
      <c r="H14244"/>
      <c r="I14244"/>
      <c r="K14244"/>
      <c r="O14244"/>
      <c r="R14244"/>
      <c r="W14244" s="4"/>
      <c r="X14244" s="4"/>
      <c r="Y14244" s="4"/>
    </row>
    <row r="14245" spans="5:25">
      <c r="E14245"/>
      <c r="G14245"/>
      <c r="H14245"/>
      <c r="I14245"/>
      <c r="K14245"/>
      <c r="O14245"/>
      <c r="R14245"/>
      <c r="W14245" s="4"/>
      <c r="X14245" s="4"/>
      <c r="Y14245" s="4"/>
    </row>
    <row r="14246" spans="5:25">
      <c r="E14246"/>
      <c r="G14246"/>
      <c r="H14246"/>
      <c r="I14246"/>
      <c r="K14246"/>
      <c r="O14246"/>
      <c r="R14246"/>
      <c r="W14246" s="4"/>
      <c r="X14246" s="4"/>
      <c r="Y14246" s="4"/>
    </row>
    <row r="14247" spans="5:25">
      <c r="E14247"/>
      <c r="G14247"/>
      <c r="H14247"/>
      <c r="I14247"/>
      <c r="K14247"/>
      <c r="O14247"/>
      <c r="R14247"/>
      <c r="W14247" s="4"/>
      <c r="X14247" s="4"/>
      <c r="Y14247" s="4"/>
    </row>
    <row r="14248" spans="5:25">
      <c r="E14248"/>
      <c r="G14248"/>
      <c r="H14248"/>
      <c r="I14248"/>
      <c r="K14248"/>
      <c r="O14248"/>
      <c r="R14248"/>
      <c r="W14248" s="4"/>
      <c r="X14248" s="4"/>
      <c r="Y14248" s="4"/>
    </row>
    <row r="14249" spans="5:25">
      <c r="E14249"/>
      <c r="G14249"/>
      <c r="H14249"/>
      <c r="I14249"/>
      <c r="K14249"/>
      <c r="O14249"/>
      <c r="R14249"/>
      <c r="W14249" s="4"/>
      <c r="X14249" s="4"/>
      <c r="Y14249" s="4"/>
    </row>
    <row r="14250" spans="5:25">
      <c r="E14250"/>
      <c r="G14250"/>
      <c r="H14250"/>
      <c r="I14250"/>
      <c r="K14250"/>
      <c r="O14250"/>
      <c r="R14250"/>
      <c r="W14250" s="4"/>
      <c r="X14250" s="4"/>
      <c r="Y14250" s="4"/>
    </row>
    <row r="14251" spans="5:25">
      <c r="E14251"/>
      <c r="G14251"/>
      <c r="H14251"/>
      <c r="I14251"/>
      <c r="K14251"/>
      <c r="O14251"/>
      <c r="R14251"/>
      <c r="W14251" s="4"/>
      <c r="X14251" s="4"/>
      <c r="Y14251" s="4"/>
    </row>
    <row r="14252" spans="5:25">
      <c r="E14252"/>
      <c r="G14252"/>
      <c r="H14252"/>
      <c r="I14252"/>
      <c r="K14252"/>
      <c r="O14252"/>
      <c r="R14252"/>
      <c r="W14252" s="4"/>
      <c r="X14252" s="4"/>
      <c r="Y14252" s="4"/>
    </row>
    <row r="14253" spans="5:25">
      <c r="E14253"/>
      <c r="G14253"/>
      <c r="H14253"/>
      <c r="I14253"/>
      <c r="K14253"/>
      <c r="O14253"/>
      <c r="R14253"/>
      <c r="W14253" s="4"/>
      <c r="X14253" s="4"/>
      <c r="Y14253" s="4"/>
    </row>
    <row r="14254" spans="5:25">
      <c r="E14254"/>
      <c r="G14254"/>
      <c r="H14254"/>
      <c r="I14254"/>
      <c r="K14254"/>
      <c r="O14254"/>
      <c r="R14254"/>
      <c r="W14254" s="4"/>
      <c r="X14254" s="4"/>
      <c r="Y14254" s="4"/>
    </row>
    <row r="14255" spans="5:25">
      <c r="E14255"/>
      <c r="G14255"/>
      <c r="H14255"/>
      <c r="I14255"/>
      <c r="K14255"/>
      <c r="O14255"/>
      <c r="R14255"/>
      <c r="W14255" s="4"/>
      <c r="X14255" s="4"/>
      <c r="Y14255" s="4"/>
    </row>
    <row r="14256" spans="5:25">
      <c r="E14256"/>
      <c r="G14256"/>
      <c r="H14256"/>
      <c r="I14256"/>
      <c r="K14256"/>
      <c r="O14256"/>
      <c r="R14256"/>
      <c r="W14256" s="4"/>
      <c r="X14256" s="4"/>
      <c r="Y14256" s="4"/>
    </row>
    <row r="14257" spans="5:25">
      <c r="E14257"/>
      <c r="G14257"/>
      <c r="H14257"/>
      <c r="I14257"/>
      <c r="K14257"/>
      <c r="O14257"/>
      <c r="R14257"/>
      <c r="W14257" s="4"/>
      <c r="X14257" s="4"/>
      <c r="Y14257" s="4"/>
    </row>
    <row r="14258" spans="5:25">
      <c r="E14258"/>
      <c r="G14258"/>
      <c r="H14258"/>
      <c r="I14258"/>
      <c r="K14258"/>
      <c r="O14258"/>
      <c r="R14258"/>
      <c r="W14258" s="4"/>
      <c r="X14258" s="4"/>
      <c r="Y14258" s="4"/>
    </row>
    <row r="14259" spans="5:25">
      <c r="E14259"/>
      <c r="G14259"/>
      <c r="H14259"/>
      <c r="I14259"/>
      <c r="K14259"/>
      <c r="O14259"/>
      <c r="R14259"/>
      <c r="W14259" s="4"/>
      <c r="X14259" s="4"/>
      <c r="Y14259" s="4"/>
    </row>
    <row r="14260" spans="5:25">
      <c r="E14260"/>
      <c r="G14260"/>
      <c r="H14260"/>
      <c r="I14260"/>
      <c r="K14260"/>
      <c r="O14260"/>
      <c r="R14260"/>
      <c r="W14260" s="4"/>
      <c r="X14260" s="4"/>
      <c r="Y14260" s="4"/>
    </row>
    <row r="14261" spans="5:25">
      <c r="E14261"/>
      <c r="G14261"/>
      <c r="H14261"/>
      <c r="I14261"/>
      <c r="K14261"/>
      <c r="O14261"/>
      <c r="R14261"/>
      <c r="W14261" s="4"/>
      <c r="X14261" s="4"/>
      <c r="Y14261" s="4"/>
    </row>
    <row r="14262" spans="5:25">
      <c r="E14262"/>
      <c r="G14262"/>
      <c r="H14262"/>
      <c r="I14262"/>
      <c r="K14262"/>
      <c r="O14262"/>
      <c r="R14262"/>
      <c r="W14262" s="4"/>
      <c r="X14262" s="4"/>
      <c r="Y14262" s="4"/>
    </row>
    <row r="14263" spans="5:25">
      <c r="E14263"/>
      <c r="G14263"/>
      <c r="H14263"/>
      <c r="I14263"/>
      <c r="K14263"/>
      <c r="O14263"/>
      <c r="R14263"/>
      <c r="W14263" s="4"/>
      <c r="X14263" s="4"/>
      <c r="Y14263" s="4"/>
    </row>
    <row r="14264" spans="5:25">
      <c r="E14264"/>
      <c r="G14264"/>
      <c r="H14264"/>
      <c r="I14264"/>
      <c r="K14264"/>
      <c r="O14264"/>
      <c r="R14264"/>
      <c r="W14264" s="4"/>
      <c r="X14264" s="4"/>
      <c r="Y14264" s="4"/>
    </row>
    <row r="14265" spans="5:25">
      <c r="E14265"/>
      <c r="G14265"/>
      <c r="H14265"/>
      <c r="I14265"/>
      <c r="K14265"/>
      <c r="O14265"/>
      <c r="R14265"/>
      <c r="W14265" s="4"/>
      <c r="X14265" s="4"/>
      <c r="Y14265" s="4"/>
    </row>
    <row r="14266" spans="5:25">
      <c r="E14266"/>
      <c r="G14266"/>
      <c r="H14266"/>
      <c r="I14266"/>
      <c r="K14266"/>
      <c r="O14266"/>
      <c r="R14266"/>
      <c r="W14266" s="4"/>
      <c r="X14266" s="4"/>
      <c r="Y14266" s="4"/>
    </row>
    <row r="14267" spans="5:25">
      <c r="E14267"/>
      <c r="G14267"/>
      <c r="H14267"/>
      <c r="I14267"/>
      <c r="K14267"/>
      <c r="O14267"/>
      <c r="R14267"/>
      <c r="W14267" s="4"/>
      <c r="X14267" s="4"/>
      <c r="Y14267" s="4"/>
    </row>
    <row r="14268" spans="5:25">
      <c r="E14268"/>
      <c r="G14268"/>
      <c r="H14268"/>
      <c r="I14268"/>
      <c r="K14268"/>
      <c r="O14268"/>
      <c r="R14268"/>
      <c r="W14268" s="4"/>
      <c r="X14268" s="4"/>
      <c r="Y14268" s="4"/>
    </row>
    <row r="14269" spans="5:25">
      <c r="E14269"/>
      <c r="G14269"/>
      <c r="H14269"/>
      <c r="I14269"/>
      <c r="K14269"/>
      <c r="O14269"/>
      <c r="R14269"/>
      <c r="W14269" s="4"/>
      <c r="X14269" s="4"/>
      <c r="Y14269" s="4"/>
    </row>
    <row r="14270" spans="5:25">
      <c r="E14270"/>
      <c r="G14270"/>
      <c r="H14270"/>
      <c r="I14270"/>
      <c r="K14270"/>
      <c r="O14270"/>
      <c r="R14270"/>
      <c r="W14270" s="4"/>
      <c r="X14270" s="4"/>
      <c r="Y14270" s="4"/>
    </row>
    <row r="14271" spans="5:25">
      <c r="E14271"/>
      <c r="G14271"/>
      <c r="H14271"/>
      <c r="I14271"/>
      <c r="K14271"/>
      <c r="O14271"/>
      <c r="R14271"/>
      <c r="W14271" s="4"/>
      <c r="X14271" s="4"/>
      <c r="Y14271" s="4"/>
    </row>
    <row r="14272" spans="5:25">
      <c r="E14272"/>
      <c r="G14272"/>
      <c r="H14272"/>
      <c r="I14272"/>
      <c r="K14272"/>
      <c r="O14272"/>
      <c r="R14272"/>
      <c r="W14272" s="4"/>
      <c r="X14272" s="4"/>
      <c r="Y14272" s="4"/>
    </row>
    <row r="14273" spans="5:25">
      <c r="E14273"/>
      <c r="G14273"/>
      <c r="H14273"/>
      <c r="I14273"/>
      <c r="K14273"/>
      <c r="O14273"/>
      <c r="R14273"/>
      <c r="W14273" s="4"/>
      <c r="X14273" s="4"/>
      <c r="Y14273" s="4"/>
    </row>
    <row r="14274" spans="5:25">
      <c r="E14274"/>
      <c r="G14274"/>
      <c r="H14274"/>
      <c r="I14274"/>
      <c r="K14274"/>
      <c r="O14274"/>
      <c r="R14274"/>
      <c r="W14274" s="4"/>
      <c r="X14274" s="4"/>
      <c r="Y14274" s="4"/>
    </row>
    <row r="14275" spans="5:25">
      <c r="E14275"/>
      <c r="G14275"/>
      <c r="H14275"/>
      <c r="I14275"/>
      <c r="K14275"/>
      <c r="O14275"/>
      <c r="R14275"/>
      <c r="W14275" s="4"/>
      <c r="X14275" s="4"/>
      <c r="Y14275" s="4"/>
    </row>
    <row r="14276" spans="5:25">
      <c r="E14276"/>
      <c r="G14276"/>
      <c r="H14276"/>
      <c r="I14276"/>
      <c r="K14276"/>
      <c r="O14276"/>
      <c r="R14276"/>
      <c r="W14276" s="4"/>
      <c r="X14276" s="4"/>
      <c r="Y14276" s="4"/>
    </row>
    <row r="14277" spans="5:25">
      <c r="E14277"/>
      <c r="G14277"/>
      <c r="H14277"/>
      <c r="I14277"/>
      <c r="K14277"/>
      <c r="O14277"/>
      <c r="R14277"/>
      <c r="W14277" s="4"/>
      <c r="X14277" s="4"/>
      <c r="Y14277" s="4"/>
    </row>
    <row r="14278" spans="5:25">
      <c r="E14278"/>
      <c r="G14278"/>
      <c r="H14278"/>
      <c r="I14278"/>
      <c r="K14278"/>
      <c r="O14278"/>
      <c r="R14278"/>
      <c r="W14278" s="4"/>
      <c r="X14278" s="4"/>
      <c r="Y14278" s="4"/>
    </row>
    <row r="14279" spans="5:25">
      <c r="E14279"/>
      <c r="G14279"/>
      <c r="H14279"/>
      <c r="I14279"/>
      <c r="K14279"/>
      <c r="O14279"/>
      <c r="R14279"/>
      <c r="W14279" s="4"/>
      <c r="X14279" s="4"/>
      <c r="Y14279" s="4"/>
    </row>
    <row r="14280" spans="5:25">
      <c r="E14280"/>
      <c r="G14280"/>
      <c r="H14280"/>
      <c r="I14280"/>
      <c r="K14280"/>
      <c r="O14280"/>
      <c r="R14280"/>
      <c r="W14280" s="4"/>
      <c r="X14280" s="4"/>
      <c r="Y14280" s="4"/>
    </row>
    <row r="14281" spans="5:25">
      <c r="E14281"/>
      <c r="G14281"/>
      <c r="H14281"/>
      <c r="I14281"/>
      <c r="K14281"/>
      <c r="O14281"/>
      <c r="R14281"/>
      <c r="W14281" s="4"/>
      <c r="X14281" s="4"/>
      <c r="Y14281" s="4"/>
    </row>
    <row r="14282" spans="5:25">
      <c r="E14282"/>
      <c r="G14282"/>
      <c r="H14282"/>
      <c r="I14282"/>
      <c r="K14282"/>
      <c r="O14282"/>
      <c r="R14282"/>
      <c r="W14282" s="4"/>
      <c r="X14282" s="4"/>
      <c r="Y14282" s="4"/>
    </row>
    <row r="14283" spans="5:25">
      <c r="E14283"/>
      <c r="G14283"/>
      <c r="H14283"/>
      <c r="I14283"/>
      <c r="K14283"/>
      <c r="O14283"/>
      <c r="R14283"/>
      <c r="W14283" s="4"/>
      <c r="X14283" s="4"/>
      <c r="Y14283" s="4"/>
    </row>
    <row r="14284" spans="5:25">
      <c r="E14284"/>
      <c r="G14284"/>
      <c r="H14284"/>
      <c r="I14284"/>
      <c r="K14284"/>
      <c r="O14284"/>
      <c r="R14284"/>
      <c r="W14284" s="4"/>
      <c r="X14284" s="4"/>
      <c r="Y14284" s="4"/>
    </row>
    <row r="14285" spans="5:25">
      <c r="E14285"/>
      <c r="G14285"/>
      <c r="H14285"/>
      <c r="I14285"/>
      <c r="K14285"/>
      <c r="O14285"/>
      <c r="R14285"/>
      <c r="W14285" s="4"/>
      <c r="X14285" s="4"/>
      <c r="Y14285" s="4"/>
    </row>
    <row r="14286" spans="5:25">
      <c r="E14286"/>
      <c r="G14286"/>
      <c r="H14286"/>
      <c r="I14286"/>
      <c r="K14286"/>
      <c r="O14286"/>
      <c r="R14286"/>
      <c r="W14286" s="4"/>
      <c r="X14286" s="4"/>
      <c r="Y14286" s="4"/>
    </row>
    <row r="14287" spans="5:25">
      <c r="E14287"/>
      <c r="G14287"/>
      <c r="H14287"/>
      <c r="I14287"/>
      <c r="K14287"/>
      <c r="O14287"/>
      <c r="R14287"/>
      <c r="W14287" s="4"/>
      <c r="X14287" s="4"/>
      <c r="Y14287" s="4"/>
    </row>
    <row r="14288" spans="5:25">
      <c r="E14288"/>
      <c r="G14288"/>
      <c r="H14288"/>
      <c r="I14288"/>
      <c r="K14288"/>
      <c r="O14288"/>
      <c r="R14288"/>
      <c r="W14288" s="4"/>
      <c r="X14288" s="4"/>
      <c r="Y14288" s="4"/>
    </row>
    <row r="14289" spans="5:25">
      <c r="E14289"/>
      <c r="G14289"/>
      <c r="H14289"/>
      <c r="I14289"/>
      <c r="K14289"/>
      <c r="O14289"/>
      <c r="R14289"/>
      <c r="W14289" s="4"/>
      <c r="X14289" s="4"/>
      <c r="Y14289" s="4"/>
    </row>
    <row r="14290" spans="5:25">
      <c r="E14290"/>
      <c r="G14290"/>
      <c r="H14290"/>
      <c r="I14290"/>
      <c r="K14290"/>
      <c r="O14290"/>
      <c r="R14290"/>
      <c r="W14290" s="4"/>
      <c r="X14290" s="4"/>
      <c r="Y14290" s="4"/>
    </row>
    <row r="14291" spans="5:25">
      <c r="E14291"/>
      <c r="G14291"/>
      <c r="H14291"/>
      <c r="I14291"/>
      <c r="K14291"/>
      <c r="O14291"/>
      <c r="R14291"/>
      <c r="W14291" s="4"/>
      <c r="X14291" s="4"/>
      <c r="Y14291" s="4"/>
    </row>
    <row r="14292" spans="5:25">
      <c r="E14292"/>
      <c r="G14292"/>
      <c r="H14292"/>
      <c r="I14292"/>
      <c r="K14292"/>
      <c r="O14292"/>
      <c r="R14292"/>
      <c r="W14292" s="4"/>
      <c r="X14292" s="4"/>
      <c r="Y14292" s="4"/>
    </row>
    <row r="14293" spans="5:25">
      <c r="E14293"/>
      <c r="G14293"/>
      <c r="H14293"/>
      <c r="I14293"/>
      <c r="K14293"/>
      <c r="O14293"/>
      <c r="R14293"/>
      <c r="W14293" s="4"/>
      <c r="X14293" s="4"/>
      <c r="Y14293" s="4"/>
    </row>
    <row r="14294" spans="5:25">
      <c r="E14294"/>
      <c r="G14294"/>
      <c r="H14294"/>
      <c r="I14294"/>
      <c r="K14294"/>
      <c r="O14294"/>
      <c r="R14294"/>
      <c r="W14294" s="4"/>
      <c r="X14294" s="4"/>
      <c r="Y14294" s="4"/>
    </row>
    <row r="14295" spans="5:25">
      <c r="E14295"/>
      <c r="G14295"/>
      <c r="H14295"/>
      <c r="I14295"/>
      <c r="K14295"/>
      <c r="O14295"/>
      <c r="R14295"/>
      <c r="W14295" s="4"/>
      <c r="X14295" s="4"/>
      <c r="Y14295" s="4"/>
    </row>
    <row r="14296" spans="5:25">
      <c r="E14296"/>
      <c r="G14296"/>
      <c r="H14296"/>
      <c r="I14296"/>
      <c r="K14296"/>
      <c r="O14296"/>
      <c r="R14296"/>
      <c r="W14296" s="4"/>
      <c r="X14296" s="4"/>
      <c r="Y14296" s="4"/>
    </row>
    <row r="14297" spans="5:25">
      <c r="E14297"/>
      <c r="G14297"/>
      <c r="H14297"/>
      <c r="I14297"/>
      <c r="K14297"/>
      <c r="O14297"/>
      <c r="R14297"/>
      <c r="W14297" s="4"/>
      <c r="X14297" s="4"/>
      <c r="Y14297" s="4"/>
    </row>
    <row r="14298" spans="5:25">
      <c r="E14298"/>
      <c r="G14298"/>
      <c r="H14298"/>
      <c r="I14298"/>
      <c r="K14298"/>
      <c r="O14298"/>
      <c r="R14298"/>
      <c r="W14298" s="4"/>
      <c r="X14298" s="4"/>
      <c r="Y14298" s="4"/>
    </row>
    <row r="14299" spans="5:25">
      <c r="E14299"/>
      <c r="G14299"/>
      <c r="H14299"/>
      <c r="I14299"/>
      <c r="K14299"/>
      <c r="O14299"/>
      <c r="R14299"/>
      <c r="W14299" s="4"/>
      <c r="X14299" s="4"/>
      <c r="Y14299" s="4"/>
    </row>
    <row r="14300" spans="5:25">
      <c r="E14300"/>
      <c r="G14300"/>
      <c r="H14300"/>
      <c r="I14300"/>
      <c r="K14300"/>
      <c r="O14300"/>
      <c r="R14300"/>
      <c r="W14300" s="4"/>
      <c r="X14300" s="4"/>
      <c r="Y14300" s="4"/>
    </row>
    <row r="14301" spans="5:25">
      <c r="E14301"/>
      <c r="G14301"/>
      <c r="H14301"/>
      <c r="I14301"/>
      <c r="K14301"/>
      <c r="O14301"/>
      <c r="R14301"/>
      <c r="W14301" s="4"/>
      <c r="X14301" s="4"/>
      <c r="Y14301" s="4"/>
    </row>
    <row r="14302" spans="5:25">
      <c r="E14302"/>
      <c r="G14302"/>
      <c r="H14302"/>
      <c r="I14302"/>
      <c r="K14302"/>
      <c r="O14302"/>
      <c r="R14302"/>
      <c r="W14302" s="4"/>
      <c r="X14302" s="4"/>
      <c r="Y14302" s="4"/>
    </row>
    <row r="14303" spans="5:25">
      <c r="E14303"/>
      <c r="G14303"/>
      <c r="H14303"/>
      <c r="I14303"/>
      <c r="K14303"/>
      <c r="O14303"/>
      <c r="R14303"/>
      <c r="W14303" s="4"/>
      <c r="X14303" s="4"/>
      <c r="Y14303" s="4"/>
    </row>
    <row r="14304" spans="5:25">
      <c r="E14304"/>
      <c r="G14304"/>
      <c r="H14304"/>
      <c r="I14304"/>
      <c r="K14304"/>
      <c r="O14304"/>
      <c r="R14304"/>
      <c r="W14304" s="4"/>
      <c r="X14304" s="4"/>
      <c r="Y14304" s="4"/>
    </row>
    <row r="14305" spans="5:25">
      <c r="E14305"/>
      <c r="G14305"/>
      <c r="H14305"/>
      <c r="I14305"/>
      <c r="K14305"/>
      <c r="O14305"/>
      <c r="R14305"/>
      <c r="W14305" s="4"/>
      <c r="X14305" s="4"/>
      <c r="Y14305" s="4"/>
    </row>
    <row r="14306" spans="5:25">
      <c r="E14306"/>
      <c r="G14306"/>
      <c r="H14306"/>
      <c r="I14306"/>
      <c r="K14306"/>
      <c r="O14306"/>
      <c r="R14306"/>
      <c r="W14306" s="4"/>
      <c r="X14306" s="4"/>
      <c r="Y14306" s="4"/>
    </row>
    <row r="14307" spans="5:25">
      <c r="E14307"/>
      <c r="G14307"/>
      <c r="H14307"/>
      <c r="I14307"/>
      <c r="K14307"/>
      <c r="O14307"/>
      <c r="R14307"/>
      <c r="W14307" s="4"/>
      <c r="X14307" s="4"/>
      <c r="Y14307" s="4"/>
    </row>
    <row r="14308" spans="5:25">
      <c r="E14308"/>
      <c r="G14308"/>
      <c r="H14308"/>
      <c r="I14308"/>
      <c r="K14308"/>
      <c r="O14308"/>
      <c r="R14308"/>
      <c r="W14308" s="4"/>
      <c r="X14308" s="4"/>
      <c r="Y14308" s="4"/>
    </row>
    <row r="14309" spans="5:25">
      <c r="E14309"/>
      <c r="G14309"/>
      <c r="H14309"/>
      <c r="I14309"/>
      <c r="K14309"/>
      <c r="O14309"/>
      <c r="R14309"/>
      <c r="W14309" s="4"/>
      <c r="X14309" s="4"/>
      <c r="Y14309" s="4"/>
    </row>
    <row r="14310" spans="5:25">
      <c r="E14310"/>
      <c r="G14310"/>
      <c r="H14310"/>
      <c r="I14310"/>
      <c r="K14310"/>
      <c r="O14310"/>
      <c r="R14310"/>
      <c r="W14310" s="4"/>
      <c r="X14310" s="4"/>
      <c r="Y14310" s="4"/>
    </row>
    <row r="14311" spans="5:25">
      <c r="E14311"/>
      <c r="G14311"/>
      <c r="H14311"/>
      <c r="I14311"/>
      <c r="K14311"/>
      <c r="O14311"/>
      <c r="R14311"/>
      <c r="W14311" s="4"/>
      <c r="X14311" s="4"/>
      <c r="Y14311" s="4"/>
    </row>
    <row r="14312" spans="5:25">
      <c r="E14312"/>
      <c r="G14312"/>
      <c r="H14312"/>
      <c r="I14312"/>
      <c r="K14312"/>
      <c r="O14312"/>
      <c r="R14312"/>
      <c r="W14312" s="4"/>
      <c r="X14312" s="4"/>
      <c r="Y14312" s="4"/>
    </row>
    <row r="14313" spans="5:25">
      <c r="E14313"/>
      <c r="G14313"/>
      <c r="H14313"/>
      <c r="I14313"/>
      <c r="K14313"/>
      <c r="O14313"/>
      <c r="R14313"/>
      <c r="W14313" s="4"/>
      <c r="X14313" s="4"/>
      <c r="Y14313" s="4"/>
    </row>
    <row r="14314" spans="5:25">
      <c r="E14314"/>
      <c r="G14314"/>
      <c r="H14314"/>
      <c r="I14314"/>
      <c r="K14314"/>
      <c r="O14314"/>
      <c r="R14314"/>
      <c r="W14314" s="4"/>
      <c r="X14314" s="4"/>
      <c r="Y14314" s="4"/>
    </row>
    <row r="14315" spans="5:25">
      <c r="E14315"/>
      <c r="G14315"/>
      <c r="H14315"/>
      <c r="I14315"/>
      <c r="K14315"/>
      <c r="O14315"/>
      <c r="R14315"/>
      <c r="W14315" s="4"/>
      <c r="X14315" s="4"/>
      <c r="Y14315" s="4"/>
    </row>
    <row r="14316" spans="5:25">
      <c r="E14316"/>
      <c r="G14316"/>
      <c r="H14316"/>
      <c r="I14316"/>
      <c r="K14316"/>
      <c r="O14316"/>
      <c r="R14316"/>
      <c r="W14316" s="4"/>
      <c r="X14316" s="4"/>
      <c r="Y14316" s="4"/>
    </row>
    <row r="14317" spans="5:25">
      <c r="E14317"/>
      <c r="G14317"/>
      <c r="H14317"/>
      <c r="I14317"/>
      <c r="K14317"/>
      <c r="O14317"/>
      <c r="R14317"/>
      <c r="W14317" s="4"/>
      <c r="X14317" s="4"/>
      <c r="Y14317" s="4"/>
    </row>
    <row r="14318" spans="5:25">
      <c r="E14318"/>
      <c r="G14318"/>
      <c r="H14318"/>
      <c r="I14318"/>
      <c r="K14318"/>
      <c r="O14318"/>
      <c r="R14318"/>
      <c r="W14318" s="4"/>
      <c r="X14318" s="4"/>
      <c r="Y14318" s="4"/>
    </row>
    <row r="14319" spans="5:25">
      <c r="E14319"/>
      <c r="G14319"/>
      <c r="H14319"/>
      <c r="I14319"/>
      <c r="K14319"/>
      <c r="O14319"/>
      <c r="R14319"/>
      <c r="W14319" s="4"/>
      <c r="X14319" s="4"/>
      <c r="Y14319" s="4"/>
    </row>
    <row r="14320" spans="5:25">
      <c r="E14320"/>
      <c r="G14320"/>
      <c r="H14320"/>
      <c r="I14320"/>
      <c r="K14320"/>
      <c r="O14320"/>
      <c r="R14320"/>
      <c r="W14320" s="4"/>
      <c r="X14320" s="4"/>
      <c r="Y14320" s="4"/>
    </row>
    <row r="14321" spans="5:25">
      <c r="E14321"/>
      <c r="G14321"/>
      <c r="H14321"/>
      <c r="I14321"/>
      <c r="K14321"/>
      <c r="O14321"/>
      <c r="R14321"/>
      <c r="W14321" s="4"/>
      <c r="X14321" s="4"/>
      <c r="Y14321" s="4"/>
    </row>
    <row r="14322" spans="5:25">
      <c r="E14322"/>
      <c r="G14322"/>
      <c r="H14322"/>
      <c r="I14322"/>
      <c r="K14322"/>
      <c r="O14322"/>
      <c r="R14322"/>
      <c r="W14322" s="4"/>
      <c r="X14322" s="4"/>
      <c r="Y14322" s="4"/>
    </row>
    <row r="14323" spans="5:25">
      <c r="E14323"/>
      <c r="G14323"/>
      <c r="H14323"/>
      <c r="I14323"/>
      <c r="K14323"/>
      <c r="O14323"/>
      <c r="R14323"/>
      <c r="W14323" s="4"/>
      <c r="X14323" s="4"/>
      <c r="Y14323" s="4"/>
    </row>
    <row r="14324" spans="5:25">
      <c r="E14324"/>
      <c r="G14324"/>
      <c r="H14324"/>
      <c r="I14324"/>
      <c r="K14324"/>
      <c r="O14324"/>
      <c r="R14324"/>
      <c r="W14324" s="4"/>
      <c r="X14324" s="4"/>
      <c r="Y14324" s="4"/>
    </row>
    <row r="14325" spans="5:25">
      <c r="E14325"/>
      <c r="G14325"/>
      <c r="H14325"/>
      <c r="I14325"/>
      <c r="K14325"/>
      <c r="O14325"/>
      <c r="R14325"/>
      <c r="W14325" s="4"/>
      <c r="X14325" s="4"/>
      <c r="Y14325" s="4"/>
    </row>
    <row r="14326" spans="5:25">
      <c r="E14326"/>
      <c r="G14326"/>
      <c r="H14326"/>
      <c r="I14326"/>
      <c r="K14326"/>
      <c r="O14326"/>
      <c r="R14326"/>
      <c r="W14326" s="4"/>
      <c r="X14326" s="4"/>
      <c r="Y14326" s="4"/>
    </row>
    <row r="14327" spans="5:25">
      <c r="E14327"/>
      <c r="G14327"/>
      <c r="H14327"/>
      <c r="I14327"/>
      <c r="K14327"/>
      <c r="O14327"/>
      <c r="R14327"/>
      <c r="W14327" s="4"/>
      <c r="X14327" s="4"/>
      <c r="Y14327" s="4"/>
    </row>
    <row r="14328" spans="5:25">
      <c r="E14328"/>
      <c r="G14328"/>
      <c r="H14328"/>
      <c r="I14328"/>
      <c r="K14328"/>
      <c r="O14328"/>
      <c r="R14328"/>
      <c r="W14328" s="4"/>
      <c r="X14328" s="4"/>
      <c r="Y14328" s="4"/>
    </row>
    <row r="14329" spans="5:25">
      <c r="E14329"/>
      <c r="G14329"/>
      <c r="H14329"/>
      <c r="I14329"/>
      <c r="K14329"/>
      <c r="O14329"/>
      <c r="R14329"/>
      <c r="W14329" s="4"/>
      <c r="X14329" s="4"/>
      <c r="Y14329" s="4"/>
    </row>
    <row r="14330" spans="5:25">
      <c r="E14330"/>
      <c r="G14330"/>
      <c r="H14330"/>
      <c r="I14330"/>
      <c r="K14330"/>
      <c r="O14330"/>
      <c r="R14330"/>
      <c r="W14330" s="4"/>
      <c r="X14330" s="4"/>
      <c r="Y14330" s="4"/>
    </row>
    <row r="14331" spans="5:25">
      <c r="E14331"/>
      <c r="G14331"/>
      <c r="H14331"/>
      <c r="I14331"/>
      <c r="K14331"/>
      <c r="O14331"/>
      <c r="R14331"/>
      <c r="W14331" s="4"/>
      <c r="X14331" s="4"/>
      <c r="Y14331" s="4"/>
    </row>
    <row r="14332" spans="5:25">
      <c r="E14332"/>
      <c r="G14332"/>
      <c r="H14332"/>
      <c r="I14332"/>
      <c r="K14332"/>
      <c r="O14332"/>
      <c r="R14332"/>
      <c r="W14332" s="4"/>
      <c r="X14332" s="4"/>
      <c r="Y14332" s="4"/>
    </row>
    <row r="14333" spans="5:25">
      <c r="E14333"/>
      <c r="G14333"/>
      <c r="H14333"/>
      <c r="I14333"/>
      <c r="K14333"/>
      <c r="O14333"/>
      <c r="R14333"/>
      <c r="W14333" s="4"/>
      <c r="X14333" s="4"/>
      <c r="Y14333" s="4"/>
    </row>
    <row r="14334" spans="5:25">
      <c r="E14334"/>
      <c r="G14334"/>
      <c r="H14334"/>
      <c r="I14334"/>
      <c r="K14334"/>
      <c r="O14334"/>
      <c r="R14334"/>
      <c r="W14334" s="4"/>
      <c r="X14334" s="4"/>
      <c r="Y14334" s="4"/>
    </row>
    <row r="14335" spans="5:25">
      <c r="E14335"/>
      <c r="G14335"/>
      <c r="H14335"/>
      <c r="I14335"/>
      <c r="K14335"/>
      <c r="O14335"/>
      <c r="R14335"/>
      <c r="W14335" s="4"/>
      <c r="X14335" s="4"/>
      <c r="Y14335" s="4"/>
    </row>
    <row r="14336" spans="5:25">
      <c r="E14336"/>
      <c r="G14336"/>
      <c r="H14336"/>
      <c r="I14336"/>
      <c r="K14336"/>
      <c r="O14336"/>
      <c r="R14336"/>
      <c r="W14336" s="4"/>
      <c r="X14336" s="4"/>
      <c r="Y14336" s="4"/>
    </row>
    <row r="14337" spans="5:25">
      <c r="E14337"/>
      <c r="G14337"/>
      <c r="H14337"/>
      <c r="I14337"/>
      <c r="K14337"/>
      <c r="O14337"/>
      <c r="R14337"/>
      <c r="W14337" s="4"/>
      <c r="X14337" s="4"/>
      <c r="Y14337" s="4"/>
    </row>
    <row r="14338" spans="5:25">
      <c r="E14338"/>
      <c r="G14338"/>
      <c r="H14338"/>
      <c r="I14338"/>
      <c r="K14338"/>
      <c r="O14338"/>
      <c r="R14338"/>
      <c r="W14338" s="4"/>
      <c r="X14338" s="4"/>
      <c r="Y14338" s="4"/>
    </row>
    <row r="14339" spans="5:25">
      <c r="E14339"/>
      <c r="G14339"/>
      <c r="H14339"/>
      <c r="I14339"/>
      <c r="K14339"/>
      <c r="O14339"/>
      <c r="R14339"/>
      <c r="W14339" s="4"/>
      <c r="X14339" s="4"/>
      <c r="Y14339" s="4"/>
    </row>
    <row r="14340" spans="5:25">
      <c r="E14340"/>
      <c r="G14340"/>
      <c r="H14340"/>
      <c r="I14340"/>
      <c r="K14340"/>
      <c r="O14340"/>
      <c r="R14340"/>
      <c r="W14340" s="4"/>
      <c r="X14340" s="4"/>
      <c r="Y14340" s="4"/>
    </row>
    <row r="14341" spans="5:25">
      <c r="E14341"/>
      <c r="G14341"/>
      <c r="H14341"/>
      <c r="I14341"/>
      <c r="K14341"/>
      <c r="O14341"/>
      <c r="R14341"/>
      <c r="W14341" s="4"/>
      <c r="X14341" s="4"/>
      <c r="Y14341" s="4"/>
    </row>
    <row r="14342" spans="5:25">
      <c r="E14342"/>
      <c r="G14342"/>
      <c r="H14342"/>
      <c r="I14342"/>
      <c r="K14342"/>
      <c r="O14342"/>
      <c r="R14342"/>
      <c r="W14342" s="4"/>
      <c r="X14342" s="4"/>
      <c r="Y14342" s="4"/>
    </row>
    <row r="14343" spans="5:25">
      <c r="E14343"/>
      <c r="G14343"/>
      <c r="H14343"/>
      <c r="I14343"/>
      <c r="K14343"/>
      <c r="O14343"/>
      <c r="R14343"/>
      <c r="W14343" s="4"/>
      <c r="X14343" s="4"/>
      <c r="Y14343" s="4"/>
    </row>
    <row r="14344" spans="5:25">
      <c r="E14344"/>
      <c r="G14344"/>
      <c r="H14344"/>
      <c r="I14344"/>
      <c r="K14344"/>
      <c r="O14344"/>
      <c r="R14344"/>
      <c r="W14344" s="4"/>
      <c r="X14344" s="4"/>
      <c r="Y14344" s="4"/>
    </row>
    <row r="14345" spans="5:25">
      <c r="E14345"/>
      <c r="G14345"/>
      <c r="H14345"/>
      <c r="I14345"/>
      <c r="K14345"/>
      <c r="O14345"/>
      <c r="R14345"/>
      <c r="W14345" s="4"/>
      <c r="X14345" s="4"/>
      <c r="Y14345" s="4"/>
    </row>
    <row r="14346" spans="5:25">
      <c r="E14346"/>
      <c r="G14346"/>
      <c r="H14346"/>
      <c r="I14346"/>
      <c r="K14346"/>
      <c r="O14346"/>
      <c r="R14346"/>
      <c r="W14346" s="4"/>
      <c r="X14346" s="4"/>
      <c r="Y14346" s="4"/>
    </row>
    <row r="14347" spans="5:25">
      <c r="E14347"/>
      <c r="G14347"/>
      <c r="H14347"/>
      <c r="I14347"/>
      <c r="K14347"/>
      <c r="O14347"/>
      <c r="R14347"/>
      <c r="W14347" s="4"/>
      <c r="X14347" s="4"/>
      <c r="Y14347" s="4"/>
    </row>
    <row r="14348" spans="5:25">
      <c r="E14348"/>
      <c r="G14348"/>
      <c r="H14348"/>
      <c r="I14348"/>
      <c r="K14348"/>
      <c r="O14348"/>
      <c r="R14348"/>
      <c r="W14348" s="4"/>
      <c r="X14348" s="4"/>
      <c r="Y14348" s="4"/>
    </row>
    <row r="14349" spans="5:25">
      <c r="E14349"/>
      <c r="G14349"/>
      <c r="H14349"/>
      <c r="I14349"/>
      <c r="K14349"/>
      <c r="O14349"/>
      <c r="R14349"/>
      <c r="W14349" s="4"/>
      <c r="X14349" s="4"/>
      <c r="Y14349" s="4"/>
    </row>
    <row r="14350" spans="5:25">
      <c r="E14350"/>
      <c r="G14350"/>
      <c r="H14350"/>
      <c r="I14350"/>
      <c r="K14350"/>
      <c r="O14350"/>
      <c r="R14350"/>
      <c r="W14350" s="4"/>
      <c r="X14350" s="4"/>
      <c r="Y14350" s="4"/>
    </row>
    <row r="14351" spans="5:25">
      <c r="E14351"/>
      <c r="G14351"/>
      <c r="H14351"/>
      <c r="I14351"/>
      <c r="K14351"/>
      <c r="O14351"/>
      <c r="R14351"/>
      <c r="W14351" s="4"/>
      <c r="X14351" s="4"/>
      <c r="Y14351" s="4"/>
    </row>
    <row r="14352" spans="5:25">
      <c r="E14352"/>
      <c r="G14352"/>
      <c r="H14352"/>
      <c r="I14352"/>
      <c r="K14352"/>
      <c r="O14352"/>
      <c r="R14352"/>
      <c r="W14352" s="4"/>
      <c r="X14352" s="4"/>
      <c r="Y14352" s="4"/>
    </row>
    <row r="14353" spans="5:25">
      <c r="E14353"/>
      <c r="G14353"/>
      <c r="H14353"/>
      <c r="I14353"/>
      <c r="K14353"/>
      <c r="O14353"/>
      <c r="R14353"/>
      <c r="W14353" s="4"/>
      <c r="X14353" s="4"/>
      <c r="Y14353" s="4"/>
    </row>
    <row r="14354" spans="5:25">
      <c r="E14354"/>
      <c r="G14354"/>
      <c r="H14354"/>
      <c r="I14354"/>
      <c r="K14354"/>
      <c r="O14354"/>
      <c r="R14354"/>
      <c r="W14354" s="4"/>
      <c r="X14354" s="4"/>
      <c r="Y14354" s="4"/>
    </row>
    <row r="14355" spans="5:25">
      <c r="E14355"/>
      <c r="G14355"/>
      <c r="H14355"/>
      <c r="I14355"/>
      <c r="K14355"/>
      <c r="O14355"/>
      <c r="R14355"/>
      <c r="W14355" s="4"/>
      <c r="X14355" s="4"/>
      <c r="Y14355" s="4"/>
    </row>
    <row r="14356" spans="5:25">
      <c r="E14356"/>
      <c r="G14356"/>
      <c r="H14356"/>
      <c r="I14356"/>
      <c r="K14356"/>
      <c r="O14356"/>
      <c r="R14356"/>
      <c r="W14356" s="4"/>
      <c r="X14356" s="4"/>
      <c r="Y14356" s="4"/>
    </row>
    <row r="14357" spans="5:25">
      <c r="E14357"/>
      <c r="G14357"/>
      <c r="H14357"/>
      <c r="I14357"/>
      <c r="K14357"/>
      <c r="O14357"/>
      <c r="R14357"/>
      <c r="W14357" s="4"/>
      <c r="X14357" s="4"/>
      <c r="Y14357" s="4"/>
    </row>
    <row r="14358" spans="5:25">
      <c r="E14358"/>
      <c r="G14358"/>
      <c r="H14358"/>
      <c r="I14358"/>
      <c r="K14358"/>
      <c r="O14358"/>
      <c r="R14358"/>
      <c r="W14358" s="4"/>
      <c r="X14358" s="4"/>
      <c r="Y14358" s="4"/>
    </row>
    <row r="14359" spans="5:25">
      <c r="E14359"/>
      <c r="G14359"/>
      <c r="H14359"/>
      <c r="I14359"/>
      <c r="K14359"/>
      <c r="O14359"/>
      <c r="R14359"/>
      <c r="W14359" s="4"/>
      <c r="X14359" s="4"/>
      <c r="Y14359" s="4"/>
    </row>
    <row r="14360" spans="5:25">
      <c r="E14360"/>
      <c r="G14360"/>
      <c r="H14360"/>
      <c r="I14360"/>
      <c r="K14360"/>
      <c r="O14360"/>
      <c r="R14360"/>
      <c r="W14360" s="4"/>
      <c r="X14360" s="4"/>
      <c r="Y14360" s="4"/>
    </row>
    <row r="14361" spans="5:25">
      <c r="E14361"/>
      <c r="G14361"/>
      <c r="H14361"/>
      <c r="I14361"/>
      <c r="K14361"/>
      <c r="O14361"/>
      <c r="R14361"/>
      <c r="W14361" s="4"/>
      <c r="X14361" s="4"/>
      <c r="Y14361" s="4"/>
    </row>
    <row r="14362" spans="5:25">
      <c r="E14362"/>
      <c r="G14362"/>
      <c r="H14362"/>
      <c r="I14362"/>
      <c r="K14362"/>
      <c r="O14362"/>
      <c r="R14362"/>
      <c r="W14362" s="4"/>
      <c r="X14362" s="4"/>
      <c r="Y14362" s="4"/>
    </row>
    <row r="14363" spans="5:25">
      <c r="E14363"/>
      <c r="G14363"/>
      <c r="H14363"/>
      <c r="I14363"/>
      <c r="K14363"/>
      <c r="O14363"/>
      <c r="R14363"/>
      <c r="W14363" s="4"/>
      <c r="X14363" s="4"/>
      <c r="Y14363" s="4"/>
    </row>
    <row r="14364" spans="5:25">
      <c r="E14364"/>
      <c r="G14364"/>
      <c r="H14364"/>
      <c r="I14364"/>
      <c r="K14364"/>
      <c r="O14364"/>
      <c r="R14364"/>
      <c r="W14364" s="4"/>
      <c r="X14364" s="4"/>
      <c r="Y14364" s="4"/>
    </row>
    <row r="14365" spans="5:25">
      <c r="E14365"/>
      <c r="G14365"/>
      <c r="H14365"/>
      <c r="I14365"/>
      <c r="K14365"/>
      <c r="O14365"/>
      <c r="R14365"/>
      <c r="W14365" s="4"/>
      <c r="X14365" s="4"/>
      <c r="Y14365" s="4"/>
    </row>
    <row r="14366" spans="5:25">
      <c r="E14366"/>
      <c r="G14366"/>
      <c r="H14366"/>
      <c r="I14366"/>
      <c r="K14366"/>
      <c r="O14366"/>
      <c r="R14366"/>
      <c r="W14366" s="4"/>
      <c r="X14366" s="4"/>
      <c r="Y14366" s="4"/>
    </row>
    <row r="14367" spans="5:25">
      <c r="E14367"/>
      <c r="G14367"/>
      <c r="H14367"/>
      <c r="I14367"/>
      <c r="K14367"/>
      <c r="O14367"/>
      <c r="R14367"/>
      <c r="W14367" s="4"/>
      <c r="X14367" s="4"/>
      <c r="Y14367" s="4"/>
    </row>
    <row r="14368" spans="5:25">
      <c r="E14368"/>
      <c r="G14368"/>
      <c r="H14368"/>
      <c r="I14368"/>
      <c r="K14368"/>
      <c r="O14368"/>
      <c r="R14368"/>
      <c r="W14368" s="4"/>
      <c r="X14368" s="4"/>
      <c r="Y14368" s="4"/>
    </row>
    <row r="14369" spans="5:25">
      <c r="E14369"/>
      <c r="G14369"/>
      <c r="H14369"/>
      <c r="I14369"/>
      <c r="K14369"/>
      <c r="O14369"/>
      <c r="R14369"/>
      <c r="W14369" s="4"/>
      <c r="X14369" s="4"/>
      <c r="Y14369" s="4"/>
    </row>
    <row r="14370" spans="5:25">
      <c r="E14370"/>
      <c r="G14370"/>
      <c r="H14370"/>
      <c r="I14370"/>
      <c r="K14370"/>
      <c r="O14370"/>
      <c r="R14370"/>
      <c r="W14370" s="4"/>
      <c r="X14370" s="4"/>
      <c r="Y14370" s="4"/>
    </row>
    <row r="14371" spans="5:25">
      <c r="E14371"/>
      <c r="G14371"/>
      <c r="H14371"/>
      <c r="I14371"/>
      <c r="K14371"/>
      <c r="O14371"/>
      <c r="R14371"/>
      <c r="W14371" s="4"/>
      <c r="X14371" s="4"/>
      <c r="Y14371" s="4"/>
    </row>
    <row r="14372" spans="5:25">
      <c r="E14372"/>
      <c r="G14372"/>
      <c r="H14372"/>
      <c r="I14372"/>
      <c r="K14372"/>
      <c r="O14372"/>
      <c r="R14372"/>
      <c r="W14372" s="4"/>
      <c r="X14372" s="4"/>
      <c r="Y14372" s="4"/>
    </row>
    <row r="14373" spans="5:25">
      <c r="E14373"/>
      <c r="G14373"/>
      <c r="H14373"/>
      <c r="I14373"/>
      <c r="K14373"/>
      <c r="O14373"/>
      <c r="R14373"/>
      <c r="W14373" s="4"/>
      <c r="X14373" s="4"/>
      <c r="Y14373" s="4"/>
    </row>
    <row r="14374" spans="5:25">
      <c r="E14374"/>
      <c r="G14374"/>
      <c r="H14374"/>
      <c r="I14374"/>
      <c r="K14374"/>
      <c r="O14374"/>
      <c r="R14374"/>
      <c r="W14374" s="4"/>
      <c r="X14374" s="4"/>
      <c r="Y14374" s="4"/>
    </row>
    <row r="14375" spans="5:25">
      <c r="E14375"/>
      <c r="G14375"/>
      <c r="H14375"/>
      <c r="I14375"/>
      <c r="K14375"/>
      <c r="O14375"/>
      <c r="R14375"/>
      <c r="W14375" s="4"/>
      <c r="X14375" s="4"/>
      <c r="Y14375" s="4"/>
    </row>
    <row r="14376" spans="5:25">
      <c r="E14376"/>
      <c r="G14376"/>
      <c r="H14376"/>
      <c r="I14376"/>
      <c r="K14376"/>
      <c r="O14376"/>
      <c r="R14376"/>
      <c r="W14376" s="4"/>
      <c r="X14376" s="4"/>
      <c r="Y14376" s="4"/>
    </row>
    <row r="14377" spans="5:25">
      <c r="E14377"/>
      <c r="G14377"/>
      <c r="H14377"/>
      <c r="I14377"/>
      <c r="K14377"/>
      <c r="O14377"/>
      <c r="R14377"/>
      <c r="W14377" s="4"/>
      <c r="X14377" s="4"/>
      <c r="Y14377" s="4"/>
    </row>
    <row r="14378" spans="5:25">
      <c r="E14378"/>
      <c r="G14378"/>
      <c r="H14378"/>
      <c r="I14378"/>
      <c r="K14378"/>
      <c r="O14378"/>
      <c r="R14378"/>
      <c r="W14378" s="4"/>
      <c r="X14378" s="4"/>
      <c r="Y14378" s="4"/>
    </row>
    <row r="14379" spans="5:25">
      <c r="E14379"/>
      <c r="G14379"/>
      <c r="H14379"/>
      <c r="I14379"/>
      <c r="K14379"/>
      <c r="O14379"/>
      <c r="R14379"/>
      <c r="W14379" s="4"/>
      <c r="X14379" s="4"/>
      <c r="Y14379" s="4"/>
    </row>
    <row r="14380" spans="5:25">
      <c r="E14380"/>
      <c r="G14380"/>
      <c r="H14380"/>
      <c r="I14380"/>
      <c r="K14380"/>
      <c r="O14380"/>
      <c r="R14380"/>
      <c r="W14380" s="4"/>
      <c r="X14380" s="4"/>
      <c r="Y14380" s="4"/>
    </row>
    <row r="14381" spans="5:25">
      <c r="E14381"/>
      <c r="G14381"/>
      <c r="H14381"/>
      <c r="I14381"/>
      <c r="K14381"/>
      <c r="O14381"/>
      <c r="R14381"/>
      <c r="W14381" s="4"/>
      <c r="X14381" s="4"/>
      <c r="Y14381" s="4"/>
    </row>
    <row r="14382" spans="5:25">
      <c r="E14382"/>
      <c r="G14382"/>
      <c r="H14382"/>
      <c r="I14382"/>
      <c r="K14382"/>
      <c r="O14382"/>
      <c r="R14382"/>
      <c r="W14382" s="4"/>
      <c r="X14382" s="4"/>
      <c r="Y14382" s="4"/>
    </row>
    <row r="14383" spans="5:25">
      <c r="E14383"/>
      <c r="G14383"/>
      <c r="H14383"/>
      <c r="I14383"/>
      <c r="K14383"/>
      <c r="O14383"/>
      <c r="R14383"/>
      <c r="W14383" s="4"/>
      <c r="X14383" s="4"/>
      <c r="Y14383" s="4"/>
    </row>
    <row r="14384" spans="5:25">
      <c r="E14384"/>
      <c r="G14384"/>
      <c r="H14384"/>
      <c r="I14384"/>
      <c r="K14384"/>
      <c r="O14384"/>
      <c r="R14384"/>
      <c r="W14384" s="4"/>
      <c r="X14384" s="4"/>
      <c r="Y14384" s="4"/>
    </row>
    <row r="14385" spans="5:25">
      <c r="E14385"/>
      <c r="G14385"/>
      <c r="H14385"/>
      <c r="I14385"/>
      <c r="K14385"/>
      <c r="O14385"/>
      <c r="R14385"/>
      <c r="W14385" s="4"/>
      <c r="X14385" s="4"/>
      <c r="Y14385" s="4"/>
    </row>
    <row r="14386" spans="5:25">
      <c r="E14386"/>
      <c r="G14386"/>
      <c r="H14386"/>
      <c r="I14386"/>
      <c r="K14386"/>
      <c r="O14386"/>
      <c r="R14386"/>
      <c r="W14386" s="4"/>
      <c r="X14386" s="4"/>
      <c r="Y14386" s="4"/>
    </row>
    <row r="14387" spans="5:25">
      <c r="E14387"/>
      <c r="G14387"/>
      <c r="H14387"/>
      <c r="I14387"/>
      <c r="K14387"/>
      <c r="O14387"/>
      <c r="R14387"/>
      <c r="W14387" s="4"/>
      <c r="X14387" s="4"/>
      <c r="Y14387" s="4"/>
    </row>
    <row r="14388" spans="5:25">
      <c r="E14388"/>
      <c r="G14388"/>
      <c r="H14388"/>
      <c r="I14388"/>
      <c r="K14388"/>
      <c r="O14388"/>
      <c r="R14388"/>
      <c r="W14388" s="4"/>
      <c r="X14388" s="4"/>
      <c r="Y14388" s="4"/>
    </row>
    <row r="14389" spans="5:25">
      <c r="E14389"/>
      <c r="G14389"/>
      <c r="H14389"/>
      <c r="I14389"/>
      <c r="K14389"/>
      <c r="O14389"/>
      <c r="R14389"/>
      <c r="W14389" s="4"/>
      <c r="X14389" s="4"/>
      <c r="Y14389" s="4"/>
    </row>
    <row r="14390" spans="5:25">
      <c r="E14390"/>
      <c r="G14390"/>
      <c r="H14390"/>
      <c r="I14390"/>
      <c r="K14390"/>
      <c r="O14390"/>
      <c r="R14390"/>
      <c r="W14390" s="4"/>
      <c r="X14390" s="4"/>
      <c r="Y14390" s="4"/>
    </row>
    <row r="14391" spans="5:25">
      <c r="E14391"/>
      <c r="G14391"/>
      <c r="H14391"/>
      <c r="I14391"/>
      <c r="K14391"/>
      <c r="O14391"/>
      <c r="R14391"/>
      <c r="W14391" s="4"/>
      <c r="X14391" s="4"/>
      <c r="Y14391" s="4"/>
    </row>
    <row r="14392" spans="5:25">
      <c r="E14392"/>
      <c r="G14392"/>
      <c r="H14392"/>
      <c r="I14392"/>
      <c r="K14392"/>
      <c r="O14392"/>
      <c r="R14392"/>
      <c r="W14392" s="4"/>
      <c r="X14392" s="4"/>
      <c r="Y14392" s="4"/>
    </row>
    <row r="14393" spans="5:25">
      <c r="E14393"/>
      <c r="G14393"/>
      <c r="H14393"/>
      <c r="I14393"/>
      <c r="K14393"/>
      <c r="O14393"/>
      <c r="R14393"/>
      <c r="W14393" s="4"/>
      <c r="X14393" s="4"/>
      <c r="Y14393" s="4"/>
    </row>
    <row r="14394" spans="5:25">
      <c r="E14394"/>
      <c r="G14394"/>
      <c r="H14394"/>
      <c r="I14394"/>
      <c r="K14394"/>
      <c r="O14394"/>
      <c r="R14394"/>
      <c r="W14394" s="4"/>
      <c r="X14394" s="4"/>
      <c r="Y14394" s="4"/>
    </row>
    <row r="14395" spans="5:25">
      <c r="E14395"/>
      <c r="G14395"/>
      <c r="H14395"/>
      <c r="I14395"/>
      <c r="K14395"/>
      <c r="O14395"/>
      <c r="R14395"/>
      <c r="W14395" s="4"/>
      <c r="X14395" s="4"/>
      <c r="Y14395" s="4"/>
    </row>
    <row r="14396" spans="5:25">
      <c r="E14396"/>
      <c r="G14396"/>
      <c r="H14396"/>
      <c r="I14396"/>
      <c r="K14396"/>
      <c r="O14396"/>
      <c r="R14396"/>
      <c r="W14396" s="4"/>
      <c r="X14396" s="4"/>
      <c r="Y14396" s="4"/>
    </row>
    <row r="14397" spans="5:25">
      <c r="E14397"/>
      <c r="G14397"/>
      <c r="H14397"/>
      <c r="I14397"/>
      <c r="K14397"/>
      <c r="O14397"/>
      <c r="R14397"/>
      <c r="W14397" s="4"/>
      <c r="X14397" s="4"/>
      <c r="Y14397" s="4"/>
    </row>
    <row r="14398" spans="5:25">
      <c r="E14398"/>
      <c r="G14398"/>
      <c r="H14398"/>
      <c r="I14398"/>
      <c r="K14398"/>
      <c r="O14398"/>
      <c r="R14398"/>
      <c r="W14398" s="4"/>
      <c r="X14398" s="4"/>
      <c r="Y14398" s="4"/>
    </row>
    <row r="14399" spans="5:25">
      <c r="E14399"/>
      <c r="G14399"/>
      <c r="H14399"/>
      <c r="I14399"/>
      <c r="K14399"/>
      <c r="O14399"/>
      <c r="R14399"/>
      <c r="W14399" s="4"/>
      <c r="X14399" s="4"/>
      <c r="Y14399" s="4"/>
    </row>
    <row r="14400" spans="5:25">
      <c r="E14400"/>
      <c r="G14400"/>
      <c r="H14400"/>
      <c r="I14400"/>
      <c r="K14400"/>
      <c r="O14400"/>
      <c r="R14400"/>
      <c r="W14400" s="4"/>
      <c r="X14400" s="4"/>
      <c r="Y14400" s="4"/>
    </row>
    <row r="14401" spans="5:25">
      <c r="E14401"/>
      <c r="G14401"/>
      <c r="H14401"/>
      <c r="I14401"/>
      <c r="K14401"/>
      <c r="O14401"/>
      <c r="R14401"/>
      <c r="W14401" s="4"/>
      <c r="X14401" s="4"/>
      <c r="Y14401" s="4"/>
    </row>
    <row r="14402" spans="5:25">
      <c r="E14402"/>
      <c r="G14402"/>
      <c r="H14402"/>
      <c r="I14402"/>
      <c r="K14402"/>
      <c r="O14402"/>
      <c r="R14402"/>
      <c r="W14402" s="4"/>
      <c r="X14402" s="4"/>
      <c r="Y14402" s="4"/>
    </row>
    <row r="14403" spans="5:25">
      <c r="E14403"/>
      <c r="G14403"/>
      <c r="H14403"/>
      <c r="I14403"/>
      <c r="K14403"/>
      <c r="O14403"/>
      <c r="R14403"/>
      <c r="W14403" s="4"/>
      <c r="X14403" s="4"/>
      <c r="Y14403" s="4"/>
    </row>
    <row r="14404" spans="5:25">
      <c r="E14404"/>
      <c r="G14404"/>
      <c r="H14404"/>
      <c r="I14404"/>
      <c r="K14404"/>
      <c r="O14404"/>
      <c r="R14404"/>
      <c r="W14404" s="4"/>
      <c r="X14404" s="4"/>
      <c r="Y14404" s="4"/>
    </row>
    <row r="14405" spans="5:25">
      <c r="E14405"/>
      <c r="G14405"/>
      <c r="H14405"/>
      <c r="I14405"/>
      <c r="K14405"/>
      <c r="O14405"/>
      <c r="R14405"/>
      <c r="W14405" s="4"/>
      <c r="X14405" s="4"/>
      <c r="Y14405" s="4"/>
    </row>
    <row r="14406" spans="5:25">
      <c r="E14406"/>
      <c r="G14406"/>
      <c r="H14406"/>
      <c r="I14406"/>
      <c r="K14406"/>
      <c r="O14406"/>
      <c r="R14406"/>
      <c r="W14406" s="4"/>
      <c r="X14406" s="4"/>
      <c r="Y14406" s="4"/>
    </row>
    <row r="14407" spans="5:25">
      <c r="E14407"/>
      <c r="G14407"/>
      <c r="H14407"/>
      <c r="I14407"/>
      <c r="K14407"/>
      <c r="O14407"/>
      <c r="R14407"/>
      <c r="W14407" s="4"/>
      <c r="X14407" s="4"/>
      <c r="Y14407" s="4"/>
    </row>
    <row r="14408" spans="5:25">
      <c r="E14408"/>
      <c r="G14408"/>
      <c r="H14408"/>
      <c r="I14408"/>
      <c r="K14408"/>
      <c r="O14408"/>
      <c r="R14408"/>
      <c r="W14408" s="4"/>
      <c r="X14408" s="4"/>
      <c r="Y14408" s="4"/>
    </row>
    <row r="14409" spans="5:25">
      <c r="E14409"/>
      <c r="G14409"/>
      <c r="H14409"/>
      <c r="I14409"/>
      <c r="K14409"/>
      <c r="O14409"/>
      <c r="R14409"/>
      <c r="W14409" s="4"/>
      <c r="X14409" s="4"/>
      <c r="Y14409" s="4"/>
    </row>
    <row r="14410" spans="5:25">
      <c r="E14410"/>
      <c r="G14410"/>
      <c r="H14410"/>
      <c r="I14410"/>
      <c r="K14410"/>
      <c r="O14410"/>
      <c r="R14410"/>
      <c r="W14410" s="4"/>
      <c r="X14410" s="4"/>
      <c r="Y14410" s="4"/>
    </row>
    <row r="14411" spans="5:25">
      <c r="E14411"/>
      <c r="G14411"/>
      <c r="H14411"/>
      <c r="I14411"/>
      <c r="K14411"/>
      <c r="O14411"/>
      <c r="R14411"/>
      <c r="W14411" s="4"/>
      <c r="X14411" s="4"/>
      <c r="Y14411" s="4"/>
    </row>
    <row r="14412" spans="5:25">
      <c r="E14412"/>
      <c r="G14412"/>
      <c r="H14412"/>
      <c r="I14412"/>
      <c r="K14412"/>
      <c r="O14412"/>
      <c r="R14412"/>
      <c r="W14412" s="4"/>
      <c r="X14412" s="4"/>
      <c r="Y14412" s="4"/>
    </row>
    <row r="14413" spans="5:25">
      <c r="E14413"/>
      <c r="G14413"/>
      <c r="H14413"/>
      <c r="I14413"/>
      <c r="K14413"/>
      <c r="O14413"/>
      <c r="R14413"/>
      <c r="W14413" s="4"/>
      <c r="X14413" s="4"/>
      <c r="Y14413" s="4"/>
    </row>
    <row r="14414" spans="5:25">
      <c r="E14414"/>
      <c r="G14414"/>
      <c r="H14414"/>
      <c r="I14414"/>
      <c r="K14414"/>
      <c r="O14414"/>
      <c r="R14414"/>
      <c r="W14414" s="4"/>
      <c r="X14414" s="4"/>
      <c r="Y14414" s="4"/>
    </row>
    <row r="14415" spans="5:25">
      <c r="E14415"/>
      <c r="G14415"/>
      <c r="H14415"/>
      <c r="I14415"/>
      <c r="K14415"/>
      <c r="O14415"/>
      <c r="R14415"/>
      <c r="W14415" s="4"/>
      <c r="X14415" s="4"/>
      <c r="Y14415" s="4"/>
    </row>
    <row r="14416" spans="5:25">
      <c r="E14416"/>
      <c r="G14416"/>
      <c r="H14416"/>
      <c r="I14416"/>
      <c r="K14416"/>
      <c r="O14416"/>
      <c r="R14416"/>
      <c r="W14416" s="4"/>
      <c r="X14416" s="4"/>
      <c r="Y14416" s="4"/>
    </row>
    <row r="14417" spans="5:25">
      <c r="E14417"/>
      <c r="G14417"/>
      <c r="H14417"/>
      <c r="I14417"/>
      <c r="K14417"/>
      <c r="O14417"/>
      <c r="R14417"/>
      <c r="W14417" s="4"/>
      <c r="X14417" s="4"/>
      <c r="Y14417" s="4"/>
    </row>
    <row r="14418" spans="5:25">
      <c r="E14418"/>
      <c r="G14418"/>
      <c r="H14418"/>
      <c r="I14418"/>
      <c r="K14418"/>
      <c r="O14418"/>
      <c r="R14418"/>
      <c r="W14418" s="4"/>
      <c r="X14418" s="4"/>
      <c r="Y14418" s="4"/>
    </row>
    <row r="14419" spans="5:25">
      <c r="E14419"/>
      <c r="G14419"/>
      <c r="H14419"/>
      <c r="I14419"/>
      <c r="K14419"/>
      <c r="O14419"/>
      <c r="R14419"/>
      <c r="W14419" s="4"/>
      <c r="X14419" s="4"/>
      <c r="Y14419" s="4"/>
    </row>
    <row r="14420" spans="5:25">
      <c r="E14420"/>
      <c r="G14420"/>
      <c r="H14420"/>
      <c r="I14420"/>
      <c r="K14420"/>
      <c r="O14420"/>
      <c r="R14420"/>
      <c r="W14420" s="4"/>
      <c r="X14420" s="4"/>
      <c r="Y14420" s="4"/>
    </row>
    <row r="14421" spans="5:25">
      <c r="E14421"/>
      <c r="G14421"/>
      <c r="H14421"/>
      <c r="I14421"/>
      <c r="K14421"/>
      <c r="O14421"/>
      <c r="R14421"/>
      <c r="W14421" s="4"/>
      <c r="X14421" s="4"/>
      <c r="Y14421" s="4"/>
    </row>
    <row r="14422" spans="5:25">
      <c r="E14422"/>
      <c r="G14422"/>
      <c r="H14422"/>
      <c r="I14422"/>
      <c r="K14422"/>
      <c r="O14422"/>
      <c r="R14422"/>
      <c r="W14422" s="4"/>
      <c r="X14422" s="4"/>
      <c r="Y14422" s="4"/>
    </row>
    <row r="14423" spans="5:25">
      <c r="E14423"/>
      <c r="G14423"/>
      <c r="H14423"/>
      <c r="I14423"/>
      <c r="K14423"/>
      <c r="O14423"/>
      <c r="R14423"/>
      <c r="W14423" s="4"/>
      <c r="X14423" s="4"/>
      <c r="Y14423" s="4"/>
    </row>
    <row r="14424" spans="5:25">
      <c r="E14424"/>
      <c r="G14424"/>
      <c r="H14424"/>
      <c r="I14424"/>
      <c r="K14424"/>
      <c r="O14424"/>
      <c r="R14424"/>
      <c r="W14424" s="4"/>
      <c r="X14424" s="4"/>
      <c r="Y14424" s="4"/>
    </row>
    <row r="14425" spans="5:25">
      <c r="E14425"/>
      <c r="G14425"/>
      <c r="H14425"/>
      <c r="I14425"/>
      <c r="K14425"/>
      <c r="O14425"/>
      <c r="R14425"/>
      <c r="W14425" s="4"/>
      <c r="X14425" s="4"/>
      <c r="Y14425" s="4"/>
    </row>
    <row r="14426" spans="5:25">
      <c r="E14426"/>
      <c r="G14426"/>
      <c r="H14426"/>
      <c r="I14426"/>
      <c r="K14426"/>
      <c r="O14426"/>
      <c r="R14426"/>
      <c r="W14426" s="4"/>
      <c r="X14426" s="4"/>
      <c r="Y14426" s="4"/>
    </row>
    <row r="14427" spans="5:25">
      <c r="E14427"/>
      <c r="G14427"/>
      <c r="H14427"/>
      <c r="I14427"/>
      <c r="K14427"/>
      <c r="O14427"/>
      <c r="R14427"/>
      <c r="W14427" s="4"/>
      <c r="X14427" s="4"/>
      <c r="Y14427" s="4"/>
    </row>
    <row r="14428" spans="5:25">
      <c r="E14428"/>
      <c r="G14428"/>
      <c r="H14428"/>
      <c r="I14428"/>
      <c r="K14428"/>
      <c r="O14428"/>
      <c r="R14428"/>
      <c r="W14428" s="4"/>
      <c r="X14428" s="4"/>
      <c r="Y14428" s="4"/>
    </row>
    <row r="14429" spans="5:25">
      <c r="E14429"/>
      <c r="G14429"/>
      <c r="H14429"/>
      <c r="I14429"/>
      <c r="K14429"/>
      <c r="O14429"/>
      <c r="R14429"/>
      <c r="W14429" s="4"/>
      <c r="X14429" s="4"/>
      <c r="Y14429" s="4"/>
    </row>
    <row r="14430" spans="5:25">
      <c r="E14430"/>
      <c r="G14430"/>
      <c r="H14430"/>
      <c r="I14430"/>
      <c r="K14430"/>
      <c r="O14430"/>
      <c r="R14430"/>
      <c r="W14430" s="4"/>
      <c r="X14430" s="4"/>
      <c r="Y14430" s="4"/>
    </row>
    <row r="14431" spans="5:25">
      <c r="E14431"/>
      <c r="G14431"/>
      <c r="H14431"/>
      <c r="I14431"/>
      <c r="K14431"/>
      <c r="O14431"/>
      <c r="R14431"/>
      <c r="W14431" s="4"/>
      <c r="X14431" s="4"/>
      <c r="Y14431" s="4"/>
    </row>
    <row r="14432" spans="5:25">
      <c r="E14432"/>
      <c r="G14432"/>
      <c r="H14432"/>
      <c r="I14432"/>
      <c r="K14432"/>
      <c r="O14432"/>
      <c r="R14432"/>
      <c r="W14432" s="4"/>
      <c r="X14432" s="4"/>
      <c r="Y14432" s="4"/>
    </row>
    <row r="14433" spans="5:25">
      <c r="E14433"/>
      <c r="G14433"/>
      <c r="H14433"/>
      <c r="I14433"/>
      <c r="K14433"/>
      <c r="O14433"/>
      <c r="R14433"/>
      <c r="W14433" s="4"/>
      <c r="X14433" s="4"/>
      <c r="Y14433" s="4"/>
    </row>
    <row r="14434" spans="5:25">
      <c r="E14434"/>
      <c r="G14434"/>
      <c r="H14434"/>
      <c r="I14434"/>
      <c r="K14434"/>
      <c r="O14434"/>
      <c r="R14434"/>
      <c r="W14434" s="4"/>
      <c r="X14434" s="4"/>
      <c r="Y14434" s="4"/>
    </row>
    <row r="14435" spans="5:25">
      <c r="E14435"/>
      <c r="G14435"/>
      <c r="H14435"/>
      <c r="I14435"/>
      <c r="K14435"/>
      <c r="O14435"/>
      <c r="R14435"/>
      <c r="W14435" s="4"/>
      <c r="X14435" s="4"/>
      <c r="Y14435" s="4"/>
    </row>
    <row r="14436" spans="5:25">
      <c r="E14436"/>
      <c r="G14436"/>
      <c r="H14436"/>
      <c r="I14436"/>
      <c r="K14436"/>
      <c r="O14436"/>
      <c r="R14436"/>
      <c r="W14436" s="4"/>
      <c r="X14436" s="4"/>
      <c r="Y14436" s="4"/>
    </row>
    <row r="14437" spans="5:25">
      <c r="E14437"/>
      <c r="G14437"/>
      <c r="H14437"/>
      <c r="I14437"/>
      <c r="K14437"/>
      <c r="O14437"/>
      <c r="R14437"/>
      <c r="W14437" s="4"/>
      <c r="X14437" s="4"/>
      <c r="Y14437" s="4"/>
    </row>
    <row r="14438" spans="5:25">
      <c r="E14438"/>
      <c r="G14438"/>
      <c r="H14438"/>
      <c r="I14438"/>
      <c r="K14438"/>
      <c r="O14438"/>
      <c r="R14438"/>
      <c r="W14438" s="4"/>
      <c r="X14438" s="4"/>
      <c r="Y14438" s="4"/>
    </row>
    <row r="14439" spans="5:25">
      <c r="E14439"/>
      <c r="G14439"/>
      <c r="H14439"/>
      <c r="I14439"/>
      <c r="K14439"/>
      <c r="O14439"/>
      <c r="R14439"/>
      <c r="W14439" s="4"/>
      <c r="X14439" s="4"/>
      <c r="Y14439" s="4"/>
    </row>
    <row r="14440" spans="5:25">
      <c r="E14440"/>
      <c r="G14440"/>
      <c r="H14440"/>
      <c r="I14440"/>
      <c r="K14440"/>
      <c r="O14440"/>
      <c r="R14440"/>
      <c r="W14440" s="4"/>
      <c r="X14440" s="4"/>
      <c r="Y14440" s="4"/>
    </row>
    <row r="14441" spans="5:25">
      <c r="E14441"/>
      <c r="G14441"/>
      <c r="H14441"/>
      <c r="I14441"/>
      <c r="K14441"/>
      <c r="O14441"/>
      <c r="R14441"/>
      <c r="W14441" s="4"/>
      <c r="X14441" s="4"/>
      <c r="Y14441" s="4"/>
    </row>
    <row r="14442" spans="5:25">
      <c r="E14442"/>
      <c r="G14442"/>
      <c r="H14442"/>
      <c r="I14442"/>
      <c r="K14442"/>
      <c r="O14442"/>
      <c r="R14442"/>
      <c r="W14442" s="4"/>
      <c r="X14442" s="4"/>
      <c r="Y14442" s="4"/>
    </row>
    <row r="14443" spans="5:25">
      <c r="E14443"/>
      <c r="G14443"/>
      <c r="H14443"/>
      <c r="I14443"/>
      <c r="K14443"/>
      <c r="O14443"/>
      <c r="R14443"/>
      <c r="W14443" s="4"/>
      <c r="X14443" s="4"/>
      <c r="Y14443" s="4"/>
    </row>
    <row r="14444" spans="5:25">
      <c r="E14444"/>
      <c r="G14444"/>
      <c r="H14444"/>
      <c r="I14444"/>
      <c r="K14444"/>
      <c r="O14444"/>
      <c r="R14444"/>
      <c r="W14444" s="4"/>
      <c r="X14444" s="4"/>
      <c r="Y14444" s="4"/>
    </row>
    <row r="14445" spans="5:25">
      <c r="E14445"/>
      <c r="G14445"/>
      <c r="H14445"/>
      <c r="I14445"/>
      <c r="K14445"/>
      <c r="O14445"/>
      <c r="R14445"/>
      <c r="W14445" s="4"/>
      <c r="X14445" s="4"/>
      <c r="Y14445" s="4"/>
    </row>
    <row r="14446" spans="5:25">
      <c r="E14446"/>
      <c r="G14446"/>
      <c r="H14446"/>
      <c r="I14446"/>
      <c r="K14446"/>
      <c r="O14446"/>
      <c r="R14446"/>
      <c r="W14446" s="4"/>
      <c r="X14446" s="4"/>
      <c r="Y14446" s="4"/>
    </row>
    <row r="14447" spans="5:25">
      <c r="E14447"/>
      <c r="G14447"/>
      <c r="H14447"/>
      <c r="I14447"/>
      <c r="K14447"/>
      <c r="O14447"/>
      <c r="R14447"/>
      <c r="W14447" s="4"/>
      <c r="X14447" s="4"/>
      <c r="Y14447" s="4"/>
    </row>
    <row r="14448" spans="5:25">
      <c r="E14448"/>
      <c r="G14448"/>
      <c r="H14448"/>
      <c r="I14448"/>
      <c r="K14448"/>
      <c r="O14448"/>
      <c r="R14448"/>
      <c r="W14448" s="4"/>
      <c r="X14448" s="4"/>
      <c r="Y14448" s="4"/>
    </row>
    <row r="14449" spans="5:25">
      <c r="E14449"/>
      <c r="G14449"/>
      <c r="H14449"/>
      <c r="I14449"/>
      <c r="K14449"/>
      <c r="O14449"/>
      <c r="R14449"/>
      <c r="W14449" s="4"/>
      <c r="X14449" s="4"/>
      <c r="Y14449" s="4"/>
    </row>
    <row r="14450" spans="5:25">
      <c r="E14450"/>
      <c r="G14450"/>
      <c r="H14450"/>
      <c r="I14450"/>
      <c r="K14450"/>
      <c r="O14450"/>
      <c r="R14450"/>
      <c r="W14450" s="4"/>
      <c r="X14450" s="4"/>
      <c r="Y14450" s="4"/>
    </row>
    <row r="14451" spans="5:25">
      <c r="E14451"/>
      <c r="G14451"/>
      <c r="H14451"/>
      <c r="I14451"/>
      <c r="K14451"/>
      <c r="O14451"/>
      <c r="R14451"/>
      <c r="W14451" s="4"/>
      <c r="X14451" s="4"/>
      <c r="Y14451" s="4"/>
    </row>
    <row r="14452" spans="5:25">
      <c r="E14452"/>
      <c r="G14452"/>
      <c r="H14452"/>
      <c r="I14452"/>
      <c r="K14452"/>
      <c r="O14452"/>
      <c r="R14452"/>
      <c r="W14452" s="4"/>
      <c r="X14452" s="4"/>
      <c r="Y14452" s="4"/>
    </row>
    <row r="14453" spans="5:25">
      <c r="E14453"/>
      <c r="G14453"/>
      <c r="H14453"/>
      <c r="I14453"/>
      <c r="K14453"/>
      <c r="O14453"/>
      <c r="R14453"/>
      <c r="W14453" s="4"/>
      <c r="X14453" s="4"/>
      <c r="Y14453" s="4"/>
    </row>
    <row r="14454" spans="5:25">
      <c r="E14454"/>
      <c r="G14454"/>
      <c r="H14454"/>
      <c r="I14454"/>
      <c r="K14454"/>
      <c r="O14454"/>
      <c r="R14454"/>
      <c r="W14454" s="4"/>
      <c r="X14454" s="4"/>
      <c r="Y14454" s="4"/>
    </row>
    <row r="14455" spans="5:25">
      <c r="E14455"/>
      <c r="G14455"/>
      <c r="H14455"/>
      <c r="I14455"/>
      <c r="K14455"/>
      <c r="O14455"/>
      <c r="R14455"/>
      <c r="W14455" s="4"/>
      <c r="X14455" s="4"/>
      <c r="Y14455" s="4"/>
    </row>
    <row r="14456" spans="5:25">
      <c r="E14456"/>
      <c r="G14456"/>
      <c r="H14456"/>
      <c r="I14456"/>
      <c r="K14456"/>
      <c r="O14456"/>
      <c r="R14456"/>
      <c r="W14456" s="4"/>
      <c r="X14456" s="4"/>
      <c r="Y14456" s="4"/>
    </row>
    <row r="14457" spans="5:25">
      <c r="E14457"/>
      <c r="G14457"/>
      <c r="H14457"/>
      <c r="I14457"/>
      <c r="K14457"/>
      <c r="O14457"/>
      <c r="R14457"/>
      <c r="W14457" s="4"/>
      <c r="X14457" s="4"/>
      <c r="Y14457" s="4"/>
    </row>
    <row r="14458" spans="5:25">
      <c r="E14458"/>
      <c r="G14458"/>
      <c r="H14458"/>
      <c r="I14458"/>
      <c r="K14458"/>
      <c r="O14458"/>
      <c r="R14458"/>
      <c r="W14458" s="4"/>
      <c r="X14458" s="4"/>
      <c r="Y14458" s="4"/>
    </row>
    <row r="14459" spans="5:25">
      <c r="E14459"/>
      <c r="G14459"/>
      <c r="H14459"/>
      <c r="I14459"/>
      <c r="K14459"/>
      <c r="O14459"/>
      <c r="R14459"/>
      <c r="W14459" s="4"/>
      <c r="X14459" s="4"/>
      <c r="Y14459" s="4"/>
    </row>
    <row r="14460" spans="5:25">
      <c r="E14460"/>
      <c r="G14460"/>
      <c r="H14460"/>
      <c r="I14460"/>
      <c r="K14460"/>
      <c r="O14460"/>
      <c r="R14460"/>
      <c r="W14460" s="4"/>
      <c r="X14460" s="4"/>
      <c r="Y14460" s="4"/>
    </row>
    <row r="14461" spans="5:25">
      <c r="E14461"/>
      <c r="G14461"/>
      <c r="H14461"/>
      <c r="I14461"/>
      <c r="K14461"/>
      <c r="O14461"/>
      <c r="R14461"/>
      <c r="W14461" s="4"/>
      <c r="X14461" s="4"/>
      <c r="Y14461" s="4"/>
    </row>
    <row r="14462" spans="5:25">
      <c r="E14462"/>
      <c r="G14462"/>
      <c r="H14462"/>
      <c r="I14462"/>
      <c r="K14462"/>
      <c r="O14462"/>
      <c r="R14462"/>
      <c r="W14462" s="4"/>
      <c r="X14462" s="4"/>
      <c r="Y14462" s="4"/>
    </row>
    <row r="14463" spans="5:25">
      <c r="E14463"/>
      <c r="G14463"/>
      <c r="H14463"/>
      <c r="I14463"/>
      <c r="K14463"/>
      <c r="O14463"/>
      <c r="R14463"/>
      <c r="W14463" s="4"/>
      <c r="X14463" s="4"/>
      <c r="Y14463" s="4"/>
    </row>
    <row r="14464" spans="5:25">
      <c r="E14464"/>
      <c r="G14464"/>
      <c r="H14464"/>
      <c r="I14464"/>
      <c r="K14464"/>
      <c r="O14464"/>
      <c r="R14464"/>
      <c r="W14464" s="4"/>
      <c r="X14464" s="4"/>
      <c r="Y14464" s="4"/>
    </row>
    <row r="14465" spans="5:25">
      <c r="E14465"/>
      <c r="G14465"/>
      <c r="H14465"/>
      <c r="I14465"/>
      <c r="K14465"/>
      <c r="O14465"/>
      <c r="R14465"/>
      <c r="W14465" s="4"/>
      <c r="X14465" s="4"/>
      <c r="Y14465" s="4"/>
    </row>
    <row r="14466" spans="5:25">
      <c r="E14466"/>
      <c r="G14466"/>
      <c r="H14466"/>
      <c r="I14466"/>
      <c r="K14466"/>
      <c r="O14466"/>
      <c r="R14466"/>
      <c r="W14466" s="4"/>
      <c r="X14466" s="4"/>
      <c r="Y14466" s="4"/>
    </row>
    <row r="14467" spans="5:25">
      <c r="E14467"/>
      <c r="G14467"/>
      <c r="H14467"/>
      <c r="I14467"/>
      <c r="K14467"/>
      <c r="O14467"/>
      <c r="R14467"/>
      <c r="W14467" s="4"/>
      <c r="X14467" s="4"/>
      <c r="Y14467" s="4"/>
    </row>
    <row r="14468" spans="5:25">
      <c r="E14468"/>
      <c r="G14468"/>
      <c r="H14468"/>
      <c r="I14468"/>
      <c r="K14468"/>
      <c r="O14468"/>
      <c r="R14468"/>
      <c r="W14468" s="4"/>
      <c r="X14468" s="4"/>
      <c r="Y14468" s="4"/>
    </row>
    <row r="14469" spans="5:25">
      <c r="E14469"/>
      <c r="G14469"/>
      <c r="H14469"/>
      <c r="I14469"/>
      <c r="K14469"/>
      <c r="O14469"/>
      <c r="R14469"/>
      <c r="W14469" s="4"/>
      <c r="X14469" s="4"/>
      <c r="Y14469" s="4"/>
    </row>
    <row r="14470" spans="5:25">
      <c r="E14470"/>
      <c r="G14470"/>
      <c r="H14470"/>
      <c r="I14470"/>
      <c r="K14470"/>
      <c r="O14470"/>
      <c r="R14470"/>
      <c r="W14470" s="4"/>
      <c r="X14470" s="4"/>
      <c r="Y14470" s="4"/>
    </row>
    <row r="14471" spans="5:25">
      <c r="E14471"/>
      <c r="G14471"/>
      <c r="H14471"/>
      <c r="I14471"/>
      <c r="K14471"/>
      <c r="O14471"/>
      <c r="R14471"/>
      <c r="W14471" s="4"/>
      <c r="X14471" s="4"/>
      <c r="Y14471" s="4"/>
    </row>
    <row r="14472" spans="5:25">
      <c r="E14472"/>
      <c r="G14472"/>
      <c r="H14472"/>
      <c r="I14472"/>
      <c r="K14472"/>
      <c r="O14472"/>
      <c r="R14472"/>
      <c r="W14472" s="4"/>
      <c r="X14472" s="4"/>
      <c r="Y14472" s="4"/>
    </row>
    <row r="14473" spans="5:25">
      <c r="E14473"/>
      <c r="G14473"/>
      <c r="H14473"/>
      <c r="I14473"/>
      <c r="K14473"/>
      <c r="O14473"/>
      <c r="R14473"/>
      <c r="W14473" s="4"/>
      <c r="X14473" s="4"/>
      <c r="Y14473" s="4"/>
    </row>
    <row r="14474" spans="5:25">
      <c r="E14474"/>
      <c r="G14474"/>
      <c r="H14474"/>
      <c r="I14474"/>
      <c r="K14474"/>
      <c r="O14474"/>
      <c r="R14474"/>
      <c r="W14474" s="4"/>
      <c r="X14474" s="4"/>
      <c r="Y14474" s="4"/>
    </row>
    <row r="14475" spans="5:25">
      <c r="E14475"/>
      <c r="G14475"/>
      <c r="H14475"/>
      <c r="I14475"/>
      <c r="K14475"/>
      <c r="O14475"/>
      <c r="R14475"/>
      <c r="W14475" s="4"/>
      <c r="X14475" s="4"/>
      <c r="Y14475" s="4"/>
    </row>
    <row r="14476" spans="5:25">
      <c r="E14476"/>
      <c r="G14476"/>
      <c r="H14476"/>
      <c r="I14476"/>
      <c r="K14476"/>
      <c r="O14476"/>
      <c r="R14476"/>
      <c r="W14476" s="4"/>
      <c r="X14476" s="4"/>
      <c r="Y14476" s="4"/>
    </row>
    <row r="14477" spans="5:25">
      <c r="E14477"/>
      <c r="G14477"/>
      <c r="H14477"/>
      <c r="I14477"/>
      <c r="K14477"/>
      <c r="O14477"/>
      <c r="R14477"/>
      <c r="W14477" s="4"/>
      <c r="X14477" s="4"/>
      <c r="Y14477" s="4"/>
    </row>
    <row r="14478" spans="5:25">
      <c r="E14478"/>
      <c r="G14478"/>
      <c r="H14478"/>
      <c r="I14478"/>
      <c r="K14478"/>
      <c r="O14478"/>
      <c r="R14478"/>
      <c r="W14478" s="4"/>
      <c r="X14478" s="4"/>
      <c r="Y14478" s="4"/>
    </row>
    <row r="14479" spans="5:25">
      <c r="E14479"/>
      <c r="G14479"/>
      <c r="H14479"/>
      <c r="I14479"/>
      <c r="K14479"/>
      <c r="O14479"/>
      <c r="R14479"/>
      <c r="W14479" s="4"/>
      <c r="X14479" s="4"/>
      <c r="Y14479" s="4"/>
    </row>
    <row r="14480" spans="5:25">
      <c r="E14480"/>
      <c r="G14480"/>
      <c r="H14480"/>
      <c r="I14480"/>
      <c r="K14480"/>
      <c r="O14480"/>
      <c r="R14480"/>
      <c r="W14480" s="4"/>
      <c r="X14480" s="4"/>
      <c r="Y14480" s="4"/>
    </row>
    <row r="14481" spans="5:25">
      <c r="E14481"/>
      <c r="G14481"/>
      <c r="H14481"/>
      <c r="I14481"/>
      <c r="K14481"/>
      <c r="O14481"/>
      <c r="R14481"/>
      <c r="W14481" s="4"/>
      <c r="X14481" s="4"/>
      <c r="Y14481" s="4"/>
    </row>
    <row r="14482" spans="5:25">
      <c r="E14482"/>
      <c r="G14482"/>
      <c r="H14482"/>
      <c r="I14482"/>
      <c r="K14482"/>
      <c r="O14482"/>
      <c r="R14482"/>
      <c r="W14482" s="4"/>
      <c r="X14482" s="4"/>
      <c r="Y14482" s="4"/>
    </row>
    <row r="14483" spans="5:25">
      <c r="E14483"/>
      <c r="G14483"/>
      <c r="H14483"/>
      <c r="I14483"/>
      <c r="K14483"/>
      <c r="O14483"/>
      <c r="R14483"/>
      <c r="W14483" s="4"/>
      <c r="X14483" s="4"/>
      <c r="Y14483" s="4"/>
    </row>
    <row r="14484" spans="5:25">
      <c r="E14484"/>
      <c r="G14484"/>
      <c r="H14484"/>
      <c r="I14484"/>
      <c r="K14484"/>
      <c r="O14484"/>
      <c r="R14484"/>
      <c r="W14484" s="4"/>
      <c r="X14484" s="4"/>
      <c r="Y14484" s="4"/>
    </row>
    <row r="14485" spans="5:25">
      <c r="E14485"/>
      <c r="G14485"/>
      <c r="H14485"/>
      <c r="I14485"/>
      <c r="K14485"/>
      <c r="O14485"/>
      <c r="R14485"/>
      <c r="W14485" s="4"/>
      <c r="X14485" s="4"/>
      <c r="Y14485" s="4"/>
    </row>
    <row r="14486" spans="5:25">
      <c r="E14486"/>
      <c r="G14486"/>
      <c r="H14486"/>
      <c r="I14486"/>
      <c r="K14486"/>
      <c r="O14486"/>
      <c r="R14486"/>
      <c r="W14486" s="4"/>
      <c r="X14486" s="4"/>
      <c r="Y14486" s="4"/>
    </row>
    <row r="14487" spans="5:25">
      <c r="E14487"/>
      <c r="G14487"/>
      <c r="H14487"/>
      <c r="I14487"/>
      <c r="K14487"/>
      <c r="O14487"/>
      <c r="R14487"/>
      <c r="W14487" s="4"/>
      <c r="X14487" s="4"/>
      <c r="Y14487" s="4"/>
    </row>
    <row r="14488" spans="5:25">
      <c r="E14488"/>
      <c r="G14488"/>
      <c r="H14488"/>
      <c r="I14488"/>
      <c r="K14488"/>
      <c r="O14488"/>
      <c r="R14488"/>
      <c r="W14488" s="4"/>
      <c r="X14488" s="4"/>
      <c r="Y14488" s="4"/>
    </row>
    <row r="14489" spans="5:25">
      <c r="E14489"/>
      <c r="G14489"/>
      <c r="H14489"/>
      <c r="I14489"/>
      <c r="K14489"/>
      <c r="O14489"/>
      <c r="R14489"/>
      <c r="W14489" s="4"/>
      <c r="X14489" s="4"/>
      <c r="Y14489" s="4"/>
    </row>
    <row r="14490" spans="5:25">
      <c r="E14490"/>
      <c r="G14490"/>
      <c r="H14490"/>
      <c r="I14490"/>
      <c r="K14490"/>
      <c r="O14490"/>
      <c r="R14490"/>
      <c r="W14490" s="4"/>
      <c r="X14490" s="4"/>
      <c r="Y14490" s="4"/>
    </row>
    <row r="14491" spans="5:25">
      <c r="E14491"/>
      <c r="G14491"/>
      <c r="H14491"/>
      <c r="I14491"/>
      <c r="K14491"/>
      <c r="O14491"/>
      <c r="R14491"/>
      <c r="W14491" s="4"/>
      <c r="X14491" s="4"/>
      <c r="Y14491" s="4"/>
    </row>
    <row r="14492" spans="5:25">
      <c r="E14492"/>
      <c r="G14492"/>
      <c r="H14492"/>
      <c r="I14492"/>
      <c r="K14492"/>
      <c r="O14492"/>
      <c r="R14492"/>
      <c r="W14492" s="4"/>
      <c r="X14492" s="4"/>
      <c r="Y14492" s="4"/>
    </row>
    <row r="14493" spans="5:25">
      <c r="E14493"/>
      <c r="G14493"/>
      <c r="H14493"/>
      <c r="I14493"/>
      <c r="K14493"/>
      <c r="O14493"/>
      <c r="R14493"/>
      <c r="W14493" s="4"/>
      <c r="X14493" s="4"/>
      <c r="Y14493" s="4"/>
    </row>
    <row r="14494" spans="5:25">
      <c r="E14494"/>
      <c r="G14494"/>
      <c r="H14494"/>
      <c r="I14494"/>
      <c r="K14494"/>
      <c r="O14494"/>
      <c r="R14494"/>
      <c r="W14494" s="4"/>
      <c r="X14494" s="4"/>
      <c r="Y14494" s="4"/>
    </row>
    <row r="14495" spans="5:25">
      <c r="E14495"/>
      <c r="G14495"/>
      <c r="H14495"/>
      <c r="I14495"/>
      <c r="K14495"/>
      <c r="O14495"/>
      <c r="R14495"/>
      <c r="W14495" s="4"/>
      <c r="X14495" s="4"/>
      <c r="Y14495" s="4"/>
    </row>
    <row r="14496" spans="5:25">
      <c r="E14496"/>
      <c r="G14496"/>
      <c r="H14496"/>
      <c r="I14496"/>
      <c r="K14496"/>
      <c r="O14496"/>
      <c r="R14496"/>
      <c r="W14496" s="4"/>
      <c r="X14496" s="4"/>
      <c r="Y14496" s="4"/>
    </row>
    <row r="14497" spans="5:25">
      <c r="E14497"/>
      <c r="G14497"/>
      <c r="H14497"/>
      <c r="I14497"/>
      <c r="K14497"/>
      <c r="O14497"/>
      <c r="R14497"/>
      <c r="W14497" s="4"/>
      <c r="X14497" s="4"/>
      <c r="Y14497" s="4"/>
    </row>
    <row r="14498" spans="5:25">
      <c r="E14498"/>
      <c r="G14498"/>
      <c r="H14498"/>
      <c r="I14498"/>
      <c r="K14498"/>
      <c r="O14498"/>
      <c r="R14498"/>
      <c r="W14498" s="4"/>
      <c r="X14498" s="4"/>
      <c r="Y14498" s="4"/>
    </row>
    <row r="14499" spans="5:25">
      <c r="E14499"/>
      <c r="G14499"/>
      <c r="H14499"/>
      <c r="I14499"/>
      <c r="K14499"/>
      <c r="O14499"/>
      <c r="R14499"/>
      <c r="W14499" s="4"/>
      <c r="X14499" s="4"/>
      <c r="Y14499" s="4"/>
    </row>
    <row r="14500" spans="5:25">
      <c r="E14500"/>
      <c r="G14500"/>
      <c r="H14500"/>
      <c r="I14500"/>
      <c r="K14500"/>
      <c r="O14500"/>
      <c r="R14500"/>
      <c r="W14500" s="4"/>
      <c r="X14500" s="4"/>
      <c r="Y14500" s="4"/>
    </row>
    <row r="14501" spans="5:25">
      <c r="E14501"/>
      <c r="G14501"/>
      <c r="H14501"/>
      <c r="I14501"/>
      <c r="K14501"/>
      <c r="O14501"/>
      <c r="R14501"/>
      <c r="W14501" s="4"/>
      <c r="X14501" s="4"/>
      <c r="Y14501" s="4"/>
    </row>
    <row r="14502" spans="5:25">
      <c r="E14502"/>
      <c r="G14502"/>
      <c r="H14502"/>
      <c r="I14502"/>
      <c r="K14502"/>
      <c r="O14502"/>
      <c r="R14502"/>
      <c r="W14502" s="4"/>
      <c r="X14502" s="4"/>
      <c r="Y14502" s="4"/>
    </row>
    <row r="14503" spans="5:25">
      <c r="E14503"/>
      <c r="G14503"/>
      <c r="H14503"/>
      <c r="I14503"/>
      <c r="K14503"/>
      <c r="O14503"/>
      <c r="R14503"/>
      <c r="W14503" s="4"/>
      <c r="X14503" s="4"/>
      <c r="Y14503" s="4"/>
    </row>
    <row r="14504" spans="5:25">
      <c r="E14504"/>
      <c r="G14504"/>
      <c r="H14504"/>
      <c r="I14504"/>
      <c r="K14504"/>
      <c r="O14504"/>
      <c r="R14504"/>
      <c r="W14504" s="4"/>
      <c r="X14504" s="4"/>
      <c r="Y14504" s="4"/>
    </row>
    <row r="14505" spans="5:25">
      <c r="E14505"/>
      <c r="G14505"/>
      <c r="H14505"/>
      <c r="I14505"/>
      <c r="K14505"/>
      <c r="O14505"/>
      <c r="R14505"/>
      <c r="W14505" s="4"/>
      <c r="X14505" s="4"/>
      <c r="Y14505" s="4"/>
    </row>
    <row r="14506" spans="5:25">
      <c r="E14506"/>
      <c r="G14506"/>
      <c r="H14506"/>
      <c r="I14506"/>
      <c r="K14506"/>
      <c r="O14506"/>
      <c r="R14506"/>
      <c r="W14506" s="4"/>
      <c r="X14506" s="4"/>
      <c r="Y14506" s="4"/>
    </row>
    <row r="14507" spans="5:25">
      <c r="E14507"/>
      <c r="G14507"/>
      <c r="H14507"/>
      <c r="I14507"/>
      <c r="K14507"/>
      <c r="O14507"/>
      <c r="R14507"/>
      <c r="W14507" s="4"/>
      <c r="X14507" s="4"/>
      <c r="Y14507" s="4"/>
    </row>
    <row r="14508" spans="5:25">
      <c r="E14508"/>
      <c r="G14508"/>
      <c r="H14508"/>
      <c r="I14508"/>
      <c r="K14508"/>
      <c r="O14508"/>
      <c r="R14508"/>
      <c r="W14508" s="4"/>
      <c r="X14508" s="4"/>
      <c r="Y14508" s="4"/>
    </row>
    <row r="14509" spans="5:25">
      <c r="E14509"/>
      <c r="G14509"/>
      <c r="H14509"/>
      <c r="I14509"/>
      <c r="K14509"/>
      <c r="O14509"/>
      <c r="R14509"/>
      <c r="W14509" s="4"/>
      <c r="X14509" s="4"/>
      <c r="Y14509" s="4"/>
    </row>
    <row r="14510" spans="5:25">
      <c r="E14510"/>
      <c r="G14510"/>
      <c r="H14510"/>
      <c r="I14510"/>
      <c r="K14510"/>
      <c r="O14510"/>
      <c r="R14510"/>
      <c r="W14510" s="4"/>
      <c r="X14510" s="4"/>
      <c r="Y14510" s="4"/>
    </row>
    <row r="14511" spans="5:25">
      <c r="E14511"/>
      <c r="G14511"/>
      <c r="H14511"/>
      <c r="I14511"/>
      <c r="K14511"/>
      <c r="O14511"/>
      <c r="R14511"/>
      <c r="W14511" s="4"/>
      <c r="X14511" s="4"/>
      <c r="Y14511" s="4"/>
    </row>
    <row r="14512" spans="5:25">
      <c r="E14512"/>
      <c r="G14512"/>
      <c r="H14512"/>
      <c r="I14512"/>
      <c r="K14512"/>
      <c r="O14512"/>
      <c r="R14512"/>
      <c r="W14512" s="4"/>
      <c r="X14512" s="4"/>
      <c r="Y14512" s="4"/>
    </row>
    <row r="14513" spans="5:25">
      <c r="E14513"/>
      <c r="G14513"/>
      <c r="H14513"/>
      <c r="I14513"/>
      <c r="K14513"/>
      <c r="O14513"/>
      <c r="R14513"/>
      <c r="W14513" s="4"/>
      <c r="X14513" s="4"/>
      <c r="Y14513" s="4"/>
    </row>
    <row r="14514" spans="5:25">
      <c r="E14514"/>
      <c r="G14514"/>
      <c r="H14514"/>
      <c r="I14514"/>
      <c r="K14514"/>
      <c r="O14514"/>
      <c r="R14514"/>
      <c r="W14514" s="4"/>
      <c r="X14514" s="4"/>
      <c r="Y14514" s="4"/>
    </row>
    <row r="14515" spans="5:25">
      <c r="E14515"/>
      <c r="G14515"/>
      <c r="H14515"/>
      <c r="I14515"/>
      <c r="K14515"/>
      <c r="O14515"/>
      <c r="R14515"/>
      <c r="W14515" s="4"/>
      <c r="X14515" s="4"/>
      <c r="Y14515" s="4"/>
    </row>
    <row r="14516" spans="5:25">
      <c r="E14516"/>
      <c r="G14516"/>
      <c r="H14516"/>
      <c r="I14516"/>
      <c r="K14516"/>
      <c r="O14516"/>
      <c r="R14516"/>
      <c r="W14516" s="4"/>
      <c r="X14516" s="4"/>
      <c r="Y14516" s="4"/>
    </row>
    <row r="14517" spans="5:25">
      <c r="E14517"/>
      <c r="G14517"/>
      <c r="H14517"/>
      <c r="I14517"/>
      <c r="K14517"/>
      <c r="O14517"/>
      <c r="R14517"/>
      <c r="W14517" s="4"/>
      <c r="X14517" s="4"/>
      <c r="Y14517" s="4"/>
    </row>
    <row r="14518" spans="5:25">
      <c r="E14518"/>
      <c r="G14518"/>
      <c r="H14518"/>
      <c r="I14518"/>
      <c r="K14518"/>
      <c r="O14518"/>
      <c r="R14518"/>
      <c r="W14518" s="4"/>
      <c r="X14518" s="4"/>
      <c r="Y14518" s="4"/>
    </row>
    <row r="14519" spans="5:25">
      <c r="E14519"/>
      <c r="G14519"/>
      <c r="H14519"/>
      <c r="I14519"/>
      <c r="K14519"/>
      <c r="O14519"/>
      <c r="R14519"/>
      <c r="W14519" s="4"/>
      <c r="X14519" s="4"/>
      <c r="Y14519" s="4"/>
    </row>
    <row r="14520" spans="5:25">
      <c r="E14520"/>
      <c r="G14520"/>
      <c r="H14520"/>
      <c r="I14520"/>
      <c r="K14520"/>
      <c r="O14520"/>
      <c r="R14520"/>
      <c r="W14520" s="4"/>
      <c r="X14520" s="4"/>
      <c r="Y14520" s="4"/>
    </row>
    <row r="14521" spans="5:25">
      <c r="E14521"/>
      <c r="G14521"/>
      <c r="H14521"/>
      <c r="I14521"/>
      <c r="K14521"/>
      <c r="O14521"/>
      <c r="R14521"/>
      <c r="W14521" s="4"/>
      <c r="X14521" s="4"/>
      <c r="Y14521" s="4"/>
    </row>
    <row r="14522" spans="5:25">
      <c r="E14522"/>
      <c r="G14522"/>
      <c r="H14522"/>
      <c r="I14522"/>
      <c r="K14522"/>
      <c r="O14522"/>
      <c r="R14522"/>
      <c r="W14522" s="4"/>
      <c r="X14522" s="4"/>
      <c r="Y14522" s="4"/>
    </row>
    <row r="14523" spans="5:25">
      <c r="E14523"/>
      <c r="G14523"/>
      <c r="H14523"/>
      <c r="I14523"/>
      <c r="K14523"/>
      <c r="O14523"/>
      <c r="R14523"/>
      <c r="W14523" s="4"/>
      <c r="X14523" s="4"/>
      <c r="Y14523" s="4"/>
    </row>
    <row r="14524" spans="5:25">
      <c r="E14524"/>
      <c r="G14524"/>
      <c r="H14524"/>
      <c r="I14524"/>
      <c r="K14524"/>
      <c r="O14524"/>
      <c r="R14524"/>
      <c r="W14524" s="4"/>
      <c r="X14524" s="4"/>
      <c r="Y14524" s="4"/>
    </row>
    <row r="14525" spans="5:25">
      <c r="E14525"/>
      <c r="G14525"/>
      <c r="H14525"/>
      <c r="I14525"/>
      <c r="K14525"/>
      <c r="O14525"/>
      <c r="R14525"/>
      <c r="W14525" s="4"/>
      <c r="X14525" s="4"/>
      <c r="Y14525" s="4"/>
    </row>
    <row r="14526" spans="5:25">
      <c r="E14526"/>
      <c r="G14526"/>
      <c r="H14526"/>
      <c r="I14526"/>
      <c r="K14526"/>
      <c r="O14526"/>
      <c r="R14526"/>
      <c r="W14526" s="4"/>
      <c r="X14526" s="4"/>
      <c r="Y14526" s="4"/>
    </row>
    <row r="14527" spans="5:25">
      <c r="E14527"/>
      <c r="G14527"/>
      <c r="H14527"/>
      <c r="I14527"/>
      <c r="K14527"/>
      <c r="O14527"/>
      <c r="R14527"/>
      <c r="W14527" s="4"/>
      <c r="X14527" s="4"/>
      <c r="Y14527" s="4"/>
    </row>
    <row r="14528" spans="5:25">
      <c r="E14528"/>
      <c r="G14528"/>
      <c r="H14528"/>
      <c r="I14528"/>
      <c r="K14528"/>
      <c r="O14528"/>
      <c r="R14528"/>
      <c r="W14528" s="4"/>
      <c r="X14528" s="4"/>
      <c r="Y14528" s="4"/>
    </row>
    <row r="14529" spans="5:25">
      <c r="E14529"/>
      <c r="G14529"/>
      <c r="H14529"/>
      <c r="I14529"/>
      <c r="K14529"/>
      <c r="O14529"/>
      <c r="R14529"/>
      <c r="W14529" s="4"/>
      <c r="X14529" s="4"/>
      <c r="Y14529" s="4"/>
    </row>
    <row r="14530" spans="5:25">
      <c r="E14530"/>
      <c r="G14530"/>
      <c r="H14530"/>
      <c r="I14530"/>
      <c r="K14530"/>
      <c r="O14530"/>
      <c r="R14530"/>
      <c r="W14530" s="4"/>
      <c r="X14530" s="4"/>
      <c r="Y14530" s="4"/>
    </row>
    <row r="14531" spans="5:25">
      <c r="E14531"/>
      <c r="G14531"/>
      <c r="H14531"/>
      <c r="I14531"/>
      <c r="K14531"/>
      <c r="O14531"/>
      <c r="R14531"/>
      <c r="W14531" s="4"/>
      <c r="X14531" s="4"/>
      <c r="Y14531" s="4"/>
    </row>
    <row r="14532" spans="5:25">
      <c r="E14532"/>
      <c r="G14532"/>
      <c r="H14532"/>
      <c r="I14532"/>
      <c r="K14532"/>
      <c r="O14532"/>
      <c r="R14532"/>
      <c r="W14532" s="4"/>
      <c r="X14532" s="4"/>
      <c r="Y14532" s="4"/>
    </row>
    <row r="14533" spans="5:25">
      <c r="E14533"/>
      <c r="G14533"/>
      <c r="H14533"/>
      <c r="I14533"/>
      <c r="K14533"/>
      <c r="O14533"/>
      <c r="R14533"/>
      <c r="W14533" s="4"/>
      <c r="X14533" s="4"/>
      <c r="Y14533" s="4"/>
    </row>
    <row r="14534" spans="5:25">
      <c r="E14534"/>
      <c r="G14534"/>
      <c r="H14534"/>
      <c r="I14534"/>
      <c r="K14534"/>
      <c r="O14534"/>
      <c r="R14534"/>
      <c r="W14534" s="4"/>
      <c r="X14534" s="4"/>
      <c r="Y14534" s="4"/>
    </row>
    <row r="14535" spans="5:25">
      <c r="E14535"/>
      <c r="G14535"/>
      <c r="H14535"/>
      <c r="I14535"/>
      <c r="K14535"/>
      <c r="O14535"/>
      <c r="R14535"/>
      <c r="W14535" s="4"/>
      <c r="X14535" s="4"/>
      <c r="Y14535" s="4"/>
    </row>
    <row r="14536" spans="5:25">
      <c r="E14536"/>
      <c r="G14536"/>
      <c r="H14536"/>
      <c r="I14536"/>
      <c r="K14536"/>
      <c r="O14536"/>
      <c r="R14536"/>
      <c r="W14536" s="4"/>
      <c r="X14536" s="4"/>
      <c r="Y14536" s="4"/>
    </row>
    <row r="14537" spans="5:25">
      <c r="E14537"/>
      <c r="G14537"/>
      <c r="H14537"/>
      <c r="I14537"/>
      <c r="K14537"/>
      <c r="O14537"/>
      <c r="R14537"/>
      <c r="W14537" s="4"/>
      <c r="X14537" s="4"/>
      <c r="Y14537" s="4"/>
    </row>
    <row r="14538" spans="5:25">
      <c r="E14538"/>
      <c r="G14538"/>
      <c r="H14538"/>
      <c r="I14538"/>
      <c r="K14538"/>
      <c r="O14538"/>
      <c r="R14538"/>
      <c r="W14538" s="4"/>
      <c r="X14538" s="4"/>
      <c r="Y14538" s="4"/>
    </row>
    <row r="14539" spans="5:25">
      <c r="E14539"/>
      <c r="G14539"/>
      <c r="H14539"/>
      <c r="I14539"/>
      <c r="K14539"/>
      <c r="O14539"/>
      <c r="R14539"/>
      <c r="W14539" s="4"/>
      <c r="X14539" s="4"/>
      <c r="Y14539" s="4"/>
    </row>
    <row r="14540" spans="5:25">
      <c r="E14540"/>
      <c r="G14540"/>
      <c r="H14540"/>
      <c r="I14540"/>
      <c r="K14540"/>
      <c r="O14540"/>
      <c r="R14540"/>
      <c r="W14540" s="4"/>
      <c r="X14540" s="4"/>
      <c r="Y14540" s="4"/>
    </row>
    <row r="14541" spans="5:25">
      <c r="E14541"/>
      <c r="G14541"/>
      <c r="H14541"/>
      <c r="I14541"/>
      <c r="K14541"/>
      <c r="O14541"/>
      <c r="R14541"/>
      <c r="W14541" s="4"/>
      <c r="X14541" s="4"/>
      <c r="Y14541" s="4"/>
    </row>
    <row r="14542" spans="5:25">
      <c r="E14542"/>
      <c r="G14542"/>
      <c r="H14542"/>
      <c r="I14542"/>
      <c r="K14542"/>
      <c r="O14542"/>
      <c r="R14542"/>
      <c r="W14542" s="4"/>
      <c r="X14542" s="4"/>
      <c r="Y14542" s="4"/>
    </row>
    <row r="14543" spans="5:25">
      <c r="E14543"/>
      <c r="G14543"/>
      <c r="H14543"/>
      <c r="I14543"/>
      <c r="K14543"/>
      <c r="O14543"/>
      <c r="R14543"/>
      <c r="W14543" s="4"/>
      <c r="X14543" s="4"/>
      <c r="Y14543" s="4"/>
    </row>
    <row r="14544" spans="5:25">
      <c r="E14544"/>
      <c r="G14544"/>
      <c r="H14544"/>
      <c r="I14544"/>
      <c r="K14544"/>
      <c r="O14544"/>
      <c r="R14544"/>
      <c r="W14544" s="4"/>
      <c r="X14544" s="4"/>
      <c r="Y14544" s="4"/>
    </row>
    <row r="14545" spans="5:25">
      <c r="E14545"/>
      <c r="G14545"/>
      <c r="H14545"/>
      <c r="I14545"/>
      <c r="K14545"/>
      <c r="O14545"/>
      <c r="R14545"/>
      <c r="W14545" s="4"/>
      <c r="X14545" s="4"/>
      <c r="Y14545" s="4"/>
    </row>
    <row r="14546" spans="5:25">
      <c r="E14546"/>
      <c r="G14546"/>
      <c r="H14546"/>
      <c r="I14546"/>
      <c r="K14546"/>
      <c r="O14546"/>
      <c r="R14546"/>
      <c r="W14546" s="4"/>
      <c r="X14546" s="4"/>
      <c r="Y14546" s="4"/>
    </row>
    <row r="14547" spans="5:25">
      <c r="E14547"/>
      <c r="G14547"/>
      <c r="H14547"/>
      <c r="I14547"/>
      <c r="K14547"/>
      <c r="O14547"/>
      <c r="R14547"/>
      <c r="W14547" s="4"/>
      <c r="X14547" s="4"/>
      <c r="Y14547" s="4"/>
    </row>
    <row r="14548" spans="5:25">
      <c r="E14548"/>
      <c r="G14548"/>
      <c r="H14548"/>
      <c r="I14548"/>
      <c r="K14548"/>
      <c r="O14548"/>
      <c r="R14548"/>
      <c r="W14548" s="4"/>
      <c r="X14548" s="4"/>
      <c r="Y14548" s="4"/>
    </row>
    <row r="14549" spans="5:25">
      <c r="E14549"/>
      <c r="G14549"/>
      <c r="H14549"/>
      <c r="I14549"/>
      <c r="K14549"/>
      <c r="O14549"/>
      <c r="R14549"/>
      <c r="W14549" s="4"/>
      <c r="X14549" s="4"/>
      <c r="Y14549" s="4"/>
    </row>
    <row r="14550" spans="5:25">
      <c r="E14550"/>
      <c r="G14550"/>
      <c r="H14550"/>
      <c r="I14550"/>
      <c r="K14550"/>
      <c r="O14550"/>
      <c r="R14550"/>
      <c r="W14550" s="4"/>
      <c r="X14550" s="4"/>
      <c r="Y14550" s="4"/>
    </row>
    <row r="14551" spans="5:25">
      <c r="E14551"/>
      <c r="G14551"/>
      <c r="H14551"/>
      <c r="I14551"/>
      <c r="K14551"/>
      <c r="O14551"/>
      <c r="R14551"/>
      <c r="W14551" s="4"/>
      <c r="X14551" s="4"/>
      <c r="Y14551" s="4"/>
    </row>
    <row r="14552" spans="5:25">
      <c r="E14552"/>
      <c r="G14552"/>
      <c r="H14552"/>
      <c r="I14552"/>
      <c r="K14552"/>
      <c r="O14552"/>
      <c r="R14552"/>
      <c r="W14552" s="4"/>
      <c r="X14552" s="4"/>
      <c r="Y14552" s="4"/>
    </row>
    <row r="14553" spans="5:25">
      <c r="E14553"/>
      <c r="G14553"/>
      <c r="H14553"/>
      <c r="I14553"/>
      <c r="K14553"/>
      <c r="O14553"/>
      <c r="R14553"/>
      <c r="W14553" s="4"/>
      <c r="X14553" s="4"/>
      <c r="Y14553" s="4"/>
    </row>
    <row r="14554" spans="5:25">
      <c r="E14554"/>
      <c r="G14554"/>
      <c r="H14554"/>
      <c r="I14554"/>
      <c r="K14554"/>
      <c r="O14554"/>
      <c r="R14554"/>
      <c r="W14554" s="4"/>
      <c r="X14554" s="4"/>
      <c r="Y14554" s="4"/>
    </row>
    <row r="14555" spans="5:25">
      <c r="E14555"/>
      <c r="G14555"/>
      <c r="H14555"/>
      <c r="I14555"/>
      <c r="K14555"/>
      <c r="O14555"/>
      <c r="R14555"/>
      <c r="W14555" s="4"/>
      <c r="X14555" s="4"/>
      <c r="Y14555" s="4"/>
    </row>
    <row r="14556" spans="5:25">
      <c r="E14556"/>
      <c r="G14556"/>
      <c r="H14556"/>
      <c r="I14556"/>
      <c r="K14556"/>
      <c r="O14556"/>
      <c r="R14556"/>
      <c r="W14556" s="4"/>
      <c r="X14556" s="4"/>
      <c r="Y14556" s="4"/>
    </row>
    <row r="14557" spans="5:25">
      <c r="E14557"/>
      <c r="G14557"/>
      <c r="H14557"/>
      <c r="I14557"/>
      <c r="K14557"/>
      <c r="O14557"/>
      <c r="R14557"/>
      <c r="W14557" s="4"/>
      <c r="X14557" s="4"/>
      <c r="Y14557" s="4"/>
    </row>
    <row r="14558" spans="5:25">
      <c r="E14558"/>
      <c r="G14558"/>
      <c r="H14558"/>
      <c r="I14558"/>
      <c r="K14558"/>
      <c r="O14558"/>
      <c r="R14558"/>
      <c r="W14558" s="4"/>
      <c r="X14558" s="4"/>
      <c r="Y14558" s="4"/>
    </row>
    <row r="14559" spans="5:25">
      <c r="E14559"/>
      <c r="G14559"/>
      <c r="H14559"/>
      <c r="I14559"/>
      <c r="K14559"/>
      <c r="O14559"/>
      <c r="R14559"/>
      <c r="W14559" s="4"/>
      <c r="X14559" s="4"/>
      <c r="Y14559" s="4"/>
    </row>
    <row r="14560" spans="5:25">
      <c r="E14560"/>
      <c r="G14560"/>
      <c r="H14560"/>
      <c r="I14560"/>
      <c r="K14560"/>
      <c r="O14560"/>
      <c r="R14560"/>
      <c r="W14560" s="4"/>
      <c r="X14560" s="4"/>
      <c r="Y14560" s="4"/>
    </row>
    <row r="14561" spans="5:25">
      <c r="E14561"/>
      <c r="G14561"/>
      <c r="H14561"/>
      <c r="I14561"/>
      <c r="K14561"/>
      <c r="O14561"/>
      <c r="R14561"/>
      <c r="W14561" s="4"/>
      <c r="X14561" s="4"/>
      <c r="Y14561" s="4"/>
    </row>
    <row r="14562" spans="5:25">
      <c r="E14562"/>
      <c r="G14562"/>
      <c r="H14562"/>
      <c r="I14562"/>
      <c r="K14562"/>
      <c r="O14562"/>
      <c r="R14562"/>
      <c r="W14562" s="4"/>
      <c r="X14562" s="4"/>
      <c r="Y14562" s="4"/>
    </row>
    <row r="14563" spans="5:25">
      <c r="E14563"/>
      <c r="G14563"/>
      <c r="H14563"/>
      <c r="I14563"/>
      <c r="K14563"/>
      <c r="O14563"/>
      <c r="R14563"/>
      <c r="W14563" s="4"/>
      <c r="X14563" s="4"/>
      <c r="Y14563" s="4"/>
    </row>
    <row r="14564" spans="5:25">
      <c r="E14564"/>
      <c r="G14564"/>
      <c r="H14564"/>
      <c r="I14564"/>
      <c r="K14564"/>
      <c r="O14564"/>
      <c r="R14564"/>
      <c r="W14564" s="4"/>
      <c r="X14564" s="4"/>
      <c r="Y14564" s="4"/>
    </row>
    <row r="14565" spans="5:25">
      <c r="E14565"/>
      <c r="G14565"/>
      <c r="H14565"/>
      <c r="I14565"/>
      <c r="K14565"/>
      <c r="O14565"/>
      <c r="R14565"/>
      <c r="W14565" s="4"/>
      <c r="X14565" s="4"/>
      <c r="Y14565" s="4"/>
    </row>
    <row r="14566" spans="5:25">
      <c r="E14566"/>
      <c r="G14566"/>
      <c r="H14566"/>
      <c r="I14566"/>
      <c r="K14566"/>
      <c r="O14566"/>
      <c r="R14566"/>
      <c r="W14566" s="4"/>
      <c r="X14566" s="4"/>
      <c r="Y14566" s="4"/>
    </row>
    <row r="14567" spans="5:25">
      <c r="E14567"/>
      <c r="G14567"/>
      <c r="H14567"/>
      <c r="I14567"/>
      <c r="K14567"/>
      <c r="O14567"/>
      <c r="R14567"/>
      <c r="W14567" s="4"/>
      <c r="X14567" s="4"/>
      <c r="Y14567" s="4"/>
    </row>
    <row r="14568" spans="5:25">
      <c r="E14568"/>
      <c r="G14568"/>
      <c r="H14568"/>
      <c r="I14568"/>
      <c r="K14568"/>
      <c r="O14568"/>
      <c r="R14568"/>
      <c r="W14568" s="4"/>
      <c r="X14568" s="4"/>
      <c r="Y14568" s="4"/>
    </row>
    <row r="14569" spans="5:25">
      <c r="E14569"/>
      <c r="G14569"/>
      <c r="H14569"/>
      <c r="I14569"/>
      <c r="K14569"/>
      <c r="O14569"/>
      <c r="R14569"/>
      <c r="W14569" s="4"/>
      <c r="X14569" s="4"/>
      <c r="Y14569" s="4"/>
    </row>
    <row r="14570" spans="5:25">
      <c r="E14570"/>
      <c r="G14570"/>
      <c r="H14570"/>
      <c r="I14570"/>
      <c r="K14570"/>
      <c r="O14570"/>
      <c r="R14570"/>
      <c r="W14570" s="4"/>
      <c r="X14570" s="4"/>
      <c r="Y14570" s="4"/>
    </row>
    <row r="14571" spans="5:25">
      <c r="E14571"/>
      <c r="G14571"/>
      <c r="H14571"/>
      <c r="I14571"/>
      <c r="K14571"/>
      <c r="O14571"/>
      <c r="R14571"/>
      <c r="W14571" s="4"/>
      <c r="X14571" s="4"/>
      <c r="Y14571" s="4"/>
    </row>
    <row r="14572" spans="5:25">
      <c r="E14572"/>
      <c r="G14572"/>
      <c r="H14572"/>
      <c r="I14572"/>
      <c r="K14572"/>
      <c r="O14572"/>
      <c r="R14572"/>
      <c r="W14572" s="4"/>
      <c r="X14572" s="4"/>
      <c r="Y14572" s="4"/>
    </row>
    <row r="14573" spans="5:25">
      <c r="E14573"/>
      <c r="G14573"/>
      <c r="H14573"/>
      <c r="I14573"/>
      <c r="K14573"/>
      <c r="O14573"/>
      <c r="R14573"/>
      <c r="W14573" s="4"/>
      <c r="X14573" s="4"/>
      <c r="Y14573" s="4"/>
    </row>
    <row r="14574" spans="5:25">
      <c r="E14574"/>
      <c r="G14574"/>
      <c r="H14574"/>
      <c r="I14574"/>
      <c r="K14574"/>
      <c r="O14574"/>
      <c r="R14574"/>
      <c r="W14574" s="4"/>
      <c r="X14574" s="4"/>
      <c r="Y14574" s="4"/>
    </row>
    <row r="14575" spans="5:25">
      <c r="E14575"/>
      <c r="G14575"/>
      <c r="H14575"/>
      <c r="I14575"/>
      <c r="K14575"/>
      <c r="O14575"/>
      <c r="R14575"/>
      <c r="W14575" s="4"/>
      <c r="X14575" s="4"/>
      <c r="Y14575" s="4"/>
    </row>
    <row r="14576" spans="5:25">
      <c r="E14576"/>
      <c r="G14576"/>
      <c r="H14576"/>
      <c r="I14576"/>
      <c r="K14576"/>
      <c r="O14576"/>
      <c r="R14576"/>
      <c r="W14576" s="4"/>
      <c r="X14576" s="4"/>
      <c r="Y14576" s="4"/>
    </row>
    <row r="14577" spans="5:25">
      <c r="E14577"/>
      <c r="G14577"/>
      <c r="H14577"/>
      <c r="I14577"/>
      <c r="K14577"/>
      <c r="O14577"/>
      <c r="R14577"/>
      <c r="W14577" s="4"/>
      <c r="X14577" s="4"/>
      <c r="Y14577" s="4"/>
    </row>
    <row r="14578" spans="5:25">
      <c r="E14578"/>
      <c r="G14578"/>
      <c r="H14578"/>
      <c r="I14578"/>
      <c r="K14578"/>
      <c r="O14578"/>
      <c r="R14578"/>
      <c r="W14578" s="4"/>
      <c r="X14578" s="4"/>
      <c r="Y14578" s="4"/>
    </row>
    <row r="14579" spans="5:25">
      <c r="E14579"/>
      <c r="G14579"/>
      <c r="H14579"/>
      <c r="I14579"/>
      <c r="K14579"/>
      <c r="O14579"/>
      <c r="R14579"/>
      <c r="W14579" s="4"/>
      <c r="X14579" s="4"/>
      <c r="Y14579" s="4"/>
    </row>
    <row r="14580" spans="5:25">
      <c r="E14580"/>
      <c r="G14580"/>
      <c r="H14580"/>
      <c r="I14580"/>
      <c r="K14580"/>
      <c r="O14580"/>
      <c r="R14580"/>
      <c r="W14580" s="4"/>
      <c r="X14580" s="4"/>
      <c r="Y14580" s="4"/>
    </row>
    <row r="14581" spans="5:25">
      <c r="E14581"/>
      <c r="G14581"/>
      <c r="H14581"/>
      <c r="I14581"/>
      <c r="K14581"/>
      <c r="O14581"/>
      <c r="R14581"/>
      <c r="W14581" s="4"/>
      <c r="X14581" s="4"/>
      <c r="Y14581" s="4"/>
    </row>
    <row r="14582" spans="5:25">
      <c r="E14582"/>
      <c r="G14582"/>
      <c r="H14582"/>
      <c r="I14582"/>
      <c r="K14582"/>
      <c r="O14582"/>
      <c r="R14582"/>
      <c r="W14582" s="4"/>
      <c r="X14582" s="4"/>
      <c r="Y14582" s="4"/>
    </row>
    <row r="14583" spans="5:25">
      <c r="E14583"/>
      <c r="G14583"/>
      <c r="H14583"/>
      <c r="I14583"/>
      <c r="K14583"/>
      <c r="O14583"/>
      <c r="R14583"/>
      <c r="W14583" s="4"/>
      <c r="X14583" s="4"/>
      <c r="Y14583" s="4"/>
    </row>
    <row r="14584" spans="5:25">
      <c r="E14584"/>
      <c r="G14584"/>
      <c r="H14584"/>
      <c r="I14584"/>
      <c r="K14584"/>
      <c r="O14584"/>
      <c r="R14584"/>
      <c r="W14584" s="4"/>
      <c r="X14584" s="4"/>
      <c r="Y14584" s="4"/>
    </row>
    <row r="14585" spans="5:25">
      <c r="E14585"/>
      <c r="G14585"/>
      <c r="H14585"/>
      <c r="I14585"/>
      <c r="K14585"/>
      <c r="O14585"/>
      <c r="R14585"/>
      <c r="W14585" s="4"/>
      <c r="X14585" s="4"/>
      <c r="Y14585" s="4"/>
    </row>
    <row r="14586" spans="5:25">
      <c r="E14586"/>
      <c r="G14586"/>
      <c r="H14586"/>
      <c r="I14586"/>
      <c r="K14586"/>
      <c r="O14586"/>
      <c r="R14586"/>
      <c r="W14586" s="4"/>
      <c r="X14586" s="4"/>
      <c r="Y14586" s="4"/>
    </row>
    <row r="14587" spans="5:25">
      <c r="E14587"/>
      <c r="G14587"/>
      <c r="H14587"/>
      <c r="I14587"/>
      <c r="K14587"/>
      <c r="O14587"/>
      <c r="R14587"/>
      <c r="W14587" s="4"/>
      <c r="X14587" s="4"/>
      <c r="Y14587" s="4"/>
    </row>
    <row r="14588" spans="5:25">
      <c r="E14588"/>
      <c r="G14588"/>
      <c r="H14588"/>
      <c r="I14588"/>
      <c r="K14588"/>
      <c r="O14588"/>
      <c r="R14588"/>
      <c r="W14588" s="4"/>
      <c r="X14588" s="4"/>
      <c r="Y14588" s="4"/>
    </row>
    <row r="14589" spans="5:25">
      <c r="E14589"/>
      <c r="G14589"/>
      <c r="H14589"/>
      <c r="I14589"/>
      <c r="K14589"/>
      <c r="O14589"/>
      <c r="R14589"/>
      <c r="W14589" s="4"/>
      <c r="X14589" s="4"/>
      <c r="Y14589" s="4"/>
    </row>
    <row r="14590" spans="5:25">
      <c r="E14590"/>
      <c r="G14590"/>
      <c r="H14590"/>
      <c r="I14590"/>
      <c r="K14590"/>
      <c r="O14590"/>
      <c r="R14590"/>
      <c r="W14590" s="4"/>
      <c r="X14590" s="4"/>
      <c r="Y14590" s="4"/>
    </row>
    <row r="14591" spans="5:25">
      <c r="E14591"/>
      <c r="G14591"/>
      <c r="H14591"/>
      <c r="I14591"/>
      <c r="K14591"/>
      <c r="O14591"/>
      <c r="R14591"/>
      <c r="W14591" s="4"/>
      <c r="X14591" s="4"/>
      <c r="Y14591" s="4"/>
    </row>
    <row r="14592" spans="5:25">
      <c r="E14592"/>
      <c r="G14592"/>
      <c r="H14592"/>
      <c r="I14592"/>
      <c r="K14592"/>
      <c r="O14592"/>
      <c r="R14592"/>
      <c r="W14592" s="4"/>
      <c r="X14592" s="4"/>
      <c r="Y14592" s="4"/>
    </row>
    <row r="14593" spans="5:25">
      <c r="E14593"/>
      <c r="G14593"/>
      <c r="H14593"/>
      <c r="I14593"/>
      <c r="K14593"/>
      <c r="O14593"/>
      <c r="R14593"/>
      <c r="W14593" s="4"/>
      <c r="X14593" s="4"/>
      <c r="Y14593" s="4"/>
    </row>
    <row r="14594" spans="5:25">
      <c r="E14594"/>
      <c r="G14594"/>
      <c r="H14594"/>
      <c r="I14594"/>
      <c r="K14594"/>
      <c r="O14594"/>
      <c r="R14594"/>
      <c r="W14594" s="4"/>
      <c r="X14594" s="4"/>
      <c r="Y14594" s="4"/>
    </row>
    <row r="14595" spans="5:25">
      <c r="E14595"/>
      <c r="G14595"/>
      <c r="H14595"/>
      <c r="I14595"/>
      <c r="K14595"/>
      <c r="O14595"/>
      <c r="R14595"/>
      <c r="W14595" s="4"/>
      <c r="X14595" s="4"/>
      <c r="Y14595" s="4"/>
    </row>
    <row r="14596" spans="5:25">
      <c r="E14596"/>
      <c r="G14596"/>
      <c r="H14596"/>
      <c r="I14596"/>
      <c r="K14596"/>
      <c r="O14596"/>
      <c r="R14596"/>
      <c r="W14596" s="4"/>
      <c r="X14596" s="4"/>
      <c r="Y14596" s="4"/>
    </row>
    <row r="14597" spans="5:25">
      <c r="E14597"/>
      <c r="G14597"/>
      <c r="H14597"/>
      <c r="I14597"/>
      <c r="K14597"/>
      <c r="O14597"/>
      <c r="R14597"/>
      <c r="W14597" s="4"/>
      <c r="X14597" s="4"/>
      <c r="Y14597" s="4"/>
    </row>
    <row r="14598" spans="5:25">
      <c r="E14598"/>
      <c r="G14598"/>
      <c r="H14598"/>
      <c r="I14598"/>
      <c r="K14598"/>
      <c r="O14598"/>
      <c r="R14598"/>
      <c r="W14598" s="4"/>
      <c r="X14598" s="4"/>
      <c r="Y14598" s="4"/>
    </row>
    <row r="14599" spans="5:25">
      <c r="E14599"/>
      <c r="G14599"/>
      <c r="H14599"/>
      <c r="I14599"/>
      <c r="K14599"/>
      <c r="O14599"/>
      <c r="R14599"/>
      <c r="W14599" s="4"/>
      <c r="X14599" s="4"/>
      <c r="Y14599" s="4"/>
    </row>
    <row r="14600" spans="5:25">
      <c r="E14600"/>
      <c r="G14600"/>
      <c r="H14600"/>
      <c r="I14600"/>
      <c r="K14600"/>
      <c r="O14600"/>
      <c r="R14600"/>
      <c r="W14600" s="4"/>
      <c r="X14600" s="4"/>
      <c r="Y14600" s="4"/>
    </row>
    <row r="14601" spans="5:25">
      <c r="E14601"/>
      <c r="G14601"/>
      <c r="H14601"/>
      <c r="I14601"/>
      <c r="K14601"/>
      <c r="O14601"/>
      <c r="R14601"/>
      <c r="W14601" s="4"/>
      <c r="X14601" s="4"/>
      <c r="Y14601" s="4"/>
    </row>
    <row r="14602" spans="5:25">
      <c r="E14602"/>
      <c r="G14602"/>
      <c r="H14602"/>
      <c r="I14602"/>
      <c r="K14602"/>
      <c r="O14602"/>
      <c r="R14602"/>
      <c r="W14602" s="4"/>
      <c r="X14602" s="4"/>
      <c r="Y14602" s="4"/>
    </row>
    <row r="14603" spans="5:25">
      <c r="E14603"/>
      <c r="G14603"/>
      <c r="H14603"/>
      <c r="I14603"/>
      <c r="K14603"/>
      <c r="O14603"/>
      <c r="R14603"/>
      <c r="W14603" s="4"/>
      <c r="X14603" s="4"/>
      <c r="Y14603" s="4"/>
    </row>
    <row r="14604" spans="5:25">
      <c r="E14604"/>
      <c r="G14604"/>
      <c r="H14604"/>
      <c r="I14604"/>
      <c r="K14604"/>
      <c r="O14604"/>
      <c r="R14604"/>
      <c r="W14604" s="4"/>
      <c r="X14604" s="4"/>
      <c r="Y14604" s="4"/>
    </row>
    <row r="14605" spans="5:25">
      <c r="E14605"/>
      <c r="G14605"/>
      <c r="H14605"/>
      <c r="I14605"/>
      <c r="K14605"/>
      <c r="O14605"/>
      <c r="R14605"/>
      <c r="W14605" s="4"/>
      <c r="X14605" s="4"/>
      <c r="Y14605" s="4"/>
    </row>
    <row r="14606" spans="5:25">
      <c r="E14606"/>
      <c r="G14606"/>
      <c r="H14606"/>
      <c r="I14606"/>
      <c r="K14606"/>
      <c r="O14606"/>
      <c r="R14606"/>
      <c r="W14606" s="4"/>
      <c r="X14606" s="4"/>
      <c r="Y14606" s="4"/>
    </row>
    <row r="14607" spans="5:25">
      <c r="E14607"/>
      <c r="G14607"/>
      <c r="H14607"/>
      <c r="I14607"/>
      <c r="K14607"/>
      <c r="O14607"/>
      <c r="R14607"/>
      <c r="W14607" s="4"/>
      <c r="X14607" s="4"/>
      <c r="Y14607" s="4"/>
    </row>
    <row r="14608" spans="5:25">
      <c r="E14608"/>
      <c r="G14608"/>
      <c r="H14608"/>
      <c r="I14608"/>
      <c r="K14608"/>
      <c r="O14608"/>
      <c r="R14608"/>
      <c r="W14608" s="4"/>
      <c r="X14608" s="4"/>
      <c r="Y14608" s="4"/>
    </row>
    <row r="14609" spans="5:25">
      <c r="E14609"/>
      <c r="G14609"/>
      <c r="H14609"/>
      <c r="I14609"/>
      <c r="K14609"/>
      <c r="O14609"/>
      <c r="R14609"/>
      <c r="W14609" s="4"/>
      <c r="X14609" s="4"/>
      <c r="Y14609" s="4"/>
    </row>
    <row r="14610" spans="5:25">
      <c r="E14610"/>
      <c r="G14610"/>
      <c r="H14610"/>
      <c r="I14610"/>
      <c r="K14610"/>
      <c r="O14610"/>
      <c r="R14610"/>
      <c r="W14610" s="4"/>
      <c r="X14610" s="4"/>
      <c r="Y14610" s="4"/>
    </row>
    <row r="14611" spans="5:25">
      <c r="E14611"/>
      <c r="G14611"/>
      <c r="H14611"/>
      <c r="I14611"/>
      <c r="K14611"/>
      <c r="O14611"/>
      <c r="R14611"/>
      <c r="W14611" s="4"/>
      <c r="X14611" s="4"/>
      <c r="Y14611" s="4"/>
    </row>
    <row r="14612" spans="5:25">
      <c r="E14612"/>
      <c r="G14612"/>
      <c r="H14612"/>
      <c r="I14612"/>
      <c r="K14612"/>
      <c r="O14612"/>
      <c r="R14612"/>
      <c r="W14612" s="4"/>
      <c r="X14612" s="4"/>
      <c r="Y14612" s="4"/>
    </row>
    <row r="14613" spans="5:25">
      <c r="E14613"/>
      <c r="G14613"/>
      <c r="H14613"/>
      <c r="I14613"/>
      <c r="K14613"/>
      <c r="O14613"/>
      <c r="R14613"/>
      <c r="W14613" s="4"/>
      <c r="X14613" s="4"/>
      <c r="Y14613" s="4"/>
    </row>
    <row r="14614" spans="5:25">
      <c r="E14614"/>
      <c r="G14614"/>
      <c r="H14614"/>
      <c r="I14614"/>
      <c r="K14614"/>
      <c r="O14614"/>
      <c r="R14614"/>
      <c r="W14614" s="4"/>
      <c r="X14614" s="4"/>
      <c r="Y14614" s="4"/>
    </row>
    <row r="14615" spans="5:25">
      <c r="E14615"/>
      <c r="G14615"/>
      <c r="H14615"/>
      <c r="I14615"/>
      <c r="K14615"/>
      <c r="O14615"/>
      <c r="R14615"/>
      <c r="W14615" s="4"/>
      <c r="X14615" s="4"/>
      <c r="Y14615" s="4"/>
    </row>
    <row r="14616" spans="5:25">
      <c r="E14616"/>
      <c r="G14616"/>
      <c r="H14616"/>
      <c r="I14616"/>
      <c r="K14616"/>
      <c r="O14616"/>
      <c r="R14616"/>
      <c r="W14616" s="4"/>
      <c r="X14616" s="4"/>
      <c r="Y14616" s="4"/>
    </row>
    <row r="14617" spans="5:25">
      <c r="E14617"/>
      <c r="G14617"/>
      <c r="H14617"/>
      <c r="I14617"/>
      <c r="K14617"/>
      <c r="O14617"/>
      <c r="R14617"/>
      <c r="W14617" s="4"/>
      <c r="X14617" s="4"/>
      <c r="Y14617" s="4"/>
    </row>
    <row r="14618" spans="5:25">
      <c r="E14618"/>
      <c r="G14618"/>
      <c r="H14618"/>
      <c r="I14618"/>
      <c r="K14618"/>
      <c r="O14618"/>
      <c r="R14618"/>
      <c r="W14618" s="4"/>
      <c r="X14618" s="4"/>
      <c r="Y14618" s="4"/>
    </row>
    <row r="14619" spans="5:25">
      <c r="E14619"/>
      <c r="G14619"/>
      <c r="H14619"/>
      <c r="I14619"/>
      <c r="K14619"/>
      <c r="O14619"/>
      <c r="R14619"/>
      <c r="W14619" s="4"/>
      <c r="X14619" s="4"/>
      <c r="Y14619" s="4"/>
    </row>
    <row r="14620" spans="5:25">
      <c r="E14620"/>
      <c r="G14620"/>
      <c r="H14620"/>
      <c r="I14620"/>
      <c r="K14620"/>
      <c r="O14620"/>
      <c r="R14620"/>
      <c r="W14620" s="4"/>
      <c r="X14620" s="4"/>
      <c r="Y14620" s="4"/>
    </row>
    <row r="14621" spans="5:25">
      <c r="E14621"/>
      <c r="G14621"/>
      <c r="H14621"/>
      <c r="I14621"/>
      <c r="K14621"/>
      <c r="O14621"/>
      <c r="R14621"/>
      <c r="W14621" s="4"/>
      <c r="X14621" s="4"/>
      <c r="Y14621" s="4"/>
    </row>
    <row r="14622" spans="5:25">
      <c r="E14622"/>
      <c r="G14622"/>
      <c r="H14622"/>
      <c r="I14622"/>
      <c r="K14622"/>
      <c r="O14622"/>
      <c r="R14622"/>
      <c r="W14622" s="4"/>
      <c r="X14622" s="4"/>
      <c r="Y14622" s="4"/>
    </row>
    <row r="14623" spans="5:25">
      <c r="E14623"/>
      <c r="G14623"/>
      <c r="H14623"/>
      <c r="I14623"/>
      <c r="K14623"/>
      <c r="O14623"/>
      <c r="R14623"/>
      <c r="W14623" s="4"/>
      <c r="X14623" s="4"/>
      <c r="Y14623" s="4"/>
    </row>
    <row r="14624" spans="5:25">
      <c r="E14624"/>
      <c r="G14624"/>
      <c r="H14624"/>
      <c r="I14624"/>
      <c r="K14624"/>
      <c r="O14624"/>
      <c r="R14624"/>
      <c r="W14624" s="4"/>
      <c r="X14624" s="4"/>
      <c r="Y14624" s="4"/>
    </row>
    <row r="14625" spans="5:25">
      <c r="E14625"/>
      <c r="G14625"/>
      <c r="H14625"/>
      <c r="I14625"/>
      <c r="K14625"/>
      <c r="O14625"/>
      <c r="R14625"/>
      <c r="W14625" s="4"/>
      <c r="X14625" s="4"/>
      <c r="Y14625" s="4"/>
    </row>
    <row r="14626" spans="5:25">
      <c r="E14626"/>
      <c r="G14626"/>
      <c r="H14626"/>
      <c r="I14626"/>
      <c r="K14626"/>
      <c r="O14626"/>
      <c r="R14626"/>
      <c r="W14626" s="4"/>
      <c r="X14626" s="4"/>
      <c r="Y14626" s="4"/>
    </row>
    <row r="14627" spans="5:25">
      <c r="E14627"/>
      <c r="G14627"/>
      <c r="H14627"/>
      <c r="I14627"/>
      <c r="K14627"/>
      <c r="O14627"/>
      <c r="R14627"/>
      <c r="W14627" s="4"/>
      <c r="X14627" s="4"/>
      <c r="Y14627" s="4"/>
    </row>
    <row r="14628" spans="5:25">
      <c r="E14628"/>
      <c r="G14628"/>
      <c r="H14628"/>
      <c r="I14628"/>
      <c r="K14628"/>
      <c r="O14628"/>
      <c r="R14628"/>
      <c r="W14628" s="4"/>
      <c r="X14628" s="4"/>
      <c r="Y14628" s="4"/>
    </row>
    <row r="14629" spans="5:25">
      <c r="E14629"/>
      <c r="G14629"/>
      <c r="H14629"/>
      <c r="I14629"/>
      <c r="K14629"/>
      <c r="O14629"/>
      <c r="R14629"/>
      <c r="W14629" s="4"/>
      <c r="X14629" s="4"/>
      <c r="Y14629" s="4"/>
    </row>
    <row r="14630" spans="5:25">
      <c r="E14630"/>
      <c r="G14630"/>
      <c r="H14630"/>
      <c r="I14630"/>
      <c r="K14630"/>
      <c r="O14630"/>
      <c r="R14630"/>
      <c r="W14630" s="4"/>
      <c r="X14630" s="4"/>
      <c r="Y14630" s="4"/>
    </row>
    <row r="14631" spans="5:25">
      <c r="E14631"/>
      <c r="G14631"/>
      <c r="H14631"/>
      <c r="I14631"/>
      <c r="K14631"/>
      <c r="O14631"/>
      <c r="R14631"/>
      <c r="W14631" s="4"/>
      <c r="X14631" s="4"/>
      <c r="Y14631" s="4"/>
    </row>
    <row r="14632" spans="5:25">
      <c r="E14632"/>
      <c r="G14632"/>
      <c r="H14632"/>
      <c r="I14632"/>
      <c r="K14632"/>
      <c r="O14632"/>
      <c r="R14632"/>
      <c r="W14632" s="4"/>
      <c r="X14632" s="4"/>
      <c r="Y14632" s="4"/>
    </row>
    <row r="14633" spans="5:25">
      <c r="E14633"/>
      <c r="G14633"/>
      <c r="H14633"/>
      <c r="I14633"/>
      <c r="K14633"/>
      <c r="O14633"/>
      <c r="R14633"/>
      <c r="W14633" s="4"/>
      <c r="X14633" s="4"/>
      <c r="Y14633" s="4"/>
    </row>
    <row r="14634" spans="5:25">
      <c r="E14634"/>
      <c r="G14634"/>
      <c r="H14634"/>
      <c r="I14634"/>
      <c r="K14634"/>
      <c r="O14634"/>
      <c r="R14634"/>
      <c r="W14634" s="4"/>
      <c r="X14634" s="4"/>
      <c r="Y14634" s="4"/>
    </row>
    <row r="14635" spans="5:25">
      <c r="E14635"/>
      <c r="G14635"/>
      <c r="H14635"/>
      <c r="I14635"/>
      <c r="K14635"/>
      <c r="O14635"/>
      <c r="R14635"/>
      <c r="W14635" s="4"/>
      <c r="X14635" s="4"/>
      <c r="Y14635" s="4"/>
    </row>
    <row r="14636" spans="5:25">
      <c r="E14636"/>
      <c r="G14636"/>
      <c r="H14636"/>
      <c r="I14636"/>
      <c r="K14636"/>
      <c r="O14636"/>
      <c r="R14636"/>
      <c r="W14636" s="4"/>
      <c r="X14636" s="4"/>
      <c r="Y14636" s="4"/>
    </row>
    <row r="14637" spans="5:25">
      <c r="E14637"/>
      <c r="G14637"/>
      <c r="H14637"/>
      <c r="I14637"/>
      <c r="K14637"/>
      <c r="O14637"/>
      <c r="R14637"/>
      <c r="W14637" s="4"/>
      <c r="X14637" s="4"/>
      <c r="Y14637" s="4"/>
    </row>
    <row r="14638" spans="5:25">
      <c r="E14638"/>
      <c r="G14638"/>
      <c r="H14638"/>
      <c r="I14638"/>
      <c r="K14638"/>
      <c r="O14638"/>
      <c r="R14638"/>
      <c r="W14638" s="4"/>
      <c r="X14638" s="4"/>
      <c r="Y14638" s="4"/>
    </row>
    <row r="14639" spans="5:25">
      <c r="E14639"/>
      <c r="G14639"/>
      <c r="H14639"/>
      <c r="I14639"/>
      <c r="K14639"/>
      <c r="O14639"/>
      <c r="R14639"/>
      <c r="W14639" s="4"/>
      <c r="X14639" s="4"/>
      <c r="Y14639" s="4"/>
    </row>
    <row r="14640" spans="5:25">
      <c r="E14640"/>
      <c r="G14640"/>
      <c r="H14640"/>
      <c r="I14640"/>
      <c r="K14640"/>
      <c r="O14640"/>
      <c r="R14640"/>
      <c r="W14640" s="4"/>
      <c r="X14640" s="4"/>
      <c r="Y14640" s="4"/>
    </row>
    <row r="14641" spans="5:25">
      <c r="E14641"/>
      <c r="G14641"/>
      <c r="H14641"/>
      <c r="I14641"/>
      <c r="K14641"/>
      <c r="O14641"/>
      <c r="R14641"/>
      <c r="W14641" s="4"/>
      <c r="X14641" s="4"/>
      <c r="Y14641" s="4"/>
    </row>
    <row r="14642" spans="5:25">
      <c r="E14642"/>
      <c r="G14642"/>
      <c r="H14642"/>
      <c r="I14642"/>
      <c r="K14642"/>
      <c r="O14642"/>
      <c r="R14642"/>
      <c r="W14642" s="4"/>
      <c r="X14642" s="4"/>
      <c r="Y14642" s="4"/>
    </row>
    <row r="14643" spans="5:25">
      <c r="E14643"/>
      <c r="G14643"/>
      <c r="H14643"/>
      <c r="I14643"/>
      <c r="K14643"/>
      <c r="O14643"/>
      <c r="R14643"/>
      <c r="W14643" s="4"/>
      <c r="X14643" s="4"/>
      <c r="Y14643" s="4"/>
    </row>
    <row r="14644" spans="5:25">
      <c r="E14644"/>
      <c r="G14644"/>
      <c r="H14644"/>
      <c r="I14644"/>
      <c r="K14644"/>
      <c r="O14644"/>
      <c r="R14644"/>
      <c r="W14644" s="4"/>
      <c r="X14644" s="4"/>
      <c r="Y14644" s="4"/>
    </row>
    <row r="14645" spans="5:25">
      <c r="E14645"/>
      <c r="G14645"/>
      <c r="H14645"/>
      <c r="I14645"/>
      <c r="K14645"/>
      <c r="O14645"/>
      <c r="R14645"/>
      <c r="W14645" s="4"/>
      <c r="X14645" s="4"/>
      <c r="Y14645" s="4"/>
    </row>
    <row r="14646" spans="5:25">
      <c r="E14646"/>
      <c r="G14646"/>
      <c r="H14646"/>
      <c r="I14646"/>
      <c r="K14646"/>
      <c r="O14646"/>
      <c r="R14646"/>
      <c r="W14646" s="4"/>
      <c r="X14646" s="4"/>
      <c r="Y14646" s="4"/>
    </row>
    <row r="14647" spans="5:25">
      <c r="E14647"/>
      <c r="G14647"/>
      <c r="H14647"/>
      <c r="I14647"/>
      <c r="K14647"/>
      <c r="O14647"/>
      <c r="R14647"/>
      <c r="W14647" s="4"/>
      <c r="X14647" s="4"/>
      <c r="Y14647" s="4"/>
    </row>
    <row r="14648" spans="5:25">
      <c r="E14648"/>
      <c r="G14648"/>
      <c r="H14648"/>
      <c r="I14648"/>
      <c r="K14648"/>
      <c r="O14648"/>
      <c r="R14648"/>
      <c r="W14648" s="4"/>
      <c r="X14648" s="4"/>
      <c r="Y14648" s="4"/>
    </row>
    <row r="14649" spans="5:25">
      <c r="E14649"/>
      <c r="G14649"/>
      <c r="H14649"/>
      <c r="I14649"/>
      <c r="K14649"/>
      <c r="O14649"/>
      <c r="R14649"/>
      <c r="W14649" s="4"/>
      <c r="X14649" s="4"/>
      <c r="Y14649" s="4"/>
    </row>
    <row r="14650" spans="5:25">
      <c r="E14650"/>
      <c r="G14650"/>
      <c r="H14650"/>
      <c r="I14650"/>
      <c r="K14650"/>
      <c r="O14650"/>
      <c r="R14650"/>
      <c r="W14650" s="4"/>
      <c r="X14650" s="4"/>
      <c r="Y14650" s="4"/>
    </row>
    <row r="14651" spans="5:25">
      <c r="E14651"/>
      <c r="G14651"/>
      <c r="H14651"/>
      <c r="I14651"/>
      <c r="K14651"/>
      <c r="O14651"/>
      <c r="R14651"/>
      <c r="W14651" s="4"/>
      <c r="X14651" s="4"/>
      <c r="Y14651" s="4"/>
    </row>
    <row r="14652" spans="5:25">
      <c r="E14652"/>
      <c r="G14652"/>
      <c r="H14652"/>
      <c r="I14652"/>
      <c r="K14652"/>
      <c r="O14652"/>
      <c r="R14652"/>
      <c r="W14652" s="4"/>
      <c r="X14652" s="4"/>
      <c r="Y14652" s="4"/>
    </row>
    <row r="14653" spans="5:25">
      <c r="E14653"/>
      <c r="G14653"/>
      <c r="H14653"/>
      <c r="I14653"/>
      <c r="K14653"/>
      <c r="O14653"/>
      <c r="R14653"/>
      <c r="W14653" s="4"/>
      <c r="X14653" s="4"/>
      <c r="Y14653" s="4"/>
    </row>
    <row r="14654" spans="5:25">
      <c r="E14654"/>
      <c r="G14654"/>
      <c r="H14654"/>
      <c r="I14654"/>
      <c r="K14654"/>
      <c r="O14654"/>
      <c r="R14654"/>
      <c r="W14654" s="4"/>
      <c r="X14654" s="4"/>
      <c r="Y14654" s="4"/>
    </row>
    <row r="14655" spans="5:25">
      <c r="E14655"/>
      <c r="G14655"/>
      <c r="H14655"/>
      <c r="I14655"/>
      <c r="K14655"/>
      <c r="O14655"/>
      <c r="R14655"/>
      <c r="W14655" s="4"/>
      <c r="X14655" s="4"/>
      <c r="Y14655" s="4"/>
    </row>
    <row r="14656" spans="5:25">
      <c r="E14656"/>
      <c r="G14656"/>
      <c r="H14656"/>
      <c r="I14656"/>
      <c r="K14656"/>
      <c r="O14656"/>
      <c r="R14656"/>
      <c r="W14656" s="4"/>
      <c r="X14656" s="4"/>
      <c r="Y14656" s="4"/>
    </row>
    <row r="14657" spans="5:25">
      <c r="E14657"/>
      <c r="G14657"/>
      <c r="H14657"/>
      <c r="I14657"/>
      <c r="K14657"/>
      <c r="O14657"/>
      <c r="R14657"/>
      <c r="W14657" s="4"/>
      <c r="X14657" s="4"/>
      <c r="Y14657" s="4"/>
    </row>
    <row r="14658" spans="5:25">
      <c r="E14658"/>
      <c r="G14658"/>
      <c r="H14658"/>
      <c r="I14658"/>
      <c r="K14658"/>
      <c r="O14658"/>
      <c r="R14658"/>
      <c r="W14658" s="4"/>
      <c r="X14658" s="4"/>
      <c r="Y14658" s="4"/>
    </row>
    <row r="14659" spans="5:25">
      <c r="E14659"/>
      <c r="G14659"/>
      <c r="H14659"/>
      <c r="I14659"/>
      <c r="K14659"/>
      <c r="O14659"/>
      <c r="R14659"/>
      <c r="W14659" s="4"/>
      <c r="X14659" s="4"/>
      <c r="Y14659" s="4"/>
    </row>
    <row r="14660" spans="5:25">
      <c r="E14660"/>
      <c r="G14660"/>
      <c r="H14660"/>
      <c r="I14660"/>
      <c r="K14660"/>
      <c r="O14660"/>
      <c r="R14660"/>
      <c r="W14660" s="4"/>
      <c r="X14660" s="4"/>
      <c r="Y14660" s="4"/>
    </row>
    <row r="14661" spans="5:25">
      <c r="E14661"/>
      <c r="G14661"/>
      <c r="H14661"/>
      <c r="I14661"/>
      <c r="K14661"/>
      <c r="O14661"/>
      <c r="R14661"/>
      <c r="W14661" s="4"/>
      <c r="X14661" s="4"/>
      <c r="Y14661" s="4"/>
    </row>
    <row r="14662" spans="5:25">
      <c r="E14662"/>
      <c r="G14662"/>
      <c r="H14662"/>
      <c r="I14662"/>
      <c r="K14662"/>
      <c r="O14662"/>
      <c r="R14662"/>
      <c r="W14662" s="4"/>
      <c r="X14662" s="4"/>
      <c r="Y14662" s="4"/>
    </row>
    <row r="14663" spans="5:25">
      <c r="E14663"/>
      <c r="G14663"/>
      <c r="H14663"/>
      <c r="I14663"/>
      <c r="K14663"/>
      <c r="O14663"/>
      <c r="R14663"/>
      <c r="W14663" s="4"/>
      <c r="X14663" s="4"/>
      <c r="Y14663" s="4"/>
    </row>
    <row r="14664" spans="5:25">
      <c r="E14664"/>
      <c r="G14664"/>
      <c r="H14664"/>
      <c r="I14664"/>
      <c r="K14664"/>
      <c r="O14664"/>
      <c r="R14664"/>
      <c r="W14664" s="4"/>
      <c r="X14664" s="4"/>
      <c r="Y14664" s="4"/>
    </row>
    <row r="14665" spans="5:25">
      <c r="E14665"/>
      <c r="G14665"/>
      <c r="H14665"/>
      <c r="I14665"/>
      <c r="K14665"/>
      <c r="O14665"/>
      <c r="R14665"/>
      <c r="W14665" s="4"/>
      <c r="X14665" s="4"/>
      <c r="Y14665" s="4"/>
    </row>
    <row r="14666" spans="5:25">
      <c r="E14666"/>
      <c r="G14666"/>
      <c r="H14666"/>
      <c r="I14666"/>
      <c r="K14666"/>
      <c r="O14666"/>
      <c r="R14666"/>
      <c r="W14666" s="4"/>
      <c r="X14666" s="4"/>
      <c r="Y14666" s="4"/>
    </row>
    <row r="14667" spans="5:25">
      <c r="E14667"/>
      <c r="G14667"/>
      <c r="H14667"/>
      <c r="I14667"/>
      <c r="K14667"/>
      <c r="O14667"/>
      <c r="R14667"/>
      <c r="W14667" s="4"/>
      <c r="X14667" s="4"/>
      <c r="Y14667" s="4"/>
    </row>
    <row r="14668" spans="5:25">
      <c r="E14668"/>
      <c r="G14668"/>
      <c r="H14668"/>
      <c r="I14668"/>
      <c r="K14668"/>
      <c r="O14668"/>
      <c r="R14668"/>
      <c r="W14668" s="4"/>
      <c r="X14668" s="4"/>
      <c r="Y14668" s="4"/>
    </row>
    <row r="14669" spans="5:25">
      <c r="E14669"/>
      <c r="G14669"/>
      <c r="H14669"/>
      <c r="I14669"/>
      <c r="K14669"/>
      <c r="O14669"/>
      <c r="R14669"/>
      <c r="W14669" s="4"/>
      <c r="X14669" s="4"/>
      <c r="Y14669" s="4"/>
    </row>
    <row r="14670" spans="5:25">
      <c r="E14670"/>
      <c r="G14670"/>
      <c r="H14670"/>
      <c r="I14670"/>
      <c r="K14670"/>
      <c r="O14670"/>
      <c r="R14670"/>
      <c r="W14670" s="4"/>
      <c r="X14670" s="4"/>
      <c r="Y14670" s="4"/>
    </row>
    <row r="14671" spans="5:25">
      <c r="E14671"/>
      <c r="G14671"/>
      <c r="H14671"/>
      <c r="I14671"/>
      <c r="K14671"/>
      <c r="O14671"/>
      <c r="R14671"/>
      <c r="W14671" s="4"/>
      <c r="X14671" s="4"/>
      <c r="Y14671" s="4"/>
    </row>
    <row r="14672" spans="5:25">
      <c r="E14672"/>
      <c r="G14672"/>
      <c r="H14672"/>
      <c r="I14672"/>
      <c r="K14672"/>
      <c r="O14672"/>
      <c r="R14672"/>
      <c r="W14672" s="4"/>
      <c r="X14672" s="4"/>
      <c r="Y14672" s="4"/>
    </row>
    <row r="14673" spans="5:25">
      <c r="E14673"/>
      <c r="G14673"/>
      <c r="H14673"/>
      <c r="I14673"/>
      <c r="K14673"/>
      <c r="O14673"/>
      <c r="R14673"/>
      <c r="W14673" s="4"/>
      <c r="X14673" s="4"/>
      <c r="Y14673" s="4"/>
    </row>
    <row r="14674" spans="5:25">
      <c r="E14674"/>
      <c r="G14674"/>
      <c r="H14674"/>
      <c r="I14674"/>
      <c r="K14674"/>
      <c r="O14674"/>
      <c r="R14674"/>
      <c r="W14674" s="4"/>
      <c r="X14674" s="4"/>
      <c r="Y14674" s="4"/>
    </row>
    <row r="14675" spans="5:25">
      <c r="E14675"/>
      <c r="G14675"/>
      <c r="H14675"/>
      <c r="I14675"/>
      <c r="K14675"/>
      <c r="O14675"/>
      <c r="R14675"/>
      <c r="W14675" s="4"/>
      <c r="X14675" s="4"/>
      <c r="Y14675" s="4"/>
    </row>
    <row r="14676" spans="5:25">
      <c r="E14676"/>
      <c r="G14676"/>
      <c r="H14676"/>
      <c r="I14676"/>
      <c r="K14676"/>
      <c r="O14676"/>
      <c r="R14676"/>
      <c r="W14676" s="4"/>
      <c r="X14676" s="4"/>
      <c r="Y14676" s="4"/>
    </row>
    <row r="14677" spans="5:25">
      <c r="E14677"/>
      <c r="G14677"/>
      <c r="H14677"/>
      <c r="I14677"/>
      <c r="K14677"/>
      <c r="O14677"/>
      <c r="R14677"/>
      <c r="W14677" s="4"/>
      <c r="X14677" s="4"/>
      <c r="Y14677" s="4"/>
    </row>
    <row r="14678" spans="5:25">
      <c r="E14678"/>
      <c r="G14678"/>
      <c r="H14678"/>
      <c r="I14678"/>
      <c r="K14678"/>
      <c r="O14678"/>
      <c r="R14678"/>
      <c r="W14678" s="4"/>
      <c r="X14678" s="4"/>
      <c r="Y14678" s="4"/>
    </row>
    <row r="14679" spans="5:25">
      <c r="E14679"/>
      <c r="G14679"/>
      <c r="H14679"/>
      <c r="I14679"/>
      <c r="K14679"/>
      <c r="O14679"/>
      <c r="R14679"/>
      <c r="W14679" s="4"/>
      <c r="X14679" s="4"/>
      <c r="Y14679" s="4"/>
    </row>
    <row r="14680" spans="5:25">
      <c r="E14680"/>
      <c r="G14680"/>
      <c r="H14680"/>
      <c r="I14680"/>
      <c r="K14680"/>
      <c r="O14680"/>
      <c r="R14680"/>
      <c r="W14680" s="4"/>
      <c r="X14680" s="4"/>
      <c r="Y14680" s="4"/>
    </row>
    <row r="14681" spans="5:25">
      <c r="E14681"/>
      <c r="G14681"/>
      <c r="H14681"/>
      <c r="I14681"/>
      <c r="K14681"/>
      <c r="O14681"/>
      <c r="R14681"/>
      <c r="W14681" s="4"/>
      <c r="X14681" s="4"/>
      <c r="Y14681" s="4"/>
    </row>
    <row r="14682" spans="5:25">
      <c r="E14682"/>
      <c r="G14682"/>
      <c r="H14682"/>
      <c r="I14682"/>
      <c r="K14682"/>
      <c r="O14682"/>
      <c r="R14682"/>
      <c r="W14682" s="4"/>
      <c r="X14682" s="4"/>
      <c r="Y14682" s="4"/>
    </row>
    <row r="14683" spans="5:25">
      <c r="E14683"/>
      <c r="G14683"/>
      <c r="H14683"/>
      <c r="I14683"/>
      <c r="K14683"/>
      <c r="O14683"/>
      <c r="R14683"/>
      <c r="W14683" s="4"/>
      <c r="X14683" s="4"/>
      <c r="Y14683" s="4"/>
    </row>
    <row r="14684" spans="5:25">
      <c r="E14684"/>
      <c r="G14684"/>
      <c r="H14684"/>
      <c r="I14684"/>
      <c r="K14684"/>
      <c r="O14684"/>
      <c r="R14684"/>
      <c r="W14684" s="4"/>
      <c r="X14684" s="4"/>
      <c r="Y14684" s="4"/>
    </row>
    <row r="14685" spans="5:25">
      <c r="E14685"/>
      <c r="G14685"/>
      <c r="H14685"/>
      <c r="I14685"/>
      <c r="K14685"/>
      <c r="O14685"/>
      <c r="R14685"/>
      <c r="W14685" s="4"/>
      <c r="X14685" s="4"/>
      <c r="Y14685" s="4"/>
    </row>
    <row r="14686" spans="5:25">
      <c r="E14686"/>
      <c r="G14686"/>
      <c r="H14686"/>
      <c r="I14686"/>
      <c r="K14686"/>
      <c r="O14686"/>
      <c r="R14686"/>
      <c r="W14686" s="4"/>
      <c r="X14686" s="4"/>
      <c r="Y14686" s="4"/>
    </row>
    <row r="14687" spans="5:25">
      <c r="E14687"/>
      <c r="G14687"/>
      <c r="H14687"/>
      <c r="I14687"/>
      <c r="K14687"/>
      <c r="O14687"/>
      <c r="R14687"/>
      <c r="W14687" s="4"/>
      <c r="X14687" s="4"/>
      <c r="Y14687" s="4"/>
    </row>
    <row r="14688" spans="5:25">
      <c r="E14688"/>
      <c r="G14688"/>
      <c r="H14688"/>
      <c r="I14688"/>
      <c r="K14688"/>
      <c r="O14688"/>
      <c r="R14688"/>
      <c r="W14688" s="4"/>
      <c r="X14688" s="4"/>
      <c r="Y14688" s="4"/>
    </row>
    <row r="14689" spans="5:25">
      <c r="E14689"/>
      <c r="G14689"/>
      <c r="H14689"/>
      <c r="I14689"/>
      <c r="K14689"/>
      <c r="O14689"/>
      <c r="R14689"/>
      <c r="W14689" s="4"/>
      <c r="X14689" s="4"/>
      <c r="Y14689" s="4"/>
    </row>
    <row r="14690" spans="5:25">
      <c r="E14690"/>
      <c r="G14690"/>
      <c r="H14690"/>
      <c r="I14690"/>
      <c r="K14690"/>
      <c r="O14690"/>
      <c r="R14690"/>
      <c r="W14690" s="4"/>
      <c r="X14690" s="4"/>
      <c r="Y14690" s="4"/>
    </row>
    <row r="14691" spans="5:25">
      <c r="E14691"/>
      <c r="G14691"/>
      <c r="H14691"/>
      <c r="I14691"/>
      <c r="K14691"/>
      <c r="O14691"/>
      <c r="R14691"/>
      <c r="W14691" s="4"/>
      <c r="X14691" s="4"/>
      <c r="Y14691" s="4"/>
    </row>
    <row r="14692" spans="5:25">
      <c r="E14692"/>
      <c r="G14692"/>
      <c r="H14692"/>
      <c r="I14692"/>
      <c r="K14692"/>
      <c r="O14692"/>
      <c r="R14692"/>
      <c r="W14692" s="4"/>
      <c r="X14692" s="4"/>
      <c r="Y14692" s="4"/>
    </row>
    <row r="14693" spans="5:25">
      <c r="E14693"/>
      <c r="G14693"/>
      <c r="H14693"/>
      <c r="I14693"/>
      <c r="K14693"/>
      <c r="O14693"/>
      <c r="R14693"/>
      <c r="W14693" s="4"/>
      <c r="X14693" s="4"/>
      <c r="Y14693" s="4"/>
    </row>
    <row r="14694" spans="5:25">
      <c r="E14694"/>
      <c r="G14694"/>
      <c r="H14694"/>
      <c r="I14694"/>
      <c r="K14694"/>
      <c r="O14694"/>
      <c r="R14694"/>
      <c r="W14694" s="4"/>
      <c r="X14694" s="4"/>
      <c r="Y14694" s="4"/>
    </row>
    <row r="14695" spans="5:25">
      <c r="E14695"/>
      <c r="G14695"/>
      <c r="H14695"/>
      <c r="I14695"/>
      <c r="K14695"/>
      <c r="O14695"/>
      <c r="R14695"/>
      <c r="W14695" s="4"/>
      <c r="X14695" s="4"/>
      <c r="Y14695" s="4"/>
    </row>
    <row r="14696" spans="5:25">
      <c r="E14696"/>
      <c r="G14696"/>
      <c r="H14696"/>
      <c r="I14696"/>
      <c r="K14696"/>
      <c r="O14696"/>
      <c r="R14696"/>
      <c r="W14696" s="4"/>
      <c r="X14696" s="4"/>
      <c r="Y14696" s="4"/>
    </row>
    <row r="14697" spans="5:25">
      <c r="E14697"/>
      <c r="G14697"/>
      <c r="H14697"/>
      <c r="I14697"/>
      <c r="K14697"/>
      <c r="O14697"/>
      <c r="R14697"/>
      <c r="W14697" s="4"/>
      <c r="X14697" s="4"/>
      <c r="Y14697" s="4"/>
    </row>
    <row r="14698" spans="5:25">
      <c r="E14698"/>
      <c r="G14698"/>
      <c r="H14698"/>
      <c r="I14698"/>
      <c r="K14698"/>
      <c r="O14698"/>
      <c r="R14698"/>
      <c r="W14698" s="4"/>
      <c r="X14698" s="4"/>
      <c r="Y14698" s="4"/>
    </row>
    <row r="14699" spans="5:25">
      <c r="E14699"/>
      <c r="G14699"/>
      <c r="H14699"/>
      <c r="I14699"/>
      <c r="K14699"/>
      <c r="O14699"/>
      <c r="R14699"/>
      <c r="W14699" s="4"/>
      <c r="X14699" s="4"/>
      <c r="Y14699" s="4"/>
    </row>
    <row r="14700" spans="5:25">
      <c r="E14700"/>
      <c r="G14700"/>
      <c r="H14700"/>
      <c r="I14700"/>
      <c r="K14700"/>
      <c r="O14700"/>
      <c r="R14700"/>
      <c r="W14700" s="4"/>
      <c r="X14700" s="4"/>
      <c r="Y14700" s="4"/>
    </row>
    <row r="14701" spans="5:25">
      <c r="E14701"/>
      <c r="G14701"/>
      <c r="H14701"/>
      <c r="I14701"/>
      <c r="K14701"/>
      <c r="O14701"/>
      <c r="R14701"/>
      <c r="W14701" s="4"/>
      <c r="X14701" s="4"/>
      <c r="Y14701" s="4"/>
    </row>
    <row r="14702" spans="5:25">
      <c r="E14702"/>
      <c r="G14702"/>
      <c r="H14702"/>
      <c r="I14702"/>
      <c r="K14702"/>
      <c r="O14702"/>
      <c r="R14702"/>
      <c r="W14702" s="4"/>
      <c r="X14702" s="4"/>
      <c r="Y14702" s="4"/>
    </row>
    <row r="14703" spans="5:25">
      <c r="E14703"/>
      <c r="G14703"/>
      <c r="H14703"/>
      <c r="I14703"/>
      <c r="K14703"/>
      <c r="O14703"/>
      <c r="R14703"/>
      <c r="W14703" s="4"/>
      <c r="X14703" s="4"/>
      <c r="Y14703" s="4"/>
    </row>
    <row r="14704" spans="5:25">
      <c r="E14704"/>
      <c r="G14704"/>
      <c r="H14704"/>
      <c r="I14704"/>
      <c r="K14704"/>
      <c r="O14704"/>
      <c r="R14704"/>
      <c r="W14704" s="4"/>
      <c r="X14704" s="4"/>
      <c r="Y14704" s="4"/>
    </row>
    <row r="14705" spans="5:25">
      <c r="E14705"/>
      <c r="G14705"/>
      <c r="H14705"/>
      <c r="I14705"/>
      <c r="K14705"/>
      <c r="O14705"/>
      <c r="R14705"/>
      <c r="W14705" s="4"/>
      <c r="X14705" s="4"/>
      <c r="Y14705" s="4"/>
    </row>
    <row r="14706" spans="5:25">
      <c r="E14706"/>
      <c r="G14706"/>
      <c r="H14706"/>
      <c r="I14706"/>
      <c r="K14706"/>
      <c r="O14706"/>
      <c r="R14706"/>
      <c r="W14706" s="4"/>
      <c r="X14706" s="4"/>
      <c r="Y14706" s="4"/>
    </row>
    <row r="14707" spans="5:25">
      <c r="E14707"/>
      <c r="G14707"/>
      <c r="H14707"/>
      <c r="I14707"/>
      <c r="K14707"/>
      <c r="O14707"/>
      <c r="R14707"/>
      <c r="W14707" s="4"/>
      <c r="X14707" s="4"/>
      <c r="Y14707" s="4"/>
    </row>
    <row r="14708" spans="5:25">
      <c r="E14708"/>
      <c r="G14708"/>
      <c r="H14708"/>
      <c r="I14708"/>
      <c r="K14708"/>
      <c r="O14708"/>
      <c r="R14708"/>
      <c r="W14708" s="4"/>
      <c r="X14708" s="4"/>
      <c r="Y14708" s="4"/>
    </row>
    <row r="14709" spans="5:25">
      <c r="E14709"/>
      <c r="G14709"/>
      <c r="H14709"/>
      <c r="I14709"/>
      <c r="K14709"/>
      <c r="O14709"/>
      <c r="R14709"/>
      <c r="W14709" s="4"/>
      <c r="X14709" s="4"/>
      <c r="Y14709" s="4"/>
    </row>
    <row r="14710" spans="5:25">
      <c r="E14710"/>
      <c r="G14710"/>
      <c r="H14710"/>
      <c r="I14710"/>
      <c r="K14710"/>
      <c r="O14710"/>
      <c r="R14710"/>
      <c r="W14710" s="4"/>
      <c r="X14710" s="4"/>
      <c r="Y14710" s="4"/>
    </row>
    <row r="14711" spans="5:25">
      <c r="E14711"/>
      <c r="G14711"/>
      <c r="H14711"/>
      <c r="I14711"/>
      <c r="K14711"/>
      <c r="O14711"/>
      <c r="R14711"/>
      <c r="W14711" s="4"/>
      <c r="X14711" s="4"/>
      <c r="Y14711" s="4"/>
    </row>
    <row r="14712" spans="5:25">
      <c r="E14712"/>
      <c r="G14712"/>
      <c r="H14712"/>
      <c r="I14712"/>
      <c r="K14712"/>
      <c r="O14712"/>
      <c r="R14712"/>
      <c r="W14712" s="4"/>
      <c r="X14712" s="4"/>
      <c r="Y14712" s="4"/>
    </row>
    <row r="14713" spans="5:25">
      <c r="E14713"/>
      <c r="G14713"/>
      <c r="H14713"/>
      <c r="I14713"/>
      <c r="K14713"/>
      <c r="O14713"/>
      <c r="R14713"/>
      <c r="W14713" s="4"/>
      <c r="X14713" s="4"/>
      <c r="Y14713" s="4"/>
    </row>
    <row r="14714" spans="5:25">
      <c r="E14714"/>
      <c r="G14714"/>
      <c r="H14714"/>
      <c r="I14714"/>
      <c r="K14714"/>
      <c r="O14714"/>
      <c r="R14714"/>
      <c r="W14714" s="4"/>
      <c r="X14714" s="4"/>
      <c r="Y14714" s="4"/>
    </row>
    <row r="14715" spans="5:25">
      <c r="E14715"/>
      <c r="G14715"/>
      <c r="H14715"/>
      <c r="I14715"/>
      <c r="K14715"/>
      <c r="O14715"/>
      <c r="R14715"/>
      <c r="W14715" s="4"/>
      <c r="X14715" s="4"/>
      <c r="Y14715" s="4"/>
    </row>
    <row r="14716" spans="5:25">
      <c r="E14716"/>
      <c r="G14716"/>
      <c r="H14716"/>
      <c r="I14716"/>
      <c r="K14716"/>
      <c r="O14716"/>
      <c r="R14716"/>
      <c r="W14716" s="4"/>
      <c r="X14716" s="4"/>
      <c r="Y14716" s="4"/>
    </row>
    <row r="14717" spans="5:25">
      <c r="E14717"/>
      <c r="G14717"/>
      <c r="H14717"/>
      <c r="I14717"/>
      <c r="K14717"/>
      <c r="O14717"/>
      <c r="R14717"/>
      <c r="W14717" s="4"/>
      <c r="X14717" s="4"/>
      <c r="Y14717" s="4"/>
    </row>
    <row r="14718" spans="5:25">
      <c r="E14718"/>
      <c r="G14718"/>
      <c r="H14718"/>
      <c r="I14718"/>
      <c r="K14718"/>
      <c r="O14718"/>
      <c r="R14718"/>
      <c r="W14718" s="4"/>
      <c r="X14718" s="4"/>
      <c r="Y14718" s="4"/>
    </row>
    <row r="14719" spans="5:25">
      <c r="E14719"/>
      <c r="G14719"/>
      <c r="H14719"/>
      <c r="I14719"/>
      <c r="K14719"/>
      <c r="O14719"/>
      <c r="R14719"/>
      <c r="W14719" s="4"/>
      <c r="X14719" s="4"/>
      <c r="Y14719" s="4"/>
    </row>
    <row r="14720" spans="5:25">
      <c r="E14720"/>
      <c r="G14720"/>
      <c r="H14720"/>
      <c r="I14720"/>
      <c r="K14720"/>
      <c r="O14720"/>
      <c r="R14720"/>
      <c r="W14720" s="4"/>
      <c r="X14720" s="4"/>
      <c r="Y14720" s="4"/>
    </row>
    <row r="14721" spans="5:25">
      <c r="E14721"/>
      <c r="G14721"/>
      <c r="H14721"/>
      <c r="I14721"/>
      <c r="K14721"/>
      <c r="O14721"/>
      <c r="R14721"/>
      <c r="W14721" s="4"/>
      <c r="X14721" s="4"/>
      <c r="Y14721" s="4"/>
    </row>
    <row r="14722" spans="5:25">
      <c r="E14722"/>
      <c r="G14722"/>
      <c r="H14722"/>
      <c r="I14722"/>
      <c r="K14722"/>
      <c r="O14722"/>
      <c r="R14722"/>
      <c r="W14722" s="4"/>
      <c r="X14722" s="4"/>
      <c r="Y14722" s="4"/>
    </row>
    <row r="14723" spans="5:25">
      <c r="E14723"/>
      <c r="G14723"/>
      <c r="H14723"/>
      <c r="I14723"/>
      <c r="K14723"/>
      <c r="O14723"/>
      <c r="R14723"/>
      <c r="W14723" s="4"/>
      <c r="X14723" s="4"/>
      <c r="Y14723" s="4"/>
    </row>
    <row r="14724" spans="5:25">
      <c r="E14724"/>
      <c r="G14724"/>
      <c r="H14724"/>
      <c r="I14724"/>
      <c r="K14724"/>
      <c r="O14724"/>
      <c r="R14724"/>
      <c r="W14724" s="4"/>
      <c r="X14724" s="4"/>
      <c r="Y14724" s="4"/>
    </row>
    <row r="14725" spans="5:25">
      <c r="E14725"/>
      <c r="G14725"/>
      <c r="H14725"/>
      <c r="I14725"/>
      <c r="K14725"/>
      <c r="O14725"/>
      <c r="R14725"/>
      <c r="W14725" s="4"/>
      <c r="X14725" s="4"/>
      <c r="Y14725" s="4"/>
    </row>
    <row r="14726" spans="5:25">
      <c r="E14726"/>
      <c r="G14726"/>
      <c r="H14726"/>
      <c r="I14726"/>
      <c r="K14726"/>
      <c r="O14726"/>
      <c r="R14726"/>
      <c r="W14726" s="4"/>
      <c r="X14726" s="4"/>
      <c r="Y14726" s="4"/>
    </row>
    <row r="14727" spans="5:25">
      <c r="E14727"/>
      <c r="G14727"/>
      <c r="H14727"/>
      <c r="I14727"/>
      <c r="K14727"/>
      <c r="O14727"/>
      <c r="R14727"/>
      <c r="W14727" s="4"/>
      <c r="X14727" s="4"/>
      <c r="Y14727" s="4"/>
    </row>
    <row r="14728" spans="5:25">
      <c r="E14728"/>
      <c r="G14728"/>
      <c r="H14728"/>
      <c r="I14728"/>
      <c r="K14728"/>
      <c r="O14728"/>
      <c r="R14728"/>
      <c r="W14728" s="4"/>
      <c r="X14728" s="4"/>
      <c r="Y14728" s="4"/>
    </row>
    <row r="14729" spans="5:25">
      <c r="E14729"/>
      <c r="G14729"/>
      <c r="H14729"/>
      <c r="I14729"/>
      <c r="K14729"/>
      <c r="O14729"/>
      <c r="R14729"/>
      <c r="W14729" s="4"/>
      <c r="X14729" s="4"/>
      <c r="Y14729" s="4"/>
    </row>
    <row r="14730" spans="5:25">
      <c r="E14730"/>
      <c r="G14730"/>
      <c r="H14730"/>
      <c r="I14730"/>
      <c r="K14730"/>
      <c r="O14730"/>
      <c r="R14730"/>
      <c r="W14730" s="4"/>
      <c r="X14730" s="4"/>
      <c r="Y14730" s="4"/>
    </row>
    <row r="14731" spans="5:25">
      <c r="E14731"/>
      <c r="G14731"/>
      <c r="H14731"/>
      <c r="I14731"/>
      <c r="K14731"/>
      <c r="O14731"/>
      <c r="R14731"/>
      <c r="W14731" s="4"/>
      <c r="X14731" s="4"/>
      <c r="Y14731" s="4"/>
    </row>
    <row r="14732" spans="5:25">
      <c r="E14732"/>
      <c r="G14732"/>
      <c r="H14732"/>
      <c r="I14732"/>
      <c r="K14732"/>
      <c r="O14732"/>
      <c r="R14732"/>
      <c r="W14732" s="4"/>
      <c r="X14732" s="4"/>
      <c r="Y14732" s="4"/>
    </row>
    <row r="14733" spans="5:25">
      <c r="E14733"/>
      <c r="G14733"/>
      <c r="H14733"/>
      <c r="I14733"/>
      <c r="K14733"/>
      <c r="O14733"/>
      <c r="R14733"/>
      <c r="W14733" s="4"/>
      <c r="X14733" s="4"/>
      <c r="Y14733" s="4"/>
    </row>
    <row r="14734" spans="5:25">
      <c r="E14734"/>
      <c r="G14734"/>
      <c r="H14734"/>
      <c r="I14734"/>
      <c r="K14734"/>
      <c r="O14734"/>
      <c r="R14734"/>
      <c r="W14734" s="4"/>
      <c r="X14734" s="4"/>
      <c r="Y14734" s="4"/>
    </row>
    <row r="14735" spans="5:25">
      <c r="E14735"/>
      <c r="G14735"/>
      <c r="H14735"/>
      <c r="I14735"/>
      <c r="K14735"/>
      <c r="O14735"/>
      <c r="R14735"/>
      <c r="W14735" s="4"/>
      <c r="X14735" s="4"/>
      <c r="Y14735" s="4"/>
    </row>
    <row r="14736" spans="5:25">
      <c r="E14736"/>
      <c r="G14736"/>
      <c r="H14736"/>
      <c r="I14736"/>
      <c r="K14736"/>
      <c r="O14736"/>
      <c r="R14736"/>
      <c r="W14736" s="4"/>
      <c r="X14736" s="4"/>
      <c r="Y14736" s="4"/>
    </row>
    <row r="14737" spans="5:25">
      <c r="E14737"/>
      <c r="G14737"/>
      <c r="H14737"/>
      <c r="I14737"/>
      <c r="K14737"/>
      <c r="O14737"/>
      <c r="R14737"/>
      <c r="W14737" s="4"/>
      <c r="X14737" s="4"/>
      <c r="Y14737" s="4"/>
    </row>
    <row r="14738" spans="5:25">
      <c r="E14738"/>
      <c r="G14738"/>
      <c r="H14738"/>
      <c r="I14738"/>
      <c r="K14738"/>
      <c r="O14738"/>
      <c r="R14738"/>
      <c r="W14738" s="4"/>
      <c r="X14738" s="4"/>
      <c r="Y14738" s="4"/>
    </row>
    <row r="14739" spans="5:25">
      <c r="E14739"/>
      <c r="G14739"/>
      <c r="H14739"/>
      <c r="I14739"/>
      <c r="K14739"/>
      <c r="O14739"/>
      <c r="R14739"/>
      <c r="W14739" s="4"/>
      <c r="X14739" s="4"/>
      <c r="Y14739" s="4"/>
    </row>
    <row r="14740" spans="5:25">
      <c r="E14740"/>
      <c r="G14740"/>
      <c r="H14740"/>
      <c r="I14740"/>
      <c r="K14740"/>
      <c r="O14740"/>
      <c r="R14740"/>
      <c r="W14740" s="4"/>
      <c r="X14740" s="4"/>
      <c r="Y14740" s="4"/>
    </row>
    <row r="14741" spans="5:25">
      <c r="E14741"/>
      <c r="G14741"/>
      <c r="H14741"/>
      <c r="I14741"/>
      <c r="K14741"/>
      <c r="O14741"/>
      <c r="R14741"/>
      <c r="W14741" s="4"/>
      <c r="X14741" s="4"/>
      <c r="Y14741" s="4"/>
    </row>
    <row r="14742" spans="5:25">
      <c r="E14742"/>
      <c r="G14742"/>
      <c r="H14742"/>
      <c r="I14742"/>
      <c r="K14742"/>
      <c r="O14742"/>
      <c r="R14742"/>
      <c r="W14742" s="4"/>
      <c r="X14742" s="4"/>
      <c r="Y14742" s="4"/>
    </row>
    <row r="14743" spans="5:25">
      <c r="E14743"/>
      <c r="G14743"/>
      <c r="H14743"/>
      <c r="I14743"/>
      <c r="K14743"/>
      <c r="O14743"/>
      <c r="R14743"/>
      <c r="W14743" s="4"/>
      <c r="X14743" s="4"/>
      <c r="Y14743" s="4"/>
    </row>
    <row r="14744" spans="5:25">
      <c r="E14744"/>
      <c r="G14744"/>
      <c r="H14744"/>
      <c r="I14744"/>
      <c r="K14744"/>
      <c r="O14744"/>
      <c r="R14744"/>
      <c r="W14744" s="4"/>
      <c r="X14744" s="4"/>
      <c r="Y14744" s="4"/>
    </row>
    <row r="14745" spans="5:25">
      <c r="E14745"/>
      <c r="G14745"/>
      <c r="H14745"/>
      <c r="I14745"/>
      <c r="K14745"/>
      <c r="O14745"/>
      <c r="R14745"/>
      <c r="W14745" s="4"/>
      <c r="X14745" s="4"/>
      <c r="Y14745" s="4"/>
    </row>
    <row r="14746" spans="5:25">
      <c r="E14746"/>
      <c r="G14746"/>
      <c r="H14746"/>
      <c r="I14746"/>
      <c r="K14746"/>
      <c r="O14746"/>
      <c r="R14746"/>
      <c r="W14746" s="4"/>
      <c r="X14746" s="4"/>
      <c r="Y14746" s="4"/>
    </row>
    <row r="14747" spans="5:25">
      <c r="E14747"/>
      <c r="G14747"/>
      <c r="H14747"/>
      <c r="I14747"/>
      <c r="K14747"/>
      <c r="O14747"/>
      <c r="R14747"/>
      <c r="W14747" s="4"/>
      <c r="X14747" s="4"/>
      <c r="Y14747" s="4"/>
    </row>
    <row r="14748" spans="5:25">
      <c r="E14748"/>
      <c r="G14748"/>
      <c r="H14748"/>
      <c r="I14748"/>
      <c r="K14748"/>
      <c r="O14748"/>
      <c r="R14748"/>
      <c r="W14748" s="4"/>
      <c r="X14748" s="4"/>
      <c r="Y14748" s="4"/>
    </row>
    <row r="14749" spans="5:25">
      <c r="E14749"/>
      <c r="G14749"/>
      <c r="H14749"/>
      <c r="I14749"/>
      <c r="K14749"/>
      <c r="O14749"/>
      <c r="R14749"/>
      <c r="W14749" s="4"/>
      <c r="X14749" s="4"/>
      <c r="Y14749" s="4"/>
    </row>
    <row r="14750" spans="5:25">
      <c r="E14750"/>
      <c r="G14750"/>
      <c r="H14750"/>
      <c r="I14750"/>
      <c r="K14750"/>
      <c r="O14750"/>
      <c r="R14750"/>
      <c r="W14750" s="4"/>
      <c r="X14750" s="4"/>
      <c r="Y14750" s="4"/>
    </row>
    <row r="14751" spans="5:25">
      <c r="E14751"/>
      <c r="G14751"/>
      <c r="H14751"/>
      <c r="I14751"/>
      <c r="K14751"/>
      <c r="O14751"/>
      <c r="R14751"/>
      <c r="W14751" s="4"/>
      <c r="X14751" s="4"/>
      <c r="Y14751" s="4"/>
    </row>
    <row r="14752" spans="5:25">
      <c r="E14752"/>
      <c r="G14752"/>
      <c r="H14752"/>
      <c r="I14752"/>
      <c r="K14752"/>
      <c r="O14752"/>
      <c r="R14752"/>
      <c r="W14752" s="4"/>
      <c r="X14752" s="4"/>
      <c r="Y14752" s="4"/>
    </row>
    <row r="14753" spans="5:25">
      <c r="E14753"/>
      <c r="G14753"/>
      <c r="H14753"/>
      <c r="I14753"/>
      <c r="K14753"/>
      <c r="O14753"/>
      <c r="R14753"/>
      <c r="W14753" s="4"/>
      <c r="X14753" s="4"/>
      <c r="Y14753" s="4"/>
    </row>
    <row r="14754" spans="5:25">
      <c r="E14754"/>
      <c r="G14754"/>
      <c r="H14754"/>
      <c r="I14754"/>
      <c r="K14754"/>
      <c r="O14754"/>
      <c r="R14754"/>
      <c r="W14754" s="4"/>
      <c r="X14754" s="4"/>
      <c r="Y14754" s="4"/>
    </row>
    <row r="14755" spans="5:25">
      <c r="E14755"/>
      <c r="G14755"/>
      <c r="H14755"/>
      <c r="I14755"/>
      <c r="K14755"/>
      <c r="O14755"/>
      <c r="R14755"/>
      <c r="W14755" s="4"/>
      <c r="X14755" s="4"/>
      <c r="Y14755" s="4"/>
    </row>
    <row r="14756" spans="5:25">
      <c r="E14756"/>
      <c r="G14756"/>
      <c r="H14756"/>
      <c r="I14756"/>
      <c r="K14756"/>
      <c r="O14756"/>
      <c r="R14756"/>
      <c r="W14756" s="4"/>
      <c r="X14756" s="4"/>
      <c r="Y14756" s="4"/>
    </row>
    <row r="14757" spans="5:25">
      <c r="E14757"/>
      <c r="G14757"/>
      <c r="H14757"/>
      <c r="I14757"/>
      <c r="K14757"/>
      <c r="O14757"/>
      <c r="R14757"/>
      <c r="W14757" s="4"/>
      <c r="X14757" s="4"/>
      <c r="Y14757" s="4"/>
    </row>
    <row r="14758" spans="5:25">
      <c r="E14758"/>
      <c r="G14758"/>
      <c r="H14758"/>
      <c r="I14758"/>
      <c r="K14758"/>
      <c r="O14758"/>
      <c r="R14758"/>
      <c r="W14758" s="4"/>
      <c r="X14758" s="4"/>
      <c r="Y14758" s="4"/>
    </row>
    <row r="14759" spans="5:25">
      <c r="E14759"/>
      <c r="G14759"/>
      <c r="H14759"/>
      <c r="I14759"/>
      <c r="K14759"/>
      <c r="O14759"/>
      <c r="R14759"/>
      <c r="W14759" s="4"/>
      <c r="X14759" s="4"/>
      <c r="Y14759" s="4"/>
    </row>
    <row r="14760" spans="5:25">
      <c r="E14760"/>
      <c r="G14760"/>
      <c r="H14760"/>
      <c r="I14760"/>
      <c r="K14760"/>
      <c r="O14760"/>
      <c r="R14760"/>
      <c r="W14760" s="4"/>
      <c r="X14760" s="4"/>
      <c r="Y14760" s="4"/>
    </row>
    <row r="14761" spans="5:25">
      <c r="E14761"/>
      <c r="G14761"/>
      <c r="H14761"/>
      <c r="I14761"/>
      <c r="K14761"/>
      <c r="O14761"/>
      <c r="R14761"/>
      <c r="W14761" s="4"/>
      <c r="X14761" s="4"/>
      <c r="Y14761" s="4"/>
    </row>
    <row r="14762" spans="5:25">
      <c r="E14762"/>
      <c r="G14762"/>
      <c r="H14762"/>
      <c r="I14762"/>
      <c r="K14762"/>
      <c r="O14762"/>
      <c r="R14762"/>
      <c r="W14762" s="4"/>
      <c r="X14762" s="4"/>
      <c r="Y14762" s="4"/>
    </row>
    <row r="14763" spans="5:25">
      <c r="E14763"/>
      <c r="G14763"/>
      <c r="H14763"/>
      <c r="I14763"/>
      <c r="K14763"/>
      <c r="O14763"/>
      <c r="R14763"/>
      <c r="W14763" s="4"/>
      <c r="X14763" s="4"/>
      <c r="Y14763" s="4"/>
    </row>
    <row r="14764" spans="5:25">
      <c r="E14764"/>
      <c r="G14764"/>
      <c r="H14764"/>
      <c r="I14764"/>
      <c r="K14764"/>
      <c r="O14764"/>
      <c r="R14764"/>
      <c r="W14764" s="4"/>
      <c r="X14764" s="4"/>
      <c r="Y14764" s="4"/>
    </row>
    <row r="14765" spans="5:25">
      <c r="E14765"/>
      <c r="G14765"/>
      <c r="H14765"/>
      <c r="I14765"/>
      <c r="K14765"/>
      <c r="O14765"/>
      <c r="R14765"/>
      <c r="W14765" s="4"/>
      <c r="X14765" s="4"/>
      <c r="Y14765" s="4"/>
    </row>
    <row r="14766" spans="5:25">
      <c r="E14766"/>
      <c r="G14766"/>
      <c r="H14766"/>
      <c r="I14766"/>
      <c r="K14766"/>
      <c r="O14766"/>
      <c r="R14766"/>
      <c r="W14766" s="4"/>
      <c r="X14766" s="4"/>
      <c r="Y14766" s="4"/>
    </row>
    <row r="14767" spans="5:25">
      <c r="E14767"/>
      <c r="G14767"/>
      <c r="H14767"/>
      <c r="I14767"/>
      <c r="K14767"/>
      <c r="O14767"/>
      <c r="R14767"/>
      <c r="W14767" s="4"/>
      <c r="X14767" s="4"/>
      <c r="Y14767" s="4"/>
    </row>
    <row r="14768" spans="5:25">
      <c r="E14768"/>
      <c r="G14768"/>
      <c r="H14768"/>
      <c r="I14768"/>
      <c r="K14768"/>
      <c r="O14768"/>
      <c r="R14768"/>
      <c r="W14768" s="4"/>
      <c r="X14768" s="4"/>
      <c r="Y14768" s="4"/>
    </row>
    <row r="14769" spans="5:25">
      <c r="E14769"/>
      <c r="G14769"/>
      <c r="H14769"/>
      <c r="I14769"/>
      <c r="K14769"/>
      <c r="O14769"/>
      <c r="R14769"/>
      <c r="W14769" s="4"/>
      <c r="X14769" s="4"/>
      <c r="Y14769" s="4"/>
    </row>
    <row r="14770" spans="5:25">
      <c r="E14770"/>
      <c r="G14770"/>
      <c r="H14770"/>
      <c r="I14770"/>
      <c r="K14770"/>
      <c r="O14770"/>
      <c r="R14770"/>
      <c r="W14770" s="4"/>
      <c r="X14770" s="4"/>
      <c r="Y14770" s="4"/>
    </row>
    <row r="14771" spans="5:25">
      <c r="E14771"/>
      <c r="G14771"/>
      <c r="H14771"/>
      <c r="I14771"/>
      <c r="K14771"/>
      <c r="O14771"/>
      <c r="R14771"/>
      <c r="W14771" s="4"/>
      <c r="X14771" s="4"/>
      <c r="Y14771" s="4"/>
    </row>
    <row r="14772" spans="5:25">
      <c r="E14772"/>
      <c r="G14772"/>
      <c r="H14772"/>
      <c r="I14772"/>
      <c r="K14772"/>
      <c r="O14772"/>
      <c r="R14772"/>
      <c r="W14772" s="4"/>
      <c r="X14772" s="4"/>
      <c r="Y14772" s="4"/>
    </row>
    <row r="14773" spans="5:25">
      <c r="E14773"/>
      <c r="G14773"/>
      <c r="H14773"/>
      <c r="I14773"/>
      <c r="K14773"/>
      <c r="O14773"/>
      <c r="R14773"/>
      <c r="W14773" s="4"/>
      <c r="X14773" s="4"/>
      <c r="Y14773" s="4"/>
    </row>
    <row r="14774" spans="5:25">
      <c r="E14774"/>
      <c r="G14774"/>
      <c r="H14774"/>
      <c r="I14774"/>
      <c r="K14774"/>
      <c r="O14774"/>
      <c r="R14774"/>
      <c r="W14774" s="4"/>
      <c r="X14774" s="4"/>
      <c r="Y14774" s="4"/>
    </row>
    <row r="14775" spans="5:25">
      <c r="E14775"/>
      <c r="G14775"/>
      <c r="H14775"/>
      <c r="I14775"/>
      <c r="K14775"/>
      <c r="O14775"/>
      <c r="R14775"/>
      <c r="W14775" s="4"/>
      <c r="X14775" s="4"/>
      <c r="Y14775" s="4"/>
    </row>
    <row r="14776" spans="5:25">
      <c r="E14776"/>
      <c r="G14776"/>
      <c r="H14776"/>
      <c r="I14776"/>
      <c r="K14776"/>
      <c r="O14776"/>
      <c r="R14776"/>
      <c r="W14776" s="4"/>
      <c r="X14776" s="4"/>
      <c r="Y14776" s="4"/>
    </row>
    <row r="14777" spans="5:25">
      <c r="E14777"/>
      <c r="G14777"/>
      <c r="H14777"/>
      <c r="I14777"/>
      <c r="K14777"/>
      <c r="O14777"/>
      <c r="R14777"/>
      <c r="W14777" s="4"/>
      <c r="X14777" s="4"/>
      <c r="Y14777" s="4"/>
    </row>
    <row r="14778" spans="5:25">
      <c r="E14778"/>
      <c r="G14778"/>
      <c r="H14778"/>
      <c r="I14778"/>
      <c r="K14778"/>
      <c r="O14778"/>
      <c r="R14778"/>
      <c r="W14778" s="4"/>
      <c r="X14778" s="4"/>
      <c r="Y14778" s="4"/>
    </row>
    <row r="14779" spans="5:25">
      <c r="E14779"/>
      <c r="G14779"/>
      <c r="H14779"/>
      <c r="I14779"/>
      <c r="K14779"/>
      <c r="O14779"/>
      <c r="R14779"/>
      <c r="W14779" s="4"/>
      <c r="X14779" s="4"/>
      <c r="Y14779" s="4"/>
    </row>
    <row r="14780" spans="5:25">
      <c r="E14780"/>
      <c r="G14780"/>
      <c r="H14780"/>
      <c r="I14780"/>
      <c r="K14780"/>
      <c r="O14780"/>
      <c r="R14780"/>
      <c r="W14780" s="4"/>
      <c r="X14780" s="4"/>
      <c r="Y14780" s="4"/>
    </row>
    <row r="14781" spans="5:25">
      <c r="E14781"/>
      <c r="G14781"/>
      <c r="H14781"/>
      <c r="I14781"/>
      <c r="K14781"/>
      <c r="O14781"/>
      <c r="R14781"/>
      <c r="W14781" s="4"/>
      <c r="X14781" s="4"/>
      <c r="Y14781" s="4"/>
    </row>
    <row r="14782" spans="5:25">
      <c r="E14782"/>
      <c r="G14782"/>
      <c r="H14782"/>
      <c r="I14782"/>
      <c r="K14782"/>
      <c r="O14782"/>
      <c r="R14782"/>
      <c r="W14782" s="4"/>
      <c r="X14782" s="4"/>
      <c r="Y14782" s="4"/>
    </row>
    <row r="14783" spans="5:25">
      <c r="E14783"/>
      <c r="G14783"/>
      <c r="H14783"/>
      <c r="I14783"/>
      <c r="K14783"/>
      <c r="O14783"/>
      <c r="R14783"/>
      <c r="W14783" s="4"/>
      <c r="X14783" s="4"/>
      <c r="Y14783" s="4"/>
    </row>
    <row r="14784" spans="5:25">
      <c r="E14784"/>
      <c r="G14784"/>
      <c r="H14784"/>
      <c r="I14784"/>
      <c r="K14784"/>
      <c r="O14784"/>
      <c r="R14784"/>
      <c r="W14784" s="4"/>
      <c r="X14784" s="4"/>
      <c r="Y14784" s="4"/>
    </row>
    <row r="14785" spans="5:25">
      <c r="E14785"/>
      <c r="G14785"/>
      <c r="H14785"/>
      <c r="I14785"/>
      <c r="K14785"/>
      <c r="O14785"/>
      <c r="R14785"/>
      <c r="W14785" s="4"/>
      <c r="X14785" s="4"/>
      <c r="Y14785" s="4"/>
    </row>
    <row r="14786" spans="5:25">
      <c r="E14786"/>
      <c r="G14786"/>
      <c r="H14786"/>
      <c r="I14786"/>
      <c r="K14786"/>
      <c r="O14786"/>
      <c r="R14786"/>
      <c r="W14786" s="4"/>
      <c r="X14786" s="4"/>
      <c r="Y14786" s="4"/>
    </row>
    <row r="14787" spans="5:25">
      <c r="E14787"/>
      <c r="G14787"/>
      <c r="H14787"/>
      <c r="I14787"/>
      <c r="K14787"/>
      <c r="O14787"/>
      <c r="R14787"/>
      <c r="W14787" s="4"/>
      <c r="X14787" s="4"/>
      <c r="Y14787" s="4"/>
    </row>
    <row r="14788" spans="5:25">
      <c r="E14788"/>
      <c r="G14788"/>
      <c r="H14788"/>
      <c r="I14788"/>
      <c r="K14788"/>
      <c r="O14788"/>
      <c r="R14788"/>
      <c r="W14788" s="4"/>
      <c r="X14788" s="4"/>
      <c r="Y14788" s="4"/>
    </row>
    <row r="14789" spans="5:25">
      <c r="E14789"/>
      <c r="G14789"/>
      <c r="H14789"/>
      <c r="I14789"/>
      <c r="K14789"/>
      <c r="O14789"/>
      <c r="R14789"/>
      <c r="W14789" s="4"/>
      <c r="X14789" s="4"/>
      <c r="Y14789" s="4"/>
    </row>
    <row r="14790" spans="5:25">
      <c r="E14790"/>
      <c r="G14790"/>
      <c r="H14790"/>
      <c r="I14790"/>
      <c r="K14790"/>
      <c r="O14790"/>
      <c r="R14790"/>
      <c r="W14790" s="4"/>
      <c r="X14790" s="4"/>
      <c r="Y14790" s="4"/>
    </row>
    <row r="14791" spans="5:25">
      <c r="E14791"/>
      <c r="G14791"/>
      <c r="H14791"/>
      <c r="I14791"/>
      <c r="K14791"/>
      <c r="O14791"/>
      <c r="R14791"/>
      <c r="W14791" s="4"/>
      <c r="X14791" s="4"/>
      <c r="Y14791" s="4"/>
    </row>
    <row r="14792" spans="5:25">
      <c r="E14792"/>
      <c r="G14792"/>
      <c r="H14792"/>
      <c r="I14792"/>
      <c r="K14792"/>
      <c r="O14792"/>
      <c r="R14792"/>
      <c r="W14792" s="4"/>
      <c r="X14792" s="4"/>
      <c r="Y14792" s="4"/>
    </row>
    <row r="14793" spans="5:25">
      <c r="E14793"/>
      <c r="G14793"/>
      <c r="H14793"/>
      <c r="I14793"/>
      <c r="K14793"/>
      <c r="O14793"/>
      <c r="R14793"/>
      <c r="W14793" s="4"/>
      <c r="X14793" s="4"/>
      <c r="Y14793" s="4"/>
    </row>
    <row r="14794" spans="5:25">
      <c r="E14794"/>
      <c r="G14794"/>
      <c r="H14794"/>
      <c r="I14794"/>
      <c r="K14794"/>
      <c r="O14794"/>
      <c r="R14794"/>
      <c r="W14794" s="4"/>
      <c r="X14794" s="4"/>
      <c r="Y14794" s="4"/>
    </row>
    <row r="14795" spans="5:25">
      <c r="E14795"/>
      <c r="G14795"/>
      <c r="H14795"/>
      <c r="I14795"/>
      <c r="K14795"/>
      <c r="O14795"/>
      <c r="R14795"/>
      <c r="W14795" s="4"/>
      <c r="X14795" s="4"/>
      <c r="Y14795" s="4"/>
    </row>
    <row r="14796" spans="5:25">
      <c r="E14796"/>
      <c r="G14796"/>
      <c r="H14796"/>
      <c r="I14796"/>
      <c r="K14796"/>
      <c r="O14796"/>
      <c r="R14796"/>
      <c r="W14796" s="4"/>
      <c r="X14796" s="4"/>
      <c r="Y14796" s="4"/>
    </row>
    <row r="14797" spans="5:25">
      <c r="E14797"/>
      <c r="G14797"/>
      <c r="H14797"/>
      <c r="I14797"/>
      <c r="K14797"/>
      <c r="O14797"/>
      <c r="R14797"/>
      <c r="W14797" s="4"/>
      <c r="X14797" s="4"/>
      <c r="Y14797" s="4"/>
    </row>
    <row r="14798" spans="5:25">
      <c r="E14798"/>
      <c r="G14798"/>
      <c r="H14798"/>
      <c r="I14798"/>
      <c r="K14798"/>
      <c r="O14798"/>
      <c r="R14798"/>
      <c r="W14798" s="4"/>
      <c r="X14798" s="4"/>
      <c r="Y14798" s="4"/>
    </row>
    <row r="14799" spans="5:25">
      <c r="E14799"/>
      <c r="G14799"/>
      <c r="H14799"/>
      <c r="I14799"/>
      <c r="K14799"/>
      <c r="O14799"/>
      <c r="R14799"/>
      <c r="W14799" s="4"/>
      <c r="X14799" s="4"/>
      <c r="Y14799" s="4"/>
    </row>
    <row r="14800" spans="5:25">
      <c r="E14800"/>
      <c r="G14800"/>
      <c r="H14800"/>
      <c r="I14800"/>
      <c r="K14800"/>
      <c r="O14800"/>
      <c r="R14800"/>
      <c r="W14800" s="4"/>
      <c r="X14800" s="4"/>
      <c r="Y14800" s="4"/>
    </row>
    <row r="14801" spans="5:25">
      <c r="E14801"/>
      <c r="G14801"/>
      <c r="H14801"/>
      <c r="I14801"/>
      <c r="K14801"/>
      <c r="O14801"/>
      <c r="R14801"/>
      <c r="W14801" s="4"/>
      <c r="X14801" s="4"/>
      <c r="Y14801" s="4"/>
    </row>
    <row r="14802" spans="5:25">
      <c r="E14802"/>
      <c r="G14802"/>
      <c r="H14802"/>
      <c r="I14802"/>
      <c r="K14802"/>
      <c r="O14802"/>
      <c r="R14802"/>
      <c r="W14802" s="4"/>
      <c r="X14802" s="4"/>
      <c r="Y14802" s="4"/>
    </row>
    <row r="14803" spans="5:25">
      <c r="E14803"/>
      <c r="G14803"/>
      <c r="H14803"/>
      <c r="I14803"/>
      <c r="K14803"/>
      <c r="O14803"/>
      <c r="R14803"/>
      <c r="W14803" s="4"/>
      <c r="X14803" s="4"/>
      <c r="Y14803" s="4"/>
    </row>
    <row r="14804" spans="5:25">
      <c r="E14804"/>
      <c r="G14804"/>
      <c r="H14804"/>
      <c r="I14804"/>
      <c r="K14804"/>
      <c r="O14804"/>
      <c r="R14804"/>
      <c r="W14804" s="4"/>
      <c r="X14804" s="4"/>
      <c r="Y14804" s="4"/>
    </row>
    <row r="14805" spans="5:25">
      <c r="E14805"/>
      <c r="G14805"/>
      <c r="H14805"/>
      <c r="I14805"/>
      <c r="K14805"/>
      <c r="O14805"/>
      <c r="R14805"/>
      <c r="W14805" s="4"/>
      <c r="X14805" s="4"/>
      <c r="Y14805" s="4"/>
    </row>
    <row r="14806" spans="5:25">
      <c r="E14806"/>
      <c r="G14806"/>
      <c r="H14806"/>
      <c r="I14806"/>
      <c r="K14806"/>
      <c r="O14806"/>
      <c r="R14806"/>
      <c r="W14806" s="4"/>
      <c r="X14806" s="4"/>
      <c r="Y14806" s="4"/>
    </row>
    <row r="14807" spans="5:25">
      <c r="E14807"/>
      <c r="G14807"/>
      <c r="H14807"/>
      <c r="I14807"/>
      <c r="K14807"/>
      <c r="O14807"/>
      <c r="R14807"/>
      <c r="W14807" s="4"/>
      <c r="X14807" s="4"/>
      <c r="Y14807" s="4"/>
    </row>
    <row r="14808" spans="5:25">
      <c r="E14808"/>
      <c r="G14808"/>
      <c r="H14808"/>
      <c r="I14808"/>
      <c r="K14808"/>
      <c r="O14808"/>
      <c r="R14808"/>
      <c r="W14808" s="4"/>
      <c r="X14808" s="4"/>
      <c r="Y14808" s="4"/>
    </row>
    <row r="14809" spans="5:25">
      <c r="E14809"/>
      <c r="G14809"/>
      <c r="H14809"/>
      <c r="I14809"/>
      <c r="K14809"/>
      <c r="O14809"/>
      <c r="R14809"/>
      <c r="W14809" s="4"/>
      <c r="X14809" s="4"/>
      <c r="Y14809" s="4"/>
    </row>
    <row r="14810" spans="5:25">
      <c r="E14810"/>
      <c r="G14810"/>
      <c r="H14810"/>
      <c r="I14810"/>
      <c r="K14810"/>
      <c r="O14810"/>
      <c r="R14810"/>
      <c r="W14810" s="4"/>
      <c r="X14810" s="4"/>
      <c r="Y14810" s="4"/>
    </row>
    <row r="14811" spans="5:25">
      <c r="E14811"/>
      <c r="G14811"/>
      <c r="H14811"/>
      <c r="I14811"/>
      <c r="K14811"/>
      <c r="O14811"/>
      <c r="R14811"/>
      <c r="W14811" s="4"/>
      <c r="X14811" s="4"/>
      <c r="Y14811" s="4"/>
    </row>
    <row r="14812" spans="5:25">
      <c r="E14812"/>
      <c r="G14812"/>
      <c r="H14812"/>
      <c r="I14812"/>
      <c r="K14812"/>
      <c r="O14812"/>
      <c r="R14812"/>
      <c r="W14812" s="4"/>
      <c r="X14812" s="4"/>
      <c r="Y14812" s="4"/>
    </row>
    <row r="14813" spans="5:25">
      <c r="E14813"/>
      <c r="G14813"/>
      <c r="H14813"/>
      <c r="I14813"/>
      <c r="K14813"/>
      <c r="O14813"/>
      <c r="R14813"/>
      <c r="W14813" s="4"/>
      <c r="X14813" s="4"/>
      <c r="Y14813" s="4"/>
    </row>
    <row r="14814" spans="5:25">
      <c r="E14814"/>
      <c r="G14814"/>
      <c r="H14814"/>
      <c r="I14814"/>
      <c r="K14814"/>
      <c r="O14814"/>
      <c r="R14814"/>
      <c r="W14814" s="4"/>
      <c r="X14814" s="4"/>
      <c r="Y14814" s="4"/>
    </row>
    <row r="14815" spans="5:25">
      <c r="E14815"/>
      <c r="G14815"/>
      <c r="H14815"/>
      <c r="I14815"/>
      <c r="K14815"/>
      <c r="O14815"/>
      <c r="R14815"/>
      <c r="W14815" s="4"/>
      <c r="X14815" s="4"/>
      <c r="Y14815" s="4"/>
    </row>
    <row r="14816" spans="5:25">
      <c r="E14816"/>
      <c r="G14816"/>
      <c r="H14816"/>
      <c r="I14816"/>
      <c r="K14816"/>
      <c r="O14816"/>
      <c r="R14816"/>
      <c r="W14816" s="4"/>
      <c r="X14816" s="4"/>
      <c r="Y14816" s="4"/>
    </row>
    <row r="14817" spans="5:25">
      <c r="E14817"/>
      <c r="G14817"/>
      <c r="H14817"/>
      <c r="I14817"/>
      <c r="K14817"/>
      <c r="O14817"/>
      <c r="R14817"/>
      <c r="W14817" s="4"/>
      <c r="X14817" s="4"/>
      <c r="Y14817" s="4"/>
    </row>
    <row r="14818" spans="5:25">
      <c r="E14818"/>
      <c r="G14818"/>
      <c r="H14818"/>
      <c r="I14818"/>
      <c r="K14818"/>
      <c r="O14818"/>
      <c r="R14818"/>
      <c r="W14818" s="4"/>
      <c r="X14818" s="4"/>
      <c r="Y14818" s="4"/>
    </row>
    <row r="14819" spans="5:25">
      <c r="E14819"/>
      <c r="G14819"/>
      <c r="H14819"/>
      <c r="I14819"/>
      <c r="K14819"/>
      <c r="O14819"/>
      <c r="R14819"/>
      <c r="W14819" s="4"/>
      <c r="X14819" s="4"/>
      <c r="Y14819" s="4"/>
    </row>
    <row r="14820" spans="5:25">
      <c r="E14820"/>
      <c r="G14820"/>
      <c r="H14820"/>
      <c r="I14820"/>
      <c r="K14820"/>
      <c r="O14820"/>
      <c r="R14820"/>
      <c r="W14820" s="4"/>
      <c r="X14820" s="4"/>
      <c r="Y14820" s="4"/>
    </row>
    <row r="14821" spans="5:25">
      <c r="E14821"/>
      <c r="G14821"/>
      <c r="H14821"/>
      <c r="I14821"/>
      <c r="K14821"/>
      <c r="O14821"/>
      <c r="R14821"/>
      <c r="W14821" s="4"/>
      <c r="X14821" s="4"/>
      <c r="Y14821" s="4"/>
    </row>
    <row r="14822" spans="5:25">
      <c r="E14822"/>
      <c r="G14822"/>
      <c r="H14822"/>
      <c r="I14822"/>
      <c r="K14822"/>
      <c r="O14822"/>
      <c r="R14822"/>
      <c r="W14822" s="4"/>
      <c r="X14822" s="4"/>
      <c r="Y14822" s="4"/>
    </row>
    <row r="14823" spans="5:25">
      <c r="E14823"/>
      <c r="G14823"/>
      <c r="H14823"/>
      <c r="I14823"/>
      <c r="K14823"/>
      <c r="O14823"/>
      <c r="R14823"/>
      <c r="W14823" s="4"/>
      <c r="X14823" s="4"/>
      <c r="Y14823" s="4"/>
    </row>
    <row r="14824" spans="5:25">
      <c r="E14824"/>
      <c r="G14824"/>
      <c r="H14824"/>
      <c r="I14824"/>
      <c r="K14824"/>
      <c r="O14824"/>
      <c r="R14824"/>
      <c r="W14824" s="4"/>
      <c r="X14824" s="4"/>
      <c r="Y14824" s="4"/>
    </row>
    <row r="14825" spans="5:25">
      <c r="E14825"/>
      <c r="G14825"/>
      <c r="H14825"/>
      <c r="I14825"/>
      <c r="K14825"/>
      <c r="O14825"/>
      <c r="R14825"/>
      <c r="W14825" s="4"/>
      <c r="X14825" s="4"/>
      <c r="Y14825" s="4"/>
    </row>
    <row r="14826" spans="5:25">
      <c r="E14826"/>
      <c r="G14826"/>
      <c r="H14826"/>
      <c r="I14826"/>
      <c r="K14826"/>
      <c r="O14826"/>
      <c r="R14826"/>
      <c r="W14826" s="4"/>
      <c r="X14826" s="4"/>
      <c r="Y14826" s="4"/>
    </row>
    <row r="14827" spans="5:25">
      <c r="E14827"/>
      <c r="G14827"/>
      <c r="H14827"/>
      <c r="I14827"/>
      <c r="K14827"/>
      <c r="O14827"/>
      <c r="R14827"/>
      <c r="W14827" s="4"/>
      <c r="X14827" s="4"/>
      <c r="Y14827" s="4"/>
    </row>
    <row r="14828" spans="5:25">
      <c r="E14828"/>
      <c r="G14828"/>
      <c r="H14828"/>
      <c r="I14828"/>
      <c r="K14828"/>
      <c r="O14828"/>
      <c r="R14828"/>
      <c r="W14828" s="4"/>
      <c r="X14828" s="4"/>
      <c r="Y14828" s="4"/>
    </row>
    <row r="14829" spans="5:25">
      <c r="E14829"/>
      <c r="G14829"/>
      <c r="H14829"/>
      <c r="I14829"/>
      <c r="K14829"/>
      <c r="O14829"/>
      <c r="R14829"/>
      <c r="W14829" s="4"/>
      <c r="X14829" s="4"/>
      <c r="Y14829" s="4"/>
    </row>
    <row r="14830" spans="5:25">
      <c r="E14830"/>
      <c r="G14830"/>
      <c r="H14830"/>
      <c r="I14830"/>
      <c r="K14830"/>
      <c r="O14830"/>
      <c r="R14830"/>
      <c r="W14830" s="4"/>
      <c r="X14830" s="4"/>
      <c r="Y14830" s="4"/>
    </row>
    <row r="14831" spans="5:25">
      <c r="E14831"/>
      <c r="G14831"/>
      <c r="H14831"/>
      <c r="I14831"/>
      <c r="K14831"/>
      <c r="O14831"/>
      <c r="R14831"/>
      <c r="W14831" s="4"/>
      <c r="X14831" s="4"/>
      <c r="Y14831" s="4"/>
    </row>
    <row r="14832" spans="5:25">
      <c r="E14832"/>
      <c r="G14832"/>
      <c r="H14832"/>
      <c r="I14832"/>
      <c r="K14832"/>
      <c r="O14832"/>
      <c r="R14832"/>
      <c r="W14832" s="4"/>
      <c r="X14832" s="4"/>
      <c r="Y14832" s="4"/>
    </row>
    <row r="14833" spans="5:25">
      <c r="E14833"/>
      <c r="G14833"/>
      <c r="H14833"/>
      <c r="I14833"/>
      <c r="K14833"/>
      <c r="O14833"/>
      <c r="R14833"/>
      <c r="W14833" s="4"/>
      <c r="X14833" s="4"/>
      <c r="Y14833" s="4"/>
    </row>
    <row r="14834" spans="5:25">
      <c r="E14834"/>
      <c r="G14834"/>
      <c r="H14834"/>
      <c r="I14834"/>
      <c r="K14834"/>
      <c r="O14834"/>
      <c r="R14834"/>
      <c r="W14834" s="4"/>
      <c r="X14834" s="4"/>
      <c r="Y14834" s="4"/>
    </row>
    <row r="14835" spans="5:25">
      <c r="E14835"/>
      <c r="G14835"/>
      <c r="H14835"/>
      <c r="I14835"/>
      <c r="K14835"/>
      <c r="O14835"/>
      <c r="R14835"/>
      <c r="W14835" s="4"/>
      <c r="X14835" s="4"/>
      <c r="Y14835" s="4"/>
    </row>
    <row r="14836" spans="5:25">
      <c r="E14836"/>
      <c r="G14836"/>
      <c r="H14836"/>
      <c r="I14836"/>
      <c r="K14836"/>
      <c r="O14836"/>
      <c r="R14836"/>
      <c r="W14836" s="4"/>
      <c r="X14836" s="4"/>
      <c r="Y14836" s="4"/>
    </row>
    <row r="14837" spans="5:25">
      <c r="E14837"/>
      <c r="G14837"/>
      <c r="H14837"/>
      <c r="I14837"/>
      <c r="K14837"/>
      <c r="O14837"/>
      <c r="R14837"/>
      <c r="W14837" s="4"/>
      <c r="X14837" s="4"/>
      <c r="Y14837" s="4"/>
    </row>
    <row r="14838" spans="5:25">
      <c r="E14838"/>
      <c r="G14838"/>
      <c r="H14838"/>
      <c r="I14838"/>
      <c r="K14838"/>
      <c r="O14838"/>
      <c r="R14838"/>
      <c r="W14838" s="4"/>
      <c r="X14838" s="4"/>
      <c r="Y14838" s="4"/>
    </row>
    <row r="14839" spans="5:25">
      <c r="E14839"/>
      <c r="G14839"/>
      <c r="H14839"/>
      <c r="I14839"/>
      <c r="K14839"/>
      <c r="O14839"/>
      <c r="R14839"/>
      <c r="W14839" s="4"/>
      <c r="X14839" s="4"/>
      <c r="Y14839" s="4"/>
    </row>
    <row r="14840" spans="5:25">
      <c r="E14840"/>
      <c r="G14840"/>
      <c r="H14840"/>
      <c r="I14840"/>
      <c r="K14840"/>
      <c r="O14840"/>
      <c r="R14840"/>
      <c r="W14840" s="4"/>
      <c r="X14840" s="4"/>
      <c r="Y14840" s="4"/>
    </row>
    <row r="14841" spans="5:25">
      <c r="E14841"/>
      <c r="G14841"/>
      <c r="H14841"/>
      <c r="I14841"/>
      <c r="K14841"/>
      <c r="O14841"/>
      <c r="R14841"/>
      <c r="W14841" s="4"/>
      <c r="X14841" s="4"/>
      <c r="Y14841" s="4"/>
    </row>
    <row r="14842" spans="5:25">
      <c r="E14842"/>
      <c r="G14842"/>
      <c r="H14842"/>
      <c r="I14842"/>
      <c r="K14842"/>
      <c r="O14842"/>
      <c r="R14842"/>
      <c r="W14842" s="4"/>
      <c r="X14842" s="4"/>
      <c r="Y14842" s="4"/>
    </row>
    <row r="14843" spans="5:25">
      <c r="E14843"/>
      <c r="G14843"/>
      <c r="H14843"/>
      <c r="I14843"/>
      <c r="K14843"/>
      <c r="O14843"/>
      <c r="R14843"/>
      <c r="W14843" s="4"/>
      <c r="X14843" s="4"/>
      <c r="Y14843" s="4"/>
    </row>
    <row r="14844" spans="5:25">
      <c r="E14844"/>
      <c r="G14844"/>
      <c r="H14844"/>
      <c r="I14844"/>
      <c r="K14844"/>
      <c r="O14844"/>
      <c r="R14844"/>
      <c r="W14844" s="4"/>
      <c r="X14844" s="4"/>
      <c r="Y14844" s="4"/>
    </row>
    <row r="14845" spans="5:25">
      <c r="E14845"/>
      <c r="G14845"/>
      <c r="H14845"/>
      <c r="I14845"/>
      <c r="K14845"/>
      <c r="O14845"/>
      <c r="R14845"/>
      <c r="W14845" s="4"/>
      <c r="X14845" s="4"/>
      <c r="Y14845" s="4"/>
    </row>
    <row r="14846" spans="5:25">
      <c r="E14846"/>
      <c r="G14846"/>
      <c r="H14846"/>
      <c r="I14846"/>
      <c r="K14846"/>
      <c r="O14846"/>
      <c r="R14846"/>
      <c r="W14846" s="4"/>
      <c r="X14846" s="4"/>
      <c r="Y14846" s="4"/>
    </row>
    <row r="14847" spans="5:25">
      <c r="E14847"/>
      <c r="G14847"/>
      <c r="H14847"/>
      <c r="I14847"/>
      <c r="K14847"/>
      <c r="O14847"/>
      <c r="R14847"/>
      <c r="W14847" s="4"/>
      <c r="X14847" s="4"/>
      <c r="Y14847" s="4"/>
    </row>
    <row r="14848" spans="5:25">
      <c r="E14848"/>
      <c r="G14848"/>
      <c r="H14848"/>
      <c r="I14848"/>
      <c r="K14848"/>
      <c r="O14848"/>
      <c r="R14848"/>
      <c r="W14848" s="4"/>
      <c r="X14848" s="4"/>
      <c r="Y14848" s="4"/>
    </row>
    <row r="14849" spans="5:25">
      <c r="E14849"/>
      <c r="G14849"/>
      <c r="H14849"/>
      <c r="I14849"/>
      <c r="K14849"/>
      <c r="O14849"/>
      <c r="R14849"/>
      <c r="W14849" s="4"/>
      <c r="X14849" s="4"/>
      <c r="Y14849" s="4"/>
    </row>
    <row r="14850" spans="5:25">
      <c r="E14850"/>
      <c r="G14850"/>
      <c r="H14850"/>
      <c r="I14850"/>
      <c r="K14850"/>
      <c r="O14850"/>
      <c r="R14850"/>
      <c r="W14850" s="4"/>
      <c r="X14850" s="4"/>
      <c r="Y14850" s="4"/>
    </row>
    <row r="14851" spans="5:25">
      <c r="E14851"/>
      <c r="G14851"/>
      <c r="H14851"/>
      <c r="I14851"/>
      <c r="K14851"/>
      <c r="O14851"/>
      <c r="R14851"/>
      <c r="W14851" s="4"/>
      <c r="X14851" s="4"/>
      <c r="Y14851" s="4"/>
    </row>
    <row r="14852" spans="5:25">
      <c r="E14852"/>
      <c r="G14852"/>
      <c r="H14852"/>
      <c r="I14852"/>
      <c r="K14852"/>
      <c r="O14852"/>
      <c r="R14852"/>
      <c r="W14852" s="4"/>
      <c r="X14852" s="4"/>
      <c r="Y14852" s="4"/>
    </row>
    <row r="14853" spans="5:25">
      <c r="E14853"/>
      <c r="G14853"/>
      <c r="H14853"/>
      <c r="I14853"/>
      <c r="K14853"/>
      <c r="O14853"/>
      <c r="R14853"/>
      <c r="W14853" s="4"/>
      <c r="X14853" s="4"/>
      <c r="Y14853" s="4"/>
    </row>
    <row r="14854" spans="5:25">
      <c r="E14854"/>
      <c r="G14854"/>
      <c r="H14854"/>
      <c r="I14854"/>
      <c r="K14854"/>
      <c r="O14854"/>
      <c r="R14854"/>
      <c r="W14854" s="4"/>
      <c r="X14854" s="4"/>
      <c r="Y14854" s="4"/>
    </row>
    <row r="14855" spans="5:25">
      <c r="E14855"/>
      <c r="G14855"/>
      <c r="H14855"/>
      <c r="I14855"/>
      <c r="K14855"/>
      <c r="O14855"/>
      <c r="R14855"/>
      <c r="W14855" s="4"/>
      <c r="X14855" s="4"/>
      <c r="Y14855" s="4"/>
    </row>
    <row r="14856" spans="5:25">
      <c r="E14856"/>
      <c r="G14856"/>
      <c r="H14856"/>
      <c r="I14856"/>
      <c r="K14856"/>
      <c r="O14856"/>
      <c r="R14856"/>
      <c r="W14856" s="4"/>
      <c r="X14856" s="4"/>
      <c r="Y14856" s="4"/>
    </row>
    <row r="14857" spans="5:25">
      <c r="E14857"/>
      <c r="G14857"/>
      <c r="H14857"/>
      <c r="I14857"/>
      <c r="K14857"/>
      <c r="O14857"/>
      <c r="R14857"/>
      <c r="W14857" s="4"/>
      <c r="X14857" s="4"/>
      <c r="Y14857" s="4"/>
    </row>
    <row r="14858" spans="5:25">
      <c r="E14858"/>
      <c r="G14858"/>
      <c r="H14858"/>
      <c r="I14858"/>
      <c r="K14858"/>
      <c r="O14858"/>
      <c r="R14858"/>
      <c r="W14858" s="4"/>
      <c r="X14858" s="4"/>
      <c r="Y14858" s="4"/>
    </row>
    <row r="14859" spans="5:25">
      <c r="E14859"/>
      <c r="G14859"/>
      <c r="H14859"/>
      <c r="I14859"/>
      <c r="K14859"/>
      <c r="O14859"/>
      <c r="R14859"/>
      <c r="W14859" s="4"/>
      <c r="X14859" s="4"/>
      <c r="Y14859" s="4"/>
    </row>
    <row r="14860" spans="5:25">
      <c r="E14860"/>
      <c r="G14860"/>
      <c r="H14860"/>
      <c r="I14860"/>
      <c r="K14860"/>
      <c r="O14860"/>
      <c r="R14860"/>
      <c r="W14860" s="4"/>
      <c r="X14860" s="4"/>
      <c r="Y14860" s="4"/>
    </row>
    <row r="14861" spans="5:25">
      <c r="E14861"/>
      <c r="G14861"/>
      <c r="H14861"/>
      <c r="I14861"/>
      <c r="K14861"/>
      <c r="O14861"/>
      <c r="R14861"/>
      <c r="W14861" s="4"/>
      <c r="X14861" s="4"/>
      <c r="Y14861" s="4"/>
    </row>
    <row r="14862" spans="5:25">
      <c r="E14862"/>
      <c r="G14862"/>
      <c r="H14862"/>
      <c r="I14862"/>
      <c r="K14862"/>
      <c r="O14862"/>
      <c r="R14862"/>
      <c r="W14862" s="4"/>
      <c r="X14862" s="4"/>
      <c r="Y14862" s="4"/>
    </row>
    <row r="14863" spans="5:25">
      <c r="E14863"/>
      <c r="G14863"/>
      <c r="H14863"/>
      <c r="I14863"/>
      <c r="K14863"/>
      <c r="O14863"/>
      <c r="R14863"/>
      <c r="W14863" s="4"/>
      <c r="X14863" s="4"/>
      <c r="Y14863" s="4"/>
    </row>
    <row r="14864" spans="5:25">
      <c r="E14864"/>
      <c r="G14864"/>
      <c r="H14864"/>
      <c r="I14864"/>
      <c r="K14864"/>
      <c r="O14864"/>
      <c r="R14864"/>
      <c r="W14864" s="4"/>
      <c r="X14864" s="4"/>
      <c r="Y14864" s="4"/>
    </row>
    <row r="14865" spans="5:25">
      <c r="E14865"/>
      <c r="G14865"/>
      <c r="H14865"/>
      <c r="I14865"/>
      <c r="K14865"/>
      <c r="O14865"/>
      <c r="R14865"/>
      <c r="W14865" s="4"/>
      <c r="X14865" s="4"/>
      <c r="Y14865" s="4"/>
    </row>
    <row r="14866" spans="5:25">
      <c r="E14866"/>
      <c r="G14866"/>
      <c r="H14866"/>
      <c r="I14866"/>
      <c r="K14866"/>
      <c r="O14866"/>
      <c r="R14866"/>
      <c r="W14866" s="4"/>
      <c r="X14866" s="4"/>
      <c r="Y14866" s="4"/>
    </row>
    <row r="14867" spans="5:25">
      <c r="E14867"/>
      <c r="G14867"/>
      <c r="H14867"/>
      <c r="I14867"/>
      <c r="K14867"/>
      <c r="O14867"/>
      <c r="R14867"/>
      <c r="W14867" s="4"/>
      <c r="X14867" s="4"/>
      <c r="Y14867" s="4"/>
    </row>
    <row r="14868" spans="5:25">
      <c r="E14868"/>
      <c r="G14868"/>
      <c r="H14868"/>
      <c r="I14868"/>
      <c r="K14868"/>
      <c r="O14868"/>
      <c r="R14868"/>
      <c r="W14868" s="4"/>
      <c r="X14868" s="4"/>
      <c r="Y14868" s="4"/>
    </row>
    <row r="14869" spans="5:25">
      <c r="E14869"/>
      <c r="G14869"/>
      <c r="H14869"/>
      <c r="I14869"/>
      <c r="K14869"/>
      <c r="O14869"/>
      <c r="R14869"/>
      <c r="W14869" s="4"/>
      <c r="X14869" s="4"/>
      <c r="Y14869" s="4"/>
    </row>
    <row r="14870" spans="5:25">
      <c r="E14870"/>
      <c r="G14870"/>
      <c r="H14870"/>
      <c r="I14870"/>
      <c r="K14870"/>
      <c r="O14870"/>
      <c r="R14870"/>
      <c r="W14870" s="4"/>
      <c r="X14870" s="4"/>
      <c r="Y14870" s="4"/>
    </row>
    <row r="14871" spans="5:25">
      <c r="E14871"/>
      <c r="G14871"/>
      <c r="H14871"/>
      <c r="I14871"/>
      <c r="K14871"/>
      <c r="O14871"/>
      <c r="R14871"/>
      <c r="W14871" s="4"/>
      <c r="X14871" s="4"/>
      <c r="Y14871" s="4"/>
    </row>
    <row r="14872" spans="5:25">
      <c r="E14872"/>
      <c r="G14872"/>
      <c r="H14872"/>
      <c r="I14872"/>
      <c r="K14872"/>
      <c r="O14872"/>
      <c r="R14872"/>
      <c r="W14872" s="4"/>
      <c r="X14872" s="4"/>
      <c r="Y14872" s="4"/>
    </row>
    <row r="14873" spans="5:25">
      <c r="E14873"/>
      <c r="G14873"/>
      <c r="H14873"/>
      <c r="I14873"/>
      <c r="K14873"/>
      <c r="O14873"/>
      <c r="R14873"/>
      <c r="W14873" s="4"/>
      <c r="X14873" s="4"/>
      <c r="Y14873" s="4"/>
    </row>
    <row r="14874" spans="5:25">
      <c r="E14874"/>
      <c r="G14874"/>
      <c r="H14874"/>
      <c r="I14874"/>
      <c r="K14874"/>
      <c r="O14874"/>
      <c r="R14874"/>
      <c r="W14874" s="4"/>
      <c r="X14874" s="4"/>
      <c r="Y14874" s="4"/>
    </row>
    <row r="14875" spans="5:25">
      <c r="E14875"/>
      <c r="G14875"/>
      <c r="H14875"/>
      <c r="I14875"/>
      <c r="K14875"/>
      <c r="O14875"/>
      <c r="R14875"/>
      <c r="W14875" s="4"/>
      <c r="X14875" s="4"/>
      <c r="Y14875" s="4"/>
    </row>
    <row r="14876" spans="5:25">
      <c r="E14876"/>
      <c r="G14876"/>
      <c r="H14876"/>
      <c r="I14876"/>
      <c r="K14876"/>
      <c r="O14876"/>
      <c r="R14876"/>
      <c r="W14876" s="4"/>
      <c r="X14876" s="4"/>
      <c r="Y14876" s="4"/>
    </row>
    <row r="14877" spans="5:25">
      <c r="E14877"/>
      <c r="G14877"/>
      <c r="H14877"/>
      <c r="I14877"/>
      <c r="K14877"/>
      <c r="O14877"/>
      <c r="R14877"/>
      <c r="W14877" s="4"/>
      <c r="X14877" s="4"/>
      <c r="Y14877" s="4"/>
    </row>
    <row r="14878" spans="5:25">
      <c r="E14878"/>
      <c r="G14878"/>
      <c r="H14878"/>
      <c r="I14878"/>
      <c r="K14878"/>
      <c r="O14878"/>
      <c r="R14878"/>
      <c r="W14878" s="4"/>
      <c r="X14878" s="4"/>
      <c r="Y14878" s="4"/>
    </row>
    <row r="14879" spans="5:25">
      <c r="E14879"/>
      <c r="G14879"/>
      <c r="H14879"/>
      <c r="I14879"/>
      <c r="K14879"/>
      <c r="O14879"/>
      <c r="R14879"/>
      <c r="W14879" s="4"/>
      <c r="X14879" s="4"/>
      <c r="Y14879" s="4"/>
    </row>
    <row r="14880" spans="5:25">
      <c r="E14880"/>
      <c r="G14880"/>
      <c r="H14880"/>
      <c r="I14880"/>
      <c r="K14880"/>
      <c r="O14880"/>
      <c r="R14880"/>
      <c r="W14880" s="4"/>
      <c r="X14880" s="4"/>
      <c r="Y14880" s="4"/>
    </row>
    <row r="14881" spans="5:25">
      <c r="E14881"/>
      <c r="G14881"/>
      <c r="H14881"/>
      <c r="I14881"/>
      <c r="K14881"/>
      <c r="O14881"/>
      <c r="R14881"/>
      <c r="W14881" s="4"/>
      <c r="X14881" s="4"/>
      <c r="Y14881" s="4"/>
    </row>
    <row r="14882" spans="5:25">
      <c r="E14882"/>
      <c r="G14882"/>
      <c r="H14882"/>
      <c r="I14882"/>
      <c r="K14882"/>
      <c r="O14882"/>
      <c r="R14882"/>
      <c r="W14882" s="4"/>
      <c r="X14882" s="4"/>
      <c r="Y14882" s="4"/>
    </row>
    <row r="14883" spans="5:25">
      <c r="E14883"/>
      <c r="G14883"/>
      <c r="H14883"/>
      <c r="I14883"/>
      <c r="K14883"/>
      <c r="O14883"/>
      <c r="R14883"/>
      <c r="W14883" s="4"/>
      <c r="X14883" s="4"/>
      <c r="Y14883" s="4"/>
    </row>
    <row r="14884" spans="5:25">
      <c r="E14884"/>
      <c r="G14884"/>
      <c r="H14884"/>
      <c r="I14884"/>
      <c r="K14884"/>
      <c r="O14884"/>
      <c r="R14884"/>
      <c r="W14884" s="4"/>
      <c r="X14884" s="4"/>
      <c r="Y14884" s="4"/>
    </row>
    <row r="14885" spans="5:25">
      <c r="E14885"/>
      <c r="G14885"/>
      <c r="H14885"/>
      <c r="I14885"/>
      <c r="K14885"/>
      <c r="O14885"/>
      <c r="R14885"/>
      <c r="W14885" s="4"/>
      <c r="X14885" s="4"/>
      <c r="Y14885" s="4"/>
    </row>
    <row r="14886" spans="5:25">
      <c r="E14886"/>
      <c r="G14886"/>
      <c r="H14886"/>
      <c r="I14886"/>
      <c r="K14886"/>
      <c r="O14886"/>
      <c r="R14886"/>
      <c r="W14886" s="4"/>
      <c r="X14886" s="4"/>
      <c r="Y14886" s="4"/>
    </row>
    <row r="14887" spans="5:25">
      <c r="E14887"/>
      <c r="G14887"/>
      <c r="H14887"/>
      <c r="I14887"/>
      <c r="K14887"/>
      <c r="O14887"/>
      <c r="R14887"/>
      <c r="W14887" s="4"/>
      <c r="X14887" s="4"/>
      <c r="Y14887" s="4"/>
    </row>
    <row r="14888" spans="5:25">
      <c r="E14888"/>
      <c r="G14888"/>
      <c r="H14888"/>
      <c r="I14888"/>
      <c r="K14888"/>
      <c r="O14888"/>
      <c r="R14888"/>
      <c r="W14888" s="4"/>
      <c r="X14888" s="4"/>
      <c r="Y14888" s="4"/>
    </row>
    <row r="14889" spans="5:25">
      <c r="E14889"/>
      <c r="G14889"/>
      <c r="H14889"/>
      <c r="I14889"/>
      <c r="K14889"/>
      <c r="O14889"/>
      <c r="R14889"/>
      <c r="W14889" s="4"/>
      <c r="X14889" s="4"/>
      <c r="Y14889" s="4"/>
    </row>
    <row r="14890" spans="5:25">
      <c r="E14890"/>
      <c r="G14890"/>
      <c r="H14890"/>
      <c r="I14890"/>
      <c r="K14890"/>
      <c r="O14890"/>
      <c r="R14890"/>
      <c r="W14890" s="4"/>
      <c r="X14890" s="4"/>
      <c r="Y14890" s="4"/>
    </row>
    <row r="14891" spans="5:25">
      <c r="E14891"/>
      <c r="G14891"/>
      <c r="H14891"/>
      <c r="I14891"/>
      <c r="K14891"/>
      <c r="O14891"/>
      <c r="R14891"/>
      <c r="W14891" s="4"/>
      <c r="X14891" s="4"/>
      <c r="Y14891" s="4"/>
    </row>
    <row r="14892" spans="5:25">
      <c r="E14892"/>
      <c r="G14892"/>
      <c r="H14892"/>
      <c r="I14892"/>
      <c r="K14892"/>
      <c r="O14892"/>
      <c r="R14892"/>
      <c r="W14892" s="4"/>
      <c r="X14892" s="4"/>
      <c r="Y14892" s="4"/>
    </row>
    <row r="14893" spans="5:25">
      <c r="E14893"/>
      <c r="G14893"/>
      <c r="H14893"/>
      <c r="I14893"/>
      <c r="K14893"/>
      <c r="O14893"/>
      <c r="R14893"/>
      <c r="W14893" s="4"/>
      <c r="X14893" s="4"/>
      <c r="Y14893" s="4"/>
    </row>
    <row r="14894" spans="5:25">
      <c r="E14894"/>
      <c r="G14894"/>
      <c r="H14894"/>
      <c r="I14894"/>
      <c r="K14894"/>
      <c r="O14894"/>
      <c r="R14894"/>
      <c r="W14894" s="4"/>
      <c r="X14894" s="4"/>
      <c r="Y14894" s="4"/>
    </row>
    <row r="14895" spans="5:25">
      <c r="E14895"/>
      <c r="G14895"/>
      <c r="H14895"/>
      <c r="I14895"/>
      <c r="K14895"/>
      <c r="O14895"/>
      <c r="R14895"/>
      <c r="W14895" s="4"/>
      <c r="X14895" s="4"/>
      <c r="Y14895" s="4"/>
    </row>
    <row r="14896" spans="5:25">
      <c r="E14896"/>
      <c r="G14896"/>
      <c r="H14896"/>
      <c r="I14896"/>
      <c r="K14896"/>
      <c r="O14896"/>
      <c r="R14896"/>
      <c r="W14896" s="4"/>
      <c r="X14896" s="4"/>
      <c r="Y14896" s="4"/>
    </row>
    <row r="14897" spans="5:25">
      <c r="E14897"/>
      <c r="G14897"/>
      <c r="H14897"/>
      <c r="I14897"/>
      <c r="K14897"/>
      <c r="O14897"/>
      <c r="R14897"/>
      <c r="W14897" s="4"/>
      <c r="X14897" s="4"/>
      <c r="Y14897" s="4"/>
    </row>
    <row r="14898" spans="5:25">
      <c r="E14898"/>
      <c r="G14898"/>
      <c r="H14898"/>
      <c r="I14898"/>
      <c r="K14898"/>
      <c r="O14898"/>
      <c r="R14898"/>
      <c r="W14898" s="4"/>
      <c r="X14898" s="4"/>
      <c r="Y14898" s="4"/>
    </row>
    <row r="14899" spans="5:25">
      <c r="E14899"/>
      <c r="G14899"/>
      <c r="H14899"/>
      <c r="I14899"/>
      <c r="K14899"/>
      <c r="O14899"/>
      <c r="R14899"/>
      <c r="W14899" s="4"/>
      <c r="X14899" s="4"/>
      <c r="Y14899" s="4"/>
    </row>
    <row r="14900" spans="5:25">
      <c r="E14900"/>
      <c r="G14900"/>
      <c r="H14900"/>
      <c r="I14900"/>
      <c r="K14900"/>
      <c r="O14900"/>
      <c r="R14900"/>
      <c r="W14900" s="4"/>
      <c r="X14900" s="4"/>
      <c r="Y14900" s="4"/>
    </row>
    <row r="14901" spans="5:25">
      <c r="E14901"/>
      <c r="G14901"/>
      <c r="H14901"/>
      <c r="I14901"/>
      <c r="K14901"/>
      <c r="O14901"/>
      <c r="R14901"/>
      <c r="W14901" s="4"/>
      <c r="X14901" s="4"/>
      <c r="Y14901" s="4"/>
    </row>
    <row r="14902" spans="5:25">
      <c r="E14902"/>
      <c r="G14902"/>
      <c r="H14902"/>
      <c r="I14902"/>
      <c r="K14902"/>
      <c r="O14902"/>
      <c r="R14902"/>
      <c r="W14902" s="4"/>
      <c r="X14902" s="4"/>
      <c r="Y14902" s="4"/>
    </row>
    <row r="14903" spans="5:25">
      <c r="E14903"/>
      <c r="G14903"/>
      <c r="H14903"/>
      <c r="I14903"/>
      <c r="K14903"/>
      <c r="O14903"/>
      <c r="R14903"/>
      <c r="W14903" s="4"/>
      <c r="X14903" s="4"/>
      <c r="Y14903" s="4"/>
    </row>
    <row r="14904" spans="5:25">
      <c r="E14904"/>
      <c r="G14904"/>
      <c r="H14904"/>
      <c r="I14904"/>
      <c r="K14904"/>
      <c r="O14904"/>
      <c r="R14904"/>
      <c r="W14904" s="4"/>
      <c r="X14904" s="4"/>
      <c r="Y14904" s="4"/>
    </row>
    <row r="14905" spans="5:25">
      <c r="E14905"/>
      <c r="G14905"/>
      <c r="H14905"/>
      <c r="I14905"/>
      <c r="K14905"/>
      <c r="O14905"/>
      <c r="R14905"/>
      <c r="W14905" s="4"/>
      <c r="X14905" s="4"/>
      <c r="Y14905" s="4"/>
    </row>
    <row r="14906" spans="5:25">
      <c r="E14906"/>
      <c r="G14906"/>
      <c r="H14906"/>
      <c r="I14906"/>
      <c r="K14906"/>
      <c r="O14906"/>
      <c r="R14906"/>
      <c r="W14906" s="4"/>
      <c r="X14906" s="4"/>
      <c r="Y14906" s="4"/>
    </row>
    <row r="14907" spans="5:25">
      <c r="E14907"/>
      <c r="G14907"/>
      <c r="H14907"/>
      <c r="I14907"/>
      <c r="K14907"/>
      <c r="O14907"/>
      <c r="R14907"/>
      <c r="W14907" s="4"/>
      <c r="X14907" s="4"/>
      <c r="Y14907" s="4"/>
    </row>
    <row r="14908" spans="5:25">
      <c r="E14908"/>
      <c r="G14908"/>
      <c r="H14908"/>
      <c r="I14908"/>
      <c r="K14908"/>
      <c r="O14908"/>
      <c r="R14908"/>
      <c r="W14908" s="4"/>
      <c r="X14908" s="4"/>
      <c r="Y14908" s="4"/>
    </row>
    <row r="14909" spans="5:25">
      <c r="E14909"/>
      <c r="G14909"/>
      <c r="H14909"/>
      <c r="I14909"/>
      <c r="K14909"/>
      <c r="O14909"/>
      <c r="R14909"/>
      <c r="W14909" s="4"/>
      <c r="X14909" s="4"/>
      <c r="Y14909" s="4"/>
    </row>
    <row r="14910" spans="5:25">
      <c r="E14910"/>
      <c r="G14910"/>
      <c r="H14910"/>
      <c r="I14910"/>
      <c r="K14910"/>
      <c r="O14910"/>
      <c r="R14910"/>
      <c r="W14910" s="4"/>
      <c r="X14910" s="4"/>
      <c r="Y14910" s="4"/>
    </row>
    <row r="14911" spans="5:25">
      <c r="E14911"/>
      <c r="G14911"/>
      <c r="H14911"/>
      <c r="I14911"/>
      <c r="K14911"/>
      <c r="O14911"/>
      <c r="R14911"/>
      <c r="W14911" s="4"/>
      <c r="X14911" s="4"/>
      <c r="Y14911" s="4"/>
    </row>
    <row r="14912" spans="5:25">
      <c r="E14912"/>
      <c r="G14912"/>
      <c r="H14912"/>
      <c r="I14912"/>
      <c r="K14912"/>
      <c r="O14912"/>
      <c r="R14912"/>
      <c r="W14912" s="4"/>
      <c r="X14912" s="4"/>
      <c r="Y14912" s="4"/>
    </row>
    <row r="14913" spans="5:25">
      <c r="E14913"/>
      <c r="G14913"/>
      <c r="H14913"/>
      <c r="I14913"/>
      <c r="K14913"/>
      <c r="O14913"/>
      <c r="R14913"/>
      <c r="W14913" s="4"/>
      <c r="X14913" s="4"/>
      <c r="Y14913" s="4"/>
    </row>
    <row r="14914" spans="5:25">
      <c r="E14914"/>
      <c r="G14914"/>
      <c r="H14914"/>
      <c r="I14914"/>
      <c r="K14914"/>
      <c r="O14914"/>
      <c r="R14914"/>
      <c r="W14914" s="4"/>
      <c r="X14914" s="4"/>
      <c r="Y14914" s="4"/>
    </row>
    <row r="14915" spans="5:25">
      <c r="E14915"/>
      <c r="G14915"/>
      <c r="H14915"/>
      <c r="I14915"/>
      <c r="K14915"/>
      <c r="O14915"/>
      <c r="R14915"/>
      <c r="W14915" s="4"/>
      <c r="X14915" s="4"/>
      <c r="Y14915" s="4"/>
    </row>
    <row r="14916" spans="5:25">
      <c r="E14916"/>
      <c r="G14916"/>
      <c r="H14916"/>
      <c r="I14916"/>
      <c r="K14916"/>
      <c r="O14916"/>
      <c r="R14916"/>
      <c r="W14916" s="4"/>
      <c r="X14916" s="4"/>
      <c r="Y14916" s="4"/>
    </row>
    <row r="14917" spans="5:25">
      <c r="E14917"/>
      <c r="G14917"/>
      <c r="H14917"/>
      <c r="I14917"/>
      <c r="K14917"/>
      <c r="O14917"/>
      <c r="R14917"/>
      <c r="W14917" s="4"/>
      <c r="X14917" s="4"/>
      <c r="Y14917" s="4"/>
    </row>
    <row r="14918" spans="5:25">
      <c r="E14918"/>
      <c r="G14918"/>
      <c r="H14918"/>
      <c r="I14918"/>
      <c r="K14918"/>
      <c r="O14918"/>
      <c r="R14918"/>
      <c r="W14918" s="4"/>
      <c r="X14918" s="4"/>
      <c r="Y14918" s="4"/>
    </row>
    <row r="14919" spans="5:25">
      <c r="E14919"/>
      <c r="G14919"/>
      <c r="H14919"/>
      <c r="I14919"/>
      <c r="K14919"/>
      <c r="O14919"/>
      <c r="R14919"/>
      <c r="W14919" s="4"/>
      <c r="X14919" s="4"/>
      <c r="Y14919" s="4"/>
    </row>
    <row r="14920" spans="5:25">
      <c r="E14920"/>
      <c r="G14920"/>
      <c r="H14920"/>
      <c r="I14920"/>
      <c r="K14920"/>
      <c r="O14920"/>
      <c r="R14920"/>
      <c r="W14920" s="4"/>
      <c r="X14920" s="4"/>
      <c r="Y14920" s="4"/>
    </row>
    <row r="14921" spans="5:25">
      <c r="E14921"/>
      <c r="G14921"/>
      <c r="H14921"/>
      <c r="I14921"/>
      <c r="K14921"/>
      <c r="O14921"/>
      <c r="R14921"/>
      <c r="W14921" s="4"/>
      <c r="X14921" s="4"/>
      <c r="Y14921" s="4"/>
    </row>
    <row r="14922" spans="5:25">
      <c r="E14922"/>
      <c r="G14922"/>
      <c r="H14922"/>
      <c r="I14922"/>
      <c r="K14922"/>
      <c r="O14922"/>
      <c r="R14922"/>
      <c r="W14922" s="4"/>
      <c r="X14922" s="4"/>
      <c r="Y14922" s="4"/>
    </row>
    <row r="14923" spans="5:25">
      <c r="E14923"/>
      <c r="G14923"/>
      <c r="H14923"/>
      <c r="I14923"/>
      <c r="K14923"/>
      <c r="O14923"/>
      <c r="R14923"/>
      <c r="W14923" s="4"/>
      <c r="X14923" s="4"/>
      <c r="Y14923" s="4"/>
    </row>
    <row r="14924" spans="5:25">
      <c r="E14924"/>
      <c r="G14924"/>
      <c r="H14924"/>
      <c r="I14924"/>
      <c r="K14924"/>
      <c r="O14924"/>
      <c r="R14924"/>
      <c r="W14924" s="4"/>
      <c r="X14924" s="4"/>
      <c r="Y14924" s="4"/>
    </row>
    <row r="14925" spans="5:25">
      <c r="E14925"/>
      <c r="G14925"/>
      <c r="H14925"/>
      <c r="I14925"/>
      <c r="K14925"/>
      <c r="O14925"/>
      <c r="R14925"/>
      <c r="W14925" s="4"/>
      <c r="X14925" s="4"/>
      <c r="Y14925" s="4"/>
    </row>
    <row r="14926" spans="5:25">
      <c r="E14926"/>
      <c r="G14926"/>
      <c r="H14926"/>
      <c r="I14926"/>
      <c r="K14926"/>
      <c r="O14926"/>
      <c r="R14926"/>
      <c r="W14926" s="4"/>
      <c r="X14926" s="4"/>
      <c r="Y14926" s="4"/>
    </row>
    <row r="14927" spans="5:25">
      <c r="E14927"/>
      <c r="G14927"/>
      <c r="H14927"/>
      <c r="I14927"/>
      <c r="K14927"/>
      <c r="O14927"/>
      <c r="R14927"/>
      <c r="W14927" s="4"/>
      <c r="X14927" s="4"/>
      <c r="Y14927" s="4"/>
    </row>
    <row r="14928" spans="5:25">
      <c r="E14928"/>
      <c r="G14928"/>
      <c r="H14928"/>
      <c r="I14928"/>
      <c r="K14928"/>
      <c r="O14928"/>
      <c r="R14928"/>
      <c r="W14928" s="4"/>
      <c r="X14928" s="4"/>
      <c r="Y14928" s="4"/>
    </row>
    <row r="14929" spans="5:25">
      <c r="E14929"/>
      <c r="G14929"/>
      <c r="H14929"/>
      <c r="I14929"/>
      <c r="K14929"/>
      <c r="O14929"/>
      <c r="R14929"/>
      <c r="W14929" s="4"/>
      <c r="X14929" s="4"/>
      <c r="Y14929" s="4"/>
    </row>
    <row r="14930" spans="5:25">
      <c r="E14930"/>
      <c r="G14930"/>
      <c r="H14930"/>
      <c r="I14930"/>
      <c r="K14930"/>
      <c r="O14930"/>
      <c r="R14930"/>
      <c r="W14930" s="4"/>
      <c r="X14930" s="4"/>
      <c r="Y14930" s="4"/>
    </row>
    <row r="14931" spans="5:25">
      <c r="E14931"/>
      <c r="G14931"/>
      <c r="H14931"/>
      <c r="I14931"/>
      <c r="K14931"/>
      <c r="O14931"/>
      <c r="R14931"/>
      <c r="W14931" s="4"/>
      <c r="X14931" s="4"/>
      <c r="Y14931" s="4"/>
    </row>
    <row r="14932" spans="5:25">
      <c r="E14932"/>
      <c r="G14932"/>
      <c r="H14932"/>
      <c r="I14932"/>
      <c r="K14932"/>
      <c r="O14932"/>
      <c r="R14932"/>
      <c r="W14932" s="4"/>
      <c r="X14932" s="4"/>
      <c r="Y14932" s="4"/>
    </row>
    <row r="14933" spans="5:25">
      <c r="E14933"/>
      <c r="G14933"/>
      <c r="H14933"/>
      <c r="I14933"/>
      <c r="K14933"/>
      <c r="O14933"/>
      <c r="R14933"/>
      <c r="W14933" s="4"/>
      <c r="X14933" s="4"/>
      <c r="Y14933" s="4"/>
    </row>
    <row r="14934" spans="5:25">
      <c r="E14934"/>
      <c r="G14934"/>
      <c r="H14934"/>
      <c r="I14934"/>
      <c r="K14934"/>
      <c r="O14934"/>
      <c r="R14934"/>
      <c r="W14934" s="4"/>
      <c r="X14934" s="4"/>
      <c r="Y14934" s="4"/>
    </row>
    <row r="14935" spans="5:25">
      <c r="E14935"/>
      <c r="G14935"/>
      <c r="H14935"/>
      <c r="I14935"/>
      <c r="K14935"/>
      <c r="O14935"/>
      <c r="R14935"/>
      <c r="W14935" s="4"/>
      <c r="X14935" s="4"/>
      <c r="Y14935" s="4"/>
    </row>
    <row r="14936" spans="5:25">
      <c r="E14936"/>
      <c r="G14936"/>
      <c r="H14936"/>
      <c r="I14936"/>
      <c r="K14936"/>
      <c r="O14936"/>
      <c r="R14936"/>
      <c r="W14936" s="4"/>
      <c r="X14936" s="4"/>
      <c r="Y14936" s="4"/>
    </row>
    <row r="14937" spans="5:25">
      <c r="E14937"/>
      <c r="G14937"/>
      <c r="H14937"/>
      <c r="I14937"/>
      <c r="K14937"/>
      <c r="O14937"/>
      <c r="R14937"/>
      <c r="W14937" s="4"/>
      <c r="X14937" s="4"/>
      <c r="Y14937" s="4"/>
    </row>
    <row r="14938" spans="5:25">
      <c r="E14938"/>
      <c r="G14938"/>
      <c r="H14938"/>
      <c r="I14938"/>
      <c r="K14938"/>
      <c r="O14938"/>
      <c r="R14938"/>
      <c r="W14938" s="4"/>
      <c r="X14938" s="4"/>
      <c r="Y14938" s="4"/>
    </row>
    <row r="14939" spans="5:25">
      <c r="E14939"/>
      <c r="G14939"/>
      <c r="H14939"/>
      <c r="I14939"/>
      <c r="K14939"/>
      <c r="O14939"/>
      <c r="R14939"/>
      <c r="W14939" s="4"/>
      <c r="X14939" s="4"/>
      <c r="Y14939" s="4"/>
    </row>
    <row r="14940" spans="5:25">
      <c r="E14940"/>
      <c r="G14940"/>
      <c r="H14940"/>
      <c r="I14940"/>
      <c r="K14940"/>
      <c r="O14940"/>
      <c r="R14940"/>
      <c r="W14940" s="4"/>
      <c r="X14940" s="4"/>
      <c r="Y14940" s="4"/>
    </row>
    <row r="14941" spans="5:25">
      <c r="E14941"/>
      <c r="G14941"/>
      <c r="H14941"/>
      <c r="I14941"/>
      <c r="K14941"/>
      <c r="O14941"/>
      <c r="R14941"/>
      <c r="W14941" s="4"/>
      <c r="X14941" s="4"/>
      <c r="Y14941" s="4"/>
    </row>
    <row r="14942" spans="5:25">
      <c r="E14942"/>
      <c r="G14942"/>
      <c r="H14942"/>
      <c r="I14942"/>
      <c r="K14942"/>
      <c r="O14942"/>
      <c r="R14942"/>
      <c r="W14942" s="4"/>
      <c r="X14942" s="4"/>
      <c r="Y14942" s="4"/>
    </row>
    <row r="14943" spans="5:25">
      <c r="E14943"/>
      <c r="G14943"/>
      <c r="H14943"/>
      <c r="I14943"/>
      <c r="K14943"/>
      <c r="O14943"/>
      <c r="R14943"/>
      <c r="W14943" s="4"/>
      <c r="X14943" s="4"/>
      <c r="Y14943" s="4"/>
    </row>
    <row r="14944" spans="5:25">
      <c r="E14944"/>
      <c r="G14944"/>
      <c r="H14944"/>
      <c r="I14944"/>
      <c r="K14944"/>
      <c r="O14944"/>
      <c r="R14944"/>
      <c r="W14944" s="4"/>
      <c r="X14944" s="4"/>
      <c r="Y14944" s="4"/>
    </row>
    <row r="14945" spans="5:25">
      <c r="E14945"/>
      <c r="G14945"/>
      <c r="H14945"/>
      <c r="I14945"/>
      <c r="K14945"/>
      <c r="O14945"/>
      <c r="R14945"/>
      <c r="W14945" s="4"/>
      <c r="X14945" s="4"/>
      <c r="Y14945" s="4"/>
    </row>
    <row r="14946" spans="5:25">
      <c r="E14946"/>
      <c r="G14946"/>
      <c r="H14946"/>
      <c r="I14946"/>
      <c r="K14946"/>
      <c r="O14946"/>
      <c r="R14946"/>
      <c r="W14946" s="4"/>
      <c r="X14946" s="4"/>
      <c r="Y14946" s="4"/>
    </row>
    <row r="14947" spans="5:25">
      <c r="E14947"/>
      <c r="G14947"/>
      <c r="H14947"/>
      <c r="I14947"/>
      <c r="K14947"/>
      <c r="O14947"/>
      <c r="R14947"/>
      <c r="W14947" s="4"/>
      <c r="X14947" s="4"/>
      <c r="Y14947" s="4"/>
    </row>
    <row r="14948" spans="5:25">
      <c r="E14948"/>
      <c r="G14948"/>
      <c r="H14948"/>
      <c r="I14948"/>
      <c r="K14948"/>
      <c r="O14948"/>
      <c r="R14948"/>
      <c r="W14948" s="4"/>
      <c r="X14948" s="4"/>
      <c r="Y14948" s="4"/>
    </row>
    <row r="14949" spans="5:25">
      <c r="E14949"/>
      <c r="G14949"/>
      <c r="H14949"/>
      <c r="I14949"/>
      <c r="K14949"/>
      <c r="O14949"/>
      <c r="R14949"/>
      <c r="W14949" s="4"/>
      <c r="X14949" s="4"/>
      <c r="Y14949" s="4"/>
    </row>
    <row r="14950" spans="5:25">
      <c r="E14950"/>
      <c r="G14950"/>
      <c r="H14950"/>
      <c r="I14950"/>
      <c r="K14950"/>
      <c r="O14950"/>
      <c r="R14950"/>
      <c r="W14950" s="4"/>
      <c r="X14950" s="4"/>
      <c r="Y14950" s="4"/>
    </row>
    <row r="14951" spans="5:25">
      <c r="E14951"/>
      <c r="G14951"/>
      <c r="H14951"/>
      <c r="I14951"/>
      <c r="K14951"/>
      <c r="O14951"/>
      <c r="R14951"/>
      <c r="W14951" s="4"/>
      <c r="X14951" s="4"/>
      <c r="Y14951" s="4"/>
    </row>
    <row r="14952" spans="5:25">
      <c r="E14952"/>
      <c r="G14952"/>
      <c r="H14952"/>
      <c r="I14952"/>
      <c r="K14952"/>
      <c r="O14952"/>
      <c r="R14952"/>
      <c r="W14952" s="4"/>
      <c r="X14952" s="4"/>
      <c r="Y14952" s="4"/>
    </row>
    <row r="14953" spans="5:25">
      <c r="E14953"/>
      <c r="G14953"/>
      <c r="H14953"/>
      <c r="I14953"/>
      <c r="K14953"/>
      <c r="O14953"/>
      <c r="R14953"/>
      <c r="W14953" s="4"/>
      <c r="X14953" s="4"/>
      <c r="Y14953" s="4"/>
    </row>
    <row r="14954" spans="5:25">
      <c r="E14954"/>
      <c r="G14954"/>
      <c r="H14954"/>
      <c r="I14954"/>
      <c r="K14954"/>
      <c r="O14954"/>
      <c r="R14954"/>
      <c r="W14954" s="4"/>
      <c r="X14954" s="4"/>
      <c r="Y14954" s="4"/>
    </row>
    <row r="14955" spans="5:25">
      <c r="E14955"/>
      <c r="G14955"/>
      <c r="H14955"/>
      <c r="I14955"/>
      <c r="K14955"/>
      <c r="O14955"/>
      <c r="R14955"/>
      <c r="W14955" s="4"/>
      <c r="X14955" s="4"/>
      <c r="Y14955" s="4"/>
    </row>
    <row r="14956" spans="5:25">
      <c r="E14956"/>
      <c r="G14956"/>
      <c r="H14956"/>
      <c r="I14956"/>
      <c r="K14956"/>
      <c r="O14956"/>
      <c r="R14956"/>
      <c r="W14956" s="4"/>
      <c r="X14956" s="4"/>
      <c r="Y14956" s="4"/>
    </row>
    <row r="14957" spans="5:25">
      <c r="E14957"/>
      <c r="G14957"/>
      <c r="H14957"/>
      <c r="I14957"/>
      <c r="K14957"/>
      <c r="O14957"/>
      <c r="R14957"/>
      <c r="W14957" s="4"/>
      <c r="X14957" s="4"/>
      <c r="Y14957" s="4"/>
    </row>
    <row r="14958" spans="5:25">
      <c r="E14958"/>
      <c r="G14958"/>
      <c r="H14958"/>
      <c r="I14958"/>
      <c r="K14958"/>
      <c r="O14958"/>
      <c r="R14958"/>
      <c r="W14958" s="4"/>
      <c r="X14958" s="4"/>
      <c r="Y14958" s="4"/>
    </row>
    <row r="14959" spans="5:25">
      <c r="E14959"/>
      <c r="G14959"/>
      <c r="H14959"/>
      <c r="I14959"/>
      <c r="K14959"/>
      <c r="O14959"/>
      <c r="R14959"/>
      <c r="W14959" s="4"/>
      <c r="X14959" s="4"/>
      <c r="Y14959" s="4"/>
    </row>
    <row r="14960" spans="5:25">
      <c r="E14960"/>
      <c r="G14960"/>
      <c r="H14960"/>
      <c r="I14960"/>
      <c r="K14960"/>
      <c r="O14960"/>
      <c r="R14960"/>
      <c r="W14960" s="4"/>
      <c r="X14960" s="4"/>
      <c r="Y14960" s="4"/>
    </row>
    <row r="14961" spans="5:25">
      <c r="E14961"/>
      <c r="G14961"/>
      <c r="H14961"/>
      <c r="I14961"/>
      <c r="K14961"/>
      <c r="O14961"/>
      <c r="R14961"/>
      <c r="W14961" s="4"/>
      <c r="X14961" s="4"/>
      <c r="Y14961" s="4"/>
    </row>
    <row r="14962" spans="5:25">
      <c r="E14962"/>
      <c r="G14962"/>
      <c r="H14962"/>
      <c r="I14962"/>
      <c r="K14962"/>
      <c r="O14962"/>
      <c r="R14962"/>
      <c r="W14962" s="4"/>
      <c r="X14962" s="4"/>
      <c r="Y14962" s="4"/>
    </row>
    <row r="14963" spans="5:25">
      <c r="E14963"/>
      <c r="G14963"/>
      <c r="H14963"/>
      <c r="I14963"/>
      <c r="K14963"/>
      <c r="O14963"/>
      <c r="R14963"/>
      <c r="W14963" s="4"/>
      <c r="X14963" s="4"/>
      <c r="Y14963" s="4"/>
    </row>
    <row r="14964" spans="5:25">
      <c r="E14964"/>
      <c r="G14964"/>
      <c r="H14964"/>
      <c r="I14964"/>
      <c r="K14964"/>
      <c r="O14964"/>
      <c r="R14964"/>
      <c r="W14964" s="4"/>
      <c r="X14964" s="4"/>
      <c r="Y14964" s="4"/>
    </row>
    <row r="14965" spans="5:25">
      <c r="E14965"/>
      <c r="G14965"/>
      <c r="H14965"/>
      <c r="I14965"/>
      <c r="K14965"/>
      <c r="O14965"/>
      <c r="R14965"/>
      <c r="W14965" s="4"/>
      <c r="X14965" s="4"/>
      <c r="Y14965" s="4"/>
    </row>
    <row r="14966" spans="5:25">
      <c r="E14966"/>
      <c r="G14966"/>
      <c r="H14966"/>
      <c r="I14966"/>
      <c r="K14966"/>
      <c r="O14966"/>
      <c r="R14966"/>
      <c r="W14966" s="4"/>
      <c r="X14966" s="4"/>
      <c r="Y14966" s="4"/>
    </row>
    <row r="14967" spans="5:25">
      <c r="E14967"/>
      <c r="G14967"/>
      <c r="H14967"/>
      <c r="I14967"/>
      <c r="K14967"/>
      <c r="O14967"/>
      <c r="R14967"/>
      <c r="W14967" s="4"/>
      <c r="X14967" s="4"/>
      <c r="Y14967" s="4"/>
    </row>
    <row r="14968" spans="5:25">
      <c r="E14968"/>
      <c r="G14968"/>
      <c r="H14968"/>
      <c r="I14968"/>
      <c r="K14968"/>
      <c r="O14968"/>
      <c r="R14968"/>
      <c r="W14968" s="4"/>
      <c r="X14968" s="4"/>
      <c r="Y14968" s="4"/>
    </row>
    <row r="14969" spans="5:25">
      <c r="E14969"/>
      <c r="G14969"/>
      <c r="H14969"/>
      <c r="I14969"/>
      <c r="K14969"/>
      <c r="O14969"/>
      <c r="R14969"/>
      <c r="W14969" s="4"/>
      <c r="X14969" s="4"/>
      <c r="Y14969" s="4"/>
    </row>
    <row r="14970" spans="5:25">
      <c r="E14970"/>
      <c r="G14970"/>
      <c r="H14970"/>
      <c r="I14970"/>
      <c r="K14970"/>
      <c r="O14970"/>
      <c r="R14970"/>
      <c r="W14970" s="4"/>
      <c r="X14970" s="4"/>
      <c r="Y14970" s="4"/>
    </row>
    <row r="14971" spans="5:25">
      <c r="E14971"/>
      <c r="G14971"/>
      <c r="H14971"/>
      <c r="I14971"/>
      <c r="K14971"/>
      <c r="O14971"/>
      <c r="R14971"/>
      <c r="W14971" s="4"/>
      <c r="X14971" s="4"/>
      <c r="Y14971" s="4"/>
    </row>
    <row r="14972" spans="5:25">
      <c r="E14972"/>
      <c r="G14972"/>
      <c r="H14972"/>
      <c r="I14972"/>
      <c r="K14972"/>
      <c r="O14972"/>
      <c r="R14972"/>
      <c r="W14972" s="4"/>
      <c r="X14972" s="4"/>
      <c r="Y14972" s="4"/>
    </row>
    <row r="14973" spans="5:25">
      <c r="E14973"/>
      <c r="G14973"/>
      <c r="H14973"/>
      <c r="I14973"/>
      <c r="K14973"/>
      <c r="O14973"/>
      <c r="R14973"/>
      <c r="W14973" s="4"/>
      <c r="X14973" s="4"/>
      <c r="Y14973" s="4"/>
    </row>
    <row r="14974" spans="5:25">
      <c r="E14974"/>
      <c r="G14974"/>
      <c r="H14974"/>
      <c r="I14974"/>
      <c r="K14974"/>
      <c r="O14974"/>
      <c r="R14974"/>
      <c r="W14974" s="4"/>
      <c r="X14974" s="4"/>
      <c r="Y14974" s="4"/>
    </row>
    <row r="14975" spans="5:25">
      <c r="E14975"/>
      <c r="G14975"/>
      <c r="H14975"/>
      <c r="I14975"/>
      <c r="K14975"/>
      <c r="O14975"/>
      <c r="R14975"/>
      <c r="W14975" s="4"/>
      <c r="X14975" s="4"/>
      <c r="Y14975" s="4"/>
    </row>
    <row r="14976" spans="5:25">
      <c r="E14976"/>
      <c r="G14976"/>
      <c r="H14976"/>
      <c r="I14976"/>
      <c r="K14976"/>
      <c r="O14976"/>
      <c r="R14976"/>
      <c r="W14976" s="4"/>
      <c r="X14976" s="4"/>
      <c r="Y14976" s="4"/>
    </row>
    <row r="14977" spans="5:25">
      <c r="E14977"/>
      <c r="G14977"/>
      <c r="H14977"/>
      <c r="I14977"/>
      <c r="K14977"/>
      <c r="O14977"/>
      <c r="R14977"/>
      <c r="W14977" s="4"/>
      <c r="X14977" s="4"/>
      <c r="Y14977" s="4"/>
    </row>
    <row r="14978" spans="5:25">
      <c r="E14978"/>
      <c r="G14978"/>
      <c r="H14978"/>
      <c r="I14978"/>
      <c r="K14978"/>
      <c r="O14978"/>
      <c r="R14978"/>
      <c r="W14978" s="4"/>
      <c r="X14978" s="4"/>
      <c r="Y14978" s="4"/>
    </row>
    <row r="14979" spans="5:25">
      <c r="E14979"/>
      <c r="G14979"/>
      <c r="H14979"/>
      <c r="I14979"/>
      <c r="K14979"/>
      <c r="O14979"/>
      <c r="R14979"/>
      <c r="W14979" s="4"/>
      <c r="X14979" s="4"/>
      <c r="Y14979" s="4"/>
    </row>
    <row r="14980" spans="5:25">
      <c r="E14980"/>
      <c r="G14980"/>
      <c r="H14980"/>
      <c r="I14980"/>
      <c r="K14980"/>
      <c r="O14980"/>
      <c r="R14980"/>
      <c r="W14980" s="4"/>
      <c r="X14980" s="4"/>
      <c r="Y14980" s="4"/>
    </row>
    <row r="14981" spans="5:25">
      <c r="E14981"/>
      <c r="G14981"/>
      <c r="H14981"/>
      <c r="I14981"/>
      <c r="K14981"/>
      <c r="O14981"/>
      <c r="R14981"/>
      <c r="W14981" s="4"/>
      <c r="X14981" s="4"/>
      <c r="Y14981" s="4"/>
    </row>
    <row r="14982" spans="5:25">
      <c r="E14982"/>
      <c r="G14982"/>
      <c r="H14982"/>
      <c r="I14982"/>
      <c r="K14982"/>
      <c r="O14982"/>
      <c r="R14982"/>
      <c r="W14982" s="4"/>
      <c r="X14982" s="4"/>
      <c r="Y14982" s="4"/>
    </row>
    <row r="14983" spans="5:25">
      <c r="E14983"/>
      <c r="G14983"/>
      <c r="H14983"/>
      <c r="I14983"/>
      <c r="K14983"/>
      <c r="O14983"/>
      <c r="R14983"/>
      <c r="W14983" s="4"/>
      <c r="X14983" s="4"/>
      <c r="Y14983" s="4"/>
    </row>
    <row r="14984" spans="5:25">
      <c r="E14984"/>
      <c r="G14984"/>
      <c r="H14984"/>
      <c r="I14984"/>
      <c r="K14984"/>
      <c r="O14984"/>
      <c r="R14984"/>
      <c r="W14984" s="4"/>
      <c r="X14984" s="4"/>
      <c r="Y14984" s="4"/>
    </row>
    <row r="14985" spans="5:25">
      <c r="E14985"/>
      <c r="G14985"/>
      <c r="H14985"/>
      <c r="I14985"/>
      <c r="K14985"/>
      <c r="O14985"/>
      <c r="R14985"/>
      <c r="W14985" s="4"/>
      <c r="X14985" s="4"/>
      <c r="Y14985" s="4"/>
    </row>
    <row r="14986" spans="5:25">
      <c r="E14986"/>
      <c r="G14986"/>
      <c r="H14986"/>
      <c r="I14986"/>
      <c r="K14986"/>
      <c r="O14986"/>
      <c r="R14986"/>
      <c r="W14986" s="4"/>
      <c r="X14986" s="4"/>
      <c r="Y14986" s="4"/>
    </row>
    <row r="14987" spans="5:25">
      <c r="E14987"/>
      <c r="G14987"/>
      <c r="H14987"/>
      <c r="I14987"/>
      <c r="K14987"/>
      <c r="O14987"/>
      <c r="R14987"/>
      <c r="W14987" s="4"/>
      <c r="X14987" s="4"/>
      <c r="Y14987" s="4"/>
    </row>
    <row r="14988" spans="5:25">
      <c r="E14988"/>
      <c r="G14988"/>
      <c r="H14988"/>
      <c r="I14988"/>
      <c r="K14988"/>
      <c r="O14988"/>
      <c r="R14988"/>
      <c r="W14988" s="4"/>
      <c r="X14988" s="4"/>
      <c r="Y14988" s="4"/>
    </row>
    <row r="14989" spans="5:25">
      <c r="E14989"/>
      <c r="G14989"/>
      <c r="H14989"/>
      <c r="I14989"/>
      <c r="K14989"/>
      <c r="O14989"/>
      <c r="R14989"/>
      <c r="W14989" s="4"/>
      <c r="X14989" s="4"/>
      <c r="Y14989" s="4"/>
    </row>
    <row r="14990" spans="5:25">
      <c r="E14990"/>
      <c r="G14990"/>
      <c r="H14990"/>
      <c r="I14990"/>
      <c r="K14990"/>
      <c r="O14990"/>
      <c r="R14990"/>
      <c r="W14990" s="4"/>
      <c r="X14990" s="4"/>
      <c r="Y14990" s="4"/>
    </row>
    <row r="14991" spans="5:25">
      <c r="E14991"/>
      <c r="G14991"/>
      <c r="H14991"/>
      <c r="I14991"/>
      <c r="K14991"/>
      <c r="O14991"/>
      <c r="R14991"/>
      <c r="W14991" s="4"/>
      <c r="X14991" s="4"/>
      <c r="Y14991" s="4"/>
    </row>
    <row r="14992" spans="5:25">
      <c r="E14992"/>
      <c r="G14992"/>
      <c r="H14992"/>
      <c r="I14992"/>
      <c r="K14992"/>
      <c r="O14992"/>
      <c r="R14992"/>
      <c r="W14992" s="4"/>
      <c r="X14992" s="4"/>
      <c r="Y14992" s="4"/>
    </row>
    <row r="14993" spans="5:25">
      <c r="E14993"/>
      <c r="G14993"/>
      <c r="H14993"/>
      <c r="I14993"/>
      <c r="K14993"/>
      <c r="O14993"/>
      <c r="R14993"/>
      <c r="W14993" s="4"/>
      <c r="X14993" s="4"/>
      <c r="Y14993" s="4"/>
    </row>
    <row r="14994" spans="5:25">
      <c r="E14994"/>
      <c r="G14994"/>
      <c r="H14994"/>
      <c r="I14994"/>
      <c r="K14994"/>
      <c r="O14994"/>
      <c r="R14994"/>
      <c r="W14994" s="4"/>
      <c r="X14994" s="4"/>
      <c r="Y14994" s="4"/>
    </row>
    <row r="14995" spans="5:25">
      <c r="E14995"/>
      <c r="G14995"/>
      <c r="H14995"/>
      <c r="I14995"/>
      <c r="K14995"/>
      <c r="O14995"/>
      <c r="R14995"/>
      <c r="W14995" s="4"/>
      <c r="X14995" s="4"/>
      <c r="Y14995" s="4"/>
    </row>
    <row r="14996" spans="5:25">
      <c r="E14996"/>
      <c r="G14996"/>
      <c r="H14996"/>
      <c r="I14996"/>
      <c r="K14996"/>
      <c r="O14996"/>
      <c r="R14996"/>
      <c r="W14996" s="4"/>
      <c r="X14996" s="4"/>
      <c r="Y14996" s="4"/>
    </row>
    <row r="14997" spans="5:25">
      <c r="E14997"/>
      <c r="G14997"/>
      <c r="H14997"/>
      <c r="I14997"/>
      <c r="K14997"/>
      <c r="O14997"/>
      <c r="R14997"/>
      <c r="W14997" s="4"/>
      <c r="X14997" s="4"/>
      <c r="Y14997" s="4"/>
    </row>
    <row r="14998" spans="5:25">
      <c r="E14998"/>
      <c r="G14998"/>
      <c r="H14998"/>
      <c r="I14998"/>
      <c r="K14998"/>
      <c r="O14998"/>
      <c r="R14998"/>
      <c r="W14998" s="4"/>
      <c r="X14998" s="4"/>
      <c r="Y14998" s="4"/>
    </row>
    <row r="14999" spans="5:25">
      <c r="E14999"/>
      <c r="G14999"/>
      <c r="H14999"/>
      <c r="I14999"/>
      <c r="K14999"/>
      <c r="O14999"/>
      <c r="R14999"/>
      <c r="W14999" s="4"/>
      <c r="X14999" s="4"/>
      <c r="Y14999" s="4"/>
    </row>
    <row r="15000" spans="5:25">
      <c r="E15000"/>
      <c r="G15000"/>
      <c r="H15000"/>
      <c r="I15000"/>
      <c r="K15000"/>
      <c r="O15000"/>
      <c r="R15000"/>
      <c r="W15000" s="4"/>
      <c r="X15000" s="4"/>
      <c r="Y15000" s="4"/>
    </row>
    <row r="15001" spans="5:25">
      <c r="E15001"/>
      <c r="G15001"/>
      <c r="H15001"/>
      <c r="I15001"/>
      <c r="K15001"/>
      <c r="O15001"/>
      <c r="R15001"/>
      <c r="W15001" s="4"/>
      <c r="X15001" s="4"/>
      <c r="Y15001" s="4"/>
    </row>
    <row r="15002" spans="5:25">
      <c r="E15002"/>
      <c r="G15002"/>
      <c r="H15002"/>
      <c r="I15002"/>
      <c r="K15002"/>
      <c r="O15002"/>
      <c r="R15002"/>
      <c r="W15002" s="4"/>
      <c r="X15002" s="4"/>
      <c r="Y15002" s="4"/>
    </row>
    <row r="15003" spans="5:25">
      <c r="E15003"/>
      <c r="G15003"/>
      <c r="H15003"/>
      <c r="I15003"/>
      <c r="K15003"/>
      <c r="O15003"/>
      <c r="R15003"/>
      <c r="W15003" s="4"/>
      <c r="X15003" s="4"/>
      <c r="Y15003" s="4"/>
    </row>
    <row r="15004" spans="5:25">
      <c r="E15004"/>
      <c r="G15004"/>
      <c r="H15004"/>
      <c r="I15004"/>
      <c r="K15004"/>
      <c r="O15004"/>
      <c r="R15004"/>
      <c r="W15004" s="4"/>
      <c r="X15004" s="4"/>
      <c r="Y15004" s="4"/>
    </row>
    <row r="15005" spans="5:25">
      <c r="E15005"/>
      <c r="G15005"/>
      <c r="H15005"/>
      <c r="I15005"/>
      <c r="K15005"/>
      <c r="O15005"/>
      <c r="R15005"/>
      <c r="W15005" s="4"/>
      <c r="X15005" s="4"/>
      <c r="Y15005" s="4"/>
    </row>
    <row r="15006" spans="5:25">
      <c r="E15006"/>
      <c r="G15006"/>
      <c r="H15006"/>
      <c r="I15006"/>
      <c r="K15006"/>
      <c r="O15006"/>
      <c r="R15006"/>
      <c r="W15006" s="4"/>
      <c r="X15006" s="4"/>
      <c r="Y15006" s="4"/>
    </row>
    <row r="15007" spans="5:25">
      <c r="E15007"/>
      <c r="G15007"/>
      <c r="H15007"/>
      <c r="I15007"/>
      <c r="K15007"/>
      <c r="O15007"/>
      <c r="R15007"/>
      <c r="W15007" s="4"/>
      <c r="X15007" s="4"/>
      <c r="Y15007" s="4"/>
    </row>
    <row r="15008" spans="5:25">
      <c r="E15008"/>
      <c r="G15008"/>
      <c r="H15008"/>
      <c r="I15008"/>
      <c r="K15008"/>
      <c r="O15008"/>
      <c r="R15008"/>
      <c r="W15008" s="4"/>
      <c r="X15008" s="4"/>
      <c r="Y15008" s="4"/>
    </row>
    <row r="15009" spans="5:25">
      <c r="E15009"/>
      <c r="G15009"/>
      <c r="H15009"/>
      <c r="I15009"/>
      <c r="K15009"/>
      <c r="O15009"/>
      <c r="R15009"/>
      <c r="W15009" s="4"/>
      <c r="X15009" s="4"/>
      <c r="Y15009" s="4"/>
    </row>
    <row r="15010" spans="5:25">
      <c r="E15010"/>
      <c r="G15010"/>
      <c r="H15010"/>
      <c r="I15010"/>
      <c r="K15010"/>
      <c r="O15010"/>
      <c r="R15010"/>
      <c r="W15010" s="4"/>
      <c r="X15010" s="4"/>
      <c r="Y15010" s="4"/>
    </row>
    <row r="15011" spans="5:25">
      <c r="E15011"/>
      <c r="G15011"/>
      <c r="H15011"/>
      <c r="I15011"/>
      <c r="K15011"/>
      <c r="O15011"/>
      <c r="R15011"/>
      <c r="W15011" s="4"/>
      <c r="X15011" s="4"/>
      <c r="Y15011" s="4"/>
    </row>
    <row r="15012" spans="5:25">
      <c r="E15012"/>
      <c r="G15012"/>
      <c r="H15012"/>
      <c r="I15012"/>
      <c r="K15012"/>
      <c r="O15012"/>
      <c r="R15012"/>
      <c r="W15012" s="4"/>
      <c r="X15012" s="4"/>
      <c r="Y15012" s="4"/>
    </row>
    <row r="15013" spans="5:25">
      <c r="E15013"/>
      <c r="G15013"/>
      <c r="H15013"/>
      <c r="I15013"/>
      <c r="K15013"/>
      <c r="O15013"/>
      <c r="R15013"/>
      <c r="W15013" s="4"/>
      <c r="X15013" s="4"/>
      <c r="Y15013" s="4"/>
    </row>
    <row r="15014" spans="5:25">
      <c r="E15014"/>
      <c r="G15014"/>
      <c r="H15014"/>
      <c r="I15014"/>
      <c r="K15014"/>
      <c r="O15014"/>
      <c r="R15014"/>
      <c r="W15014" s="4"/>
      <c r="X15014" s="4"/>
      <c r="Y15014" s="4"/>
    </row>
    <row r="15015" spans="5:25">
      <c r="E15015"/>
      <c r="G15015"/>
      <c r="H15015"/>
      <c r="I15015"/>
      <c r="K15015"/>
      <c r="O15015"/>
      <c r="R15015"/>
      <c r="W15015" s="4"/>
      <c r="X15015" s="4"/>
      <c r="Y15015" s="4"/>
    </row>
    <row r="15016" spans="5:25">
      <c r="E15016"/>
      <c r="G15016"/>
      <c r="H15016"/>
      <c r="I15016"/>
      <c r="K15016"/>
      <c r="O15016"/>
      <c r="R15016"/>
      <c r="W15016" s="4"/>
      <c r="X15016" s="4"/>
      <c r="Y15016" s="4"/>
    </row>
    <row r="15017" spans="5:25">
      <c r="E15017"/>
      <c r="G15017"/>
      <c r="H15017"/>
      <c r="I15017"/>
      <c r="K15017"/>
      <c r="O15017"/>
      <c r="R15017"/>
      <c r="W15017" s="4"/>
      <c r="X15017" s="4"/>
      <c r="Y15017" s="4"/>
    </row>
    <row r="15018" spans="5:25">
      <c r="E15018"/>
      <c r="G15018"/>
      <c r="H15018"/>
      <c r="I15018"/>
      <c r="K15018"/>
      <c r="O15018"/>
      <c r="R15018"/>
      <c r="W15018" s="4"/>
      <c r="X15018" s="4"/>
      <c r="Y15018" s="4"/>
    </row>
    <row r="15019" spans="5:25">
      <c r="E15019"/>
      <c r="G15019"/>
      <c r="H15019"/>
      <c r="I15019"/>
      <c r="K15019"/>
      <c r="O15019"/>
      <c r="R15019"/>
      <c r="W15019" s="4"/>
      <c r="X15019" s="4"/>
      <c r="Y15019" s="4"/>
    </row>
    <row r="15020" spans="5:25">
      <c r="E15020"/>
      <c r="G15020"/>
      <c r="H15020"/>
      <c r="I15020"/>
      <c r="K15020"/>
      <c r="O15020"/>
      <c r="R15020"/>
      <c r="W15020" s="4"/>
      <c r="X15020" s="4"/>
      <c r="Y15020" s="4"/>
    </row>
    <row r="15021" spans="5:25">
      <c r="E15021"/>
      <c r="G15021"/>
      <c r="H15021"/>
      <c r="I15021"/>
      <c r="K15021"/>
      <c r="O15021"/>
      <c r="R15021"/>
      <c r="W15021" s="4"/>
      <c r="X15021" s="4"/>
      <c r="Y15021" s="4"/>
    </row>
    <row r="15022" spans="5:25">
      <c r="E15022"/>
      <c r="G15022"/>
      <c r="H15022"/>
      <c r="I15022"/>
      <c r="K15022"/>
      <c r="O15022"/>
      <c r="R15022"/>
      <c r="W15022" s="4"/>
      <c r="X15022" s="4"/>
      <c r="Y15022" s="4"/>
    </row>
    <row r="15023" spans="5:25">
      <c r="E15023"/>
      <c r="G15023"/>
      <c r="H15023"/>
      <c r="I15023"/>
      <c r="K15023"/>
      <c r="O15023"/>
      <c r="R15023"/>
      <c r="W15023" s="4"/>
      <c r="X15023" s="4"/>
      <c r="Y15023" s="4"/>
    </row>
    <row r="15024" spans="5:25">
      <c r="E15024"/>
      <c r="G15024"/>
      <c r="H15024"/>
      <c r="I15024"/>
      <c r="K15024"/>
      <c r="O15024"/>
      <c r="R15024"/>
      <c r="W15024" s="4"/>
      <c r="X15024" s="4"/>
      <c r="Y15024" s="4"/>
    </row>
    <row r="15025" spans="5:25">
      <c r="E15025"/>
      <c r="G15025"/>
      <c r="H15025"/>
      <c r="I15025"/>
      <c r="K15025"/>
      <c r="O15025"/>
      <c r="R15025"/>
      <c r="W15025" s="4"/>
      <c r="X15025" s="4"/>
      <c r="Y15025" s="4"/>
    </row>
    <row r="15026" spans="5:25">
      <c r="E15026"/>
      <c r="G15026"/>
      <c r="H15026"/>
      <c r="I15026"/>
      <c r="K15026"/>
      <c r="O15026"/>
      <c r="R15026"/>
      <c r="W15026" s="4"/>
      <c r="X15026" s="4"/>
      <c r="Y15026" s="4"/>
    </row>
    <row r="15027" spans="5:25">
      <c r="E15027"/>
      <c r="G15027"/>
      <c r="H15027"/>
      <c r="I15027"/>
      <c r="K15027"/>
      <c r="O15027"/>
      <c r="R15027"/>
      <c r="W15027" s="4"/>
      <c r="X15027" s="4"/>
      <c r="Y15027" s="4"/>
    </row>
    <row r="15028" spans="5:25">
      <c r="E15028"/>
      <c r="G15028"/>
      <c r="H15028"/>
      <c r="I15028"/>
      <c r="K15028"/>
      <c r="O15028"/>
      <c r="R15028"/>
      <c r="W15028" s="4"/>
      <c r="X15028" s="4"/>
      <c r="Y15028" s="4"/>
    </row>
    <row r="15029" spans="5:25">
      <c r="E15029"/>
      <c r="G15029"/>
      <c r="H15029"/>
      <c r="I15029"/>
      <c r="K15029"/>
      <c r="O15029"/>
      <c r="R15029"/>
      <c r="W15029" s="4"/>
      <c r="X15029" s="4"/>
      <c r="Y15029" s="4"/>
    </row>
    <row r="15030" spans="5:25">
      <c r="E15030"/>
      <c r="G15030"/>
      <c r="H15030"/>
      <c r="I15030"/>
      <c r="K15030"/>
      <c r="O15030"/>
      <c r="R15030"/>
      <c r="W15030" s="4"/>
      <c r="X15030" s="4"/>
      <c r="Y15030" s="4"/>
    </row>
    <row r="15031" spans="5:25">
      <c r="E15031"/>
      <c r="G15031"/>
      <c r="H15031"/>
      <c r="I15031"/>
      <c r="K15031"/>
      <c r="O15031"/>
      <c r="R15031"/>
      <c r="W15031" s="4"/>
      <c r="X15031" s="4"/>
      <c r="Y15031" s="4"/>
    </row>
    <row r="15032" spans="5:25">
      <c r="E15032"/>
      <c r="G15032"/>
      <c r="H15032"/>
      <c r="I15032"/>
      <c r="K15032"/>
      <c r="O15032"/>
      <c r="R15032"/>
      <c r="W15032" s="4"/>
      <c r="X15032" s="4"/>
      <c r="Y15032" s="4"/>
    </row>
    <row r="15033" spans="5:25">
      <c r="E15033"/>
      <c r="G15033"/>
      <c r="H15033"/>
      <c r="I15033"/>
      <c r="K15033"/>
      <c r="O15033"/>
      <c r="R15033"/>
      <c r="W15033" s="4"/>
      <c r="X15033" s="4"/>
      <c r="Y15033" s="4"/>
    </row>
    <row r="15034" spans="5:25">
      <c r="E15034"/>
      <c r="G15034"/>
      <c r="H15034"/>
      <c r="I15034"/>
      <c r="K15034"/>
      <c r="O15034"/>
      <c r="R15034"/>
      <c r="W15034" s="4"/>
      <c r="X15034" s="4"/>
      <c r="Y15034" s="4"/>
    </row>
    <row r="15035" spans="5:25">
      <c r="E15035"/>
      <c r="G15035"/>
      <c r="H15035"/>
      <c r="I15035"/>
      <c r="K15035"/>
      <c r="O15035"/>
      <c r="R15035"/>
      <c r="W15035" s="4"/>
      <c r="X15035" s="4"/>
      <c r="Y15035" s="4"/>
    </row>
    <row r="15036" spans="5:25">
      <c r="E15036"/>
      <c r="G15036"/>
      <c r="H15036"/>
      <c r="I15036"/>
      <c r="K15036"/>
      <c r="O15036"/>
      <c r="R15036"/>
      <c r="W15036" s="4"/>
      <c r="X15036" s="4"/>
      <c r="Y15036" s="4"/>
    </row>
    <row r="15037" spans="5:25">
      <c r="E15037"/>
      <c r="G15037"/>
      <c r="H15037"/>
      <c r="I15037"/>
      <c r="K15037"/>
      <c r="O15037"/>
      <c r="R15037"/>
      <c r="W15037" s="4"/>
      <c r="X15037" s="4"/>
      <c r="Y15037" s="4"/>
    </row>
    <row r="15038" spans="5:25">
      <c r="E15038"/>
      <c r="G15038"/>
      <c r="H15038"/>
      <c r="I15038"/>
      <c r="K15038"/>
      <c r="O15038"/>
      <c r="R15038"/>
      <c r="W15038" s="4"/>
      <c r="X15038" s="4"/>
      <c r="Y15038" s="4"/>
    </row>
    <row r="15039" spans="5:25">
      <c r="E15039"/>
      <c r="G15039"/>
      <c r="H15039"/>
      <c r="I15039"/>
      <c r="K15039"/>
      <c r="O15039"/>
      <c r="R15039"/>
      <c r="W15039" s="4"/>
      <c r="X15039" s="4"/>
      <c r="Y15039" s="4"/>
    </row>
    <row r="15040" spans="5:25">
      <c r="E15040"/>
      <c r="G15040"/>
      <c r="H15040"/>
      <c r="I15040"/>
      <c r="K15040"/>
      <c r="O15040"/>
      <c r="R15040"/>
      <c r="W15040" s="4"/>
      <c r="X15040" s="4"/>
      <c r="Y15040" s="4"/>
    </row>
    <row r="15041" spans="5:25">
      <c r="E15041"/>
      <c r="G15041"/>
      <c r="H15041"/>
      <c r="I15041"/>
      <c r="K15041"/>
      <c r="O15041"/>
      <c r="R15041"/>
      <c r="W15041" s="4"/>
      <c r="X15041" s="4"/>
      <c r="Y15041" s="4"/>
    </row>
    <row r="15042" spans="5:25">
      <c r="E15042"/>
      <c r="G15042"/>
      <c r="H15042"/>
      <c r="I15042"/>
      <c r="K15042"/>
      <c r="O15042"/>
      <c r="R15042"/>
      <c r="W15042" s="4"/>
      <c r="X15042" s="4"/>
      <c r="Y15042" s="4"/>
    </row>
    <row r="15043" spans="5:25">
      <c r="E15043"/>
      <c r="G15043"/>
      <c r="H15043"/>
      <c r="I15043"/>
      <c r="K15043"/>
      <c r="O15043"/>
      <c r="R15043"/>
      <c r="W15043" s="4"/>
      <c r="X15043" s="4"/>
      <c r="Y15043" s="4"/>
    </row>
    <row r="15044" spans="5:25">
      <c r="E15044"/>
      <c r="G15044"/>
      <c r="H15044"/>
      <c r="I15044"/>
      <c r="K15044"/>
      <c r="O15044"/>
      <c r="R15044"/>
      <c r="W15044" s="4"/>
      <c r="X15044" s="4"/>
      <c r="Y15044" s="4"/>
    </row>
    <row r="15045" spans="5:25">
      <c r="E15045"/>
      <c r="G15045"/>
      <c r="H15045"/>
      <c r="I15045"/>
      <c r="K15045"/>
      <c r="O15045"/>
      <c r="R15045"/>
      <c r="W15045" s="4"/>
      <c r="X15045" s="4"/>
      <c r="Y15045" s="4"/>
    </row>
    <row r="15046" spans="5:25">
      <c r="E15046"/>
      <c r="G15046"/>
      <c r="H15046"/>
      <c r="I15046"/>
      <c r="K15046"/>
      <c r="O15046"/>
      <c r="R15046"/>
      <c r="W15046" s="4"/>
      <c r="X15046" s="4"/>
      <c r="Y15046" s="4"/>
    </row>
    <row r="15047" spans="5:25">
      <c r="E15047"/>
      <c r="G15047"/>
      <c r="H15047"/>
      <c r="I15047"/>
      <c r="K15047"/>
      <c r="O15047"/>
      <c r="R15047"/>
      <c r="W15047" s="4"/>
      <c r="X15047" s="4"/>
      <c r="Y15047" s="4"/>
    </row>
    <row r="15048" spans="5:25">
      <c r="E15048"/>
      <c r="G15048"/>
      <c r="H15048"/>
      <c r="I15048"/>
      <c r="K15048"/>
      <c r="O15048"/>
      <c r="R15048"/>
      <c r="W15048" s="4"/>
      <c r="X15048" s="4"/>
      <c r="Y15048" s="4"/>
    </row>
    <row r="15049" spans="5:25">
      <c r="E15049"/>
      <c r="G15049"/>
      <c r="H15049"/>
      <c r="I15049"/>
      <c r="K15049"/>
      <c r="O15049"/>
      <c r="R15049"/>
      <c r="W15049" s="4"/>
      <c r="X15049" s="4"/>
      <c r="Y15049" s="4"/>
    </row>
    <row r="15050" spans="5:25">
      <c r="E15050"/>
      <c r="G15050"/>
      <c r="H15050"/>
      <c r="I15050"/>
      <c r="K15050"/>
      <c r="O15050"/>
      <c r="R15050"/>
      <c r="W15050" s="4"/>
      <c r="X15050" s="4"/>
      <c r="Y15050" s="4"/>
    </row>
    <row r="15051" spans="5:25">
      <c r="E15051"/>
      <c r="G15051"/>
      <c r="H15051"/>
      <c r="I15051"/>
      <c r="K15051"/>
      <c r="O15051"/>
      <c r="R15051"/>
      <c r="W15051" s="4"/>
      <c r="X15051" s="4"/>
      <c r="Y15051" s="4"/>
    </row>
    <row r="15052" spans="5:25">
      <c r="E15052"/>
      <c r="G15052"/>
      <c r="H15052"/>
      <c r="I15052"/>
      <c r="K15052"/>
      <c r="O15052"/>
      <c r="R15052"/>
      <c r="W15052" s="4"/>
      <c r="X15052" s="4"/>
      <c r="Y15052" s="4"/>
    </row>
    <row r="15053" spans="5:25">
      <c r="E15053"/>
      <c r="G15053"/>
      <c r="H15053"/>
      <c r="I15053"/>
      <c r="K15053"/>
      <c r="O15053"/>
      <c r="R15053"/>
      <c r="W15053" s="4"/>
      <c r="X15053" s="4"/>
      <c r="Y15053" s="4"/>
    </row>
    <row r="15054" spans="5:25">
      <c r="E15054"/>
      <c r="G15054"/>
      <c r="H15054"/>
      <c r="I15054"/>
      <c r="K15054"/>
      <c r="O15054"/>
      <c r="R15054"/>
      <c r="W15054" s="4"/>
      <c r="X15054" s="4"/>
      <c r="Y15054" s="4"/>
    </row>
    <row r="15055" spans="5:25">
      <c r="E15055"/>
      <c r="G15055"/>
      <c r="H15055"/>
      <c r="I15055"/>
      <c r="K15055"/>
      <c r="O15055"/>
      <c r="R15055"/>
      <c r="W15055" s="4"/>
      <c r="X15055" s="4"/>
      <c r="Y15055" s="4"/>
    </row>
    <row r="15056" spans="5:25">
      <c r="E15056"/>
      <c r="G15056"/>
      <c r="H15056"/>
      <c r="I15056"/>
      <c r="K15056"/>
      <c r="O15056"/>
      <c r="R15056"/>
      <c r="W15056" s="4"/>
      <c r="X15056" s="4"/>
      <c r="Y15056" s="4"/>
    </row>
    <row r="15057" spans="5:25">
      <c r="E15057"/>
      <c r="G15057"/>
      <c r="H15057"/>
      <c r="I15057"/>
      <c r="K15057"/>
      <c r="O15057"/>
      <c r="R15057"/>
      <c r="W15057" s="4"/>
      <c r="X15057" s="4"/>
      <c r="Y15057" s="4"/>
    </row>
    <row r="15058" spans="5:25">
      <c r="E15058"/>
      <c r="G15058"/>
      <c r="H15058"/>
      <c r="I15058"/>
      <c r="K15058"/>
      <c r="O15058"/>
      <c r="R15058"/>
      <c r="W15058" s="4"/>
      <c r="X15058" s="4"/>
      <c r="Y15058" s="4"/>
    </row>
    <row r="15059" spans="5:25">
      <c r="E15059"/>
      <c r="G15059"/>
      <c r="H15059"/>
      <c r="I15059"/>
      <c r="K15059"/>
      <c r="O15059"/>
      <c r="R15059"/>
      <c r="W15059" s="4"/>
      <c r="X15059" s="4"/>
      <c r="Y15059" s="4"/>
    </row>
    <row r="15060" spans="5:25">
      <c r="E15060"/>
      <c r="G15060"/>
      <c r="H15060"/>
      <c r="I15060"/>
      <c r="K15060"/>
      <c r="O15060"/>
      <c r="R15060"/>
      <c r="W15060" s="4"/>
      <c r="X15060" s="4"/>
      <c r="Y15060" s="4"/>
    </row>
    <row r="15061" spans="5:25">
      <c r="E15061"/>
      <c r="G15061"/>
      <c r="H15061"/>
      <c r="I15061"/>
      <c r="K15061"/>
      <c r="O15061"/>
      <c r="R15061"/>
      <c r="W15061" s="4"/>
      <c r="X15061" s="4"/>
      <c r="Y15061" s="4"/>
    </row>
    <row r="15062" spans="5:25">
      <c r="E15062"/>
      <c r="G15062"/>
      <c r="H15062"/>
      <c r="I15062"/>
      <c r="K15062"/>
      <c r="O15062"/>
      <c r="R15062"/>
      <c r="W15062" s="4"/>
      <c r="X15062" s="4"/>
      <c r="Y15062" s="4"/>
    </row>
    <row r="15063" spans="5:25">
      <c r="E15063"/>
      <c r="G15063"/>
      <c r="H15063"/>
      <c r="I15063"/>
      <c r="K15063"/>
      <c r="O15063"/>
      <c r="R15063"/>
      <c r="W15063" s="4"/>
      <c r="X15063" s="4"/>
      <c r="Y15063" s="4"/>
    </row>
    <row r="15064" spans="5:25">
      <c r="E15064"/>
      <c r="G15064"/>
      <c r="H15064"/>
      <c r="I15064"/>
      <c r="K15064"/>
      <c r="O15064"/>
      <c r="R15064"/>
      <c r="W15064" s="4"/>
      <c r="X15064" s="4"/>
      <c r="Y15064" s="4"/>
    </row>
    <row r="15065" spans="5:25">
      <c r="E15065"/>
      <c r="G15065"/>
      <c r="H15065"/>
      <c r="I15065"/>
      <c r="K15065"/>
      <c r="O15065"/>
      <c r="R15065"/>
      <c r="W15065" s="4"/>
      <c r="X15065" s="4"/>
      <c r="Y15065" s="4"/>
    </row>
    <row r="15066" spans="5:25">
      <c r="E15066"/>
      <c r="G15066"/>
      <c r="H15066"/>
      <c r="I15066"/>
      <c r="K15066"/>
      <c r="O15066"/>
      <c r="R15066"/>
      <c r="W15066" s="4"/>
      <c r="X15066" s="4"/>
      <c r="Y15066" s="4"/>
    </row>
    <row r="15067" spans="5:25">
      <c r="E15067"/>
      <c r="G15067"/>
      <c r="H15067"/>
      <c r="I15067"/>
      <c r="K15067"/>
      <c r="O15067"/>
      <c r="R15067"/>
      <c r="W15067" s="4"/>
      <c r="X15067" s="4"/>
      <c r="Y15067" s="4"/>
    </row>
    <row r="15068" spans="5:25">
      <c r="E15068"/>
      <c r="G15068"/>
      <c r="H15068"/>
      <c r="I15068"/>
      <c r="K15068"/>
      <c r="O15068"/>
      <c r="R15068"/>
      <c r="W15068" s="4"/>
      <c r="X15068" s="4"/>
      <c r="Y15068" s="4"/>
    </row>
    <row r="15069" spans="5:25">
      <c r="E15069"/>
      <c r="G15069"/>
      <c r="H15069"/>
      <c r="I15069"/>
      <c r="K15069"/>
      <c r="O15069"/>
      <c r="R15069"/>
      <c r="W15069" s="4"/>
      <c r="X15069" s="4"/>
      <c r="Y15069" s="4"/>
    </row>
    <row r="15070" spans="5:25">
      <c r="E15070"/>
      <c r="G15070"/>
      <c r="H15070"/>
      <c r="I15070"/>
      <c r="K15070"/>
      <c r="O15070"/>
      <c r="R15070"/>
      <c r="W15070" s="4"/>
      <c r="X15070" s="4"/>
      <c r="Y15070" s="4"/>
    </row>
    <row r="15071" spans="5:25">
      <c r="E15071"/>
      <c r="G15071"/>
      <c r="H15071"/>
      <c r="I15071"/>
      <c r="K15071"/>
      <c r="O15071"/>
      <c r="R15071"/>
      <c r="W15071" s="4"/>
      <c r="X15071" s="4"/>
      <c r="Y15071" s="4"/>
    </row>
    <row r="15072" spans="5:25">
      <c r="E15072"/>
      <c r="G15072"/>
      <c r="H15072"/>
      <c r="I15072"/>
      <c r="K15072"/>
      <c r="O15072"/>
      <c r="R15072"/>
      <c r="W15072" s="4"/>
      <c r="X15072" s="4"/>
      <c r="Y15072" s="4"/>
    </row>
    <row r="15073" spans="5:25">
      <c r="E15073"/>
      <c r="G15073"/>
      <c r="H15073"/>
      <c r="I15073"/>
      <c r="K15073"/>
      <c r="O15073"/>
      <c r="R15073"/>
      <c r="W15073" s="4"/>
      <c r="X15073" s="4"/>
      <c r="Y15073" s="4"/>
    </row>
    <row r="15074" spans="5:25">
      <c r="E15074"/>
      <c r="G15074"/>
      <c r="H15074"/>
      <c r="I15074"/>
      <c r="K15074"/>
      <c r="O15074"/>
      <c r="R15074"/>
      <c r="W15074" s="4"/>
      <c r="X15074" s="4"/>
      <c r="Y15074" s="4"/>
    </row>
    <row r="15075" spans="5:25">
      <c r="E15075"/>
      <c r="G15075"/>
      <c r="H15075"/>
      <c r="I15075"/>
      <c r="K15075"/>
      <c r="O15075"/>
      <c r="R15075"/>
      <c r="W15075" s="4"/>
      <c r="X15075" s="4"/>
      <c r="Y15075" s="4"/>
    </row>
    <row r="15076" spans="5:25">
      <c r="E15076"/>
      <c r="G15076"/>
      <c r="H15076"/>
      <c r="I15076"/>
      <c r="K15076"/>
      <c r="O15076"/>
      <c r="R15076"/>
      <c r="W15076" s="4"/>
      <c r="X15076" s="4"/>
      <c r="Y15076" s="4"/>
    </row>
    <row r="15077" spans="5:25">
      <c r="E15077"/>
      <c r="G15077"/>
      <c r="H15077"/>
      <c r="I15077"/>
      <c r="K15077"/>
      <c r="O15077"/>
      <c r="R15077"/>
      <c r="W15077" s="4"/>
      <c r="X15077" s="4"/>
      <c r="Y15077" s="4"/>
    </row>
    <row r="15078" spans="5:25">
      <c r="E15078"/>
      <c r="G15078"/>
      <c r="H15078"/>
      <c r="I15078"/>
      <c r="K15078"/>
      <c r="O15078"/>
      <c r="R15078"/>
      <c r="W15078" s="4"/>
      <c r="X15078" s="4"/>
      <c r="Y15078" s="4"/>
    </row>
    <row r="15079" spans="5:25">
      <c r="E15079"/>
      <c r="G15079"/>
      <c r="H15079"/>
      <c r="I15079"/>
      <c r="K15079"/>
      <c r="O15079"/>
      <c r="R15079"/>
      <c r="W15079" s="4"/>
      <c r="X15079" s="4"/>
      <c r="Y15079" s="4"/>
    </row>
    <row r="15080" spans="5:25">
      <c r="E15080"/>
      <c r="G15080"/>
      <c r="H15080"/>
      <c r="I15080"/>
      <c r="K15080"/>
      <c r="O15080"/>
      <c r="R15080"/>
      <c r="W15080" s="4"/>
      <c r="X15080" s="4"/>
      <c r="Y15080" s="4"/>
    </row>
    <row r="15081" spans="5:25">
      <c r="E15081"/>
      <c r="G15081"/>
      <c r="H15081"/>
      <c r="I15081"/>
      <c r="K15081"/>
      <c r="O15081"/>
      <c r="R15081"/>
      <c r="W15081" s="4"/>
      <c r="X15081" s="4"/>
      <c r="Y15081" s="4"/>
    </row>
    <row r="15082" spans="5:25">
      <c r="E15082"/>
      <c r="G15082"/>
      <c r="H15082"/>
      <c r="I15082"/>
      <c r="K15082"/>
      <c r="O15082"/>
      <c r="R15082"/>
      <c r="W15082" s="4"/>
      <c r="X15082" s="4"/>
      <c r="Y15082" s="4"/>
    </row>
    <row r="15083" spans="5:25">
      <c r="E15083"/>
      <c r="G15083"/>
      <c r="H15083"/>
      <c r="I15083"/>
      <c r="K15083"/>
      <c r="O15083"/>
      <c r="R15083"/>
      <c r="W15083" s="4"/>
      <c r="X15083" s="4"/>
      <c r="Y15083" s="4"/>
    </row>
    <row r="15084" spans="5:25">
      <c r="E15084"/>
      <c r="G15084"/>
      <c r="H15084"/>
      <c r="I15084"/>
      <c r="K15084"/>
      <c r="O15084"/>
      <c r="R15084"/>
      <c r="W15084" s="4"/>
      <c r="X15084" s="4"/>
      <c r="Y15084" s="4"/>
    </row>
    <row r="15085" spans="5:25">
      <c r="E15085"/>
      <c r="G15085"/>
      <c r="H15085"/>
      <c r="I15085"/>
      <c r="K15085"/>
      <c r="O15085"/>
      <c r="R15085"/>
      <c r="W15085" s="4"/>
      <c r="X15085" s="4"/>
      <c r="Y15085" s="4"/>
    </row>
    <row r="15086" spans="5:25">
      <c r="E15086"/>
      <c r="G15086"/>
      <c r="H15086"/>
      <c r="I15086"/>
      <c r="K15086"/>
      <c r="O15086"/>
      <c r="R15086"/>
      <c r="W15086" s="4"/>
      <c r="X15086" s="4"/>
      <c r="Y15086" s="4"/>
    </row>
    <row r="15087" spans="5:25">
      <c r="E15087"/>
      <c r="G15087"/>
      <c r="H15087"/>
      <c r="I15087"/>
      <c r="K15087"/>
      <c r="O15087"/>
      <c r="R15087"/>
      <c r="W15087" s="4"/>
      <c r="X15087" s="4"/>
      <c r="Y15087" s="4"/>
    </row>
    <row r="15088" spans="5:25">
      <c r="E15088"/>
      <c r="G15088"/>
      <c r="H15088"/>
      <c r="I15088"/>
      <c r="K15088"/>
      <c r="O15088"/>
      <c r="R15088"/>
      <c r="W15088" s="4"/>
      <c r="X15088" s="4"/>
      <c r="Y15088" s="4"/>
    </row>
    <row r="15089" spans="5:25">
      <c r="E15089"/>
      <c r="G15089"/>
      <c r="H15089"/>
      <c r="I15089"/>
      <c r="K15089"/>
      <c r="O15089"/>
      <c r="R15089"/>
      <c r="W15089" s="4"/>
      <c r="X15089" s="4"/>
      <c r="Y15089" s="4"/>
    </row>
    <row r="15090" spans="5:25">
      <c r="E15090"/>
      <c r="G15090"/>
      <c r="H15090"/>
      <c r="I15090"/>
      <c r="K15090"/>
      <c r="O15090"/>
      <c r="R15090"/>
      <c r="W15090" s="4"/>
      <c r="X15090" s="4"/>
      <c r="Y15090" s="4"/>
    </row>
    <row r="15091" spans="5:25">
      <c r="E15091"/>
      <c r="G15091"/>
      <c r="H15091"/>
      <c r="I15091"/>
      <c r="K15091"/>
      <c r="O15091"/>
      <c r="R15091"/>
      <c r="W15091" s="4"/>
      <c r="X15091" s="4"/>
      <c r="Y15091" s="4"/>
    </row>
    <row r="15092" spans="5:25">
      <c r="E15092"/>
      <c r="G15092"/>
      <c r="H15092"/>
      <c r="I15092"/>
      <c r="K15092"/>
      <c r="O15092"/>
      <c r="R15092"/>
      <c r="W15092" s="4"/>
      <c r="X15092" s="4"/>
      <c r="Y15092" s="4"/>
    </row>
    <row r="15093" spans="5:25">
      <c r="E15093"/>
      <c r="G15093"/>
      <c r="H15093"/>
      <c r="I15093"/>
      <c r="K15093"/>
      <c r="O15093"/>
      <c r="R15093"/>
      <c r="W15093" s="4"/>
      <c r="X15093" s="4"/>
      <c r="Y15093" s="4"/>
    </row>
    <row r="15094" spans="5:25">
      <c r="E15094"/>
      <c r="G15094"/>
      <c r="H15094"/>
      <c r="I15094"/>
      <c r="K15094"/>
      <c r="O15094"/>
      <c r="R15094"/>
      <c r="W15094" s="4"/>
      <c r="X15094" s="4"/>
      <c r="Y15094" s="4"/>
    </row>
    <row r="15095" spans="5:25">
      <c r="E15095"/>
      <c r="G15095"/>
      <c r="H15095"/>
      <c r="I15095"/>
      <c r="K15095"/>
      <c r="O15095"/>
      <c r="R15095"/>
      <c r="W15095" s="4"/>
      <c r="X15095" s="4"/>
      <c r="Y15095" s="4"/>
    </row>
    <row r="15096" spans="5:25">
      <c r="E15096"/>
      <c r="G15096"/>
      <c r="H15096"/>
      <c r="I15096"/>
      <c r="K15096"/>
      <c r="O15096"/>
      <c r="R15096"/>
      <c r="W15096" s="4"/>
      <c r="X15096" s="4"/>
      <c r="Y15096" s="4"/>
    </row>
    <row r="15097" spans="5:25">
      <c r="E15097"/>
      <c r="G15097"/>
      <c r="H15097"/>
      <c r="I15097"/>
      <c r="K15097"/>
      <c r="O15097"/>
      <c r="R15097"/>
      <c r="W15097" s="4"/>
      <c r="X15097" s="4"/>
      <c r="Y15097" s="4"/>
    </row>
    <row r="15098" spans="5:25">
      <c r="E15098"/>
      <c r="G15098"/>
      <c r="H15098"/>
      <c r="I15098"/>
      <c r="K15098"/>
      <c r="O15098"/>
      <c r="R15098"/>
      <c r="W15098" s="4"/>
      <c r="X15098" s="4"/>
      <c r="Y15098" s="4"/>
    </row>
    <row r="15099" spans="5:25">
      <c r="E15099"/>
      <c r="G15099"/>
      <c r="H15099"/>
      <c r="I15099"/>
      <c r="K15099"/>
      <c r="O15099"/>
      <c r="R15099"/>
      <c r="W15099" s="4"/>
      <c r="X15099" s="4"/>
      <c r="Y15099" s="4"/>
    </row>
    <row r="15100" spans="5:25">
      <c r="E15100"/>
      <c r="G15100"/>
      <c r="H15100"/>
      <c r="I15100"/>
      <c r="K15100"/>
      <c r="O15100"/>
      <c r="R15100"/>
      <c r="W15100" s="4"/>
      <c r="X15100" s="4"/>
      <c r="Y15100" s="4"/>
    </row>
    <row r="15101" spans="5:25">
      <c r="E15101"/>
      <c r="G15101"/>
      <c r="H15101"/>
      <c r="I15101"/>
      <c r="K15101"/>
      <c r="O15101"/>
      <c r="R15101"/>
      <c r="W15101" s="4"/>
      <c r="X15101" s="4"/>
      <c r="Y15101" s="4"/>
    </row>
    <row r="15102" spans="5:25">
      <c r="E15102"/>
      <c r="G15102"/>
      <c r="H15102"/>
      <c r="I15102"/>
      <c r="K15102"/>
      <c r="O15102"/>
      <c r="R15102"/>
      <c r="W15102" s="4"/>
      <c r="X15102" s="4"/>
      <c r="Y15102" s="4"/>
    </row>
    <row r="15103" spans="5:25">
      <c r="E15103"/>
      <c r="G15103"/>
      <c r="H15103"/>
      <c r="I15103"/>
      <c r="K15103"/>
      <c r="O15103"/>
      <c r="R15103"/>
      <c r="W15103" s="4"/>
      <c r="X15103" s="4"/>
      <c r="Y15103" s="4"/>
    </row>
    <row r="15104" spans="5:25">
      <c r="E15104"/>
      <c r="G15104"/>
      <c r="H15104"/>
      <c r="I15104"/>
      <c r="K15104"/>
      <c r="O15104"/>
      <c r="R15104"/>
      <c r="W15104" s="4"/>
      <c r="X15104" s="4"/>
      <c r="Y15104" s="4"/>
    </row>
    <row r="15105" spans="5:25">
      <c r="E15105"/>
      <c r="G15105"/>
      <c r="H15105"/>
      <c r="I15105"/>
      <c r="K15105"/>
      <c r="O15105"/>
      <c r="R15105"/>
      <c r="W15105" s="4"/>
      <c r="X15105" s="4"/>
      <c r="Y15105" s="4"/>
    </row>
    <row r="15106" spans="5:25">
      <c r="E15106"/>
      <c r="G15106"/>
      <c r="H15106"/>
      <c r="I15106"/>
      <c r="K15106"/>
      <c r="O15106"/>
      <c r="R15106"/>
      <c r="W15106" s="4"/>
      <c r="X15106" s="4"/>
      <c r="Y15106" s="4"/>
    </row>
    <row r="15107" spans="5:25">
      <c r="E15107"/>
      <c r="G15107"/>
      <c r="H15107"/>
      <c r="I15107"/>
      <c r="K15107"/>
      <c r="O15107"/>
      <c r="R15107"/>
      <c r="W15107" s="4"/>
      <c r="X15107" s="4"/>
      <c r="Y15107" s="4"/>
    </row>
    <row r="15108" spans="5:25">
      <c r="E15108"/>
      <c r="G15108"/>
      <c r="H15108"/>
      <c r="I15108"/>
      <c r="K15108"/>
      <c r="O15108"/>
      <c r="R15108"/>
      <c r="W15108" s="4"/>
      <c r="X15108" s="4"/>
      <c r="Y15108" s="4"/>
    </row>
    <row r="15109" spans="5:25">
      <c r="E15109"/>
      <c r="G15109"/>
      <c r="H15109"/>
      <c r="I15109"/>
      <c r="K15109"/>
      <c r="O15109"/>
      <c r="R15109"/>
      <c r="W15109" s="4"/>
      <c r="X15109" s="4"/>
      <c r="Y15109" s="4"/>
    </row>
    <row r="15110" spans="5:25">
      <c r="E15110"/>
      <c r="G15110"/>
      <c r="H15110"/>
      <c r="I15110"/>
      <c r="K15110"/>
      <c r="O15110"/>
      <c r="R15110"/>
      <c r="W15110" s="4"/>
      <c r="X15110" s="4"/>
      <c r="Y15110" s="4"/>
    </row>
    <row r="15111" spans="5:25">
      <c r="E15111"/>
      <c r="G15111"/>
      <c r="H15111"/>
      <c r="I15111"/>
      <c r="K15111"/>
      <c r="O15111"/>
      <c r="R15111"/>
      <c r="W15111" s="4"/>
      <c r="X15111" s="4"/>
      <c r="Y15111" s="4"/>
    </row>
    <row r="15112" spans="5:25">
      <c r="E15112"/>
      <c r="G15112"/>
      <c r="H15112"/>
      <c r="I15112"/>
      <c r="K15112"/>
      <c r="O15112"/>
      <c r="R15112"/>
      <c r="W15112" s="4"/>
      <c r="X15112" s="4"/>
      <c r="Y15112" s="4"/>
    </row>
    <row r="15113" spans="5:25">
      <c r="E15113"/>
      <c r="G15113"/>
      <c r="H15113"/>
      <c r="I15113"/>
      <c r="K15113"/>
      <c r="O15113"/>
      <c r="R15113"/>
      <c r="W15113" s="4"/>
      <c r="X15113" s="4"/>
      <c r="Y15113" s="4"/>
    </row>
    <row r="15114" spans="5:25">
      <c r="E15114"/>
      <c r="G15114"/>
      <c r="H15114"/>
      <c r="I15114"/>
      <c r="K15114"/>
      <c r="O15114"/>
      <c r="R15114"/>
      <c r="W15114" s="4"/>
      <c r="X15114" s="4"/>
      <c r="Y15114" s="4"/>
    </row>
    <row r="15115" spans="5:25">
      <c r="E15115"/>
      <c r="G15115"/>
      <c r="H15115"/>
      <c r="I15115"/>
      <c r="K15115"/>
      <c r="O15115"/>
      <c r="R15115"/>
      <c r="W15115" s="4"/>
      <c r="X15115" s="4"/>
      <c r="Y15115" s="4"/>
    </row>
    <row r="15116" spans="5:25">
      <c r="E15116"/>
      <c r="G15116"/>
      <c r="H15116"/>
      <c r="I15116"/>
      <c r="K15116"/>
      <c r="O15116"/>
      <c r="R15116"/>
      <c r="W15116" s="4"/>
      <c r="X15116" s="4"/>
      <c r="Y15116" s="4"/>
    </row>
    <row r="15117" spans="5:25">
      <c r="E15117"/>
      <c r="G15117"/>
      <c r="H15117"/>
      <c r="I15117"/>
      <c r="K15117"/>
      <c r="O15117"/>
      <c r="R15117"/>
      <c r="W15117" s="4"/>
      <c r="X15117" s="4"/>
      <c r="Y15117" s="4"/>
    </row>
    <row r="15118" spans="5:25">
      <c r="E15118"/>
      <c r="G15118"/>
      <c r="H15118"/>
      <c r="I15118"/>
      <c r="K15118"/>
      <c r="O15118"/>
      <c r="R15118"/>
      <c r="W15118" s="4"/>
      <c r="X15118" s="4"/>
      <c r="Y15118" s="4"/>
    </row>
    <row r="15119" spans="5:25">
      <c r="E15119"/>
      <c r="G15119"/>
      <c r="H15119"/>
      <c r="I15119"/>
      <c r="K15119"/>
      <c r="O15119"/>
      <c r="R15119"/>
      <c r="W15119" s="4"/>
      <c r="X15119" s="4"/>
      <c r="Y15119" s="4"/>
    </row>
    <row r="15120" spans="5:25">
      <c r="E15120"/>
      <c r="G15120"/>
      <c r="H15120"/>
      <c r="I15120"/>
      <c r="K15120"/>
      <c r="O15120"/>
      <c r="R15120"/>
      <c r="W15120" s="4"/>
      <c r="X15120" s="4"/>
      <c r="Y15120" s="4"/>
    </row>
    <row r="15121" spans="5:25">
      <c r="E15121"/>
      <c r="G15121"/>
      <c r="H15121"/>
      <c r="I15121"/>
      <c r="K15121"/>
      <c r="O15121"/>
      <c r="R15121"/>
      <c r="W15121" s="4"/>
      <c r="X15121" s="4"/>
      <c r="Y15121" s="4"/>
    </row>
    <row r="15122" spans="5:25">
      <c r="E15122"/>
      <c r="G15122"/>
      <c r="H15122"/>
      <c r="I15122"/>
      <c r="K15122"/>
      <c r="O15122"/>
      <c r="R15122"/>
      <c r="W15122" s="4"/>
      <c r="X15122" s="4"/>
      <c r="Y15122" s="4"/>
    </row>
    <row r="15123" spans="5:25">
      <c r="E15123"/>
      <c r="G15123"/>
      <c r="H15123"/>
      <c r="I15123"/>
      <c r="K15123"/>
      <c r="O15123"/>
      <c r="R15123"/>
      <c r="W15123" s="4"/>
      <c r="X15123" s="4"/>
      <c r="Y15123" s="4"/>
    </row>
    <row r="15124" spans="5:25">
      <c r="E15124"/>
      <c r="G15124"/>
      <c r="H15124"/>
      <c r="I15124"/>
      <c r="K15124"/>
      <c r="O15124"/>
      <c r="R15124"/>
      <c r="W15124" s="4"/>
      <c r="X15124" s="4"/>
      <c r="Y15124" s="4"/>
    </row>
    <row r="15125" spans="5:25">
      <c r="E15125"/>
      <c r="G15125"/>
      <c r="H15125"/>
      <c r="I15125"/>
      <c r="K15125"/>
      <c r="O15125"/>
      <c r="R15125"/>
      <c r="W15125" s="4"/>
      <c r="X15125" s="4"/>
      <c r="Y15125" s="4"/>
    </row>
    <row r="15126" spans="5:25">
      <c r="E15126"/>
      <c r="G15126"/>
      <c r="H15126"/>
      <c r="I15126"/>
      <c r="K15126"/>
      <c r="O15126"/>
      <c r="R15126"/>
      <c r="W15126" s="4"/>
      <c r="X15126" s="4"/>
      <c r="Y15126" s="4"/>
    </row>
    <row r="15127" spans="5:25">
      <c r="E15127"/>
      <c r="G15127"/>
      <c r="H15127"/>
      <c r="I15127"/>
      <c r="K15127"/>
      <c r="O15127"/>
      <c r="R15127"/>
      <c r="W15127" s="4"/>
      <c r="X15127" s="4"/>
      <c r="Y15127" s="4"/>
    </row>
    <row r="15128" spans="5:25">
      <c r="E15128"/>
      <c r="G15128"/>
      <c r="H15128"/>
      <c r="I15128"/>
      <c r="K15128"/>
      <c r="O15128"/>
      <c r="R15128"/>
      <c r="W15128" s="4"/>
      <c r="X15128" s="4"/>
      <c r="Y15128" s="4"/>
    </row>
    <row r="15129" spans="5:25">
      <c r="E15129"/>
      <c r="G15129"/>
      <c r="H15129"/>
      <c r="I15129"/>
      <c r="K15129"/>
      <c r="O15129"/>
      <c r="R15129"/>
      <c r="W15129" s="4"/>
      <c r="X15129" s="4"/>
      <c r="Y15129" s="4"/>
    </row>
    <row r="15130" spans="5:25">
      <c r="E15130"/>
      <c r="G15130"/>
      <c r="H15130"/>
      <c r="I15130"/>
      <c r="K15130"/>
      <c r="O15130"/>
      <c r="R15130"/>
      <c r="W15130" s="4"/>
      <c r="X15130" s="4"/>
      <c r="Y15130" s="4"/>
    </row>
    <row r="15131" spans="5:25">
      <c r="E15131"/>
      <c r="G15131"/>
      <c r="H15131"/>
      <c r="I15131"/>
      <c r="K15131"/>
      <c r="O15131"/>
      <c r="R15131"/>
      <c r="W15131" s="4"/>
      <c r="X15131" s="4"/>
      <c r="Y15131" s="4"/>
    </row>
    <row r="15132" spans="5:25">
      <c r="E15132"/>
      <c r="G15132"/>
      <c r="H15132"/>
      <c r="I15132"/>
      <c r="K15132"/>
      <c r="O15132"/>
      <c r="R15132"/>
      <c r="W15132" s="4"/>
      <c r="X15132" s="4"/>
      <c r="Y15132" s="4"/>
    </row>
    <row r="15133" spans="5:25">
      <c r="E15133"/>
      <c r="G15133"/>
      <c r="H15133"/>
      <c r="I15133"/>
      <c r="K15133"/>
      <c r="O15133"/>
      <c r="R15133"/>
      <c r="W15133" s="4"/>
      <c r="X15133" s="4"/>
      <c r="Y15133" s="4"/>
    </row>
    <row r="15134" spans="5:25">
      <c r="E15134"/>
      <c r="G15134"/>
      <c r="H15134"/>
      <c r="I15134"/>
      <c r="K15134"/>
      <c r="O15134"/>
      <c r="R15134"/>
      <c r="W15134" s="4"/>
      <c r="X15134" s="4"/>
      <c r="Y15134" s="4"/>
    </row>
    <row r="15135" spans="5:25">
      <c r="E15135"/>
      <c r="G15135"/>
      <c r="H15135"/>
      <c r="I15135"/>
      <c r="K15135"/>
      <c r="O15135"/>
      <c r="R15135"/>
      <c r="W15135" s="4"/>
      <c r="X15135" s="4"/>
      <c r="Y15135" s="4"/>
    </row>
    <row r="15136" spans="5:25">
      <c r="E15136"/>
      <c r="G15136"/>
      <c r="H15136"/>
      <c r="I15136"/>
      <c r="K15136"/>
      <c r="O15136"/>
      <c r="R15136"/>
      <c r="W15136" s="4"/>
      <c r="X15136" s="4"/>
      <c r="Y15136" s="4"/>
    </row>
    <row r="15137" spans="5:25">
      <c r="E15137"/>
      <c r="G15137"/>
      <c r="H15137"/>
      <c r="I15137"/>
      <c r="K15137"/>
      <c r="O15137"/>
      <c r="R15137"/>
      <c r="W15137" s="4"/>
      <c r="X15137" s="4"/>
      <c r="Y15137" s="4"/>
    </row>
    <row r="15138" spans="5:25">
      <c r="E15138"/>
      <c r="G15138"/>
      <c r="H15138"/>
      <c r="I15138"/>
      <c r="K15138"/>
      <c r="O15138"/>
      <c r="R15138"/>
      <c r="W15138" s="4"/>
      <c r="X15138" s="4"/>
      <c r="Y15138" s="4"/>
    </row>
    <row r="15139" spans="5:25">
      <c r="E15139"/>
      <c r="G15139"/>
      <c r="H15139"/>
      <c r="I15139"/>
      <c r="K15139"/>
      <c r="O15139"/>
      <c r="R15139"/>
      <c r="W15139" s="4"/>
      <c r="X15139" s="4"/>
      <c r="Y15139" s="4"/>
    </row>
    <row r="15140" spans="5:25">
      <c r="E15140"/>
      <c r="G15140"/>
      <c r="H15140"/>
      <c r="I15140"/>
      <c r="K15140"/>
      <c r="O15140"/>
      <c r="R15140"/>
      <c r="W15140" s="4"/>
      <c r="X15140" s="4"/>
      <c r="Y15140" s="4"/>
    </row>
    <row r="15141" spans="5:25">
      <c r="E15141"/>
      <c r="G15141"/>
      <c r="H15141"/>
      <c r="I15141"/>
      <c r="K15141"/>
      <c r="O15141"/>
      <c r="R15141"/>
      <c r="W15141" s="4"/>
      <c r="X15141" s="4"/>
      <c r="Y15141" s="4"/>
    </row>
    <row r="15142" spans="5:25">
      <c r="E15142"/>
      <c r="G15142"/>
      <c r="H15142"/>
      <c r="I15142"/>
      <c r="K15142"/>
      <c r="O15142"/>
      <c r="R15142"/>
      <c r="W15142" s="4"/>
      <c r="X15142" s="4"/>
      <c r="Y15142" s="4"/>
    </row>
    <row r="15143" spans="5:25">
      <c r="E15143"/>
      <c r="G15143"/>
      <c r="H15143"/>
      <c r="I15143"/>
      <c r="K15143"/>
      <c r="O15143"/>
      <c r="R15143"/>
      <c r="W15143" s="4"/>
      <c r="X15143" s="4"/>
      <c r="Y15143" s="4"/>
    </row>
    <row r="15144" spans="5:25">
      <c r="E15144"/>
      <c r="G15144"/>
      <c r="H15144"/>
      <c r="I15144"/>
      <c r="K15144"/>
      <c r="O15144"/>
      <c r="R15144"/>
      <c r="W15144" s="4"/>
      <c r="X15144" s="4"/>
      <c r="Y15144" s="4"/>
    </row>
    <row r="15145" spans="5:25">
      <c r="E15145"/>
      <c r="G15145"/>
      <c r="H15145"/>
      <c r="I15145"/>
      <c r="K15145"/>
      <c r="O15145"/>
      <c r="R15145"/>
      <c r="W15145" s="4"/>
      <c r="X15145" s="4"/>
      <c r="Y15145" s="4"/>
    </row>
    <row r="15146" spans="5:25">
      <c r="E15146"/>
      <c r="G15146"/>
      <c r="H15146"/>
      <c r="I15146"/>
      <c r="K15146"/>
      <c r="O15146"/>
      <c r="R15146"/>
      <c r="W15146" s="4"/>
      <c r="X15146" s="4"/>
      <c r="Y15146" s="4"/>
    </row>
    <row r="15147" spans="5:25">
      <c r="E15147"/>
      <c r="G15147"/>
      <c r="H15147"/>
      <c r="I15147"/>
      <c r="K15147"/>
      <c r="O15147"/>
      <c r="R15147"/>
      <c r="W15147" s="4"/>
      <c r="X15147" s="4"/>
      <c r="Y15147" s="4"/>
    </row>
    <row r="15148" spans="5:25">
      <c r="E15148"/>
      <c r="G15148"/>
      <c r="H15148"/>
      <c r="I15148"/>
      <c r="K15148"/>
      <c r="O15148"/>
      <c r="R15148"/>
      <c r="W15148" s="4"/>
      <c r="X15148" s="4"/>
      <c r="Y15148" s="4"/>
    </row>
    <row r="15149" spans="5:25">
      <c r="E15149"/>
      <c r="G15149"/>
      <c r="H15149"/>
      <c r="I15149"/>
      <c r="K15149"/>
      <c r="O15149"/>
      <c r="R15149"/>
      <c r="W15149" s="4"/>
      <c r="X15149" s="4"/>
      <c r="Y15149" s="4"/>
    </row>
    <row r="15150" spans="5:25">
      <c r="E15150"/>
      <c r="G15150"/>
      <c r="H15150"/>
      <c r="I15150"/>
      <c r="K15150"/>
      <c r="O15150"/>
      <c r="R15150"/>
      <c r="W15150" s="4"/>
      <c r="X15150" s="4"/>
      <c r="Y15150" s="4"/>
    </row>
    <row r="15151" spans="5:25">
      <c r="E15151"/>
      <c r="G15151"/>
      <c r="H15151"/>
      <c r="I15151"/>
      <c r="K15151"/>
      <c r="O15151"/>
      <c r="R15151"/>
      <c r="W15151" s="4"/>
      <c r="X15151" s="4"/>
      <c r="Y15151" s="4"/>
    </row>
    <row r="15152" spans="5:25">
      <c r="E15152"/>
      <c r="G15152"/>
      <c r="H15152"/>
      <c r="I15152"/>
      <c r="K15152"/>
      <c r="O15152"/>
      <c r="R15152"/>
      <c r="W15152" s="4"/>
      <c r="X15152" s="4"/>
      <c r="Y15152" s="4"/>
    </row>
    <row r="15153" spans="5:25">
      <c r="E15153"/>
      <c r="G15153"/>
      <c r="H15153"/>
      <c r="I15153"/>
      <c r="K15153"/>
      <c r="O15153"/>
      <c r="R15153"/>
      <c r="W15153" s="4"/>
      <c r="X15153" s="4"/>
      <c r="Y15153" s="4"/>
    </row>
    <row r="15154" spans="5:25">
      <c r="E15154"/>
      <c r="G15154"/>
      <c r="H15154"/>
      <c r="I15154"/>
      <c r="K15154"/>
      <c r="O15154"/>
      <c r="R15154"/>
      <c r="W15154" s="4"/>
      <c r="X15154" s="4"/>
      <c r="Y15154" s="4"/>
    </row>
    <row r="15155" spans="5:25">
      <c r="E15155"/>
      <c r="G15155"/>
      <c r="H15155"/>
      <c r="I15155"/>
      <c r="K15155"/>
      <c r="O15155"/>
      <c r="R15155"/>
      <c r="W15155" s="4"/>
      <c r="X15155" s="4"/>
      <c r="Y15155" s="4"/>
    </row>
    <row r="15156" spans="5:25">
      <c r="E15156"/>
      <c r="G15156"/>
      <c r="H15156"/>
      <c r="I15156"/>
      <c r="K15156"/>
      <c r="O15156"/>
      <c r="R15156"/>
      <c r="W15156" s="4"/>
      <c r="X15156" s="4"/>
      <c r="Y15156" s="4"/>
    </row>
    <row r="15157" spans="5:25">
      <c r="E15157"/>
      <c r="G15157"/>
      <c r="H15157"/>
      <c r="I15157"/>
      <c r="K15157"/>
      <c r="O15157"/>
      <c r="R15157"/>
      <c r="W15157" s="4"/>
      <c r="X15157" s="4"/>
      <c r="Y15157" s="4"/>
    </row>
    <row r="15158" spans="5:25">
      <c r="E15158"/>
      <c r="G15158"/>
      <c r="H15158"/>
      <c r="I15158"/>
      <c r="K15158"/>
      <c r="O15158"/>
      <c r="R15158"/>
      <c r="W15158" s="4"/>
      <c r="X15158" s="4"/>
      <c r="Y15158" s="4"/>
    </row>
    <row r="15159" spans="5:25">
      <c r="E15159"/>
      <c r="G15159"/>
      <c r="H15159"/>
      <c r="I15159"/>
      <c r="K15159"/>
      <c r="O15159"/>
      <c r="R15159"/>
      <c r="W15159" s="4"/>
      <c r="X15159" s="4"/>
      <c r="Y15159" s="4"/>
    </row>
    <row r="15160" spans="5:25">
      <c r="E15160"/>
      <c r="G15160"/>
      <c r="H15160"/>
      <c r="I15160"/>
      <c r="K15160"/>
      <c r="O15160"/>
      <c r="R15160"/>
      <c r="W15160" s="4"/>
      <c r="X15160" s="4"/>
      <c r="Y15160" s="4"/>
    </row>
    <row r="15161" spans="5:25">
      <c r="E15161"/>
      <c r="G15161"/>
      <c r="H15161"/>
      <c r="I15161"/>
      <c r="K15161"/>
      <c r="O15161"/>
      <c r="R15161"/>
      <c r="W15161" s="4"/>
      <c r="X15161" s="4"/>
      <c r="Y15161" s="4"/>
    </row>
    <row r="15162" spans="5:25">
      <c r="E15162"/>
      <c r="G15162"/>
      <c r="H15162"/>
      <c r="I15162"/>
      <c r="K15162"/>
      <c r="O15162"/>
      <c r="R15162"/>
      <c r="W15162" s="4"/>
      <c r="X15162" s="4"/>
      <c r="Y15162" s="4"/>
    </row>
    <row r="15163" spans="5:25">
      <c r="E15163"/>
      <c r="G15163"/>
      <c r="H15163"/>
      <c r="I15163"/>
      <c r="K15163"/>
      <c r="O15163"/>
      <c r="R15163"/>
      <c r="W15163" s="4"/>
      <c r="X15163" s="4"/>
      <c r="Y15163" s="4"/>
    </row>
    <row r="15164" spans="5:25">
      <c r="E15164"/>
      <c r="G15164"/>
      <c r="H15164"/>
      <c r="I15164"/>
      <c r="K15164"/>
      <c r="O15164"/>
      <c r="R15164"/>
      <c r="W15164" s="4"/>
      <c r="X15164" s="4"/>
      <c r="Y15164" s="4"/>
    </row>
    <row r="15165" spans="5:25">
      <c r="E15165"/>
      <c r="G15165"/>
      <c r="H15165"/>
      <c r="I15165"/>
      <c r="K15165"/>
      <c r="O15165"/>
      <c r="R15165"/>
      <c r="W15165" s="4"/>
      <c r="X15165" s="4"/>
      <c r="Y15165" s="4"/>
    </row>
    <row r="15166" spans="5:25">
      <c r="E15166"/>
      <c r="G15166"/>
      <c r="H15166"/>
      <c r="I15166"/>
      <c r="K15166"/>
      <c r="O15166"/>
      <c r="R15166"/>
      <c r="W15166" s="4"/>
      <c r="X15166" s="4"/>
      <c r="Y15166" s="4"/>
    </row>
    <row r="15167" spans="5:25">
      <c r="E15167"/>
      <c r="G15167"/>
      <c r="H15167"/>
      <c r="I15167"/>
      <c r="K15167"/>
      <c r="O15167"/>
      <c r="R15167"/>
      <c r="W15167" s="4"/>
      <c r="X15167" s="4"/>
      <c r="Y15167" s="4"/>
    </row>
    <row r="15168" spans="5:25">
      <c r="E15168"/>
      <c r="G15168"/>
      <c r="H15168"/>
      <c r="I15168"/>
      <c r="K15168"/>
      <c r="O15168"/>
      <c r="R15168"/>
      <c r="W15168" s="4"/>
      <c r="X15168" s="4"/>
      <c r="Y15168" s="4"/>
    </row>
    <row r="15169" spans="5:25">
      <c r="E15169"/>
      <c r="G15169"/>
      <c r="H15169"/>
      <c r="I15169"/>
      <c r="K15169"/>
      <c r="O15169"/>
      <c r="R15169"/>
      <c r="W15169" s="4"/>
      <c r="X15169" s="4"/>
      <c r="Y15169" s="4"/>
    </row>
    <row r="15170" spans="5:25">
      <c r="E15170"/>
      <c r="G15170"/>
      <c r="H15170"/>
      <c r="I15170"/>
      <c r="K15170"/>
      <c r="O15170"/>
      <c r="R15170"/>
      <c r="W15170" s="4"/>
      <c r="X15170" s="4"/>
      <c r="Y15170" s="4"/>
    </row>
    <row r="15171" spans="5:25">
      <c r="E15171"/>
      <c r="G15171"/>
      <c r="H15171"/>
      <c r="I15171"/>
      <c r="K15171"/>
      <c r="O15171"/>
      <c r="R15171"/>
      <c r="W15171" s="4"/>
      <c r="X15171" s="4"/>
      <c r="Y15171" s="4"/>
    </row>
    <row r="15172" spans="5:25">
      <c r="E15172"/>
      <c r="G15172"/>
      <c r="H15172"/>
      <c r="I15172"/>
      <c r="K15172"/>
      <c r="O15172"/>
      <c r="R15172"/>
      <c r="W15172" s="4"/>
      <c r="X15172" s="4"/>
      <c r="Y15172" s="4"/>
    </row>
    <row r="15173" spans="5:25">
      <c r="E15173"/>
      <c r="G15173"/>
      <c r="H15173"/>
      <c r="I15173"/>
      <c r="K15173"/>
      <c r="O15173"/>
      <c r="R15173"/>
      <c r="W15173" s="4"/>
      <c r="X15173" s="4"/>
      <c r="Y15173" s="4"/>
    </row>
    <row r="15174" spans="5:25">
      <c r="E15174"/>
      <c r="G15174"/>
      <c r="H15174"/>
      <c r="I15174"/>
      <c r="K15174"/>
      <c r="O15174"/>
      <c r="R15174"/>
      <c r="W15174" s="4"/>
      <c r="X15174" s="4"/>
      <c r="Y15174" s="4"/>
    </row>
    <row r="15175" spans="5:25">
      <c r="E15175"/>
      <c r="G15175"/>
      <c r="H15175"/>
      <c r="I15175"/>
      <c r="K15175"/>
      <c r="O15175"/>
      <c r="R15175"/>
      <c r="W15175" s="4"/>
      <c r="X15175" s="4"/>
      <c r="Y15175" s="4"/>
    </row>
    <row r="15176" spans="5:25">
      <c r="E15176"/>
      <c r="G15176"/>
      <c r="H15176"/>
      <c r="I15176"/>
      <c r="K15176"/>
      <c r="O15176"/>
      <c r="R15176"/>
      <c r="W15176" s="4"/>
      <c r="X15176" s="4"/>
      <c r="Y15176" s="4"/>
    </row>
    <row r="15177" spans="5:25">
      <c r="E15177"/>
      <c r="G15177"/>
      <c r="H15177"/>
      <c r="I15177"/>
      <c r="K15177"/>
      <c r="O15177"/>
      <c r="R15177"/>
      <c r="W15177" s="4"/>
      <c r="X15177" s="4"/>
      <c r="Y15177" s="4"/>
    </row>
    <row r="15178" spans="5:25">
      <c r="E15178"/>
      <c r="G15178"/>
      <c r="H15178"/>
      <c r="I15178"/>
      <c r="K15178"/>
      <c r="O15178"/>
      <c r="R15178"/>
      <c r="W15178" s="4"/>
      <c r="X15178" s="4"/>
      <c r="Y15178" s="4"/>
    </row>
    <row r="15179" spans="5:25">
      <c r="E15179"/>
      <c r="G15179"/>
      <c r="H15179"/>
      <c r="I15179"/>
      <c r="K15179"/>
      <c r="O15179"/>
      <c r="R15179"/>
      <c r="W15179" s="4"/>
      <c r="X15179" s="4"/>
      <c r="Y15179" s="4"/>
    </row>
    <row r="15180" spans="5:25">
      <c r="E15180"/>
      <c r="G15180"/>
      <c r="H15180"/>
      <c r="I15180"/>
      <c r="K15180"/>
      <c r="O15180"/>
      <c r="R15180"/>
      <c r="W15180" s="4"/>
      <c r="X15180" s="4"/>
      <c r="Y15180" s="4"/>
    </row>
    <row r="15181" spans="5:25">
      <c r="E15181"/>
      <c r="G15181"/>
      <c r="H15181"/>
      <c r="I15181"/>
      <c r="K15181"/>
      <c r="O15181"/>
      <c r="R15181"/>
      <c r="W15181" s="4"/>
      <c r="X15181" s="4"/>
      <c r="Y15181" s="4"/>
    </row>
    <row r="15182" spans="5:25">
      <c r="E15182"/>
      <c r="G15182"/>
      <c r="H15182"/>
      <c r="I15182"/>
      <c r="K15182"/>
      <c r="O15182"/>
      <c r="R15182"/>
      <c r="W15182" s="4"/>
      <c r="X15182" s="4"/>
      <c r="Y15182" s="4"/>
    </row>
    <row r="15183" spans="5:25">
      <c r="E15183"/>
      <c r="G15183"/>
      <c r="H15183"/>
      <c r="I15183"/>
      <c r="K15183"/>
      <c r="O15183"/>
      <c r="R15183"/>
      <c r="W15183" s="4"/>
      <c r="X15183" s="4"/>
      <c r="Y15183" s="4"/>
    </row>
    <row r="15184" spans="5:25">
      <c r="E15184"/>
      <c r="G15184"/>
      <c r="H15184"/>
      <c r="I15184"/>
      <c r="K15184"/>
      <c r="O15184"/>
      <c r="R15184"/>
      <c r="W15184" s="4"/>
      <c r="X15184" s="4"/>
      <c r="Y15184" s="4"/>
    </row>
    <row r="15185" spans="5:25">
      <c r="E15185"/>
      <c r="G15185"/>
      <c r="H15185"/>
      <c r="I15185"/>
      <c r="K15185"/>
      <c r="O15185"/>
      <c r="R15185"/>
      <c r="W15185" s="4"/>
      <c r="X15185" s="4"/>
      <c r="Y15185" s="4"/>
    </row>
    <row r="15186" spans="5:25">
      <c r="E15186"/>
      <c r="G15186"/>
      <c r="H15186"/>
      <c r="I15186"/>
      <c r="K15186"/>
      <c r="O15186"/>
      <c r="R15186"/>
      <c r="W15186" s="4"/>
      <c r="X15186" s="4"/>
      <c r="Y15186" s="4"/>
    </row>
    <row r="15187" spans="5:25">
      <c r="E15187"/>
      <c r="G15187"/>
      <c r="H15187"/>
      <c r="I15187"/>
      <c r="K15187"/>
      <c r="O15187"/>
      <c r="R15187"/>
      <c r="W15187" s="4"/>
      <c r="X15187" s="4"/>
      <c r="Y15187" s="4"/>
    </row>
    <row r="15188" spans="5:25">
      <c r="E15188"/>
      <c r="G15188"/>
      <c r="H15188"/>
      <c r="I15188"/>
      <c r="K15188"/>
      <c r="O15188"/>
      <c r="R15188"/>
      <c r="W15188" s="4"/>
      <c r="X15188" s="4"/>
      <c r="Y15188" s="4"/>
    </row>
    <row r="15189" spans="5:25">
      <c r="E15189"/>
      <c r="G15189"/>
      <c r="H15189"/>
      <c r="I15189"/>
      <c r="K15189"/>
      <c r="O15189"/>
      <c r="R15189"/>
      <c r="W15189" s="4"/>
      <c r="X15189" s="4"/>
      <c r="Y15189" s="4"/>
    </row>
    <row r="15190" spans="5:25">
      <c r="E15190"/>
      <c r="G15190"/>
      <c r="H15190"/>
      <c r="I15190"/>
      <c r="K15190"/>
      <c r="O15190"/>
      <c r="R15190"/>
      <c r="W15190" s="4"/>
      <c r="X15190" s="4"/>
      <c r="Y15190" s="4"/>
    </row>
    <row r="15191" spans="5:25">
      <c r="E15191"/>
      <c r="G15191"/>
      <c r="H15191"/>
      <c r="I15191"/>
      <c r="K15191"/>
      <c r="O15191"/>
      <c r="R15191"/>
      <c r="W15191" s="4"/>
      <c r="X15191" s="4"/>
      <c r="Y15191" s="4"/>
    </row>
    <row r="15192" spans="5:25">
      <c r="E15192"/>
      <c r="G15192"/>
      <c r="H15192"/>
      <c r="I15192"/>
      <c r="K15192"/>
      <c r="O15192"/>
      <c r="R15192"/>
      <c r="W15192" s="4"/>
      <c r="X15192" s="4"/>
      <c r="Y15192" s="4"/>
    </row>
    <row r="15193" spans="5:25">
      <c r="E15193"/>
      <c r="G15193"/>
      <c r="H15193"/>
      <c r="I15193"/>
      <c r="K15193"/>
      <c r="O15193"/>
      <c r="R15193"/>
      <c r="W15193" s="4"/>
      <c r="X15193" s="4"/>
      <c r="Y15193" s="4"/>
    </row>
    <row r="15194" spans="5:25">
      <c r="E15194"/>
      <c r="G15194"/>
      <c r="H15194"/>
      <c r="I15194"/>
      <c r="K15194"/>
      <c r="O15194"/>
      <c r="R15194"/>
      <c r="W15194" s="4"/>
      <c r="X15194" s="4"/>
      <c r="Y15194" s="4"/>
    </row>
    <row r="15195" spans="5:25">
      <c r="E15195"/>
      <c r="G15195"/>
      <c r="H15195"/>
      <c r="I15195"/>
      <c r="K15195"/>
      <c r="O15195"/>
      <c r="R15195"/>
      <c r="W15195" s="4"/>
      <c r="X15195" s="4"/>
      <c r="Y15195" s="4"/>
    </row>
    <row r="15196" spans="5:25">
      <c r="E15196"/>
      <c r="G15196"/>
      <c r="H15196"/>
      <c r="I15196"/>
      <c r="K15196"/>
      <c r="O15196"/>
      <c r="R15196"/>
      <c r="W15196" s="4"/>
      <c r="X15196" s="4"/>
      <c r="Y15196" s="4"/>
    </row>
    <row r="15197" spans="5:25">
      <c r="E15197"/>
      <c r="G15197"/>
      <c r="H15197"/>
      <c r="I15197"/>
      <c r="K15197"/>
      <c r="O15197"/>
      <c r="R15197"/>
      <c r="W15197" s="4"/>
      <c r="X15197" s="4"/>
      <c r="Y15197" s="4"/>
    </row>
    <row r="15198" spans="5:25">
      <c r="E15198"/>
      <c r="G15198"/>
      <c r="H15198"/>
      <c r="I15198"/>
      <c r="K15198"/>
      <c r="O15198"/>
      <c r="R15198"/>
      <c r="W15198" s="4"/>
      <c r="X15198" s="4"/>
      <c r="Y15198" s="4"/>
    </row>
    <row r="15199" spans="5:25">
      <c r="E15199"/>
      <c r="G15199"/>
      <c r="H15199"/>
      <c r="I15199"/>
      <c r="K15199"/>
      <c r="O15199"/>
      <c r="R15199"/>
      <c r="W15199" s="4"/>
      <c r="X15199" s="4"/>
      <c r="Y15199" s="4"/>
    </row>
    <row r="15200" spans="5:25">
      <c r="E15200"/>
      <c r="G15200"/>
      <c r="H15200"/>
      <c r="I15200"/>
      <c r="K15200"/>
      <c r="O15200"/>
      <c r="R15200"/>
      <c r="W15200" s="4"/>
      <c r="X15200" s="4"/>
      <c r="Y15200" s="4"/>
    </row>
    <row r="15201" spans="5:25">
      <c r="E15201"/>
      <c r="G15201"/>
      <c r="H15201"/>
      <c r="I15201"/>
      <c r="K15201"/>
      <c r="O15201"/>
      <c r="R15201"/>
      <c r="W15201" s="4"/>
      <c r="X15201" s="4"/>
      <c r="Y15201" s="4"/>
    </row>
    <row r="15202" spans="5:25">
      <c r="E15202"/>
      <c r="G15202"/>
      <c r="H15202"/>
      <c r="I15202"/>
      <c r="K15202"/>
      <c r="O15202"/>
      <c r="R15202"/>
      <c r="W15202" s="4"/>
      <c r="X15202" s="4"/>
      <c r="Y15202" s="4"/>
    </row>
    <row r="15203" spans="5:25">
      <c r="E15203"/>
      <c r="G15203"/>
      <c r="H15203"/>
      <c r="I15203"/>
      <c r="K15203"/>
      <c r="O15203"/>
      <c r="R15203"/>
      <c r="W15203" s="4"/>
      <c r="X15203" s="4"/>
      <c r="Y15203" s="4"/>
    </row>
    <row r="15204" spans="5:25">
      <c r="E15204"/>
      <c r="G15204"/>
      <c r="H15204"/>
      <c r="I15204"/>
      <c r="K15204"/>
      <c r="O15204"/>
      <c r="R15204"/>
      <c r="W15204" s="4"/>
      <c r="X15204" s="4"/>
      <c r="Y15204" s="4"/>
    </row>
    <row r="15205" spans="5:25">
      <c r="E15205"/>
      <c r="G15205"/>
      <c r="H15205"/>
      <c r="I15205"/>
      <c r="K15205"/>
      <c r="O15205"/>
      <c r="R15205"/>
      <c r="W15205" s="4"/>
      <c r="X15205" s="4"/>
      <c r="Y15205" s="4"/>
    </row>
    <row r="15206" spans="5:25">
      <c r="E15206"/>
      <c r="G15206"/>
      <c r="H15206"/>
      <c r="I15206"/>
      <c r="K15206"/>
      <c r="O15206"/>
      <c r="R15206"/>
      <c r="W15206" s="4"/>
      <c r="X15206" s="4"/>
      <c r="Y15206" s="4"/>
    </row>
    <row r="15207" spans="5:25">
      <c r="E15207"/>
      <c r="G15207"/>
      <c r="H15207"/>
      <c r="I15207"/>
      <c r="K15207"/>
      <c r="O15207"/>
      <c r="R15207"/>
      <c r="W15207" s="4"/>
      <c r="X15207" s="4"/>
      <c r="Y15207" s="4"/>
    </row>
    <row r="15208" spans="5:25">
      <c r="E15208"/>
      <c r="G15208"/>
      <c r="H15208"/>
      <c r="I15208"/>
      <c r="K15208"/>
      <c r="O15208"/>
      <c r="R15208"/>
      <c r="W15208" s="4"/>
      <c r="X15208" s="4"/>
      <c r="Y15208" s="4"/>
    </row>
    <row r="15209" spans="5:25">
      <c r="E15209"/>
      <c r="G15209"/>
      <c r="H15209"/>
      <c r="I15209"/>
      <c r="K15209"/>
      <c r="O15209"/>
      <c r="R15209"/>
      <c r="W15209" s="4"/>
      <c r="X15209" s="4"/>
      <c r="Y15209" s="4"/>
    </row>
    <row r="15210" spans="5:25">
      <c r="E15210"/>
      <c r="G15210"/>
      <c r="H15210"/>
      <c r="I15210"/>
      <c r="K15210"/>
      <c r="O15210"/>
      <c r="R15210"/>
      <c r="W15210" s="4"/>
      <c r="X15210" s="4"/>
      <c r="Y15210" s="4"/>
    </row>
    <row r="15211" spans="5:25">
      <c r="E15211"/>
      <c r="G15211"/>
      <c r="H15211"/>
      <c r="I15211"/>
      <c r="K15211"/>
      <c r="O15211"/>
      <c r="R15211"/>
      <c r="W15211" s="4"/>
      <c r="X15211" s="4"/>
      <c r="Y15211" s="4"/>
    </row>
    <row r="15212" spans="5:25">
      <c r="E15212"/>
      <c r="G15212"/>
      <c r="H15212"/>
      <c r="I15212"/>
      <c r="K15212"/>
      <c r="O15212"/>
      <c r="R15212"/>
      <c r="W15212" s="4"/>
      <c r="X15212" s="4"/>
      <c r="Y15212" s="4"/>
    </row>
    <row r="15213" spans="5:25">
      <c r="E15213"/>
      <c r="G15213"/>
      <c r="H15213"/>
      <c r="I15213"/>
      <c r="K15213"/>
      <c r="O15213"/>
      <c r="R15213"/>
      <c r="W15213" s="4"/>
      <c r="X15213" s="4"/>
      <c r="Y15213" s="4"/>
    </row>
    <row r="15214" spans="5:25">
      <c r="E15214"/>
      <c r="G15214"/>
      <c r="H15214"/>
      <c r="I15214"/>
      <c r="K15214"/>
      <c r="O15214"/>
      <c r="R15214"/>
      <c r="W15214" s="4"/>
      <c r="X15214" s="4"/>
      <c r="Y15214" s="4"/>
    </row>
    <row r="15215" spans="5:25">
      <c r="E15215"/>
      <c r="G15215"/>
      <c r="H15215"/>
      <c r="I15215"/>
      <c r="K15215"/>
      <c r="O15215"/>
      <c r="R15215"/>
      <c r="W15215" s="4"/>
      <c r="X15215" s="4"/>
      <c r="Y15215" s="4"/>
    </row>
    <row r="15216" spans="5:25">
      <c r="E15216"/>
      <c r="G15216"/>
      <c r="H15216"/>
      <c r="I15216"/>
      <c r="K15216"/>
      <c r="O15216"/>
      <c r="R15216"/>
      <c r="W15216" s="4"/>
      <c r="X15216" s="4"/>
      <c r="Y15216" s="4"/>
    </row>
    <row r="15217" spans="5:25">
      <c r="E15217"/>
      <c r="G15217"/>
      <c r="H15217"/>
      <c r="I15217"/>
      <c r="K15217"/>
      <c r="O15217"/>
      <c r="R15217"/>
      <c r="W15217" s="4"/>
      <c r="X15217" s="4"/>
      <c r="Y15217" s="4"/>
    </row>
    <row r="15218" spans="5:25">
      <c r="E15218"/>
      <c r="G15218"/>
      <c r="H15218"/>
      <c r="I15218"/>
      <c r="K15218"/>
      <c r="O15218"/>
      <c r="R15218"/>
      <c r="W15218" s="4"/>
      <c r="X15218" s="4"/>
      <c r="Y15218" s="4"/>
    </row>
    <row r="15219" spans="5:25">
      <c r="E15219"/>
      <c r="G15219"/>
      <c r="H15219"/>
      <c r="I15219"/>
      <c r="K15219"/>
      <c r="O15219"/>
      <c r="R15219"/>
      <c r="W15219" s="4"/>
      <c r="X15219" s="4"/>
      <c r="Y15219" s="4"/>
    </row>
    <row r="15220" spans="5:25">
      <c r="E15220"/>
      <c r="G15220"/>
      <c r="H15220"/>
      <c r="I15220"/>
      <c r="K15220"/>
      <c r="O15220"/>
      <c r="R15220"/>
      <c r="W15220" s="4"/>
      <c r="X15220" s="4"/>
      <c r="Y15220" s="4"/>
    </row>
    <row r="15221" spans="5:25">
      <c r="E15221"/>
      <c r="G15221"/>
      <c r="H15221"/>
      <c r="I15221"/>
      <c r="K15221"/>
      <c r="O15221"/>
      <c r="R15221"/>
      <c r="W15221" s="4"/>
      <c r="X15221" s="4"/>
      <c r="Y15221" s="4"/>
    </row>
    <row r="15222" spans="5:25">
      <c r="E15222"/>
      <c r="G15222"/>
      <c r="H15222"/>
      <c r="I15222"/>
      <c r="K15222"/>
      <c r="O15222"/>
      <c r="R15222"/>
      <c r="W15222" s="4"/>
      <c r="X15222" s="4"/>
      <c r="Y15222" s="4"/>
    </row>
    <row r="15223" spans="5:25">
      <c r="E15223"/>
      <c r="G15223"/>
      <c r="H15223"/>
      <c r="I15223"/>
      <c r="K15223"/>
      <c r="O15223"/>
      <c r="R15223"/>
      <c r="W15223" s="4"/>
      <c r="X15223" s="4"/>
      <c r="Y15223" s="4"/>
    </row>
    <row r="15224" spans="5:25">
      <c r="E15224"/>
      <c r="G15224"/>
      <c r="H15224"/>
      <c r="I15224"/>
      <c r="K15224"/>
      <c r="O15224"/>
      <c r="R15224"/>
      <c r="W15224" s="4"/>
      <c r="X15224" s="4"/>
      <c r="Y15224" s="4"/>
    </row>
    <row r="15225" spans="5:25">
      <c r="E15225"/>
      <c r="G15225"/>
      <c r="H15225"/>
      <c r="I15225"/>
      <c r="K15225"/>
      <c r="O15225"/>
      <c r="R15225"/>
      <c r="W15225" s="4"/>
      <c r="X15225" s="4"/>
      <c r="Y15225" s="4"/>
    </row>
    <row r="15226" spans="5:25">
      <c r="E15226"/>
      <c r="G15226"/>
      <c r="H15226"/>
      <c r="I15226"/>
      <c r="K15226"/>
      <c r="O15226"/>
      <c r="R15226"/>
      <c r="W15226" s="4"/>
      <c r="X15226" s="4"/>
      <c r="Y15226" s="4"/>
    </row>
    <row r="15227" spans="5:25">
      <c r="E15227"/>
      <c r="G15227"/>
      <c r="H15227"/>
      <c r="I15227"/>
      <c r="K15227"/>
      <c r="O15227"/>
      <c r="R15227"/>
      <c r="W15227" s="4"/>
      <c r="X15227" s="4"/>
      <c r="Y15227" s="4"/>
    </row>
    <row r="15228" spans="5:25">
      <c r="E15228"/>
      <c r="G15228"/>
      <c r="H15228"/>
      <c r="I15228"/>
      <c r="K15228"/>
      <c r="O15228"/>
      <c r="R15228"/>
      <c r="W15228" s="4"/>
      <c r="X15228" s="4"/>
      <c r="Y15228" s="4"/>
    </row>
    <row r="15229" spans="5:25">
      <c r="E15229"/>
      <c r="G15229"/>
      <c r="H15229"/>
      <c r="I15229"/>
      <c r="K15229"/>
      <c r="O15229"/>
      <c r="R15229"/>
      <c r="W15229" s="4"/>
      <c r="X15229" s="4"/>
      <c r="Y15229" s="4"/>
    </row>
    <row r="15230" spans="5:25">
      <c r="E15230"/>
      <c r="G15230"/>
      <c r="H15230"/>
      <c r="I15230"/>
      <c r="K15230"/>
      <c r="O15230"/>
      <c r="R15230"/>
      <c r="W15230" s="4"/>
      <c r="X15230" s="4"/>
      <c r="Y15230" s="4"/>
    </row>
    <row r="15231" spans="5:25">
      <c r="E15231"/>
      <c r="G15231"/>
      <c r="H15231"/>
      <c r="I15231"/>
      <c r="K15231"/>
      <c r="O15231"/>
      <c r="R15231"/>
      <c r="W15231" s="4"/>
      <c r="X15231" s="4"/>
      <c r="Y15231" s="4"/>
    </row>
    <row r="15232" spans="5:25">
      <c r="E15232"/>
      <c r="G15232"/>
      <c r="H15232"/>
      <c r="I15232"/>
      <c r="K15232"/>
      <c r="O15232"/>
      <c r="R15232"/>
      <c r="W15232" s="4"/>
      <c r="X15232" s="4"/>
      <c r="Y15232" s="4"/>
    </row>
    <row r="15233" spans="5:25">
      <c r="E15233"/>
      <c r="G15233"/>
      <c r="H15233"/>
      <c r="I15233"/>
      <c r="K15233"/>
      <c r="O15233"/>
      <c r="R15233"/>
      <c r="W15233" s="4"/>
      <c r="X15233" s="4"/>
      <c r="Y15233" s="4"/>
    </row>
    <row r="15234" spans="5:25">
      <c r="E15234"/>
      <c r="G15234"/>
      <c r="H15234"/>
      <c r="I15234"/>
      <c r="K15234"/>
      <c r="O15234"/>
      <c r="R15234"/>
      <c r="W15234" s="4"/>
      <c r="X15234" s="4"/>
      <c r="Y15234" s="4"/>
    </row>
    <row r="15235" spans="5:25">
      <c r="E15235"/>
      <c r="G15235"/>
      <c r="H15235"/>
      <c r="I15235"/>
      <c r="K15235"/>
      <c r="O15235"/>
      <c r="R15235"/>
      <c r="W15235" s="4"/>
      <c r="X15235" s="4"/>
      <c r="Y15235" s="4"/>
    </row>
    <row r="15236" spans="5:25">
      <c r="E15236"/>
      <c r="G15236"/>
      <c r="H15236"/>
      <c r="I15236"/>
      <c r="K15236"/>
      <c r="O15236"/>
      <c r="R15236"/>
      <c r="W15236" s="4"/>
      <c r="X15236" s="4"/>
      <c r="Y15236" s="4"/>
    </row>
    <row r="15237" spans="5:25">
      <c r="E15237"/>
      <c r="G15237"/>
      <c r="H15237"/>
      <c r="I15237"/>
      <c r="K15237"/>
      <c r="O15237"/>
      <c r="R15237"/>
      <c r="W15237" s="4"/>
      <c r="X15237" s="4"/>
      <c r="Y15237" s="4"/>
    </row>
    <row r="15238" spans="5:25">
      <c r="E15238"/>
      <c r="G15238"/>
      <c r="H15238"/>
      <c r="I15238"/>
      <c r="K15238"/>
      <c r="O15238"/>
      <c r="R15238"/>
      <c r="W15238" s="4"/>
      <c r="X15238" s="4"/>
      <c r="Y15238" s="4"/>
    </row>
    <row r="15239" spans="5:25">
      <c r="E15239"/>
      <c r="G15239"/>
      <c r="H15239"/>
      <c r="I15239"/>
      <c r="K15239"/>
      <c r="O15239"/>
      <c r="R15239"/>
      <c r="W15239" s="4"/>
      <c r="X15239" s="4"/>
      <c r="Y15239" s="4"/>
    </row>
    <row r="15240" spans="5:25">
      <c r="E15240"/>
      <c r="G15240"/>
      <c r="H15240"/>
      <c r="I15240"/>
      <c r="K15240"/>
      <c r="O15240"/>
      <c r="R15240"/>
      <c r="W15240" s="4"/>
      <c r="X15240" s="4"/>
      <c r="Y15240" s="4"/>
    </row>
    <row r="15241" spans="5:25">
      <c r="E15241"/>
      <c r="G15241"/>
      <c r="H15241"/>
      <c r="I15241"/>
      <c r="K15241"/>
      <c r="O15241"/>
      <c r="R15241"/>
      <c r="W15241" s="4"/>
      <c r="X15241" s="4"/>
      <c r="Y15241" s="4"/>
    </row>
    <row r="15242" spans="5:25">
      <c r="E15242"/>
      <c r="G15242"/>
      <c r="H15242"/>
      <c r="I15242"/>
      <c r="K15242"/>
      <c r="O15242"/>
      <c r="R15242"/>
      <c r="W15242" s="4"/>
      <c r="X15242" s="4"/>
      <c r="Y15242" s="4"/>
    </row>
    <row r="15243" spans="5:25">
      <c r="E15243"/>
      <c r="G15243"/>
      <c r="H15243"/>
      <c r="I15243"/>
      <c r="K15243"/>
      <c r="O15243"/>
      <c r="R15243"/>
      <c r="W15243" s="4"/>
      <c r="X15243" s="4"/>
      <c r="Y15243" s="4"/>
    </row>
    <row r="15244" spans="5:25">
      <c r="E15244"/>
      <c r="G15244"/>
      <c r="H15244"/>
      <c r="I15244"/>
      <c r="K15244"/>
      <c r="O15244"/>
      <c r="R15244"/>
      <c r="W15244" s="4"/>
      <c r="X15244" s="4"/>
      <c r="Y15244" s="4"/>
    </row>
    <row r="15245" spans="5:25">
      <c r="E15245"/>
      <c r="G15245"/>
      <c r="H15245"/>
      <c r="I15245"/>
      <c r="K15245"/>
      <c r="O15245"/>
      <c r="R15245"/>
      <c r="W15245" s="4"/>
      <c r="X15245" s="4"/>
      <c r="Y15245" s="4"/>
    </row>
    <row r="15246" spans="5:25">
      <c r="E15246"/>
      <c r="G15246"/>
      <c r="H15246"/>
      <c r="I15246"/>
      <c r="K15246"/>
      <c r="O15246"/>
      <c r="R15246"/>
      <c r="W15246" s="4"/>
      <c r="X15246" s="4"/>
      <c r="Y15246" s="4"/>
    </row>
    <row r="15247" spans="5:25">
      <c r="E15247"/>
      <c r="G15247"/>
      <c r="H15247"/>
      <c r="I15247"/>
      <c r="K15247"/>
      <c r="O15247"/>
      <c r="R15247"/>
      <c r="W15247" s="4"/>
      <c r="X15247" s="4"/>
      <c r="Y15247" s="4"/>
    </row>
    <row r="15248" spans="5:25">
      <c r="E15248"/>
      <c r="G15248"/>
      <c r="H15248"/>
      <c r="I15248"/>
      <c r="K15248"/>
      <c r="O15248"/>
      <c r="R15248"/>
      <c r="W15248" s="4"/>
      <c r="X15248" s="4"/>
      <c r="Y15248" s="4"/>
    </row>
    <row r="15249" spans="5:25">
      <c r="E15249"/>
      <c r="G15249"/>
      <c r="H15249"/>
      <c r="I15249"/>
      <c r="K15249"/>
      <c r="O15249"/>
      <c r="R15249"/>
      <c r="W15249" s="4"/>
      <c r="X15249" s="4"/>
      <c r="Y15249" s="4"/>
    </row>
    <row r="15250" spans="5:25">
      <c r="E15250"/>
      <c r="G15250"/>
      <c r="H15250"/>
      <c r="I15250"/>
      <c r="K15250"/>
      <c r="O15250"/>
      <c r="R15250"/>
      <c r="W15250" s="4"/>
      <c r="X15250" s="4"/>
      <c r="Y15250" s="4"/>
    </row>
    <row r="15251" spans="5:25">
      <c r="E15251"/>
      <c r="G15251"/>
      <c r="H15251"/>
      <c r="I15251"/>
      <c r="K15251"/>
      <c r="O15251"/>
      <c r="R15251"/>
      <c r="W15251" s="4"/>
      <c r="X15251" s="4"/>
      <c r="Y15251" s="4"/>
    </row>
    <row r="15252" spans="5:25">
      <c r="E15252"/>
      <c r="G15252"/>
      <c r="H15252"/>
      <c r="I15252"/>
      <c r="K15252"/>
      <c r="O15252"/>
      <c r="R15252"/>
      <c r="W15252" s="4"/>
      <c r="X15252" s="4"/>
      <c r="Y15252" s="4"/>
    </row>
    <row r="15253" spans="5:25">
      <c r="E15253"/>
      <c r="G15253"/>
      <c r="H15253"/>
      <c r="I15253"/>
      <c r="K15253"/>
      <c r="O15253"/>
      <c r="R15253"/>
      <c r="W15253" s="4"/>
      <c r="X15253" s="4"/>
      <c r="Y15253" s="4"/>
    </row>
    <row r="15254" spans="5:25">
      <c r="E15254"/>
      <c r="G15254"/>
      <c r="H15254"/>
      <c r="I15254"/>
      <c r="K15254"/>
      <c r="O15254"/>
      <c r="R15254"/>
      <c r="W15254" s="4"/>
      <c r="X15254" s="4"/>
      <c r="Y15254" s="4"/>
    </row>
    <row r="15255" spans="5:25">
      <c r="E15255"/>
      <c r="G15255"/>
      <c r="H15255"/>
      <c r="I15255"/>
      <c r="K15255"/>
      <c r="O15255"/>
      <c r="R15255"/>
      <c r="W15255" s="4"/>
      <c r="X15255" s="4"/>
      <c r="Y15255" s="4"/>
    </row>
    <row r="15256" spans="5:25">
      <c r="E15256"/>
      <c r="G15256"/>
      <c r="H15256"/>
      <c r="I15256"/>
      <c r="K15256"/>
      <c r="O15256"/>
      <c r="R15256"/>
      <c r="W15256" s="4"/>
      <c r="X15256" s="4"/>
      <c r="Y15256" s="4"/>
    </row>
    <row r="15257" spans="5:25">
      <c r="E15257"/>
      <c r="G15257"/>
      <c r="H15257"/>
      <c r="I15257"/>
      <c r="K15257"/>
      <c r="O15257"/>
      <c r="R15257"/>
      <c r="W15257" s="4"/>
      <c r="X15257" s="4"/>
      <c r="Y15257" s="4"/>
    </row>
    <row r="15258" spans="5:25">
      <c r="E15258"/>
      <c r="G15258"/>
      <c r="H15258"/>
      <c r="I15258"/>
      <c r="K15258"/>
      <c r="O15258"/>
      <c r="R15258"/>
      <c r="W15258" s="4"/>
      <c r="X15258" s="4"/>
      <c r="Y15258" s="4"/>
    </row>
    <row r="15259" spans="5:25">
      <c r="E15259"/>
      <c r="G15259"/>
      <c r="H15259"/>
      <c r="I15259"/>
      <c r="K15259"/>
      <c r="O15259"/>
      <c r="R15259"/>
      <c r="W15259" s="4"/>
      <c r="X15259" s="4"/>
      <c r="Y15259" s="4"/>
    </row>
    <row r="15260" spans="5:25">
      <c r="E15260"/>
      <c r="G15260"/>
      <c r="H15260"/>
      <c r="I15260"/>
      <c r="K15260"/>
      <c r="O15260"/>
      <c r="R15260"/>
      <c r="W15260" s="4"/>
      <c r="X15260" s="4"/>
      <c r="Y15260" s="4"/>
    </row>
    <row r="15261" spans="5:25">
      <c r="E15261"/>
      <c r="G15261"/>
      <c r="H15261"/>
      <c r="I15261"/>
      <c r="K15261"/>
      <c r="O15261"/>
      <c r="R15261"/>
      <c r="W15261" s="4"/>
      <c r="X15261" s="4"/>
      <c r="Y15261" s="4"/>
    </row>
    <row r="15262" spans="5:25">
      <c r="E15262"/>
      <c r="G15262"/>
      <c r="H15262"/>
      <c r="I15262"/>
      <c r="K15262"/>
      <c r="O15262"/>
      <c r="R15262"/>
      <c r="W15262" s="4"/>
      <c r="X15262" s="4"/>
      <c r="Y15262" s="4"/>
    </row>
    <row r="15263" spans="5:25">
      <c r="E15263"/>
      <c r="G15263"/>
      <c r="H15263"/>
      <c r="I15263"/>
      <c r="K15263"/>
      <c r="O15263"/>
      <c r="R15263"/>
      <c r="W15263" s="4"/>
      <c r="X15263" s="4"/>
      <c r="Y15263" s="4"/>
    </row>
    <row r="15264" spans="5:25">
      <c r="E15264"/>
      <c r="G15264"/>
      <c r="H15264"/>
      <c r="I15264"/>
      <c r="K15264"/>
      <c r="O15264"/>
      <c r="R15264"/>
      <c r="W15264" s="4"/>
      <c r="X15264" s="4"/>
      <c r="Y15264" s="4"/>
    </row>
    <row r="15265" spans="5:25">
      <c r="E15265"/>
      <c r="G15265"/>
      <c r="H15265"/>
      <c r="I15265"/>
      <c r="K15265"/>
      <c r="O15265"/>
      <c r="R15265"/>
      <c r="W15265" s="4"/>
      <c r="X15265" s="4"/>
      <c r="Y15265" s="4"/>
    </row>
    <row r="15266" spans="5:25">
      <c r="E15266"/>
      <c r="G15266"/>
      <c r="H15266"/>
      <c r="I15266"/>
      <c r="K15266"/>
      <c r="O15266"/>
      <c r="R15266"/>
      <c r="W15266" s="4"/>
      <c r="X15266" s="4"/>
      <c r="Y15266" s="4"/>
    </row>
    <row r="15267" spans="5:25">
      <c r="E15267"/>
      <c r="G15267"/>
      <c r="H15267"/>
      <c r="I15267"/>
      <c r="K15267"/>
      <c r="O15267"/>
      <c r="R15267"/>
      <c r="W15267" s="4"/>
      <c r="X15267" s="4"/>
      <c r="Y15267" s="4"/>
    </row>
    <row r="15268" spans="5:25">
      <c r="E15268"/>
      <c r="G15268"/>
      <c r="H15268"/>
      <c r="I15268"/>
      <c r="K15268"/>
      <c r="O15268"/>
      <c r="R15268"/>
      <c r="W15268" s="4"/>
      <c r="X15268" s="4"/>
      <c r="Y15268" s="4"/>
    </row>
    <row r="15269" spans="5:25">
      <c r="E15269"/>
      <c r="G15269"/>
      <c r="H15269"/>
      <c r="I15269"/>
      <c r="K15269"/>
      <c r="O15269"/>
      <c r="R15269"/>
      <c r="W15269" s="4"/>
      <c r="X15269" s="4"/>
      <c r="Y15269" s="4"/>
    </row>
    <row r="15270" spans="5:25">
      <c r="E15270"/>
      <c r="G15270"/>
      <c r="H15270"/>
      <c r="I15270"/>
      <c r="K15270"/>
      <c r="O15270"/>
      <c r="R15270"/>
      <c r="W15270" s="4"/>
      <c r="X15270" s="4"/>
      <c r="Y15270" s="4"/>
    </row>
    <row r="15271" spans="5:25">
      <c r="E15271"/>
      <c r="G15271"/>
      <c r="H15271"/>
      <c r="I15271"/>
      <c r="K15271"/>
      <c r="O15271"/>
      <c r="R15271"/>
      <c r="W15271" s="4"/>
      <c r="X15271" s="4"/>
      <c r="Y15271" s="4"/>
    </row>
    <row r="15272" spans="5:25">
      <c r="E15272"/>
      <c r="G15272"/>
      <c r="H15272"/>
      <c r="I15272"/>
      <c r="K15272"/>
      <c r="O15272"/>
      <c r="R15272"/>
      <c r="W15272" s="4"/>
      <c r="X15272" s="4"/>
      <c r="Y15272" s="4"/>
    </row>
    <row r="15273" spans="5:25">
      <c r="E15273"/>
      <c r="G15273"/>
      <c r="H15273"/>
      <c r="I15273"/>
      <c r="K15273"/>
      <c r="O15273"/>
      <c r="R15273"/>
      <c r="W15273" s="4"/>
      <c r="X15273" s="4"/>
      <c r="Y15273" s="4"/>
    </row>
    <row r="15274" spans="5:25">
      <c r="E15274"/>
      <c r="G15274"/>
      <c r="H15274"/>
      <c r="I15274"/>
      <c r="K15274"/>
      <c r="O15274"/>
      <c r="R15274"/>
      <c r="W15274" s="4"/>
      <c r="X15274" s="4"/>
      <c r="Y15274" s="4"/>
    </row>
    <row r="15275" spans="5:25">
      <c r="E15275"/>
      <c r="G15275"/>
      <c r="H15275"/>
      <c r="I15275"/>
      <c r="K15275"/>
      <c r="O15275"/>
      <c r="R15275"/>
      <c r="W15275" s="4"/>
      <c r="X15275" s="4"/>
      <c r="Y15275" s="4"/>
    </row>
    <row r="15276" spans="5:25">
      <c r="E15276"/>
      <c r="G15276"/>
      <c r="H15276"/>
      <c r="I15276"/>
      <c r="K15276"/>
      <c r="O15276"/>
      <c r="R15276"/>
      <c r="W15276" s="4"/>
      <c r="X15276" s="4"/>
      <c r="Y15276" s="4"/>
    </row>
    <row r="15277" spans="5:25">
      <c r="E15277"/>
      <c r="G15277"/>
      <c r="H15277"/>
      <c r="I15277"/>
      <c r="K15277"/>
      <c r="O15277"/>
      <c r="R15277"/>
      <c r="W15277" s="4"/>
      <c r="X15277" s="4"/>
      <c r="Y15277" s="4"/>
    </row>
    <row r="15278" spans="5:25">
      <c r="E15278"/>
      <c r="G15278"/>
      <c r="H15278"/>
      <c r="I15278"/>
      <c r="K15278"/>
      <c r="O15278"/>
      <c r="R15278"/>
      <c r="W15278" s="4"/>
      <c r="X15278" s="4"/>
      <c r="Y15278" s="4"/>
    </row>
    <row r="15279" spans="5:25">
      <c r="E15279"/>
      <c r="G15279"/>
      <c r="H15279"/>
      <c r="I15279"/>
      <c r="K15279"/>
      <c r="O15279"/>
      <c r="R15279"/>
      <c r="W15279" s="4"/>
      <c r="X15279" s="4"/>
      <c r="Y15279" s="4"/>
    </row>
    <row r="15280" spans="5:25">
      <c r="E15280"/>
      <c r="G15280"/>
      <c r="H15280"/>
      <c r="I15280"/>
      <c r="K15280"/>
      <c r="O15280"/>
      <c r="R15280"/>
      <c r="W15280" s="4"/>
      <c r="X15280" s="4"/>
      <c r="Y15280" s="4"/>
    </row>
    <row r="15281" spans="5:25">
      <c r="E15281"/>
      <c r="G15281"/>
      <c r="H15281"/>
      <c r="I15281"/>
      <c r="K15281"/>
      <c r="O15281"/>
      <c r="R15281"/>
      <c r="W15281" s="4"/>
      <c r="X15281" s="4"/>
      <c r="Y15281" s="4"/>
    </row>
    <row r="15282" spans="5:25">
      <c r="E15282"/>
      <c r="G15282"/>
      <c r="H15282"/>
      <c r="I15282"/>
      <c r="K15282"/>
      <c r="O15282"/>
      <c r="R15282"/>
      <c r="W15282" s="4"/>
      <c r="X15282" s="4"/>
      <c r="Y15282" s="4"/>
    </row>
    <row r="15283" spans="5:25">
      <c r="E15283"/>
      <c r="G15283"/>
      <c r="H15283"/>
      <c r="I15283"/>
      <c r="K15283"/>
      <c r="O15283"/>
      <c r="R15283"/>
      <c r="W15283" s="4"/>
      <c r="X15283" s="4"/>
      <c r="Y15283" s="4"/>
    </row>
    <row r="15284" spans="5:25">
      <c r="E15284"/>
      <c r="G15284"/>
      <c r="H15284"/>
      <c r="I15284"/>
      <c r="K15284"/>
      <c r="O15284"/>
      <c r="R15284"/>
      <c r="W15284" s="4"/>
      <c r="X15284" s="4"/>
      <c r="Y15284" s="4"/>
    </row>
    <row r="15285" spans="5:25">
      <c r="E15285"/>
      <c r="G15285"/>
      <c r="H15285"/>
      <c r="I15285"/>
      <c r="K15285"/>
      <c r="O15285"/>
      <c r="R15285"/>
      <c r="W15285" s="4"/>
      <c r="X15285" s="4"/>
      <c r="Y15285" s="4"/>
    </row>
    <row r="15286" spans="5:25">
      <c r="E15286"/>
      <c r="G15286"/>
      <c r="H15286"/>
      <c r="I15286"/>
      <c r="K15286"/>
      <c r="O15286"/>
      <c r="R15286"/>
      <c r="W15286" s="4"/>
      <c r="X15286" s="4"/>
      <c r="Y15286" s="4"/>
    </row>
    <row r="15287" spans="5:25">
      <c r="E15287"/>
      <c r="G15287"/>
      <c r="H15287"/>
      <c r="I15287"/>
      <c r="K15287"/>
      <c r="O15287"/>
      <c r="R15287"/>
      <c r="W15287" s="4"/>
      <c r="X15287" s="4"/>
      <c r="Y15287" s="4"/>
    </row>
    <row r="15288" spans="5:25">
      <c r="E15288"/>
      <c r="G15288"/>
      <c r="H15288"/>
      <c r="I15288"/>
      <c r="K15288"/>
      <c r="O15288"/>
      <c r="R15288"/>
      <c r="W15288" s="4"/>
      <c r="X15288" s="4"/>
      <c r="Y15288" s="4"/>
    </row>
    <row r="15289" spans="5:25">
      <c r="E15289"/>
      <c r="G15289"/>
      <c r="H15289"/>
      <c r="I15289"/>
      <c r="K15289"/>
      <c r="O15289"/>
      <c r="R15289"/>
      <c r="W15289" s="4"/>
      <c r="X15289" s="4"/>
      <c r="Y15289" s="4"/>
    </row>
    <row r="15290" spans="5:25">
      <c r="E15290"/>
      <c r="G15290"/>
      <c r="H15290"/>
      <c r="I15290"/>
      <c r="K15290"/>
      <c r="O15290"/>
      <c r="R15290"/>
      <c r="W15290" s="4"/>
      <c r="X15290" s="4"/>
      <c r="Y15290" s="4"/>
    </row>
    <row r="15291" spans="5:25">
      <c r="E15291"/>
      <c r="G15291"/>
      <c r="H15291"/>
      <c r="I15291"/>
      <c r="K15291"/>
      <c r="O15291"/>
      <c r="R15291"/>
      <c r="W15291" s="4"/>
      <c r="X15291" s="4"/>
      <c r="Y15291" s="4"/>
    </row>
    <row r="15292" spans="5:25">
      <c r="E15292"/>
      <c r="G15292"/>
      <c r="H15292"/>
      <c r="I15292"/>
      <c r="K15292"/>
      <c r="O15292"/>
      <c r="R15292"/>
      <c r="W15292" s="4"/>
      <c r="X15292" s="4"/>
      <c r="Y15292" s="4"/>
    </row>
    <row r="15293" spans="5:25">
      <c r="E15293"/>
      <c r="G15293"/>
      <c r="H15293"/>
      <c r="I15293"/>
      <c r="K15293"/>
      <c r="O15293"/>
      <c r="R15293"/>
      <c r="W15293" s="4"/>
      <c r="X15293" s="4"/>
      <c r="Y15293" s="4"/>
    </row>
    <row r="15294" spans="5:25">
      <c r="E15294"/>
      <c r="G15294"/>
      <c r="H15294"/>
      <c r="I15294"/>
      <c r="K15294"/>
      <c r="O15294"/>
      <c r="R15294"/>
      <c r="W15294" s="4"/>
      <c r="X15294" s="4"/>
      <c r="Y15294" s="4"/>
    </row>
    <row r="15295" spans="5:25">
      <c r="E15295"/>
      <c r="G15295"/>
      <c r="H15295"/>
      <c r="I15295"/>
      <c r="K15295"/>
      <c r="O15295"/>
      <c r="R15295"/>
      <c r="W15295" s="4"/>
      <c r="X15295" s="4"/>
      <c r="Y15295" s="4"/>
    </row>
    <row r="15296" spans="5:25">
      <c r="E15296"/>
      <c r="G15296"/>
      <c r="H15296"/>
      <c r="I15296"/>
      <c r="K15296"/>
      <c r="O15296"/>
      <c r="R15296"/>
      <c r="W15296" s="4"/>
      <c r="X15296" s="4"/>
      <c r="Y15296" s="4"/>
    </row>
    <row r="15297" spans="5:25">
      <c r="E15297"/>
      <c r="G15297"/>
      <c r="H15297"/>
      <c r="I15297"/>
      <c r="K15297"/>
      <c r="O15297"/>
      <c r="R15297"/>
      <c r="W15297" s="4"/>
      <c r="X15297" s="4"/>
      <c r="Y15297" s="4"/>
    </row>
    <row r="15298" spans="5:25">
      <c r="E15298"/>
      <c r="G15298"/>
      <c r="H15298"/>
      <c r="I15298"/>
      <c r="K15298"/>
      <c r="O15298"/>
      <c r="R15298"/>
      <c r="W15298" s="4"/>
      <c r="X15298" s="4"/>
      <c r="Y15298" s="4"/>
    </row>
    <row r="15299" spans="5:25">
      <c r="E15299"/>
      <c r="G15299"/>
      <c r="H15299"/>
      <c r="I15299"/>
      <c r="K15299"/>
      <c r="O15299"/>
      <c r="R15299"/>
      <c r="W15299" s="4"/>
      <c r="X15299" s="4"/>
      <c r="Y15299" s="4"/>
    </row>
    <row r="15300" spans="5:25">
      <c r="E15300"/>
      <c r="G15300"/>
      <c r="H15300"/>
      <c r="I15300"/>
      <c r="K15300"/>
      <c r="O15300"/>
      <c r="R15300"/>
      <c r="W15300" s="4"/>
      <c r="X15300" s="4"/>
      <c r="Y15300" s="4"/>
    </row>
    <row r="15301" spans="5:25">
      <c r="E15301"/>
      <c r="G15301"/>
      <c r="H15301"/>
      <c r="I15301"/>
      <c r="K15301"/>
      <c r="O15301"/>
      <c r="R15301"/>
      <c r="W15301" s="4"/>
      <c r="X15301" s="4"/>
      <c r="Y15301" s="4"/>
    </row>
    <row r="15302" spans="5:25">
      <c r="E15302"/>
      <c r="G15302"/>
      <c r="H15302"/>
      <c r="I15302"/>
      <c r="K15302"/>
      <c r="O15302"/>
      <c r="R15302"/>
      <c r="W15302" s="4"/>
      <c r="X15302" s="4"/>
      <c r="Y15302" s="4"/>
    </row>
    <row r="15303" spans="5:25">
      <c r="E15303"/>
      <c r="G15303"/>
      <c r="H15303"/>
      <c r="I15303"/>
      <c r="K15303"/>
      <c r="O15303"/>
      <c r="R15303"/>
      <c r="W15303" s="4"/>
      <c r="X15303" s="4"/>
      <c r="Y15303" s="4"/>
    </row>
    <row r="15304" spans="5:25">
      <c r="E15304"/>
      <c r="G15304"/>
      <c r="H15304"/>
      <c r="I15304"/>
      <c r="K15304"/>
      <c r="O15304"/>
      <c r="R15304"/>
      <c r="W15304" s="4"/>
      <c r="X15304" s="4"/>
      <c r="Y15304" s="4"/>
    </row>
    <row r="15305" spans="5:25">
      <c r="E15305"/>
      <c r="G15305"/>
      <c r="H15305"/>
      <c r="I15305"/>
      <c r="K15305"/>
      <c r="O15305"/>
      <c r="R15305"/>
      <c r="W15305" s="4"/>
      <c r="X15305" s="4"/>
      <c r="Y15305" s="4"/>
    </row>
    <row r="15306" spans="5:25">
      <c r="E15306"/>
      <c r="G15306"/>
      <c r="H15306"/>
      <c r="I15306"/>
      <c r="K15306"/>
      <c r="O15306"/>
      <c r="R15306"/>
      <c r="W15306" s="4"/>
      <c r="X15306" s="4"/>
      <c r="Y15306" s="4"/>
    </row>
    <row r="15307" spans="5:25">
      <c r="E15307"/>
      <c r="G15307"/>
      <c r="H15307"/>
      <c r="I15307"/>
      <c r="K15307"/>
      <c r="O15307"/>
      <c r="R15307"/>
      <c r="W15307" s="4"/>
      <c r="X15307" s="4"/>
      <c r="Y15307" s="4"/>
    </row>
    <row r="15308" spans="5:25">
      <c r="E15308"/>
      <c r="G15308"/>
      <c r="H15308"/>
      <c r="I15308"/>
      <c r="K15308"/>
      <c r="O15308"/>
      <c r="R15308"/>
      <c r="W15308" s="4"/>
      <c r="X15308" s="4"/>
      <c r="Y15308" s="4"/>
    </row>
    <row r="15309" spans="5:25">
      <c r="E15309"/>
      <c r="G15309"/>
      <c r="H15309"/>
      <c r="I15309"/>
      <c r="K15309"/>
      <c r="O15309"/>
      <c r="R15309"/>
      <c r="W15309" s="4"/>
      <c r="X15309" s="4"/>
      <c r="Y15309" s="4"/>
    </row>
    <row r="15310" spans="5:25">
      <c r="E15310"/>
      <c r="G15310"/>
      <c r="H15310"/>
      <c r="I15310"/>
      <c r="K15310"/>
      <c r="O15310"/>
      <c r="R15310"/>
      <c r="W15310" s="4"/>
      <c r="X15310" s="4"/>
      <c r="Y15310" s="4"/>
    </row>
    <row r="15311" spans="5:25">
      <c r="E15311"/>
      <c r="G15311"/>
      <c r="H15311"/>
      <c r="I15311"/>
      <c r="K15311"/>
      <c r="O15311"/>
      <c r="R15311"/>
      <c r="W15311" s="4"/>
      <c r="X15311" s="4"/>
      <c r="Y15311" s="4"/>
    </row>
    <row r="15312" spans="5:25">
      <c r="E15312"/>
      <c r="G15312"/>
      <c r="H15312"/>
      <c r="I15312"/>
      <c r="K15312"/>
      <c r="O15312"/>
      <c r="R15312"/>
      <c r="W15312" s="4"/>
      <c r="X15312" s="4"/>
      <c r="Y15312" s="4"/>
    </row>
    <row r="15313" spans="5:25">
      <c r="E15313"/>
      <c r="G15313"/>
      <c r="H15313"/>
      <c r="I15313"/>
      <c r="K15313"/>
      <c r="O15313"/>
      <c r="R15313"/>
      <c r="W15313" s="4"/>
      <c r="X15313" s="4"/>
      <c r="Y15313" s="4"/>
    </row>
    <row r="15314" spans="5:25">
      <c r="E15314"/>
      <c r="G15314"/>
      <c r="H15314"/>
      <c r="I15314"/>
      <c r="K15314"/>
      <c r="O15314"/>
      <c r="R15314"/>
      <c r="W15314" s="4"/>
      <c r="X15314" s="4"/>
      <c r="Y15314" s="4"/>
    </row>
    <row r="15315" spans="5:25">
      <c r="E15315"/>
      <c r="G15315"/>
      <c r="H15315"/>
      <c r="I15315"/>
      <c r="K15315"/>
      <c r="O15315"/>
      <c r="R15315"/>
      <c r="W15315" s="4"/>
      <c r="X15315" s="4"/>
      <c r="Y15315" s="4"/>
    </row>
    <row r="15316" spans="5:25">
      <c r="E15316"/>
      <c r="G15316"/>
      <c r="H15316"/>
      <c r="I15316"/>
      <c r="K15316"/>
      <c r="O15316"/>
      <c r="R15316"/>
      <c r="W15316" s="4"/>
      <c r="X15316" s="4"/>
      <c r="Y15316" s="4"/>
    </row>
    <row r="15317" spans="5:25">
      <c r="E15317"/>
      <c r="G15317"/>
      <c r="H15317"/>
      <c r="I15317"/>
      <c r="K15317"/>
      <c r="O15317"/>
      <c r="R15317"/>
      <c r="W15317" s="4"/>
      <c r="X15317" s="4"/>
      <c r="Y15317" s="4"/>
    </row>
    <row r="15318" spans="5:25">
      <c r="E15318"/>
      <c r="G15318"/>
      <c r="H15318"/>
      <c r="I15318"/>
      <c r="K15318"/>
      <c r="O15318"/>
      <c r="R15318"/>
      <c r="W15318" s="4"/>
      <c r="X15318" s="4"/>
      <c r="Y15318" s="4"/>
    </row>
    <row r="15319" spans="5:25">
      <c r="E15319"/>
      <c r="G15319"/>
      <c r="H15319"/>
      <c r="I15319"/>
      <c r="K15319"/>
      <c r="O15319"/>
      <c r="R15319"/>
      <c r="W15319" s="4"/>
      <c r="X15319" s="4"/>
      <c r="Y15319" s="4"/>
    </row>
    <row r="15320" spans="5:25">
      <c r="E15320"/>
      <c r="G15320"/>
      <c r="H15320"/>
      <c r="I15320"/>
      <c r="K15320"/>
      <c r="O15320"/>
      <c r="R15320"/>
      <c r="W15320" s="4"/>
      <c r="X15320" s="4"/>
      <c r="Y15320" s="4"/>
    </row>
    <row r="15321" spans="5:25">
      <c r="E15321"/>
      <c r="G15321"/>
      <c r="H15321"/>
      <c r="I15321"/>
      <c r="K15321"/>
      <c r="O15321"/>
      <c r="R15321"/>
      <c r="W15321" s="4"/>
      <c r="X15321" s="4"/>
      <c r="Y15321" s="4"/>
    </row>
    <row r="15322" spans="5:25">
      <c r="E15322"/>
      <c r="G15322"/>
      <c r="H15322"/>
      <c r="I15322"/>
      <c r="K15322"/>
      <c r="O15322"/>
      <c r="R15322"/>
      <c r="W15322" s="4"/>
      <c r="X15322" s="4"/>
      <c r="Y15322" s="4"/>
    </row>
    <row r="15323" spans="5:25">
      <c r="E15323"/>
      <c r="G15323"/>
      <c r="H15323"/>
      <c r="I15323"/>
      <c r="K15323"/>
      <c r="O15323"/>
      <c r="R15323"/>
      <c r="W15323" s="4"/>
      <c r="X15323" s="4"/>
      <c r="Y15323" s="4"/>
    </row>
    <row r="15324" spans="5:25">
      <c r="E15324"/>
      <c r="G15324"/>
      <c r="H15324"/>
      <c r="I15324"/>
      <c r="K15324"/>
      <c r="O15324"/>
      <c r="R15324"/>
      <c r="W15324" s="4"/>
      <c r="X15324" s="4"/>
      <c r="Y15324" s="4"/>
    </row>
    <row r="15325" spans="5:25">
      <c r="E15325"/>
      <c r="G15325"/>
      <c r="H15325"/>
      <c r="I15325"/>
      <c r="K15325"/>
      <c r="O15325"/>
      <c r="R15325"/>
      <c r="W15325" s="4"/>
      <c r="X15325" s="4"/>
      <c r="Y15325" s="4"/>
    </row>
    <row r="15326" spans="5:25">
      <c r="E15326"/>
      <c r="G15326"/>
      <c r="H15326"/>
      <c r="I15326"/>
      <c r="K15326"/>
      <c r="O15326"/>
      <c r="R15326"/>
      <c r="W15326" s="4"/>
      <c r="X15326" s="4"/>
      <c r="Y15326" s="4"/>
    </row>
    <row r="15327" spans="5:25">
      <c r="E15327"/>
      <c r="G15327"/>
      <c r="H15327"/>
      <c r="I15327"/>
      <c r="K15327"/>
      <c r="O15327"/>
      <c r="R15327"/>
      <c r="W15327" s="4"/>
      <c r="X15327" s="4"/>
      <c r="Y15327" s="4"/>
    </row>
    <row r="15328" spans="5:25">
      <c r="E15328"/>
      <c r="G15328"/>
      <c r="H15328"/>
      <c r="I15328"/>
      <c r="K15328"/>
      <c r="O15328"/>
      <c r="R15328"/>
      <c r="W15328" s="4"/>
      <c r="X15328" s="4"/>
      <c r="Y15328" s="4"/>
    </row>
    <row r="15329" spans="5:25">
      <c r="E15329"/>
      <c r="G15329"/>
      <c r="H15329"/>
      <c r="I15329"/>
      <c r="K15329"/>
      <c r="O15329"/>
      <c r="R15329"/>
      <c r="W15329" s="4"/>
      <c r="X15329" s="4"/>
      <c r="Y15329" s="4"/>
    </row>
    <row r="15330" spans="5:25">
      <c r="E15330"/>
      <c r="G15330"/>
      <c r="H15330"/>
      <c r="I15330"/>
      <c r="K15330"/>
      <c r="O15330"/>
      <c r="R15330"/>
      <c r="W15330" s="4"/>
      <c r="X15330" s="4"/>
      <c r="Y15330" s="4"/>
    </row>
    <row r="15331" spans="5:25">
      <c r="E15331"/>
      <c r="G15331"/>
      <c r="H15331"/>
      <c r="I15331"/>
      <c r="K15331"/>
      <c r="O15331"/>
      <c r="R15331"/>
      <c r="W15331" s="4"/>
      <c r="X15331" s="4"/>
      <c r="Y15331" s="4"/>
    </row>
    <row r="15332" spans="5:25">
      <c r="E15332"/>
      <c r="G15332"/>
      <c r="H15332"/>
      <c r="I15332"/>
      <c r="K15332"/>
      <c r="O15332"/>
      <c r="R15332"/>
      <c r="W15332" s="4"/>
      <c r="X15332" s="4"/>
      <c r="Y15332" s="4"/>
    </row>
    <row r="15333" spans="5:25">
      <c r="E15333"/>
      <c r="G15333"/>
      <c r="H15333"/>
      <c r="I15333"/>
      <c r="K15333"/>
      <c r="O15333"/>
      <c r="R15333"/>
      <c r="W15333" s="4"/>
      <c r="X15333" s="4"/>
      <c r="Y15333" s="4"/>
    </row>
    <row r="15334" spans="5:25">
      <c r="E15334"/>
      <c r="G15334"/>
      <c r="H15334"/>
      <c r="I15334"/>
      <c r="K15334"/>
      <c r="O15334"/>
      <c r="R15334"/>
      <c r="W15334" s="4"/>
      <c r="X15334" s="4"/>
      <c r="Y15334" s="4"/>
    </row>
    <row r="15335" spans="5:25">
      <c r="E15335"/>
      <c r="G15335"/>
      <c r="H15335"/>
      <c r="I15335"/>
      <c r="K15335"/>
      <c r="O15335"/>
      <c r="R15335"/>
      <c r="W15335" s="4"/>
      <c r="X15335" s="4"/>
      <c r="Y15335" s="4"/>
    </row>
    <row r="15336" spans="5:25">
      <c r="E15336"/>
      <c r="G15336"/>
      <c r="H15336"/>
      <c r="I15336"/>
      <c r="K15336"/>
      <c r="O15336"/>
      <c r="R15336"/>
      <c r="W15336" s="4"/>
      <c r="X15336" s="4"/>
      <c r="Y15336" s="4"/>
    </row>
    <row r="15337" spans="5:25">
      <c r="E15337"/>
      <c r="G15337"/>
      <c r="H15337"/>
      <c r="I15337"/>
      <c r="K15337"/>
      <c r="O15337"/>
      <c r="R15337"/>
      <c r="W15337" s="4"/>
      <c r="X15337" s="4"/>
      <c r="Y15337" s="4"/>
    </row>
    <row r="15338" spans="5:25">
      <c r="E15338"/>
      <c r="G15338"/>
      <c r="H15338"/>
      <c r="I15338"/>
      <c r="K15338"/>
      <c r="O15338"/>
      <c r="R15338"/>
      <c r="W15338" s="4"/>
      <c r="X15338" s="4"/>
      <c r="Y15338" s="4"/>
    </row>
    <row r="15339" spans="5:25">
      <c r="E15339"/>
      <c r="G15339"/>
      <c r="H15339"/>
      <c r="I15339"/>
      <c r="K15339"/>
      <c r="O15339"/>
      <c r="R15339"/>
      <c r="W15339" s="4"/>
      <c r="X15339" s="4"/>
      <c r="Y15339" s="4"/>
    </row>
    <row r="15340" spans="5:25">
      <c r="E15340"/>
      <c r="G15340"/>
      <c r="H15340"/>
      <c r="I15340"/>
      <c r="K15340"/>
      <c r="O15340"/>
      <c r="R15340"/>
      <c r="W15340" s="4"/>
      <c r="X15340" s="4"/>
      <c r="Y15340" s="4"/>
    </row>
    <row r="15341" spans="5:25">
      <c r="E15341"/>
      <c r="G15341"/>
      <c r="H15341"/>
      <c r="I15341"/>
      <c r="K15341"/>
      <c r="O15341"/>
      <c r="R15341"/>
      <c r="W15341" s="4"/>
      <c r="X15341" s="4"/>
      <c r="Y15341" s="4"/>
    </row>
    <row r="15342" spans="5:25">
      <c r="E15342"/>
      <c r="G15342"/>
      <c r="H15342"/>
      <c r="I15342"/>
      <c r="K15342"/>
      <c r="O15342"/>
      <c r="R15342"/>
      <c r="W15342" s="4"/>
      <c r="X15342" s="4"/>
      <c r="Y15342" s="4"/>
    </row>
    <row r="15343" spans="5:25">
      <c r="E15343"/>
      <c r="G15343"/>
      <c r="H15343"/>
      <c r="I15343"/>
      <c r="K15343"/>
      <c r="O15343"/>
      <c r="R15343"/>
      <c r="W15343" s="4"/>
      <c r="X15343" s="4"/>
      <c r="Y15343" s="4"/>
    </row>
    <row r="15344" spans="5:25">
      <c r="E15344"/>
      <c r="G15344"/>
      <c r="H15344"/>
      <c r="I15344"/>
      <c r="K15344"/>
      <c r="O15344"/>
      <c r="R15344"/>
      <c r="W15344" s="4"/>
      <c r="X15344" s="4"/>
      <c r="Y15344" s="4"/>
    </row>
    <row r="15345" spans="5:25">
      <c r="E15345"/>
      <c r="G15345"/>
      <c r="H15345"/>
      <c r="I15345"/>
      <c r="K15345"/>
      <c r="O15345"/>
      <c r="R15345"/>
      <c r="W15345" s="4"/>
      <c r="X15345" s="4"/>
      <c r="Y15345" s="4"/>
    </row>
    <row r="15346" spans="5:25">
      <c r="E15346"/>
      <c r="G15346"/>
      <c r="H15346"/>
      <c r="I15346"/>
      <c r="K15346"/>
      <c r="O15346"/>
      <c r="R15346"/>
      <c r="W15346" s="4"/>
      <c r="X15346" s="4"/>
      <c r="Y15346" s="4"/>
    </row>
    <row r="15347" spans="5:25">
      <c r="E15347"/>
      <c r="G15347"/>
      <c r="H15347"/>
      <c r="I15347"/>
      <c r="K15347"/>
      <c r="O15347"/>
      <c r="R15347"/>
      <c r="W15347" s="4"/>
      <c r="X15347" s="4"/>
      <c r="Y15347" s="4"/>
    </row>
    <row r="15348" spans="5:25">
      <c r="E15348"/>
      <c r="G15348"/>
      <c r="H15348"/>
      <c r="I15348"/>
      <c r="K15348"/>
      <c r="O15348"/>
      <c r="R15348"/>
      <c r="W15348" s="4"/>
      <c r="X15348" s="4"/>
      <c r="Y15348" s="4"/>
    </row>
    <row r="15349" spans="5:25">
      <c r="E15349"/>
      <c r="G15349"/>
      <c r="H15349"/>
      <c r="I15349"/>
      <c r="K15349"/>
      <c r="O15349"/>
      <c r="R15349"/>
      <c r="W15349" s="4"/>
      <c r="X15349" s="4"/>
      <c r="Y15349" s="4"/>
    </row>
    <row r="15350" spans="5:25">
      <c r="E15350"/>
      <c r="G15350"/>
      <c r="H15350"/>
      <c r="I15350"/>
      <c r="K15350"/>
      <c r="O15350"/>
      <c r="R15350"/>
      <c r="W15350" s="4"/>
      <c r="X15350" s="4"/>
      <c r="Y15350" s="4"/>
    </row>
    <row r="15351" spans="5:25">
      <c r="E15351"/>
      <c r="G15351"/>
      <c r="H15351"/>
      <c r="I15351"/>
      <c r="K15351"/>
      <c r="O15351"/>
      <c r="R15351"/>
      <c r="W15351" s="4"/>
      <c r="X15351" s="4"/>
      <c r="Y15351" s="4"/>
    </row>
    <row r="15352" spans="5:25">
      <c r="E15352"/>
      <c r="G15352"/>
      <c r="H15352"/>
      <c r="I15352"/>
      <c r="K15352"/>
      <c r="O15352"/>
      <c r="R15352"/>
      <c r="W15352" s="4"/>
      <c r="X15352" s="4"/>
      <c r="Y15352" s="4"/>
    </row>
    <row r="15353" spans="5:25">
      <c r="E15353"/>
      <c r="G15353"/>
      <c r="H15353"/>
      <c r="I15353"/>
      <c r="K15353"/>
      <c r="O15353"/>
      <c r="R15353"/>
      <c r="W15353" s="4"/>
      <c r="X15353" s="4"/>
      <c r="Y15353" s="4"/>
    </row>
    <row r="15354" spans="5:25">
      <c r="E15354"/>
      <c r="G15354"/>
      <c r="H15354"/>
      <c r="I15354"/>
      <c r="K15354"/>
      <c r="O15354"/>
      <c r="R15354"/>
      <c r="W15354" s="4"/>
      <c r="X15354" s="4"/>
      <c r="Y15354" s="4"/>
    </row>
    <row r="15355" spans="5:25">
      <c r="E15355"/>
      <c r="G15355"/>
      <c r="H15355"/>
      <c r="I15355"/>
      <c r="K15355"/>
      <c r="O15355"/>
      <c r="R15355"/>
      <c r="W15355" s="4"/>
      <c r="X15355" s="4"/>
      <c r="Y15355" s="4"/>
    </row>
    <row r="15356" spans="5:25">
      <c r="E15356"/>
      <c r="G15356"/>
      <c r="H15356"/>
      <c r="I15356"/>
      <c r="K15356"/>
      <c r="O15356"/>
      <c r="R15356"/>
      <c r="W15356" s="4"/>
      <c r="X15356" s="4"/>
      <c r="Y15356" s="4"/>
    </row>
    <row r="15357" spans="5:25">
      <c r="E15357"/>
      <c r="G15357"/>
      <c r="H15357"/>
      <c r="I15357"/>
      <c r="K15357"/>
      <c r="O15357"/>
      <c r="R15357"/>
      <c r="W15357" s="4"/>
      <c r="X15357" s="4"/>
      <c r="Y15357" s="4"/>
    </row>
    <row r="15358" spans="5:25">
      <c r="E15358"/>
      <c r="G15358"/>
      <c r="H15358"/>
      <c r="I15358"/>
      <c r="K15358"/>
      <c r="O15358"/>
      <c r="R15358"/>
      <c r="W15358" s="4"/>
      <c r="X15358" s="4"/>
      <c r="Y15358" s="4"/>
    </row>
    <row r="15359" spans="5:25">
      <c r="E15359"/>
      <c r="G15359"/>
      <c r="H15359"/>
      <c r="I15359"/>
      <c r="K15359"/>
      <c r="O15359"/>
      <c r="R15359"/>
      <c r="W15359" s="4"/>
      <c r="X15359" s="4"/>
      <c r="Y15359" s="4"/>
    </row>
    <row r="15360" spans="5:25">
      <c r="E15360"/>
      <c r="G15360"/>
      <c r="H15360"/>
      <c r="I15360"/>
      <c r="K15360"/>
      <c r="O15360"/>
      <c r="R15360"/>
      <c r="W15360" s="4"/>
      <c r="X15360" s="4"/>
      <c r="Y15360" s="4"/>
    </row>
    <row r="15361" spans="5:25">
      <c r="E15361"/>
      <c r="G15361"/>
      <c r="H15361"/>
      <c r="I15361"/>
      <c r="K15361"/>
      <c r="O15361"/>
      <c r="R15361"/>
      <c r="W15361" s="4"/>
      <c r="X15361" s="4"/>
      <c r="Y15361" s="4"/>
    </row>
    <row r="15362" spans="5:25">
      <c r="E15362"/>
      <c r="G15362"/>
      <c r="H15362"/>
      <c r="I15362"/>
      <c r="K15362"/>
      <c r="O15362"/>
      <c r="R15362"/>
      <c r="W15362" s="4"/>
      <c r="X15362" s="4"/>
      <c r="Y15362" s="4"/>
    </row>
    <row r="15363" spans="5:25">
      <c r="E15363"/>
      <c r="G15363"/>
      <c r="H15363"/>
      <c r="I15363"/>
      <c r="K15363"/>
      <c r="O15363"/>
      <c r="R15363"/>
      <c r="W15363" s="4"/>
      <c r="X15363" s="4"/>
      <c r="Y15363" s="4"/>
    </row>
    <row r="15364" spans="5:25">
      <c r="E15364"/>
      <c r="G15364"/>
      <c r="H15364"/>
      <c r="I15364"/>
      <c r="K15364"/>
      <c r="O15364"/>
      <c r="R15364"/>
      <c r="W15364" s="4"/>
      <c r="X15364" s="4"/>
      <c r="Y15364" s="4"/>
    </row>
    <row r="15365" spans="5:25">
      <c r="E15365"/>
      <c r="G15365"/>
      <c r="H15365"/>
      <c r="I15365"/>
      <c r="K15365"/>
      <c r="O15365"/>
      <c r="R15365"/>
      <c r="W15365" s="4"/>
      <c r="X15365" s="4"/>
      <c r="Y15365" s="4"/>
    </row>
    <row r="15366" spans="5:25">
      <c r="E15366"/>
      <c r="G15366"/>
      <c r="H15366"/>
      <c r="I15366"/>
      <c r="K15366"/>
      <c r="O15366"/>
      <c r="R15366"/>
      <c r="W15366" s="4"/>
      <c r="X15366" s="4"/>
      <c r="Y15366" s="4"/>
    </row>
    <row r="15367" spans="5:25">
      <c r="E15367"/>
      <c r="G15367"/>
      <c r="H15367"/>
      <c r="I15367"/>
      <c r="K15367"/>
      <c r="O15367"/>
      <c r="R15367"/>
      <c r="W15367" s="4"/>
      <c r="X15367" s="4"/>
      <c r="Y15367" s="4"/>
    </row>
    <row r="15368" spans="5:25">
      <c r="E15368"/>
      <c r="G15368"/>
      <c r="H15368"/>
      <c r="I15368"/>
      <c r="K15368"/>
      <c r="O15368"/>
      <c r="R15368"/>
      <c r="W15368" s="4"/>
      <c r="X15368" s="4"/>
      <c r="Y15368" s="4"/>
    </row>
    <row r="15369" spans="5:25">
      <c r="E15369"/>
      <c r="G15369"/>
      <c r="H15369"/>
      <c r="I15369"/>
      <c r="K15369"/>
      <c r="O15369"/>
      <c r="R15369"/>
      <c r="W15369" s="4"/>
      <c r="X15369" s="4"/>
      <c r="Y15369" s="4"/>
    </row>
    <row r="15370" spans="5:25">
      <c r="E15370"/>
      <c r="G15370"/>
      <c r="H15370"/>
      <c r="I15370"/>
      <c r="K15370"/>
      <c r="O15370"/>
      <c r="R15370"/>
      <c r="W15370" s="4"/>
      <c r="X15370" s="4"/>
      <c r="Y15370" s="4"/>
    </row>
    <row r="15371" spans="5:25">
      <c r="E15371"/>
      <c r="G15371"/>
      <c r="H15371"/>
      <c r="I15371"/>
      <c r="K15371"/>
      <c r="O15371"/>
      <c r="R15371"/>
      <c r="W15371" s="4"/>
      <c r="X15371" s="4"/>
      <c r="Y15371" s="4"/>
    </row>
    <row r="15372" spans="5:25">
      <c r="E15372"/>
      <c r="G15372"/>
      <c r="H15372"/>
      <c r="I15372"/>
      <c r="K15372"/>
      <c r="O15372"/>
      <c r="R15372"/>
      <c r="W15372" s="4"/>
      <c r="X15372" s="4"/>
      <c r="Y15372" s="4"/>
    </row>
    <row r="15373" spans="5:25">
      <c r="E15373"/>
      <c r="G15373"/>
      <c r="H15373"/>
      <c r="I15373"/>
      <c r="K15373"/>
      <c r="O15373"/>
      <c r="R15373"/>
      <c r="W15373" s="4"/>
      <c r="X15373" s="4"/>
      <c r="Y15373" s="4"/>
    </row>
    <row r="15374" spans="5:25">
      <c r="E15374"/>
      <c r="G15374"/>
      <c r="H15374"/>
      <c r="I15374"/>
      <c r="K15374"/>
      <c r="O15374"/>
      <c r="R15374"/>
      <c r="W15374" s="4"/>
      <c r="X15374" s="4"/>
      <c r="Y15374" s="4"/>
    </row>
    <row r="15375" spans="5:25">
      <c r="E15375"/>
      <c r="G15375"/>
      <c r="H15375"/>
      <c r="I15375"/>
      <c r="K15375"/>
      <c r="O15375"/>
      <c r="R15375"/>
      <c r="W15375" s="4"/>
      <c r="X15375" s="4"/>
      <c r="Y15375" s="4"/>
    </row>
    <row r="15376" spans="5:25">
      <c r="E15376"/>
      <c r="G15376"/>
      <c r="H15376"/>
      <c r="I15376"/>
      <c r="K15376"/>
      <c r="O15376"/>
      <c r="R15376"/>
      <c r="W15376" s="4"/>
      <c r="X15376" s="4"/>
      <c r="Y15376" s="4"/>
    </row>
    <row r="15377" spans="5:25">
      <c r="E15377"/>
      <c r="G15377"/>
      <c r="H15377"/>
      <c r="I15377"/>
      <c r="K15377"/>
      <c r="O15377"/>
      <c r="R15377"/>
      <c r="W15377" s="4"/>
      <c r="X15377" s="4"/>
      <c r="Y15377" s="4"/>
    </row>
    <row r="15378" spans="5:25">
      <c r="E15378"/>
      <c r="G15378"/>
      <c r="H15378"/>
      <c r="I15378"/>
      <c r="K15378"/>
      <c r="O15378"/>
      <c r="R15378"/>
      <c r="W15378" s="4"/>
      <c r="X15378" s="4"/>
      <c r="Y15378" s="4"/>
    </row>
    <row r="15379" spans="5:25">
      <c r="E15379"/>
      <c r="G15379"/>
      <c r="H15379"/>
      <c r="I15379"/>
      <c r="K15379"/>
      <c r="O15379"/>
      <c r="R15379"/>
      <c r="W15379" s="4"/>
      <c r="X15379" s="4"/>
      <c r="Y15379" s="4"/>
    </row>
    <row r="15380" spans="5:25">
      <c r="E15380"/>
      <c r="G15380"/>
      <c r="H15380"/>
      <c r="I15380"/>
      <c r="K15380"/>
      <c r="O15380"/>
      <c r="R15380"/>
      <c r="W15380" s="4"/>
      <c r="X15380" s="4"/>
      <c r="Y15380" s="4"/>
    </row>
    <row r="15381" spans="5:25">
      <c r="E15381"/>
      <c r="G15381"/>
      <c r="H15381"/>
      <c r="I15381"/>
      <c r="K15381"/>
      <c r="O15381"/>
      <c r="R15381"/>
      <c r="W15381" s="4"/>
      <c r="X15381" s="4"/>
      <c r="Y15381" s="4"/>
    </row>
    <row r="15382" spans="5:25">
      <c r="E15382"/>
      <c r="G15382"/>
      <c r="H15382"/>
      <c r="I15382"/>
      <c r="K15382"/>
      <c r="O15382"/>
      <c r="R15382"/>
      <c r="W15382" s="4"/>
      <c r="X15382" s="4"/>
      <c r="Y15382" s="4"/>
    </row>
    <row r="15383" spans="5:25">
      <c r="E15383"/>
      <c r="G15383"/>
      <c r="H15383"/>
      <c r="I15383"/>
      <c r="K15383"/>
      <c r="O15383"/>
      <c r="R15383"/>
      <c r="W15383" s="4"/>
      <c r="X15383" s="4"/>
      <c r="Y15383" s="4"/>
    </row>
    <row r="15384" spans="5:25">
      <c r="E15384"/>
      <c r="G15384"/>
      <c r="H15384"/>
      <c r="I15384"/>
      <c r="K15384"/>
      <c r="O15384"/>
      <c r="R15384"/>
      <c r="W15384" s="4"/>
      <c r="X15384" s="4"/>
      <c r="Y15384" s="4"/>
    </row>
    <row r="15385" spans="5:25">
      <c r="E15385"/>
      <c r="G15385"/>
      <c r="H15385"/>
      <c r="I15385"/>
      <c r="K15385"/>
      <c r="O15385"/>
      <c r="R15385"/>
      <c r="W15385" s="4"/>
      <c r="X15385" s="4"/>
      <c r="Y15385" s="4"/>
    </row>
    <row r="15386" spans="5:25">
      <c r="E15386"/>
      <c r="G15386"/>
      <c r="H15386"/>
      <c r="I15386"/>
      <c r="K15386"/>
      <c r="O15386"/>
      <c r="R15386"/>
      <c r="W15386" s="4"/>
      <c r="X15386" s="4"/>
      <c r="Y15386" s="4"/>
    </row>
    <row r="15387" spans="5:25">
      <c r="E15387"/>
      <c r="G15387"/>
      <c r="H15387"/>
      <c r="I15387"/>
      <c r="K15387"/>
      <c r="O15387"/>
      <c r="R15387"/>
      <c r="W15387" s="4"/>
      <c r="X15387" s="4"/>
      <c r="Y15387" s="4"/>
    </row>
    <row r="15388" spans="5:25">
      <c r="E15388"/>
      <c r="G15388"/>
      <c r="H15388"/>
      <c r="I15388"/>
      <c r="K15388"/>
      <c r="O15388"/>
      <c r="R15388"/>
      <c r="W15388" s="4"/>
      <c r="X15388" s="4"/>
      <c r="Y15388" s="4"/>
    </row>
    <row r="15389" spans="5:25">
      <c r="E15389"/>
      <c r="G15389"/>
      <c r="H15389"/>
      <c r="I15389"/>
      <c r="K15389"/>
      <c r="O15389"/>
      <c r="R15389"/>
      <c r="W15389" s="4"/>
      <c r="X15389" s="4"/>
      <c r="Y15389" s="4"/>
    </row>
    <row r="15390" spans="5:25">
      <c r="E15390"/>
      <c r="G15390"/>
      <c r="H15390"/>
      <c r="I15390"/>
      <c r="K15390"/>
      <c r="O15390"/>
      <c r="R15390"/>
      <c r="W15390" s="4"/>
      <c r="X15390" s="4"/>
      <c r="Y15390" s="4"/>
    </row>
    <row r="15391" spans="5:25">
      <c r="E15391"/>
      <c r="G15391"/>
      <c r="H15391"/>
      <c r="I15391"/>
      <c r="K15391"/>
      <c r="O15391"/>
      <c r="R15391"/>
      <c r="W15391" s="4"/>
      <c r="X15391" s="4"/>
      <c r="Y15391" s="4"/>
    </row>
    <row r="15392" spans="5:25">
      <c r="E15392"/>
      <c r="G15392"/>
      <c r="H15392"/>
      <c r="I15392"/>
      <c r="K15392"/>
      <c r="O15392"/>
      <c r="R15392"/>
      <c r="W15392" s="4"/>
      <c r="X15392" s="4"/>
      <c r="Y15392" s="4"/>
    </row>
    <row r="15393" spans="5:25">
      <c r="E15393"/>
      <c r="G15393"/>
      <c r="H15393"/>
      <c r="I15393"/>
      <c r="K15393"/>
      <c r="O15393"/>
      <c r="R15393"/>
      <c r="W15393" s="4"/>
      <c r="X15393" s="4"/>
      <c r="Y15393" s="4"/>
    </row>
    <row r="15394" spans="5:25">
      <c r="E15394"/>
      <c r="G15394"/>
      <c r="H15394"/>
      <c r="I15394"/>
      <c r="K15394"/>
      <c r="O15394"/>
      <c r="R15394"/>
      <c r="W15394" s="4"/>
      <c r="X15394" s="4"/>
      <c r="Y15394" s="4"/>
    </row>
    <row r="15395" spans="5:25">
      <c r="E15395"/>
      <c r="G15395"/>
      <c r="H15395"/>
      <c r="I15395"/>
      <c r="K15395"/>
      <c r="O15395"/>
      <c r="R15395"/>
      <c r="W15395" s="4"/>
      <c r="X15395" s="4"/>
      <c r="Y15395" s="4"/>
    </row>
    <row r="15396" spans="5:25">
      <c r="E15396"/>
      <c r="G15396"/>
      <c r="H15396"/>
      <c r="I15396"/>
      <c r="K15396"/>
      <c r="O15396"/>
      <c r="R15396"/>
      <c r="W15396" s="4"/>
      <c r="X15396" s="4"/>
      <c r="Y15396" s="4"/>
    </row>
    <row r="15397" spans="5:25">
      <c r="E15397"/>
      <c r="G15397"/>
      <c r="H15397"/>
      <c r="I15397"/>
      <c r="K15397"/>
      <c r="O15397"/>
      <c r="R15397"/>
      <c r="W15397" s="4"/>
      <c r="X15397" s="4"/>
      <c r="Y15397" s="4"/>
    </row>
    <row r="15398" spans="5:25">
      <c r="E15398"/>
      <c r="G15398"/>
      <c r="H15398"/>
      <c r="I15398"/>
      <c r="K15398"/>
      <c r="O15398"/>
      <c r="R15398"/>
      <c r="W15398" s="4"/>
      <c r="X15398" s="4"/>
      <c r="Y15398" s="4"/>
    </row>
    <row r="15399" spans="5:25">
      <c r="E15399"/>
      <c r="G15399"/>
      <c r="H15399"/>
      <c r="I15399"/>
      <c r="K15399"/>
      <c r="O15399"/>
      <c r="R15399"/>
      <c r="W15399" s="4"/>
      <c r="X15399" s="4"/>
      <c r="Y15399" s="4"/>
    </row>
    <row r="15400" spans="5:25">
      <c r="E15400"/>
      <c r="G15400"/>
      <c r="H15400"/>
      <c r="I15400"/>
      <c r="K15400"/>
      <c r="O15400"/>
      <c r="R15400"/>
      <c r="W15400" s="4"/>
      <c r="X15400" s="4"/>
      <c r="Y15400" s="4"/>
    </row>
    <row r="15401" spans="5:25">
      <c r="E15401"/>
      <c r="G15401"/>
      <c r="H15401"/>
      <c r="I15401"/>
      <c r="K15401"/>
      <c r="O15401"/>
      <c r="R15401"/>
      <c r="W15401" s="4"/>
      <c r="X15401" s="4"/>
      <c r="Y15401" s="4"/>
    </row>
    <row r="15402" spans="5:25">
      <c r="E15402"/>
      <c r="G15402"/>
      <c r="H15402"/>
      <c r="I15402"/>
      <c r="K15402"/>
      <c r="O15402"/>
      <c r="R15402"/>
      <c r="W15402" s="4"/>
      <c r="X15402" s="4"/>
      <c r="Y15402" s="4"/>
    </row>
    <row r="15403" spans="5:25">
      <c r="E15403"/>
      <c r="G15403"/>
      <c r="H15403"/>
      <c r="I15403"/>
      <c r="K15403"/>
      <c r="O15403"/>
      <c r="R15403"/>
      <c r="W15403" s="4"/>
      <c r="X15403" s="4"/>
      <c r="Y15403" s="4"/>
    </row>
    <row r="15404" spans="5:25">
      <c r="E15404"/>
      <c r="G15404"/>
      <c r="H15404"/>
      <c r="I15404"/>
      <c r="K15404"/>
      <c r="O15404"/>
      <c r="R15404"/>
      <c r="W15404" s="4"/>
      <c r="X15404" s="4"/>
      <c r="Y15404" s="4"/>
    </row>
    <row r="15405" spans="5:25">
      <c r="E15405"/>
      <c r="G15405"/>
      <c r="H15405"/>
      <c r="I15405"/>
      <c r="K15405"/>
      <c r="O15405"/>
      <c r="R15405"/>
      <c r="W15405" s="4"/>
      <c r="X15405" s="4"/>
      <c r="Y15405" s="4"/>
    </row>
    <row r="15406" spans="5:25">
      <c r="E15406"/>
      <c r="G15406"/>
      <c r="H15406"/>
      <c r="I15406"/>
      <c r="K15406"/>
      <c r="O15406"/>
      <c r="R15406"/>
      <c r="W15406" s="4"/>
      <c r="X15406" s="4"/>
      <c r="Y15406" s="4"/>
    </row>
    <row r="15407" spans="5:25">
      <c r="E15407"/>
      <c r="G15407"/>
      <c r="H15407"/>
      <c r="I15407"/>
      <c r="K15407"/>
      <c r="O15407"/>
      <c r="R15407"/>
      <c r="W15407" s="4"/>
      <c r="X15407" s="4"/>
      <c r="Y15407" s="4"/>
    </row>
    <row r="15408" spans="5:25">
      <c r="E15408"/>
      <c r="G15408"/>
      <c r="H15408"/>
      <c r="I15408"/>
      <c r="K15408"/>
      <c r="O15408"/>
      <c r="R15408"/>
      <c r="W15408" s="4"/>
      <c r="X15408" s="4"/>
      <c r="Y15408" s="4"/>
    </row>
    <row r="15409" spans="5:25">
      <c r="E15409"/>
      <c r="G15409"/>
      <c r="H15409"/>
      <c r="I15409"/>
      <c r="K15409"/>
      <c r="O15409"/>
      <c r="R15409"/>
      <c r="W15409" s="4"/>
      <c r="X15409" s="4"/>
      <c r="Y15409" s="4"/>
    </row>
    <row r="15410" spans="5:25">
      <c r="E15410"/>
      <c r="G15410"/>
      <c r="H15410"/>
      <c r="I15410"/>
      <c r="K15410"/>
      <c r="O15410"/>
      <c r="R15410"/>
      <c r="W15410" s="4"/>
      <c r="X15410" s="4"/>
      <c r="Y15410" s="4"/>
    </row>
    <row r="15411" spans="5:25">
      <c r="E15411"/>
      <c r="G15411"/>
      <c r="H15411"/>
      <c r="I15411"/>
      <c r="K15411"/>
      <c r="O15411"/>
      <c r="R15411"/>
      <c r="W15411" s="4"/>
      <c r="X15411" s="4"/>
      <c r="Y15411" s="4"/>
    </row>
    <row r="15412" spans="5:25">
      <c r="E15412"/>
      <c r="G15412"/>
      <c r="H15412"/>
      <c r="I15412"/>
      <c r="K15412"/>
      <c r="O15412"/>
      <c r="R15412"/>
      <c r="W15412" s="4"/>
      <c r="X15412" s="4"/>
      <c r="Y15412" s="4"/>
    </row>
    <row r="15413" spans="5:25">
      <c r="E15413"/>
      <c r="G15413"/>
      <c r="H15413"/>
      <c r="I15413"/>
      <c r="K15413"/>
      <c r="O15413"/>
      <c r="R15413"/>
      <c r="W15413" s="4"/>
      <c r="X15413" s="4"/>
      <c r="Y15413" s="4"/>
    </row>
    <row r="15414" spans="5:25">
      <c r="E15414"/>
      <c r="G15414"/>
      <c r="H15414"/>
      <c r="I15414"/>
      <c r="K15414"/>
      <c r="O15414"/>
      <c r="R15414"/>
      <c r="W15414" s="4"/>
      <c r="X15414" s="4"/>
      <c r="Y15414" s="4"/>
    </row>
    <row r="15415" spans="5:25">
      <c r="E15415"/>
      <c r="G15415"/>
      <c r="H15415"/>
      <c r="I15415"/>
      <c r="K15415"/>
      <c r="O15415"/>
      <c r="R15415"/>
      <c r="W15415" s="4"/>
      <c r="X15415" s="4"/>
      <c r="Y15415" s="4"/>
    </row>
    <row r="15416" spans="5:25">
      <c r="E15416"/>
      <c r="G15416"/>
      <c r="H15416"/>
      <c r="I15416"/>
      <c r="K15416"/>
      <c r="O15416"/>
      <c r="R15416"/>
      <c r="W15416" s="4"/>
      <c r="X15416" s="4"/>
      <c r="Y15416" s="4"/>
    </row>
    <row r="15417" spans="5:25">
      <c r="E15417"/>
      <c r="G15417"/>
      <c r="H15417"/>
      <c r="I15417"/>
      <c r="K15417"/>
      <c r="O15417"/>
      <c r="R15417"/>
      <c r="W15417" s="4"/>
      <c r="X15417" s="4"/>
      <c r="Y15417" s="4"/>
    </row>
    <row r="15418" spans="5:25">
      <c r="E15418"/>
      <c r="G15418"/>
      <c r="H15418"/>
      <c r="I15418"/>
      <c r="K15418"/>
      <c r="O15418"/>
      <c r="R15418"/>
      <c r="W15418" s="4"/>
      <c r="X15418" s="4"/>
      <c r="Y15418" s="4"/>
    </row>
    <row r="15419" spans="5:25">
      <c r="E15419"/>
      <c r="G15419"/>
      <c r="H15419"/>
      <c r="I15419"/>
      <c r="K15419"/>
      <c r="O15419"/>
      <c r="R15419"/>
      <c r="W15419" s="4"/>
      <c r="X15419" s="4"/>
      <c r="Y15419" s="4"/>
    </row>
    <row r="15420" spans="5:25">
      <c r="E15420"/>
      <c r="G15420"/>
      <c r="H15420"/>
      <c r="I15420"/>
      <c r="K15420"/>
      <c r="O15420"/>
      <c r="R15420"/>
      <c r="W15420" s="4"/>
      <c r="X15420" s="4"/>
      <c r="Y15420" s="4"/>
    </row>
    <row r="15421" spans="5:25">
      <c r="E15421"/>
      <c r="G15421"/>
      <c r="H15421"/>
      <c r="I15421"/>
      <c r="K15421"/>
      <c r="O15421"/>
      <c r="R15421"/>
      <c r="W15421" s="4"/>
      <c r="X15421" s="4"/>
      <c r="Y15421" s="4"/>
    </row>
    <row r="15422" spans="5:25">
      <c r="E15422"/>
      <c r="G15422"/>
      <c r="H15422"/>
      <c r="I15422"/>
      <c r="K15422"/>
      <c r="O15422"/>
      <c r="R15422"/>
      <c r="W15422" s="4"/>
      <c r="X15422" s="4"/>
      <c r="Y15422" s="4"/>
    </row>
    <row r="15423" spans="5:25">
      <c r="E15423"/>
      <c r="G15423"/>
      <c r="H15423"/>
      <c r="I15423"/>
      <c r="K15423"/>
      <c r="O15423"/>
      <c r="R15423"/>
      <c r="W15423" s="4"/>
      <c r="X15423" s="4"/>
      <c r="Y15423" s="4"/>
    </row>
    <row r="15424" spans="5:25">
      <c r="E15424"/>
      <c r="G15424"/>
      <c r="H15424"/>
      <c r="I15424"/>
      <c r="K15424"/>
      <c r="O15424"/>
      <c r="R15424"/>
      <c r="W15424" s="4"/>
      <c r="X15424" s="4"/>
      <c r="Y15424" s="4"/>
    </row>
    <row r="15425" spans="5:25">
      <c r="E15425"/>
      <c r="G15425"/>
      <c r="H15425"/>
      <c r="I15425"/>
      <c r="K15425"/>
      <c r="O15425"/>
      <c r="R15425"/>
      <c r="W15425" s="4"/>
      <c r="X15425" s="4"/>
      <c r="Y15425" s="4"/>
    </row>
    <row r="15426" spans="5:25">
      <c r="E15426"/>
      <c r="G15426"/>
      <c r="H15426"/>
      <c r="I15426"/>
      <c r="K15426"/>
      <c r="O15426"/>
      <c r="R15426"/>
      <c r="W15426" s="4"/>
      <c r="X15426" s="4"/>
      <c r="Y15426" s="4"/>
    </row>
    <row r="15427" spans="5:25">
      <c r="E15427"/>
      <c r="G15427"/>
      <c r="H15427"/>
      <c r="I15427"/>
      <c r="K15427"/>
      <c r="O15427"/>
      <c r="R15427"/>
      <c r="W15427" s="4"/>
      <c r="X15427" s="4"/>
      <c r="Y15427" s="4"/>
    </row>
    <row r="15428" spans="5:25">
      <c r="E15428"/>
      <c r="G15428"/>
      <c r="H15428"/>
      <c r="I15428"/>
      <c r="K15428"/>
      <c r="O15428"/>
      <c r="R15428"/>
      <c r="W15428" s="4"/>
      <c r="X15428" s="4"/>
      <c r="Y15428" s="4"/>
    </row>
    <row r="15429" spans="5:25">
      <c r="E15429"/>
      <c r="G15429"/>
      <c r="H15429"/>
      <c r="I15429"/>
      <c r="K15429"/>
      <c r="O15429"/>
      <c r="R15429"/>
      <c r="W15429" s="4"/>
      <c r="X15429" s="4"/>
      <c r="Y15429" s="4"/>
    </row>
    <row r="15430" spans="5:25">
      <c r="E15430"/>
      <c r="G15430"/>
      <c r="H15430"/>
      <c r="I15430"/>
      <c r="K15430"/>
      <c r="O15430"/>
      <c r="R15430"/>
      <c r="W15430" s="4"/>
      <c r="X15430" s="4"/>
      <c r="Y15430" s="4"/>
    </row>
    <row r="15431" spans="5:25">
      <c r="E15431"/>
      <c r="G15431"/>
      <c r="H15431"/>
      <c r="I15431"/>
      <c r="K15431"/>
      <c r="O15431"/>
      <c r="R15431"/>
      <c r="W15431" s="4"/>
      <c r="X15431" s="4"/>
      <c r="Y15431" s="4"/>
    </row>
    <row r="15432" spans="5:25">
      <c r="E15432"/>
      <c r="G15432"/>
      <c r="H15432"/>
      <c r="I15432"/>
      <c r="K15432"/>
      <c r="O15432"/>
      <c r="R15432"/>
      <c r="W15432" s="4"/>
      <c r="X15432" s="4"/>
      <c r="Y15432" s="4"/>
    </row>
    <row r="15433" spans="5:25">
      <c r="E15433"/>
      <c r="G15433"/>
      <c r="H15433"/>
      <c r="I15433"/>
      <c r="K15433"/>
      <c r="O15433"/>
      <c r="R15433"/>
      <c r="W15433" s="4"/>
      <c r="X15433" s="4"/>
      <c r="Y15433" s="4"/>
    </row>
    <row r="15434" spans="5:25">
      <c r="E15434"/>
      <c r="G15434"/>
      <c r="H15434"/>
      <c r="I15434"/>
      <c r="K15434"/>
      <c r="O15434"/>
      <c r="R15434"/>
      <c r="W15434" s="4"/>
      <c r="X15434" s="4"/>
      <c r="Y15434" s="4"/>
    </row>
    <row r="15435" spans="5:25">
      <c r="E15435"/>
      <c r="G15435"/>
      <c r="H15435"/>
      <c r="I15435"/>
      <c r="K15435"/>
      <c r="O15435"/>
      <c r="R15435"/>
      <c r="W15435" s="4"/>
      <c r="X15435" s="4"/>
      <c r="Y15435" s="4"/>
    </row>
    <row r="15436" spans="5:25">
      <c r="E15436"/>
      <c r="G15436"/>
      <c r="H15436"/>
      <c r="I15436"/>
      <c r="K15436"/>
      <c r="O15436"/>
      <c r="R15436"/>
      <c r="W15436" s="4"/>
      <c r="X15436" s="4"/>
      <c r="Y15436" s="4"/>
    </row>
    <row r="15437" spans="5:25">
      <c r="E15437"/>
      <c r="G15437"/>
      <c r="H15437"/>
      <c r="I15437"/>
      <c r="K15437"/>
      <c r="O15437"/>
      <c r="R15437"/>
      <c r="W15437" s="4"/>
      <c r="X15437" s="4"/>
      <c r="Y15437" s="4"/>
    </row>
    <row r="15438" spans="5:25">
      <c r="E15438"/>
      <c r="G15438"/>
      <c r="H15438"/>
      <c r="I15438"/>
      <c r="K15438"/>
      <c r="O15438"/>
      <c r="R15438"/>
      <c r="W15438" s="4"/>
      <c r="X15438" s="4"/>
      <c r="Y15438" s="4"/>
    </row>
    <row r="15439" spans="5:25">
      <c r="E15439"/>
      <c r="G15439"/>
      <c r="H15439"/>
      <c r="I15439"/>
      <c r="K15439"/>
      <c r="O15439"/>
      <c r="R15439"/>
      <c r="W15439" s="4"/>
      <c r="X15439" s="4"/>
      <c r="Y15439" s="4"/>
    </row>
    <row r="15440" spans="5:25">
      <c r="E15440"/>
      <c r="G15440"/>
      <c r="H15440"/>
      <c r="I15440"/>
      <c r="K15440"/>
      <c r="O15440"/>
      <c r="R15440"/>
      <c r="W15440" s="4"/>
      <c r="X15440" s="4"/>
      <c r="Y15440" s="4"/>
    </row>
    <row r="15441" spans="5:25">
      <c r="E15441"/>
      <c r="G15441"/>
      <c r="H15441"/>
      <c r="I15441"/>
      <c r="K15441"/>
      <c r="O15441"/>
      <c r="R15441"/>
      <c r="W15441" s="4"/>
      <c r="X15441" s="4"/>
      <c r="Y15441" s="4"/>
    </row>
    <row r="15442" spans="5:25">
      <c r="E15442"/>
      <c r="G15442"/>
      <c r="H15442"/>
      <c r="I15442"/>
      <c r="K15442"/>
      <c r="O15442"/>
      <c r="R15442"/>
      <c r="W15442" s="4"/>
      <c r="X15442" s="4"/>
      <c r="Y15442" s="4"/>
    </row>
    <row r="15443" spans="5:25">
      <c r="E15443"/>
      <c r="G15443"/>
      <c r="H15443"/>
      <c r="I15443"/>
      <c r="K15443"/>
      <c r="O15443"/>
      <c r="R15443"/>
      <c r="W15443" s="4"/>
      <c r="X15443" s="4"/>
      <c r="Y15443" s="4"/>
    </row>
    <row r="15444" spans="5:25">
      <c r="E15444"/>
      <c r="G15444"/>
      <c r="H15444"/>
      <c r="I15444"/>
      <c r="K15444"/>
      <c r="O15444"/>
      <c r="R15444"/>
      <c r="W15444" s="4"/>
      <c r="X15444" s="4"/>
      <c r="Y15444" s="4"/>
    </row>
    <row r="15445" spans="5:25">
      <c r="E15445"/>
      <c r="G15445"/>
      <c r="H15445"/>
      <c r="I15445"/>
      <c r="K15445"/>
      <c r="O15445"/>
      <c r="R15445"/>
      <c r="W15445" s="4"/>
      <c r="X15445" s="4"/>
      <c r="Y15445" s="4"/>
    </row>
    <row r="15446" spans="5:25">
      <c r="E15446"/>
      <c r="G15446"/>
      <c r="H15446"/>
      <c r="I15446"/>
      <c r="K15446"/>
      <c r="O15446"/>
      <c r="R15446"/>
      <c r="W15446" s="4"/>
      <c r="X15446" s="4"/>
      <c r="Y15446" s="4"/>
    </row>
    <row r="15447" spans="5:25">
      <c r="E15447"/>
      <c r="G15447"/>
      <c r="H15447"/>
      <c r="I15447"/>
      <c r="K15447"/>
      <c r="O15447"/>
      <c r="R15447"/>
      <c r="W15447" s="4"/>
      <c r="X15447" s="4"/>
      <c r="Y15447" s="4"/>
    </row>
    <row r="15448" spans="5:25">
      <c r="E15448"/>
      <c r="G15448"/>
      <c r="H15448"/>
      <c r="I15448"/>
      <c r="K15448"/>
      <c r="O15448"/>
      <c r="R15448"/>
      <c r="W15448" s="4"/>
      <c r="X15448" s="4"/>
      <c r="Y15448" s="4"/>
    </row>
    <row r="15449" spans="5:25">
      <c r="E15449"/>
      <c r="G15449"/>
      <c r="H15449"/>
      <c r="I15449"/>
      <c r="K15449"/>
      <c r="O15449"/>
      <c r="R15449"/>
      <c r="W15449" s="4"/>
      <c r="X15449" s="4"/>
      <c r="Y15449" s="4"/>
    </row>
    <row r="15450" spans="5:25">
      <c r="E15450"/>
      <c r="G15450"/>
      <c r="H15450"/>
      <c r="I15450"/>
      <c r="K15450"/>
      <c r="O15450"/>
      <c r="R15450"/>
      <c r="W15450" s="4"/>
      <c r="X15450" s="4"/>
      <c r="Y15450" s="4"/>
    </row>
    <row r="15451" spans="5:25">
      <c r="E15451"/>
      <c r="G15451"/>
      <c r="H15451"/>
      <c r="I15451"/>
      <c r="K15451"/>
      <c r="O15451"/>
      <c r="R15451"/>
      <c r="W15451" s="4"/>
      <c r="X15451" s="4"/>
      <c r="Y15451" s="4"/>
    </row>
    <row r="15452" spans="5:25">
      <c r="E15452"/>
      <c r="G15452"/>
      <c r="H15452"/>
      <c r="I15452"/>
      <c r="K15452"/>
      <c r="O15452"/>
      <c r="R15452"/>
      <c r="W15452" s="4"/>
      <c r="X15452" s="4"/>
      <c r="Y15452" s="4"/>
    </row>
    <row r="15453" spans="5:25">
      <c r="E15453"/>
      <c r="G15453"/>
      <c r="H15453"/>
      <c r="I15453"/>
      <c r="K15453"/>
      <c r="O15453"/>
      <c r="R15453"/>
      <c r="W15453" s="4"/>
      <c r="X15453" s="4"/>
      <c r="Y15453" s="4"/>
    </row>
    <row r="15454" spans="5:25">
      <c r="E15454"/>
      <c r="G15454"/>
      <c r="H15454"/>
      <c r="I15454"/>
      <c r="K15454"/>
      <c r="O15454"/>
      <c r="R15454"/>
      <c r="W15454" s="4"/>
      <c r="X15454" s="4"/>
      <c r="Y15454" s="4"/>
    </row>
    <row r="15455" spans="5:25">
      <c r="E15455"/>
      <c r="G15455"/>
      <c r="H15455"/>
      <c r="I15455"/>
      <c r="K15455"/>
      <c r="O15455"/>
      <c r="R15455"/>
      <c r="W15455" s="4"/>
      <c r="X15455" s="4"/>
      <c r="Y15455" s="4"/>
    </row>
    <row r="15456" spans="5:25">
      <c r="E15456"/>
      <c r="G15456"/>
      <c r="H15456"/>
      <c r="I15456"/>
      <c r="K15456"/>
      <c r="O15456"/>
      <c r="R15456"/>
      <c r="W15456" s="4"/>
      <c r="X15456" s="4"/>
      <c r="Y15456" s="4"/>
    </row>
    <row r="15457" spans="5:25">
      <c r="E15457"/>
      <c r="G15457"/>
      <c r="H15457"/>
      <c r="I15457"/>
      <c r="K15457"/>
      <c r="O15457"/>
      <c r="R15457"/>
      <c r="W15457" s="4"/>
      <c r="X15457" s="4"/>
      <c r="Y15457" s="4"/>
    </row>
    <row r="15458" spans="5:25">
      <c r="E15458"/>
      <c r="G15458"/>
      <c r="H15458"/>
      <c r="I15458"/>
      <c r="K15458"/>
      <c r="O15458"/>
      <c r="R15458"/>
      <c r="W15458" s="4"/>
      <c r="X15458" s="4"/>
      <c r="Y15458" s="4"/>
    </row>
    <row r="15459" spans="5:25">
      <c r="E15459"/>
      <c r="G15459"/>
      <c r="H15459"/>
      <c r="I15459"/>
      <c r="K15459"/>
      <c r="O15459"/>
      <c r="R15459"/>
      <c r="W15459" s="4"/>
      <c r="X15459" s="4"/>
      <c r="Y15459" s="4"/>
    </row>
    <row r="15460" spans="5:25">
      <c r="E15460"/>
      <c r="G15460"/>
      <c r="H15460"/>
      <c r="I15460"/>
      <c r="K15460"/>
      <c r="O15460"/>
      <c r="R15460"/>
      <c r="W15460" s="4"/>
      <c r="X15460" s="4"/>
      <c r="Y15460" s="4"/>
    </row>
    <row r="15461" spans="5:25">
      <c r="E15461"/>
      <c r="G15461"/>
      <c r="H15461"/>
      <c r="I15461"/>
      <c r="K15461"/>
      <c r="O15461"/>
      <c r="R15461"/>
      <c r="W15461" s="4"/>
      <c r="X15461" s="4"/>
      <c r="Y15461" s="4"/>
    </row>
    <row r="15462" spans="5:25">
      <c r="E15462"/>
      <c r="G15462"/>
      <c r="H15462"/>
      <c r="I15462"/>
      <c r="K15462"/>
      <c r="O15462"/>
      <c r="R15462"/>
      <c r="W15462" s="4"/>
      <c r="X15462" s="4"/>
      <c r="Y15462" s="4"/>
    </row>
    <row r="15463" spans="5:25">
      <c r="E15463"/>
      <c r="G15463"/>
      <c r="H15463"/>
      <c r="I15463"/>
      <c r="K15463"/>
      <c r="O15463"/>
      <c r="R15463"/>
      <c r="W15463" s="4"/>
      <c r="X15463" s="4"/>
      <c r="Y15463" s="4"/>
    </row>
    <row r="15464" spans="5:25">
      <c r="E15464"/>
      <c r="G15464"/>
      <c r="H15464"/>
      <c r="I15464"/>
      <c r="K15464"/>
      <c r="O15464"/>
      <c r="R15464"/>
      <c r="W15464" s="4"/>
      <c r="X15464" s="4"/>
      <c r="Y15464" s="4"/>
    </row>
    <row r="15465" spans="5:25">
      <c r="E15465"/>
      <c r="G15465"/>
      <c r="H15465"/>
      <c r="I15465"/>
      <c r="K15465"/>
      <c r="O15465"/>
      <c r="R15465"/>
      <c r="W15465" s="4"/>
      <c r="X15465" s="4"/>
      <c r="Y15465" s="4"/>
    </row>
    <row r="15466" spans="5:25">
      <c r="E15466"/>
      <c r="G15466"/>
      <c r="H15466"/>
      <c r="I15466"/>
      <c r="K15466"/>
      <c r="O15466"/>
      <c r="R15466"/>
      <c r="W15466" s="4"/>
      <c r="X15466" s="4"/>
      <c r="Y15466" s="4"/>
    </row>
    <row r="15467" spans="5:25">
      <c r="E15467"/>
      <c r="G15467"/>
      <c r="H15467"/>
      <c r="I15467"/>
      <c r="K15467"/>
      <c r="O15467"/>
      <c r="R15467"/>
      <c r="W15467" s="4"/>
      <c r="X15467" s="4"/>
      <c r="Y15467" s="4"/>
    </row>
    <row r="15468" spans="5:25">
      <c r="E15468"/>
      <c r="G15468"/>
      <c r="H15468"/>
      <c r="I15468"/>
      <c r="K15468"/>
      <c r="O15468"/>
      <c r="R15468"/>
      <c r="W15468" s="4"/>
      <c r="X15468" s="4"/>
      <c r="Y15468" s="4"/>
    </row>
    <row r="15469" spans="5:25">
      <c r="E15469"/>
      <c r="G15469"/>
      <c r="H15469"/>
      <c r="I15469"/>
      <c r="K15469"/>
      <c r="O15469"/>
      <c r="R15469"/>
      <c r="W15469" s="4"/>
      <c r="X15469" s="4"/>
      <c r="Y15469" s="4"/>
    </row>
    <row r="15470" spans="5:25">
      <c r="E15470"/>
      <c r="G15470"/>
      <c r="H15470"/>
      <c r="I15470"/>
      <c r="K15470"/>
      <c r="O15470"/>
      <c r="R15470"/>
      <c r="W15470" s="4"/>
      <c r="X15470" s="4"/>
      <c r="Y15470" s="4"/>
    </row>
    <row r="15471" spans="5:25">
      <c r="E15471"/>
      <c r="G15471"/>
      <c r="H15471"/>
      <c r="I15471"/>
      <c r="K15471"/>
      <c r="O15471"/>
      <c r="R15471"/>
      <c r="W15471" s="4"/>
      <c r="X15471" s="4"/>
      <c r="Y15471" s="4"/>
    </row>
    <row r="15472" spans="5:25">
      <c r="E15472"/>
      <c r="G15472"/>
      <c r="H15472"/>
      <c r="I15472"/>
      <c r="K15472"/>
      <c r="O15472"/>
      <c r="R15472"/>
      <c r="W15472" s="4"/>
      <c r="X15472" s="4"/>
      <c r="Y15472" s="4"/>
    </row>
    <row r="15473" spans="5:25">
      <c r="E15473"/>
      <c r="G15473"/>
      <c r="H15473"/>
      <c r="I15473"/>
      <c r="K15473"/>
      <c r="O15473"/>
      <c r="R15473"/>
      <c r="W15473" s="4"/>
      <c r="X15473" s="4"/>
      <c r="Y15473" s="4"/>
    </row>
    <row r="15474" spans="5:25">
      <c r="E15474"/>
      <c r="G15474"/>
      <c r="H15474"/>
      <c r="I15474"/>
      <c r="K15474"/>
      <c r="O15474"/>
      <c r="R15474"/>
      <c r="W15474" s="4"/>
      <c r="X15474" s="4"/>
      <c r="Y15474" s="4"/>
    </row>
    <row r="15475" spans="5:25">
      <c r="E15475"/>
      <c r="G15475"/>
      <c r="H15475"/>
      <c r="I15475"/>
      <c r="K15475"/>
      <c r="O15475"/>
      <c r="R15475"/>
      <c r="W15475" s="4"/>
      <c r="X15475" s="4"/>
      <c r="Y15475" s="4"/>
    </row>
    <row r="15476" spans="5:25">
      <c r="E15476"/>
      <c r="G15476"/>
      <c r="H15476"/>
      <c r="I15476"/>
      <c r="K15476"/>
      <c r="O15476"/>
      <c r="R15476"/>
      <c r="W15476" s="4"/>
      <c r="X15476" s="4"/>
      <c r="Y15476" s="4"/>
    </row>
    <row r="15477" spans="5:25">
      <c r="E15477"/>
      <c r="G15477"/>
      <c r="H15477"/>
      <c r="I15477"/>
      <c r="K15477"/>
      <c r="O15477"/>
      <c r="R15477"/>
      <c r="W15477" s="4"/>
      <c r="X15477" s="4"/>
      <c r="Y15477" s="4"/>
    </row>
    <row r="15478" spans="5:25">
      <c r="E15478"/>
      <c r="G15478"/>
      <c r="H15478"/>
      <c r="I15478"/>
      <c r="K15478"/>
      <c r="O15478"/>
      <c r="R15478"/>
      <c r="W15478" s="4"/>
      <c r="X15478" s="4"/>
      <c r="Y15478" s="4"/>
    </row>
    <row r="15479" spans="5:25">
      <c r="E15479"/>
      <c r="G15479"/>
      <c r="H15479"/>
      <c r="I15479"/>
      <c r="K15479"/>
      <c r="O15479"/>
      <c r="R15479"/>
      <c r="W15479" s="4"/>
      <c r="X15479" s="4"/>
      <c r="Y15479" s="4"/>
    </row>
    <row r="15480" spans="5:25">
      <c r="E15480"/>
      <c r="G15480"/>
      <c r="H15480"/>
      <c r="I15480"/>
      <c r="K15480"/>
      <c r="O15480"/>
      <c r="R15480"/>
      <c r="W15480" s="4"/>
      <c r="X15480" s="4"/>
      <c r="Y15480" s="4"/>
    </row>
    <row r="15481" spans="5:25">
      <c r="E15481"/>
      <c r="G15481"/>
      <c r="H15481"/>
      <c r="I15481"/>
      <c r="K15481"/>
      <c r="O15481"/>
      <c r="R15481"/>
      <c r="W15481" s="4"/>
      <c r="X15481" s="4"/>
      <c r="Y15481" s="4"/>
    </row>
    <row r="15482" spans="5:25">
      <c r="E15482"/>
      <c r="G15482"/>
      <c r="H15482"/>
      <c r="I15482"/>
      <c r="K15482"/>
      <c r="O15482"/>
      <c r="R15482"/>
      <c r="W15482" s="4"/>
      <c r="X15482" s="4"/>
      <c r="Y15482" s="4"/>
    </row>
    <row r="15483" spans="5:25">
      <c r="E15483"/>
      <c r="G15483"/>
      <c r="H15483"/>
      <c r="I15483"/>
      <c r="K15483"/>
      <c r="O15483"/>
      <c r="R15483"/>
      <c r="W15483" s="4"/>
      <c r="X15483" s="4"/>
      <c r="Y15483" s="4"/>
    </row>
    <row r="15484" spans="5:25">
      <c r="E15484"/>
      <c r="G15484"/>
      <c r="H15484"/>
      <c r="I15484"/>
      <c r="K15484"/>
      <c r="O15484"/>
      <c r="R15484"/>
      <c r="W15484" s="4"/>
      <c r="X15484" s="4"/>
      <c r="Y15484" s="4"/>
    </row>
    <row r="15485" spans="5:25">
      <c r="E15485"/>
      <c r="G15485"/>
      <c r="H15485"/>
      <c r="I15485"/>
      <c r="K15485"/>
      <c r="O15485"/>
      <c r="R15485"/>
      <c r="W15485" s="4"/>
      <c r="X15485" s="4"/>
      <c r="Y15485" s="4"/>
    </row>
    <row r="15486" spans="5:25">
      <c r="E15486"/>
      <c r="G15486"/>
      <c r="H15486"/>
      <c r="I15486"/>
      <c r="K15486"/>
      <c r="O15486"/>
      <c r="R15486"/>
      <c r="W15486" s="4"/>
      <c r="X15486" s="4"/>
      <c r="Y15486" s="4"/>
    </row>
    <row r="15487" spans="5:25">
      <c r="E15487"/>
      <c r="G15487"/>
      <c r="H15487"/>
      <c r="I15487"/>
      <c r="K15487"/>
      <c r="O15487"/>
      <c r="R15487"/>
      <c r="W15487" s="4"/>
      <c r="X15487" s="4"/>
      <c r="Y15487" s="4"/>
    </row>
    <row r="15488" spans="5:25">
      <c r="E15488"/>
      <c r="G15488"/>
      <c r="H15488"/>
      <c r="I15488"/>
      <c r="K15488"/>
      <c r="O15488"/>
      <c r="R15488"/>
      <c r="W15488" s="4"/>
      <c r="X15488" s="4"/>
      <c r="Y15488" s="4"/>
    </row>
    <row r="15489" spans="5:25">
      <c r="E15489"/>
      <c r="G15489"/>
      <c r="H15489"/>
      <c r="I15489"/>
      <c r="K15489"/>
      <c r="O15489"/>
      <c r="R15489"/>
      <c r="W15489" s="4"/>
      <c r="X15489" s="4"/>
      <c r="Y15489" s="4"/>
    </row>
    <row r="15490" spans="5:25">
      <c r="E15490"/>
      <c r="G15490"/>
      <c r="H15490"/>
      <c r="I15490"/>
      <c r="K15490"/>
      <c r="O15490"/>
      <c r="R15490"/>
      <c r="W15490" s="4"/>
      <c r="X15490" s="4"/>
      <c r="Y15490" s="4"/>
    </row>
    <row r="15491" spans="5:25">
      <c r="E15491"/>
      <c r="G15491"/>
      <c r="H15491"/>
      <c r="I15491"/>
      <c r="K15491"/>
      <c r="O15491"/>
      <c r="R15491"/>
      <c r="W15491" s="4"/>
      <c r="X15491" s="4"/>
      <c r="Y15491" s="4"/>
    </row>
    <row r="15492" spans="5:25">
      <c r="E15492"/>
      <c r="G15492"/>
      <c r="H15492"/>
      <c r="I15492"/>
      <c r="K15492"/>
      <c r="O15492"/>
      <c r="R15492"/>
      <c r="W15492" s="4"/>
      <c r="X15492" s="4"/>
      <c r="Y15492" s="4"/>
    </row>
    <row r="15493" spans="5:25">
      <c r="E15493"/>
      <c r="G15493"/>
      <c r="H15493"/>
      <c r="I15493"/>
      <c r="K15493"/>
      <c r="O15493"/>
      <c r="R15493"/>
      <c r="W15493" s="4"/>
      <c r="X15493" s="4"/>
      <c r="Y15493" s="4"/>
    </row>
    <row r="15494" spans="5:25">
      <c r="E15494"/>
      <c r="G15494"/>
      <c r="H15494"/>
      <c r="I15494"/>
      <c r="K15494"/>
      <c r="O15494"/>
      <c r="R15494"/>
      <c r="W15494" s="4"/>
      <c r="X15494" s="4"/>
      <c r="Y15494" s="4"/>
    </row>
    <row r="15495" spans="5:25">
      <c r="E15495"/>
      <c r="G15495"/>
      <c r="H15495"/>
      <c r="I15495"/>
      <c r="K15495"/>
      <c r="O15495"/>
      <c r="R15495"/>
      <c r="W15495" s="4"/>
      <c r="X15495" s="4"/>
      <c r="Y15495" s="4"/>
    </row>
    <row r="15496" spans="5:25">
      <c r="E15496"/>
      <c r="G15496"/>
      <c r="H15496"/>
      <c r="I15496"/>
      <c r="K15496"/>
      <c r="O15496"/>
      <c r="R15496"/>
      <c r="W15496" s="4"/>
      <c r="X15496" s="4"/>
      <c r="Y15496" s="4"/>
    </row>
    <row r="15497" spans="5:25">
      <c r="E15497"/>
      <c r="G15497"/>
      <c r="H15497"/>
      <c r="I15497"/>
      <c r="K15497"/>
      <c r="O15497"/>
      <c r="R15497"/>
      <c r="W15497" s="4"/>
      <c r="X15497" s="4"/>
      <c r="Y15497" s="4"/>
    </row>
    <row r="15498" spans="5:25">
      <c r="E15498"/>
      <c r="G15498"/>
      <c r="H15498"/>
      <c r="I15498"/>
      <c r="K15498"/>
      <c r="O15498"/>
      <c r="R15498"/>
      <c r="W15498" s="4"/>
      <c r="X15498" s="4"/>
      <c r="Y15498" s="4"/>
    </row>
    <row r="15499" spans="5:25">
      <c r="E15499"/>
      <c r="G15499"/>
      <c r="H15499"/>
      <c r="I15499"/>
      <c r="K15499"/>
      <c r="O15499"/>
      <c r="R15499"/>
      <c r="W15499" s="4"/>
      <c r="X15499" s="4"/>
      <c r="Y15499" s="4"/>
    </row>
    <row r="15500" spans="5:25">
      <c r="E15500"/>
      <c r="G15500"/>
      <c r="H15500"/>
      <c r="I15500"/>
      <c r="K15500"/>
      <c r="O15500"/>
      <c r="R15500"/>
      <c r="W15500" s="4"/>
      <c r="X15500" s="4"/>
      <c r="Y15500" s="4"/>
    </row>
    <row r="15501" spans="5:25">
      <c r="E15501"/>
      <c r="G15501"/>
      <c r="H15501"/>
      <c r="I15501"/>
      <c r="K15501"/>
      <c r="O15501"/>
      <c r="R15501"/>
      <c r="W15501" s="4"/>
      <c r="X15501" s="4"/>
      <c r="Y15501" s="4"/>
    </row>
    <row r="15502" spans="5:25">
      <c r="E15502"/>
      <c r="G15502"/>
      <c r="H15502"/>
      <c r="I15502"/>
      <c r="K15502"/>
      <c r="O15502"/>
      <c r="R15502"/>
      <c r="W15502" s="4"/>
      <c r="X15502" s="4"/>
      <c r="Y15502" s="4"/>
    </row>
    <row r="15503" spans="5:25">
      <c r="E15503"/>
      <c r="G15503"/>
      <c r="H15503"/>
      <c r="I15503"/>
      <c r="K15503"/>
      <c r="O15503"/>
      <c r="R15503"/>
      <c r="W15503" s="4"/>
      <c r="X15503" s="4"/>
      <c r="Y15503" s="4"/>
    </row>
    <row r="15504" spans="5:25">
      <c r="E15504"/>
      <c r="G15504"/>
      <c r="H15504"/>
      <c r="I15504"/>
      <c r="K15504"/>
      <c r="O15504"/>
      <c r="R15504"/>
      <c r="W15504" s="4"/>
      <c r="X15504" s="4"/>
      <c r="Y15504" s="4"/>
    </row>
    <row r="15505" spans="5:25">
      <c r="E15505"/>
      <c r="G15505"/>
      <c r="H15505"/>
      <c r="I15505"/>
      <c r="K15505"/>
      <c r="O15505"/>
      <c r="R15505"/>
      <c r="W15505" s="4"/>
      <c r="X15505" s="4"/>
      <c r="Y15505" s="4"/>
    </row>
    <row r="15506" spans="5:25">
      <c r="E15506"/>
      <c r="G15506"/>
      <c r="H15506"/>
      <c r="I15506"/>
      <c r="K15506"/>
      <c r="O15506"/>
      <c r="R15506"/>
      <c r="W15506" s="4"/>
      <c r="X15506" s="4"/>
      <c r="Y15506" s="4"/>
    </row>
    <row r="15507" spans="5:25">
      <c r="E15507"/>
      <c r="G15507"/>
      <c r="H15507"/>
      <c r="I15507"/>
      <c r="K15507"/>
      <c r="O15507"/>
      <c r="R15507"/>
      <c r="W15507" s="4"/>
      <c r="X15507" s="4"/>
      <c r="Y15507" s="4"/>
    </row>
    <row r="15508" spans="5:25">
      <c r="E15508"/>
      <c r="G15508"/>
      <c r="H15508"/>
      <c r="I15508"/>
      <c r="K15508"/>
      <c r="O15508"/>
      <c r="R15508"/>
      <c r="W15508" s="4"/>
      <c r="X15508" s="4"/>
      <c r="Y15508" s="4"/>
    </row>
    <row r="15509" spans="5:25">
      <c r="E15509"/>
      <c r="G15509"/>
      <c r="H15509"/>
      <c r="I15509"/>
      <c r="K15509"/>
      <c r="O15509"/>
      <c r="R15509"/>
      <c r="W15509" s="4"/>
      <c r="X15509" s="4"/>
      <c r="Y15509" s="4"/>
    </row>
    <row r="15510" spans="5:25">
      <c r="E15510"/>
      <c r="G15510"/>
      <c r="H15510"/>
      <c r="I15510"/>
      <c r="K15510"/>
      <c r="O15510"/>
      <c r="R15510"/>
      <c r="W15510" s="4"/>
      <c r="X15510" s="4"/>
      <c r="Y15510" s="4"/>
    </row>
    <row r="15511" spans="5:25">
      <c r="E15511"/>
      <c r="G15511"/>
      <c r="H15511"/>
      <c r="I15511"/>
      <c r="K15511"/>
      <c r="O15511"/>
      <c r="R15511"/>
      <c r="W15511" s="4"/>
      <c r="X15511" s="4"/>
      <c r="Y15511" s="4"/>
    </row>
    <row r="15512" spans="5:25">
      <c r="E15512"/>
      <c r="G15512"/>
      <c r="H15512"/>
      <c r="I15512"/>
      <c r="K15512"/>
      <c r="O15512"/>
      <c r="R15512"/>
      <c r="W15512" s="4"/>
      <c r="X15512" s="4"/>
      <c r="Y15512" s="4"/>
    </row>
    <row r="15513" spans="5:25">
      <c r="E15513"/>
      <c r="G15513"/>
      <c r="H15513"/>
      <c r="I15513"/>
      <c r="K15513"/>
      <c r="O15513"/>
      <c r="R15513"/>
      <c r="W15513" s="4"/>
      <c r="X15513" s="4"/>
      <c r="Y15513" s="4"/>
    </row>
    <row r="15514" spans="5:25">
      <c r="E15514"/>
      <c r="G15514"/>
      <c r="H15514"/>
      <c r="I15514"/>
      <c r="K15514"/>
      <c r="O15514"/>
      <c r="R15514"/>
      <c r="W15514" s="4"/>
      <c r="X15514" s="4"/>
      <c r="Y15514" s="4"/>
    </row>
    <row r="15515" spans="5:25">
      <c r="E15515"/>
      <c r="G15515"/>
      <c r="H15515"/>
      <c r="I15515"/>
      <c r="K15515"/>
      <c r="O15515"/>
      <c r="R15515"/>
      <c r="W15515" s="4"/>
      <c r="X15515" s="4"/>
      <c r="Y15515" s="4"/>
    </row>
    <row r="15516" spans="5:25">
      <c r="E15516"/>
      <c r="G15516"/>
      <c r="H15516"/>
      <c r="I15516"/>
      <c r="K15516"/>
      <c r="O15516"/>
      <c r="R15516"/>
      <c r="W15516" s="4"/>
      <c r="X15516" s="4"/>
      <c r="Y15516" s="4"/>
    </row>
    <row r="15517" spans="5:25">
      <c r="E15517"/>
      <c r="G15517"/>
      <c r="H15517"/>
      <c r="I15517"/>
      <c r="K15517"/>
      <c r="O15517"/>
      <c r="R15517"/>
      <c r="W15517" s="4"/>
      <c r="X15517" s="4"/>
      <c r="Y15517" s="4"/>
    </row>
    <row r="15518" spans="5:25">
      <c r="E15518"/>
      <c r="G15518"/>
      <c r="H15518"/>
      <c r="I15518"/>
      <c r="K15518"/>
      <c r="O15518"/>
      <c r="R15518"/>
      <c r="W15518" s="4"/>
      <c r="X15518" s="4"/>
      <c r="Y15518" s="4"/>
    </row>
    <row r="15519" spans="5:25">
      <c r="E15519"/>
      <c r="G15519"/>
      <c r="H15519"/>
      <c r="I15519"/>
      <c r="K15519"/>
      <c r="O15519"/>
      <c r="R15519"/>
      <c r="W15519" s="4"/>
      <c r="X15519" s="4"/>
      <c r="Y15519" s="4"/>
    </row>
    <row r="15520" spans="5:25">
      <c r="E15520"/>
      <c r="G15520"/>
      <c r="H15520"/>
      <c r="I15520"/>
      <c r="K15520"/>
      <c r="O15520"/>
      <c r="R15520"/>
      <c r="W15520" s="4"/>
      <c r="X15520" s="4"/>
      <c r="Y15520" s="4"/>
    </row>
    <row r="15521" spans="5:25">
      <c r="E15521"/>
      <c r="G15521"/>
      <c r="H15521"/>
      <c r="I15521"/>
      <c r="K15521"/>
      <c r="O15521"/>
      <c r="R15521"/>
      <c r="W15521" s="4"/>
      <c r="X15521" s="4"/>
      <c r="Y15521" s="4"/>
    </row>
    <row r="15522" spans="5:25">
      <c r="E15522"/>
      <c r="G15522"/>
      <c r="H15522"/>
      <c r="I15522"/>
      <c r="K15522"/>
      <c r="O15522"/>
      <c r="R15522"/>
      <c r="W15522" s="4"/>
      <c r="X15522" s="4"/>
      <c r="Y15522" s="4"/>
    </row>
    <row r="15523" spans="5:25">
      <c r="E15523"/>
      <c r="G15523"/>
      <c r="H15523"/>
      <c r="I15523"/>
      <c r="K15523"/>
      <c r="O15523"/>
      <c r="R15523"/>
      <c r="W15523" s="4"/>
      <c r="X15523" s="4"/>
      <c r="Y15523" s="4"/>
    </row>
    <row r="15524" spans="5:25">
      <c r="E15524"/>
      <c r="G15524"/>
      <c r="H15524"/>
      <c r="I15524"/>
      <c r="K15524"/>
      <c r="O15524"/>
      <c r="R15524"/>
      <c r="W15524" s="4"/>
      <c r="X15524" s="4"/>
      <c r="Y15524" s="4"/>
    </row>
    <row r="15525" spans="5:25">
      <c r="E15525"/>
      <c r="G15525"/>
      <c r="H15525"/>
      <c r="I15525"/>
      <c r="K15525"/>
      <c r="O15525"/>
      <c r="R15525"/>
      <c r="W15525" s="4"/>
      <c r="X15525" s="4"/>
      <c r="Y15525" s="4"/>
    </row>
    <row r="15526" spans="5:25">
      <c r="E15526"/>
      <c r="G15526"/>
      <c r="H15526"/>
      <c r="I15526"/>
      <c r="K15526"/>
      <c r="O15526"/>
      <c r="R15526"/>
      <c r="W15526" s="4"/>
      <c r="X15526" s="4"/>
      <c r="Y15526" s="4"/>
    </row>
    <row r="15527" spans="5:25">
      <c r="E15527"/>
      <c r="G15527"/>
      <c r="H15527"/>
      <c r="I15527"/>
      <c r="K15527"/>
      <c r="O15527"/>
      <c r="R15527"/>
      <c r="W15527" s="4"/>
      <c r="X15527" s="4"/>
      <c r="Y15527" s="4"/>
    </row>
    <row r="15528" spans="5:25">
      <c r="E15528"/>
      <c r="G15528"/>
      <c r="H15528"/>
      <c r="I15528"/>
      <c r="K15528"/>
      <c r="O15528"/>
      <c r="R15528"/>
      <c r="W15528" s="4"/>
      <c r="X15528" s="4"/>
      <c r="Y15528" s="4"/>
    </row>
    <row r="15529" spans="5:25">
      <c r="E15529"/>
      <c r="G15529"/>
      <c r="H15529"/>
      <c r="I15529"/>
      <c r="K15529"/>
      <c r="O15529"/>
      <c r="R15529"/>
      <c r="W15529" s="4"/>
      <c r="X15529" s="4"/>
      <c r="Y15529" s="4"/>
    </row>
    <row r="15530" spans="5:25">
      <c r="E15530"/>
      <c r="G15530"/>
      <c r="H15530"/>
      <c r="I15530"/>
      <c r="K15530"/>
      <c r="O15530"/>
      <c r="R15530"/>
      <c r="W15530" s="4"/>
      <c r="X15530" s="4"/>
      <c r="Y15530" s="4"/>
    </row>
    <row r="15531" spans="5:25">
      <c r="E15531"/>
      <c r="G15531"/>
      <c r="H15531"/>
      <c r="I15531"/>
      <c r="K15531"/>
      <c r="O15531"/>
      <c r="R15531"/>
      <c r="W15531" s="4"/>
      <c r="X15531" s="4"/>
      <c r="Y15531" s="4"/>
    </row>
    <row r="15532" spans="5:25">
      <c r="E15532"/>
      <c r="G15532"/>
      <c r="H15532"/>
      <c r="I15532"/>
      <c r="K15532"/>
      <c r="O15532"/>
      <c r="R15532"/>
      <c r="W15532" s="4"/>
      <c r="X15532" s="4"/>
      <c r="Y15532" s="4"/>
    </row>
    <row r="15533" spans="5:25">
      <c r="E15533"/>
      <c r="G15533"/>
      <c r="H15533"/>
      <c r="I15533"/>
      <c r="K15533"/>
      <c r="O15533"/>
      <c r="R15533"/>
      <c r="W15533" s="4"/>
      <c r="X15533" s="4"/>
      <c r="Y15533" s="4"/>
    </row>
    <row r="15534" spans="5:25">
      <c r="E15534"/>
      <c r="G15534"/>
      <c r="H15534"/>
      <c r="I15534"/>
      <c r="K15534"/>
      <c r="O15534"/>
      <c r="R15534"/>
      <c r="W15534" s="4"/>
      <c r="X15534" s="4"/>
      <c r="Y15534" s="4"/>
    </row>
    <row r="15535" spans="5:25">
      <c r="E15535"/>
      <c r="G15535"/>
      <c r="H15535"/>
      <c r="I15535"/>
      <c r="K15535"/>
      <c r="O15535"/>
      <c r="R15535"/>
      <c r="W15535" s="4"/>
      <c r="X15535" s="4"/>
      <c r="Y15535" s="4"/>
    </row>
    <row r="15536" spans="5:25">
      <c r="E15536"/>
      <c r="G15536"/>
      <c r="H15536"/>
      <c r="I15536"/>
      <c r="K15536"/>
      <c r="O15536"/>
      <c r="R15536"/>
      <c r="W15536" s="4"/>
      <c r="X15536" s="4"/>
      <c r="Y15536" s="4"/>
    </row>
    <row r="15537" spans="5:25">
      <c r="E15537"/>
      <c r="G15537"/>
      <c r="H15537"/>
      <c r="I15537"/>
      <c r="K15537"/>
      <c r="O15537"/>
      <c r="R15537"/>
      <c r="W15537" s="4"/>
      <c r="X15537" s="4"/>
      <c r="Y15537" s="4"/>
    </row>
    <row r="15538" spans="5:25">
      <c r="E15538"/>
      <c r="G15538"/>
      <c r="H15538"/>
      <c r="I15538"/>
      <c r="K15538"/>
      <c r="O15538"/>
      <c r="R15538"/>
      <c r="W15538" s="4"/>
      <c r="X15538" s="4"/>
      <c r="Y15538" s="4"/>
    </row>
    <row r="15539" spans="5:25">
      <c r="E15539"/>
      <c r="G15539"/>
      <c r="H15539"/>
      <c r="I15539"/>
      <c r="K15539"/>
      <c r="O15539"/>
      <c r="R15539"/>
      <c r="W15539" s="4"/>
      <c r="X15539" s="4"/>
      <c r="Y15539" s="4"/>
    </row>
    <row r="15540" spans="5:25">
      <c r="E15540"/>
      <c r="G15540"/>
      <c r="H15540"/>
      <c r="I15540"/>
      <c r="K15540"/>
      <c r="O15540"/>
      <c r="R15540"/>
      <c r="W15540" s="4"/>
      <c r="X15540" s="4"/>
      <c r="Y15540" s="4"/>
    </row>
    <row r="15541" spans="5:25">
      <c r="E15541"/>
      <c r="G15541"/>
      <c r="H15541"/>
      <c r="I15541"/>
      <c r="K15541"/>
      <c r="O15541"/>
      <c r="R15541"/>
      <c r="W15541" s="4"/>
      <c r="X15541" s="4"/>
      <c r="Y15541" s="4"/>
    </row>
    <row r="15542" spans="5:25">
      <c r="E15542"/>
      <c r="G15542"/>
      <c r="H15542"/>
      <c r="I15542"/>
      <c r="K15542"/>
      <c r="O15542"/>
      <c r="R15542"/>
      <c r="W15542" s="4"/>
      <c r="X15542" s="4"/>
      <c r="Y15542" s="4"/>
    </row>
    <row r="15543" spans="5:25">
      <c r="E15543"/>
      <c r="G15543"/>
      <c r="H15543"/>
      <c r="I15543"/>
      <c r="K15543"/>
      <c r="O15543"/>
      <c r="R15543"/>
      <c r="W15543" s="4"/>
      <c r="X15543" s="4"/>
      <c r="Y15543" s="4"/>
    </row>
    <row r="15544" spans="5:25">
      <c r="E15544"/>
      <c r="G15544"/>
      <c r="H15544"/>
      <c r="I15544"/>
      <c r="K15544"/>
      <c r="O15544"/>
      <c r="R15544"/>
      <c r="W15544" s="4"/>
      <c r="X15544" s="4"/>
      <c r="Y15544" s="4"/>
    </row>
    <row r="15545" spans="5:25">
      <c r="E15545"/>
      <c r="G15545"/>
      <c r="H15545"/>
      <c r="I15545"/>
      <c r="K15545"/>
      <c r="O15545"/>
      <c r="R15545"/>
      <c r="W15545" s="4"/>
      <c r="X15545" s="4"/>
      <c r="Y15545" s="4"/>
    </row>
    <row r="15546" spans="5:25">
      <c r="E15546"/>
      <c r="G15546"/>
      <c r="H15546"/>
      <c r="I15546"/>
      <c r="K15546"/>
      <c r="O15546"/>
      <c r="R15546"/>
      <c r="W15546" s="4"/>
      <c r="X15546" s="4"/>
      <c r="Y15546" s="4"/>
    </row>
    <row r="15547" spans="5:25">
      <c r="E15547"/>
      <c r="G15547"/>
      <c r="H15547"/>
      <c r="I15547"/>
      <c r="K15547"/>
      <c r="O15547"/>
      <c r="R15547"/>
      <c r="W15547" s="4"/>
      <c r="X15547" s="4"/>
      <c r="Y15547" s="4"/>
    </row>
    <row r="15548" spans="5:25">
      <c r="E15548"/>
      <c r="G15548"/>
      <c r="H15548"/>
      <c r="I15548"/>
      <c r="K15548"/>
      <c r="O15548"/>
      <c r="R15548"/>
      <c r="W15548" s="4"/>
      <c r="X15548" s="4"/>
      <c r="Y15548" s="4"/>
    </row>
    <row r="15549" spans="5:25">
      <c r="E15549"/>
      <c r="G15549"/>
      <c r="H15549"/>
      <c r="I15549"/>
      <c r="K15549"/>
      <c r="O15549"/>
      <c r="R15549"/>
      <c r="W15549" s="4"/>
      <c r="X15549" s="4"/>
      <c r="Y15549" s="4"/>
    </row>
    <row r="15550" spans="5:25">
      <c r="E15550"/>
      <c r="G15550"/>
      <c r="H15550"/>
      <c r="I15550"/>
      <c r="K15550"/>
      <c r="O15550"/>
      <c r="R15550"/>
      <c r="W15550" s="4"/>
      <c r="X15550" s="4"/>
      <c r="Y15550" s="4"/>
    </row>
    <row r="15551" spans="5:25">
      <c r="E15551"/>
      <c r="G15551"/>
      <c r="H15551"/>
      <c r="I15551"/>
      <c r="K15551"/>
      <c r="O15551"/>
      <c r="R15551"/>
      <c r="W15551" s="4"/>
      <c r="X15551" s="4"/>
      <c r="Y15551" s="4"/>
    </row>
    <row r="15552" spans="5:25">
      <c r="E15552"/>
      <c r="G15552"/>
      <c r="H15552"/>
      <c r="I15552"/>
      <c r="K15552"/>
      <c r="O15552"/>
      <c r="R15552"/>
      <c r="W15552" s="4"/>
      <c r="X15552" s="4"/>
      <c r="Y15552" s="4"/>
    </row>
    <row r="15553" spans="5:25">
      <c r="E15553"/>
      <c r="G15553"/>
      <c r="H15553"/>
      <c r="I15553"/>
      <c r="K15553"/>
      <c r="O15553"/>
      <c r="R15553"/>
      <c r="W15553" s="4"/>
      <c r="X15553" s="4"/>
      <c r="Y15553" s="4"/>
    </row>
    <row r="15554" spans="5:25">
      <c r="E15554"/>
      <c r="G15554"/>
      <c r="H15554"/>
      <c r="I15554"/>
      <c r="K15554"/>
      <c r="O15554"/>
      <c r="R15554"/>
      <c r="W15554" s="4"/>
      <c r="X15554" s="4"/>
      <c r="Y15554" s="4"/>
    </row>
    <row r="15555" spans="5:25">
      <c r="E15555"/>
      <c r="G15555"/>
      <c r="H15555"/>
      <c r="I15555"/>
      <c r="K15555"/>
      <c r="O15555"/>
      <c r="R15555"/>
      <c r="W15555" s="4"/>
      <c r="X15555" s="4"/>
      <c r="Y15555" s="4"/>
    </row>
    <row r="15556" spans="5:25">
      <c r="E15556"/>
      <c r="G15556"/>
      <c r="H15556"/>
      <c r="I15556"/>
      <c r="K15556"/>
      <c r="O15556"/>
      <c r="R15556"/>
      <c r="W15556" s="4"/>
      <c r="X15556" s="4"/>
      <c r="Y15556" s="4"/>
    </row>
    <row r="15557" spans="5:25">
      <c r="E15557"/>
      <c r="G15557"/>
      <c r="H15557"/>
      <c r="I15557"/>
      <c r="K15557"/>
      <c r="O15557"/>
      <c r="R15557"/>
      <c r="W15557" s="4"/>
      <c r="X15557" s="4"/>
      <c r="Y15557" s="4"/>
    </row>
    <row r="15558" spans="5:25">
      <c r="E15558"/>
      <c r="G15558"/>
      <c r="H15558"/>
      <c r="I15558"/>
      <c r="K15558"/>
      <c r="O15558"/>
      <c r="R15558"/>
      <c r="W15558" s="4"/>
      <c r="X15558" s="4"/>
      <c r="Y15558" s="4"/>
    </row>
    <row r="15559" spans="5:25">
      <c r="E15559"/>
      <c r="G15559"/>
      <c r="H15559"/>
      <c r="I15559"/>
      <c r="K15559"/>
      <c r="O15559"/>
      <c r="R15559"/>
      <c r="W15559" s="4"/>
      <c r="X15559" s="4"/>
      <c r="Y15559" s="4"/>
    </row>
    <row r="15560" spans="5:25">
      <c r="E15560"/>
      <c r="G15560"/>
      <c r="H15560"/>
      <c r="I15560"/>
      <c r="K15560"/>
      <c r="O15560"/>
      <c r="R15560"/>
      <c r="W15560" s="4"/>
      <c r="X15560" s="4"/>
      <c r="Y15560" s="4"/>
    </row>
    <row r="15561" spans="5:25">
      <c r="E15561"/>
      <c r="G15561"/>
      <c r="H15561"/>
      <c r="I15561"/>
      <c r="K15561"/>
      <c r="O15561"/>
      <c r="R15561"/>
      <c r="W15561" s="4"/>
      <c r="X15561" s="4"/>
      <c r="Y15561" s="4"/>
    </row>
    <row r="15562" spans="5:25">
      <c r="E15562"/>
      <c r="G15562"/>
      <c r="H15562"/>
      <c r="I15562"/>
      <c r="K15562"/>
      <c r="O15562"/>
      <c r="R15562"/>
      <c r="W15562" s="4"/>
      <c r="X15562" s="4"/>
      <c r="Y15562" s="4"/>
    </row>
    <row r="15563" spans="5:25">
      <c r="E15563"/>
      <c r="G15563"/>
      <c r="H15563"/>
      <c r="I15563"/>
      <c r="K15563"/>
      <c r="O15563"/>
      <c r="R15563"/>
      <c r="W15563" s="4"/>
      <c r="X15563" s="4"/>
      <c r="Y15563" s="4"/>
    </row>
    <row r="15564" spans="5:25">
      <c r="E15564"/>
      <c r="G15564"/>
      <c r="H15564"/>
      <c r="I15564"/>
      <c r="K15564"/>
      <c r="O15564"/>
      <c r="R15564"/>
      <c r="W15564" s="4"/>
      <c r="X15564" s="4"/>
      <c r="Y15564" s="4"/>
    </row>
    <row r="15565" spans="5:25">
      <c r="E15565"/>
      <c r="G15565"/>
      <c r="H15565"/>
      <c r="I15565"/>
      <c r="K15565"/>
      <c r="O15565"/>
      <c r="R15565"/>
      <c r="W15565" s="4"/>
      <c r="X15565" s="4"/>
      <c r="Y15565" s="4"/>
    </row>
    <row r="15566" spans="5:25">
      <c r="E15566"/>
      <c r="G15566"/>
      <c r="H15566"/>
      <c r="I15566"/>
      <c r="K15566"/>
      <c r="O15566"/>
      <c r="R15566"/>
      <c r="W15566" s="4"/>
      <c r="X15566" s="4"/>
      <c r="Y15566" s="4"/>
    </row>
    <row r="15567" spans="5:25">
      <c r="E15567"/>
      <c r="G15567"/>
      <c r="H15567"/>
      <c r="I15567"/>
      <c r="K15567"/>
      <c r="O15567"/>
      <c r="R15567"/>
      <c r="W15567" s="4"/>
      <c r="X15567" s="4"/>
      <c r="Y15567" s="4"/>
    </row>
    <row r="15568" spans="5:25">
      <c r="E15568"/>
      <c r="G15568"/>
      <c r="H15568"/>
      <c r="I15568"/>
      <c r="K15568"/>
      <c r="O15568"/>
      <c r="R15568"/>
      <c r="W15568" s="4"/>
      <c r="X15568" s="4"/>
      <c r="Y15568" s="4"/>
    </row>
    <row r="15569" spans="5:25">
      <c r="E15569"/>
      <c r="G15569"/>
      <c r="H15569"/>
      <c r="I15569"/>
      <c r="K15569"/>
      <c r="O15569"/>
      <c r="R15569"/>
      <c r="W15569" s="4"/>
      <c r="X15569" s="4"/>
      <c r="Y15569" s="4"/>
    </row>
    <row r="15570" spans="5:25">
      <c r="E15570"/>
      <c r="G15570"/>
      <c r="H15570"/>
      <c r="I15570"/>
      <c r="K15570"/>
      <c r="O15570"/>
      <c r="R15570"/>
      <c r="W15570" s="4"/>
      <c r="X15570" s="4"/>
      <c r="Y15570" s="4"/>
    </row>
    <row r="15571" spans="5:25">
      <c r="E15571"/>
      <c r="G15571"/>
      <c r="H15571"/>
      <c r="I15571"/>
      <c r="K15571"/>
      <c r="O15571"/>
      <c r="R15571"/>
      <c r="W15571" s="4"/>
      <c r="X15571" s="4"/>
      <c r="Y15571" s="4"/>
    </row>
    <row r="15572" spans="5:25">
      <c r="E15572"/>
      <c r="G15572"/>
      <c r="H15572"/>
      <c r="I15572"/>
      <c r="K15572"/>
      <c r="O15572"/>
      <c r="R15572"/>
      <c r="W15572" s="4"/>
      <c r="X15572" s="4"/>
      <c r="Y15572" s="4"/>
    </row>
    <row r="15573" spans="5:25">
      <c r="E15573"/>
      <c r="G15573"/>
      <c r="H15573"/>
      <c r="I15573"/>
      <c r="K15573"/>
      <c r="O15573"/>
      <c r="R15573"/>
      <c r="W15573" s="4"/>
      <c r="X15573" s="4"/>
      <c r="Y15573" s="4"/>
    </row>
    <row r="15574" spans="5:25">
      <c r="E15574"/>
      <c r="G15574"/>
      <c r="H15574"/>
      <c r="I15574"/>
      <c r="K15574"/>
      <c r="O15574"/>
      <c r="R15574"/>
      <c r="W15574" s="4"/>
      <c r="X15574" s="4"/>
      <c r="Y15574" s="4"/>
    </row>
    <row r="15575" spans="5:25">
      <c r="E15575"/>
      <c r="G15575"/>
      <c r="H15575"/>
      <c r="I15575"/>
      <c r="K15575"/>
      <c r="O15575"/>
      <c r="R15575"/>
      <c r="W15575" s="4"/>
      <c r="X15575" s="4"/>
      <c r="Y15575" s="4"/>
    </row>
    <row r="15576" spans="5:25">
      <c r="E15576"/>
      <c r="G15576"/>
      <c r="H15576"/>
      <c r="I15576"/>
      <c r="K15576"/>
      <c r="O15576"/>
      <c r="R15576"/>
      <c r="W15576" s="4"/>
      <c r="X15576" s="4"/>
      <c r="Y15576" s="4"/>
    </row>
    <row r="15577" spans="5:25">
      <c r="E15577"/>
      <c r="G15577"/>
      <c r="H15577"/>
      <c r="I15577"/>
      <c r="K15577"/>
      <c r="O15577"/>
      <c r="R15577"/>
      <c r="W15577" s="4"/>
      <c r="X15577" s="4"/>
      <c r="Y15577" s="4"/>
    </row>
    <row r="15578" spans="5:25">
      <c r="E15578"/>
      <c r="G15578"/>
      <c r="H15578"/>
      <c r="I15578"/>
      <c r="K15578"/>
      <c r="O15578"/>
      <c r="R15578"/>
      <c r="W15578" s="4"/>
      <c r="X15578" s="4"/>
      <c r="Y15578" s="4"/>
    </row>
    <row r="15579" spans="5:25">
      <c r="E15579"/>
      <c r="G15579"/>
      <c r="H15579"/>
      <c r="I15579"/>
      <c r="K15579"/>
      <c r="O15579"/>
      <c r="R15579"/>
      <c r="W15579" s="4"/>
      <c r="X15579" s="4"/>
      <c r="Y15579" s="4"/>
    </row>
    <row r="15580" spans="5:25">
      <c r="E15580"/>
      <c r="G15580"/>
      <c r="H15580"/>
      <c r="I15580"/>
      <c r="K15580"/>
      <c r="O15580"/>
      <c r="R15580"/>
      <c r="W15580" s="4"/>
      <c r="X15580" s="4"/>
      <c r="Y15580" s="4"/>
    </row>
    <row r="15581" spans="5:25">
      <c r="E15581"/>
      <c r="G15581"/>
      <c r="H15581"/>
      <c r="I15581"/>
      <c r="K15581"/>
      <c r="O15581"/>
      <c r="R15581"/>
      <c r="W15581" s="4"/>
      <c r="X15581" s="4"/>
      <c r="Y15581" s="4"/>
    </row>
    <row r="15582" spans="5:25">
      <c r="E15582"/>
      <c r="G15582"/>
      <c r="H15582"/>
      <c r="I15582"/>
      <c r="K15582"/>
      <c r="O15582"/>
      <c r="R15582"/>
      <c r="W15582" s="4"/>
      <c r="X15582" s="4"/>
      <c r="Y15582" s="4"/>
    </row>
    <row r="15583" spans="5:25">
      <c r="E15583"/>
      <c r="G15583"/>
      <c r="H15583"/>
      <c r="I15583"/>
      <c r="K15583"/>
      <c r="O15583"/>
      <c r="R15583"/>
      <c r="W15583" s="4"/>
      <c r="X15583" s="4"/>
      <c r="Y15583" s="4"/>
    </row>
    <row r="15584" spans="5:25">
      <c r="E15584"/>
      <c r="G15584"/>
      <c r="H15584"/>
      <c r="I15584"/>
      <c r="K15584"/>
      <c r="O15584"/>
      <c r="R15584"/>
      <c r="W15584" s="4"/>
      <c r="X15584" s="4"/>
      <c r="Y15584" s="4"/>
    </row>
    <row r="15585" spans="5:25">
      <c r="E15585"/>
      <c r="G15585"/>
      <c r="H15585"/>
      <c r="I15585"/>
      <c r="K15585"/>
      <c r="O15585"/>
      <c r="R15585"/>
      <c r="W15585" s="4"/>
      <c r="X15585" s="4"/>
      <c r="Y15585" s="4"/>
    </row>
    <row r="15586" spans="5:25">
      <c r="E15586"/>
      <c r="G15586"/>
      <c r="H15586"/>
      <c r="I15586"/>
      <c r="K15586"/>
      <c r="O15586"/>
      <c r="R15586"/>
      <c r="W15586" s="4"/>
      <c r="X15586" s="4"/>
      <c r="Y15586" s="4"/>
    </row>
    <row r="15587" spans="5:25">
      <c r="E15587"/>
      <c r="G15587"/>
      <c r="H15587"/>
      <c r="I15587"/>
      <c r="K15587"/>
      <c r="O15587"/>
      <c r="R15587"/>
      <c r="W15587" s="4"/>
      <c r="X15587" s="4"/>
      <c r="Y15587" s="4"/>
    </row>
    <row r="15588" spans="5:25">
      <c r="E15588"/>
      <c r="G15588"/>
      <c r="H15588"/>
      <c r="I15588"/>
      <c r="K15588"/>
      <c r="O15588"/>
      <c r="R15588"/>
      <c r="W15588" s="4"/>
      <c r="X15588" s="4"/>
      <c r="Y15588" s="4"/>
    </row>
    <row r="15589" spans="5:25">
      <c r="E15589"/>
      <c r="G15589"/>
      <c r="H15589"/>
      <c r="I15589"/>
      <c r="K15589"/>
      <c r="O15589"/>
      <c r="R15589"/>
      <c r="W15589" s="4"/>
      <c r="X15589" s="4"/>
      <c r="Y15589" s="4"/>
    </row>
    <row r="15590" spans="5:25">
      <c r="E15590"/>
      <c r="G15590"/>
      <c r="H15590"/>
      <c r="I15590"/>
      <c r="K15590"/>
      <c r="O15590"/>
      <c r="R15590"/>
      <c r="W15590" s="4"/>
      <c r="X15590" s="4"/>
      <c r="Y15590" s="4"/>
    </row>
    <row r="15591" spans="5:25">
      <c r="E15591"/>
      <c r="G15591"/>
      <c r="H15591"/>
      <c r="I15591"/>
      <c r="K15591"/>
      <c r="O15591"/>
      <c r="R15591"/>
      <c r="W15591" s="4"/>
      <c r="X15591" s="4"/>
      <c r="Y15591" s="4"/>
    </row>
    <row r="15592" spans="5:25">
      <c r="E15592"/>
      <c r="G15592"/>
      <c r="H15592"/>
      <c r="I15592"/>
      <c r="K15592"/>
      <c r="O15592"/>
      <c r="R15592"/>
      <c r="W15592" s="4"/>
      <c r="X15592" s="4"/>
      <c r="Y15592" s="4"/>
    </row>
    <row r="15593" spans="5:25">
      <c r="E15593"/>
      <c r="G15593"/>
      <c r="H15593"/>
      <c r="I15593"/>
      <c r="K15593"/>
      <c r="O15593"/>
      <c r="R15593"/>
      <c r="W15593" s="4"/>
      <c r="X15593" s="4"/>
      <c r="Y15593" s="4"/>
    </row>
    <row r="15594" spans="5:25">
      <c r="E15594"/>
      <c r="G15594"/>
      <c r="H15594"/>
      <c r="I15594"/>
      <c r="K15594"/>
      <c r="O15594"/>
      <c r="R15594"/>
      <c r="W15594" s="4"/>
      <c r="X15594" s="4"/>
      <c r="Y15594" s="4"/>
    </row>
    <row r="15595" spans="5:25">
      <c r="E15595"/>
      <c r="G15595"/>
      <c r="H15595"/>
      <c r="I15595"/>
      <c r="K15595"/>
      <c r="O15595"/>
      <c r="R15595"/>
      <c r="W15595" s="4"/>
      <c r="X15595" s="4"/>
      <c r="Y15595" s="4"/>
    </row>
    <row r="15596" spans="5:25">
      <c r="E15596"/>
      <c r="G15596"/>
      <c r="H15596"/>
      <c r="I15596"/>
      <c r="K15596"/>
      <c r="O15596"/>
      <c r="R15596"/>
      <c r="W15596" s="4"/>
      <c r="X15596" s="4"/>
      <c r="Y15596" s="4"/>
    </row>
    <row r="15597" spans="5:25">
      <c r="E15597"/>
      <c r="G15597"/>
      <c r="H15597"/>
      <c r="I15597"/>
      <c r="K15597"/>
      <c r="O15597"/>
      <c r="R15597"/>
      <c r="W15597" s="4"/>
      <c r="X15597" s="4"/>
      <c r="Y15597" s="4"/>
    </row>
    <row r="15598" spans="5:25">
      <c r="E15598"/>
      <c r="G15598"/>
      <c r="H15598"/>
      <c r="I15598"/>
      <c r="K15598"/>
      <c r="O15598"/>
      <c r="R15598"/>
      <c r="W15598" s="4"/>
      <c r="X15598" s="4"/>
      <c r="Y15598" s="4"/>
    </row>
    <row r="15599" spans="5:25">
      <c r="E15599"/>
      <c r="G15599"/>
      <c r="H15599"/>
      <c r="I15599"/>
      <c r="K15599"/>
      <c r="O15599"/>
      <c r="R15599"/>
      <c r="W15599" s="4"/>
      <c r="X15599" s="4"/>
      <c r="Y15599" s="4"/>
    </row>
    <row r="15600" spans="5:25">
      <c r="E15600"/>
      <c r="G15600"/>
      <c r="H15600"/>
      <c r="I15600"/>
      <c r="K15600"/>
      <c r="O15600"/>
      <c r="R15600"/>
      <c r="W15600" s="4"/>
      <c r="X15600" s="4"/>
      <c r="Y15600" s="4"/>
    </row>
    <row r="15601" spans="5:25">
      <c r="E15601"/>
      <c r="G15601"/>
      <c r="H15601"/>
      <c r="I15601"/>
      <c r="K15601"/>
      <c r="O15601"/>
      <c r="R15601"/>
      <c r="W15601" s="4"/>
      <c r="X15601" s="4"/>
      <c r="Y15601" s="4"/>
    </row>
    <row r="15602" spans="5:25">
      <c r="E15602"/>
      <c r="G15602"/>
      <c r="H15602"/>
      <c r="I15602"/>
      <c r="K15602"/>
      <c r="O15602"/>
      <c r="R15602"/>
      <c r="W15602" s="4"/>
      <c r="X15602" s="4"/>
      <c r="Y15602" s="4"/>
    </row>
    <row r="15603" spans="5:25">
      <c r="E15603"/>
      <c r="G15603"/>
      <c r="H15603"/>
      <c r="I15603"/>
      <c r="K15603"/>
      <c r="O15603"/>
      <c r="R15603"/>
      <c r="W15603" s="4"/>
      <c r="X15603" s="4"/>
      <c r="Y15603" s="4"/>
    </row>
    <row r="15604" spans="5:25">
      <c r="E15604"/>
      <c r="G15604"/>
      <c r="H15604"/>
      <c r="I15604"/>
      <c r="K15604"/>
      <c r="O15604"/>
      <c r="R15604"/>
      <c r="W15604" s="4"/>
      <c r="X15604" s="4"/>
      <c r="Y15604" s="4"/>
    </row>
    <row r="15605" spans="5:25">
      <c r="E15605"/>
      <c r="G15605"/>
      <c r="H15605"/>
      <c r="I15605"/>
      <c r="K15605"/>
      <c r="O15605"/>
      <c r="R15605"/>
      <c r="W15605" s="4"/>
      <c r="X15605" s="4"/>
      <c r="Y15605" s="4"/>
    </row>
    <row r="15606" spans="5:25">
      <c r="E15606"/>
      <c r="G15606"/>
      <c r="H15606"/>
      <c r="I15606"/>
      <c r="K15606"/>
      <c r="O15606"/>
      <c r="R15606"/>
      <c r="W15606" s="4"/>
      <c r="X15606" s="4"/>
      <c r="Y15606" s="4"/>
    </row>
    <row r="15607" spans="5:25">
      <c r="E15607"/>
      <c r="G15607"/>
      <c r="H15607"/>
      <c r="I15607"/>
      <c r="K15607"/>
      <c r="O15607"/>
      <c r="R15607"/>
      <c r="W15607" s="4"/>
      <c r="X15607" s="4"/>
      <c r="Y15607" s="4"/>
    </row>
    <row r="15608" spans="5:25">
      <c r="E15608"/>
      <c r="G15608"/>
      <c r="H15608"/>
      <c r="I15608"/>
      <c r="K15608"/>
      <c r="O15608"/>
      <c r="R15608"/>
      <c r="W15608" s="4"/>
      <c r="X15608" s="4"/>
      <c r="Y15608" s="4"/>
    </row>
    <row r="15609" spans="5:25">
      <c r="E15609"/>
      <c r="G15609"/>
      <c r="H15609"/>
      <c r="I15609"/>
      <c r="K15609"/>
      <c r="O15609"/>
      <c r="R15609"/>
      <c r="W15609" s="4"/>
      <c r="X15609" s="4"/>
      <c r="Y15609" s="4"/>
    </row>
    <row r="15610" spans="5:25">
      <c r="E15610"/>
      <c r="G15610"/>
      <c r="H15610"/>
      <c r="I15610"/>
      <c r="K15610"/>
      <c r="O15610"/>
      <c r="R15610"/>
      <c r="W15610" s="4"/>
      <c r="X15610" s="4"/>
      <c r="Y15610" s="4"/>
    </row>
    <row r="15611" spans="5:25">
      <c r="E15611"/>
      <c r="G15611"/>
      <c r="H15611"/>
      <c r="I15611"/>
      <c r="K15611"/>
      <c r="O15611"/>
      <c r="R15611"/>
      <c r="W15611" s="4"/>
      <c r="X15611" s="4"/>
      <c r="Y15611" s="4"/>
    </row>
    <row r="15612" spans="5:25">
      <c r="E15612"/>
      <c r="G15612"/>
      <c r="H15612"/>
      <c r="I15612"/>
      <c r="K15612"/>
      <c r="O15612"/>
      <c r="R15612"/>
      <c r="W15612" s="4"/>
      <c r="X15612" s="4"/>
      <c r="Y15612" s="4"/>
    </row>
    <row r="15613" spans="5:25">
      <c r="E15613"/>
      <c r="G15613"/>
      <c r="H15613"/>
      <c r="I15613"/>
      <c r="K15613"/>
      <c r="O15613"/>
      <c r="R15613"/>
      <c r="W15613" s="4"/>
      <c r="X15613" s="4"/>
      <c r="Y15613" s="4"/>
    </row>
    <row r="15614" spans="5:25">
      <c r="E15614"/>
      <c r="G15614"/>
      <c r="H15614"/>
      <c r="I15614"/>
      <c r="K15614"/>
      <c r="O15614"/>
      <c r="R15614"/>
      <c r="W15614" s="4"/>
      <c r="X15614" s="4"/>
      <c r="Y15614" s="4"/>
    </row>
    <row r="15615" spans="5:25">
      <c r="E15615"/>
      <c r="G15615"/>
      <c r="H15615"/>
      <c r="I15615"/>
      <c r="K15615"/>
      <c r="O15615"/>
      <c r="R15615"/>
      <c r="W15615" s="4"/>
      <c r="X15615" s="4"/>
      <c r="Y15615" s="4"/>
    </row>
    <row r="15616" spans="5:25">
      <c r="E15616"/>
      <c r="G15616"/>
      <c r="H15616"/>
      <c r="I15616"/>
      <c r="K15616"/>
      <c r="O15616"/>
      <c r="R15616"/>
      <c r="W15616" s="4"/>
      <c r="X15616" s="4"/>
      <c r="Y15616" s="4"/>
    </row>
    <row r="15617" spans="5:25">
      <c r="E15617"/>
      <c r="G15617"/>
      <c r="H15617"/>
      <c r="I15617"/>
      <c r="K15617"/>
      <c r="O15617"/>
      <c r="R15617"/>
      <c r="W15617" s="4"/>
      <c r="X15617" s="4"/>
      <c r="Y15617" s="4"/>
    </row>
    <row r="15618" spans="5:25">
      <c r="E15618"/>
      <c r="G15618"/>
      <c r="H15618"/>
      <c r="I15618"/>
      <c r="K15618"/>
      <c r="O15618"/>
      <c r="R15618"/>
      <c r="W15618" s="4"/>
      <c r="X15618" s="4"/>
      <c r="Y15618" s="4"/>
    </row>
    <row r="15619" spans="5:25">
      <c r="E15619"/>
      <c r="G15619"/>
      <c r="H15619"/>
      <c r="I15619"/>
      <c r="K15619"/>
      <c r="O15619"/>
      <c r="R15619"/>
      <c r="W15619" s="4"/>
      <c r="X15619" s="4"/>
      <c r="Y15619" s="4"/>
    </row>
    <row r="15620" spans="5:25">
      <c r="E15620"/>
      <c r="G15620"/>
      <c r="H15620"/>
      <c r="I15620"/>
      <c r="K15620"/>
      <c r="O15620"/>
      <c r="R15620"/>
      <c r="W15620" s="4"/>
      <c r="X15620" s="4"/>
      <c r="Y15620" s="4"/>
    </row>
    <row r="15621" spans="5:25">
      <c r="E15621"/>
      <c r="G15621"/>
      <c r="H15621"/>
      <c r="I15621"/>
      <c r="K15621"/>
      <c r="O15621"/>
      <c r="R15621"/>
      <c r="W15621" s="4"/>
      <c r="X15621" s="4"/>
      <c r="Y15621" s="4"/>
    </row>
    <row r="15622" spans="5:25">
      <c r="E15622"/>
      <c r="G15622"/>
      <c r="H15622"/>
      <c r="I15622"/>
      <c r="K15622"/>
      <c r="O15622"/>
      <c r="R15622"/>
      <c r="W15622" s="4"/>
      <c r="X15622" s="4"/>
      <c r="Y15622" s="4"/>
    </row>
    <row r="15623" spans="5:25">
      <c r="E15623"/>
      <c r="G15623"/>
      <c r="H15623"/>
      <c r="I15623"/>
      <c r="K15623"/>
      <c r="O15623"/>
      <c r="R15623"/>
      <c r="W15623" s="4"/>
      <c r="X15623" s="4"/>
      <c r="Y15623" s="4"/>
    </row>
    <row r="15624" spans="5:25">
      <c r="E15624"/>
      <c r="G15624"/>
      <c r="H15624"/>
      <c r="I15624"/>
      <c r="K15624"/>
      <c r="O15624"/>
      <c r="R15624"/>
      <c r="W15624" s="4"/>
      <c r="X15624" s="4"/>
      <c r="Y15624" s="4"/>
    </row>
    <row r="15625" spans="5:25">
      <c r="E15625"/>
      <c r="G15625"/>
      <c r="H15625"/>
      <c r="I15625"/>
      <c r="K15625"/>
      <c r="O15625"/>
      <c r="R15625"/>
      <c r="W15625" s="4"/>
      <c r="X15625" s="4"/>
      <c r="Y15625" s="4"/>
    </row>
    <row r="15626" spans="5:25">
      <c r="E15626"/>
      <c r="G15626"/>
      <c r="H15626"/>
      <c r="I15626"/>
      <c r="K15626"/>
      <c r="O15626"/>
      <c r="R15626"/>
      <c r="W15626" s="4"/>
      <c r="X15626" s="4"/>
      <c r="Y15626" s="4"/>
    </row>
    <row r="15627" spans="5:25">
      <c r="E15627"/>
      <c r="G15627"/>
      <c r="H15627"/>
      <c r="I15627"/>
      <c r="K15627"/>
      <c r="O15627"/>
      <c r="R15627"/>
      <c r="W15627" s="4"/>
      <c r="X15627" s="4"/>
      <c r="Y15627" s="4"/>
    </row>
    <row r="15628" spans="5:25">
      <c r="E15628"/>
      <c r="G15628"/>
      <c r="H15628"/>
      <c r="I15628"/>
      <c r="K15628"/>
      <c r="O15628"/>
      <c r="R15628"/>
      <c r="W15628" s="4"/>
      <c r="X15628" s="4"/>
      <c r="Y15628" s="4"/>
    </row>
    <row r="15629" spans="5:25">
      <c r="E15629"/>
      <c r="G15629"/>
      <c r="H15629"/>
      <c r="I15629"/>
      <c r="K15629"/>
      <c r="O15629"/>
      <c r="R15629"/>
      <c r="W15629" s="4"/>
      <c r="X15629" s="4"/>
      <c r="Y15629" s="4"/>
    </row>
    <row r="15630" spans="5:25">
      <c r="E15630"/>
      <c r="G15630"/>
      <c r="H15630"/>
      <c r="I15630"/>
      <c r="K15630"/>
      <c r="O15630"/>
      <c r="R15630"/>
      <c r="W15630" s="4"/>
      <c r="X15630" s="4"/>
      <c r="Y15630" s="4"/>
    </row>
    <row r="15631" spans="5:25">
      <c r="E15631"/>
      <c r="G15631"/>
      <c r="H15631"/>
      <c r="I15631"/>
      <c r="K15631"/>
      <c r="O15631"/>
      <c r="R15631"/>
      <c r="W15631" s="4"/>
      <c r="X15631" s="4"/>
      <c r="Y15631" s="4"/>
    </row>
    <row r="15632" spans="5:25">
      <c r="E15632"/>
      <c r="G15632"/>
      <c r="H15632"/>
      <c r="I15632"/>
      <c r="K15632"/>
      <c r="O15632"/>
      <c r="R15632"/>
      <c r="W15632" s="4"/>
      <c r="X15632" s="4"/>
      <c r="Y15632" s="4"/>
    </row>
    <row r="15633" spans="5:25">
      <c r="E15633"/>
      <c r="G15633"/>
      <c r="H15633"/>
      <c r="I15633"/>
      <c r="K15633"/>
      <c r="O15633"/>
      <c r="R15633"/>
      <c r="W15633" s="4"/>
      <c r="X15633" s="4"/>
      <c r="Y15633" s="4"/>
    </row>
    <row r="15634" spans="5:25">
      <c r="E15634"/>
      <c r="G15634"/>
      <c r="H15634"/>
      <c r="I15634"/>
      <c r="K15634"/>
      <c r="O15634"/>
      <c r="R15634"/>
      <c r="W15634" s="4"/>
      <c r="X15634" s="4"/>
      <c r="Y15634" s="4"/>
    </row>
    <row r="15635" spans="5:25">
      <c r="E15635"/>
      <c r="G15635"/>
      <c r="H15635"/>
      <c r="I15635"/>
      <c r="K15635"/>
      <c r="O15635"/>
      <c r="R15635"/>
      <c r="W15635" s="4"/>
      <c r="X15635" s="4"/>
      <c r="Y15635" s="4"/>
    </row>
    <row r="15636" spans="5:25">
      <c r="E15636"/>
      <c r="G15636"/>
      <c r="H15636"/>
      <c r="I15636"/>
      <c r="K15636"/>
      <c r="O15636"/>
      <c r="R15636"/>
      <c r="W15636" s="4"/>
      <c r="X15636" s="4"/>
      <c r="Y15636" s="4"/>
    </row>
    <row r="15637" spans="5:25">
      <c r="E15637"/>
      <c r="G15637"/>
      <c r="H15637"/>
      <c r="I15637"/>
      <c r="K15637"/>
      <c r="O15637"/>
      <c r="R15637"/>
      <c r="W15637" s="4"/>
      <c r="X15637" s="4"/>
      <c r="Y15637" s="4"/>
    </row>
    <row r="15638" spans="5:25">
      <c r="E15638"/>
      <c r="G15638"/>
      <c r="H15638"/>
      <c r="I15638"/>
      <c r="K15638"/>
      <c r="O15638"/>
      <c r="R15638"/>
      <c r="W15638" s="4"/>
      <c r="X15638" s="4"/>
      <c r="Y15638" s="4"/>
    </row>
    <row r="15639" spans="5:25">
      <c r="E15639"/>
      <c r="G15639"/>
      <c r="H15639"/>
      <c r="I15639"/>
      <c r="K15639"/>
      <c r="O15639"/>
      <c r="R15639"/>
      <c r="W15639" s="4"/>
      <c r="X15639" s="4"/>
      <c r="Y15639" s="4"/>
    </row>
    <row r="15640" spans="5:25">
      <c r="E15640"/>
      <c r="G15640"/>
      <c r="H15640"/>
      <c r="I15640"/>
      <c r="K15640"/>
      <c r="O15640"/>
      <c r="R15640"/>
      <c r="W15640" s="4"/>
      <c r="X15640" s="4"/>
      <c r="Y15640" s="4"/>
    </row>
    <row r="15641" spans="5:25">
      <c r="E15641"/>
      <c r="G15641"/>
      <c r="H15641"/>
      <c r="I15641"/>
      <c r="K15641"/>
      <c r="O15641"/>
      <c r="R15641"/>
      <c r="W15641" s="4"/>
      <c r="X15641" s="4"/>
      <c r="Y15641" s="4"/>
    </row>
    <row r="15642" spans="5:25">
      <c r="E15642"/>
      <c r="G15642"/>
      <c r="H15642"/>
      <c r="I15642"/>
      <c r="K15642"/>
      <c r="O15642"/>
      <c r="R15642"/>
      <c r="W15642" s="4"/>
      <c r="X15642" s="4"/>
      <c r="Y15642" s="4"/>
    </row>
    <row r="15643" spans="5:25">
      <c r="E15643"/>
      <c r="G15643"/>
      <c r="H15643"/>
      <c r="I15643"/>
      <c r="K15643"/>
      <c r="O15643"/>
      <c r="R15643"/>
      <c r="W15643" s="4"/>
      <c r="X15643" s="4"/>
      <c r="Y15643" s="4"/>
    </row>
    <row r="15644" spans="5:25">
      <c r="E15644"/>
      <c r="G15644"/>
      <c r="H15644"/>
      <c r="I15644"/>
      <c r="K15644"/>
      <c r="O15644"/>
      <c r="R15644"/>
      <c r="W15644" s="4"/>
      <c r="X15644" s="4"/>
      <c r="Y15644" s="4"/>
    </row>
    <row r="15645" spans="5:25">
      <c r="E15645"/>
      <c r="G15645"/>
      <c r="H15645"/>
      <c r="I15645"/>
      <c r="K15645"/>
      <c r="O15645"/>
      <c r="R15645"/>
      <c r="W15645" s="4"/>
      <c r="X15645" s="4"/>
      <c r="Y15645" s="4"/>
    </row>
    <row r="15646" spans="5:25">
      <c r="E15646"/>
      <c r="G15646"/>
      <c r="H15646"/>
      <c r="I15646"/>
      <c r="K15646"/>
      <c r="O15646"/>
      <c r="R15646"/>
      <c r="W15646" s="4"/>
      <c r="X15646" s="4"/>
      <c r="Y15646" s="4"/>
    </row>
    <row r="15647" spans="5:25">
      <c r="E15647"/>
      <c r="G15647"/>
      <c r="H15647"/>
      <c r="I15647"/>
      <c r="K15647"/>
      <c r="O15647"/>
      <c r="R15647"/>
      <c r="W15647" s="4"/>
      <c r="X15647" s="4"/>
      <c r="Y15647" s="4"/>
    </row>
    <row r="15648" spans="5:25">
      <c r="E15648"/>
      <c r="G15648"/>
      <c r="H15648"/>
      <c r="I15648"/>
      <c r="K15648"/>
      <c r="O15648"/>
      <c r="R15648"/>
      <c r="W15648" s="4"/>
      <c r="X15648" s="4"/>
      <c r="Y15648" s="4"/>
    </row>
    <row r="15649" spans="5:25">
      <c r="E15649"/>
      <c r="G15649"/>
      <c r="H15649"/>
      <c r="I15649"/>
      <c r="K15649"/>
      <c r="O15649"/>
      <c r="R15649"/>
      <c r="W15649" s="4"/>
      <c r="X15649" s="4"/>
      <c r="Y15649" s="4"/>
    </row>
    <row r="15650" spans="5:25">
      <c r="E15650"/>
      <c r="G15650"/>
      <c r="H15650"/>
      <c r="I15650"/>
      <c r="K15650"/>
      <c r="O15650"/>
      <c r="R15650"/>
      <c r="W15650" s="4"/>
      <c r="X15650" s="4"/>
      <c r="Y15650" s="4"/>
    </row>
    <row r="15651" spans="5:25">
      <c r="E15651"/>
      <c r="G15651"/>
      <c r="H15651"/>
      <c r="I15651"/>
      <c r="K15651"/>
      <c r="O15651"/>
      <c r="R15651"/>
      <c r="W15651" s="4"/>
      <c r="X15651" s="4"/>
      <c r="Y15651" s="4"/>
    </row>
    <row r="15652" spans="5:25">
      <c r="E15652"/>
      <c r="G15652"/>
      <c r="H15652"/>
      <c r="I15652"/>
      <c r="K15652"/>
      <c r="O15652"/>
      <c r="R15652"/>
      <c r="W15652" s="4"/>
      <c r="X15652" s="4"/>
      <c r="Y15652" s="4"/>
    </row>
    <row r="15653" spans="5:25">
      <c r="E15653"/>
      <c r="G15653"/>
      <c r="H15653"/>
      <c r="I15653"/>
      <c r="K15653"/>
      <c r="O15653"/>
      <c r="R15653"/>
      <c r="W15653" s="4"/>
      <c r="X15653" s="4"/>
      <c r="Y15653" s="4"/>
    </row>
    <row r="15654" spans="5:25">
      <c r="E15654"/>
      <c r="G15654"/>
      <c r="H15654"/>
      <c r="I15654"/>
      <c r="K15654"/>
      <c r="O15654"/>
      <c r="R15654"/>
      <c r="W15654" s="4"/>
      <c r="X15654" s="4"/>
      <c r="Y15654" s="4"/>
    </row>
    <row r="15655" spans="5:25">
      <c r="E15655"/>
      <c r="G15655"/>
      <c r="H15655"/>
      <c r="I15655"/>
      <c r="K15655"/>
      <c r="O15655"/>
      <c r="R15655"/>
      <c r="W15655" s="4"/>
      <c r="X15655" s="4"/>
      <c r="Y15655" s="4"/>
    </row>
    <row r="15656" spans="5:25">
      <c r="E15656"/>
      <c r="G15656"/>
      <c r="H15656"/>
      <c r="I15656"/>
      <c r="K15656"/>
      <c r="O15656"/>
      <c r="R15656"/>
      <c r="W15656" s="4"/>
      <c r="X15656" s="4"/>
      <c r="Y15656" s="4"/>
    </row>
    <row r="15657" spans="5:25">
      <c r="E15657"/>
      <c r="G15657"/>
      <c r="H15657"/>
      <c r="I15657"/>
      <c r="K15657"/>
      <c r="O15657"/>
      <c r="R15657"/>
      <c r="W15657" s="4"/>
      <c r="X15657" s="4"/>
      <c r="Y15657" s="4"/>
    </row>
    <row r="15658" spans="5:25">
      <c r="E15658"/>
      <c r="G15658"/>
      <c r="H15658"/>
      <c r="I15658"/>
      <c r="K15658"/>
      <c r="O15658"/>
      <c r="R15658"/>
      <c r="W15658" s="4"/>
      <c r="X15658" s="4"/>
      <c r="Y15658" s="4"/>
    </row>
    <row r="15659" spans="5:25">
      <c r="E15659"/>
      <c r="G15659"/>
      <c r="H15659"/>
      <c r="I15659"/>
      <c r="K15659"/>
      <c r="O15659"/>
      <c r="R15659"/>
      <c r="W15659" s="4"/>
      <c r="X15659" s="4"/>
      <c r="Y15659" s="4"/>
    </row>
    <row r="15660" spans="5:25">
      <c r="E15660"/>
      <c r="G15660"/>
      <c r="H15660"/>
      <c r="I15660"/>
      <c r="K15660"/>
      <c r="O15660"/>
      <c r="R15660"/>
      <c r="W15660" s="4"/>
      <c r="X15660" s="4"/>
      <c r="Y15660" s="4"/>
    </row>
    <row r="15661" spans="5:25">
      <c r="E15661"/>
      <c r="G15661"/>
      <c r="H15661"/>
      <c r="I15661"/>
      <c r="K15661"/>
      <c r="O15661"/>
      <c r="R15661"/>
      <c r="W15661" s="4"/>
      <c r="X15661" s="4"/>
      <c r="Y15661" s="4"/>
    </row>
    <row r="15662" spans="5:25">
      <c r="E15662"/>
      <c r="G15662"/>
      <c r="H15662"/>
      <c r="I15662"/>
      <c r="K15662"/>
      <c r="O15662"/>
      <c r="R15662"/>
      <c r="W15662" s="4"/>
      <c r="X15662" s="4"/>
      <c r="Y15662" s="4"/>
    </row>
    <row r="15663" spans="5:25">
      <c r="E15663"/>
      <c r="G15663"/>
      <c r="H15663"/>
      <c r="I15663"/>
      <c r="K15663"/>
      <c r="O15663"/>
      <c r="R15663"/>
      <c r="W15663" s="4"/>
      <c r="X15663" s="4"/>
      <c r="Y15663" s="4"/>
    </row>
    <row r="15664" spans="5:25">
      <c r="E15664"/>
      <c r="G15664"/>
      <c r="H15664"/>
      <c r="I15664"/>
      <c r="K15664"/>
      <c r="O15664"/>
      <c r="R15664"/>
      <c r="W15664" s="4"/>
      <c r="X15664" s="4"/>
      <c r="Y15664" s="4"/>
    </row>
    <row r="15665" spans="5:25">
      <c r="E15665"/>
      <c r="G15665"/>
      <c r="H15665"/>
      <c r="I15665"/>
      <c r="K15665"/>
      <c r="O15665"/>
      <c r="R15665"/>
      <c r="W15665" s="4"/>
      <c r="X15665" s="4"/>
      <c r="Y15665" s="4"/>
    </row>
    <row r="15666" spans="5:25">
      <c r="E15666"/>
      <c r="G15666"/>
      <c r="H15666"/>
      <c r="I15666"/>
      <c r="K15666"/>
      <c r="O15666"/>
      <c r="R15666"/>
      <c r="W15666" s="4"/>
      <c r="X15666" s="4"/>
      <c r="Y15666" s="4"/>
    </row>
    <row r="15667" spans="5:25">
      <c r="E15667"/>
      <c r="G15667"/>
      <c r="H15667"/>
      <c r="I15667"/>
      <c r="K15667"/>
      <c r="O15667"/>
      <c r="R15667"/>
      <c r="W15667" s="4"/>
      <c r="X15667" s="4"/>
      <c r="Y15667" s="4"/>
    </row>
    <row r="15668" spans="5:25">
      <c r="E15668"/>
      <c r="G15668"/>
      <c r="H15668"/>
      <c r="I15668"/>
      <c r="K15668"/>
      <c r="O15668"/>
      <c r="R15668"/>
      <c r="W15668" s="4"/>
      <c r="X15668" s="4"/>
      <c r="Y15668" s="4"/>
    </row>
    <row r="15669" spans="5:25">
      <c r="E15669"/>
      <c r="G15669"/>
      <c r="H15669"/>
      <c r="I15669"/>
      <c r="K15669"/>
      <c r="O15669"/>
      <c r="R15669"/>
      <c r="W15669" s="4"/>
      <c r="X15669" s="4"/>
      <c r="Y15669" s="4"/>
    </row>
    <row r="15670" spans="5:25">
      <c r="E15670"/>
      <c r="G15670"/>
      <c r="H15670"/>
      <c r="I15670"/>
      <c r="K15670"/>
      <c r="O15670"/>
      <c r="R15670"/>
      <c r="W15670" s="4"/>
      <c r="X15670" s="4"/>
      <c r="Y15670" s="4"/>
    </row>
    <row r="15671" spans="5:25">
      <c r="E15671"/>
      <c r="G15671"/>
      <c r="H15671"/>
      <c r="I15671"/>
      <c r="K15671"/>
      <c r="O15671"/>
      <c r="R15671"/>
      <c r="W15671" s="4"/>
      <c r="X15671" s="4"/>
      <c r="Y15671" s="4"/>
    </row>
    <row r="15672" spans="5:25">
      <c r="E15672"/>
      <c r="G15672"/>
      <c r="H15672"/>
      <c r="I15672"/>
      <c r="K15672"/>
      <c r="O15672"/>
      <c r="R15672"/>
      <c r="W15672" s="4"/>
      <c r="X15672" s="4"/>
      <c r="Y15672" s="4"/>
    </row>
    <row r="15673" spans="5:25">
      <c r="E15673"/>
      <c r="G15673"/>
      <c r="H15673"/>
      <c r="I15673"/>
      <c r="K15673"/>
      <c r="O15673"/>
      <c r="R15673"/>
      <c r="W15673" s="4"/>
      <c r="X15673" s="4"/>
      <c r="Y15673" s="4"/>
    </row>
    <row r="15674" spans="5:25">
      <c r="E15674"/>
      <c r="G15674"/>
      <c r="H15674"/>
      <c r="I15674"/>
      <c r="K15674"/>
      <c r="O15674"/>
      <c r="R15674"/>
      <c r="W15674" s="4"/>
      <c r="X15674" s="4"/>
      <c r="Y15674" s="4"/>
    </row>
    <row r="15675" spans="5:25">
      <c r="E15675"/>
      <c r="G15675"/>
      <c r="H15675"/>
      <c r="I15675"/>
      <c r="K15675"/>
      <c r="O15675"/>
      <c r="R15675"/>
      <c r="W15675" s="4"/>
      <c r="X15675" s="4"/>
      <c r="Y15675" s="4"/>
    </row>
    <row r="15676" spans="5:25">
      <c r="E15676"/>
      <c r="G15676"/>
      <c r="H15676"/>
      <c r="I15676"/>
      <c r="K15676"/>
      <c r="O15676"/>
      <c r="R15676"/>
      <c r="W15676" s="4"/>
      <c r="X15676" s="4"/>
      <c r="Y15676" s="4"/>
    </row>
    <row r="15677" spans="5:25">
      <c r="E15677"/>
      <c r="G15677"/>
      <c r="H15677"/>
      <c r="I15677"/>
      <c r="K15677"/>
      <c r="O15677"/>
      <c r="R15677"/>
      <c r="W15677" s="4"/>
      <c r="X15677" s="4"/>
      <c r="Y15677" s="4"/>
    </row>
    <row r="15678" spans="5:25">
      <c r="E15678"/>
      <c r="G15678"/>
      <c r="H15678"/>
      <c r="I15678"/>
      <c r="K15678"/>
      <c r="O15678"/>
      <c r="R15678"/>
      <c r="W15678" s="4"/>
      <c r="X15678" s="4"/>
      <c r="Y15678" s="4"/>
    </row>
    <row r="15679" spans="5:25">
      <c r="E15679"/>
      <c r="G15679"/>
      <c r="H15679"/>
      <c r="I15679"/>
      <c r="K15679"/>
      <c r="O15679"/>
      <c r="R15679"/>
      <c r="W15679" s="4"/>
      <c r="X15679" s="4"/>
      <c r="Y15679" s="4"/>
    </row>
    <row r="15680" spans="5:25">
      <c r="E15680"/>
      <c r="G15680"/>
      <c r="H15680"/>
      <c r="I15680"/>
      <c r="K15680"/>
      <c r="O15680"/>
      <c r="R15680"/>
      <c r="W15680" s="4"/>
      <c r="X15680" s="4"/>
      <c r="Y15680" s="4"/>
    </row>
    <row r="15681" spans="5:25">
      <c r="E15681"/>
      <c r="G15681"/>
      <c r="H15681"/>
      <c r="I15681"/>
      <c r="K15681"/>
      <c r="O15681"/>
      <c r="R15681"/>
      <c r="W15681" s="4"/>
      <c r="X15681" s="4"/>
      <c r="Y15681" s="4"/>
    </row>
    <row r="15682" spans="5:25">
      <c r="E15682"/>
      <c r="G15682"/>
      <c r="H15682"/>
      <c r="I15682"/>
      <c r="K15682"/>
      <c r="O15682"/>
      <c r="R15682"/>
      <c r="W15682" s="4"/>
      <c r="X15682" s="4"/>
      <c r="Y15682" s="4"/>
    </row>
    <row r="15683" spans="5:25">
      <c r="E15683"/>
      <c r="G15683"/>
      <c r="H15683"/>
      <c r="I15683"/>
      <c r="K15683"/>
      <c r="O15683"/>
      <c r="R15683"/>
      <c r="W15683" s="4"/>
      <c r="X15683" s="4"/>
      <c r="Y15683" s="4"/>
    </row>
    <row r="15684" spans="5:25">
      <c r="E15684"/>
      <c r="G15684"/>
      <c r="H15684"/>
      <c r="I15684"/>
      <c r="K15684"/>
      <c r="O15684"/>
      <c r="R15684"/>
      <c r="W15684" s="4"/>
      <c r="X15684" s="4"/>
      <c r="Y15684" s="4"/>
    </row>
    <row r="15685" spans="5:25">
      <c r="E15685"/>
      <c r="G15685"/>
      <c r="H15685"/>
      <c r="I15685"/>
      <c r="K15685"/>
      <c r="O15685"/>
      <c r="R15685"/>
      <c r="W15685" s="4"/>
      <c r="X15685" s="4"/>
      <c r="Y15685" s="4"/>
    </row>
    <row r="15686" spans="5:25">
      <c r="E15686"/>
      <c r="G15686"/>
      <c r="H15686"/>
      <c r="I15686"/>
      <c r="K15686"/>
      <c r="O15686"/>
      <c r="R15686"/>
      <c r="W15686" s="4"/>
      <c r="X15686" s="4"/>
      <c r="Y15686" s="4"/>
    </row>
    <row r="15687" spans="5:25">
      <c r="E15687"/>
      <c r="G15687"/>
      <c r="H15687"/>
      <c r="I15687"/>
      <c r="K15687"/>
      <c r="O15687"/>
      <c r="R15687"/>
      <c r="W15687" s="4"/>
      <c r="X15687" s="4"/>
      <c r="Y15687" s="4"/>
    </row>
    <row r="15688" spans="5:25">
      <c r="E15688"/>
      <c r="G15688"/>
      <c r="H15688"/>
      <c r="I15688"/>
      <c r="K15688"/>
      <c r="O15688"/>
      <c r="R15688"/>
      <c r="W15688" s="4"/>
      <c r="X15688" s="4"/>
      <c r="Y15688" s="4"/>
    </row>
    <row r="15689" spans="5:25">
      <c r="E15689"/>
      <c r="G15689"/>
      <c r="H15689"/>
      <c r="I15689"/>
      <c r="K15689"/>
      <c r="O15689"/>
      <c r="R15689"/>
      <c r="W15689" s="4"/>
      <c r="X15689" s="4"/>
      <c r="Y15689" s="4"/>
    </row>
    <row r="15690" spans="5:25">
      <c r="E15690"/>
      <c r="G15690"/>
      <c r="H15690"/>
      <c r="I15690"/>
      <c r="K15690"/>
      <c r="O15690"/>
      <c r="R15690"/>
      <c r="W15690" s="4"/>
      <c r="X15690" s="4"/>
      <c r="Y15690" s="4"/>
    </row>
    <row r="15691" spans="5:25">
      <c r="E15691"/>
      <c r="G15691"/>
      <c r="H15691"/>
      <c r="I15691"/>
      <c r="K15691"/>
      <c r="O15691"/>
      <c r="R15691"/>
      <c r="W15691" s="4"/>
      <c r="X15691" s="4"/>
      <c r="Y15691" s="4"/>
    </row>
    <row r="15692" spans="5:25">
      <c r="E15692"/>
      <c r="G15692"/>
      <c r="H15692"/>
      <c r="I15692"/>
      <c r="K15692"/>
      <c r="O15692"/>
      <c r="R15692"/>
      <c r="W15692" s="4"/>
      <c r="X15692" s="4"/>
      <c r="Y15692" s="4"/>
    </row>
    <row r="15693" spans="5:25">
      <c r="E15693"/>
      <c r="G15693"/>
      <c r="H15693"/>
      <c r="I15693"/>
      <c r="K15693"/>
      <c r="O15693"/>
      <c r="R15693"/>
      <c r="W15693" s="4"/>
      <c r="X15693" s="4"/>
      <c r="Y15693" s="4"/>
    </row>
    <row r="15694" spans="5:25">
      <c r="E15694"/>
      <c r="G15694"/>
      <c r="H15694"/>
      <c r="I15694"/>
      <c r="K15694"/>
      <c r="O15694"/>
      <c r="R15694"/>
      <c r="W15694" s="4"/>
      <c r="X15694" s="4"/>
      <c r="Y15694" s="4"/>
    </row>
    <row r="15695" spans="5:25">
      <c r="E15695"/>
      <c r="G15695"/>
      <c r="H15695"/>
      <c r="I15695"/>
      <c r="K15695"/>
      <c r="O15695"/>
      <c r="R15695"/>
      <c r="W15695" s="4"/>
      <c r="X15695" s="4"/>
      <c r="Y15695" s="4"/>
    </row>
    <row r="15696" spans="5:25">
      <c r="E15696"/>
      <c r="G15696"/>
      <c r="H15696"/>
      <c r="I15696"/>
      <c r="K15696"/>
      <c r="O15696"/>
      <c r="R15696"/>
      <c r="W15696" s="4"/>
      <c r="X15696" s="4"/>
      <c r="Y15696" s="4"/>
    </row>
    <row r="15697" spans="5:25">
      <c r="E15697"/>
      <c r="G15697"/>
      <c r="H15697"/>
      <c r="I15697"/>
      <c r="K15697"/>
      <c r="O15697"/>
      <c r="R15697"/>
      <c r="W15697" s="4"/>
      <c r="X15697" s="4"/>
      <c r="Y15697" s="4"/>
    </row>
    <row r="15698" spans="5:25">
      <c r="E15698"/>
      <c r="G15698"/>
      <c r="H15698"/>
      <c r="I15698"/>
      <c r="K15698"/>
      <c r="O15698"/>
      <c r="R15698"/>
      <c r="W15698" s="4"/>
      <c r="X15698" s="4"/>
      <c r="Y15698" s="4"/>
    </row>
    <row r="15699" spans="5:25">
      <c r="E15699"/>
      <c r="G15699"/>
      <c r="H15699"/>
      <c r="I15699"/>
      <c r="K15699"/>
      <c r="O15699"/>
      <c r="R15699"/>
      <c r="W15699" s="4"/>
      <c r="X15699" s="4"/>
      <c r="Y15699" s="4"/>
    </row>
    <row r="15700" spans="5:25">
      <c r="E15700"/>
      <c r="G15700"/>
      <c r="H15700"/>
      <c r="I15700"/>
      <c r="K15700"/>
      <c r="O15700"/>
      <c r="R15700"/>
      <c r="W15700" s="4"/>
      <c r="X15700" s="4"/>
      <c r="Y15700" s="4"/>
    </row>
    <row r="15701" spans="5:25">
      <c r="E15701"/>
      <c r="G15701"/>
      <c r="H15701"/>
      <c r="I15701"/>
      <c r="K15701"/>
      <c r="O15701"/>
      <c r="R15701"/>
      <c r="W15701" s="4"/>
      <c r="X15701" s="4"/>
      <c r="Y15701" s="4"/>
    </row>
    <row r="15702" spans="5:25">
      <c r="E15702"/>
      <c r="G15702"/>
      <c r="H15702"/>
      <c r="I15702"/>
      <c r="K15702"/>
      <c r="O15702"/>
      <c r="R15702"/>
      <c r="W15702" s="4"/>
      <c r="X15702" s="4"/>
      <c r="Y15702" s="4"/>
    </row>
    <row r="15703" spans="5:25">
      <c r="E15703"/>
      <c r="G15703"/>
      <c r="H15703"/>
      <c r="I15703"/>
      <c r="K15703"/>
      <c r="O15703"/>
      <c r="R15703"/>
      <c r="W15703" s="4"/>
      <c r="X15703" s="4"/>
      <c r="Y15703" s="4"/>
    </row>
    <row r="15704" spans="5:25">
      <c r="E15704"/>
      <c r="G15704"/>
      <c r="H15704"/>
      <c r="I15704"/>
      <c r="K15704"/>
      <c r="O15704"/>
      <c r="R15704"/>
      <c r="W15704" s="4"/>
      <c r="X15704" s="4"/>
      <c r="Y15704" s="4"/>
    </row>
    <row r="15705" spans="5:25">
      <c r="E15705"/>
      <c r="G15705"/>
      <c r="H15705"/>
      <c r="I15705"/>
      <c r="K15705"/>
      <c r="O15705"/>
      <c r="R15705"/>
      <c r="W15705" s="4"/>
      <c r="X15705" s="4"/>
      <c r="Y15705" s="4"/>
    </row>
    <row r="15706" spans="5:25">
      <c r="E15706"/>
      <c r="G15706"/>
      <c r="H15706"/>
      <c r="I15706"/>
      <c r="K15706"/>
      <c r="O15706"/>
      <c r="R15706"/>
      <c r="W15706" s="4"/>
      <c r="X15706" s="4"/>
      <c r="Y15706" s="4"/>
    </row>
    <row r="15707" spans="5:25">
      <c r="E15707"/>
      <c r="G15707"/>
      <c r="H15707"/>
      <c r="I15707"/>
      <c r="K15707"/>
      <c r="O15707"/>
      <c r="R15707"/>
      <c r="W15707" s="4"/>
      <c r="X15707" s="4"/>
      <c r="Y15707" s="4"/>
    </row>
    <row r="15708" spans="5:25">
      <c r="E15708"/>
      <c r="G15708"/>
      <c r="H15708"/>
      <c r="I15708"/>
      <c r="K15708"/>
      <c r="O15708"/>
      <c r="R15708"/>
      <c r="W15708" s="4"/>
      <c r="X15708" s="4"/>
      <c r="Y15708" s="4"/>
    </row>
    <row r="15709" spans="5:25">
      <c r="E15709"/>
      <c r="G15709"/>
      <c r="H15709"/>
      <c r="I15709"/>
      <c r="K15709"/>
      <c r="O15709"/>
      <c r="R15709"/>
      <c r="W15709" s="4"/>
      <c r="X15709" s="4"/>
      <c r="Y15709" s="4"/>
    </row>
    <row r="15710" spans="5:25">
      <c r="E15710"/>
      <c r="G15710"/>
      <c r="H15710"/>
      <c r="I15710"/>
      <c r="K15710"/>
      <c r="O15710"/>
      <c r="R15710"/>
      <c r="W15710" s="4"/>
      <c r="X15710" s="4"/>
      <c r="Y15710" s="4"/>
    </row>
    <row r="15711" spans="5:25">
      <c r="E15711"/>
      <c r="G15711"/>
      <c r="H15711"/>
      <c r="I15711"/>
      <c r="K15711"/>
      <c r="O15711"/>
      <c r="R15711"/>
      <c r="W15711" s="4"/>
      <c r="X15711" s="4"/>
      <c r="Y15711" s="4"/>
    </row>
    <row r="15712" spans="5:25">
      <c r="E15712"/>
      <c r="G15712"/>
      <c r="H15712"/>
      <c r="I15712"/>
      <c r="K15712"/>
      <c r="O15712"/>
      <c r="R15712"/>
      <c r="W15712" s="4"/>
      <c r="X15712" s="4"/>
      <c r="Y15712" s="4"/>
    </row>
    <row r="15713" spans="5:25">
      <c r="E15713"/>
      <c r="G15713"/>
      <c r="H15713"/>
      <c r="I15713"/>
      <c r="K15713"/>
      <c r="O15713"/>
      <c r="R15713"/>
      <c r="W15713" s="4"/>
      <c r="X15713" s="4"/>
      <c r="Y15713" s="4"/>
    </row>
    <row r="15714" spans="5:25">
      <c r="E15714"/>
      <c r="G15714"/>
      <c r="H15714"/>
      <c r="I15714"/>
      <c r="K15714"/>
      <c r="O15714"/>
      <c r="R15714"/>
      <c r="W15714" s="4"/>
      <c r="X15714" s="4"/>
      <c r="Y15714" s="4"/>
    </row>
    <row r="15715" spans="5:25">
      <c r="E15715"/>
      <c r="G15715"/>
      <c r="H15715"/>
      <c r="I15715"/>
      <c r="K15715"/>
      <c r="O15715"/>
      <c r="R15715"/>
      <c r="W15715" s="4"/>
      <c r="X15715" s="4"/>
      <c r="Y15715" s="4"/>
    </row>
    <row r="15716" spans="5:25">
      <c r="E15716"/>
      <c r="G15716"/>
      <c r="H15716"/>
      <c r="I15716"/>
      <c r="K15716"/>
      <c r="O15716"/>
      <c r="R15716"/>
      <c r="W15716" s="4"/>
      <c r="X15716" s="4"/>
      <c r="Y15716" s="4"/>
    </row>
    <row r="15717" spans="5:25">
      <c r="E15717"/>
      <c r="G15717"/>
      <c r="H15717"/>
      <c r="I15717"/>
      <c r="K15717"/>
      <c r="O15717"/>
      <c r="R15717"/>
      <c r="W15717" s="4"/>
      <c r="X15717" s="4"/>
      <c r="Y15717" s="4"/>
    </row>
    <row r="15718" spans="5:25">
      <c r="E15718"/>
      <c r="G15718"/>
      <c r="H15718"/>
      <c r="I15718"/>
      <c r="K15718"/>
      <c r="O15718"/>
      <c r="R15718"/>
      <c r="W15718" s="4"/>
      <c r="X15718" s="4"/>
      <c r="Y15718" s="4"/>
    </row>
    <row r="15719" spans="5:25">
      <c r="E15719"/>
      <c r="G15719"/>
      <c r="H15719"/>
      <c r="I15719"/>
      <c r="K15719"/>
      <c r="O15719"/>
      <c r="R15719"/>
      <c r="W15719" s="4"/>
      <c r="X15719" s="4"/>
      <c r="Y15719" s="4"/>
    </row>
    <row r="15720" spans="5:25">
      <c r="E15720"/>
      <c r="G15720"/>
      <c r="H15720"/>
      <c r="I15720"/>
      <c r="K15720"/>
      <c r="O15720"/>
      <c r="R15720"/>
      <c r="W15720" s="4"/>
      <c r="X15720" s="4"/>
      <c r="Y15720" s="4"/>
    </row>
    <row r="15721" spans="5:25">
      <c r="E15721"/>
      <c r="G15721"/>
      <c r="H15721"/>
      <c r="I15721"/>
      <c r="K15721"/>
      <c r="O15721"/>
      <c r="R15721"/>
      <c r="W15721" s="4"/>
      <c r="X15721" s="4"/>
      <c r="Y15721" s="4"/>
    </row>
    <row r="15722" spans="5:25">
      <c r="E15722"/>
      <c r="G15722"/>
      <c r="H15722"/>
      <c r="I15722"/>
      <c r="K15722"/>
      <c r="O15722"/>
      <c r="R15722"/>
      <c r="W15722" s="4"/>
      <c r="X15722" s="4"/>
      <c r="Y15722" s="4"/>
    </row>
    <row r="15723" spans="5:25">
      <c r="E15723"/>
      <c r="G15723"/>
      <c r="H15723"/>
      <c r="I15723"/>
      <c r="K15723"/>
      <c r="O15723"/>
      <c r="R15723"/>
      <c r="W15723" s="4"/>
      <c r="X15723" s="4"/>
      <c r="Y15723" s="4"/>
    </row>
    <row r="15724" spans="5:25">
      <c r="E15724"/>
      <c r="G15724"/>
      <c r="H15724"/>
      <c r="I15724"/>
      <c r="K15724"/>
      <c r="O15724"/>
      <c r="R15724"/>
      <c r="W15724" s="4"/>
      <c r="X15724" s="4"/>
      <c r="Y15724" s="4"/>
    </row>
    <row r="15725" spans="5:25">
      <c r="E15725"/>
      <c r="G15725"/>
      <c r="H15725"/>
      <c r="I15725"/>
      <c r="K15725"/>
      <c r="O15725"/>
      <c r="R15725"/>
      <c r="W15725" s="4"/>
      <c r="X15725" s="4"/>
      <c r="Y15725" s="4"/>
    </row>
    <row r="15726" spans="5:25">
      <c r="E15726"/>
      <c r="G15726"/>
      <c r="H15726"/>
      <c r="I15726"/>
      <c r="K15726"/>
      <c r="O15726"/>
      <c r="R15726"/>
      <c r="W15726" s="4"/>
      <c r="X15726" s="4"/>
      <c r="Y15726" s="4"/>
    </row>
    <row r="15727" spans="5:25">
      <c r="E15727"/>
      <c r="G15727"/>
      <c r="H15727"/>
      <c r="I15727"/>
      <c r="K15727"/>
      <c r="O15727"/>
      <c r="R15727"/>
      <c r="W15727" s="4"/>
      <c r="X15727" s="4"/>
      <c r="Y15727" s="4"/>
    </row>
    <row r="15728" spans="5:25">
      <c r="E15728"/>
      <c r="G15728"/>
      <c r="H15728"/>
      <c r="I15728"/>
      <c r="K15728"/>
      <c r="O15728"/>
      <c r="R15728"/>
      <c r="W15728" s="4"/>
      <c r="X15728" s="4"/>
      <c r="Y15728" s="4"/>
    </row>
    <row r="15729" spans="5:25">
      <c r="E15729"/>
      <c r="G15729"/>
      <c r="H15729"/>
      <c r="I15729"/>
      <c r="K15729"/>
      <c r="O15729"/>
      <c r="R15729"/>
      <c r="W15729" s="4"/>
      <c r="X15729" s="4"/>
      <c r="Y15729" s="4"/>
    </row>
    <row r="15730" spans="5:25">
      <c r="E15730"/>
      <c r="G15730"/>
      <c r="H15730"/>
      <c r="I15730"/>
      <c r="K15730"/>
      <c r="O15730"/>
      <c r="R15730"/>
      <c r="W15730" s="4"/>
      <c r="X15730" s="4"/>
      <c r="Y15730" s="4"/>
    </row>
    <row r="15731" spans="5:25">
      <c r="E15731"/>
      <c r="G15731"/>
      <c r="H15731"/>
      <c r="I15731"/>
      <c r="K15731"/>
      <c r="O15731"/>
      <c r="R15731"/>
      <c r="W15731" s="4"/>
      <c r="X15731" s="4"/>
      <c r="Y15731" s="4"/>
    </row>
    <row r="15732" spans="5:25">
      <c r="E15732"/>
      <c r="G15732"/>
      <c r="H15732"/>
      <c r="I15732"/>
      <c r="K15732"/>
      <c r="O15732"/>
      <c r="R15732"/>
      <c r="W15732" s="4"/>
      <c r="X15732" s="4"/>
      <c r="Y15732" s="4"/>
    </row>
    <row r="15733" spans="5:25">
      <c r="E15733"/>
      <c r="G15733"/>
      <c r="H15733"/>
      <c r="I15733"/>
      <c r="K15733"/>
      <c r="O15733"/>
      <c r="R15733"/>
      <c r="W15733" s="4"/>
      <c r="X15733" s="4"/>
      <c r="Y15733" s="4"/>
    </row>
    <row r="15734" spans="5:25">
      <c r="E15734"/>
      <c r="G15734"/>
      <c r="H15734"/>
      <c r="I15734"/>
      <c r="K15734"/>
      <c r="O15734"/>
      <c r="R15734"/>
      <c r="W15734" s="4"/>
      <c r="X15734" s="4"/>
      <c r="Y15734" s="4"/>
    </row>
    <row r="15735" spans="5:25">
      <c r="E15735"/>
      <c r="G15735"/>
      <c r="H15735"/>
      <c r="I15735"/>
      <c r="K15735"/>
      <c r="O15735"/>
      <c r="R15735"/>
      <c r="W15735" s="4"/>
      <c r="X15735" s="4"/>
      <c r="Y15735" s="4"/>
    </row>
    <row r="15736" spans="5:25">
      <c r="E15736"/>
      <c r="G15736"/>
      <c r="H15736"/>
      <c r="I15736"/>
      <c r="K15736"/>
      <c r="O15736"/>
      <c r="R15736"/>
      <c r="W15736" s="4"/>
      <c r="X15736" s="4"/>
      <c r="Y15736" s="4"/>
    </row>
    <row r="15737" spans="5:25">
      <c r="E15737"/>
      <c r="G15737"/>
      <c r="H15737"/>
      <c r="I15737"/>
      <c r="K15737"/>
      <c r="O15737"/>
      <c r="R15737"/>
      <c r="W15737" s="4"/>
      <c r="X15737" s="4"/>
      <c r="Y15737" s="4"/>
    </row>
    <row r="15738" spans="5:25">
      <c r="E15738"/>
      <c r="G15738"/>
      <c r="H15738"/>
      <c r="I15738"/>
      <c r="K15738"/>
      <c r="O15738"/>
      <c r="R15738"/>
      <c r="W15738" s="4"/>
      <c r="X15738" s="4"/>
      <c r="Y15738" s="4"/>
    </row>
    <row r="15739" spans="5:25">
      <c r="E15739"/>
      <c r="G15739"/>
      <c r="H15739"/>
      <c r="I15739"/>
      <c r="K15739"/>
      <c r="O15739"/>
      <c r="R15739"/>
      <c r="W15739" s="4"/>
      <c r="X15739" s="4"/>
      <c r="Y15739" s="4"/>
    </row>
    <row r="15740" spans="5:25">
      <c r="E15740"/>
      <c r="G15740"/>
      <c r="H15740"/>
      <c r="I15740"/>
      <c r="K15740"/>
      <c r="O15740"/>
      <c r="R15740"/>
      <c r="W15740" s="4"/>
      <c r="X15740" s="4"/>
      <c r="Y15740" s="4"/>
    </row>
    <row r="15741" spans="5:25">
      <c r="E15741"/>
      <c r="G15741"/>
      <c r="H15741"/>
      <c r="I15741"/>
      <c r="K15741"/>
      <c r="O15741"/>
      <c r="R15741"/>
      <c r="W15741" s="4"/>
      <c r="X15741" s="4"/>
      <c r="Y15741" s="4"/>
    </row>
    <row r="15742" spans="5:25">
      <c r="E15742"/>
      <c r="G15742"/>
      <c r="H15742"/>
      <c r="I15742"/>
      <c r="K15742"/>
      <c r="O15742"/>
      <c r="R15742"/>
      <c r="W15742" s="4"/>
      <c r="X15742" s="4"/>
      <c r="Y15742" s="4"/>
    </row>
    <row r="15743" spans="5:25">
      <c r="E15743"/>
      <c r="G15743"/>
      <c r="H15743"/>
      <c r="I15743"/>
      <c r="K15743"/>
      <c r="O15743"/>
      <c r="R15743"/>
      <c r="W15743" s="4"/>
      <c r="X15743" s="4"/>
      <c r="Y15743" s="4"/>
    </row>
    <row r="15744" spans="5:25">
      <c r="E15744"/>
      <c r="G15744"/>
      <c r="H15744"/>
      <c r="I15744"/>
      <c r="K15744"/>
      <c r="O15744"/>
      <c r="R15744"/>
      <c r="W15744" s="4"/>
      <c r="X15744" s="4"/>
      <c r="Y15744" s="4"/>
    </row>
    <row r="15745" spans="5:25">
      <c r="E15745"/>
      <c r="G15745"/>
      <c r="H15745"/>
      <c r="I15745"/>
      <c r="K15745"/>
      <c r="O15745"/>
      <c r="R15745"/>
      <c r="W15745" s="4"/>
      <c r="X15745" s="4"/>
      <c r="Y15745" s="4"/>
    </row>
    <row r="15746" spans="5:25">
      <c r="E15746"/>
      <c r="G15746"/>
      <c r="H15746"/>
      <c r="I15746"/>
      <c r="K15746"/>
      <c r="O15746"/>
      <c r="R15746"/>
      <c r="W15746" s="4"/>
      <c r="X15746" s="4"/>
      <c r="Y15746" s="4"/>
    </row>
    <row r="15747" spans="5:25">
      <c r="E15747"/>
      <c r="G15747"/>
      <c r="H15747"/>
      <c r="I15747"/>
      <c r="K15747"/>
      <c r="O15747"/>
      <c r="R15747"/>
      <c r="W15747" s="4"/>
      <c r="X15747" s="4"/>
      <c r="Y15747" s="4"/>
    </row>
    <row r="15748" spans="5:25">
      <c r="E15748"/>
      <c r="G15748"/>
      <c r="H15748"/>
      <c r="I15748"/>
      <c r="K15748"/>
      <c r="O15748"/>
      <c r="R15748"/>
      <c r="W15748" s="4"/>
      <c r="X15748" s="4"/>
      <c r="Y15748" s="4"/>
    </row>
    <row r="15749" spans="5:25">
      <c r="E15749"/>
      <c r="G15749"/>
      <c r="H15749"/>
      <c r="I15749"/>
      <c r="K15749"/>
      <c r="O15749"/>
      <c r="R15749"/>
      <c r="W15749" s="4"/>
      <c r="X15749" s="4"/>
      <c r="Y15749" s="4"/>
    </row>
    <row r="15750" spans="5:25">
      <c r="E15750"/>
      <c r="G15750"/>
      <c r="H15750"/>
      <c r="I15750"/>
      <c r="K15750"/>
      <c r="O15750"/>
      <c r="R15750"/>
      <c r="W15750" s="4"/>
      <c r="X15750" s="4"/>
      <c r="Y15750" s="4"/>
    </row>
    <row r="15751" spans="5:25">
      <c r="E15751"/>
      <c r="G15751"/>
      <c r="H15751"/>
      <c r="I15751"/>
      <c r="K15751"/>
      <c r="O15751"/>
      <c r="R15751"/>
      <c r="W15751" s="4"/>
      <c r="X15751" s="4"/>
      <c r="Y15751" s="4"/>
    </row>
    <row r="15752" spans="5:25">
      <c r="E15752"/>
      <c r="G15752"/>
      <c r="H15752"/>
      <c r="I15752"/>
      <c r="K15752"/>
      <c r="O15752"/>
      <c r="R15752"/>
      <c r="W15752" s="4"/>
      <c r="X15752" s="4"/>
      <c r="Y15752" s="4"/>
    </row>
    <row r="15753" spans="5:25">
      <c r="E15753"/>
      <c r="G15753"/>
      <c r="H15753"/>
      <c r="I15753"/>
      <c r="K15753"/>
      <c r="O15753"/>
      <c r="R15753"/>
      <c r="W15753" s="4"/>
      <c r="X15753" s="4"/>
      <c r="Y15753" s="4"/>
    </row>
    <row r="15754" spans="5:25">
      <c r="E15754"/>
      <c r="G15754"/>
      <c r="H15754"/>
      <c r="I15754"/>
      <c r="K15754"/>
      <c r="O15754"/>
      <c r="R15754"/>
      <c r="W15754" s="4"/>
      <c r="X15754" s="4"/>
      <c r="Y15754" s="4"/>
    </row>
    <row r="15755" spans="5:25">
      <c r="E15755"/>
      <c r="G15755"/>
      <c r="H15755"/>
      <c r="I15755"/>
      <c r="K15755"/>
      <c r="O15755"/>
      <c r="R15755"/>
      <c r="W15755" s="4"/>
      <c r="X15755" s="4"/>
      <c r="Y15755" s="4"/>
    </row>
    <row r="15756" spans="5:25">
      <c r="E15756"/>
      <c r="G15756"/>
      <c r="H15756"/>
      <c r="I15756"/>
      <c r="K15756"/>
      <c r="O15756"/>
      <c r="R15756"/>
      <c r="W15756" s="4"/>
      <c r="X15756" s="4"/>
      <c r="Y15756" s="4"/>
    </row>
    <row r="15757" spans="5:25">
      <c r="E15757"/>
      <c r="G15757"/>
      <c r="H15757"/>
      <c r="I15757"/>
      <c r="K15757"/>
      <c r="O15757"/>
      <c r="R15757"/>
      <c r="W15757" s="4"/>
      <c r="X15757" s="4"/>
      <c r="Y15757" s="4"/>
    </row>
    <row r="15758" spans="5:25">
      <c r="E15758"/>
      <c r="G15758"/>
      <c r="H15758"/>
      <c r="I15758"/>
      <c r="K15758"/>
      <c r="O15758"/>
      <c r="R15758"/>
      <c r="W15758" s="4"/>
      <c r="X15758" s="4"/>
      <c r="Y15758" s="4"/>
    </row>
    <row r="15759" spans="5:25">
      <c r="E15759"/>
      <c r="G15759"/>
      <c r="H15759"/>
      <c r="I15759"/>
      <c r="K15759"/>
      <c r="O15759"/>
      <c r="R15759"/>
      <c r="W15759" s="4"/>
      <c r="X15759" s="4"/>
      <c r="Y15759" s="4"/>
    </row>
    <row r="15760" spans="5:25">
      <c r="E15760"/>
      <c r="G15760"/>
      <c r="H15760"/>
      <c r="I15760"/>
      <c r="K15760"/>
      <c r="O15760"/>
      <c r="R15760"/>
      <c r="W15760" s="4"/>
      <c r="X15760" s="4"/>
      <c r="Y15760" s="4"/>
    </row>
    <row r="15761" spans="5:25">
      <c r="E15761"/>
      <c r="G15761"/>
      <c r="H15761"/>
      <c r="I15761"/>
      <c r="K15761"/>
      <c r="O15761"/>
      <c r="R15761"/>
      <c r="W15761" s="4"/>
      <c r="X15761" s="4"/>
      <c r="Y15761" s="4"/>
    </row>
    <row r="15762" spans="5:25">
      <c r="E15762"/>
      <c r="G15762"/>
      <c r="H15762"/>
      <c r="I15762"/>
      <c r="K15762"/>
      <c r="O15762"/>
      <c r="R15762"/>
      <c r="W15762" s="4"/>
      <c r="X15762" s="4"/>
      <c r="Y15762" s="4"/>
    </row>
    <row r="15763" spans="5:25">
      <c r="E15763"/>
      <c r="G15763"/>
      <c r="H15763"/>
      <c r="I15763"/>
      <c r="K15763"/>
      <c r="O15763"/>
      <c r="R15763"/>
      <c r="W15763" s="4"/>
      <c r="X15763" s="4"/>
      <c r="Y15763" s="4"/>
    </row>
    <row r="15764" spans="5:25">
      <c r="E15764"/>
      <c r="G15764"/>
      <c r="H15764"/>
      <c r="I15764"/>
      <c r="K15764"/>
      <c r="O15764"/>
      <c r="R15764"/>
      <c r="W15764" s="4"/>
      <c r="X15764" s="4"/>
      <c r="Y15764" s="4"/>
    </row>
    <row r="15765" spans="5:25">
      <c r="E15765"/>
      <c r="G15765"/>
      <c r="H15765"/>
      <c r="I15765"/>
      <c r="K15765"/>
      <c r="O15765"/>
      <c r="R15765"/>
      <c r="W15765" s="4"/>
      <c r="X15765" s="4"/>
      <c r="Y15765" s="4"/>
    </row>
    <row r="15766" spans="5:25">
      <c r="E15766"/>
      <c r="G15766"/>
      <c r="H15766"/>
      <c r="I15766"/>
      <c r="K15766"/>
      <c r="O15766"/>
      <c r="R15766"/>
      <c r="W15766" s="4"/>
      <c r="X15766" s="4"/>
      <c r="Y15766" s="4"/>
    </row>
    <row r="15767" spans="5:25">
      <c r="E15767"/>
      <c r="G15767"/>
      <c r="H15767"/>
      <c r="I15767"/>
      <c r="K15767"/>
      <c r="O15767"/>
      <c r="R15767"/>
      <c r="W15767" s="4"/>
      <c r="X15767" s="4"/>
      <c r="Y15767" s="4"/>
    </row>
    <row r="15768" spans="5:25">
      <c r="E15768"/>
      <c r="G15768"/>
      <c r="H15768"/>
      <c r="I15768"/>
      <c r="K15768"/>
      <c r="O15768"/>
      <c r="R15768"/>
      <c r="W15768" s="4"/>
      <c r="X15768" s="4"/>
      <c r="Y15768" s="4"/>
    </row>
    <row r="15769" spans="5:25">
      <c r="E15769"/>
      <c r="G15769"/>
      <c r="H15769"/>
      <c r="I15769"/>
      <c r="K15769"/>
      <c r="O15769"/>
      <c r="R15769"/>
      <c r="W15769" s="4"/>
      <c r="X15769" s="4"/>
      <c r="Y15769" s="4"/>
    </row>
    <row r="15770" spans="5:25">
      <c r="E15770"/>
      <c r="G15770"/>
      <c r="H15770"/>
      <c r="I15770"/>
      <c r="K15770"/>
      <c r="O15770"/>
      <c r="R15770"/>
      <c r="W15770" s="4"/>
      <c r="X15770" s="4"/>
      <c r="Y15770" s="4"/>
    </row>
    <row r="15771" spans="5:25">
      <c r="E15771"/>
      <c r="G15771"/>
      <c r="H15771"/>
      <c r="I15771"/>
      <c r="K15771"/>
      <c r="O15771"/>
      <c r="R15771"/>
      <c r="W15771" s="4"/>
      <c r="X15771" s="4"/>
      <c r="Y15771" s="4"/>
    </row>
    <row r="15772" spans="5:25">
      <c r="E15772"/>
      <c r="G15772"/>
      <c r="H15772"/>
      <c r="I15772"/>
      <c r="K15772"/>
      <c r="O15772"/>
      <c r="R15772"/>
      <c r="W15772" s="4"/>
      <c r="X15772" s="4"/>
      <c r="Y15772" s="4"/>
    </row>
    <row r="15773" spans="5:25">
      <c r="E15773"/>
      <c r="G15773"/>
      <c r="H15773"/>
      <c r="I15773"/>
      <c r="K15773"/>
      <c r="O15773"/>
      <c r="R15773"/>
      <c r="W15773" s="4"/>
      <c r="X15773" s="4"/>
      <c r="Y15773" s="4"/>
    </row>
    <row r="15774" spans="5:25">
      <c r="E15774"/>
      <c r="G15774"/>
      <c r="H15774"/>
      <c r="I15774"/>
      <c r="K15774"/>
      <c r="O15774"/>
      <c r="R15774"/>
      <c r="W15774" s="4"/>
      <c r="X15774" s="4"/>
      <c r="Y15774" s="4"/>
    </row>
    <row r="15775" spans="5:25">
      <c r="E15775"/>
      <c r="G15775"/>
      <c r="H15775"/>
      <c r="I15775"/>
      <c r="K15775"/>
      <c r="O15775"/>
      <c r="R15775"/>
      <c r="W15775" s="4"/>
      <c r="X15775" s="4"/>
      <c r="Y15775" s="4"/>
    </row>
    <row r="15776" spans="5:25">
      <c r="E15776"/>
      <c r="G15776"/>
      <c r="H15776"/>
      <c r="I15776"/>
      <c r="K15776"/>
      <c r="O15776"/>
      <c r="R15776"/>
      <c r="W15776" s="4"/>
      <c r="X15776" s="4"/>
      <c r="Y15776" s="4"/>
    </row>
    <row r="15777" spans="5:25">
      <c r="E15777"/>
      <c r="G15777"/>
      <c r="H15777"/>
      <c r="I15777"/>
      <c r="K15777"/>
      <c r="O15777"/>
      <c r="R15777"/>
      <c r="W15777" s="4"/>
      <c r="X15777" s="4"/>
      <c r="Y15777" s="4"/>
    </row>
    <row r="15778" spans="5:25">
      <c r="E15778"/>
      <c r="G15778"/>
      <c r="H15778"/>
      <c r="I15778"/>
      <c r="K15778"/>
      <c r="O15778"/>
      <c r="R15778"/>
      <c r="W15778" s="4"/>
      <c r="X15778" s="4"/>
      <c r="Y15778" s="4"/>
    </row>
    <row r="15779" spans="5:25">
      <c r="E15779"/>
      <c r="G15779"/>
      <c r="H15779"/>
      <c r="I15779"/>
      <c r="K15779"/>
      <c r="O15779"/>
      <c r="R15779"/>
      <c r="W15779" s="4"/>
      <c r="X15779" s="4"/>
      <c r="Y15779" s="4"/>
    </row>
    <row r="15780" spans="5:25">
      <c r="E15780"/>
      <c r="G15780"/>
      <c r="H15780"/>
      <c r="I15780"/>
      <c r="K15780"/>
      <c r="O15780"/>
      <c r="R15780"/>
      <c r="W15780" s="4"/>
      <c r="X15780" s="4"/>
      <c r="Y15780" s="4"/>
    </row>
    <row r="15781" spans="5:25">
      <c r="E15781"/>
      <c r="G15781"/>
      <c r="H15781"/>
      <c r="I15781"/>
      <c r="K15781"/>
      <c r="O15781"/>
      <c r="R15781"/>
      <c r="W15781" s="4"/>
      <c r="X15781" s="4"/>
      <c r="Y15781" s="4"/>
    </row>
    <row r="15782" spans="5:25">
      <c r="E15782"/>
      <c r="G15782"/>
      <c r="H15782"/>
      <c r="I15782"/>
      <c r="K15782"/>
      <c r="O15782"/>
      <c r="R15782"/>
      <c r="W15782" s="4"/>
      <c r="X15782" s="4"/>
      <c r="Y15782" s="4"/>
    </row>
    <row r="15783" spans="5:25">
      <c r="E15783"/>
      <c r="G15783"/>
      <c r="H15783"/>
      <c r="I15783"/>
      <c r="K15783"/>
      <c r="O15783"/>
      <c r="R15783"/>
      <c r="W15783" s="4"/>
      <c r="X15783" s="4"/>
      <c r="Y15783" s="4"/>
    </row>
    <row r="15784" spans="5:25">
      <c r="E15784"/>
      <c r="G15784"/>
      <c r="H15784"/>
      <c r="I15784"/>
      <c r="K15784"/>
      <c r="O15784"/>
      <c r="R15784"/>
      <c r="W15784" s="4"/>
      <c r="X15784" s="4"/>
      <c r="Y15784" s="4"/>
    </row>
    <row r="15785" spans="5:25">
      <c r="E15785"/>
      <c r="G15785"/>
      <c r="H15785"/>
      <c r="I15785"/>
      <c r="K15785"/>
      <c r="O15785"/>
      <c r="R15785"/>
      <c r="W15785" s="4"/>
      <c r="X15785" s="4"/>
      <c r="Y15785" s="4"/>
    </row>
    <row r="15786" spans="5:25">
      <c r="E15786"/>
      <c r="G15786"/>
      <c r="H15786"/>
      <c r="I15786"/>
      <c r="K15786"/>
      <c r="O15786"/>
      <c r="R15786"/>
      <c r="W15786" s="4"/>
      <c r="X15786" s="4"/>
      <c r="Y15786" s="4"/>
    </row>
    <row r="15787" spans="5:25">
      <c r="E15787"/>
      <c r="G15787"/>
      <c r="H15787"/>
      <c r="I15787"/>
      <c r="K15787"/>
      <c r="O15787"/>
      <c r="R15787"/>
      <c r="W15787" s="4"/>
      <c r="X15787" s="4"/>
      <c r="Y15787" s="4"/>
    </row>
    <row r="15788" spans="5:25">
      <c r="E15788"/>
      <c r="G15788"/>
      <c r="H15788"/>
      <c r="I15788"/>
      <c r="K15788"/>
      <c r="O15788"/>
      <c r="R15788"/>
      <c r="W15788" s="4"/>
      <c r="X15788" s="4"/>
      <c r="Y15788" s="4"/>
    </row>
    <row r="15789" spans="5:25">
      <c r="E15789"/>
      <c r="G15789"/>
      <c r="H15789"/>
      <c r="I15789"/>
      <c r="K15789"/>
      <c r="O15789"/>
      <c r="R15789"/>
      <c r="W15789" s="4"/>
      <c r="X15789" s="4"/>
      <c r="Y15789" s="4"/>
    </row>
    <row r="15790" spans="5:25">
      <c r="E15790"/>
      <c r="G15790"/>
      <c r="H15790"/>
      <c r="I15790"/>
      <c r="K15790"/>
      <c r="O15790"/>
      <c r="R15790"/>
      <c r="W15790" s="4"/>
      <c r="X15790" s="4"/>
      <c r="Y15790" s="4"/>
    </row>
    <row r="15791" spans="5:25">
      <c r="E15791"/>
      <c r="G15791"/>
      <c r="H15791"/>
      <c r="I15791"/>
      <c r="K15791"/>
      <c r="O15791"/>
      <c r="R15791"/>
      <c r="W15791" s="4"/>
      <c r="X15791" s="4"/>
      <c r="Y15791" s="4"/>
    </row>
    <row r="15792" spans="5:25">
      <c r="E15792"/>
      <c r="G15792"/>
      <c r="H15792"/>
      <c r="I15792"/>
      <c r="K15792"/>
      <c r="O15792"/>
      <c r="R15792"/>
      <c r="W15792" s="4"/>
      <c r="X15792" s="4"/>
      <c r="Y15792" s="4"/>
    </row>
    <row r="15793" spans="5:25">
      <c r="E15793"/>
      <c r="G15793"/>
      <c r="H15793"/>
      <c r="I15793"/>
      <c r="K15793"/>
      <c r="O15793"/>
      <c r="R15793"/>
      <c r="W15793" s="4"/>
      <c r="X15793" s="4"/>
      <c r="Y15793" s="4"/>
    </row>
    <row r="15794" spans="5:25">
      <c r="E15794"/>
      <c r="G15794"/>
      <c r="H15794"/>
      <c r="I15794"/>
      <c r="K15794"/>
      <c r="O15794"/>
      <c r="R15794"/>
      <c r="W15794" s="4"/>
      <c r="X15794" s="4"/>
      <c r="Y15794" s="4"/>
    </row>
    <row r="15795" spans="5:25">
      <c r="E15795"/>
      <c r="G15795"/>
      <c r="H15795"/>
      <c r="I15795"/>
      <c r="K15795"/>
      <c r="O15795"/>
      <c r="R15795"/>
      <c r="W15795" s="4"/>
      <c r="X15795" s="4"/>
      <c r="Y15795" s="4"/>
    </row>
    <row r="15796" spans="5:25">
      <c r="E15796"/>
      <c r="G15796"/>
      <c r="H15796"/>
      <c r="I15796"/>
      <c r="K15796"/>
      <c r="O15796"/>
      <c r="R15796"/>
      <c r="W15796" s="4"/>
      <c r="X15796" s="4"/>
      <c r="Y15796" s="4"/>
    </row>
    <row r="15797" spans="5:25">
      <c r="E15797"/>
      <c r="G15797"/>
      <c r="H15797"/>
      <c r="I15797"/>
      <c r="K15797"/>
      <c r="O15797"/>
      <c r="R15797"/>
      <c r="W15797" s="4"/>
      <c r="X15797" s="4"/>
      <c r="Y15797" s="4"/>
    </row>
    <row r="15798" spans="5:25">
      <c r="E15798"/>
      <c r="G15798"/>
      <c r="H15798"/>
      <c r="I15798"/>
      <c r="K15798"/>
      <c r="O15798"/>
      <c r="R15798"/>
      <c r="W15798" s="4"/>
      <c r="X15798" s="4"/>
      <c r="Y15798" s="4"/>
    </row>
    <row r="15799" spans="5:25">
      <c r="E15799"/>
      <c r="G15799"/>
      <c r="H15799"/>
      <c r="I15799"/>
      <c r="K15799"/>
      <c r="O15799"/>
      <c r="R15799"/>
      <c r="W15799" s="4"/>
      <c r="X15799" s="4"/>
      <c r="Y15799" s="4"/>
    </row>
    <row r="15800" spans="5:25">
      <c r="E15800"/>
      <c r="G15800"/>
      <c r="H15800"/>
      <c r="I15800"/>
      <c r="K15800"/>
      <c r="O15800"/>
      <c r="R15800"/>
      <c r="W15800" s="4"/>
      <c r="X15800" s="4"/>
      <c r="Y15800" s="4"/>
    </row>
    <row r="15801" spans="5:25">
      <c r="E15801"/>
      <c r="G15801"/>
      <c r="H15801"/>
      <c r="I15801"/>
      <c r="K15801"/>
      <c r="O15801"/>
      <c r="R15801"/>
      <c r="W15801" s="4"/>
      <c r="X15801" s="4"/>
      <c r="Y15801" s="4"/>
    </row>
    <row r="15802" spans="5:25">
      <c r="E15802"/>
      <c r="G15802"/>
      <c r="H15802"/>
      <c r="I15802"/>
      <c r="K15802"/>
      <c r="O15802"/>
      <c r="R15802"/>
      <c r="W15802" s="4"/>
      <c r="X15802" s="4"/>
      <c r="Y15802" s="4"/>
    </row>
    <row r="15803" spans="5:25">
      <c r="E15803"/>
      <c r="G15803"/>
      <c r="H15803"/>
      <c r="I15803"/>
      <c r="K15803"/>
      <c r="O15803"/>
      <c r="R15803"/>
      <c r="W15803" s="4"/>
      <c r="X15803" s="4"/>
      <c r="Y15803" s="4"/>
    </row>
    <row r="15804" spans="5:25">
      <c r="E15804"/>
      <c r="G15804"/>
      <c r="H15804"/>
      <c r="I15804"/>
      <c r="K15804"/>
      <c r="O15804"/>
      <c r="R15804"/>
      <c r="W15804" s="4"/>
      <c r="X15804" s="4"/>
      <c r="Y15804" s="4"/>
    </row>
    <row r="15805" spans="5:25">
      <c r="E15805"/>
      <c r="G15805"/>
      <c r="H15805"/>
      <c r="I15805"/>
      <c r="K15805"/>
      <c r="O15805"/>
      <c r="R15805"/>
      <c r="W15805" s="4"/>
      <c r="X15805" s="4"/>
      <c r="Y15805" s="4"/>
    </row>
    <row r="15806" spans="5:25">
      <c r="E15806"/>
      <c r="G15806"/>
      <c r="H15806"/>
      <c r="I15806"/>
      <c r="K15806"/>
      <c r="O15806"/>
      <c r="R15806"/>
      <c r="W15806" s="4"/>
      <c r="X15806" s="4"/>
      <c r="Y15806" s="4"/>
    </row>
    <row r="15807" spans="5:25">
      <c r="E15807"/>
      <c r="G15807"/>
      <c r="H15807"/>
      <c r="I15807"/>
      <c r="K15807"/>
      <c r="O15807"/>
      <c r="R15807"/>
      <c r="W15807" s="4"/>
      <c r="X15807" s="4"/>
      <c r="Y15807" s="4"/>
    </row>
    <row r="15808" spans="5:25">
      <c r="E15808"/>
      <c r="G15808"/>
      <c r="H15808"/>
      <c r="I15808"/>
      <c r="K15808"/>
      <c r="O15808"/>
      <c r="R15808"/>
      <c r="W15808" s="4"/>
      <c r="X15808" s="4"/>
      <c r="Y15808" s="4"/>
    </row>
    <row r="15809" spans="5:25">
      <c r="E15809"/>
      <c r="G15809"/>
      <c r="H15809"/>
      <c r="I15809"/>
      <c r="K15809"/>
      <c r="O15809"/>
      <c r="R15809"/>
      <c r="W15809" s="4"/>
      <c r="X15809" s="4"/>
      <c r="Y15809" s="4"/>
    </row>
    <row r="15810" spans="5:25">
      <c r="E15810"/>
      <c r="G15810"/>
      <c r="H15810"/>
      <c r="I15810"/>
      <c r="K15810"/>
      <c r="O15810"/>
      <c r="R15810"/>
      <c r="W15810" s="4"/>
      <c r="X15810" s="4"/>
      <c r="Y15810" s="4"/>
    </row>
    <row r="15811" spans="5:25">
      <c r="E15811"/>
      <c r="G15811"/>
      <c r="H15811"/>
      <c r="I15811"/>
      <c r="K15811"/>
      <c r="O15811"/>
      <c r="R15811"/>
      <c r="W15811" s="4"/>
      <c r="X15811" s="4"/>
      <c r="Y15811" s="4"/>
    </row>
    <row r="15812" spans="5:25">
      <c r="E15812"/>
      <c r="G15812"/>
      <c r="H15812"/>
      <c r="I15812"/>
      <c r="K15812"/>
      <c r="O15812"/>
      <c r="R15812"/>
      <c r="W15812" s="4"/>
      <c r="X15812" s="4"/>
      <c r="Y15812" s="4"/>
    </row>
    <row r="15813" spans="5:25">
      <c r="E15813"/>
      <c r="G15813"/>
      <c r="H15813"/>
      <c r="I15813"/>
      <c r="K15813"/>
      <c r="O15813"/>
      <c r="R15813"/>
      <c r="W15813" s="4"/>
      <c r="X15813" s="4"/>
      <c r="Y15813" s="4"/>
    </row>
    <row r="15814" spans="5:25">
      <c r="E15814"/>
      <c r="G15814"/>
      <c r="H15814"/>
      <c r="I15814"/>
      <c r="K15814"/>
      <c r="O15814"/>
      <c r="R15814"/>
      <c r="W15814" s="4"/>
      <c r="X15814" s="4"/>
      <c r="Y15814" s="4"/>
    </row>
    <row r="15815" spans="5:25">
      <c r="E15815"/>
      <c r="G15815"/>
      <c r="H15815"/>
      <c r="I15815"/>
      <c r="K15815"/>
      <c r="O15815"/>
      <c r="R15815"/>
      <c r="W15815" s="4"/>
      <c r="X15815" s="4"/>
      <c r="Y15815" s="4"/>
    </row>
    <row r="15816" spans="5:25">
      <c r="E15816"/>
      <c r="G15816"/>
      <c r="H15816"/>
      <c r="I15816"/>
      <c r="K15816"/>
      <c r="O15816"/>
      <c r="R15816"/>
      <c r="W15816" s="4"/>
      <c r="X15816" s="4"/>
      <c r="Y15816" s="4"/>
    </row>
    <row r="15817" spans="5:25">
      <c r="E15817"/>
      <c r="G15817"/>
      <c r="H15817"/>
      <c r="I15817"/>
      <c r="K15817"/>
      <c r="O15817"/>
      <c r="R15817"/>
      <c r="W15817" s="4"/>
      <c r="X15817" s="4"/>
      <c r="Y15817" s="4"/>
    </row>
    <row r="15818" spans="5:25">
      <c r="E15818"/>
      <c r="G15818"/>
      <c r="H15818"/>
      <c r="I15818"/>
      <c r="K15818"/>
      <c r="O15818"/>
      <c r="R15818"/>
      <c r="W15818" s="4"/>
      <c r="X15818" s="4"/>
      <c r="Y15818" s="4"/>
    </row>
    <row r="15819" spans="5:25">
      <c r="E15819"/>
      <c r="G15819"/>
      <c r="H15819"/>
      <c r="I15819"/>
      <c r="K15819"/>
      <c r="O15819"/>
      <c r="R15819"/>
      <c r="W15819" s="4"/>
      <c r="X15819" s="4"/>
      <c r="Y15819" s="4"/>
    </row>
    <row r="15820" spans="5:25">
      <c r="E15820"/>
      <c r="G15820"/>
      <c r="H15820"/>
      <c r="I15820"/>
      <c r="K15820"/>
      <c r="O15820"/>
      <c r="R15820"/>
      <c r="W15820" s="4"/>
      <c r="X15820" s="4"/>
      <c r="Y15820" s="4"/>
    </row>
    <row r="15821" spans="5:25">
      <c r="E15821"/>
      <c r="G15821"/>
      <c r="H15821"/>
      <c r="I15821"/>
      <c r="K15821"/>
      <c r="O15821"/>
      <c r="R15821"/>
      <c r="W15821" s="4"/>
      <c r="X15821" s="4"/>
      <c r="Y15821" s="4"/>
    </row>
    <row r="15822" spans="5:25">
      <c r="E15822"/>
      <c r="G15822"/>
      <c r="H15822"/>
      <c r="I15822"/>
      <c r="K15822"/>
      <c r="O15822"/>
      <c r="R15822"/>
      <c r="W15822" s="4"/>
      <c r="X15822" s="4"/>
      <c r="Y15822" s="4"/>
    </row>
    <row r="15823" spans="5:25">
      <c r="E15823"/>
      <c r="G15823"/>
      <c r="H15823"/>
      <c r="I15823"/>
      <c r="K15823"/>
      <c r="O15823"/>
      <c r="R15823"/>
      <c r="W15823" s="4"/>
      <c r="X15823" s="4"/>
      <c r="Y15823" s="4"/>
    </row>
    <row r="15824" spans="5:25">
      <c r="E15824"/>
      <c r="G15824"/>
      <c r="H15824"/>
      <c r="I15824"/>
      <c r="K15824"/>
      <c r="O15824"/>
      <c r="R15824"/>
      <c r="W15824" s="4"/>
      <c r="X15824" s="4"/>
      <c r="Y15824" s="4"/>
    </row>
    <row r="15825" spans="5:25">
      <c r="E15825"/>
      <c r="G15825"/>
      <c r="H15825"/>
      <c r="I15825"/>
      <c r="K15825"/>
      <c r="O15825"/>
      <c r="R15825"/>
      <c r="W15825" s="4"/>
      <c r="X15825" s="4"/>
      <c r="Y15825" s="4"/>
    </row>
    <row r="15826" spans="5:25">
      <c r="E15826"/>
      <c r="G15826"/>
      <c r="H15826"/>
      <c r="I15826"/>
      <c r="K15826"/>
      <c r="O15826"/>
      <c r="R15826"/>
      <c r="W15826" s="4"/>
      <c r="X15826" s="4"/>
      <c r="Y15826" s="4"/>
    </row>
    <row r="15827" spans="5:25">
      <c r="E15827"/>
      <c r="G15827"/>
      <c r="H15827"/>
      <c r="I15827"/>
      <c r="K15827"/>
      <c r="O15827"/>
      <c r="R15827"/>
      <c r="W15827" s="4"/>
      <c r="X15827" s="4"/>
      <c r="Y15827" s="4"/>
    </row>
    <row r="15828" spans="5:25">
      <c r="E15828"/>
      <c r="G15828"/>
      <c r="H15828"/>
      <c r="I15828"/>
      <c r="K15828"/>
      <c r="O15828"/>
      <c r="R15828"/>
      <c r="W15828" s="4"/>
      <c r="X15828" s="4"/>
      <c r="Y15828" s="4"/>
    </row>
    <row r="15829" spans="5:25">
      <c r="E15829"/>
      <c r="G15829"/>
      <c r="H15829"/>
      <c r="I15829"/>
      <c r="K15829"/>
      <c r="O15829"/>
      <c r="R15829"/>
      <c r="W15829" s="4"/>
      <c r="X15829" s="4"/>
      <c r="Y15829" s="4"/>
    </row>
    <row r="15830" spans="5:25">
      <c r="E15830"/>
      <c r="G15830"/>
      <c r="H15830"/>
      <c r="I15830"/>
      <c r="K15830"/>
      <c r="O15830"/>
      <c r="R15830"/>
      <c r="W15830" s="4"/>
      <c r="X15830" s="4"/>
      <c r="Y15830" s="4"/>
    </row>
    <row r="15831" spans="5:25">
      <c r="E15831"/>
      <c r="G15831"/>
      <c r="H15831"/>
      <c r="I15831"/>
      <c r="K15831"/>
      <c r="O15831"/>
      <c r="R15831"/>
      <c r="W15831" s="4"/>
      <c r="X15831" s="4"/>
      <c r="Y15831" s="4"/>
    </row>
    <row r="15832" spans="5:25">
      <c r="E15832"/>
      <c r="G15832"/>
      <c r="H15832"/>
      <c r="I15832"/>
      <c r="K15832"/>
      <c r="O15832"/>
      <c r="R15832"/>
      <c r="W15832" s="4"/>
      <c r="X15832" s="4"/>
      <c r="Y15832" s="4"/>
    </row>
    <row r="15833" spans="5:25">
      <c r="E15833"/>
      <c r="G15833"/>
      <c r="H15833"/>
      <c r="I15833"/>
      <c r="K15833"/>
      <c r="O15833"/>
      <c r="R15833"/>
      <c r="W15833" s="4"/>
      <c r="X15833" s="4"/>
      <c r="Y15833" s="4"/>
    </row>
    <row r="15834" spans="5:25">
      <c r="E15834"/>
      <c r="G15834"/>
      <c r="H15834"/>
      <c r="I15834"/>
      <c r="K15834"/>
      <c r="O15834"/>
      <c r="R15834"/>
      <c r="W15834" s="4"/>
      <c r="X15834" s="4"/>
      <c r="Y15834" s="4"/>
    </row>
    <row r="15835" spans="5:25">
      <c r="E15835"/>
      <c r="G15835"/>
      <c r="H15835"/>
      <c r="I15835"/>
      <c r="K15835"/>
      <c r="O15835"/>
      <c r="R15835"/>
      <c r="W15835" s="4"/>
      <c r="X15835" s="4"/>
      <c r="Y15835" s="4"/>
    </row>
    <row r="15836" spans="5:25">
      <c r="E15836"/>
      <c r="G15836"/>
      <c r="H15836"/>
      <c r="I15836"/>
      <c r="K15836"/>
      <c r="O15836"/>
      <c r="R15836"/>
      <c r="W15836" s="4"/>
      <c r="X15836" s="4"/>
      <c r="Y15836" s="4"/>
    </row>
    <row r="15837" spans="5:25">
      <c r="E15837"/>
      <c r="G15837"/>
      <c r="H15837"/>
      <c r="I15837"/>
      <c r="K15837"/>
      <c r="O15837"/>
      <c r="R15837"/>
      <c r="W15837" s="4"/>
      <c r="X15837" s="4"/>
      <c r="Y15837" s="4"/>
    </row>
    <row r="15838" spans="5:25">
      <c r="E15838"/>
      <c r="G15838"/>
      <c r="H15838"/>
      <c r="I15838"/>
      <c r="K15838"/>
      <c r="O15838"/>
      <c r="R15838"/>
      <c r="W15838" s="4"/>
      <c r="X15838" s="4"/>
      <c r="Y15838" s="4"/>
    </row>
    <row r="15839" spans="5:25">
      <c r="E15839"/>
      <c r="G15839"/>
      <c r="H15839"/>
      <c r="I15839"/>
      <c r="K15839"/>
      <c r="O15839"/>
      <c r="R15839"/>
      <c r="W15839" s="4"/>
      <c r="X15839" s="4"/>
      <c r="Y15839" s="4"/>
    </row>
    <row r="15840" spans="5:25">
      <c r="E15840"/>
      <c r="G15840"/>
      <c r="H15840"/>
      <c r="I15840"/>
      <c r="K15840"/>
      <c r="O15840"/>
      <c r="R15840"/>
      <c r="W15840" s="4"/>
      <c r="X15840" s="4"/>
      <c r="Y15840" s="4"/>
    </row>
    <row r="15841" spans="5:25">
      <c r="E15841"/>
      <c r="G15841"/>
      <c r="H15841"/>
      <c r="I15841"/>
      <c r="K15841"/>
      <c r="O15841"/>
      <c r="R15841"/>
      <c r="W15841" s="4"/>
      <c r="X15841" s="4"/>
      <c r="Y15841" s="4"/>
    </row>
    <row r="15842" spans="5:25">
      <c r="E15842"/>
      <c r="G15842"/>
      <c r="H15842"/>
      <c r="I15842"/>
      <c r="K15842"/>
      <c r="O15842"/>
      <c r="R15842"/>
      <c r="W15842" s="4"/>
      <c r="X15842" s="4"/>
      <c r="Y15842" s="4"/>
    </row>
    <row r="15843" spans="5:25">
      <c r="E15843"/>
      <c r="G15843"/>
      <c r="H15843"/>
      <c r="I15843"/>
      <c r="K15843"/>
      <c r="O15843"/>
      <c r="R15843"/>
      <c r="W15843" s="4"/>
      <c r="X15843" s="4"/>
      <c r="Y15843" s="4"/>
    </row>
    <row r="15844" spans="5:25">
      <c r="E15844"/>
      <c r="G15844"/>
      <c r="H15844"/>
      <c r="I15844"/>
      <c r="K15844"/>
      <c r="O15844"/>
      <c r="R15844"/>
      <c r="W15844" s="4"/>
      <c r="X15844" s="4"/>
      <c r="Y15844" s="4"/>
    </row>
    <row r="15845" spans="5:25">
      <c r="E15845"/>
      <c r="G15845"/>
      <c r="H15845"/>
      <c r="I15845"/>
      <c r="K15845"/>
      <c r="O15845"/>
      <c r="R15845"/>
      <c r="W15845" s="4"/>
      <c r="X15845" s="4"/>
      <c r="Y15845" s="4"/>
    </row>
    <row r="15846" spans="5:25">
      <c r="E15846"/>
      <c r="G15846"/>
      <c r="H15846"/>
      <c r="I15846"/>
      <c r="K15846"/>
      <c r="O15846"/>
      <c r="R15846"/>
      <c r="W15846" s="4"/>
      <c r="X15846" s="4"/>
      <c r="Y15846" s="4"/>
    </row>
    <row r="15847" spans="5:25">
      <c r="E15847"/>
      <c r="G15847"/>
      <c r="H15847"/>
      <c r="I15847"/>
      <c r="K15847"/>
      <c r="O15847"/>
      <c r="R15847"/>
      <c r="W15847" s="4"/>
      <c r="X15847" s="4"/>
      <c r="Y15847" s="4"/>
    </row>
    <row r="15848" spans="5:25">
      <c r="E15848"/>
      <c r="G15848"/>
      <c r="H15848"/>
      <c r="I15848"/>
      <c r="K15848"/>
      <c r="O15848"/>
      <c r="R15848"/>
      <c r="W15848" s="4"/>
      <c r="X15848" s="4"/>
      <c r="Y15848" s="4"/>
    </row>
    <row r="15849" spans="5:25">
      <c r="E15849"/>
      <c r="G15849"/>
      <c r="H15849"/>
      <c r="I15849"/>
      <c r="K15849"/>
      <c r="O15849"/>
      <c r="R15849"/>
      <c r="W15849" s="4"/>
      <c r="X15849" s="4"/>
      <c r="Y15849" s="4"/>
    </row>
    <row r="15850" spans="5:25">
      <c r="E15850"/>
      <c r="G15850"/>
      <c r="H15850"/>
      <c r="I15850"/>
      <c r="K15850"/>
      <c r="O15850"/>
      <c r="R15850"/>
      <c r="W15850" s="4"/>
      <c r="X15850" s="4"/>
      <c r="Y15850" s="4"/>
    </row>
    <row r="15851" spans="5:25">
      <c r="E15851"/>
      <c r="G15851"/>
      <c r="H15851"/>
      <c r="I15851"/>
      <c r="K15851"/>
      <c r="O15851"/>
      <c r="R15851"/>
      <c r="W15851" s="4"/>
      <c r="X15851" s="4"/>
      <c r="Y15851" s="4"/>
    </row>
    <row r="15852" spans="5:25">
      <c r="E15852"/>
      <c r="G15852"/>
      <c r="H15852"/>
      <c r="I15852"/>
      <c r="K15852"/>
      <c r="O15852"/>
      <c r="R15852"/>
      <c r="W15852" s="4"/>
      <c r="X15852" s="4"/>
      <c r="Y15852" s="4"/>
    </row>
    <row r="15853" spans="5:25">
      <c r="E15853"/>
      <c r="G15853"/>
      <c r="H15853"/>
      <c r="I15853"/>
      <c r="K15853"/>
      <c r="O15853"/>
      <c r="R15853"/>
      <c r="W15853" s="4"/>
      <c r="X15853" s="4"/>
      <c r="Y15853" s="4"/>
    </row>
    <row r="15854" spans="5:25">
      <c r="E15854"/>
      <c r="G15854"/>
      <c r="H15854"/>
      <c r="I15854"/>
      <c r="K15854"/>
      <c r="O15854"/>
      <c r="R15854"/>
      <c r="W15854" s="4"/>
      <c r="X15854" s="4"/>
      <c r="Y15854" s="4"/>
    </row>
    <row r="15855" spans="5:25">
      <c r="E15855"/>
      <c r="G15855"/>
      <c r="H15855"/>
      <c r="I15855"/>
      <c r="K15855"/>
      <c r="O15855"/>
      <c r="R15855"/>
      <c r="W15855" s="4"/>
      <c r="X15855" s="4"/>
      <c r="Y15855" s="4"/>
    </row>
    <row r="15856" spans="5:25">
      <c r="E15856"/>
      <c r="G15856"/>
      <c r="H15856"/>
      <c r="I15856"/>
      <c r="K15856"/>
      <c r="O15856"/>
      <c r="R15856"/>
      <c r="W15856" s="4"/>
      <c r="X15856" s="4"/>
      <c r="Y15856" s="4"/>
    </row>
    <row r="15857" spans="5:25">
      <c r="E15857"/>
      <c r="G15857"/>
      <c r="H15857"/>
      <c r="I15857"/>
      <c r="K15857"/>
      <c r="O15857"/>
      <c r="R15857"/>
      <c r="W15857" s="4"/>
      <c r="X15857" s="4"/>
      <c r="Y15857" s="4"/>
    </row>
    <row r="15858" spans="5:25">
      <c r="E15858"/>
      <c r="G15858"/>
      <c r="H15858"/>
      <c r="I15858"/>
      <c r="K15858"/>
      <c r="O15858"/>
      <c r="R15858"/>
      <c r="W15858" s="4"/>
      <c r="X15858" s="4"/>
      <c r="Y15858" s="4"/>
    </row>
    <row r="15859" spans="5:25">
      <c r="E15859"/>
      <c r="G15859"/>
      <c r="H15859"/>
      <c r="I15859"/>
      <c r="K15859"/>
      <c r="O15859"/>
      <c r="R15859"/>
      <c r="W15859" s="4"/>
      <c r="X15859" s="4"/>
      <c r="Y15859" s="4"/>
    </row>
    <row r="15860" spans="5:25">
      <c r="E15860"/>
      <c r="G15860"/>
      <c r="H15860"/>
      <c r="I15860"/>
      <c r="K15860"/>
      <c r="O15860"/>
      <c r="R15860"/>
      <c r="W15860" s="4"/>
      <c r="X15860" s="4"/>
      <c r="Y15860" s="4"/>
    </row>
    <row r="15861" spans="5:25">
      <c r="E15861"/>
      <c r="G15861"/>
      <c r="H15861"/>
      <c r="I15861"/>
      <c r="K15861"/>
      <c r="O15861"/>
      <c r="R15861"/>
      <c r="W15861" s="4"/>
      <c r="X15861" s="4"/>
      <c r="Y15861" s="4"/>
    </row>
    <row r="15862" spans="5:25">
      <c r="E15862"/>
      <c r="G15862"/>
      <c r="H15862"/>
      <c r="I15862"/>
      <c r="K15862"/>
      <c r="O15862"/>
      <c r="R15862"/>
      <c r="W15862" s="4"/>
      <c r="X15862" s="4"/>
      <c r="Y15862" s="4"/>
    </row>
    <row r="15863" spans="5:25">
      <c r="E15863"/>
      <c r="G15863"/>
      <c r="H15863"/>
      <c r="I15863"/>
      <c r="K15863"/>
      <c r="O15863"/>
      <c r="R15863"/>
      <c r="W15863" s="4"/>
      <c r="X15863" s="4"/>
      <c r="Y15863" s="4"/>
    </row>
    <row r="15864" spans="5:25">
      <c r="E15864"/>
      <c r="G15864"/>
      <c r="H15864"/>
      <c r="I15864"/>
      <c r="K15864"/>
      <c r="O15864"/>
      <c r="R15864"/>
      <c r="W15864" s="4"/>
      <c r="X15864" s="4"/>
      <c r="Y15864" s="4"/>
    </row>
    <row r="15865" spans="5:25">
      <c r="E15865"/>
      <c r="G15865"/>
      <c r="H15865"/>
      <c r="I15865"/>
      <c r="K15865"/>
      <c r="O15865"/>
      <c r="R15865"/>
      <c r="W15865" s="4"/>
      <c r="X15865" s="4"/>
      <c r="Y15865" s="4"/>
    </row>
    <row r="15866" spans="5:25">
      <c r="E15866"/>
      <c r="G15866"/>
      <c r="H15866"/>
      <c r="I15866"/>
      <c r="K15866"/>
      <c r="O15866"/>
      <c r="R15866"/>
      <c r="W15866" s="4"/>
      <c r="X15866" s="4"/>
      <c r="Y15866" s="4"/>
    </row>
    <row r="15867" spans="5:25">
      <c r="E15867"/>
      <c r="G15867"/>
      <c r="H15867"/>
      <c r="I15867"/>
      <c r="K15867"/>
      <c r="O15867"/>
      <c r="R15867"/>
      <c r="W15867" s="4"/>
      <c r="X15867" s="4"/>
      <c r="Y15867" s="4"/>
    </row>
    <row r="15868" spans="5:25">
      <c r="E15868"/>
      <c r="G15868"/>
      <c r="H15868"/>
      <c r="I15868"/>
      <c r="K15868"/>
      <c r="O15868"/>
      <c r="R15868"/>
      <c r="W15868" s="4"/>
      <c r="X15868" s="4"/>
      <c r="Y15868" s="4"/>
    </row>
    <row r="15869" spans="5:25">
      <c r="E15869"/>
      <c r="G15869"/>
      <c r="H15869"/>
      <c r="I15869"/>
      <c r="K15869"/>
      <c r="O15869"/>
      <c r="R15869"/>
      <c r="W15869" s="4"/>
      <c r="X15869" s="4"/>
      <c r="Y15869" s="4"/>
    </row>
    <row r="15870" spans="5:25">
      <c r="E15870"/>
      <c r="G15870"/>
      <c r="H15870"/>
      <c r="I15870"/>
      <c r="K15870"/>
      <c r="O15870"/>
      <c r="R15870"/>
      <c r="W15870" s="4"/>
      <c r="X15870" s="4"/>
      <c r="Y15870" s="4"/>
    </row>
    <row r="15871" spans="5:25">
      <c r="E15871"/>
      <c r="G15871"/>
      <c r="H15871"/>
      <c r="I15871"/>
      <c r="K15871"/>
      <c r="O15871"/>
      <c r="R15871"/>
      <c r="W15871" s="4"/>
      <c r="X15871" s="4"/>
      <c r="Y15871" s="4"/>
    </row>
    <row r="15872" spans="5:25">
      <c r="E15872"/>
      <c r="G15872"/>
      <c r="H15872"/>
      <c r="I15872"/>
      <c r="K15872"/>
      <c r="O15872"/>
      <c r="R15872"/>
      <c r="W15872" s="4"/>
      <c r="X15872" s="4"/>
      <c r="Y15872" s="4"/>
    </row>
    <row r="15873" spans="5:25">
      <c r="E15873"/>
      <c r="G15873"/>
      <c r="H15873"/>
      <c r="I15873"/>
      <c r="K15873"/>
      <c r="O15873"/>
      <c r="R15873"/>
      <c r="W15873" s="4"/>
      <c r="X15873" s="4"/>
      <c r="Y15873" s="4"/>
    </row>
    <row r="15874" spans="5:25">
      <c r="E15874"/>
      <c r="G15874"/>
      <c r="H15874"/>
      <c r="I15874"/>
      <c r="K15874"/>
      <c r="O15874"/>
      <c r="R15874"/>
      <c r="W15874" s="4"/>
      <c r="X15874" s="4"/>
      <c r="Y15874" s="4"/>
    </row>
    <row r="15875" spans="5:25">
      <c r="E15875"/>
      <c r="G15875"/>
      <c r="H15875"/>
      <c r="I15875"/>
      <c r="K15875"/>
      <c r="O15875"/>
      <c r="R15875"/>
      <c r="W15875" s="4"/>
      <c r="X15875" s="4"/>
      <c r="Y15875" s="4"/>
    </row>
    <row r="15876" spans="5:25">
      <c r="E15876"/>
      <c r="G15876"/>
      <c r="H15876"/>
      <c r="I15876"/>
      <c r="K15876"/>
      <c r="O15876"/>
      <c r="R15876"/>
      <c r="W15876" s="4"/>
      <c r="X15876" s="4"/>
      <c r="Y15876" s="4"/>
    </row>
    <row r="15877" spans="5:25">
      <c r="E15877"/>
      <c r="G15877"/>
      <c r="H15877"/>
      <c r="I15877"/>
      <c r="K15877"/>
      <c r="O15877"/>
      <c r="R15877"/>
      <c r="W15877" s="4"/>
      <c r="X15877" s="4"/>
      <c r="Y15877" s="4"/>
    </row>
    <row r="15878" spans="5:25">
      <c r="E15878"/>
      <c r="G15878"/>
      <c r="H15878"/>
      <c r="I15878"/>
      <c r="K15878"/>
      <c r="O15878"/>
      <c r="R15878"/>
      <c r="W15878" s="4"/>
      <c r="X15878" s="4"/>
      <c r="Y15878" s="4"/>
    </row>
    <row r="15879" spans="5:25">
      <c r="E15879"/>
      <c r="G15879"/>
      <c r="H15879"/>
      <c r="I15879"/>
      <c r="K15879"/>
      <c r="O15879"/>
      <c r="R15879"/>
      <c r="W15879" s="4"/>
      <c r="X15879" s="4"/>
      <c r="Y15879" s="4"/>
    </row>
    <row r="15880" spans="5:25">
      <c r="E15880"/>
      <c r="G15880"/>
      <c r="H15880"/>
      <c r="I15880"/>
      <c r="K15880"/>
      <c r="O15880"/>
      <c r="R15880"/>
      <c r="W15880" s="4"/>
      <c r="X15880" s="4"/>
      <c r="Y15880" s="4"/>
    </row>
    <row r="15881" spans="5:25">
      <c r="E15881"/>
      <c r="G15881"/>
      <c r="H15881"/>
      <c r="I15881"/>
      <c r="K15881"/>
      <c r="O15881"/>
      <c r="R15881"/>
      <c r="W15881" s="4"/>
      <c r="X15881" s="4"/>
      <c r="Y15881" s="4"/>
    </row>
    <row r="15882" spans="5:25">
      <c r="E15882"/>
      <c r="G15882"/>
      <c r="H15882"/>
      <c r="I15882"/>
      <c r="K15882"/>
      <c r="O15882"/>
      <c r="R15882"/>
      <c r="W15882" s="4"/>
      <c r="X15882" s="4"/>
      <c r="Y15882" s="4"/>
    </row>
    <row r="15883" spans="5:25">
      <c r="E15883"/>
      <c r="G15883"/>
      <c r="H15883"/>
      <c r="I15883"/>
      <c r="K15883"/>
      <c r="O15883"/>
      <c r="R15883"/>
      <c r="W15883" s="4"/>
      <c r="X15883" s="4"/>
      <c r="Y15883" s="4"/>
    </row>
    <row r="15884" spans="5:25">
      <c r="E15884"/>
      <c r="G15884"/>
      <c r="H15884"/>
      <c r="I15884"/>
      <c r="K15884"/>
      <c r="O15884"/>
      <c r="R15884"/>
      <c r="W15884" s="4"/>
      <c r="X15884" s="4"/>
      <c r="Y15884" s="4"/>
    </row>
    <row r="15885" spans="5:25">
      <c r="E15885"/>
      <c r="G15885"/>
      <c r="H15885"/>
      <c r="I15885"/>
      <c r="K15885"/>
      <c r="O15885"/>
      <c r="R15885"/>
      <c r="W15885" s="4"/>
      <c r="X15885" s="4"/>
      <c r="Y15885" s="4"/>
    </row>
    <row r="15886" spans="5:25">
      <c r="E15886"/>
      <c r="G15886"/>
      <c r="H15886"/>
      <c r="I15886"/>
      <c r="K15886"/>
      <c r="O15886"/>
      <c r="R15886"/>
      <c r="W15886" s="4"/>
      <c r="X15886" s="4"/>
      <c r="Y15886" s="4"/>
    </row>
    <row r="15887" spans="5:25">
      <c r="E15887"/>
      <c r="G15887"/>
      <c r="H15887"/>
      <c r="I15887"/>
      <c r="K15887"/>
      <c r="O15887"/>
      <c r="R15887"/>
      <c r="W15887" s="4"/>
      <c r="X15887" s="4"/>
      <c r="Y15887" s="4"/>
    </row>
    <row r="15888" spans="5:25">
      <c r="E15888"/>
      <c r="G15888"/>
      <c r="H15888"/>
      <c r="I15888"/>
      <c r="K15888"/>
      <c r="O15888"/>
      <c r="R15888"/>
      <c r="W15888" s="4"/>
      <c r="X15888" s="4"/>
      <c r="Y15888" s="4"/>
    </row>
    <row r="15889" spans="5:25">
      <c r="E15889"/>
      <c r="G15889"/>
      <c r="H15889"/>
      <c r="I15889"/>
      <c r="K15889"/>
      <c r="O15889"/>
      <c r="R15889"/>
      <c r="W15889" s="4"/>
      <c r="X15889" s="4"/>
      <c r="Y15889" s="4"/>
    </row>
    <row r="15890" spans="5:25">
      <c r="E15890"/>
      <c r="G15890"/>
      <c r="H15890"/>
      <c r="I15890"/>
      <c r="K15890"/>
      <c r="O15890"/>
      <c r="R15890"/>
      <c r="W15890" s="4"/>
      <c r="X15890" s="4"/>
      <c r="Y15890" s="4"/>
    </row>
    <row r="15891" spans="5:25">
      <c r="E15891"/>
      <c r="G15891"/>
      <c r="H15891"/>
      <c r="I15891"/>
      <c r="K15891"/>
      <c r="O15891"/>
      <c r="R15891"/>
      <c r="W15891" s="4"/>
      <c r="X15891" s="4"/>
      <c r="Y15891" s="4"/>
    </row>
    <row r="15892" spans="5:25">
      <c r="E15892"/>
      <c r="G15892"/>
      <c r="H15892"/>
      <c r="I15892"/>
      <c r="K15892"/>
      <c r="O15892"/>
      <c r="R15892"/>
      <c r="W15892" s="4"/>
      <c r="X15892" s="4"/>
      <c r="Y15892" s="4"/>
    </row>
    <row r="15893" spans="5:25">
      <c r="E15893"/>
      <c r="G15893"/>
      <c r="H15893"/>
      <c r="I15893"/>
      <c r="K15893"/>
      <c r="O15893"/>
      <c r="R15893"/>
      <c r="W15893" s="4"/>
      <c r="X15893" s="4"/>
      <c r="Y15893" s="4"/>
    </row>
    <row r="15894" spans="5:25">
      <c r="E15894"/>
      <c r="G15894"/>
      <c r="H15894"/>
      <c r="I15894"/>
      <c r="K15894"/>
      <c r="O15894"/>
      <c r="R15894"/>
      <c r="W15894" s="4"/>
      <c r="X15894" s="4"/>
      <c r="Y15894" s="4"/>
    </row>
    <row r="15895" spans="5:25">
      <c r="E15895"/>
      <c r="G15895"/>
      <c r="H15895"/>
      <c r="I15895"/>
      <c r="K15895"/>
      <c r="O15895"/>
      <c r="R15895"/>
      <c r="W15895" s="4"/>
      <c r="X15895" s="4"/>
      <c r="Y15895" s="4"/>
    </row>
    <row r="15896" spans="5:25">
      <c r="E15896"/>
      <c r="G15896"/>
      <c r="H15896"/>
      <c r="I15896"/>
      <c r="K15896"/>
      <c r="O15896"/>
      <c r="R15896"/>
      <c r="W15896" s="4"/>
      <c r="X15896" s="4"/>
      <c r="Y15896" s="4"/>
    </row>
    <row r="15897" spans="5:25">
      <c r="E15897"/>
      <c r="G15897"/>
      <c r="H15897"/>
      <c r="I15897"/>
      <c r="K15897"/>
      <c r="O15897"/>
      <c r="R15897"/>
      <c r="W15897" s="4"/>
      <c r="X15897" s="4"/>
      <c r="Y15897" s="4"/>
    </row>
    <row r="15898" spans="5:25">
      <c r="E15898"/>
      <c r="G15898"/>
      <c r="H15898"/>
      <c r="I15898"/>
      <c r="K15898"/>
      <c r="O15898"/>
      <c r="R15898"/>
      <c r="W15898" s="4"/>
      <c r="X15898" s="4"/>
      <c r="Y15898" s="4"/>
    </row>
    <row r="15899" spans="5:25">
      <c r="E15899"/>
      <c r="G15899"/>
      <c r="H15899"/>
      <c r="I15899"/>
      <c r="K15899"/>
      <c r="O15899"/>
      <c r="R15899"/>
      <c r="W15899" s="4"/>
      <c r="X15899" s="4"/>
      <c r="Y15899" s="4"/>
    </row>
    <row r="15900" spans="5:25">
      <c r="E15900"/>
      <c r="G15900"/>
      <c r="H15900"/>
      <c r="I15900"/>
      <c r="K15900"/>
      <c r="O15900"/>
      <c r="R15900"/>
      <c r="W15900" s="4"/>
      <c r="X15900" s="4"/>
      <c r="Y15900" s="4"/>
    </row>
    <row r="15901" spans="5:25">
      <c r="E15901"/>
      <c r="G15901"/>
      <c r="H15901"/>
      <c r="I15901"/>
      <c r="K15901"/>
      <c r="O15901"/>
      <c r="R15901"/>
      <c r="W15901" s="4"/>
      <c r="X15901" s="4"/>
      <c r="Y15901" s="4"/>
    </row>
    <row r="15902" spans="5:25">
      <c r="E15902"/>
      <c r="G15902"/>
      <c r="H15902"/>
      <c r="I15902"/>
      <c r="K15902"/>
      <c r="O15902"/>
      <c r="R15902"/>
      <c r="W15902" s="4"/>
      <c r="X15902" s="4"/>
      <c r="Y15902" s="4"/>
    </row>
    <row r="15903" spans="5:25">
      <c r="E15903"/>
      <c r="G15903"/>
      <c r="H15903"/>
      <c r="I15903"/>
      <c r="K15903"/>
      <c r="O15903"/>
      <c r="R15903"/>
      <c r="W15903" s="4"/>
      <c r="X15903" s="4"/>
      <c r="Y15903" s="4"/>
    </row>
    <row r="15904" spans="5:25">
      <c r="E15904"/>
      <c r="G15904"/>
      <c r="H15904"/>
      <c r="I15904"/>
      <c r="K15904"/>
      <c r="O15904"/>
      <c r="R15904"/>
      <c r="W15904" s="4"/>
      <c r="X15904" s="4"/>
      <c r="Y15904" s="4"/>
    </row>
    <row r="15905" spans="5:25">
      <c r="E15905"/>
      <c r="G15905"/>
      <c r="H15905"/>
      <c r="I15905"/>
      <c r="K15905"/>
      <c r="O15905"/>
      <c r="R15905"/>
      <c r="W15905" s="4"/>
      <c r="X15905" s="4"/>
      <c r="Y15905" s="4"/>
    </row>
    <row r="15906" spans="5:25">
      <c r="E15906"/>
      <c r="G15906"/>
      <c r="H15906"/>
      <c r="I15906"/>
      <c r="K15906"/>
      <c r="O15906"/>
      <c r="R15906"/>
      <c r="W15906" s="4"/>
      <c r="X15906" s="4"/>
      <c r="Y15906" s="4"/>
    </row>
    <row r="15907" spans="5:25">
      <c r="E15907"/>
      <c r="G15907"/>
      <c r="H15907"/>
      <c r="I15907"/>
      <c r="K15907"/>
      <c r="O15907"/>
      <c r="R15907"/>
      <c r="W15907" s="4"/>
      <c r="X15907" s="4"/>
      <c r="Y15907" s="4"/>
    </row>
    <row r="15908" spans="5:25">
      <c r="E15908"/>
      <c r="G15908"/>
      <c r="H15908"/>
      <c r="I15908"/>
      <c r="K15908"/>
      <c r="O15908"/>
      <c r="R15908"/>
      <c r="W15908" s="4"/>
      <c r="X15908" s="4"/>
      <c r="Y15908" s="4"/>
    </row>
    <row r="15909" spans="5:25">
      <c r="E15909"/>
      <c r="G15909"/>
      <c r="H15909"/>
      <c r="I15909"/>
      <c r="K15909"/>
      <c r="O15909"/>
      <c r="R15909"/>
      <c r="W15909" s="4"/>
      <c r="X15909" s="4"/>
      <c r="Y15909" s="4"/>
    </row>
    <row r="15910" spans="5:25">
      <c r="E15910"/>
      <c r="G15910"/>
      <c r="H15910"/>
      <c r="I15910"/>
      <c r="K15910"/>
      <c r="O15910"/>
      <c r="R15910"/>
      <c r="W15910" s="4"/>
      <c r="X15910" s="4"/>
      <c r="Y15910" s="4"/>
    </row>
    <row r="15911" spans="5:25">
      <c r="E15911"/>
      <c r="G15911"/>
      <c r="H15911"/>
      <c r="I15911"/>
      <c r="K15911"/>
      <c r="O15911"/>
      <c r="R15911"/>
      <c r="W15911" s="4"/>
      <c r="X15911" s="4"/>
      <c r="Y15911" s="4"/>
    </row>
    <row r="15912" spans="5:25">
      <c r="E15912"/>
      <c r="G15912"/>
      <c r="H15912"/>
      <c r="I15912"/>
      <c r="K15912"/>
      <c r="O15912"/>
      <c r="R15912"/>
      <c r="W15912" s="4"/>
      <c r="X15912" s="4"/>
      <c r="Y15912" s="4"/>
    </row>
    <row r="15913" spans="5:25">
      <c r="E15913"/>
      <c r="G15913"/>
      <c r="H15913"/>
      <c r="I15913"/>
      <c r="K15913"/>
      <c r="O15913"/>
      <c r="R15913"/>
      <c r="W15913" s="4"/>
      <c r="X15913" s="4"/>
      <c r="Y15913" s="4"/>
    </row>
    <row r="15914" spans="5:25">
      <c r="E15914"/>
      <c r="G15914"/>
      <c r="H15914"/>
      <c r="I15914"/>
      <c r="K15914"/>
      <c r="O15914"/>
      <c r="R15914"/>
      <c r="W15914" s="4"/>
      <c r="X15914" s="4"/>
      <c r="Y15914" s="4"/>
    </row>
    <row r="15915" spans="5:25">
      <c r="E15915"/>
      <c r="G15915"/>
      <c r="H15915"/>
      <c r="I15915"/>
      <c r="K15915"/>
      <c r="O15915"/>
      <c r="R15915"/>
      <c r="W15915" s="4"/>
      <c r="X15915" s="4"/>
      <c r="Y15915" s="4"/>
    </row>
    <row r="15916" spans="5:25">
      <c r="E15916"/>
      <c r="G15916"/>
      <c r="H15916"/>
      <c r="I15916"/>
      <c r="K15916"/>
      <c r="O15916"/>
      <c r="R15916"/>
      <c r="W15916" s="4"/>
      <c r="X15916" s="4"/>
      <c r="Y15916" s="4"/>
    </row>
    <row r="15917" spans="5:25">
      <c r="E15917"/>
      <c r="G15917"/>
      <c r="H15917"/>
      <c r="I15917"/>
      <c r="K15917"/>
      <c r="O15917"/>
      <c r="R15917"/>
      <c r="W15917" s="4"/>
      <c r="X15917" s="4"/>
      <c r="Y15917" s="4"/>
    </row>
    <row r="15918" spans="5:25">
      <c r="E15918"/>
      <c r="G15918"/>
      <c r="H15918"/>
      <c r="I15918"/>
      <c r="K15918"/>
      <c r="O15918"/>
      <c r="R15918"/>
      <c r="W15918" s="4"/>
      <c r="X15918" s="4"/>
      <c r="Y15918" s="4"/>
    </row>
    <row r="15919" spans="5:25">
      <c r="E15919"/>
      <c r="G15919"/>
      <c r="H15919"/>
      <c r="I15919"/>
      <c r="K15919"/>
      <c r="O15919"/>
      <c r="R15919"/>
      <c r="W15919" s="4"/>
      <c r="X15919" s="4"/>
      <c r="Y15919" s="4"/>
    </row>
    <row r="15920" spans="5:25">
      <c r="E15920"/>
      <c r="G15920"/>
      <c r="H15920"/>
      <c r="I15920"/>
      <c r="K15920"/>
      <c r="O15920"/>
      <c r="R15920"/>
      <c r="W15920" s="4"/>
      <c r="X15920" s="4"/>
      <c r="Y15920" s="4"/>
    </row>
    <row r="15921" spans="5:25">
      <c r="E15921"/>
      <c r="G15921"/>
      <c r="H15921"/>
      <c r="I15921"/>
      <c r="K15921"/>
      <c r="O15921"/>
      <c r="R15921"/>
      <c r="W15921" s="4"/>
      <c r="X15921" s="4"/>
      <c r="Y15921" s="4"/>
    </row>
    <row r="15922" spans="5:25">
      <c r="E15922"/>
      <c r="G15922"/>
      <c r="H15922"/>
      <c r="I15922"/>
      <c r="K15922"/>
      <c r="O15922"/>
      <c r="R15922"/>
      <c r="W15922" s="4"/>
      <c r="X15922" s="4"/>
      <c r="Y15922" s="4"/>
    </row>
    <row r="15923" spans="5:25">
      <c r="E15923"/>
      <c r="G15923"/>
      <c r="H15923"/>
      <c r="I15923"/>
      <c r="K15923"/>
      <c r="O15923"/>
      <c r="R15923"/>
      <c r="W15923" s="4"/>
      <c r="X15923" s="4"/>
      <c r="Y15923" s="4"/>
    </row>
    <row r="15924" spans="5:25">
      <c r="E15924"/>
      <c r="G15924"/>
      <c r="H15924"/>
      <c r="I15924"/>
      <c r="K15924"/>
      <c r="O15924"/>
      <c r="R15924"/>
      <c r="W15924" s="4"/>
      <c r="X15924" s="4"/>
      <c r="Y15924" s="4"/>
    </row>
    <row r="15925" spans="5:25">
      <c r="E15925"/>
      <c r="G15925"/>
      <c r="H15925"/>
      <c r="I15925"/>
      <c r="K15925"/>
      <c r="O15925"/>
      <c r="R15925"/>
      <c r="W15925" s="4"/>
      <c r="X15925" s="4"/>
      <c r="Y15925" s="4"/>
    </row>
    <row r="15926" spans="5:25">
      <c r="E15926"/>
      <c r="G15926"/>
      <c r="H15926"/>
      <c r="I15926"/>
      <c r="K15926"/>
      <c r="O15926"/>
      <c r="R15926"/>
      <c r="W15926" s="4"/>
      <c r="X15926" s="4"/>
      <c r="Y15926" s="4"/>
    </row>
    <row r="15927" spans="5:25">
      <c r="E15927"/>
      <c r="G15927"/>
      <c r="H15927"/>
      <c r="I15927"/>
      <c r="K15927"/>
      <c r="O15927"/>
      <c r="R15927"/>
      <c r="W15927" s="4"/>
      <c r="X15927" s="4"/>
      <c r="Y15927" s="4"/>
    </row>
    <row r="15928" spans="5:25">
      <c r="E15928"/>
      <c r="G15928"/>
      <c r="H15928"/>
      <c r="I15928"/>
      <c r="K15928"/>
      <c r="O15928"/>
      <c r="R15928"/>
      <c r="W15928" s="4"/>
      <c r="X15928" s="4"/>
      <c r="Y15928" s="4"/>
    </row>
    <row r="15929" spans="5:25">
      <c r="E15929"/>
      <c r="G15929"/>
      <c r="H15929"/>
      <c r="I15929"/>
      <c r="K15929"/>
      <c r="O15929"/>
      <c r="R15929"/>
      <c r="W15929" s="4"/>
      <c r="X15929" s="4"/>
      <c r="Y15929" s="4"/>
    </row>
    <row r="15930" spans="5:25">
      <c r="E15930"/>
      <c r="G15930"/>
      <c r="H15930"/>
      <c r="I15930"/>
      <c r="K15930"/>
      <c r="O15930"/>
      <c r="R15930"/>
      <c r="W15930" s="4"/>
      <c r="X15930" s="4"/>
      <c r="Y15930" s="4"/>
    </row>
    <row r="15931" spans="5:25">
      <c r="E15931"/>
      <c r="G15931"/>
      <c r="H15931"/>
      <c r="I15931"/>
      <c r="K15931"/>
      <c r="O15931"/>
      <c r="R15931"/>
      <c r="W15931" s="4"/>
      <c r="X15931" s="4"/>
      <c r="Y15931" s="4"/>
    </row>
    <row r="15932" spans="5:25">
      <c r="E15932"/>
      <c r="G15932"/>
      <c r="H15932"/>
      <c r="I15932"/>
      <c r="K15932"/>
      <c r="O15932"/>
      <c r="R15932"/>
      <c r="W15932" s="4"/>
      <c r="X15932" s="4"/>
      <c r="Y15932" s="4"/>
    </row>
    <row r="15933" spans="5:25">
      <c r="E15933"/>
      <c r="G15933"/>
      <c r="H15933"/>
      <c r="I15933"/>
      <c r="K15933"/>
      <c r="O15933"/>
      <c r="R15933"/>
      <c r="W15933" s="4"/>
      <c r="X15933" s="4"/>
      <c r="Y15933" s="4"/>
    </row>
    <row r="15934" spans="5:25">
      <c r="E15934"/>
      <c r="G15934"/>
      <c r="H15934"/>
      <c r="I15934"/>
      <c r="K15934"/>
      <c r="O15934"/>
      <c r="R15934"/>
      <c r="W15934" s="4"/>
      <c r="X15934" s="4"/>
      <c r="Y15934" s="4"/>
    </row>
    <row r="15935" spans="5:25">
      <c r="E15935"/>
      <c r="G15935"/>
      <c r="H15935"/>
      <c r="I15935"/>
      <c r="K15935"/>
      <c r="O15935"/>
      <c r="R15935"/>
      <c r="W15935" s="4"/>
      <c r="X15935" s="4"/>
      <c r="Y15935" s="4"/>
    </row>
    <row r="15936" spans="5:25">
      <c r="E15936"/>
      <c r="G15936"/>
      <c r="H15936"/>
      <c r="I15936"/>
      <c r="K15936"/>
      <c r="O15936"/>
      <c r="R15936"/>
      <c r="W15936" s="4"/>
      <c r="X15936" s="4"/>
      <c r="Y15936" s="4"/>
    </row>
    <row r="15937" spans="5:25">
      <c r="E15937"/>
      <c r="G15937"/>
      <c r="H15937"/>
      <c r="I15937"/>
      <c r="K15937"/>
      <c r="O15937"/>
      <c r="R15937"/>
      <c r="W15937" s="4"/>
      <c r="X15937" s="4"/>
      <c r="Y15937" s="4"/>
    </row>
    <row r="15938" spans="5:25">
      <c r="E15938"/>
      <c r="G15938"/>
      <c r="H15938"/>
      <c r="I15938"/>
      <c r="K15938"/>
      <c r="O15938"/>
      <c r="R15938"/>
      <c r="W15938" s="4"/>
      <c r="X15938" s="4"/>
      <c r="Y15938" s="4"/>
    </row>
    <row r="15939" spans="5:25">
      <c r="E15939"/>
      <c r="G15939"/>
      <c r="H15939"/>
      <c r="I15939"/>
      <c r="K15939"/>
      <c r="O15939"/>
      <c r="R15939"/>
      <c r="W15939" s="4"/>
      <c r="X15939" s="4"/>
      <c r="Y15939" s="4"/>
    </row>
    <row r="15940" spans="5:25">
      <c r="E15940"/>
      <c r="G15940"/>
      <c r="H15940"/>
      <c r="I15940"/>
      <c r="K15940"/>
      <c r="O15940"/>
      <c r="R15940"/>
      <c r="W15940" s="4"/>
      <c r="X15940" s="4"/>
      <c r="Y15940" s="4"/>
    </row>
    <row r="15941" spans="5:25">
      <c r="E15941"/>
      <c r="G15941"/>
      <c r="H15941"/>
      <c r="I15941"/>
      <c r="K15941"/>
      <c r="O15941"/>
      <c r="R15941"/>
      <c r="W15941" s="4"/>
      <c r="X15941" s="4"/>
      <c r="Y15941" s="4"/>
    </row>
    <row r="15942" spans="5:25">
      <c r="E15942"/>
      <c r="G15942"/>
      <c r="H15942"/>
      <c r="I15942"/>
      <c r="K15942"/>
      <c r="O15942"/>
      <c r="R15942"/>
      <c r="W15942" s="4"/>
      <c r="X15942" s="4"/>
      <c r="Y15942" s="4"/>
    </row>
    <row r="15943" spans="5:25">
      <c r="E15943"/>
      <c r="G15943"/>
      <c r="H15943"/>
      <c r="I15943"/>
      <c r="K15943"/>
      <c r="O15943"/>
      <c r="R15943"/>
      <c r="W15943" s="4"/>
      <c r="X15943" s="4"/>
      <c r="Y15943" s="4"/>
    </row>
    <row r="15944" spans="5:25">
      <c r="E15944"/>
      <c r="G15944"/>
      <c r="H15944"/>
      <c r="I15944"/>
      <c r="K15944"/>
      <c r="O15944"/>
      <c r="R15944"/>
      <c r="W15944" s="4"/>
      <c r="X15944" s="4"/>
      <c r="Y15944" s="4"/>
    </row>
    <row r="15945" spans="5:25">
      <c r="E15945"/>
      <c r="G15945"/>
      <c r="H15945"/>
      <c r="I15945"/>
      <c r="K15945"/>
      <c r="O15945"/>
      <c r="R15945"/>
      <c r="W15945" s="4"/>
      <c r="X15945" s="4"/>
      <c r="Y15945" s="4"/>
    </row>
    <row r="15946" spans="5:25">
      <c r="E15946"/>
      <c r="G15946"/>
      <c r="H15946"/>
      <c r="I15946"/>
      <c r="K15946"/>
      <c r="O15946"/>
      <c r="R15946"/>
      <c r="W15946" s="4"/>
      <c r="X15946" s="4"/>
      <c r="Y15946" s="4"/>
    </row>
    <row r="15947" spans="5:25">
      <c r="E15947"/>
      <c r="G15947"/>
      <c r="H15947"/>
      <c r="I15947"/>
      <c r="K15947"/>
      <c r="O15947"/>
      <c r="R15947"/>
      <c r="W15947" s="4"/>
      <c r="X15947" s="4"/>
      <c r="Y15947" s="4"/>
    </row>
    <row r="15948" spans="5:25">
      <c r="E15948"/>
      <c r="G15948"/>
      <c r="H15948"/>
      <c r="I15948"/>
      <c r="K15948"/>
      <c r="O15948"/>
      <c r="R15948"/>
      <c r="W15948" s="4"/>
      <c r="X15948" s="4"/>
      <c r="Y15948" s="4"/>
    </row>
    <row r="15949" spans="5:25">
      <c r="E15949"/>
      <c r="G15949"/>
      <c r="H15949"/>
      <c r="I15949"/>
      <c r="K15949"/>
      <c r="O15949"/>
      <c r="R15949"/>
      <c r="W15949" s="4"/>
      <c r="X15949" s="4"/>
      <c r="Y15949" s="4"/>
    </row>
    <row r="15950" spans="5:25">
      <c r="E15950"/>
      <c r="G15950"/>
      <c r="H15950"/>
      <c r="I15950"/>
      <c r="K15950"/>
      <c r="O15950"/>
      <c r="R15950"/>
      <c r="W15950" s="4"/>
      <c r="X15950" s="4"/>
      <c r="Y15950" s="4"/>
    </row>
    <row r="15951" spans="5:25">
      <c r="E15951"/>
      <c r="G15951"/>
      <c r="H15951"/>
      <c r="I15951"/>
      <c r="K15951"/>
      <c r="O15951"/>
      <c r="R15951"/>
      <c r="W15951" s="4"/>
      <c r="X15951" s="4"/>
      <c r="Y15951" s="4"/>
    </row>
    <row r="15952" spans="5:25">
      <c r="E15952"/>
      <c r="G15952"/>
      <c r="H15952"/>
      <c r="I15952"/>
      <c r="K15952"/>
      <c r="O15952"/>
      <c r="R15952"/>
      <c r="W15952" s="4"/>
      <c r="X15952" s="4"/>
      <c r="Y15952" s="4"/>
    </row>
    <row r="15953" spans="5:25">
      <c r="E15953"/>
      <c r="G15953"/>
      <c r="H15953"/>
      <c r="I15953"/>
      <c r="K15953"/>
      <c r="O15953"/>
      <c r="R15953"/>
      <c r="W15953" s="4"/>
      <c r="X15953" s="4"/>
      <c r="Y15953" s="4"/>
    </row>
    <row r="15954" spans="5:25">
      <c r="E15954"/>
      <c r="G15954"/>
      <c r="H15954"/>
      <c r="I15954"/>
      <c r="K15954"/>
      <c r="O15954"/>
      <c r="R15954"/>
      <c r="W15954" s="4"/>
      <c r="X15954" s="4"/>
      <c r="Y15954" s="4"/>
    </row>
    <row r="15955" spans="5:25">
      <c r="E15955"/>
      <c r="G15955"/>
      <c r="H15955"/>
      <c r="I15955"/>
      <c r="K15955"/>
      <c r="O15955"/>
      <c r="R15955"/>
      <c r="W15955" s="4"/>
      <c r="X15955" s="4"/>
      <c r="Y15955" s="4"/>
    </row>
    <row r="15956" spans="5:25">
      <c r="E15956"/>
      <c r="G15956"/>
      <c r="H15956"/>
      <c r="I15956"/>
      <c r="K15956"/>
      <c r="O15956"/>
      <c r="R15956"/>
      <c r="W15956" s="4"/>
      <c r="X15956" s="4"/>
      <c r="Y15956" s="4"/>
    </row>
    <row r="15957" spans="5:25">
      <c r="E15957"/>
      <c r="G15957"/>
      <c r="H15957"/>
      <c r="I15957"/>
      <c r="K15957"/>
      <c r="O15957"/>
      <c r="R15957"/>
      <c r="W15957" s="4"/>
      <c r="X15957" s="4"/>
      <c r="Y15957" s="4"/>
    </row>
    <row r="15958" spans="5:25">
      <c r="E15958"/>
      <c r="G15958"/>
      <c r="H15958"/>
      <c r="I15958"/>
      <c r="K15958"/>
      <c r="O15958"/>
      <c r="R15958"/>
      <c r="W15958" s="4"/>
      <c r="X15958" s="4"/>
      <c r="Y15958" s="4"/>
    </row>
    <row r="15959" spans="5:25">
      <c r="E15959"/>
      <c r="G15959"/>
      <c r="H15959"/>
      <c r="I15959"/>
      <c r="K15959"/>
      <c r="O15959"/>
      <c r="R15959"/>
      <c r="W15959" s="4"/>
      <c r="X15959" s="4"/>
      <c r="Y15959" s="4"/>
    </row>
    <row r="15960" spans="5:25">
      <c r="E15960"/>
      <c r="G15960"/>
      <c r="H15960"/>
      <c r="I15960"/>
      <c r="K15960"/>
      <c r="O15960"/>
      <c r="R15960"/>
      <c r="W15960" s="4"/>
      <c r="X15960" s="4"/>
      <c r="Y15960" s="4"/>
    </row>
    <row r="15961" spans="5:25">
      <c r="E15961"/>
      <c r="G15961"/>
      <c r="H15961"/>
      <c r="I15961"/>
      <c r="K15961"/>
      <c r="O15961"/>
      <c r="R15961"/>
      <c r="W15961" s="4"/>
      <c r="X15961" s="4"/>
      <c r="Y15961" s="4"/>
    </row>
    <row r="15962" spans="5:25">
      <c r="E15962"/>
      <c r="G15962"/>
      <c r="H15962"/>
      <c r="I15962"/>
      <c r="K15962"/>
      <c r="O15962"/>
      <c r="R15962"/>
      <c r="W15962" s="4"/>
      <c r="X15962" s="4"/>
      <c r="Y15962" s="4"/>
    </row>
    <row r="15963" spans="5:25">
      <c r="E15963"/>
      <c r="G15963"/>
      <c r="H15963"/>
      <c r="I15963"/>
      <c r="K15963"/>
      <c r="O15963"/>
      <c r="R15963"/>
      <c r="W15963" s="4"/>
      <c r="X15963" s="4"/>
      <c r="Y15963" s="4"/>
    </row>
    <row r="15964" spans="5:25">
      <c r="E15964"/>
      <c r="G15964"/>
      <c r="H15964"/>
      <c r="I15964"/>
      <c r="K15964"/>
      <c r="O15964"/>
      <c r="R15964"/>
      <c r="W15964" s="4"/>
      <c r="X15964" s="4"/>
      <c r="Y15964" s="4"/>
    </row>
    <row r="15965" spans="5:25">
      <c r="E15965"/>
      <c r="G15965"/>
      <c r="H15965"/>
      <c r="I15965"/>
      <c r="K15965"/>
      <c r="O15965"/>
      <c r="R15965"/>
      <c r="W15965" s="4"/>
      <c r="X15965" s="4"/>
      <c r="Y15965" s="4"/>
    </row>
    <row r="15966" spans="5:25">
      <c r="E15966"/>
      <c r="G15966"/>
      <c r="H15966"/>
      <c r="I15966"/>
      <c r="K15966"/>
      <c r="O15966"/>
      <c r="R15966"/>
      <c r="W15966" s="4"/>
      <c r="X15966" s="4"/>
      <c r="Y15966" s="4"/>
    </row>
    <row r="15967" spans="5:25">
      <c r="E15967"/>
      <c r="G15967"/>
      <c r="H15967"/>
      <c r="I15967"/>
      <c r="K15967"/>
      <c r="O15967"/>
      <c r="R15967"/>
      <c r="W15967" s="4"/>
      <c r="X15967" s="4"/>
      <c r="Y15967" s="4"/>
    </row>
    <row r="15968" spans="5:25">
      <c r="E15968"/>
      <c r="G15968"/>
      <c r="H15968"/>
      <c r="I15968"/>
      <c r="K15968"/>
      <c r="O15968"/>
      <c r="R15968"/>
      <c r="W15968" s="4"/>
      <c r="X15968" s="4"/>
      <c r="Y15968" s="4"/>
    </row>
    <row r="15969" spans="5:25">
      <c r="E15969"/>
      <c r="G15969"/>
      <c r="H15969"/>
      <c r="I15969"/>
      <c r="K15969"/>
      <c r="O15969"/>
      <c r="R15969"/>
      <c r="W15969" s="4"/>
      <c r="X15969" s="4"/>
      <c r="Y15969" s="4"/>
    </row>
    <row r="15970" spans="5:25">
      <c r="E15970"/>
      <c r="G15970"/>
      <c r="H15970"/>
      <c r="I15970"/>
      <c r="K15970"/>
      <c r="O15970"/>
      <c r="R15970"/>
      <c r="W15970" s="4"/>
      <c r="X15970" s="4"/>
      <c r="Y15970" s="4"/>
    </row>
    <row r="15971" spans="5:25">
      <c r="E15971"/>
      <c r="G15971"/>
      <c r="H15971"/>
      <c r="I15971"/>
      <c r="K15971"/>
      <c r="O15971"/>
      <c r="R15971"/>
      <c r="W15971" s="4"/>
      <c r="X15971" s="4"/>
      <c r="Y15971" s="4"/>
    </row>
    <row r="15972" spans="5:25">
      <c r="E15972"/>
      <c r="G15972"/>
      <c r="H15972"/>
      <c r="I15972"/>
      <c r="K15972"/>
      <c r="O15972"/>
      <c r="R15972"/>
      <c r="W15972" s="4"/>
      <c r="X15972" s="4"/>
      <c r="Y15972" s="4"/>
    </row>
    <row r="15973" spans="5:25">
      <c r="E15973"/>
      <c r="G15973"/>
      <c r="H15973"/>
      <c r="I15973"/>
      <c r="K15973"/>
      <c r="O15973"/>
      <c r="R15973"/>
      <c r="W15973" s="4"/>
      <c r="X15973" s="4"/>
      <c r="Y15973" s="4"/>
    </row>
    <row r="15974" spans="5:25">
      <c r="E15974"/>
      <c r="G15974"/>
      <c r="H15974"/>
      <c r="I15974"/>
      <c r="K15974"/>
      <c r="O15974"/>
      <c r="R15974"/>
      <c r="W15974" s="4"/>
      <c r="X15974" s="4"/>
      <c r="Y15974" s="4"/>
    </row>
    <row r="15975" spans="5:25">
      <c r="E15975"/>
      <c r="G15975"/>
      <c r="H15975"/>
      <c r="I15975"/>
      <c r="K15975"/>
      <c r="O15975"/>
      <c r="R15975"/>
      <c r="W15975" s="4"/>
      <c r="X15975" s="4"/>
      <c r="Y15975" s="4"/>
    </row>
    <row r="15976" spans="5:25">
      <c r="E15976"/>
      <c r="G15976"/>
      <c r="H15976"/>
      <c r="I15976"/>
      <c r="K15976"/>
      <c r="O15976"/>
      <c r="R15976"/>
      <c r="W15976" s="4"/>
      <c r="X15976" s="4"/>
      <c r="Y15976" s="4"/>
    </row>
    <row r="15977" spans="5:25">
      <c r="E15977"/>
      <c r="G15977"/>
      <c r="H15977"/>
      <c r="I15977"/>
      <c r="K15977"/>
      <c r="O15977"/>
      <c r="R15977"/>
      <c r="W15977" s="4"/>
      <c r="X15977" s="4"/>
      <c r="Y15977" s="4"/>
    </row>
    <row r="15978" spans="5:25">
      <c r="E15978"/>
      <c r="G15978"/>
      <c r="H15978"/>
      <c r="I15978"/>
      <c r="K15978"/>
      <c r="O15978"/>
      <c r="R15978"/>
      <c r="W15978" s="4"/>
      <c r="X15978" s="4"/>
      <c r="Y15978" s="4"/>
    </row>
    <row r="15979" spans="5:25">
      <c r="E15979"/>
      <c r="G15979"/>
      <c r="H15979"/>
      <c r="I15979"/>
      <c r="K15979"/>
      <c r="O15979"/>
      <c r="R15979"/>
      <c r="W15979" s="4"/>
      <c r="X15979" s="4"/>
      <c r="Y15979" s="4"/>
    </row>
    <row r="15980" spans="5:25">
      <c r="E15980"/>
      <c r="G15980"/>
      <c r="H15980"/>
      <c r="I15980"/>
      <c r="K15980"/>
      <c r="O15980"/>
      <c r="R15980"/>
      <c r="W15980" s="4"/>
      <c r="X15980" s="4"/>
      <c r="Y15980" s="4"/>
    </row>
    <row r="15981" spans="5:25">
      <c r="E15981"/>
      <c r="G15981"/>
      <c r="H15981"/>
      <c r="I15981"/>
      <c r="K15981"/>
      <c r="O15981"/>
      <c r="R15981"/>
      <c r="W15981" s="4"/>
      <c r="X15981" s="4"/>
      <c r="Y15981" s="4"/>
    </row>
    <row r="15982" spans="5:25">
      <c r="E15982"/>
      <c r="G15982"/>
      <c r="H15982"/>
      <c r="I15982"/>
      <c r="K15982"/>
      <c r="O15982"/>
      <c r="R15982"/>
      <c r="W15982" s="4"/>
      <c r="X15982" s="4"/>
      <c r="Y15982" s="4"/>
    </row>
    <row r="15983" spans="5:25">
      <c r="E15983"/>
      <c r="G15983"/>
      <c r="H15983"/>
      <c r="I15983"/>
      <c r="K15983"/>
      <c r="O15983"/>
      <c r="R15983"/>
      <c r="W15983" s="4"/>
      <c r="X15983" s="4"/>
      <c r="Y15983" s="4"/>
    </row>
    <row r="15984" spans="5:25">
      <c r="E15984"/>
      <c r="G15984"/>
      <c r="H15984"/>
      <c r="I15984"/>
      <c r="K15984"/>
      <c r="O15984"/>
      <c r="R15984"/>
      <c r="W15984" s="4"/>
      <c r="X15984" s="4"/>
      <c r="Y15984" s="4"/>
    </row>
    <row r="15985" spans="5:25">
      <c r="E15985"/>
      <c r="G15985"/>
      <c r="H15985"/>
      <c r="I15985"/>
      <c r="K15985"/>
      <c r="O15985"/>
      <c r="R15985"/>
      <c r="W15985" s="4"/>
      <c r="X15985" s="4"/>
      <c r="Y15985" s="4"/>
    </row>
    <row r="15986" spans="5:25">
      <c r="E15986"/>
      <c r="G15986"/>
      <c r="H15986"/>
      <c r="I15986"/>
      <c r="K15986"/>
      <c r="O15986"/>
      <c r="R15986"/>
      <c r="W15986" s="4"/>
      <c r="X15986" s="4"/>
      <c r="Y15986" s="4"/>
    </row>
    <row r="15987" spans="5:25">
      <c r="E15987"/>
      <c r="G15987"/>
      <c r="H15987"/>
      <c r="I15987"/>
      <c r="K15987"/>
      <c r="O15987"/>
      <c r="R15987"/>
      <c r="W15987" s="4"/>
      <c r="X15987" s="4"/>
      <c r="Y15987" s="4"/>
    </row>
    <row r="15988" spans="5:25">
      <c r="E15988"/>
      <c r="G15988"/>
      <c r="H15988"/>
      <c r="I15988"/>
      <c r="K15988"/>
      <c r="O15988"/>
      <c r="R15988"/>
      <c r="W15988" s="4"/>
      <c r="X15988" s="4"/>
      <c r="Y15988" s="4"/>
    </row>
    <row r="15989" spans="5:25">
      <c r="E15989"/>
      <c r="G15989"/>
      <c r="H15989"/>
      <c r="I15989"/>
      <c r="K15989"/>
      <c r="O15989"/>
      <c r="R15989"/>
      <c r="W15989" s="4"/>
      <c r="X15989" s="4"/>
      <c r="Y15989" s="4"/>
    </row>
    <row r="15990" spans="5:25">
      <c r="E15990"/>
      <c r="G15990"/>
      <c r="H15990"/>
      <c r="I15990"/>
      <c r="K15990"/>
      <c r="O15990"/>
      <c r="R15990"/>
      <c r="W15990" s="4"/>
      <c r="X15990" s="4"/>
      <c r="Y15990" s="4"/>
    </row>
    <row r="15991" spans="5:25">
      <c r="E15991"/>
      <c r="G15991"/>
      <c r="H15991"/>
      <c r="I15991"/>
      <c r="K15991"/>
      <c r="O15991"/>
      <c r="R15991"/>
      <c r="W15991" s="4"/>
      <c r="X15991" s="4"/>
      <c r="Y15991" s="4"/>
    </row>
    <row r="15992" spans="5:25">
      <c r="E15992"/>
      <c r="G15992"/>
      <c r="H15992"/>
      <c r="I15992"/>
      <c r="K15992"/>
      <c r="O15992"/>
      <c r="R15992"/>
      <c r="W15992" s="4"/>
      <c r="X15992" s="4"/>
      <c r="Y15992" s="4"/>
    </row>
    <row r="15993" spans="5:25">
      <c r="E15993"/>
      <c r="G15993"/>
      <c r="H15993"/>
      <c r="I15993"/>
      <c r="K15993"/>
      <c r="O15993"/>
      <c r="R15993"/>
      <c r="W15993" s="4"/>
      <c r="X15993" s="4"/>
      <c r="Y15993" s="4"/>
    </row>
    <row r="15994" spans="5:25">
      <c r="E15994"/>
      <c r="G15994"/>
      <c r="H15994"/>
      <c r="I15994"/>
      <c r="K15994"/>
      <c r="O15994"/>
      <c r="R15994"/>
      <c r="W15994" s="4"/>
      <c r="X15994" s="4"/>
      <c r="Y15994" s="4"/>
    </row>
    <row r="15995" spans="5:25">
      <c r="E15995"/>
      <c r="G15995"/>
      <c r="H15995"/>
      <c r="I15995"/>
      <c r="K15995"/>
      <c r="O15995"/>
      <c r="R15995"/>
      <c r="W15995" s="4"/>
      <c r="X15995" s="4"/>
      <c r="Y15995" s="4"/>
    </row>
    <row r="15996" spans="5:25">
      <c r="E15996"/>
      <c r="G15996"/>
      <c r="H15996"/>
      <c r="I15996"/>
      <c r="K15996"/>
      <c r="O15996"/>
      <c r="R15996"/>
      <c r="W15996" s="4"/>
      <c r="X15996" s="4"/>
      <c r="Y15996" s="4"/>
    </row>
    <row r="15997" spans="5:25">
      <c r="E15997"/>
      <c r="G15997"/>
      <c r="H15997"/>
      <c r="I15997"/>
      <c r="K15997"/>
      <c r="O15997"/>
      <c r="R15997"/>
      <c r="W15997" s="4"/>
      <c r="X15997" s="4"/>
      <c r="Y15997" s="4"/>
    </row>
    <row r="15998" spans="5:25">
      <c r="E15998"/>
      <c r="G15998"/>
      <c r="H15998"/>
      <c r="I15998"/>
      <c r="K15998"/>
      <c r="O15998"/>
      <c r="R15998"/>
      <c r="W15998" s="4"/>
      <c r="X15998" s="4"/>
      <c r="Y15998" s="4"/>
    </row>
    <row r="15999" spans="5:25">
      <c r="E15999"/>
      <c r="G15999"/>
      <c r="H15999"/>
      <c r="I15999"/>
      <c r="K15999"/>
      <c r="O15999"/>
      <c r="R15999"/>
      <c r="W15999" s="4"/>
      <c r="X15999" s="4"/>
      <c r="Y15999" s="4"/>
    </row>
    <row r="16000" spans="5:25">
      <c r="E16000"/>
      <c r="G16000"/>
      <c r="H16000"/>
      <c r="I16000"/>
      <c r="K16000"/>
      <c r="O16000"/>
      <c r="R16000"/>
      <c r="W16000" s="4"/>
      <c r="X16000" s="4"/>
      <c r="Y16000" s="4"/>
    </row>
    <row r="16001" spans="5:25">
      <c r="E16001"/>
      <c r="G16001"/>
      <c r="H16001"/>
      <c r="I16001"/>
      <c r="K16001"/>
      <c r="O16001"/>
      <c r="R16001"/>
      <c r="W16001" s="4"/>
      <c r="X16001" s="4"/>
      <c r="Y16001" s="4"/>
    </row>
    <row r="16002" spans="5:25">
      <c r="E16002"/>
      <c r="G16002"/>
      <c r="H16002"/>
      <c r="I16002"/>
      <c r="K16002"/>
      <c r="O16002"/>
      <c r="R16002"/>
      <c r="W16002" s="4"/>
      <c r="X16002" s="4"/>
      <c r="Y16002" s="4"/>
    </row>
    <row r="16003" spans="5:25">
      <c r="E16003"/>
      <c r="G16003"/>
      <c r="H16003"/>
      <c r="I16003"/>
      <c r="K16003"/>
      <c r="O16003"/>
      <c r="R16003"/>
      <c r="W16003" s="4"/>
      <c r="X16003" s="4"/>
      <c r="Y16003" s="4"/>
    </row>
    <row r="16004" spans="5:25">
      <c r="E16004"/>
      <c r="G16004"/>
      <c r="H16004"/>
      <c r="I16004"/>
      <c r="K16004"/>
      <c r="O16004"/>
      <c r="R16004"/>
      <c r="W16004" s="4"/>
      <c r="X16004" s="4"/>
      <c r="Y16004" s="4"/>
    </row>
    <row r="16005" spans="5:25">
      <c r="E16005"/>
      <c r="G16005"/>
      <c r="H16005"/>
      <c r="I16005"/>
      <c r="K16005"/>
      <c r="O16005"/>
      <c r="R16005"/>
      <c r="W16005" s="4"/>
      <c r="X16005" s="4"/>
      <c r="Y16005" s="4"/>
    </row>
    <row r="16006" spans="5:25">
      <c r="E16006"/>
      <c r="G16006"/>
      <c r="H16006"/>
      <c r="I16006"/>
      <c r="K16006"/>
      <c r="O16006"/>
      <c r="R16006"/>
      <c r="W16006" s="4"/>
      <c r="X16006" s="4"/>
      <c r="Y16006" s="4"/>
    </row>
    <row r="16007" spans="5:25">
      <c r="E16007"/>
      <c r="G16007"/>
      <c r="H16007"/>
      <c r="I16007"/>
      <c r="K16007"/>
      <c r="O16007"/>
      <c r="R16007"/>
      <c r="W16007" s="4"/>
      <c r="X16007" s="4"/>
      <c r="Y16007" s="4"/>
    </row>
    <row r="16008" spans="5:25">
      <c r="E16008"/>
      <c r="G16008"/>
      <c r="H16008"/>
      <c r="I16008"/>
      <c r="K16008"/>
      <c r="O16008"/>
      <c r="R16008"/>
      <c r="W16008" s="4"/>
      <c r="X16008" s="4"/>
      <c r="Y16008" s="4"/>
    </row>
    <row r="16009" spans="5:25">
      <c r="E16009"/>
      <c r="G16009"/>
      <c r="H16009"/>
      <c r="I16009"/>
      <c r="K16009"/>
      <c r="O16009"/>
      <c r="R16009"/>
      <c r="W16009" s="4"/>
      <c r="X16009" s="4"/>
      <c r="Y16009" s="4"/>
    </row>
    <row r="16010" spans="5:25">
      <c r="E16010"/>
      <c r="G16010"/>
      <c r="H16010"/>
      <c r="I16010"/>
      <c r="K16010"/>
      <c r="O16010"/>
      <c r="R16010"/>
      <c r="W16010" s="4"/>
      <c r="X16010" s="4"/>
      <c r="Y16010" s="4"/>
    </row>
    <row r="16011" spans="5:25">
      <c r="E16011"/>
      <c r="G16011"/>
      <c r="H16011"/>
      <c r="I16011"/>
      <c r="K16011"/>
      <c r="O16011"/>
      <c r="R16011"/>
      <c r="W16011" s="4"/>
      <c r="X16011" s="4"/>
      <c r="Y16011" s="4"/>
    </row>
    <row r="16012" spans="5:25">
      <c r="E16012"/>
      <c r="G16012"/>
      <c r="H16012"/>
      <c r="I16012"/>
      <c r="K16012"/>
      <c r="O16012"/>
      <c r="R16012"/>
      <c r="W16012" s="4"/>
      <c r="X16012" s="4"/>
      <c r="Y16012" s="4"/>
    </row>
    <row r="16013" spans="5:25">
      <c r="E16013"/>
      <c r="G16013"/>
      <c r="H16013"/>
      <c r="I16013"/>
      <c r="K16013"/>
      <c r="O16013"/>
      <c r="R16013"/>
      <c r="W16013" s="4"/>
      <c r="X16013" s="4"/>
      <c r="Y16013" s="4"/>
    </row>
    <row r="16014" spans="5:25">
      <c r="E16014"/>
      <c r="G16014"/>
      <c r="H16014"/>
      <c r="I16014"/>
      <c r="K16014"/>
      <c r="O16014"/>
      <c r="R16014"/>
      <c r="W16014" s="4"/>
      <c r="X16014" s="4"/>
      <c r="Y16014" s="4"/>
    </row>
    <row r="16015" spans="5:25">
      <c r="E16015"/>
      <c r="G16015"/>
      <c r="H16015"/>
      <c r="I16015"/>
      <c r="K16015"/>
      <c r="O16015"/>
      <c r="R16015"/>
      <c r="W16015" s="4"/>
      <c r="X16015" s="4"/>
      <c r="Y16015" s="4"/>
    </row>
    <row r="16016" spans="5:25">
      <c r="E16016"/>
      <c r="G16016"/>
      <c r="H16016"/>
      <c r="I16016"/>
      <c r="K16016"/>
      <c r="O16016"/>
      <c r="R16016"/>
      <c r="W16016" s="4"/>
      <c r="X16016" s="4"/>
      <c r="Y16016" s="4"/>
    </row>
    <row r="16017" spans="5:25">
      <c r="E16017"/>
      <c r="G16017"/>
      <c r="H16017"/>
      <c r="I16017"/>
      <c r="K16017"/>
      <c r="O16017"/>
      <c r="R16017"/>
      <c r="W16017" s="4"/>
      <c r="X16017" s="4"/>
      <c r="Y16017" s="4"/>
    </row>
    <row r="16018" spans="5:25">
      <c r="E16018"/>
      <c r="G16018"/>
      <c r="H16018"/>
      <c r="I16018"/>
      <c r="K16018"/>
      <c r="O16018"/>
      <c r="R16018"/>
      <c r="W16018" s="4"/>
      <c r="X16018" s="4"/>
      <c r="Y16018" s="4"/>
    </row>
    <row r="16019" spans="5:25">
      <c r="E16019"/>
      <c r="G16019"/>
      <c r="H16019"/>
      <c r="I16019"/>
      <c r="K16019"/>
      <c r="O16019"/>
      <c r="R16019"/>
      <c r="W16019" s="4"/>
      <c r="X16019" s="4"/>
      <c r="Y16019" s="4"/>
    </row>
    <row r="16020" spans="5:25">
      <c r="E16020"/>
      <c r="G16020"/>
      <c r="H16020"/>
      <c r="I16020"/>
      <c r="K16020"/>
      <c r="O16020"/>
      <c r="R16020"/>
      <c r="W16020" s="4"/>
      <c r="X16020" s="4"/>
      <c r="Y16020" s="4"/>
    </row>
    <row r="16021" spans="5:25">
      <c r="E16021"/>
      <c r="G16021"/>
      <c r="H16021"/>
      <c r="I16021"/>
      <c r="K16021"/>
      <c r="O16021"/>
      <c r="R16021"/>
      <c r="W16021" s="4"/>
      <c r="X16021" s="4"/>
      <c r="Y16021" s="4"/>
    </row>
    <row r="16022" spans="5:25">
      <c r="E16022"/>
      <c r="G16022"/>
      <c r="H16022"/>
      <c r="I16022"/>
      <c r="K16022"/>
      <c r="O16022"/>
      <c r="R16022"/>
      <c r="W16022" s="4"/>
      <c r="X16022" s="4"/>
      <c r="Y16022" s="4"/>
    </row>
    <row r="16023" spans="5:25">
      <c r="E16023"/>
      <c r="G16023"/>
      <c r="H16023"/>
      <c r="I16023"/>
      <c r="K16023"/>
      <c r="O16023"/>
      <c r="R16023"/>
      <c r="W16023" s="4"/>
      <c r="X16023" s="4"/>
      <c r="Y16023" s="4"/>
    </row>
    <row r="16024" spans="5:25">
      <c r="E16024"/>
      <c r="G16024"/>
      <c r="H16024"/>
      <c r="I16024"/>
      <c r="K16024"/>
      <c r="O16024"/>
      <c r="R16024"/>
      <c r="W16024" s="4"/>
      <c r="X16024" s="4"/>
      <c r="Y16024" s="4"/>
    </row>
    <row r="16025" spans="5:25">
      <c r="E16025"/>
      <c r="G16025"/>
      <c r="H16025"/>
      <c r="I16025"/>
      <c r="K16025"/>
      <c r="O16025"/>
      <c r="R16025"/>
      <c r="W16025" s="4"/>
      <c r="X16025" s="4"/>
      <c r="Y16025" s="4"/>
    </row>
    <row r="16026" spans="5:25">
      <c r="E16026"/>
      <c r="G16026"/>
      <c r="H16026"/>
      <c r="I16026"/>
      <c r="K16026"/>
      <c r="O16026"/>
      <c r="R16026"/>
      <c r="W16026" s="4"/>
      <c r="X16026" s="4"/>
      <c r="Y16026" s="4"/>
    </row>
    <row r="16027" spans="5:25">
      <c r="E16027"/>
      <c r="G16027"/>
      <c r="H16027"/>
      <c r="I16027"/>
      <c r="K16027"/>
      <c r="O16027"/>
      <c r="R16027"/>
      <c r="W16027" s="4"/>
      <c r="X16027" s="4"/>
      <c r="Y16027" s="4"/>
    </row>
    <row r="16028" spans="5:25">
      <c r="E16028"/>
      <c r="G16028"/>
      <c r="H16028"/>
      <c r="I16028"/>
      <c r="K16028"/>
      <c r="O16028"/>
      <c r="R16028"/>
      <c r="W16028" s="4"/>
      <c r="X16028" s="4"/>
      <c r="Y16028" s="4"/>
    </row>
    <row r="16029" spans="5:25">
      <c r="E16029"/>
      <c r="G16029"/>
      <c r="H16029"/>
      <c r="I16029"/>
      <c r="K16029"/>
      <c r="O16029"/>
      <c r="R16029"/>
      <c r="W16029" s="4"/>
      <c r="X16029" s="4"/>
      <c r="Y16029" s="4"/>
    </row>
    <row r="16030" spans="5:25">
      <c r="E16030"/>
      <c r="G16030"/>
      <c r="H16030"/>
      <c r="I16030"/>
      <c r="K16030"/>
      <c r="O16030"/>
      <c r="R16030"/>
      <c r="W16030" s="4"/>
      <c r="X16030" s="4"/>
      <c r="Y16030" s="4"/>
    </row>
    <row r="16031" spans="5:25">
      <c r="E16031"/>
      <c r="G16031"/>
      <c r="H16031"/>
      <c r="I16031"/>
      <c r="K16031"/>
      <c r="O16031"/>
      <c r="R16031"/>
      <c r="W16031" s="4"/>
      <c r="X16031" s="4"/>
      <c r="Y16031" s="4"/>
    </row>
    <row r="16032" spans="5:25">
      <c r="E16032"/>
      <c r="G16032"/>
      <c r="H16032"/>
      <c r="I16032"/>
      <c r="K16032"/>
      <c r="O16032"/>
      <c r="R16032"/>
      <c r="W16032" s="4"/>
      <c r="X16032" s="4"/>
      <c r="Y16032" s="4"/>
    </row>
    <row r="16033" spans="5:25">
      <c r="E16033"/>
      <c r="G16033"/>
      <c r="H16033"/>
      <c r="I16033"/>
      <c r="K16033"/>
      <c r="O16033"/>
      <c r="R16033"/>
      <c r="W16033" s="4"/>
      <c r="X16033" s="4"/>
      <c r="Y16033" s="4"/>
    </row>
    <row r="16034" spans="5:25">
      <c r="E16034"/>
      <c r="G16034"/>
      <c r="H16034"/>
      <c r="I16034"/>
      <c r="K16034"/>
      <c r="O16034"/>
      <c r="R16034"/>
      <c r="W16034" s="4"/>
      <c r="X16034" s="4"/>
      <c r="Y16034" s="4"/>
    </row>
    <row r="16035" spans="5:25">
      <c r="E16035"/>
      <c r="G16035"/>
      <c r="H16035"/>
      <c r="I16035"/>
      <c r="K16035"/>
      <c r="O16035"/>
      <c r="R16035"/>
      <c r="W16035" s="4"/>
      <c r="X16035" s="4"/>
      <c r="Y16035" s="4"/>
    </row>
    <row r="16036" spans="5:25">
      <c r="E16036"/>
      <c r="G16036"/>
      <c r="H16036"/>
      <c r="I16036"/>
      <c r="K16036"/>
      <c r="O16036"/>
      <c r="R16036"/>
      <c r="W16036" s="4"/>
      <c r="X16036" s="4"/>
      <c r="Y16036" s="4"/>
    </row>
    <row r="16037" spans="5:25">
      <c r="E16037"/>
      <c r="G16037"/>
      <c r="H16037"/>
      <c r="I16037"/>
      <c r="K16037"/>
      <c r="O16037"/>
      <c r="R16037"/>
      <c r="W16037" s="4"/>
      <c r="X16037" s="4"/>
      <c r="Y16037" s="4"/>
    </row>
    <row r="16038" spans="5:25">
      <c r="E16038"/>
      <c r="G16038"/>
      <c r="H16038"/>
      <c r="I16038"/>
      <c r="K16038"/>
      <c r="O16038"/>
      <c r="R16038"/>
      <c r="W16038" s="4"/>
      <c r="X16038" s="4"/>
      <c r="Y16038" s="4"/>
    </row>
    <row r="16039" spans="5:25">
      <c r="E16039"/>
      <c r="G16039"/>
      <c r="H16039"/>
      <c r="I16039"/>
      <c r="K16039"/>
      <c r="O16039"/>
      <c r="R16039"/>
      <c r="W16039" s="4"/>
      <c r="X16039" s="4"/>
      <c r="Y16039" s="4"/>
    </row>
    <row r="16040" spans="5:25">
      <c r="E16040"/>
      <c r="G16040"/>
      <c r="H16040"/>
      <c r="I16040"/>
      <c r="K16040"/>
      <c r="O16040"/>
      <c r="R16040"/>
      <c r="W16040" s="4"/>
      <c r="X16040" s="4"/>
      <c r="Y16040" s="4"/>
    </row>
    <row r="16041" spans="5:25">
      <c r="E16041"/>
      <c r="G16041"/>
      <c r="H16041"/>
      <c r="I16041"/>
      <c r="K16041"/>
      <c r="O16041"/>
      <c r="R16041"/>
      <c r="W16041" s="4"/>
      <c r="X16041" s="4"/>
      <c r="Y16041" s="4"/>
    </row>
    <row r="16042" spans="5:25">
      <c r="E16042"/>
      <c r="G16042"/>
      <c r="H16042"/>
      <c r="I16042"/>
      <c r="K16042"/>
      <c r="O16042"/>
      <c r="R16042"/>
      <c r="W16042" s="4"/>
      <c r="X16042" s="4"/>
      <c r="Y16042" s="4"/>
    </row>
    <row r="16043" spans="5:25">
      <c r="E16043"/>
      <c r="G16043"/>
      <c r="H16043"/>
      <c r="I16043"/>
      <c r="K16043"/>
      <c r="O16043"/>
      <c r="R16043"/>
      <c r="W16043" s="4"/>
      <c r="X16043" s="4"/>
      <c r="Y16043" s="4"/>
    </row>
    <row r="16044" spans="5:25">
      <c r="E16044"/>
      <c r="G16044"/>
      <c r="H16044"/>
      <c r="I16044"/>
      <c r="K16044"/>
      <c r="O16044"/>
      <c r="R16044"/>
      <c r="W16044" s="4"/>
      <c r="X16044" s="4"/>
      <c r="Y16044" s="4"/>
    </row>
    <row r="16045" spans="5:25">
      <c r="E16045"/>
      <c r="G16045"/>
      <c r="H16045"/>
      <c r="I16045"/>
      <c r="K16045"/>
      <c r="O16045"/>
      <c r="R16045"/>
      <c r="W16045" s="4"/>
      <c r="X16045" s="4"/>
      <c r="Y16045" s="4"/>
    </row>
    <row r="16046" spans="5:25">
      <c r="E16046"/>
      <c r="G16046"/>
      <c r="H16046"/>
      <c r="I16046"/>
      <c r="K16046"/>
      <c r="O16046"/>
      <c r="R16046"/>
      <c r="W16046" s="4"/>
      <c r="X16046" s="4"/>
      <c r="Y16046" s="4"/>
    </row>
    <row r="16047" spans="5:25">
      <c r="E16047"/>
      <c r="G16047"/>
      <c r="H16047"/>
      <c r="I16047"/>
      <c r="K16047"/>
      <c r="O16047"/>
      <c r="R16047"/>
      <c r="W16047" s="4"/>
      <c r="X16047" s="4"/>
      <c r="Y16047" s="4"/>
    </row>
    <row r="16048" spans="5:25">
      <c r="E16048"/>
      <c r="G16048"/>
      <c r="H16048"/>
      <c r="I16048"/>
      <c r="K16048"/>
      <c r="O16048"/>
      <c r="R16048"/>
      <c r="W16048" s="4"/>
      <c r="X16048" s="4"/>
      <c r="Y16048" s="4"/>
    </row>
    <row r="16049" spans="5:25">
      <c r="E16049"/>
      <c r="G16049"/>
      <c r="H16049"/>
      <c r="I16049"/>
      <c r="K16049"/>
      <c r="O16049"/>
      <c r="R16049"/>
      <c r="W16049" s="4"/>
      <c r="X16049" s="4"/>
      <c r="Y16049" s="4"/>
    </row>
    <row r="16050" spans="5:25">
      <c r="E16050"/>
      <c r="G16050"/>
      <c r="H16050"/>
      <c r="I16050"/>
      <c r="K16050"/>
      <c r="O16050"/>
      <c r="R16050"/>
      <c r="W16050" s="4"/>
      <c r="X16050" s="4"/>
      <c r="Y16050" s="4"/>
    </row>
    <row r="16051" spans="5:25">
      <c r="E16051"/>
      <c r="G16051"/>
      <c r="H16051"/>
      <c r="I16051"/>
      <c r="K16051"/>
      <c r="O16051"/>
      <c r="R16051"/>
      <c r="W16051" s="4"/>
      <c r="X16051" s="4"/>
      <c r="Y16051" s="4"/>
    </row>
    <row r="16052" spans="5:25">
      <c r="E16052"/>
      <c r="G16052"/>
      <c r="H16052"/>
      <c r="I16052"/>
      <c r="K16052"/>
      <c r="O16052"/>
      <c r="R16052"/>
      <c r="W16052" s="4"/>
      <c r="X16052" s="4"/>
      <c r="Y16052" s="4"/>
    </row>
    <row r="16053" spans="5:25">
      <c r="E16053"/>
      <c r="G16053"/>
      <c r="H16053"/>
      <c r="I16053"/>
      <c r="K16053"/>
      <c r="O16053"/>
      <c r="R16053"/>
      <c r="W16053" s="4"/>
      <c r="X16053" s="4"/>
      <c r="Y16053" s="4"/>
    </row>
    <row r="16054" spans="5:25">
      <c r="E16054"/>
      <c r="G16054"/>
      <c r="H16054"/>
      <c r="I16054"/>
      <c r="K16054"/>
      <c r="O16054"/>
      <c r="R16054"/>
      <c r="W16054" s="4"/>
      <c r="X16054" s="4"/>
      <c r="Y16054" s="4"/>
    </row>
    <row r="16055" spans="5:25">
      <c r="E16055"/>
      <c r="G16055"/>
      <c r="H16055"/>
      <c r="I16055"/>
      <c r="K16055"/>
      <c r="O16055"/>
      <c r="R16055"/>
      <c r="W16055" s="4"/>
      <c r="X16055" s="4"/>
      <c r="Y16055" s="4"/>
    </row>
    <row r="16056" spans="5:25">
      <c r="E16056"/>
      <c r="G16056"/>
      <c r="H16056"/>
      <c r="I16056"/>
      <c r="K16056"/>
      <c r="O16056"/>
      <c r="R16056"/>
      <c r="W16056" s="4"/>
      <c r="X16056" s="4"/>
      <c r="Y16056" s="4"/>
    </row>
    <row r="16057" spans="5:25">
      <c r="E16057"/>
      <c r="G16057"/>
      <c r="H16057"/>
      <c r="I16057"/>
      <c r="K16057"/>
      <c r="O16057"/>
      <c r="R16057"/>
      <c r="W16057" s="4"/>
      <c r="X16057" s="4"/>
      <c r="Y16057" s="4"/>
    </row>
    <row r="16058" spans="5:25">
      <c r="E16058"/>
      <c r="G16058"/>
      <c r="H16058"/>
      <c r="I16058"/>
      <c r="K16058"/>
      <c r="O16058"/>
      <c r="R16058"/>
      <c r="W16058" s="4"/>
      <c r="X16058" s="4"/>
      <c r="Y16058" s="4"/>
    </row>
    <row r="16059" spans="5:25">
      <c r="E16059"/>
      <c r="G16059"/>
      <c r="H16059"/>
      <c r="I16059"/>
      <c r="K16059"/>
      <c r="O16059"/>
      <c r="R16059"/>
      <c r="W16059" s="4"/>
      <c r="X16059" s="4"/>
      <c r="Y16059" s="4"/>
    </row>
    <row r="16060" spans="5:25">
      <c r="E16060"/>
      <c r="G16060"/>
      <c r="H16060"/>
      <c r="I16060"/>
      <c r="K16060"/>
      <c r="O16060"/>
      <c r="R16060"/>
      <c r="W16060" s="4"/>
      <c r="X16060" s="4"/>
      <c r="Y16060" s="4"/>
    </row>
    <row r="16061" spans="5:25">
      <c r="E16061"/>
      <c r="G16061"/>
      <c r="H16061"/>
      <c r="I16061"/>
      <c r="K16061"/>
      <c r="O16061"/>
      <c r="R16061"/>
      <c r="W16061" s="4"/>
      <c r="X16061" s="4"/>
      <c r="Y16061" s="4"/>
    </row>
    <row r="16062" spans="5:25">
      <c r="E16062"/>
      <c r="G16062"/>
      <c r="H16062"/>
      <c r="I16062"/>
      <c r="K16062"/>
      <c r="O16062"/>
      <c r="R16062"/>
      <c r="W16062" s="4"/>
      <c r="X16062" s="4"/>
      <c r="Y16062" s="4"/>
    </row>
    <row r="16063" spans="5:25">
      <c r="E16063"/>
      <c r="G16063"/>
      <c r="H16063"/>
      <c r="I16063"/>
      <c r="K16063"/>
      <c r="O16063"/>
      <c r="R16063"/>
      <c r="W16063" s="4"/>
      <c r="X16063" s="4"/>
      <c r="Y16063" s="4"/>
    </row>
    <row r="16064" spans="5:25">
      <c r="E16064"/>
      <c r="G16064"/>
      <c r="H16064"/>
      <c r="I16064"/>
      <c r="K16064"/>
      <c r="O16064"/>
      <c r="R16064"/>
      <c r="W16064" s="4"/>
      <c r="X16064" s="4"/>
      <c r="Y16064" s="4"/>
    </row>
    <row r="16065" spans="5:25">
      <c r="E16065"/>
      <c r="G16065"/>
      <c r="H16065"/>
      <c r="I16065"/>
      <c r="K16065"/>
      <c r="O16065"/>
      <c r="R16065"/>
      <c r="W16065" s="4"/>
      <c r="X16065" s="4"/>
      <c r="Y16065" s="4"/>
    </row>
    <row r="16066" spans="5:25">
      <c r="E16066"/>
      <c r="G16066"/>
      <c r="H16066"/>
      <c r="I16066"/>
      <c r="K16066"/>
      <c r="O16066"/>
      <c r="R16066"/>
      <c r="W16066" s="4"/>
      <c r="X16066" s="4"/>
      <c r="Y16066" s="4"/>
    </row>
    <row r="16067" spans="5:25">
      <c r="E16067"/>
      <c r="G16067"/>
      <c r="H16067"/>
      <c r="I16067"/>
      <c r="K16067"/>
      <c r="O16067"/>
      <c r="R16067"/>
      <c r="W16067" s="4"/>
      <c r="X16067" s="4"/>
      <c r="Y16067" s="4"/>
    </row>
    <row r="16068" spans="5:25">
      <c r="E16068"/>
      <c r="G16068"/>
      <c r="H16068"/>
      <c r="I16068"/>
      <c r="K16068"/>
      <c r="O16068"/>
      <c r="R16068"/>
      <c r="W16068" s="4"/>
      <c r="X16068" s="4"/>
      <c r="Y16068" s="4"/>
    </row>
    <row r="16069" spans="5:25">
      <c r="E16069"/>
      <c r="G16069"/>
      <c r="H16069"/>
      <c r="I16069"/>
      <c r="K16069"/>
      <c r="O16069"/>
      <c r="R16069"/>
      <c r="W16069" s="4"/>
      <c r="X16069" s="4"/>
      <c r="Y16069" s="4"/>
    </row>
    <row r="16070" spans="5:25">
      <c r="E16070"/>
      <c r="G16070"/>
      <c r="H16070"/>
      <c r="I16070"/>
      <c r="K16070"/>
      <c r="O16070"/>
      <c r="R16070"/>
      <c r="W16070" s="4"/>
      <c r="X16070" s="4"/>
      <c r="Y16070" s="4"/>
    </row>
    <row r="16071" spans="5:25">
      <c r="E16071"/>
      <c r="G16071"/>
      <c r="H16071"/>
      <c r="I16071"/>
      <c r="K16071"/>
      <c r="O16071"/>
      <c r="R16071"/>
      <c r="W16071" s="4"/>
      <c r="X16071" s="4"/>
      <c r="Y16071" s="4"/>
    </row>
    <row r="16072" spans="5:25">
      <c r="E16072"/>
      <c r="G16072"/>
      <c r="H16072"/>
      <c r="I16072"/>
      <c r="K16072"/>
      <c r="O16072"/>
      <c r="R16072"/>
      <c r="W16072" s="4"/>
      <c r="X16072" s="4"/>
      <c r="Y16072" s="4"/>
    </row>
    <row r="16073" spans="5:25">
      <c r="E16073"/>
      <c r="G16073"/>
      <c r="H16073"/>
      <c r="I16073"/>
      <c r="K16073"/>
      <c r="O16073"/>
      <c r="R16073"/>
      <c r="W16073" s="4"/>
      <c r="X16073" s="4"/>
      <c r="Y16073" s="4"/>
    </row>
    <row r="16074" spans="5:25">
      <c r="E16074"/>
      <c r="G16074"/>
      <c r="H16074"/>
      <c r="I16074"/>
      <c r="K16074"/>
      <c r="O16074"/>
      <c r="R16074"/>
      <c r="W16074" s="4"/>
      <c r="X16074" s="4"/>
      <c r="Y16074" s="4"/>
    </row>
    <row r="16075" spans="5:25">
      <c r="E16075"/>
      <c r="G16075"/>
      <c r="H16075"/>
      <c r="I16075"/>
      <c r="K16075"/>
      <c r="O16075"/>
      <c r="R16075"/>
      <c r="W16075" s="4"/>
      <c r="X16075" s="4"/>
      <c r="Y16075" s="4"/>
    </row>
    <row r="16076" spans="5:25">
      <c r="E16076"/>
      <c r="G16076"/>
      <c r="H16076"/>
      <c r="I16076"/>
      <c r="K16076"/>
      <c r="O16076"/>
      <c r="R16076"/>
      <c r="W16076" s="4"/>
      <c r="X16076" s="4"/>
      <c r="Y16076" s="4"/>
    </row>
    <row r="16077" spans="5:25">
      <c r="E16077"/>
      <c r="G16077"/>
      <c r="H16077"/>
      <c r="I16077"/>
      <c r="K16077"/>
      <c r="O16077"/>
      <c r="R16077"/>
      <c r="W16077" s="4"/>
      <c r="X16077" s="4"/>
      <c r="Y16077" s="4"/>
    </row>
    <row r="16078" spans="5:25">
      <c r="E16078"/>
      <c r="G16078"/>
      <c r="H16078"/>
      <c r="I16078"/>
      <c r="K16078"/>
      <c r="O16078"/>
      <c r="R16078"/>
      <c r="W16078" s="4"/>
      <c r="X16078" s="4"/>
      <c r="Y16078" s="4"/>
    </row>
    <row r="16079" spans="5:25">
      <c r="E16079"/>
      <c r="G16079"/>
      <c r="H16079"/>
      <c r="I16079"/>
      <c r="K16079"/>
      <c r="O16079"/>
      <c r="R16079"/>
      <c r="W16079" s="4"/>
      <c r="X16079" s="4"/>
      <c r="Y16079" s="4"/>
    </row>
    <row r="16080" spans="5:25">
      <c r="E16080"/>
      <c r="G16080"/>
      <c r="H16080"/>
      <c r="I16080"/>
      <c r="K16080"/>
      <c r="O16080"/>
      <c r="R16080"/>
      <c r="W16080" s="4"/>
      <c r="X16080" s="4"/>
      <c r="Y16080" s="4"/>
    </row>
    <row r="16081" spans="5:25">
      <c r="E16081"/>
      <c r="G16081"/>
      <c r="H16081"/>
      <c r="I16081"/>
      <c r="K16081"/>
      <c r="O16081"/>
      <c r="R16081"/>
      <c r="W16081" s="4"/>
      <c r="X16081" s="4"/>
      <c r="Y16081" s="4"/>
    </row>
    <row r="16082" spans="5:25">
      <c r="E16082"/>
      <c r="G16082"/>
      <c r="H16082"/>
      <c r="I16082"/>
      <c r="K16082"/>
      <c r="O16082"/>
      <c r="R16082"/>
      <c r="W16082" s="4"/>
      <c r="X16082" s="4"/>
      <c r="Y16082" s="4"/>
    </row>
    <row r="16083" spans="5:25">
      <c r="E16083"/>
      <c r="G16083"/>
      <c r="H16083"/>
      <c r="I16083"/>
      <c r="K16083"/>
      <c r="O16083"/>
      <c r="R16083"/>
      <c r="W16083" s="4"/>
      <c r="X16083" s="4"/>
      <c r="Y16083" s="4"/>
    </row>
    <row r="16084" spans="5:25">
      <c r="E16084"/>
      <c r="G16084"/>
      <c r="H16084"/>
      <c r="I16084"/>
      <c r="K16084"/>
      <c r="O16084"/>
      <c r="R16084"/>
      <c r="W16084" s="4"/>
      <c r="X16084" s="4"/>
      <c r="Y16084" s="4"/>
    </row>
    <row r="16085" spans="5:25">
      <c r="E16085"/>
      <c r="G16085"/>
      <c r="H16085"/>
      <c r="I16085"/>
      <c r="K16085"/>
      <c r="O16085"/>
      <c r="R16085"/>
      <c r="W16085" s="4"/>
      <c r="X16085" s="4"/>
      <c r="Y16085" s="4"/>
    </row>
    <row r="16086" spans="5:25">
      <c r="E16086"/>
      <c r="G16086"/>
      <c r="H16086"/>
      <c r="I16086"/>
      <c r="K16086"/>
      <c r="O16086"/>
      <c r="R16086"/>
      <c r="W16086" s="4"/>
      <c r="X16086" s="4"/>
      <c r="Y16086" s="4"/>
    </row>
    <row r="16087" spans="5:25">
      <c r="E16087"/>
      <c r="G16087"/>
      <c r="H16087"/>
      <c r="I16087"/>
      <c r="K16087"/>
      <c r="O16087"/>
      <c r="R16087"/>
      <c r="W16087" s="4"/>
      <c r="X16087" s="4"/>
      <c r="Y16087" s="4"/>
    </row>
    <row r="16088" spans="5:25">
      <c r="E16088"/>
      <c r="G16088"/>
      <c r="H16088"/>
      <c r="I16088"/>
      <c r="K16088"/>
      <c r="O16088"/>
      <c r="R16088"/>
      <c r="W16088" s="4"/>
      <c r="X16088" s="4"/>
      <c r="Y16088" s="4"/>
    </row>
    <row r="16089" spans="5:25">
      <c r="E16089"/>
      <c r="G16089"/>
      <c r="H16089"/>
      <c r="I16089"/>
      <c r="K16089"/>
      <c r="O16089"/>
      <c r="R16089"/>
      <c r="W16089" s="4"/>
      <c r="X16089" s="4"/>
      <c r="Y16089" s="4"/>
    </row>
    <row r="16090" spans="5:25">
      <c r="E16090"/>
      <c r="G16090"/>
      <c r="H16090"/>
      <c r="I16090"/>
      <c r="K16090"/>
      <c r="O16090"/>
      <c r="R16090"/>
      <c r="W16090" s="4"/>
      <c r="X16090" s="4"/>
      <c r="Y16090" s="4"/>
    </row>
    <row r="16091" spans="5:25">
      <c r="E16091"/>
      <c r="G16091"/>
      <c r="H16091"/>
      <c r="I16091"/>
      <c r="K16091"/>
      <c r="O16091"/>
      <c r="R16091"/>
      <c r="W16091" s="4"/>
      <c r="X16091" s="4"/>
      <c r="Y16091" s="4"/>
    </row>
    <row r="16092" spans="5:25">
      <c r="E16092"/>
      <c r="G16092"/>
      <c r="H16092"/>
      <c r="I16092"/>
      <c r="K16092"/>
      <c r="O16092"/>
      <c r="R16092"/>
      <c r="W16092" s="4"/>
      <c r="X16092" s="4"/>
      <c r="Y16092" s="4"/>
    </row>
    <row r="16093" spans="5:25">
      <c r="E16093"/>
      <c r="G16093"/>
      <c r="H16093"/>
      <c r="I16093"/>
      <c r="K16093"/>
      <c r="O16093"/>
      <c r="R16093"/>
      <c r="W16093" s="4"/>
      <c r="X16093" s="4"/>
      <c r="Y16093" s="4"/>
    </row>
    <row r="16094" spans="5:25">
      <c r="E16094"/>
      <c r="G16094"/>
      <c r="H16094"/>
      <c r="I16094"/>
      <c r="K16094"/>
      <c r="O16094"/>
      <c r="R16094"/>
      <c r="W16094" s="4"/>
      <c r="X16094" s="4"/>
      <c r="Y16094" s="4"/>
    </row>
    <row r="16095" spans="5:25">
      <c r="E16095"/>
      <c r="G16095"/>
      <c r="H16095"/>
      <c r="I16095"/>
      <c r="K16095"/>
      <c r="O16095"/>
      <c r="R16095"/>
      <c r="W16095" s="4"/>
      <c r="X16095" s="4"/>
      <c r="Y16095" s="4"/>
    </row>
    <row r="16096" spans="5:25">
      <c r="E16096"/>
      <c r="G16096"/>
      <c r="H16096"/>
      <c r="I16096"/>
      <c r="K16096"/>
      <c r="O16096"/>
      <c r="R16096"/>
      <c r="W16096" s="4"/>
      <c r="X16096" s="4"/>
      <c r="Y16096" s="4"/>
    </row>
    <row r="16097" spans="5:25">
      <c r="E16097"/>
      <c r="G16097"/>
      <c r="H16097"/>
      <c r="I16097"/>
      <c r="K16097"/>
      <c r="O16097"/>
      <c r="R16097"/>
      <c r="W16097" s="4"/>
      <c r="X16097" s="4"/>
      <c r="Y16097" s="4"/>
    </row>
    <row r="16098" spans="5:25">
      <c r="E16098"/>
      <c r="G16098"/>
      <c r="H16098"/>
      <c r="I16098"/>
      <c r="K16098"/>
      <c r="O16098"/>
      <c r="R16098"/>
      <c r="W16098" s="4"/>
      <c r="X16098" s="4"/>
      <c r="Y16098" s="4"/>
    </row>
    <row r="16099" spans="5:25">
      <c r="E16099"/>
      <c r="G16099"/>
      <c r="H16099"/>
      <c r="I16099"/>
      <c r="K16099"/>
      <c r="O16099"/>
      <c r="R16099"/>
      <c r="W16099" s="4"/>
      <c r="X16099" s="4"/>
      <c r="Y16099" s="4"/>
    </row>
    <row r="16100" spans="5:25">
      <c r="E16100"/>
      <c r="G16100"/>
      <c r="H16100"/>
      <c r="I16100"/>
      <c r="K16100"/>
      <c r="O16100"/>
      <c r="R16100"/>
      <c r="W16100" s="4"/>
      <c r="X16100" s="4"/>
      <c r="Y16100" s="4"/>
    </row>
    <row r="16101" spans="5:25">
      <c r="E16101"/>
      <c r="G16101"/>
      <c r="H16101"/>
      <c r="I16101"/>
      <c r="K16101"/>
      <c r="O16101"/>
      <c r="R16101"/>
      <c r="W16101" s="4"/>
      <c r="X16101" s="4"/>
      <c r="Y16101" s="4"/>
    </row>
    <row r="16102" spans="5:25">
      <c r="E16102"/>
      <c r="G16102"/>
      <c r="H16102"/>
      <c r="I16102"/>
      <c r="K16102"/>
      <c r="O16102"/>
      <c r="R16102"/>
      <c r="W16102" s="4"/>
      <c r="X16102" s="4"/>
      <c r="Y16102" s="4"/>
    </row>
    <row r="16103" spans="5:25">
      <c r="E16103"/>
      <c r="G16103"/>
      <c r="H16103"/>
      <c r="I16103"/>
      <c r="K16103"/>
      <c r="O16103"/>
      <c r="R16103"/>
      <c r="W16103" s="4"/>
      <c r="X16103" s="4"/>
      <c r="Y16103" s="4"/>
    </row>
    <row r="16104" spans="5:25">
      <c r="E16104"/>
      <c r="G16104"/>
      <c r="H16104"/>
      <c r="I16104"/>
      <c r="K16104"/>
      <c r="O16104"/>
      <c r="R16104"/>
      <c r="W16104" s="4"/>
      <c r="X16104" s="4"/>
      <c r="Y16104" s="4"/>
    </row>
    <row r="16105" spans="5:25">
      <c r="E16105"/>
      <c r="G16105"/>
      <c r="H16105"/>
      <c r="I16105"/>
      <c r="K16105"/>
      <c r="O16105"/>
      <c r="R16105"/>
      <c r="W16105" s="4"/>
      <c r="X16105" s="4"/>
      <c r="Y16105" s="4"/>
    </row>
    <row r="16106" spans="5:25">
      <c r="E16106"/>
      <c r="G16106"/>
      <c r="H16106"/>
      <c r="I16106"/>
      <c r="K16106"/>
      <c r="O16106"/>
      <c r="R16106"/>
      <c r="W16106" s="4"/>
      <c r="X16106" s="4"/>
      <c r="Y16106" s="4"/>
    </row>
    <row r="16107" spans="5:25">
      <c r="E16107"/>
      <c r="G16107"/>
      <c r="H16107"/>
      <c r="I16107"/>
      <c r="K16107"/>
      <c r="O16107"/>
      <c r="R16107"/>
      <c r="W16107" s="4"/>
      <c r="X16107" s="4"/>
      <c r="Y16107" s="4"/>
    </row>
    <row r="16108" spans="5:25">
      <c r="E16108"/>
      <c r="G16108"/>
      <c r="H16108"/>
      <c r="I16108"/>
      <c r="K16108"/>
      <c r="O16108"/>
      <c r="R16108"/>
      <c r="W16108" s="4"/>
      <c r="X16108" s="4"/>
      <c r="Y16108" s="4"/>
    </row>
    <row r="16109" spans="5:25">
      <c r="E16109"/>
      <c r="G16109"/>
      <c r="H16109"/>
      <c r="I16109"/>
      <c r="K16109"/>
      <c r="O16109"/>
      <c r="R16109"/>
      <c r="W16109" s="4"/>
      <c r="X16109" s="4"/>
      <c r="Y16109" s="4"/>
    </row>
    <row r="16110" spans="5:25">
      <c r="E16110"/>
      <c r="G16110"/>
      <c r="H16110"/>
      <c r="I16110"/>
      <c r="K16110"/>
      <c r="O16110"/>
      <c r="R16110"/>
      <c r="W16110" s="4"/>
      <c r="X16110" s="4"/>
      <c r="Y16110" s="4"/>
    </row>
    <row r="16111" spans="5:25">
      <c r="E16111"/>
      <c r="G16111"/>
      <c r="H16111"/>
      <c r="I16111"/>
      <c r="K16111"/>
      <c r="O16111"/>
      <c r="R16111"/>
      <c r="W16111" s="4"/>
      <c r="X16111" s="4"/>
      <c r="Y16111" s="4"/>
    </row>
    <row r="16112" spans="5:25">
      <c r="E16112"/>
      <c r="G16112"/>
      <c r="H16112"/>
      <c r="I16112"/>
      <c r="K16112"/>
      <c r="O16112"/>
      <c r="R16112"/>
      <c r="W16112" s="4"/>
      <c r="X16112" s="4"/>
      <c r="Y16112" s="4"/>
    </row>
    <row r="16113" spans="5:25">
      <c r="E16113"/>
      <c r="G16113"/>
      <c r="H16113"/>
      <c r="I16113"/>
      <c r="K16113"/>
      <c r="O16113"/>
      <c r="R16113"/>
      <c r="W16113" s="4"/>
      <c r="X16113" s="4"/>
      <c r="Y16113" s="4"/>
    </row>
    <row r="16114" spans="5:25">
      <c r="E16114"/>
      <c r="G16114"/>
      <c r="H16114"/>
      <c r="I16114"/>
      <c r="K16114"/>
      <c r="O16114"/>
      <c r="R16114"/>
      <c r="W16114" s="4"/>
      <c r="X16114" s="4"/>
      <c r="Y16114" s="4"/>
    </row>
    <row r="16115" spans="5:25">
      <c r="E16115"/>
      <c r="G16115"/>
      <c r="H16115"/>
      <c r="I16115"/>
      <c r="K16115"/>
      <c r="O16115"/>
      <c r="R16115"/>
      <c r="W16115" s="4"/>
      <c r="X16115" s="4"/>
      <c r="Y16115" s="4"/>
    </row>
    <row r="16116" spans="5:25">
      <c r="E16116"/>
      <c r="G16116"/>
      <c r="H16116"/>
      <c r="I16116"/>
      <c r="K16116"/>
      <c r="O16116"/>
      <c r="R16116"/>
      <c r="W16116" s="4"/>
      <c r="X16116" s="4"/>
      <c r="Y16116" s="4"/>
    </row>
    <row r="16117" spans="5:25">
      <c r="E16117"/>
      <c r="G16117"/>
      <c r="H16117"/>
      <c r="I16117"/>
      <c r="K16117"/>
      <c r="O16117"/>
      <c r="R16117"/>
      <c r="W16117" s="4"/>
      <c r="X16117" s="4"/>
      <c r="Y16117" s="4"/>
    </row>
    <row r="16118" spans="5:25">
      <c r="E16118"/>
      <c r="G16118"/>
      <c r="H16118"/>
      <c r="I16118"/>
      <c r="K16118"/>
      <c r="O16118"/>
      <c r="R16118"/>
      <c r="W16118" s="4"/>
      <c r="X16118" s="4"/>
      <c r="Y16118" s="4"/>
    </row>
    <row r="16119" spans="5:25">
      <c r="E16119"/>
      <c r="G16119"/>
      <c r="H16119"/>
      <c r="I16119"/>
      <c r="K16119"/>
      <c r="O16119"/>
      <c r="R16119"/>
      <c r="W16119" s="4"/>
      <c r="X16119" s="4"/>
      <c r="Y16119" s="4"/>
    </row>
    <row r="16120" spans="5:25">
      <c r="E16120"/>
      <c r="G16120"/>
      <c r="H16120"/>
      <c r="I16120"/>
      <c r="K16120"/>
      <c r="O16120"/>
      <c r="R16120"/>
      <c r="W16120" s="4"/>
      <c r="X16120" s="4"/>
      <c r="Y16120" s="4"/>
    </row>
    <row r="16121" spans="5:25">
      <c r="E16121"/>
      <c r="G16121"/>
      <c r="H16121"/>
      <c r="I16121"/>
      <c r="K16121"/>
      <c r="O16121"/>
      <c r="R16121"/>
      <c r="W16121" s="4"/>
      <c r="X16121" s="4"/>
      <c r="Y16121" s="4"/>
    </row>
    <row r="16122" spans="5:25">
      <c r="E16122"/>
      <c r="G16122"/>
      <c r="H16122"/>
      <c r="I16122"/>
      <c r="K16122"/>
      <c r="O16122"/>
      <c r="R16122"/>
      <c r="W16122" s="4"/>
      <c r="X16122" s="4"/>
      <c r="Y16122" s="4"/>
    </row>
    <row r="16123" spans="5:25">
      <c r="E16123"/>
      <c r="G16123"/>
      <c r="H16123"/>
      <c r="I16123"/>
      <c r="K16123"/>
      <c r="O16123"/>
      <c r="R16123"/>
      <c r="W16123" s="4"/>
      <c r="X16123" s="4"/>
      <c r="Y16123" s="4"/>
    </row>
    <row r="16124" spans="5:25">
      <c r="E16124"/>
      <c r="G16124"/>
      <c r="H16124"/>
      <c r="I16124"/>
      <c r="K16124"/>
      <c r="O16124"/>
      <c r="R16124"/>
      <c r="W16124" s="4"/>
      <c r="X16124" s="4"/>
      <c r="Y16124" s="4"/>
    </row>
    <row r="16125" spans="5:25">
      <c r="E16125"/>
      <c r="G16125"/>
      <c r="H16125"/>
      <c r="I16125"/>
      <c r="K16125"/>
      <c r="O16125"/>
      <c r="R16125"/>
      <c r="W16125" s="4"/>
      <c r="X16125" s="4"/>
      <c r="Y16125" s="4"/>
    </row>
    <row r="16126" spans="5:25">
      <c r="E16126"/>
      <c r="G16126"/>
      <c r="H16126"/>
      <c r="I16126"/>
      <c r="K16126"/>
      <c r="O16126"/>
      <c r="R16126"/>
      <c r="W16126" s="4"/>
      <c r="X16126" s="4"/>
      <c r="Y16126" s="4"/>
    </row>
    <row r="16127" spans="5:25">
      <c r="E16127"/>
      <c r="G16127"/>
      <c r="H16127"/>
      <c r="I16127"/>
      <c r="K16127"/>
      <c r="O16127"/>
      <c r="R16127"/>
      <c r="W16127" s="4"/>
      <c r="X16127" s="4"/>
      <c r="Y16127" s="4"/>
    </row>
    <row r="16128" spans="5:25">
      <c r="E16128"/>
      <c r="G16128"/>
      <c r="H16128"/>
      <c r="I16128"/>
      <c r="K16128"/>
      <c r="O16128"/>
      <c r="R16128"/>
      <c r="W16128" s="4"/>
      <c r="X16128" s="4"/>
      <c r="Y16128" s="4"/>
    </row>
    <row r="16129" spans="5:25">
      <c r="E16129"/>
      <c r="G16129"/>
      <c r="H16129"/>
      <c r="I16129"/>
      <c r="K16129"/>
      <c r="O16129"/>
      <c r="R16129"/>
      <c r="W16129" s="4"/>
      <c r="X16129" s="4"/>
      <c r="Y16129" s="4"/>
    </row>
    <row r="16130" spans="5:25">
      <c r="E16130"/>
      <c r="G16130"/>
      <c r="H16130"/>
      <c r="I16130"/>
      <c r="K16130"/>
      <c r="O16130"/>
      <c r="R16130"/>
      <c r="W16130" s="4"/>
      <c r="X16130" s="4"/>
      <c r="Y16130" s="4"/>
    </row>
    <row r="16131" spans="5:25">
      <c r="E16131"/>
      <c r="G16131"/>
      <c r="H16131"/>
      <c r="I16131"/>
      <c r="K16131"/>
      <c r="O16131"/>
      <c r="R16131"/>
      <c r="W16131" s="4"/>
      <c r="X16131" s="4"/>
      <c r="Y16131" s="4"/>
    </row>
    <row r="16132" spans="5:25">
      <c r="E16132"/>
      <c r="G16132"/>
      <c r="H16132"/>
      <c r="I16132"/>
      <c r="K16132"/>
      <c r="O16132"/>
      <c r="R16132"/>
      <c r="W16132" s="4"/>
      <c r="X16132" s="4"/>
      <c r="Y16132" s="4"/>
    </row>
    <row r="16133" spans="5:25">
      <c r="E16133"/>
      <c r="G16133"/>
      <c r="H16133"/>
      <c r="I16133"/>
      <c r="K16133"/>
      <c r="O16133"/>
      <c r="R16133"/>
      <c r="W16133" s="4"/>
      <c r="X16133" s="4"/>
      <c r="Y16133" s="4"/>
    </row>
    <row r="16134" spans="5:25">
      <c r="E16134"/>
      <c r="G16134"/>
      <c r="H16134"/>
      <c r="I16134"/>
      <c r="K16134"/>
      <c r="O16134"/>
      <c r="R16134"/>
      <c r="W16134" s="4"/>
      <c r="X16134" s="4"/>
      <c r="Y16134" s="4"/>
    </row>
    <row r="16135" spans="5:25">
      <c r="E16135"/>
      <c r="G16135"/>
      <c r="H16135"/>
      <c r="I16135"/>
      <c r="K16135"/>
      <c r="O16135"/>
      <c r="R16135"/>
      <c r="W16135" s="4"/>
      <c r="X16135" s="4"/>
      <c r="Y16135" s="4"/>
    </row>
    <row r="16136" spans="5:25">
      <c r="E16136"/>
      <c r="G16136"/>
      <c r="H16136"/>
      <c r="I16136"/>
      <c r="K16136"/>
      <c r="O16136"/>
      <c r="R16136"/>
      <c r="W16136" s="4"/>
      <c r="X16136" s="4"/>
      <c r="Y16136" s="4"/>
    </row>
    <row r="16137" spans="5:25">
      <c r="E16137"/>
      <c r="G16137"/>
      <c r="H16137"/>
      <c r="I16137"/>
      <c r="K16137"/>
      <c r="O16137"/>
      <c r="R16137"/>
      <c r="W16137" s="4"/>
      <c r="X16137" s="4"/>
      <c r="Y16137" s="4"/>
    </row>
    <row r="16138" spans="5:25">
      <c r="E16138"/>
      <c r="G16138"/>
      <c r="H16138"/>
      <c r="I16138"/>
      <c r="K16138"/>
      <c r="O16138"/>
      <c r="R16138"/>
      <c r="W16138" s="4"/>
      <c r="X16138" s="4"/>
      <c r="Y16138" s="4"/>
    </row>
    <row r="16139" spans="5:25">
      <c r="E16139"/>
      <c r="G16139"/>
      <c r="H16139"/>
      <c r="I16139"/>
      <c r="K16139"/>
      <c r="O16139"/>
      <c r="R16139"/>
      <c r="W16139" s="4"/>
      <c r="X16139" s="4"/>
      <c r="Y16139" s="4"/>
    </row>
    <row r="16140" spans="5:25">
      <c r="E16140"/>
      <c r="G16140"/>
      <c r="H16140"/>
      <c r="I16140"/>
      <c r="K16140"/>
      <c r="O16140"/>
      <c r="R16140"/>
      <c r="W16140" s="4"/>
      <c r="X16140" s="4"/>
      <c r="Y16140" s="4"/>
    </row>
    <row r="16141" spans="5:25">
      <c r="E16141"/>
      <c r="G16141"/>
      <c r="H16141"/>
      <c r="I16141"/>
      <c r="K16141"/>
      <c r="O16141"/>
      <c r="R16141"/>
      <c r="W16141" s="4"/>
      <c r="X16141" s="4"/>
      <c r="Y16141" s="4"/>
    </row>
    <row r="16142" spans="5:25">
      <c r="E16142"/>
      <c r="G16142"/>
      <c r="H16142"/>
      <c r="I16142"/>
      <c r="K16142"/>
      <c r="O16142"/>
      <c r="R16142"/>
      <c r="W16142" s="4"/>
      <c r="X16142" s="4"/>
      <c r="Y16142" s="4"/>
    </row>
    <row r="16143" spans="5:25">
      <c r="E16143"/>
      <c r="G16143"/>
      <c r="H16143"/>
      <c r="I16143"/>
      <c r="K16143"/>
      <c r="O16143"/>
      <c r="R16143"/>
      <c r="W16143" s="4"/>
      <c r="X16143" s="4"/>
      <c r="Y16143" s="4"/>
    </row>
    <row r="16144" spans="5:25">
      <c r="E16144"/>
      <c r="G16144"/>
      <c r="H16144"/>
      <c r="I16144"/>
      <c r="K16144"/>
      <c r="O16144"/>
      <c r="R16144"/>
      <c r="W16144" s="4"/>
      <c r="X16144" s="4"/>
      <c r="Y16144" s="4"/>
    </row>
    <row r="16145" spans="5:25">
      <c r="E16145"/>
      <c r="G16145"/>
      <c r="H16145"/>
      <c r="I16145"/>
      <c r="K16145"/>
      <c r="O16145"/>
      <c r="R16145"/>
      <c r="W16145" s="4"/>
      <c r="X16145" s="4"/>
      <c r="Y16145" s="4"/>
    </row>
    <row r="16146" spans="5:25">
      <c r="E16146"/>
      <c r="G16146"/>
      <c r="H16146"/>
      <c r="I16146"/>
      <c r="K16146"/>
      <c r="O16146"/>
      <c r="R16146"/>
      <c r="W16146" s="4"/>
      <c r="X16146" s="4"/>
      <c r="Y16146" s="4"/>
    </row>
    <row r="16147" spans="5:25">
      <c r="E16147"/>
      <c r="G16147"/>
      <c r="H16147"/>
      <c r="I16147"/>
      <c r="K16147"/>
      <c r="O16147"/>
      <c r="R16147"/>
      <c r="W16147" s="4"/>
      <c r="X16147" s="4"/>
      <c r="Y16147" s="4"/>
    </row>
    <row r="16148" spans="5:25">
      <c r="E16148"/>
      <c r="G16148"/>
      <c r="H16148"/>
      <c r="I16148"/>
      <c r="K16148"/>
      <c r="O16148"/>
      <c r="R16148"/>
      <c r="W16148" s="4"/>
      <c r="X16148" s="4"/>
      <c r="Y16148" s="4"/>
    </row>
    <row r="16149" spans="5:25">
      <c r="E16149"/>
      <c r="G16149"/>
      <c r="H16149"/>
      <c r="I16149"/>
      <c r="K16149"/>
      <c r="O16149"/>
      <c r="R16149"/>
      <c r="W16149" s="4"/>
      <c r="X16149" s="4"/>
      <c r="Y16149" s="4"/>
    </row>
    <row r="16150" spans="5:25">
      <c r="E16150"/>
      <c r="G16150"/>
      <c r="H16150"/>
      <c r="I16150"/>
      <c r="K16150"/>
      <c r="O16150"/>
      <c r="R16150"/>
      <c r="W16150" s="4"/>
      <c r="X16150" s="4"/>
      <c r="Y16150" s="4"/>
    </row>
    <row r="16151" spans="5:25">
      <c r="E16151"/>
      <c r="G16151"/>
      <c r="H16151"/>
      <c r="I16151"/>
      <c r="K16151"/>
      <c r="O16151"/>
      <c r="R16151"/>
      <c r="W16151" s="4"/>
      <c r="X16151" s="4"/>
      <c r="Y16151" s="4"/>
    </row>
    <row r="16152" spans="5:25">
      <c r="E16152"/>
      <c r="G16152"/>
      <c r="H16152"/>
      <c r="I16152"/>
      <c r="K16152"/>
      <c r="O16152"/>
      <c r="R16152"/>
      <c r="W16152" s="4"/>
      <c r="X16152" s="4"/>
      <c r="Y16152" s="4"/>
    </row>
    <row r="16153" spans="5:25">
      <c r="E16153"/>
      <c r="G16153"/>
      <c r="H16153"/>
      <c r="I16153"/>
      <c r="K16153"/>
      <c r="O16153"/>
      <c r="R16153"/>
      <c r="W16153" s="4"/>
      <c r="X16153" s="4"/>
      <c r="Y16153" s="4"/>
    </row>
    <row r="16154" spans="5:25">
      <c r="E16154"/>
      <c r="G16154"/>
      <c r="H16154"/>
      <c r="I16154"/>
      <c r="K16154"/>
      <c r="O16154"/>
      <c r="R16154"/>
      <c r="W16154" s="4"/>
      <c r="X16154" s="4"/>
      <c r="Y16154" s="4"/>
    </row>
    <row r="16155" spans="5:25">
      <c r="E16155"/>
      <c r="G16155"/>
      <c r="H16155"/>
      <c r="I16155"/>
      <c r="K16155"/>
      <c r="O16155"/>
      <c r="R16155"/>
      <c r="W16155" s="4"/>
      <c r="X16155" s="4"/>
      <c r="Y16155" s="4"/>
    </row>
    <row r="16156" spans="5:25">
      <c r="E16156"/>
      <c r="G16156"/>
      <c r="H16156"/>
      <c r="I16156"/>
      <c r="K16156"/>
      <c r="O16156"/>
      <c r="R16156"/>
      <c r="W16156" s="4"/>
      <c r="X16156" s="4"/>
      <c r="Y16156" s="4"/>
    </row>
    <row r="16157" spans="5:25">
      <c r="E16157"/>
      <c r="G16157"/>
      <c r="H16157"/>
      <c r="I16157"/>
      <c r="K16157"/>
      <c r="O16157"/>
      <c r="R16157"/>
      <c r="W16157" s="4"/>
      <c r="X16157" s="4"/>
      <c r="Y16157" s="4"/>
    </row>
    <row r="16158" spans="5:25">
      <c r="E16158"/>
      <c r="G16158"/>
      <c r="H16158"/>
      <c r="I16158"/>
      <c r="K16158"/>
      <c r="O16158"/>
      <c r="R16158"/>
      <c r="W16158" s="4"/>
      <c r="X16158" s="4"/>
      <c r="Y16158" s="4"/>
    </row>
    <row r="16159" spans="5:25">
      <c r="E16159"/>
      <c r="G16159"/>
      <c r="H16159"/>
      <c r="I16159"/>
      <c r="K16159"/>
      <c r="O16159"/>
      <c r="R16159"/>
      <c r="W16159" s="4"/>
      <c r="X16159" s="4"/>
      <c r="Y16159" s="4"/>
    </row>
    <row r="16160" spans="5:25">
      <c r="E16160"/>
      <c r="G16160"/>
      <c r="H16160"/>
      <c r="I16160"/>
      <c r="K16160"/>
      <c r="O16160"/>
      <c r="R16160"/>
      <c r="W16160" s="4"/>
      <c r="X16160" s="4"/>
      <c r="Y16160" s="4"/>
    </row>
    <row r="16161" spans="5:25">
      <c r="E16161"/>
      <c r="G16161"/>
      <c r="H16161"/>
      <c r="I16161"/>
      <c r="K16161"/>
      <c r="O16161"/>
      <c r="R16161"/>
      <c r="W16161" s="4"/>
      <c r="X16161" s="4"/>
      <c r="Y16161" s="4"/>
    </row>
    <row r="16162" spans="5:25">
      <c r="E16162"/>
      <c r="G16162"/>
      <c r="H16162"/>
      <c r="I16162"/>
      <c r="K16162"/>
      <c r="O16162"/>
      <c r="R16162"/>
      <c r="W16162" s="4"/>
      <c r="X16162" s="4"/>
      <c r="Y16162" s="4"/>
    </row>
    <row r="16163" spans="5:25">
      <c r="E16163"/>
      <c r="G16163"/>
      <c r="H16163"/>
      <c r="I16163"/>
      <c r="K16163"/>
      <c r="O16163"/>
      <c r="R16163"/>
      <c r="W16163" s="4"/>
      <c r="X16163" s="4"/>
      <c r="Y16163" s="4"/>
    </row>
    <row r="16164" spans="5:25">
      <c r="E16164"/>
      <c r="G16164"/>
      <c r="H16164"/>
      <c r="I16164"/>
      <c r="K16164"/>
      <c r="O16164"/>
      <c r="R16164"/>
      <c r="W16164" s="4"/>
      <c r="X16164" s="4"/>
      <c r="Y16164" s="4"/>
    </row>
    <row r="16165" spans="5:25">
      <c r="E16165"/>
      <c r="G16165"/>
      <c r="H16165"/>
      <c r="I16165"/>
      <c r="K16165"/>
      <c r="O16165"/>
      <c r="R16165"/>
      <c r="W16165" s="4"/>
      <c r="X16165" s="4"/>
      <c r="Y16165" s="4"/>
    </row>
    <row r="16166" spans="5:25">
      <c r="E16166"/>
      <c r="G16166"/>
      <c r="H16166"/>
      <c r="I16166"/>
      <c r="K16166"/>
      <c r="O16166"/>
      <c r="R16166"/>
      <c r="W16166" s="4"/>
      <c r="X16166" s="4"/>
      <c r="Y16166" s="4"/>
    </row>
    <row r="16167" spans="5:25">
      <c r="E16167"/>
      <c r="G16167"/>
      <c r="H16167"/>
      <c r="I16167"/>
      <c r="K16167"/>
      <c r="O16167"/>
      <c r="R16167"/>
      <c r="W16167" s="4"/>
      <c r="X16167" s="4"/>
      <c r="Y16167" s="4"/>
    </row>
    <row r="16168" spans="5:25">
      <c r="E16168"/>
      <c r="G16168"/>
      <c r="H16168"/>
      <c r="I16168"/>
      <c r="K16168"/>
      <c r="O16168"/>
      <c r="R16168"/>
      <c r="W16168" s="4"/>
      <c r="X16168" s="4"/>
      <c r="Y16168" s="4"/>
    </row>
    <row r="16169" spans="5:25">
      <c r="E16169"/>
      <c r="G16169"/>
      <c r="H16169"/>
      <c r="I16169"/>
      <c r="K16169"/>
      <c r="O16169"/>
      <c r="R16169"/>
      <c r="W16169" s="4"/>
      <c r="X16169" s="4"/>
      <c r="Y16169" s="4"/>
    </row>
    <row r="16170" spans="5:25">
      <c r="E16170"/>
      <c r="G16170"/>
      <c r="H16170"/>
      <c r="I16170"/>
      <c r="K16170"/>
      <c r="O16170"/>
      <c r="R16170"/>
      <c r="W16170" s="4"/>
      <c r="X16170" s="4"/>
      <c r="Y16170" s="4"/>
    </row>
    <row r="16171" spans="5:25">
      <c r="E16171"/>
      <c r="G16171"/>
      <c r="H16171"/>
      <c r="I16171"/>
      <c r="K16171"/>
      <c r="O16171"/>
      <c r="R16171"/>
      <c r="W16171" s="4"/>
      <c r="X16171" s="4"/>
      <c r="Y16171" s="4"/>
    </row>
    <row r="16172" spans="5:25">
      <c r="E16172"/>
      <c r="G16172"/>
      <c r="H16172"/>
      <c r="I16172"/>
      <c r="K16172"/>
      <c r="O16172"/>
      <c r="R16172"/>
      <c r="W16172" s="4"/>
      <c r="X16172" s="4"/>
      <c r="Y16172" s="4"/>
    </row>
    <row r="16173" spans="5:25">
      <c r="E16173"/>
      <c r="G16173"/>
      <c r="H16173"/>
      <c r="I16173"/>
      <c r="K16173"/>
      <c r="O16173"/>
      <c r="R16173"/>
      <c r="W16173" s="4"/>
      <c r="X16173" s="4"/>
      <c r="Y16173" s="4"/>
    </row>
    <row r="16174" spans="5:25">
      <c r="E16174"/>
      <c r="G16174"/>
      <c r="H16174"/>
      <c r="I16174"/>
      <c r="K16174"/>
      <c r="O16174"/>
      <c r="R16174"/>
      <c r="W16174" s="4"/>
      <c r="X16174" s="4"/>
      <c r="Y16174" s="4"/>
    </row>
    <row r="16175" spans="5:25">
      <c r="E16175"/>
      <c r="G16175"/>
      <c r="H16175"/>
      <c r="I16175"/>
      <c r="K16175"/>
      <c r="O16175"/>
      <c r="R16175"/>
      <c r="W16175" s="4"/>
      <c r="X16175" s="4"/>
      <c r="Y16175" s="4"/>
    </row>
    <row r="16176" spans="5:25">
      <c r="E16176"/>
      <c r="G16176"/>
      <c r="H16176"/>
      <c r="I16176"/>
      <c r="K16176"/>
      <c r="O16176"/>
      <c r="R16176"/>
      <c r="W16176" s="4"/>
      <c r="X16176" s="4"/>
      <c r="Y16176" s="4"/>
    </row>
    <row r="16177" spans="5:25">
      <c r="E16177"/>
      <c r="G16177"/>
      <c r="H16177"/>
      <c r="I16177"/>
      <c r="K16177"/>
      <c r="O16177"/>
      <c r="R16177"/>
      <c r="W16177" s="4"/>
      <c r="X16177" s="4"/>
      <c r="Y16177" s="4"/>
    </row>
    <row r="16178" spans="5:25">
      <c r="E16178"/>
      <c r="G16178"/>
      <c r="H16178"/>
      <c r="I16178"/>
      <c r="K16178"/>
      <c r="O16178"/>
      <c r="R16178"/>
      <c r="W16178" s="4"/>
      <c r="X16178" s="4"/>
      <c r="Y16178" s="4"/>
    </row>
    <row r="16179" spans="5:25">
      <c r="E16179"/>
      <c r="G16179"/>
      <c r="H16179"/>
      <c r="I16179"/>
      <c r="K16179"/>
      <c r="O16179"/>
      <c r="R16179"/>
      <c r="W16179" s="4"/>
      <c r="X16179" s="4"/>
      <c r="Y16179" s="4"/>
    </row>
    <row r="16180" spans="5:25">
      <c r="E16180"/>
      <c r="G16180"/>
      <c r="H16180"/>
      <c r="I16180"/>
      <c r="K16180"/>
      <c r="O16180"/>
      <c r="R16180"/>
      <c r="W16180" s="4"/>
      <c r="X16180" s="4"/>
      <c r="Y16180" s="4"/>
    </row>
    <row r="16181" spans="5:25">
      <c r="E16181"/>
      <c r="G16181"/>
      <c r="H16181"/>
      <c r="I16181"/>
      <c r="K16181"/>
      <c r="O16181"/>
      <c r="R16181"/>
      <c r="W16181" s="4"/>
      <c r="X16181" s="4"/>
      <c r="Y16181" s="4"/>
    </row>
    <row r="16182" spans="5:25">
      <c r="E16182"/>
      <c r="G16182"/>
      <c r="H16182"/>
      <c r="I16182"/>
      <c r="K16182"/>
      <c r="O16182"/>
      <c r="R16182"/>
      <c r="W16182" s="4"/>
      <c r="X16182" s="4"/>
      <c r="Y16182" s="4"/>
    </row>
    <row r="16183" spans="5:25">
      <c r="E16183"/>
      <c r="G16183"/>
      <c r="H16183"/>
      <c r="I16183"/>
      <c r="K16183"/>
      <c r="O16183"/>
      <c r="R16183"/>
      <c r="W16183" s="4"/>
      <c r="X16183" s="4"/>
      <c r="Y16183" s="4"/>
    </row>
    <row r="16184" spans="5:25">
      <c r="E16184"/>
      <c r="G16184"/>
      <c r="H16184"/>
      <c r="I16184"/>
      <c r="K16184"/>
      <c r="O16184"/>
      <c r="R16184"/>
      <c r="W16184" s="4"/>
      <c r="X16184" s="4"/>
      <c r="Y16184" s="4"/>
    </row>
    <row r="16185" spans="5:25">
      <c r="E16185"/>
      <c r="G16185"/>
      <c r="H16185"/>
      <c r="I16185"/>
      <c r="K16185"/>
      <c r="O16185"/>
      <c r="R16185"/>
      <c r="W16185" s="4"/>
      <c r="X16185" s="4"/>
      <c r="Y16185" s="4"/>
    </row>
    <row r="16186" spans="5:25">
      <c r="E16186"/>
      <c r="G16186"/>
      <c r="H16186"/>
      <c r="I16186"/>
      <c r="K16186"/>
      <c r="O16186"/>
      <c r="R16186"/>
      <c r="W16186" s="4"/>
      <c r="X16186" s="4"/>
      <c r="Y16186" s="4"/>
    </row>
    <row r="16187" spans="5:25">
      <c r="E16187"/>
      <c r="G16187"/>
      <c r="H16187"/>
      <c r="I16187"/>
      <c r="K16187"/>
      <c r="O16187"/>
      <c r="R16187"/>
      <c r="W16187" s="4"/>
      <c r="X16187" s="4"/>
      <c r="Y16187" s="4"/>
    </row>
    <row r="16188" spans="5:25">
      <c r="E16188"/>
      <c r="G16188"/>
      <c r="H16188"/>
      <c r="I16188"/>
      <c r="K16188"/>
      <c r="O16188"/>
      <c r="R16188"/>
      <c r="W16188" s="4"/>
      <c r="X16188" s="4"/>
      <c r="Y16188" s="4"/>
    </row>
    <row r="16189" spans="5:25">
      <c r="E16189"/>
      <c r="G16189"/>
      <c r="H16189"/>
      <c r="I16189"/>
      <c r="K16189"/>
      <c r="O16189"/>
      <c r="R16189"/>
      <c r="W16189" s="4"/>
      <c r="X16189" s="4"/>
      <c r="Y16189" s="4"/>
    </row>
    <row r="16190" spans="5:25">
      <c r="E16190"/>
      <c r="G16190"/>
      <c r="H16190"/>
      <c r="I16190"/>
      <c r="K16190"/>
      <c r="O16190"/>
      <c r="R16190"/>
      <c r="W16190" s="4"/>
      <c r="X16190" s="4"/>
      <c r="Y16190" s="4"/>
    </row>
    <row r="16191" spans="5:25">
      <c r="E16191"/>
      <c r="G16191"/>
      <c r="H16191"/>
      <c r="I16191"/>
      <c r="K16191"/>
      <c r="O16191"/>
      <c r="R16191"/>
      <c r="W16191" s="4"/>
      <c r="X16191" s="4"/>
      <c r="Y16191" s="4"/>
    </row>
    <row r="16192" spans="5:25">
      <c r="E16192"/>
      <c r="G16192"/>
      <c r="H16192"/>
      <c r="I16192"/>
      <c r="K16192"/>
      <c r="O16192"/>
      <c r="R16192"/>
      <c r="W16192" s="4"/>
      <c r="X16192" s="4"/>
      <c r="Y16192" s="4"/>
    </row>
    <row r="16193" spans="5:25">
      <c r="E16193"/>
      <c r="G16193"/>
      <c r="H16193"/>
      <c r="I16193"/>
      <c r="K16193"/>
      <c r="O16193"/>
      <c r="R16193"/>
      <c r="W16193" s="4"/>
      <c r="X16193" s="4"/>
      <c r="Y16193" s="4"/>
    </row>
    <row r="16194" spans="5:25">
      <c r="E16194"/>
      <c r="G16194"/>
      <c r="H16194"/>
      <c r="I16194"/>
      <c r="K16194"/>
      <c r="O16194"/>
      <c r="R16194"/>
      <c r="W16194" s="4"/>
      <c r="X16194" s="4"/>
      <c r="Y16194" s="4"/>
    </row>
    <row r="16195" spans="5:25">
      <c r="E16195"/>
      <c r="G16195"/>
      <c r="H16195"/>
      <c r="I16195"/>
      <c r="K16195"/>
      <c r="O16195"/>
      <c r="R16195"/>
      <c r="W16195" s="4"/>
      <c r="X16195" s="4"/>
      <c r="Y16195" s="4"/>
    </row>
    <row r="16196" spans="5:25">
      <c r="E16196"/>
      <c r="G16196"/>
      <c r="H16196"/>
      <c r="I16196"/>
      <c r="K16196"/>
      <c r="O16196"/>
      <c r="R16196"/>
      <c r="W16196" s="4"/>
      <c r="X16196" s="4"/>
      <c r="Y16196" s="4"/>
    </row>
    <row r="16197" spans="5:25">
      <c r="E16197"/>
      <c r="G16197"/>
      <c r="H16197"/>
      <c r="I16197"/>
      <c r="K16197"/>
      <c r="O16197"/>
      <c r="R16197"/>
      <c r="W16197" s="4"/>
      <c r="X16197" s="4"/>
      <c r="Y16197" s="4"/>
    </row>
    <row r="16198" spans="5:25">
      <c r="E16198"/>
      <c r="G16198"/>
      <c r="H16198"/>
      <c r="I16198"/>
      <c r="K16198"/>
      <c r="O16198"/>
      <c r="R16198"/>
      <c r="W16198" s="4"/>
      <c r="X16198" s="4"/>
      <c r="Y16198" s="4"/>
    </row>
    <row r="16199" spans="5:25">
      <c r="E16199"/>
      <c r="G16199"/>
      <c r="H16199"/>
      <c r="I16199"/>
      <c r="K16199"/>
      <c r="O16199"/>
      <c r="R16199"/>
      <c r="W16199" s="4"/>
      <c r="X16199" s="4"/>
      <c r="Y16199" s="4"/>
    </row>
    <row r="16200" spans="5:25">
      <c r="E16200"/>
      <c r="G16200"/>
      <c r="H16200"/>
      <c r="I16200"/>
      <c r="K16200"/>
      <c r="O16200"/>
      <c r="R16200"/>
      <c r="W16200" s="4"/>
      <c r="X16200" s="4"/>
      <c r="Y16200" s="4"/>
    </row>
    <row r="16201" spans="5:25">
      <c r="E16201"/>
      <c r="G16201"/>
      <c r="H16201"/>
      <c r="I16201"/>
      <c r="K16201"/>
      <c r="O16201"/>
      <c r="R16201"/>
      <c r="W16201" s="4"/>
      <c r="X16201" s="4"/>
      <c r="Y16201" s="4"/>
    </row>
    <row r="16202" spans="5:25">
      <c r="E16202"/>
      <c r="G16202"/>
      <c r="H16202"/>
      <c r="I16202"/>
      <c r="K16202"/>
      <c r="O16202"/>
      <c r="R16202"/>
      <c r="W16202" s="4"/>
      <c r="X16202" s="4"/>
      <c r="Y16202" s="4"/>
    </row>
    <row r="16203" spans="5:25">
      <c r="E16203"/>
      <c r="G16203"/>
      <c r="H16203"/>
      <c r="I16203"/>
      <c r="K16203"/>
      <c r="O16203"/>
      <c r="R16203"/>
      <c r="W16203" s="4"/>
      <c r="X16203" s="4"/>
      <c r="Y16203" s="4"/>
    </row>
    <row r="16204" spans="5:25">
      <c r="E16204"/>
      <c r="G16204"/>
      <c r="H16204"/>
      <c r="I16204"/>
      <c r="K16204"/>
      <c r="O16204"/>
      <c r="R16204"/>
      <c r="W16204" s="4"/>
      <c r="X16204" s="4"/>
      <c r="Y16204" s="4"/>
    </row>
    <row r="16205" spans="5:25">
      <c r="E16205"/>
      <c r="G16205"/>
      <c r="H16205"/>
      <c r="I16205"/>
      <c r="K16205"/>
      <c r="O16205"/>
      <c r="R16205"/>
      <c r="W16205" s="4"/>
      <c r="X16205" s="4"/>
      <c r="Y16205" s="4"/>
    </row>
    <row r="16206" spans="5:25">
      <c r="E16206"/>
      <c r="G16206"/>
      <c r="H16206"/>
      <c r="I16206"/>
      <c r="K16206"/>
      <c r="O16206"/>
      <c r="R16206"/>
      <c r="W16206" s="4"/>
      <c r="X16206" s="4"/>
      <c r="Y16206" s="4"/>
    </row>
    <row r="16207" spans="5:25">
      <c r="E16207"/>
      <c r="G16207"/>
      <c r="H16207"/>
      <c r="I16207"/>
      <c r="K16207"/>
      <c r="O16207"/>
      <c r="R16207"/>
      <c r="W16207" s="4"/>
      <c r="X16207" s="4"/>
      <c r="Y16207" s="4"/>
    </row>
    <row r="16208" spans="5:25">
      <c r="E16208"/>
      <c r="G16208"/>
      <c r="H16208"/>
      <c r="I16208"/>
      <c r="K16208"/>
      <c r="O16208"/>
      <c r="R16208"/>
      <c r="W16208" s="4"/>
      <c r="X16208" s="4"/>
      <c r="Y16208" s="4"/>
    </row>
    <row r="16209" spans="5:25">
      <c r="E16209"/>
      <c r="G16209"/>
      <c r="H16209"/>
      <c r="I16209"/>
      <c r="K16209"/>
      <c r="O16209"/>
      <c r="R16209"/>
      <c r="W16209" s="4"/>
      <c r="X16209" s="4"/>
      <c r="Y16209" s="4"/>
    </row>
    <row r="16210" spans="5:25">
      <c r="E16210"/>
      <c r="G16210"/>
      <c r="H16210"/>
      <c r="I16210"/>
      <c r="K16210"/>
      <c r="O16210"/>
      <c r="R16210"/>
      <c r="W16210" s="4"/>
      <c r="X16210" s="4"/>
      <c r="Y16210" s="4"/>
    </row>
    <row r="16211" spans="5:25">
      <c r="E16211"/>
      <c r="G16211"/>
      <c r="H16211"/>
      <c r="I16211"/>
      <c r="K16211"/>
      <c r="O16211"/>
      <c r="R16211"/>
      <c r="W16211" s="4"/>
      <c r="X16211" s="4"/>
      <c r="Y16211" s="4"/>
    </row>
    <row r="16212" spans="5:25">
      <c r="E16212"/>
      <c r="G16212"/>
      <c r="H16212"/>
      <c r="I16212"/>
      <c r="K16212"/>
      <c r="O16212"/>
      <c r="R16212"/>
      <c r="W16212" s="4"/>
      <c r="X16212" s="4"/>
      <c r="Y16212" s="4"/>
    </row>
    <row r="16213" spans="5:25">
      <c r="E16213"/>
      <c r="G16213"/>
      <c r="H16213"/>
      <c r="I16213"/>
      <c r="K16213"/>
      <c r="O16213"/>
      <c r="R16213"/>
      <c r="W16213" s="4"/>
      <c r="X16213" s="4"/>
      <c r="Y16213" s="4"/>
    </row>
    <row r="16214" spans="5:25">
      <c r="E16214"/>
      <c r="G16214"/>
      <c r="H16214"/>
      <c r="I16214"/>
      <c r="K16214"/>
      <c r="O16214"/>
      <c r="R16214"/>
      <c r="W16214" s="4"/>
      <c r="X16214" s="4"/>
      <c r="Y16214" s="4"/>
    </row>
    <row r="16215" spans="5:25">
      <c r="E16215"/>
      <c r="G16215"/>
      <c r="H16215"/>
      <c r="I16215"/>
      <c r="K16215"/>
      <c r="O16215"/>
      <c r="R16215"/>
      <c r="W16215" s="4"/>
      <c r="X16215" s="4"/>
      <c r="Y16215" s="4"/>
    </row>
    <row r="16216" spans="5:25">
      <c r="E16216"/>
      <c r="G16216"/>
      <c r="H16216"/>
      <c r="I16216"/>
      <c r="K16216"/>
      <c r="O16216"/>
      <c r="R16216"/>
      <c r="W16216" s="4"/>
      <c r="X16216" s="4"/>
      <c r="Y16216" s="4"/>
    </row>
    <row r="16217" spans="5:25">
      <c r="E16217"/>
      <c r="G16217"/>
      <c r="H16217"/>
      <c r="I16217"/>
      <c r="K16217"/>
      <c r="O16217"/>
      <c r="R16217"/>
      <c r="W16217" s="4"/>
      <c r="X16217" s="4"/>
      <c r="Y16217" s="4"/>
    </row>
    <row r="16218" spans="5:25">
      <c r="E16218"/>
      <c r="G16218"/>
      <c r="H16218"/>
      <c r="I16218"/>
      <c r="K16218"/>
      <c r="O16218"/>
      <c r="R16218"/>
      <c r="W16218" s="4"/>
      <c r="X16218" s="4"/>
      <c r="Y16218" s="4"/>
    </row>
    <row r="16219" spans="5:25">
      <c r="E16219"/>
      <c r="G16219"/>
      <c r="H16219"/>
      <c r="I16219"/>
      <c r="K16219"/>
      <c r="O16219"/>
      <c r="R16219"/>
      <c r="W16219" s="4"/>
      <c r="X16219" s="4"/>
      <c r="Y16219" s="4"/>
    </row>
    <row r="16220" spans="5:25">
      <c r="E16220"/>
      <c r="G16220"/>
      <c r="H16220"/>
      <c r="I16220"/>
      <c r="K16220"/>
      <c r="O16220"/>
      <c r="R16220"/>
      <c r="W16220" s="4"/>
      <c r="X16220" s="4"/>
      <c r="Y16220" s="4"/>
    </row>
    <row r="16221" spans="5:25">
      <c r="E16221"/>
      <c r="G16221"/>
      <c r="H16221"/>
      <c r="I16221"/>
      <c r="K16221"/>
      <c r="O16221"/>
      <c r="R16221"/>
      <c r="W16221" s="4"/>
      <c r="X16221" s="4"/>
      <c r="Y16221" s="4"/>
    </row>
    <row r="16222" spans="5:25">
      <c r="E16222"/>
      <c r="G16222"/>
      <c r="H16222"/>
      <c r="I16222"/>
      <c r="K16222"/>
      <c r="O16222"/>
      <c r="R16222"/>
      <c r="W16222" s="4"/>
      <c r="X16222" s="4"/>
      <c r="Y16222" s="4"/>
    </row>
    <row r="16223" spans="5:25">
      <c r="E16223"/>
      <c r="G16223"/>
      <c r="H16223"/>
      <c r="I16223"/>
      <c r="K16223"/>
      <c r="O16223"/>
      <c r="R16223"/>
      <c r="W16223" s="4"/>
      <c r="X16223" s="4"/>
      <c r="Y16223" s="4"/>
    </row>
    <row r="16224" spans="5:25">
      <c r="E16224"/>
      <c r="G16224"/>
      <c r="H16224"/>
      <c r="I16224"/>
      <c r="K16224"/>
      <c r="O16224"/>
      <c r="R16224"/>
      <c r="W16224" s="4"/>
      <c r="X16224" s="4"/>
      <c r="Y16224" s="4"/>
    </row>
    <row r="16225" spans="5:25">
      <c r="E16225"/>
      <c r="G16225"/>
      <c r="H16225"/>
      <c r="I16225"/>
      <c r="K16225"/>
      <c r="O16225"/>
      <c r="R16225"/>
      <c r="W16225" s="4"/>
      <c r="X16225" s="4"/>
      <c r="Y16225" s="4"/>
    </row>
    <row r="16226" spans="5:25">
      <c r="E16226"/>
      <c r="G16226"/>
      <c r="H16226"/>
      <c r="I16226"/>
      <c r="K16226"/>
      <c r="O16226"/>
      <c r="R16226"/>
      <c r="W16226" s="4"/>
      <c r="X16226" s="4"/>
      <c r="Y16226" s="4"/>
    </row>
    <row r="16227" spans="5:25">
      <c r="E16227"/>
      <c r="G16227"/>
      <c r="H16227"/>
      <c r="I16227"/>
      <c r="K16227"/>
      <c r="O16227"/>
      <c r="R16227"/>
      <c r="W16227" s="4"/>
      <c r="X16227" s="4"/>
      <c r="Y16227" s="4"/>
    </row>
    <row r="16228" spans="5:25">
      <c r="E16228"/>
      <c r="G16228"/>
      <c r="H16228"/>
      <c r="I16228"/>
      <c r="K16228"/>
      <c r="O16228"/>
      <c r="R16228"/>
      <c r="W16228" s="4"/>
      <c r="X16228" s="4"/>
      <c r="Y16228" s="4"/>
    </row>
    <row r="16229" spans="5:25">
      <c r="E16229"/>
      <c r="G16229"/>
      <c r="H16229"/>
      <c r="I16229"/>
      <c r="K16229"/>
      <c r="O16229"/>
      <c r="R16229"/>
      <c r="W16229" s="4"/>
      <c r="X16229" s="4"/>
      <c r="Y16229" s="4"/>
    </row>
    <row r="16230" spans="5:25">
      <c r="E16230"/>
      <c r="G16230"/>
      <c r="H16230"/>
      <c r="I16230"/>
      <c r="K16230"/>
      <c r="O16230"/>
      <c r="R16230"/>
      <c r="W16230" s="4"/>
      <c r="X16230" s="4"/>
      <c r="Y16230" s="4"/>
    </row>
    <row r="16231" spans="5:25">
      <c r="E16231"/>
      <c r="G16231"/>
      <c r="H16231"/>
      <c r="I16231"/>
      <c r="K16231"/>
      <c r="O16231"/>
      <c r="R16231"/>
      <c r="W16231" s="4"/>
      <c r="X16231" s="4"/>
      <c r="Y16231" s="4"/>
    </row>
    <row r="16232" spans="5:25">
      <c r="E16232"/>
      <c r="G16232"/>
      <c r="H16232"/>
      <c r="I16232"/>
      <c r="K16232"/>
      <c r="O16232"/>
      <c r="R16232"/>
      <c r="W16232" s="4"/>
      <c r="X16232" s="4"/>
      <c r="Y16232" s="4"/>
    </row>
    <row r="16233" spans="5:25">
      <c r="E16233"/>
      <c r="G16233"/>
      <c r="H16233"/>
      <c r="I16233"/>
      <c r="K16233"/>
      <c r="O16233"/>
      <c r="R16233"/>
      <c r="W16233" s="4"/>
      <c r="X16233" s="4"/>
      <c r="Y16233" s="4"/>
    </row>
    <row r="16234" spans="5:25">
      <c r="E16234"/>
      <c r="G16234"/>
      <c r="H16234"/>
      <c r="I16234"/>
      <c r="K16234"/>
      <c r="O16234"/>
      <c r="R16234"/>
      <c r="W16234" s="4"/>
      <c r="X16234" s="4"/>
      <c r="Y16234" s="4"/>
    </row>
    <row r="16235" spans="5:25">
      <c r="E16235"/>
      <c r="G16235"/>
      <c r="H16235"/>
      <c r="I16235"/>
      <c r="K16235"/>
      <c r="O16235"/>
      <c r="R16235"/>
      <c r="W16235" s="4"/>
      <c r="X16235" s="4"/>
      <c r="Y16235" s="4"/>
    </row>
    <row r="16236" spans="5:25">
      <c r="E16236"/>
      <c r="G16236"/>
      <c r="H16236"/>
      <c r="I16236"/>
      <c r="K16236"/>
      <c r="O16236"/>
      <c r="R16236"/>
      <c r="W16236" s="4"/>
      <c r="X16236" s="4"/>
      <c r="Y16236" s="4"/>
    </row>
    <row r="16237" spans="5:25">
      <c r="E16237"/>
      <c r="G16237"/>
      <c r="H16237"/>
      <c r="I16237"/>
      <c r="K16237"/>
      <c r="O16237"/>
      <c r="R16237"/>
      <c r="W16237" s="4"/>
      <c r="X16237" s="4"/>
      <c r="Y16237" s="4"/>
    </row>
    <row r="16238" spans="5:25">
      <c r="E16238"/>
      <c r="G16238"/>
      <c r="H16238"/>
      <c r="I16238"/>
      <c r="K16238"/>
      <c r="O16238"/>
      <c r="R16238"/>
      <c r="W16238" s="4"/>
      <c r="X16238" s="4"/>
      <c r="Y16238" s="4"/>
    </row>
    <row r="16239" spans="5:25">
      <c r="E16239"/>
      <c r="G16239"/>
      <c r="H16239"/>
      <c r="I16239"/>
      <c r="K16239"/>
      <c r="O16239"/>
      <c r="R16239"/>
      <c r="W16239" s="4"/>
      <c r="X16239" s="4"/>
      <c r="Y16239" s="4"/>
    </row>
    <row r="16240" spans="5:25">
      <c r="E16240"/>
      <c r="G16240"/>
      <c r="H16240"/>
      <c r="I16240"/>
      <c r="K16240"/>
      <c r="O16240"/>
      <c r="R16240"/>
      <c r="W16240" s="4"/>
      <c r="X16240" s="4"/>
      <c r="Y16240" s="4"/>
    </row>
    <row r="16241" spans="5:25">
      <c r="E16241"/>
      <c r="G16241"/>
      <c r="H16241"/>
      <c r="I16241"/>
      <c r="K16241"/>
      <c r="O16241"/>
      <c r="R16241"/>
      <c r="W16241" s="4"/>
      <c r="X16241" s="4"/>
      <c r="Y16241" s="4"/>
    </row>
    <row r="16242" spans="5:25">
      <c r="E16242"/>
      <c r="G16242"/>
      <c r="H16242"/>
      <c r="I16242"/>
      <c r="K16242"/>
      <c r="O16242"/>
      <c r="R16242"/>
      <c r="W16242" s="4"/>
      <c r="X16242" s="4"/>
      <c r="Y16242" s="4"/>
    </row>
    <row r="16243" spans="5:25">
      <c r="E16243"/>
      <c r="G16243"/>
      <c r="H16243"/>
      <c r="I16243"/>
      <c r="K16243"/>
      <c r="O16243"/>
      <c r="R16243"/>
      <c r="W16243" s="4"/>
      <c r="X16243" s="4"/>
      <c r="Y16243" s="4"/>
    </row>
    <row r="16244" spans="5:25">
      <c r="E16244"/>
      <c r="G16244"/>
      <c r="H16244"/>
      <c r="I16244"/>
      <c r="K16244"/>
      <c r="O16244"/>
      <c r="R16244"/>
      <c r="W16244" s="4"/>
      <c r="X16244" s="4"/>
      <c r="Y16244" s="4"/>
    </row>
    <row r="16245" spans="5:25">
      <c r="E16245"/>
      <c r="G16245"/>
      <c r="H16245"/>
      <c r="I16245"/>
      <c r="K16245"/>
      <c r="O16245"/>
      <c r="R16245"/>
      <c r="W16245" s="4"/>
      <c r="X16245" s="4"/>
      <c r="Y16245" s="4"/>
    </row>
    <row r="16246" spans="5:25">
      <c r="E16246"/>
      <c r="G16246"/>
      <c r="H16246"/>
      <c r="I16246"/>
      <c r="K16246"/>
      <c r="O16246"/>
      <c r="R16246"/>
      <c r="W16246" s="4"/>
      <c r="X16246" s="4"/>
      <c r="Y16246" s="4"/>
    </row>
    <row r="16247" spans="5:25">
      <c r="E16247"/>
      <c r="G16247"/>
      <c r="H16247"/>
      <c r="I16247"/>
      <c r="K16247"/>
      <c r="O16247"/>
      <c r="R16247"/>
      <c r="W16247" s="4"/>
      <c r="X16247" s="4"/>
      <c r="Y16247" s="4"/>
    </row>
    <row r="16248" spans="5:25">
      <c r="E16248"/>
      <c r="G16248"/>
      <c r="H16248"/>
      <c r="I16248"/>
      <c r="K16248"/>
      <c r="O16248"/>
      <c r="R16248"/>
      <c r="W16248" s="4"/>
      <c r="X16248" s="4"/>
      <c r="Y16248" s="4"/>
    </row>
    <row r="16249" spans="5:25">
      <c r="E16249"/>
      <c r="G16249"/>
      <c r="H16249"/>
      <c r="I16249"/>
      <c r="K16249"/>
      <c r="O16249"/>
      <c r="R16249"/>
      <c r="W16249" s="4"/>
      <c r="X16249" s="4"/>
      <c r="Y16249" s="4"/>
    </row>
    <row r="16250" spans="5:25">
      <c r="E16250"/>
      <c r="G16250"/>
      <c r="H16250"/>
      <c r="I16250"/>
      <c r="K16250"/>
      <c r="O16250"/>
      <c r="R16250"/>
      <c r="W16250" s="4"/>
      <c r="X16250" s="4"/>
      <c r="Y16250" s="4"/>
    </row>
    <row r="16251" spans="5:25">
      <c r="E16251"/>
      <c r="G16251"/>
      <c r="H16251"/>
      <c r="I16251"/>
      <c r="K16251"/>
      <c r="O16251"/>
      <c r="R16251"/>
      <c r="W16251" s="4"/>
      <c r="X16251" s="4"/>
      <c r="Y16251" s="4"/>
    </row>
    <row r="16252" spans="5:25">
      <c r="E16252"/>
      <c r="G16252"/>
      <c r="H16252"/>
      <c r="I16252"/>
      <c r="K16252"/>
      <c r="O16252"/>
      <c r="R16252"/>
      <c r="W16252" s="4"/>
      <c r="X16252" s="4"/>
      <c r="Y16252" s="4"/>
    </row>
    <row r="16253" spans="5:25">
      <c r="E16253"/>
      <c r="G16253"/>
      <c r="H16253"/>
      <c r="I16253"/>
      <c r="K16253"/>
      <c r="O16253"/>
      <c r="R16253"/>
      <c r="W16253" s="4"/>
      <c r="X16253" s="4"/>
      <c r="Y16253" s="4"/>
    </row>
    <row r="16254" spans="5:25">
      <c r="E16254"/>
      <c r="G16254"/>
      <c r="H16254"/>
      <c r="I16254"/>
      <c r="K16254"/>
      <c r="O16254"/>
      <c r="R16254"/>
      <c r="W16254" s="4"/>
      <c r="X16254" s="4"/>
      <c r="Y16254" s="4"/>
    </row>
    <row r="16255" spans="5:25">
      <c r="E16255"/>
      <c r="G16255"/>
      <c r="H16255"/>
      <c r="I16255"/>
      <c r="K16255"/>
      <c r="O16255"/>
      <c r="R16255"/>
      <c r="W16255" s="4"/>
      <c r="X16255" s="4"/>
      <c r="Y16255" s="4"/>
    </row>
    <row r="16256" spans="5:25">
      <c r="E16256"/>
      <c r="G16256"/>
      <c r="H16256"/>
      <c r="I16256"/>
      <c r="K16256"/>
      <c r="O16256"/>
      <c r="R16256"/>
      <c r="W16256" s="4"/>
      <c r="X16256" s="4"/>
      <c r="Y16256" s="4"/>
    </row>
    <row r="16257" spans="5:25">
      <c r="E16257"/>
      <c r="G16257"/>
      <c r="H16257"/>
      <c r="I16257"/>
      <c r="K16257"/>
      <c r="O16257"/>
      <c r="R16257"/>
      <c r="W16257" s="4"/>
      <c r="X16257" s="4"/>
      <c r="Y16257" s="4"/>
    </row>
    <row r="16258" spans="5:25">
      <c r="E16258"/>
      <c r="G16258"/>
      <c r="H16258"/>
      <c r="I16258"/>
      <c r="K16258"/>
      <c r="O16258"/>
      <c r="R16258"/>
      <c r="W16258" s="4"/>
      <c r="X16258" s="4"/>
      <c r="Y16258" s="4"/>
    </row>
    <row r="16259" spans="5:25">
      <c r="E16259"/>
      <c r="G16259"/>
      <c r="H16259"/>
      <c r="I16259"/>
      <c r="K16259"/>
      <c r="O16259"/>
      <c r="R16259"/>
      <c r="W16259" s="4"/>
      <c r="X16259" s="4"/>
      <c r="Y16259" s="4"/>
    </row>
    <row r="16260" spans="5:25">
      <c r="E16260"/>
      <c r="G16260"/>
      <c r="H16260"/>
      <c r="I16260"/>
      <c r="K16260"/>
      <c r="O16260"/>
      <c r="R16260"/>
      <c r="W16260" s="4"/>
      <c r="X16260" s="4"/>
      <c r="Y16260" s="4"/>
    </row>
    <row r="16261" spans="5:25">
      <c r="E16261"/>
      <c r="G16261"/>
      <c r="H16261"/>
      <c r="I16261"/>
      <c r="K16261"/>
      <c r="O16261"/>
      <c r="R16261"/>
      <c r="W16261" s="4"/>
      <c r="X16261" s="4"/>
      <c r="Y16261" s="4"/>
    </row>
    <row r="16262" spans="5:25">
      <c r="E16262"/>
      <c r="G16262"/>
      <c r="H16262"/>
      <c r="I16262"/>
      <c r="K16262"/>
      <c r="O16262"/>
      <c r="R16262"/>
      <c r="W16262" s="4"/>
      <c r="X16262" s="4"/>
      <c r="Y16262" s="4"/>
    </row>
    <row r="16263" spans="5:25">
      <c r="E16263"/>
      <c r="G16263"/>
      <c r="H16263"/>
      <c r="I16263"/>
      <c r="K16263"/>
      <c r="O16263"/>
      <c r="R16263"/>
      <c r="W16263" s="4"/>
      <c r="X16263" s="4"/>
      <c r="Y16263" s="4"/>
    </row>
    <row r="16264" spans="5:25">
      <c r="E16264"/>
      <c r="G16264"/>
      <c r="H16264"/>
      <c r="I16264"/>
      <c r="K16264"/>
      <c r="O16264"/>
      <c r="R16264"/>
      <c r="W16264" s="4"/>
      <c r="X16264" s="4"/>
      <c r="Y16264" s="4"/>
    </row>
    <row r="16265" spans="5:25">
      <c r="E16265"/>
      <c r="G16265"/>
      <c r="H16265"/>
      <c r="I16265"/>
      <c r="K16265"/>
      <c r="O16265"/>
      <c r="R16265"/>
      <c r="W16265" s="4"/>
      <c r="X16265" s="4"/>
      <c r="Y16265" s="4"/>
    </row>
    <row r="16266" spans="5:25">
      <c r="E16266"/>
      <c r="G16266"/>
      <c r="H16266"/>
      <c r="I16266"/>
      <c r="K16266"/>
      <c r="O16266"/>
      <c r="R16266"/>
      <c r="W16266" s="4"/>
      <c r="X16266" s="4"/>
      <c r="Y16266" s="4"/>
    </row>
    <row r="16267" spans="5:25">
      <c r="E16267"/>
      <c r="G16267"/>
      <c r="H16267"/>
      <c r="I16267"/>
      <c r="K16267"/>
      <c r="O16267"/>
      <c r="R16267"/>
      <c r="W16267" s="4"/>
      <c r="X16267" s="4"/>
      <c r="Y16267" s="4"/>
    </row>
    <row r="16268" spans="5:25">
      <c r="E16268"/>
      <c r="G16268"/>
      <c r="H16268"/>
      <c r="I16268"/>
      <c r="K16268"/>
      <c r="O16268"/>
      <c r="R16268"/>
      <c r="W16268" s="4"/>
      <c r="X16268" s="4"/>
      <c r="Y16268" s="4"/>
    </row>
    <row r="16269" spans="5:25">
      <c r="E16269"/>
      <c r="G16269"/>
      <c r="H16269"/>
      <c r="I16269"/>
      <c r="K16269"/>
      <c r="O16269"/>
      <c r="R16269"/>
      <c r="W16269" s="4"/>
      <c r="X16269" s="4"/>
      <c r="Y16269" s="4"/>
    </row>
    <row r="16270" spans="5:25">
      <c r="E16270"/>
      <c r="G16270"/>
      <c r="H16270"/>
      <c r="I16270"/>
      <c r="K16270"/>
      <c r="O16270"/>
      <c r="R16270"/>
      <c r="W16270" s="4"/>
      <c r="X16270" s="4"/>
      <c r="Y16270" s="4"/>
    </row>
    <row r="16271" spans="5:25">
      <c r="E16271"/>
      <c r="G16271"/>
      <c r="H16271"/>
      <c r="I16271"/>
      <c r="K16271"/>
      <c r="O16271"/>
      <c r="R16271"/>
      <c r="W16271" s="4"/>
      <c r="X16271" s="4"/>
      <c r="Y16271" s="4"/>
    </row>
    <row r="16272" spans="5:25">
      <c r="E16272"/>
      <c r="G16272"/>
      <c r="H16272"/>
      <c r="I16272"/>
      <c r="K16272"/>
      <c r="O16272"/>
      <c r="R16272"/>
      <c r="W16272" s="4"/>
      <c r="X16272" s="4"/>
      <c r="Y16272" s="4"/>
    </row>
    <row r="16273" spans="5:25">
      <c r="E16273"/>
      <c r="G16273"/>
      <c r="H16273"/>
      <c r="I16273"/>
      <c r="K16273"/>
      <c r="O16273"/>
      <c r="R16273"/>
      <c r="W16273" s="4"/>
      <c r="X16273" s="4"/>
      <c r="Y16273" s="4"/>
    </row>
    <row r="16274" spans="5:25">
      <c r="E16274"/>
      <c r="G16274"/>
      <c r="H16274"/>
      <c r="I16274"/>
      <c r="K16274"/>
      <c r="O16274"/>
      <c r="R16274"/>
      <c r="W16274" s="4"/>
      <c r="X16274" s="4"/>
      <c r="Y16274" s="4"/>
    </row>
    <row r="16275" spans="5:25">
      <c r="E16275"/>
      <c r="G16275"/>
      <c r="H16275"/>
      <c r="I16275"/>
      <c r="K16275"/>
      <c r="O16275"/>
      <c r="R16275"/>
      <c r="W16275" s="4"/>
      <c r="X16275" s="4"/>
      <c r="Y16275" s="4"/>
    </row>
    <row r="16276" spans="5:25">
      <c r="E16276"/>
      <c r="G16276"/>
      <c r="H16276"/>
      <c r="I16276"/>
      <c r="K16276"/>
      <c r="O16276"/>
      <c r="R16276"/>
      <c r="W16276" s="4"/>
      <c r="X16276" s="4"/>
      <c r="Y16276" s="4"/>
    </row>
    <row r="16277" spans="5:25">
      <c r="E16277"/>
      <c r="G16277"/>
      <c r="H16277"/>
      <c r="I16277"/>
      <c r="K16277"/>
      <c r="O16277"/>
      <c r="R16277"/>
      <c r="W16277" s="4"/>
      <c r="X16277" s="4"/>
      <c r="Y16277" s="4"/>
    </row>
    <row r="16278" spans="5:25">
      <c r="E16278"/>
      <c r="G16278"/>
      <c r="H16278"/>
      <c r="I16278"/>
      <c r="K16278"/>
      <c r="O16278"/>
      <c r="R16278"/>
      <c r="W16278" s="4"/>
      <c r="X16278" s="4"/>
      <c r="Y16278" s="4"/>
    </row>
    <row r="16279" spans="5:25">
      <c r="E16279"/>
      <c r="G16279"/>
      <c r="H16279"/>
      <c r="I16279"/>
      <c r="K16279"/>
      <c r="O16279"/>
      <c r="R16279"/>
      <c r="W16279" s="4"/>
      <c r="X16279" s="4"/>
      <c r="Y16279" s="4"/>
    </row>
    <row r="16280" spans="5:25">
      <c r="E16280"/>
      <c r="G16280"/>
      <c r="H16280"/>
      <c r="I16280"/>
      <c r="K16280"/>
      <c r="O16280"/>
      <c r="R16280"/>
      <c r="W16280" s="4"/>
      <c r="X16280" s="4"/>
      <c r="Y16280" s="4"/>
    </row>
    <row r="16281" spans="5:25">
      <c r="E16281"/>
      <c r="G16281"/>
      <c r="H16281"/>
      <c r="I16281"/>
      <c r="K16281"/>
      <c r="O16281"/>
      <c r="R16281"/>
      <c r="W16281" s="4"/>
      <c r="X16281" s="4"/>
      <c r="Y16281" s="4"/>
    </row>
    <row r="16282" spans="5:25">
      <c r="E16282"/>
      <c r="G16282"/>
      <c r="H16282"/>
      <c r="I16282"/>
      <c r="K16282"/>
      <c r="O16282"/>
      <c r="R16282"/>
      <c r="W16282" s="4"/>
      <c r="X16282" s="4"/>
      <c r="Y16282" s="4"/>
    </row>
    <row r="16283" spans="5:25">
      <c r="E16283"/>
      <c r="G16283"/>
      <c r="H16283"/>
      <c r="I16283"/>
      <c r="K16283"/>
      <c r="O16283"/>
      <c r="R16283"/>
      <c r="W16283" s="4"/>
      <c r="X16283" s="4"/>
      <c r="Y16283" s="4"/>
    </row>
    <row r="16284" spans="5:25">
      <c r="E16284"/>
      <c r="G16284"/>
      <c r="H16284"/>
      <c r="I16284"/>
      <c r="K16284"/>
      <c r="O16284"/>
      <c r="R16284"/>
      <c r="W16284" s="4"/>
      <c r="X16284" s="4"/>
      <c r="Y16284" s="4"/>
    </row>
    <row r="16285" spans="5:25">
      <c r="E16285"/>
      <c r="G16285"/>
      <c r="H16285"/>
      <c r="I16285"/>
      <c r="K16285"/>
      <c r="O16285"/>
      <c r="R16285"/>
      <c r="W16285" s="4"/>
      <c r="X16285" s="4"/>
      <c r="Y16285" s="4"/>
    </row>
    <row r="16286" spans="5:25">
      <c r="E16286"/>
      <c r="G16286"/>
      <c r="H16286"/>
      <c r="I16286"/>
      <c r="K16286"/>
      <c r="O16286"/>
      <c r="R16286"/>
      <c r="W16286" s="4"/>
      <c r="X16286" s="4"/>
      <c r="Y16286" s="4"/>
    </row>
    <row r="16287" spans="5:25">
      <c r="E16287"/>
      <c r="G16287"/>
      <c r="H16287"/>
      <c r="I16287"/>
      <c r="K16287"/>
      <c r="O16287"/>
      <c r="R16287"/>
      <c r="W16287" s="4"/>
      <c r="X16287" s="4"/>
      <c r="Y16287" s="4"/>
    </row>
    <row r="16288" spans="5:25">
      <c r="E16288"/>
      <c r="G16288"/>
      <c r="H16288"/>
      <c r="I16288"/>
      <c r="K16288"/>
      <c r="O16288"/>
      <c r="R16288"/>
      <c r="W16288" s="4"/>
      <c r="X16288" s="4"/>
      <c r="Y16288" s="4"/>
    </row>
    <row r="16289" spans="5:25">
      <c r="E16289"/>
      <c r="G16289"/>
      <c r="H16289"/>
      <c r="I16289"/>
      <c r="K16289"/>
      <c r="O16289"/>
      <c r="R16289"/>
      <c r="W16289" s="4"/>
      <c r="X16289" s="4"/>
      <c r="Y16289" s="4"/>
    </row>
    <row r="16290" spans="5:25">
      <c r="E16290"/>
      <c r="G16290"/>
      <c r="H16290"/>
      <c r="I16290"/>
      <c r="K16290"/>
      <c r="O16290"/>
      <c r="R16290"/>
      <c r="W16290" s="4"/>
      <c r="X16290" s="4"/>
      <c r="Y16290" s="4"/>
    </row>
    <row r="16291" spans="5:25">
      <c r="E16291"/>
      <c r="G16291"/>
      <c r="H16291"/>
      <c r="I16291"/>
      <c r="K16291"/>
      <c r="O16291"/>
      <c r="R16291"/>
      <c r="W16291" s="4"/>
      <c r="X16291" s="4"/>
      <c r="Y16291" s="4"/>
    </row>
    <row r="16292" spans="5:25">
      <c r="E16292"/>
      <c r="G16292"/>
      <c r="H16292"/>
      <c r="I16292"/>
      <c r="K16292"/>
      <c r="O16292"/>
      <c r="R16292"/>
      <c r="W16292" s="4"/>
      <c r="X16292" s="4"/>
      <c r="Y16292" s="4"/>
    </row>
    <row r="16293" spans="5:25">
      <c r="E16293"/>
      <c r="G16293"/>
      <c r="H16293"/>
      <c r="I16293"/>
      <c r="K16293"/>
      <c r="O16293"/>
      <c r="R16293"/>
      <c r="W16293" s="4"/>
      <c r="X16293" s="4"/>
      <c r="Y16293" s="4"/>
    </row>
    <row r="16294" spans="5:25">
      <c r="E16294"/>
      <c r="G16294"/>
      <c r="H16294"/>
      <c r="I16294"/>
      <c r="K16294"/>
      <c r="O16294"/>
      <c r="R16294"/>
      <c r="W16294" s="4"/>
      <c r="X16294" s="4"/>
      <c r="Y16294" s="4"/>
    </row>
    <row r="16295" spans="5:25">
      <c r="E16295"/>
      <c r="G16295"/>
      <c r="H16295"/>
      <c r="I16295"/>
      <c r="K16295"/>
      <c r="O16295"/>
      <c r="R16295"/>
      <c r="W16295" s="4"/>
      <c r="X16295" s="4"/>
      <c r="Y16295" s="4"/>
    </row>
    <row r="16296" spans="5:25">
      <c r="E16296"/>
      <c r="G16296"/>
      <c r="H16296"/>
      <c r="I16296"/>
      <c r="K16296"/>
      <c r="O16296"/>
      <c r="R16296"/>
      <c r="W16296" s="4"/>
      <c r="X16296" s="4"/>
      <c r="Y16296" s="4"/>
    </row>
    <row r="16297" spans="5:25">
      <c r="E16297"/>
      <c r="G16297"/>
      <c r="H16297"/>
      <c r="I16297"/>
      <c r="K16297"/>
      <c r="O16297"/>
      <c r="R16297"/>
      <c r="W16297" s="4"/>
      <c r="X16297" s="4"/>
      <c r="Y16297" s="4"/>
    </row>
    <row r="16298" spans="5:25">
      <c r="E16298"/>
      <c r="G16298"/>
      <c r="H16298"/>
      <c r="I16298"/>
      <c r="K16298"/>
      <c r="O16298"/>
      <c r="R16298"/>
      <c r="W16298" s="4"/>
      <c r="X16298" s="4"/>
      <c r="Y16298" s="4"/>
    </row>
    <row r="16299" spans="5:25">
      <c r="E16299"/>
      <c r="G16299"/>
      <c r="H16299"/>
      <c r="I16299"/>
      <c r="K16299"/>
      <c r="O16299"/>
      <c r="R16299"/>
      <c r="W16299" s="4"/>
      <c r="X16299" s="4"/>
      <c r="Y16299" s="4"/>
    </row>
    <row r="16300" spans="5:25">
      <c r="E16300"/>
      <c r="G16300"/>
      <c r="H16300"/>
      <c r="I16300"/>
      <c r="K16300"/>
      <c r="O16300"/>
      <c r="R16300"/>
      <c r="W16300" s="4"/>
      <c r="X16300" s="4"/>
      <c r="Y16300" s="4"/>
    </row>
    <row r="16301" spans="5:25">
      <c r="E16301"/>
      <c r="G16301"/>
      <c r="H16301"/>
      <c r="I16301"/>
      <c r="K16301"/>
      <c r="O16301"/>
      <c r="R16301"/>
      <c r="W16301" s="4"/>
      <c r="X16301" s="4"/>
      <c r="Y16301" s="4"/>
    </row>
    <row r="16302" spans="5:25">
      <c r="E16302"/>
      <c r="G16302"/>
      <c r="H16302"/>
      <c r="I16302"/>
      <c r="K16302"/>
      <c r="O16302"/>
      <c r="R16302"/>
      <c r="W16302" s="4"/>
      <c r="X16302" s="4"/>
      <c r="Y16302" s="4"/>
    </row>
    <row r="16303" spans="5:25">
      <c r="E16303"/>
      <c r="G16303"/>
      <c r="H16303"/>
      <c r="I16303"/>
      <c r="K16303"/>
      <c r="O16303"/>
      <c r="R16303"/>
      <c r="W16303" s="4"/>
      <c r="X16303" s="4"/>
      <c r="Y16303" s="4"/>
    </row>
    <row r="16304" spans="5:25">
      <c r="E16304"/>
      <c r="G16304"/>
      <c r="H16304"/>
      <c r="I16304"/>
      <c r="K16304"/>
      <c r="O16304"/>
      <c r="R16304"/>
      <c r="W16304" s="4"/>
      <c r="X16304" s="4"/>
      <c r="Y16304" s="4"/>
    </row>
    <row r="16305" spans="5:25">
      <c r="E16305"/>
      <c r="G16305"/>
      <c r="H16305"/>
      <c r="I16305"/>
      <c r="K16305"/>
      <c r="O16305"/>
      <c r="R16305"/>
      <c r="W16305" s="4"/>
      <c r="X16305" s="4"/>
      <c r="Y16305" s="4"/>
    </row>
    <row r="16306" spans="5:25">
      <c r="E16306"/>
      <c r="G16306"/>
      <c r="H16306"/>
      <c r="I16306"/>
      <c r="K16306"/>
      <c r="O16306"/>
      <c r="R16306"/>
      <c r="W16306" s="4"/>
      <c r="X16306" s="4"/>
      <c r="Y16306" s="4"/>
    </row>
    <row r="16307" spans="5:25">
      <c r="E16307"/>
      <c r="G16307"/>
      <c r="H16307"/>
      <c r="I16307"/>
      <c r="K16307"/>
      <c r="O16307"/>
      <c r="R16307"/>
      <c r="W16307" s="4"/>
      <c r="X16307" s="4"/>
      <c r="Y16307" s="4"/>
    </row>
    <row r="16308" spans="5:25">
      <c r="E16308"/>
      <c r="G16308"/>
      <c r="H16308"/>
      <c r="I16308"/>
      <c r="K16308"/>
      <c r="O16308"/>
      <c r="R16308"/>
      <c r="W16308" s="4"/>
      <c r="X16308" s="4"/>
      <c r="Y16308" s="4"/>
    </row>
    <row r="16309" spans="5:25">
      <c r="E16309"/>
      <c r="G16309"/>
      <c r="H16309"/>
      <c r="I16309"/>
      <c r="K16309"/>
      <c r="O16309"/>
      <c r="R16309"/>
      <c r="W16309" s="4"/>
      <c r="X16309" s="4"/>
      <c r="Y16309" s="4"/>
    </row>
    <row r="16310" spans="5:25">
      <c r="E16310"/>
      <c r="G16310"/>
      <c r="H16310"/>
      <c r="I16310"/>
      <c r="K16310"/>
      <c r="O16310"/>
      <c r="R16310"/>
      <c r="W16310" s="4"/>
      <c r="X16310" s="4"/>
      <c r="Y16310" s="4"/>
    </row>
    <row r="16311" spans="5:25">
      <c r="E16311"/>
      <c r="G16311"/>
      <c r="H16311"/>
      <c r="I16311"/>
      <c r="K16311"/>
      <c r="O16311"/>
      <c r="R16311"/>
      <c r="W16311" s="4"/>
      <c r="X16311" s="4"/>
      <c r="Y16311" s="4"/>
    </row>
    <row r="16312" spans="5:25">
      <c r="E16312"/>
      <c r="G16312"/>
      <c r="H16312"/>
      <c r="I16312"/>
      <c r="K16312"/>
      <c r="O16312"/>
      <c r="R16312"/>
      <c r="W16312" s="4"/>
      <c r="X16312" s="4"/>
      <c r="Y16312" s="4"/>
    </row>
    <row r="16313" spans="5:25">
      <c r="E16313"/>
      <c r="G16313"/>
      <c r="H16313"/>
      <c r="I16313"/>
      <c r="K16313"/>
      <c r="O16313"/>
      <c r="R16313"/>
      <c r="W16313" s="4"/>
      <c r="X16313" s="4"/>
      <c r="Y16313" s="4"/>
    </row>
    <row r="16314" spans="5:25">
      <c r="E16314"/>
      <c r="G16314"/>
      <c r="H16314"/>
      <c r="I16314"/>
      <c r="K16314"/>
      <c r="O16314"/>
      <c r="R16314"/>
      <c r="W16314" s="4"/>
      <c r="X16314" s="4"/>
      <c r="Y16314" s="4"/>
    </row>
    <row r="16315" spans="5:25">
      <c r="E16315"/>
      <c r="G16315"/>
      <c r="H16315"/>
      <c r="I16315"/>
      <c r="K16315"/>
      <c r="O16315"/>
      <c r="R16315"/>
      <c r="W16315" s="4"/>
      <c r="X16315" s="4"/>
      <c r="Y16315" s="4"/>
    </row>
    <row r="16316" spans="5:25">
      <c r="E16316"/>
      <c r="G16316"/>
      <c r="H16316"/>
      <c r="I16316"/>
      <c r="K16316"/>
      <c r="O16316"/>
      <c r="R16316"/>
      <c r="W16316" s="4"/>
      <c r="X16316" s="4"/>
      <c r="Y16316" s="4"/>
    </row>
    <row r="16317" spans="5:25">
      <c r="E16317"/>
      <c r="G16317"/>
      <c r="H16317"/>
      <c r="I16317"/>
      <c r="K16317"/>
      <c r="O16317"/>
      <c r="R16317"/>
      <c r="W16317" s="4"/>
      <c r="X16317" s="4"/>
      <c r="Y16317" s="4"/>
    </row>
    <row r="16318" spans="5:25">
      <c r="E16318"/>
      <c r="G16318"/>
      <c r="H16318"/>
      <c r="I16318"/>
      <c r="K16318"/>
      <c r="O16318"/>
      <c r="R16318"/>
      <c r="W16318" s="4"/>
      <c r="X16318" s="4"/>
      <c r="Y16318" s="4"/>
    </row>
    <row r="16319" spans="5:25">
      <c r="E16319"/>
      <c r="G16319"/>
      <c r="H16319"/>
      <c r="I16319"/>
      <c r="K16319"/>
      <c r="O16319"/>
      <c r="R16319"/>
      <c r="W16319" s="4"/>
      <c r="X16319" s="4"/>
      <c r="Y16319" s="4"/>
    </row>
    <row r="16320" spans="5:25">
      <c r="E16320"/>
      <c r="G16320"/>
      <c r="H16320"/>
      <c r="I16320"/>
      <c r="K16320"/>
      <c r="O16320"/>
      <c r="R16320"/>
      <c r="W16320" s="4"/>
      <c r="X16320" s="4"/>
      <c r="Y16320" s="4"/>
    </row>
    <row r="16321" spans="5:25">
      <c r="E16321"/>
      <c r="G16321"/>
      <c r="H16321"/>
      <c r="I16321"/>
      <c r="K16321"/>
      <c r="O16321"/>
      <c r="R16321"/>
      <c r="W16321" s="4"/>
      <c r="X16321" s="4"/>
      <c r="Y16321" s="4"/>
    </row>
    <row r="16322" spans="5:25">
      <c r="E16322"/>
      <c r="G16322"/>
      <c r="H16322"/>
      <c r="I16322"/>
      <c r="K16322"/>
      <c r="O16322"/>
      <c r="R16322"/>
      <c r="W16322" s="4"/>
      <c r="X16322" s="4"/>
      <c r="Y16322" s="4"/>
    </row>
    <row r="16323" spans="5:25">
      <c r="E16323"/>
      <c r="G16323"/>
      <c r="H16323"/>
      <c r="I16323"/>
      <c r="K16323"/>
      <c r="O16323"/>
      <c r="R16323"/>
      <c r="W16323" s="4"/>
      <c r="X16323" s="4"/>
      <c r="Y16323" s="4"/>
    </row>
    <row r="16324" spans="5:25">
      <c r="E16324"/>
      <c r="G16324"/>
      <c r="H16324"/>
      <c r="I16324"/>
      <c r="K16324"/>
      <c r="O16324"/>
      <c r="R16324"/>
      <c r="W16324" s="4"/>
      <c r="X16324" s="4"/>
      <c r="Y16324" s="4"/>
    </row>
    <row r="16325" spans="5:25">
      <c r="E16325"/>
      <c r="G16325"/>
      <c r="H16325"/>
      <c r="I16325"/>
      <c r="K16325"/>
      <c r="O16325"/>
      <c r="R16325"/>
      <c r="W16325" s="4"/>
      <c r="X16325" s="4"/>
      <c r="Y16325" s="4"/>
    </row>
    <row r="16326" spans="5:25">
      <c r="E16326"/>
      <c r="G16326"/>
      <c r="H16326"/>
      <c r="I16326"/>
      <c r="K16326"/>
      <c r="O16326"/>
      <c r="R16326"/>
      <c r="W16326" s="4"/>
      <c r="X16326" s="4"/>
      <c r="Y16326" s="4"/>
    </row>
    <row r="16327" spans="5:25">
      <c r="E16327"/>
      <c r="G16327"/>
      <c r="H16327"/>
      <c r="I16327"/>
      <c r="K16327"/>
      <c r="O16327"/>
      <c r="R16327"/>
      <c r="W16327" s="4"/>
      <c r="X16327" s="4"/>
      <c r="Y16327" s="4"/>
    </row>
    <row r="16328" spans="5:25">
      <c r="E16328"/>
      <c r="G16328"/>
      <c r="H16328"/>
      <c r="I16328"/>
      <c r="K16328"/>
      <c r="O16328"/>
      <c r="R16328"/>
      <c r="W16328" s="4"/>
      <c r="X16328" s="4"/>
      <c r="Y16328" s="4"/>
    </row>
    <row r="16329" spans="5:25">
      <c r="E16329"/>
      <c r="G16329"/>
      <c r="H16329"/>
      <c r="I16329"/>
      <c r="K16329"/>
      <c r="O16329"/>
      <c r="R16329"/>
      <c r="W16329" s="4"/>
      <c r="X16329" s="4"/>
      <c r="Y16329" s="4"/>
    </row>
    <row r="16330" spans="5:25">
      <c r="E16330"/>
      <c r="G16330"/>
      <c r="H16330"/>
      <c r="I16330"/>
      <c r="K16330"/>
      <c r="O16330"/>
      <c r="R16330"/>
      <c r="W16330" s="4"/>
      <c r="X16330" s="4"/>
      <c r="Y16330" s="4"/>
    </row>
    <row r="16331" spans="5:25">
      <c r="E16331"/>
      <c r="G16331"/>
      <c r="H16331"/>
      <c r="I16331"/>
      <c r="K16331"/>
      <c r="O16331"/>
      <c r="R16331"/>
      <c r="W16331" s="4"/>
      <c r="X16331" s="4"/>
      <c r="Y16331" s="4"/>
    </row>
    <row r="16332" spans="5:25">
      <c r="E16332"/>
      <c r="G16332"/>
      <c r="H16332"/>
      <c r="I16332"/>
      <c r="K16332"/>
      <c r="O16332"/>
      <c r="R16332"/>
      <c r="W16332" s="4"/>
      <c r="X16332" s="4"/>
      <c r="Y16332" s="4"/>
    </row>
    <row r="16333" spans="5:25">
      <c r="E16333"/>
      <c r="G16333"/>
      <c r="H16333"/>
      <c r="I16333"/>
      <c r="K16333"/>
      <c r="O16333"/>
      <c r="R16333"/>
      <c r="W16333" s="4"/>
      <c r="X16333" s="4"/>
      <c r="Y16333" s="4"/>
    </row>
    <row r="16334" spans="5:25">
      <c r="E16334"/>
      <c r="G16334"/>
      <c r="H16334"/>
      <c r="I16334"/>
      <c r="K16334"/>
      <c r="O16334"/>
      <c r="R16334"/>
      <c r="W16334" s="4"/>
      <c r="X16334" s="4"/>
      <c r="Y16334" s="4"/>
    </row>
    <row r="16335" spans="5:25">
      <c r="E16335"/>
      <c r="G16335"/>
      <c r="H16335"/>
      <c r="I16335"/>
      <c r="K16335"/>
      <c r="O16335"/>
      <c r="R16335"/>
      <c r="W16335" s="4"/>
      <c r="X16335" s="4"/>
      <c r="Y16335" s="4"/>
    </row>
    <row r="16336" spans="5:25">
      <c r="E16336"/>
      <c r="G16336"/>
      <c r="H16336"/>
      <c r="I16336"/>
      <c r="K16336"/>
      <c r="O16336"/>
      <c r="R16336"/>
      <c r="W16336" s="4"/>
      <c r="X16336" s="4"/>
      <c r="Y16336" s="4"/>
    </row>
    <row r="16337" spans="5:25">
      <c r="E16337"/>
      <c r="G16337"/>
      <c r="H16337"/>
      <c r="I16337"/>
      <c r="K16337"/>
      <c r="O16337"/>
      <c r="R16337"/>
      <c r="W16337" s="4"/>
      <c r="X16337" s="4"/>
      <c r="Y16337" s="4"/>
    </row>
    <row r="16338" spans="5:25">
      <c r="E16338"/>
      <c r="G16338"/>
      <c r="H16338"/>
      <c r="I16338"/>
      <c r="K16338"/>
      <c r="O16338"/>
      <c r="R16338"/>
      <c r="W16338" s="4"/>
      <c r="X16338" s="4"/>
      <c r="Y16338" s="4"/>
    </row>
    <row r="16339" spans="5:25">
      <c r="E16339"/>
      <c r="G16339"/>
      <c r="H16339"/>
      <c r="I16339"/>
      <c r="K16339"/>
      <c r="O16339"/>
      <c r="R16339"/>
      <c r="W16339" s="4"/>
      <c r="X16339" s="4"/>
      <c r="Y16339" s="4"/>
    </row>
    <row r="16340" spans="5:25">
      <c r="E16340"/>
      <c r="G16340"/>
      <c r="H16340"/>
      <c r="I16340"/>
      <c r="K16340"/>
      <c r="O16340"/>
      <c r="R16340"/>
      <c r="W16340" s="4"/>
      <c r="X16340" s="4"/>
      <c r="Y16340" s="4"/>
    </row>
    <row r="16341" spans="5:25">
      <c r="E16341"/>
      <c r="G16341"/>
      <c r="H16341"/>
      <c r="I16341"/>
      <c r="K16341"/>
      <c r="O16341"/>
      <c r="R16341"/>
      <c r="W16341" s="4"/>
      <c r="X16341" s="4"/>
      <c r="Y16341" s="4"/>
    </row>
    <row r="16342" spans="5:25">
      <c r="E16342"/>
      <c r="G16342"/>
      <c r="H16342"/>
      <c r="I16342"/>
      <c r="K16342"/>
      <c r="O16342"/>
      <c r="R16342"/>
      <c r="W16342" s="4"/>
      <c r="X16342" s="4"/>
      <c r="Y16342" s="4"/>
    </row>
    <row r="16343" spans="5:25">
      <c r="E16343"/>
      <c r="G16343"/>
      <c r="H16343"/>
      <c r="I16343"/>
      <c r="K16343"/>
      <c r="O16343"/>
      <c r="R16343"/>
      <c r="W16343" s="4"/>
      <c r="X16343" s="4"/>
      <c r="Y16343" s="4"/>
    </row>
    <row r="16344" spans="5:25">
      <c r="E16344"/>
      <c r="G16344"/>
      <c r="H16344"/>
      <c r="I16344"/>
      <c r="K16344"/>
      <c r="O16344"/>
      <c r="R16344"/>
      <c r="W16344" s="4"/>
      <c r="X16344" s="4"/>
      <c r="Y16344" s="4"/>
    </row>
    <row r="16345" spans="5:25">
      <c r="E16345"/>
      <c r="G16345"/>
      <c r="H16345"/>
      <c r="I16345"/>
      <c r="K16345"/>
      <c r="O16345"/>
      <c r="R16345"/>
      <c r="W16345" s="4"/>
      <c r="X16345" s="4"/>
      <c r="Y16345" s="4"/>
    </row>
    <row r="16346" spans="5:25">
      <c r="E16346"/>
      <c r="G16346"/>
      <c r="H16346"/>
      <c r="I16346"/>
      <c r="K16346"/>
      <c r="O16346"/>
      <c r="R16346"/>
      <c r="W16346" s="4"/>
      <c r="X16346" s="4"/>
      <c r="Y16346" s="4"/>
    </row>
    <row r="16347" spans="5:25">
      <c r="E16347"/>
      <c r="G16347"/>
      <c r="H16347"/>
      <c r="I16347"/>
      <c r="K16347"/>
      <c r="O16347"/>
      <c r="R16347"/>
      <c r="W16347" s="4"/>
      <c r="X16347" s="4"/>
      <c r="Y16347" s="4"/>
    </row>
    <row r="16348" spans="5:25">
      <c r="E16348"/>
      <c r="G16348"/>
      <c r="H16348"/>
      <c r="I16348"/>
      <c r="K16348"/>
      <c r="O16348"/>
      <c r="R16348"/>
      <c r="W16348" s="4"/>
      <c r="X16348" s="4"/>
      <c r="Y16348" s="4"/>
    </row>
    <row r="16349" spans="5:25">
      <c r="E16349"/>
      <c r="G16349"/>
      <c r="H16349"/>
      <c r="I16349"/>
      <c r="K16349"/>
      <c r="O16349"/>
      <c r="R16349"/>
      <c r="W16349" s="4"/>
      <c r="X16349" s="4"/>
      <c r="Y16349" s="4"/>
    </row>
    <row r="16350" spans="5:25">
      <c r="E16350"/>
      <c r="G16350"/>
      <c r="H16350"/>
      <c r="I16350"/>
      <c r="K16350"/>
      <c r="O16350"/>
      <c r="R16350"/>
      <c r="W16350" s="4"/>
      <c r="X16350" s="4"/>
      <c r="Y16350" s="4"/>
    </row>
    <row r="16351" spans="5:25">
      <c r="E16351"/>
      <c r="G16351"/>
      <c r="H16351"/>
      <c r="I16351"/>
      <c r="K16351"/>
      <c r="O16351"/>
      <c r="R16351"/>
      <c r="W16351" s="4"/>
      <c r="X16351" s="4"/>
      <c r="Y16351" s="4"/>
    </row>
    <row r="16352" spans="5:25">
      <c r="E16352"/>
      <c r="G16352"/>
      <c r="H16352"/>
      <c r="I16352"/>
      <c r="K16352"/>
      <c r="O16352"/>
      <c r="R16352"/>
      <c r="W16352" s="4"/>
      <c r="X16352" s="4"/>
      <c r="Y16352" s="4"/>
    </row>
    <row r="16353" spans="5:25">
      <c r="E16353"/>
      <c r="G16353"/>
      <c r="H16353"/>
      <c r="I16353"/>
      <c r="K16353"/>
      <c r="O16353"/>
      <c r="R16353"/>
      <c r="W16353" s="4"/>
      <c r="X16353" s="4"/>
      <c r="Y16353" s="4"/>
    </row>
    <row r="16354" spans="5:25">
      <c r="E16354"/>
      <c r="G16354"/>
      <c r="H16354"/>
      <c r="I16354"/>
      <c r="K16354"/>
      <c r="O16354"/>
      <c r="R16354"/>
      <c r="W16354" s="4"/>
      <c r="X16354" s="4"/>
      <c r="Y16354" s="4"/>
    </row>
    <row r="16355" spans="5:25">
      <c r="E16355"/>
      <c r="G16355"/>
      <c r="H16355"/>
      <c r="I16355"/>
      <c r="K16355"/>
      <c r="O16355"/>
      <c r="R16355"/>
      <c r="W16355" s="4"/>
      <c r="X16355" s="4"/>
      <c r="Y16355" s="4"/>
    </row>
    <row r="16356" spans="5:25">
      <c r="E16356"/>
      <c r="G16356"/>
      <c r="H16356"/>
      <c r="I16356"/>
      <c r="K16356"/>
      <c r="O16356"/>
      <c r="R16356"/>
      <c r="W16356" s="4"/>
      <c r="X16356" s="4"/>
      <c r="Y16356" s="4"/>
    </row>
    <row r="16357" spans="5:25">
      <c r="E16357"/>
      <c r="G16357"/>
      <c r="H16357"/>
      <c r="I16357"/>
      <c r="K16357"/>
      <c r="O16357"/>
      <c r="R16357"/>
      <c r="W16357" s="4"/>
      <c r="X16357" s="4"/>
      <c r="Y16357" s="4"/>
    </row>
    <row r="16358" spans="5:25">
      <c r="E16358"/>
      <c r="G16358"/>
      <c r="H16358"/>
      <c r="I16358"/>
      <c r="K16358"/>
      <c r="O16358"/>
      <c r="R16358"/>
      <c r="W16358" s="4"/>
      <c r="X16358" s="4"/>
      <c r="Y16358" s="4"/>
    </row>
    <row r="16359" spans="5:25">
      <c r="E16359"/>
      <c r="G16359"/>
      <c r="H16359"/>
      <c r="I16359"/>
      <c r="K16359"/>
      <c r="O16359"/>
      <c r="R16359"/>
      <c r="W16359" s="4"/>
      <c r="X16359" s="4"/>
      <c r="Y16359" s="4"/>
    </row>
    <row r="16360" spans="5:25">
      <c r="E16360"/>
      <c r="G16360"/>
      <c r="H16360"/>
      <c r="I16360"/>
      <c r="K16360"/>
      <c r="O16360"/>
      <c r="R16360"/>
      <c r="W16360" s="4"/>
      <c r="X16360" s="4"/>
      <c r="Y16360" s="4"/>
    </row>
    <row r="16361" spans="5:25">
      <c r="E16361"/>
      <c r="G16361"/>
      <c r="H16361"/>
      <c r="I16361"/>
      <c r="K16361"/>
      <c r="O16361"/>
      <c r="R16361"/>
      <c r="W16361" s="4"/>
      <c r="X16361" s="4"/>
      <c r="Y16361" s="4"/>
    </row>
    <row r="16362" spans="5:25">
      <c r="E16362"/>
      <c r="G16362"/>
      <c r="H16362"/>
      <c r="I16362"/>
      <c r="K16362"/>
      <c r="O16362"/>
      <c r="R16362"/>
      <c r="W16362" s="4"/>
      <c r="X16362" s="4"/>
      <c r="Y16362" s="4"/>
    </row>
    <row r="16363" spans="5:25">
      <c r="E16363"/>
      <c r="G16363"/>
      <c r="H16363"/>
      <c r="I16363"/>
      <c r="K16363"/>
      <c r="O16363"/>
      <c r="R16363"/>
      <c r="W16363" s="4"/>
      <c r="X16363" s="4"/>
      <c r="Y16363" s="4"/>
    </row>
    <row r="16364" spans="5:25">
      <c r="E16364"/>
      <c r="G16364"/>
      <c r="H16364"/>
      <c r="I16364"/>
      <c r="K16364"/>
      <c r="O16364"/>
      <c r="R16364"/>
      <c r="W16364" s="4"/>
      <c r="X16364" s="4"/>
      <c r="Y16364" s="4"/>
    </row>
    <row r="16365" spans="5:25">
      <c r="E16365"/>
      <c r="G16365"/>
      <c r="H16365"/>
      <c r="I16365"/>
      <c r="K16365"/>
      <c r="O16365"/>
      <c r="R16365"/>
      <c r="W16365" s="4"/>
      <c r="X16365" s="4"/>
      <c r="Y16365" s="4"/>
    </row>
    <row r="16366" spans="5:25">
      <c r="E16366"/>
      <c r="G16366"/>
      <c r="H16366"/>
      <c r="I16366"/>
      <c r="K16366"/>
      <c r="O16366"/>
      <c r="R16366"/>
      <c r="W16366" s="4"/>
      <c r="X16366" s="4"/>
      <c r="Y16366" s="4"/>
    </row>
    <row r="16367" spans="5:25">
      <c r="E16367"/>
      <c r="G16367"/>
      <c r="H16367"/>
      <c r="I16367"/>
      <c r="K16367"/>
      <c r="O16367"/>
      <c r="R16367"/>
      <c r="W16367" s="4"/>
      <c r="X16367" s="4"/>
      <c r="Y16367" s="4"/>
    </row>
    <row r="16368" spans="5:25">
      <c r="E16368"/>
      <c r="G16368"/>
      <c r="H16368"/>
      <c r="I16368"/>
      <c r="K16368"/>
      <c r="O16368"/>
      <c r="R16368"/>
      <c r="W16368" s="4"/>
      <c r="X16368" s="4"/>
      <c r="Y16368" s="4"/>
    </row>
    <row r="16369" spans="5:25">
      <c r="E16369"/>
      <c r="G16369"/>
      <c r="H16369"/>
      <c r="I16369"/>
      <c r="K16369"/>
      <c r="O16369"/>
      <c r="R16369"/>
      <c r="W16369" s="4"/>
      <c r="X16369" s="4"/>
      <c r="Y16369" s="4"/>
    </row>
    <row r="16370" spans="5:25">
      <c r="E16370"/>
      <c r="G16370"/>
      <c r="H16370"/>
      <c r="I16370"/>
      <c r="K16370"/>
      <c r="O16370"/>
      <c r="R16370"/>
      <c r="W16370" s="4"/>
      <c r="X16370" s="4"/>
      <c r="Y16370" s="4"/>
    </row>
    <row r="16371" spans="5:25">
      <c r="E16371"/>
      <c r="G16371"/>
      <c r="H16371"/>
      <c r="I16371"/>
      <c r="K16371"/>
      <c r="O16371"/>
      <c r="R16371"/>
      <c r="W16371" s="4"/>
      <c r="X16371" s="4"/>
      <c r="Y16371" s="4"/>
    </row>
    <row r="16372" spans="5:25">
      <c r="E16372"/>
      <c r="G16372"/>
      <c r="H16372"/>
      <c r="I16372"/>
      <c r="K16372"/>
      <c r="O16372"/>
      <c r="R16372"/>
      <c r="W16372" s="4"/>
      <c r="X16372" s="4"/>
      <c r="Y16372" s="4"/>
    </row>
    <row r="16373" spans="5:25">
      <c r="E16373"/>
      <c r="G16373"/>
      <c r="H16373"/>
      <c r="I16373"/>
      <c r="K16373"/>
      <c r="O16373"/>
      <c r="R16373"/>
      <c r="W16373" s="4"/>
      <c r="X16373" s="4"/>
      <c r="Y16373" s="4"/>
    </row>
    <row r="16374" spans="5:25">
      <c r="E16374"/>
      <c r="G16374"/>
      <c r="H16374"/>
      <c r="I16374"/>
      <c r="K16374"/>
      <c r="O16374"/>
      <c r="R16374"/>
      <c r="W16374" s="4"/>
      <c r="X16374" s="4"/>
      <c r="Y16374" s="4"/>
    </row>
    <row r="16375" spans="5:25">
      <c r="E16375"/>
      <c r="G16375"/>
      <c r="H16375"/>
      <c r="I16375"/>
      <c r="K16375"/>
      <c r="O16375"/>
      <c r="R16375"/>
      <c r="W16375" s="4"/>
      <c r="X16375" s="4"/>
      <c r="Y16375" s="4"/>
    </row>
    <row r="16376" spans="5:25">
      <c r="E16376"/>
      <c r="G16376"/>
      <c r="H16376"/>
      <c r="I16376"/>
      <c r="K16376"/>
      <c r="O16376"/>
      <c r="R16376"/>
      <c r="W16376" s="4"/>
      <c r="X16376" s="4"/>
      <c r="Y16376" s="4"/>
    </row>
    <row r="16377" spans="5:25">
      <c r="E16377"/>
      <c r="G16377"/>
      <c r="H16377"/>
      <c r="I16377"/>
      <c r="K16377"/>
      <c r="O16377"/>
      <c r="R16377"/>
      <c r="W16377" s="4"/>
      <c r="X16377" s="4"/>
      <c r="Y16377" s="4"/>
    </row>
    <row r="16378" spans="5:25">
      <c r="E16378"/>
      <c r="G16378"/>
      <c r="H16378"/>
      <c r="I16378"/>
      <c r="K16378"/>
      <c r="O16378"/>
      <c r="R16378"/>
      <c r="W16378" s="4"/>
      <c r="X16378" s="4"/>
      <c r="Y16378" s="4"/>
    </row>
    <row r="16379" spans="5:25">
      <c r="E16379"/>
      <c r="G16379"/>
      <c r="H16379"/>
      <c r="I16379"/>
      <c r="K16379"/>
      <c r="O16379"/>
      <c r="R16379"/>
      <c r="W16379" s="4"/>
      <c r="X16379" s="4"/>
      <c r="Y16379" s="4"/>
    </row>
    <row r="16380" spans="5:25">
      <c r="E16380"/>
      <c r="G16380"/>
      <c r="H16380"/>
      <c r="I16380"/>
      <c r="K16380"/>
      <c r="O16380"/>
      <c r="R16380"/>
      <c r="W16380" s="4"/>
      <c r="X16380" s="4"/>
      <c r="Y16380" s="4"/>
    </row>
    <row r="16381" spans="5:25">
      <c r="E16381"/>
      <c r="G16381"/>
      <c r="H16381"/>
      <c r="I16381"/>
      <c r="K16381"/>
      <c r="O16381"/>
      <c r="R16381"/>
      <c r="W16381" s="4"/>
      <c r="X16381" s="4"/>
      <c r="Y16381" s="4"/>
    </row>
    <row r="16382" spans="5:25">
      <c r="E16382"/>
      <c r="G16382"/>
      <c r="H16382"/>
      <c r="I16382"/>
      <c r="K16382"/>
      <c r="O16382"/>
      <c r="R16382"/>
      <c r="W16382" s="4"/>
      <c r="X16382" s="4"/>
      <c r="Y16382" s="4"/>
    </row>
    <row r="16383" spans="5:25">
      <c r="E16383"/>
      <c r="G16383"/>
      <c r="H16383"/>
      <c r="I16383"/>
      <c r="K16383"/>
      <c r="O16383"/>
      <c r="R16383"/>
      <c r="W16383" s="4"/>
      <c r="X16383" s="4"/>
      <c r="Y16383" s="4"/>
    </row>
    <row r="16384" spans="5:25">
      <c r="E16384"/>
      <c r="G16384"/>
      <c r="H16384"/>
      <c r="I16384"/>
      <c r="K16384"/>
      <c r="O16384"/>
      <c r="R16384"/>
      <c r="W16384" s="4"/>
      <c r="X16384" s="4"/>
      <c r="Y16384" s="4"/>
    </row>
    <row r="16385" spans="5:25">
      <c r="E16385"/>
      <c r="G16385"/>
      <c r="H16385"/>
      <c r="I16385"/>
      <c r="K16385"/>
      <c r="O16385"/>
      <c r="R16385"/>
      <c r="W16385" s="4"/>
      <c r="X16385" s="4"/>
      <c r="Y16385" s="4"/>
    </row>
    <row r="16386" spans="5:25">
      <c r="E16386"/>
      <c r="G16386"/>
      <c r="H16386"/>
      <c r="I16386"/>
      <c r="K16386"/>
      <c r="O16386"/>
      <c r="R16386"/>
      <c r="W16386" s="4"/>
      <c r="X16386" s="4"/>
      <c r="Y16386" s="4"/>
    </row>
    <row r="16387" spans="5:25">
      <c r="E16387"/>
      <c r="G16387"/>
      <c r="H16387"/>
      <c r="I16387"/>
      <c r="K16387"/>
      <c r="O16387"/>
      <c r="R16387"/>
      <c r="W16387" s="4"/>
      <c r="X16387" s="4"/>
      <c r="Y16387" s="4"/>
    </row>
    <row r="16388" spans="5:25">
      <c r="E16388"/>
      <c r="G16388"/>
      <c r="H16388"/>
      <c r="I16388"/>
      <c r="K16388"/>
      <c r="O16388"/>
      <c r="R16388"/>
      <c r="W16388" s="4"/>
      <c r="X16388" s="4"/>
      <c r="Y16388" s="4"/>
    </row>
    <row r="16389" spans="5:25">
      <c r="E16389"/>
      <c r="G16389"/>
      <c r="H16389"/>
      <c r="I16389"/>
      <c r="K16389"/>
      <c r="O16389"/>
      <c r="R16389"/>
      <c r="W16389" s="4"/>
      <c r="X16389" s="4"/>
      <c r="Y16389" s="4"/>
    </row>
    <row r="16390" spans="5:25">
      <c r="E16390"/>
      <c r="G16390"/>
      <c r="H16390"/>
      <c r="I16390"/>
      <c r="K16390"/>
      <c r="O16390"/>
      <c r="R16390"/>
      <c r="W16390" s="4"/>
      <c r="X16390" s="4"/>
      <c r="Y16390" s="4"/>
    </row>
    <row r="16391" spans="5:25">
      <c r="E16391"/>
      <c r="G16391"/>
      <c r="H16391"/>
      <c r="I16391"/>
      <c r="K16391"/>
      <c r="O16391"/>
      <c r="R16391"/>
      <c r="W16391" s="4"/>
      <c r="X16391" s="4"/>
      <c r="Y16391" s="4"/>
    </row>
    <row r="16392" spans="5:25">
      <c r="E16392"/>
      <c r="G16392"/>
      <c r="H16392"/>
      <c r="I16392"/>
      <c r="K16392"/>
      <c r="O16392"/>
      <c r="R16392"/>
      <c r="W16392" s="4"/>
      <c r="X16392" s="4"/>
      <c r="Y16392" s="4"/>
    </row>
    <row r="16393" spans="5:25">
      <c r="E16393"/>
      <c r="G16393"/>
      <c r="H16393"/>
      <c r="I16393"/>
      <c r="K16393"/>
      <c r="O16393"/>
      <c r="R16393"/>
      <c r="W16393" s="4"/>
      <c r="X16393" s="4"/>
      <c r="Y16393" s="4"/>
    </row>
    <row r="16394" spans="5:25">
      <c r="E16394"/>
      <c r="G16394"/>
      <c r="H16394"/>
      <c r="I16394"/>
      <c r="K16394"/>
      <c r="O16394"/>
      <c r="R16394"/>
      <c r="W16394" s="4"/>
      <c r="X16394" s="4"/>
      <c r="Y16394" s="4"/>
    </row>
    <row r="16395" spans="5:25">
      <c r="E16395"/>
      <c r="G16395"/>
      <c r="H16395"/>
      <c r="I16395"/>
      <c r="K16395"/>
      <c r="O16395"/>
      <c r="R16395"/>
      <c r="W16395" s="4"/>
      <c r="X16395" s="4"/>
      <c r="Y16395" s="4"/>
    </row>
    <row r="16396" spans="5:25">
      <c r="E16396"/>
      <c r="G16396"/>
      <c r="H16396"/>
      <c r="I16396"/>
      <c r="K16396"/>
      <c r="O16396"/>
      <c r="R16396"/>
      <c r="W16396" s="4"/>
      <c r="X16396" s="4"/>
      <c r="Y16396" s="4"/>
    </row>
    <row r="16397" spans="5:25">
      <c r="E16397"/>
      <c r="G16397"/>
      <c r="H16397"/>
      <c r="I16397"/>
      <c r="K16397"/>
      <c r="O16397"/>
      <c r="R16397"/>
      <c r="W16397" s="4"/>
      <c r="X16397" s="4"/>
      <c r="Y16397" s="4"/>
    </row>
    <row r="16398" spans="5:25">
      <c r="E16398"/>
      <c r="G16398"/>
      <c r="H16398"/>
      <c r="I16398"/>
      <c r="K16398"/>
      <c r="O16398"/>
      <c r="R16398"/>
      <c r="W16398" s="4"/>
      <c r="X16398" s="4"/>
      <c r="Y16398" s="4"/>
    </row>
    <row r="16399" spans="5:25">
      <c r="E16399"/>
      <c r="G16399"/>
      <c r="H16399"/>
      <c r="I16399"/>
      <c r="K16399"/>
      <c r="O16399"/>
      <c r="R16399"/>
      <c r="W16399" s="4"/>
      <c r="X16399" s="4"/>
      <c r="Y16399" s="4"/>
    </row>
    <row r="16400" spans="5:25">
      <c r="E16400"/>
      <c r="G16400"/>
      <c r="H16400"/>
      <c r="I16400"/>
      <c r="K16400"/>
      <c r="O16400"/>
      <c r="R16400"/>
      <c r="W16400" s="4"/>
      <c r="X16400" s="4"/>
      <c r="Y16400" s="4"/>
    </row>
    <row r="16401" spans="5:25">
      <c r="E16401"/>
      <c r="G16401"/>
      <c r="H16401"/>
      <c r="I16401"/>
      <c r="K16401"/>
      <c r="O16401"/>
      <c r="R16401"/>
      <c r="W16401" s="4"/>
      <c r="X16401" s="4"/>
      <c r="Y16401" s="4"/>
    </row>
    <row r="16402" spans="5:25">
      <c r="E16402"/>
      <c r="G16402"/>
      <c r="H16402"/>
      <c r="I16402"/>
      <c r="K16402"/>
      <c r="O16402"/>
      <c r="R16402"/>
      <c r="W16402" s="4"/>
      <c r="X16402" s="4"/>
      <c r="Y16402" s="4"/>
    </row>
    <row r="16403" spans="5:25">
      <c r="E16403"/>
      <c r="G16403"/>
      <c r="H16403"/>
      <c r="I16403"/>
      <c r="K16403"/>
      <c r="O16403"/>
      <c r="R16403"/>
      <c r="W16403" s="4"/>
      <c r="X16403" s="4"/>
      <c r="Y16403" s="4"/>
    </row>
    <row r="16404" spans="5:25">
      <c r="E16404"/>
      <c r="G16404"/>
      <c r="H16404"/>
      <c r="I16404"/>
      <c r="K16404"/>
      <c r="O16404"/>
      <c r="R16404"/>
      <c r="W16404" s="4"/>
      <c r="X16404" s="4"/>
      <c r="Y16404" s="4"/>
    </row>
    <row r="16405" spans="5:25">
      <c r="E16405"/>
      <c r="G16405"/>
      <c r="H16405"/>
      <c r="I16405"/>
      <c r="K16405"/>
      <c r="O16405"/>
      <c r="R16405"/>
      <c r="W16405" s="4"/>
      <c r="X16405" s="4"/>
      <c r="Y16405" s="4"/>
    </row>
    <row r="16406" spans="5:25">
      <c r="E16406"/>
      <c r="G16406"/>
      <c r="H16406"/>
      <c r="I16406"/>
      <c r="K16406"/>
      <c r="O16406"/>
      <c r="R16406"/>
      <c r="W16406" s="4"/>
      <c r="X16406" s="4"/>
      <c r="Y16406" s="4"/>
    </row>
    <row r="16407" spans="5:25">
      <c r="E16407"/>
      <c r="G16407"/>
      <c r="H16407"/>
      <c r="I16407"/>
      <c r="K16407"/>
      <c r="O16407"/>
      <c r="R16407"/>
      <c r="W16407" s="4"/>
      <c r="X16407" s="4"/>
      <c r="Y16407" s="4"/>
    </row>
    <row r="16408" spans="5:25">
      <c r="E16408"/>
      <c r="G16408"/>
      <c r="H16408"/>
      <c r="I16408"/>
      <c r="K16408"/>
      <c r="O16408"/>
      <c r="R16408"/>
      <c r="W16408" s="4"/>
      <c r="X16408" s="4"/>
      <c r="Y16408" s="4"/>
    </row>
    <row r="16409" spans="5:25">
      <c r="E16409"/>
      <c r="G16409"/>
      <c r="H16409"/>
      <c r="I16409"/>
      <c r="K16409"/>
      <c r="O16409"/>
      <c r="R16409"/>
      <c r="W16409" s="4"/>
      <c r="X16409" s="4"/>
      <c r="Y16409" s="4"/>
    </row>
    <row r="16410" spans="5:25">
      <c r="E16410"/>
      <c r="G16410"/>
      <c r="H16410"/>
      <c r="I16410"/>
      <c r="K16410"/>
      <c r="O16410"/>
      <c r="R16410"/>
      <c r="W16410" s="4"/>
      <c r="X16410" s="4"/>
      <c r="Y16410" s="4"/>
    </row>
    <row r="16411" spans="5:25">
      <c r="E16411"/>
      <c r="G16411"/>
      <c r="H16411"/>
      <c r="I16411"/>
      <c r="K16411"/>
      <c r="O16411"/>
      <c r="R16411"/>
      <c r="W16411" s="4"/>
      <c r="X16411" s="4"/>
      <c r="Y16411" s="4"/>
    </row>
    <row r="16412" spans="5:25">
      <c r="E16412"/>
      <c r="G16412"/>
      <c r="H16412"/>
      <c r="I16412"/>
      <c r="K16412"/>
      <c r="O16412"/>
      <c r="R16412"/>
      <c r="W16412" s="4"/>
      <c r="X16412" s="4"/>
      <c r="Y16412" s="4"/>
    </row>
    <row r="16413" spans="5:25">
      <c r="E16413"/>
      <c r="G16413"/>
      <c r="H16413"/>
      <c r="I16413"/>
      <c r="K16413"/>
      <c r="O16413"/>
      <c r="R16413"/>
      <c r="W16413" s="4"/>
      <c r="X16413" s="4"/>
      <c r="Y16413" s="4"/>
    </row>
    <row r="16414" spans="5:25">
      <c r="E16414"/>
      <c r="G16414"/>
      <c r="H16414"/>
      <c r="I16414"/>
      <c r="K16414"/>
      <c r="O16414"/>
      <c r="R16414"/>
      <c r="W16414" s="4"/>
      <c r="X16414" s="4"/>
      <c r="Y16414" s="4"/>
    </row>
    <row r="16415" spans="5:25">
      <c r="E16415"/>
      <c r="G16415"/>
      <c r="H16415"/>
      <c r="I16415"/>
      <c r="K16415"/>
      <c r="O16415"/>
      <c r="R16415"/>
      <c r="W16415" s="4"/>
      <c r="X16415" s="4"/>
      <c r="Y16415" s="4"/>
    </row>
    <row r="16416" spans="5:25">
      <c r="E16416"/>
      <c r="G16416"/>
      <c r="H16416"/>
      <c r="I16416"/>
      <c r="K16416"/>
      <c r="O16416"/>
      <c r="R16416"/>
      <c r="W16416" s="4"/>
      <c r="X16416" s="4"/>
      <c r="Y16416" s="4"/>
    </row>
    <row r="16417" spans="5:25">
      <c r="E16417"/>
      <c r="G16417"/>
      <c r="H16417"/>
      <c r="I16417"/>
      <c r="K16417"/>
      <c r="O16417"/>
      <c r="R16417"/>
      <c r="W16417" s="4"/>
      <c r="X16417" s="4"/>
      <c r="Y16417" s="4"/>
    </row>
    <row r="16418" spans="5:25">
      <c r="E16418"/>
      <c r="G16418"/>
      <c r="H16418"/>
      <c r="I16418"/>
      <c r="K16418"/>
      <c r="O16418"/>
      <c r="R16418"/>
      <c r="W16418" s="4"/>
      <c r="X16418" s="4"/>
      <c r="Y16418" s="4"/>
    </row>
    <row r="16419" spans="5:25">
      <c r="E16419"/>
      <c r="G16419"/>
      <c r="H16419"/>
      <c r="I16419"/>
      <c r="K16419"/>
      <c r="O16419"/>
      <c r="R16419"/>
      <c r="W16419" s="4"/>
      <c r="X16419" s="4"/>
      <c r="Y16419" s="4"/>
    </row>
    <row r="16420" spans="5:25">
      <c r="E16420"/>
      <c r="G16420"/>
      <c r="H16420"/>
      <c r="I16420"/>
      <c r="K16420"/>
      <c r="O16420"/>
      <c r="R16420"/>
      <c r="W16420" s="4"/>
      <c r="X16420" s="4"/>
      <c r="Y16420" s="4"/>
    </row>
    <row r="16421" spans="5:25">
      <c r="E16421"/>
      <c r="G16421"/>
      <c r="H16421"/>
      <c r="I16421"/>
      <c r="K16421"/>
      <c r="O16421"/>
      <c r="R16421"/>
      <c r="W16421" s="4"/>
      <c r="X16421" s="4"/>
      <c r="Y16421" s="4"/>
    </row>
    <row r="16422" spans="5:25">
      <c r="E16422"/>
      <c r="G16422"/>
      <c r="H16422"/>
      <c r="I16422"/>
      <c r="K16422"/>
      <c r="O16422"/>
      <c r="R16422"/>
      <c r="W16422" s="4"/>
      <c r="X16422" s="4"/>
      <c r="Y16422" s="4"/>
    </row>
    <row r="16423" spans="5:25">
      <c r="E16423"/>
      <c r="G16423"/>
      <c r="H16423"/>
      <c r="I16423"/>
      <c r="K16423"/>
      <c r="O16423"/>
      <c r="R16423"/>
      <c r="W16423" s="4"/>
      <c r="X16423" s="4"/>
      <c r="Y16423" s="4"/>
    </row>
    <row r="16424" spans="5:25">
      <c r="E16424"/>
      <c r="G16424"/>
      <c r="H16424"/>
      <c r="I16424"/>
      <c r="K16424"/>
      <c r="O16424"/>
      <c r="R16424"/>
      <c r="W16424" s="4"/>
      <c r="X16424" s="4"/>
      <c r="Y16424" s="4"/>
    </row>
    <row r="16425" spans="5:25">
      <c r="E16425"/>
      <c r="G16425"/>
      <c r="H16425"/>
      <c r="I16425"/>
      <c r="K16425"/>
      <c r="O16425"/>
      <c r="R16425"/>
      <c r="W16425" s="4"/>
      <c r="X16425" s="4"/>
      <c r="Y16425" s="4"/>
    </row>
    <row r="16426" spans="5:25">
      <c r="E16426"/>
      <c r="G16426"/>
      <c r="H16426"/>
      <c r="I16426"/>
      <c r="K16426"/>
      <c r="O16426"/>
      <c r="R16426"/>
      <c r="W16426" s="4"/>
      <c r="X16426" s="4"/>
      <c r="Y16426" s="4"/>
    </row>
    <row r="16427" spans="5:25">
      <c r="E16427"/>
      <c r="G16427"/>
      <c r="H16427"/>
      <c r="I16427"/>
      <c r="K16427"/>
      <c r="O16427"/>
      <c r="R16427"/>
      <c r="W16427" s="4"/>
      <c r="X16427" s="4"/>
      <c r="Y16427" s="4"/>
    </row>
    <row r="16428" spans="5:25">
      <c r="E16428"/>
      <c r="G16428"/>
      <c r="H16428"/>
      <c r="I16428"/>
      <c r="K16428"/>
      <c r="O16428"/>
      <c r="R16428"/>
      <c r="W16428" s="4"/>
      <c r="X16428" s="4"/>
      <c r="Y16428" s="4"/>
    </row>
    <row r="16429" spans="5:25">
      <c r="E16429"/>
      <c r="G16429"/>
      <c r="H16429"/>
      <c r="I16429"/>
      <c r="K16429"/>
      <c r="O16429"/>
      <c r="R16429"/>
      <c r="W16429" s="4"/>
      <c r="X16429" s="4"/>
      <c r="Y16429" s="4"/>
    </row>
    <row r="16430" spans="5:25">
      <c r="E16430"/>
      <c r="G16430"/>
      <c r="H16430"/>
      <c r="I16430"/>
      <c r="K16430"/>
      <c r="O16430"/>
      <c r="R16430"/>
      <c r="W16430" s="4"/>
      <c r="X16430" s="4"/>
      <c r="Y16430" s="4"/>
    </row>
    <row r="16431" spans="5:25">
      <c r="E16431"/>
      <c r="G16431"/>
      <c r="H16431"/>
      <c r="I16431"/>
      <c r="K16431"/>
      <c r="O16431"/>
      <c r="R16431"/>
      <c r="W16431" s="4"/>
      <c r="X16431" s="4"/>
      <c r="Y16431" s="4"/>
    </row>
    <row r="16432" spans="5:25">
      <c r="E16432"/>
      <c r="G16432"/>
      <c r="H16432"/>
      <c r="I16432"/>
      <c r="K16432"/>
      <c r="O16432"/>
      <c r="R16432"/>
      <c r="W16432" s="4"/>
      <c r="X16432" s="4"/>
      <c r="Y16432" s="4"/>
    </row>
    <row r="16433" spans="5:25">
      <c r="E16433"/>
      <c r="G16433"/>
      <c r="H16433"/>
      <c r="I16433"/>
      <c r="K16433"/>
      <c r="O16433"/>
      <c r="R16433"/>
      <c r="W16433" s="4"/>
      <c r="X16433" s="4"/>
      <c r="Y16433" s="4"/>
    </row>
    <row r="16434" spans="5:25">
      <c r="E16434"/>
      <c r="G16434"/>
      <c r="H16434"/>
      <c r="I16434"/>
      <c r="K16434"/>
      <c r="O16434"/>
      <c r="R16434"/>
      <c r="W16434" s="4"/>
      <c r="X16434" s="4"/>
      <c r="Y16434" s="4"/>
    </row>
    <row r="16435" spans="5:25">
      <c r="E16435"/>
      <c r="G16435"/>
      <c r="H16435"/>
      <c r="I16435"/>
      <c r="K16435"/>
      <c r="O16435"/>
      <c r="R16435"/>
      <c r="W16435" s="4"/>
      <c r="X16435" s="4"/>
      <c r="Y16435" s="4"/>
    </row>
    <row r="16436" spans="5:25">
      <c r="E16436"/>
      <c r="G16436"/>
      <c r="H16436"/>
      <c r="I16436"/>
      <c r="K16436"/>
      <c r="O16436"/>
      <c r="R16436"/>
      <c r="W16436" s="4"/>
      <c r="X16436" s="4"/>
      <c r="Y16436" s="4"/>
    </row>
    <row r="16437" spans="5:25">
      <c r="E16437"/>
      <c r="G16437"/>
      <c r="H16437"/>
      <c r="I16437"/>
      <c r="K16437"/>
      <c r="O16437"/>
      <c r="R16437"/>
      <c r="W16437" s="4"/>
      <c r="X16437" s="4"/>
      <c r="Y16437" s="4"/>
    </row>
    <row r="16438" spans="5:25">
      <c r="E16438"/>
      <c r="G16438"/>
      <c r="H16438"/>
      <c r="I16438"/>
      <c r="K16438"/>
      <c r="O16438"/>
      <c r="R16438"/>
      <c r="W16438" s="4"/>
      <c r="X16438" s="4"/>
      <c r="Y16438" s="4"/>
    </row>
    <row r="16439" spans="5:25">
      <c r="E16439"/>
      <c r="G16439"/>
      <c r="H16439"/>
      <c r="I16439"/>
      <c r="K16439"/>
      <c r="O16439"/>
      <c r="R16439"/>
      <c r="W16439" s="4"/>
      <c r="X16439" s="4"/>
      <c r="Y16439" s="4"/>
    </row>
    <row r="16440" spans="5:25">
      <c r="E16440"/>
      <c r="G16440"/>
      <c r="H16440"/>
      <c r="I16440"/>
      <c r="K16440"/>
      <c r="O16440"/>
      <c r="R16440"/>
      <c r="W16440" s="4"/>
      <c r="X16440" s="4"/>
      <c r="Y16440" s="4"/>
    </row>
    <row r="16441" spans="5:25">
      <c r="E16441"/>
      <c r="G16441"/>
      <c r="H16441"/>
      <c r="I16441"/>
      <c r="K16441"/>
      <c r="O16441"/>
      <c r="R16441"/>
      <c r="W16441" s="4"/>
      <c r="X16441" s="4"/>
      <c r="Y16441" s="4"/>
    </row>
    <row r="16442" spans="5:25">
      <c r="E16442"/>
      <c r="G16442"/>
      <c r="H16442"/>
      <c r="I16442"/>
      <c r="K16442"/>
      <c r="O16442"/>
      <c r="R16442"/>
      <c r="W16442" s="4"/>
      <c r="X16442" s="4"/>
      <c r="Y16442" s="4"/>
    </row>
    <row r="16443" spans="5:25">
      <c r="E16443"/>
      <c r="G16443"/>
      <c r="H16443"/>
      <c r="I16443"/>
      <c r="K16443"/>
      <c r="O16443"/>
      <c r="R16443"/>
      <c r="W16443" s="4"/>
      <c r="X16443" s="4"/>
      <c r="Y16443" s="4"/>
    </row>
    <row r="16444" spans="5:25">
      <c r="E16444"/>
      <c r="G16444"/>
      <c r="H16444"/>
      <c r="I16444"/>
      <c r="K16444"/>
      <c r="O16444"/>
      <c r="R16444"/>
      <c r="W16444" s="4"/>
      <c r="X16444" s="4"/>
      <c r="Y16444" s="4"/>
    </row>
    <row r="16445" spans="5:25">
      <c r="E16445"/>
      <c r="G16445"/>
      <c r="H16445"/>
      <c r="I16445"/>
      <c r="K16445"/>
      <c r="O16445"/>
      <c r="R16445"/>
      <c r="W16445" s="4"/>
      <c r="X16445" s="4"/>
      <c r="Y16445" s="4"/>
    </row>
    <row r="16446" spans="5:25">
      <c r="E16446"/>
      <c r="G16446"/>
      <c r="H16446"/>
      <c r="I16446"/>
      <c r="K16446"/>
      <c r="O16446"/>
      <c r="R16446"/>
      <c r="W16446" s="4"/>
      <c r="X16446" s="4"/>
      <c r="Y16446" s="4"/>
    </row>
    <row r="16447" spans="5:25">
      <c r="E16447"/>
      <c r="G16447"/>
      <c r="H16447"/>
      <c r="I16447"/>
      <c r="K16447"/>
      <c r="O16447"/>
      <c r="R16447"/>
      <c r="W16447" s="4"/>
      <c r="X16447" s="4"/>
      <c r="Y16447" s="4"/>
    </row>
    <row r="16448" spans="5:25">
      <c r="E16448"/>
      <c r="G16448"/>
      <c r="H16448"/>
      <c r="I16448"/>
      <c r="K16448"/>
      <c r="O16448"/>
      <c r="R16448"/>
      <c r="W16448" s="4"/>
      <c r="X16448" s="4"/>
      <c r="Y16448" s="4"/>
    </row>
    <row r="16449" spans="5:25">
      <c r="E16449"/>
      <c r="G16449"/>
      <c r="H16449"/>
      <c r="I16449"/>
      <c r="K16449"/>
      <c r="O16449"/>
      <c r="R16449"/>
      <c r="W16449" s="4"/>
      <c r="X16449" s="4"/>
      <c r="Y16449" s="4"/>
    </row>
    <row r="16450" spans="5:25">
      <c r="E16450"/>
      <c r="G16450"/>
      <c r="H16450"/>
      <c r="I16450"/>
      <c r="K16450"/>
      <c r="O16450"/>
      <c r="R16450"/>
      <c r="W16450" s="4"/>
      <c r="X16450" s="4"/>
      <c r="Y16450" s="4"/>
    </row>
    <row r="16451" spans="5:25">
      <c r="E16451"/>
      <c r="G16451"/>
      <c r="H16451"/>
      <c r="I16451"/>
      <c r="K16451"/>
      <c r="O16451"/>
      <c r="R16451"/>
      <c r="W16451" s="4"/>
      <c r="X16451" s="4"/>
      <c r="Y16451" s="4"/>
    </row>
    <row r="16452" spans="5:25">
      <c r="E16452"/>
      <c r="G16452"/>
      <c r="H16452"/>
      <c r="I16452"/>
      <c r="K16452"/>
      <c r="O16452"/>
      <c r="R16452"/>
      <c r="W16452" s="4"/>
      <c r="X16452" s="4"/>
      <c r="Y16452" s="4"/>
    </row>
    <row r="16453" spans="5:25">
      <c r="E16453"/>
      <c r="G16453"/>
      <c r="H16453"/>
      <c r="I16453"/>
      <c r="K16453"/>
      <c r="O16453"/>
      <c r="R16453"/>
      <c r="W16453" s="4"/>
      <c r="X16453" s="4"/>
      <c r="Y16453" s="4"/>
    </row>
    <row r="16454" spans="5:25">
      <c r="E16454"/>
      <c r="G16454"/>
      <c r="H16454"/>
      <c r="I16454"/>
      <c r="K16454"/>
      <c r="O16454"/>
      <c r="R16454"/>
      <c r="W16454" s="4"/>
      <c r="X16454" s="4"/>
      <c r="Y16454" s="4"/>
    </row>
    <row r="16455" spans="5:25">
      <c r="E16455"/>
      <c r="G16455"/>
      <c r="H16455"/>
      <c r="I16455"/>
      <c r="K16455"/>
      <c r="O16455"/>
      <c r="R16455"/>
      <c r="W16455" s="4"/>
      <c r="X16455" s="4"/>
      <c r="Y16455" s="4"/>
    </row>
    <row r="16456" spans="5:25">
      <c r="E16456"/>
      <c r="G16456"/>
      <c r="H16456"/>
      <c r="I16456"/>
      <c r="K16456"/>
      <c r="O16456"/>
      <c r="R16456"/>
      <c r="W16456" s="4"/>
      <c r="X16456" s="4"/>
      <c r="Y16456" s="4"/>
    </row>
    <row r="16457" spans="5:25">
      <c r="E16457"/>
      <c r="G16457"/>
      <c r="H16457"/>
      <c r="I16457"/>
      <c r="K16457"/>
      <c r="O16457"/>
      <c r="R16457"/>
      <c r="W16457" s="4"/>
      <c r="X16457" s="4"/>
      <c r="Y16457" s="4"/>
    </row>
    <row r="16458" spans="5:25">
      <c r="E16458"/>
      <c r="G16458"/>
      <c r="H16458"/>
      <c r="I16458"/>
      <c r="K16458"/>
      <c r="O16458"/>
      <c r="R16458"/>
      <c r="W16458" s="4"/>
      <c r="X16458" s="4"/>
      <c r="Y16458" s="4"/>
    </row>
    <row r="16459" spans="5:25">
      <c r="E16459"/>
      <c r="G16459"/>
      <c r="H16459"/>
      <c r="I16459"/>
      <c r="K16459"/>
      <c r="O16459"/>
      <c r="R16459"/>
      <c r="W16459" s="4"/>
      <c r="X16459" s="4"/>
      <c r="Y16459" s="4"/>
    </row>
    <row r="16460" spans="5:25">
      <c r="E16460"/>
      <c r="G16460"/>
      <c r="H16460"/>
      <c r="I16460"/>
      <c r="K16460"/>
      <c r="O16460"/>
      <c r="R16460"/>
      <c r="W16460" s="4"/>
      <c r="X16460" s="4"/>
      <c r="Y16460" s="4"/>
    </row>
    <row r="16461" spans="5:25">
      <c r="E16461"/>
      <c r="G16461"/>
      <c r="H16461"/>
      <c r="I16461"/>
      <c r="K16461"/>
      <c r="O16461"/>
      <c r="R16461"/>
      <c r="W16461" s="4"/>
      <c r="X16461" s="4"/>
      <c r="Y16461" s="4"/>
    </row>
    <row r="16462" spans="5:25">
      <c r="E16462"/>
      <c r="G16462"/>
      <c r="H16462"/>
      <c r="I16462"/>
      <c r="K16462"/>
      <c r="O16462"/>
      <c r="R16462"/>
      <c r="W16462" s="4"/>
      <c r="X16462" s="4"/>
      <c r="Y16462" s="4"/>
    </row>
    <row r="16463" spans="5:25">
      <c r="E16463"/>
      <c r="G16463"/>
      <c r="H16463"/>
      <c r="I16463"/>
      <c r="K16463"/>
      <c r="O16463"/>
      <c r="R16463"/>
      <c r="W16463" s="4"/>
      <c r="X16463" s="4"/>
      <c r="Y16463" s="4"/>
    </row>
    <row r="16464" spans="5:25">
      <c r="E16464"/>
      <c r="G16464"/>
      <c r="H16464"/>
      <c r="I16464"/>
      <c r="K16464"/>
      <c r="O16464"/>
      <c r="R16464"/>
      <c r="W16464" s="4"/>
      <c r="X16464" s="4"/>
      <c r="Y16464" s="4"/>
    </row>
    <row r="16465" spans="5:25">
      <c r="E16465"/>
      <c r="G16465"/>
      <c r="H16465"/>
      <c r="I16465"/>
      <c r="K16465"/>
      <c r="O16465"/>
      <c r="R16465"/>
      <c r="W16465" s="4"/>
      <c r="X16465" s="4"/>
      <c r="Y16465" s="4"/>
    </row>
    <row r="16466" spans="5:25">
      <c r="E16466"/>
      <c r="G16466"/>
      <c r="H16466"/>
      <c r="I16466"/>
      <c r="K16466"/>
      <c r="O16466"/>
      <c r="R16466"/>
      <c r="W16466" s="4"/>
      <c r="X16466" s="4"/>
      <c r="Y16466" s="4"/>
    </row>
    <row r="16467" spans="5:25">
      <c r="E16467"/>
      <c r="G16467"/>
      <c r="H16467"/>
      <c r="I16467"/>
      <c r="K16467"/>
      <c r="O16467"/>
      <c r="R16467"/>
      <c r="W16467" s="4"/>
      <c r="X16467" s="4"/>
      <c r="Y16467" s="4"/>
    </row>
    <row r="16468" spans="5:25">
      <c r="E16468"/>
      <c r="G16468"/>
      <c r="H16468"/>
      <c r="I16468"/>
      <c r="K16468"/>
      <c r="O16468"/>
      <c r="R16468"/>
      <c r="W16468" s="4"/>
      <c r="X16468" s="4"/>
      <c r="Y16468" s="4"/>
    </row>
    <row r="16469" spans="5:25">
      <c r="E16469"/>
      <c r="G16469"/>
      <c r="H16469"/>
      <c r="I16469"/>
      <c r="K16469"/>
      <c r="O16469"/>
      <c r="R16469"/>
      <c r="W16469" s="4"/>
      <c r="X16469" s="4"/>
      <c r="Y16469" s="4"/>
    </row>
    <row r="16470" spans="5:25">
      <c r="E16470"/>
      <c r="G16470"/>
      <c r="H16470"/>
      <c r="I16470"/>
      <c r="K16470"/>
      <c r="O16470"/>
      <c r="R16470"/>
      <c r="W16470" s="4"/>
      <c r="X16470" s="4"/>
      <c r="Y16470" s="4"/>
    </row>
    <row r="16471" spans="5:25">
      <c r="E16471"/>
      <c r="G16471"/>
      <c r="H16471"/>
      <c r="I16471"/>
      <c r="K16471"/>
      <c r="O16471"/>
      <c r="R16471"/>
      <c r="W16471" s="4"/>
      <c r="X16471" s="4"/>
      <c r="Y16471" s="4"/>
    </row>
    <row r="16472" spans="5:25">
      <c r="E16472"/>
      <c r="G16472"/>
      <c r="H16472"/>
      <c r="I16472"/>
      <c r="K16472"/>
      <c r="O16472"/>
      <c r="R16472"/>
      <c r="W16472" s="4"/>
      <c r="X16472" s="4"/>
      <c r="Y16472" s="4"/>
    </row>
    <row r="16473" spans="5:25">
      <c r="E16473"/>
      <c r="G16473"/>
      <c r="H16473"/>
      <c r="I16473"/>
      <c r="K16473"/>
      <c r="O16473"/>
      <c r="R16473"/>
      <c r="W16473" s="4"/>
      <c r="X16473" s="4"/>
      <c r="Y16473" s="4"/>
    </row>
    <row r="16474" spans="5:25">
      <c r="E16474"/>
      <c r="G16474"/>
      <c r="H16474"/>
      <c r="I16474"/>
      <c r="K16474"/>
      <c r="O16474"/>
      <c r="R16474"/>
      <c r="W16474" s="4"/>
      <c r="X16474" s="4"/>
      <c r="Y16474" s="4"/>
    </row>
    <row r="16475" spans="5:25">
      <c r="E16475"/>
      <c r="G16475"/>
      <c r="H16475"/>
      <c r="I16475"/>
      <c r="K16475"/>
      <c r="O16475"/>
      <c r="R16475"/>
      <c r="W16475" s="4"/>
      <c r="X16475" s="4"/>
      <c r="Y16475" s="4"/>
    </row>
    <row r="16476" spans="5:25">
      <c r="E16476"/>
      <c r="G16476"/>
      <c r="H16476"/>
      <c r="I16476"/>
      <c r="K16476"/>
      <c r="O16476"/>
      <c r="R16476"/>
      <c r="W16476" s="4"/>
      <c r="X16476" s="4"/>
      <c r="Y16476" s="4"/>
    </row>
    <row r="16477" spans="5:25">
      <c r="E16477"/>
      <c r="G16477"/>
      <c r="H16477"/>
      <c r="I16477"/>
      <c r="K16477"/>
      <c r="O16477"/>
      <c r="R16477"/>
      <c r="W16477" s="4"/>
      <c r="X16477" s="4"/>
      <c r="Y16477" s="4"/>
    </row>
    <row r="16478" spans="5:25">
      <c r="E16478"/>
      <c r="G16478"/>
      <c r="H16478"/>
      <c r="I16478"/>
      <c r="K16478"/>
      <c r="O16478"/>
      <c r="R16478"/>
      <c r="W16478" s="4"/>
      <c r="X16478" s="4"/>
      <c r="Y16478" s="4"/>
    </row>
    <row r="16479" spans="5:25">
      <c r="E16479"/>
      <c r="G16479"/>
      <c r="H16479"/>
      <c r="I16479"/>
      <c r="K16479"/>
      <c r="O16479"/>
      <c r="R16479"/>
      <c r="W16479" s="4"/>
      <c r="X16479" s="4"/>
      <c r="Y16479" s="4"/>
    </row>
    <row r="16480" spans="5:25">
      <c r="E16480"/>
      <c r="G16480"/>
      <c r="H16480"/>
      <c r="I16480"/>
      <c r="K16480"/>
      <c r="O16480"/>
      <c r="R16480"/>
      <c r="W16480" s="4"/>
      <c r="X16480" s="4"/>
      <c r="Y16480" s="4"/>
    </row>
    <row r="16481" spans="5:25">
      <c r="E16481"/>
      <c r="G16481"/>
      <c r="H16481"/>
      <c r="I16481"/>
      <c r="K16481"/>
      <c r="O16481"/>
      <c r="R16481"/>
      <c r="W16481" s="4"/>
      <c r="X16481" s="4"/>
      <c r="Y16481" s="4"/>
    </row>
    <row r="16482" spans="5:25">
      <c r="E16482"/>
      <c r="G16482"/>
      <c r="H16482"/>
      <c r="I16482"/>
      <c r="K16482"/>
      <c r="O16482"/>
      <c r="R16482"/>
      <c r="W16482" s="4"/>
      <c r="X16482" s="4"/>
      <c r="Y16482" s="4"/>
    </row>
    <row r="16483" spans="5:25">
      <c r="E16483"/>
      <c r="G16483"/>
      <c r="H16483"/>
      <c r="I16483"/>
      <c r="K16483"/>
      <c r="O16483"/>
      <c r="R16483"/>
      <c r="W16483" s="4"/>
      <c r="X16483" s="4"/>
      <c r="Y16483" s="4"/>
    </row>
    <row r="16484" spans="5:25">
      <c r="E16484"/>
      <c r="G16484"/>
      <c r="H16484"/>
      <c r="I16484"/>
      <c r="K16484"/>
      <c r="O16484"/>
      <c r="R16484"/>
      <c r="W16484" s="4"/>
      <c r="X16484" s="4"/>
      <c r="Y16484" s="4"/>
    </row>
    <row r="16485" spans="5:25">
      <c r="E16485"/>
      <c r="G16485"/>
      <c r="H16485"/>
      <c r="I16485"/>
      <c r="K16485"/>
      <c r="O16485"/>
      <c r="R16485"/>
      <c r="W16485" s="4"/>
      <c r="X16485" s="4"/>
      <c r="Y16485" s="4"/>
    </row>
    <row r="16486" spans="5:25">
      <c r="E16486"/>
      <c r="G16486"/>
      <c r="H16486"/>
      <c r="I16486"/>
      <c r="K16486"/>
      <c r="O16486"/>
      <c r="R16486"/>
      <c r="W16486" s="4"/>
      <c r="X16486" s="4"/>
      <c r="Y16486" s="4"/>
    </row>
    <row r="16487" spans="5:25">
      <c r="E16487"/>
      <c r="G16487"/>
      <c r="H16487"/>
      <c r="I16487"/>
      <c r="K16487"/>
      <c r="O16487"/>
      <c r="R16487"/>
      <c r="W16487" s="4"/>
      <c r="X16487" s="4"/>
      <c r="Y16487" s="4"/>
    </row>
    <row r="16488" spans="5:25">
      <c r="E16488"/>
      <c r="G16488"/>
      <c r="H16488"/>
      <c r="I16488"/>
      <c r="K16488"/>
      <c r="O16488"/>
      <c r="R16488"/>
      <c r="W16488" s="4"/>
      <c r="X16488" s="4"/>
      <c r="Y16488" s="4"/>
    </row>
    <row r="16489" spans="5:25">
      <c r="E16489"/>
      <c r="G16489"/>
      <c r="H16489"/>
      <c r="I16489"/>
      <c r="K16489"/>
      <c r="O16489"/>
      <c r="R16489"/>
      <c r="W16489" s="4"/>
      <c r="X16489" s="4"/>
      <c r="Y16489" s="4"/>
    </row>
    <row r="16490" spans="5:25">
      <c r="E16490"/>
      <c r="G16490"/>
      <c r="H16490"/>
      <c r="I16490"/>
      <c r="K16490"/>
      <c r="O16490"/>
      <c r="R16490"/>
      <c r="W16490" s="4"/>
      <c r="X16490" s="4"/>
      <c r="Y16490" s="4"/>
    </row>
    <row r="16491" spans="5:25">
      <c r="E16491"/>
      <c r="G16491"/>
      <c r="H16491"/>
      <c r="I16491"/>
      <c r="K16491"/>
      <c r="O16491"/>
      <c r="R16491"/>
      <c r="W16491" s="4"/>
      <c r="X16491" s="4"/>
      <c r="Y16491" s="4"/>
    </row>
    <row r="16492" spans="5:25">
      <c r="E16492"/>
      <c r="G16492"/>
      <c r="H16492"/>
      <c r="I16492"/>
      <c r="K16492"/>
      <c r="O16492"/>
      <c r="R16492"/>
      <c r="W16492" s="4"/>
      <c r="X16492" s="4"/>
      <c r="Y16492" s="4"/>
    </row>
    <row r="16493" spans="5:25">
      <c r="E16493"/>
      <c r="G16493"/>
      <c r="H16493"/>
      <c r="I16493"/>
      <c r="K16493"/>
      <c r="O16493"/>
      <c r="R16493"/>
      <c r="W16493" s="4"/>
      <c r="X16493" s="4"/>
      <c r="Y16493" s="4"/>
    </row>
    <row r="16494" spans="5:25">
      <c r="E16494"/>
      <c r="G16494"/>
      <c r="H16494"/>
      <c r="I16494"/>
      <c r="K16494"/>
      <c r="O16494"/>
      <c r="R16494"/>
      <c r="W16494" s="4"/>
      <c r="X16494" s="4"/>
      <c r="Y16494" s="4"/>
    </row>
    <row r="16495" spans="5:25">
      <c r="E16495"/>
      <c r="G16495"/>
      <c r="H16495"/>
      <c r="I16495"/>
      <c r="K16495"/>
      <c r="O16495"/>
      <c r="R16495"/>
      <c r="W16495" s="4"/>
      <c r="X16495" s="4"/>
      <c r="Y16495" s="4"/>
    </row>
    <row r="16496" spans="5:25">
      <c r="E16496"/>
      <c r="G16496"/>
      <c r="H16496"/>
      <c r="I16496"/>
      <c r="K16496"/>
      <c r="O16496"/>
      <c r="R16496"/>
      <c r="W16496" s="4"/>
      <c r="X16496" s="4"/>
      <c r="Y16496" s="4"/>
    </row>
    <row r="16497" spans="5:25">
      <c r="E16497"/>
      <c r="G16497"/>
      <c r="H16497"/>
      <c r="I16497"/>
      <c r="K16497"/>
      <c r="O16497"/>
      <c r="R16497"/>
      <c r="W16497" s="4"/>
      <c r="X16497" s="4"/>
      <c r="Y16497" s="4"/>
    </row>
    <row r="16498" spans="5:25">
      <c r="E16498"/>
      <c r="G16498"/>
      <c r="H16498"/>
      <c r="I16498"/>
      <c r="K16498"/>
      <c r="O16498"/>
      <c r="R16498"/>
      <c r="W16498" s="4"/>
      <c r="X16498" s="4"/>
      <c r="Y16498" s="4"/>
    </row>
    <row r="16499" spans="5:25">
      <c r="E16499"/>
      <c r="G16499"/>
      <c r="H16499"/>
      <c r="I16499"/>
      <c r="K16499"/>
      <c r="O16499"/>
      <c r="R16499"/>
      <c r="W16499" s="4"/>
      <c r="X16499" s="4"/>
      <c r="Y16499" s="4"/>
    </row>
    <row r="16500" spans="5:25">
      <c r="E16500"/>
      <c r="G16500"/>
      <c r="H16500"/>
      <c r="I16500"/>
      <c r="K16500"/>
      <c r="O16500"/>
      <c r="R16500"/>
      <c r="W16500" s="4"/>
      <c r="X16500" s="4"/>
      <c r="Y16500" s="4"/>
    </row>
    <row r="16501" spans="5:25">
      <c r="E16501"/>
      <c r="G16501"/>
      <c r="H16501"/>
      <c r="I16501"/>
      <c r="K16501"/>
      <c r="O16501"/>
      <c r="R16501"/>
      <c r="W16501" s="4"/>
      <c r="X16501" s="4"/>
      <c r="Y16501" s="4"/>
    </row>
    <row r="16502" spans="5:25">
      <c r="E16502"/>
      <c r="G16502"/>
      <c r="H16502"/>
      <c r="I16502"/>
      <c r="K16502"/>
      <c r="O16502"/>
      <c r="R16502"/>
      <c r="W16502" s="4"/>
      <c r="X16502" s="4"/>
      <c r="Y16502" s="4"/>
    </row>
    <row r="16503" spans="5:25">
      <c r="E16503"/>
      <c r="G16503"/>
      <c r="H16503"/>
      <c r="I16503"/>
      <c r="K16503"/>
      <c r="O16503"/>
      <c r="R16503"/>
      <c r="W16503" s="4"/>
      <c r="X16503" s="4"/>
      <c r="Y16503" s="4"/>
    </row>
    <row r="16504" spans="5:25">
      <c r="E16504"/>
      <c r="G16504"/>
      <c r="H16504"/>
      <c r="I16504"/>
      <c r="K16504"/>
      <c r="O16504"/>
      <c r="R16504"/>
      <c r="W16504" s="4"/>
      <c r="X16504" s="4"/>
      <c r="Y16504" s="4"/>
    </row>
    <row r="16505" spans="5:25">
      <c r="E16505"/>
      <c r="G16505"/>
      <c r="H16505"/>
      <c r="I16505"/>
      <c r="K16505"/>
      <c r="O16505"/>
      <c r="R16505"/>
      <c r="W16505" s="4"/>
      <c r="X16505" s="4"/>
      <c r="Y16505" s="4"/>
    </row>
    <row r="16506" spans="5:25">
      <c r="E16506"/>
      <c r="G16506"/>
      <c r="H16506"/>
      <c r="I16506"/>
      <c r="K16506"/>
      <c r="O16506"/>
      <c r="R16506"/>
      <c r="W16506" s="4"/>
      <c r="X16506" s="4"/>
      <c r="Y16506" s="4"/>
    </row>
    <row r="16507" spans="5:25">
      <c r="E16507"/>
      <c r="G16507"/>
      <c r="H16507"/>
      <c r="I16507"/>
      <c r="K16507"/>
      <c r="O16507"/>
      <c r="R16507"/>
      <c r="W16507" s="4"/>
      <c r="X16507" s="4"/>
      <c r="Y16507" s="4"/>
    </row>
    <row r="16508" spans="5:25">
      <c r="E16508"/>
      <c r="G16508"/>
      <c r="H16508"/>
      <c r="I16508"/>
      <c r="K16508"/>
      <c r="O16508"/>
      <c r="R16508"/>
      <c r="W16508" s="4"/>
      <c r="X16508" s="4"/>
      <c r="Y16508" s="4"/>
    </row>
    <row r="16509" spans="5:25">
      <c r="E16509"/>
      <c r="G16509"/>
      <c r="H16509"/>
      <c r="I16509"/>
      <c r="K16509"/>
      <c r="O16509"/>
      <c r="R16509"/>
      <c r="W16509" s="4"/>
      <c r="X16509" s="4"/>
      <c r="Y16509" s="4"/>
    </row>
    <row r="16510" spans="5:25">
      <c r="E16510"/>
      <c r="G16510"/>
      <c r="H16510"/>
      <c r="I16510"/>
      <c r="K16510"/>
      <c r="O16510"/>
      <c r="R16510"/>
      <c r="W16510" s="4"/>
      <c r="X16510" s="4"/>
      <c r="Y16510" s="4"/>
    </row>
    <row r="16511" spans="5:25">
      <c r="E16511"/>
      <c r="G16511"/>
      <c r="H16511"/>
      <c r="I16511"/>
      <c r="K16511"/>
      <c r="O16511"/>
      <c r="R16511"/>
      <c r="W16511" s="4"/>
      <c r="X16511" s="4"/>
      <c r="Y16511" s="4"/>
    </row>
    <row r="16512" spans="5:25">
      <c r="E16512"/>
      <c r="G16512"/>
      <c r="H16512"/>
      <c r="I16512"/>
      <c r="K16512"/>
      <c r="O16512"/>
      <c r="R16512"/>
      <c r="W16512" s="4"/>
      <c r="X16512" s="4"/>
      <c r="Y16512" s="4"/>
    </row>
    <row r="16513" spans="5:25">
      <c r="E16513"/>
      <c r="G16513"/>
      <c r="H16513"/>
      <c r="I16513"/>
      <c r="K16513"/>
      <c r="O16513"/>
      <c r="R16513"/>
      <c r="W16513" s="4"/>
      <c r="X16513" s="4"/>
      <c r="Y16513" s="4"/>
    </row>
    <row r="16514" spans="5:25">
      <c r="E16514"/>
      <c r="G16514"/>
      <c r="H16514"/>
      <c r="I16514"/>
      <c r="K16514"/>
      <c r="O16514"/>
      <c r="R16514"/>
      <c r="W16514" s="4"/>
      <c r="X16514" s="4"/>
      <c r="Y16514" s="4"/>
    </row>
    <row r="16515" spans="5:25">
      <c r="E16515"/>
      <c r="G16515"/>
      <c r="H16515"/>
      <c r="I16515"/>
      <c r="K16515"/>
      <c r="O16515"/>
      <c r="R16515"/>
      <c r="W16515" s="4"/>
      <c r="X16515" s="4"/>
      <c r="Y16515" s="4"/>
    </row>
    <row r="16516" spans="5:25">
      <c r="E16516"/>
      <c r="G16516"/>
      <c r="H16516"/>
      <c r="I16516"/>
      <c r="K16516"/>
      <c r="O16516"/>
      <c r="R16516"/>
      <c r="W16516" s="4"/>
      <c r="X16516" s="4"/>
      <c r="Y16516" s="4"/>
    </row>
    <row r="16517" spans="5:25">
      <c r="E16517"/>
      <c r="G16517"/>
      <c r="H16517"/>
      <c r="I16517"/>
      <c r="K16517"/>
      <c r="O16517"/>
      <c r="R16517"/>
      <c r="W16517" s="4"/>
      <c r="X16517" s="4"/>
      <c r="Y16517" s="4"/>
    </row>
    <row r="16518" spans="5:25">
      <c r="E16518"/>
      <c r="G16518"/>
      <c r="H16518"/>
      <c r="I16518"/>
      <c r="K16518"/>
      <c r="O16518"/>
      <c r="R16518"/>
      <c r="W16518" s="4"/>
      <c r="X16518" s="4"/>
      <c r="Y16518" s="4"/>
    </row>
    <row r="16519" spans="5:25">
      <c r="E16519"/>
      <c r="G16519"/>
      <c r="H16519"/>
      <c r="I16519"/>
      <c r="K16519"/>
      <c r="O16519"/>
      <c r="R16519"/>
      <c r="W16519" s="4"/>
      <c r="X16519" s="4"/>
      <c r="Y16519" s="4"/>
    </row>
    <row r="16520" spans="5:25">
      <c r="E16520"/>
      <c r="G16520"/>
      <c r="H16520"/>
      <c r="I16520"/>
      <c r="K16520"/>
      <c r="O16520"/>
      <c r="R16520"/>
      <c r="W16520" s="4"/>
      <c r="X16520" s="4"/>
      <c r="Y16520" s="4"/>
    </row>
    <row r="16521" spans="5:25">
      <c r="E16521"/>
      <c r="G16521"/>
      <c r="H16521"/>
      <c r="I16521"/>
      <c r="K16521"/>
      <c r="O16521"/>
      <c r="R16521"/>
      <c r="W16521" s="4"/>
      <c r="X16521" s="4"/>
      <c r="Y16521" s="4"/>
    </row>
    <row r="16522" spans="5:25">
      <c r="E16522"/>
      <c r="G16522"/>
      <c r="H16522"/>
      <c r="I16522"/>
      <c r="K16522"/>
      <c r="O16522"/>
      <c r="R16522"/>
      <c r="W16522" s="4"/>
      <c r="X16522" s="4"/>
      <c r="Y16522" s="4"/>
    </row>
    <row r="16523" spans="5:25">
      <c r="E16523"/>
      <c r="G16523"/>
      <c r="H16523"/>
      <c r="I16523"/>
      <c r="K16523"/>
      <c r="O16523"/>
      <c r="R16523"/>
      <c r="W16523" s="4"/>
      <c r="X16523" s="4"/>
      <c r="Y16523" s="4"/>
    </row>
    <row r="16524" spans="5:25">
      <c r="E16524"/>
      <c r="G16524"/>
      <c r="H16524"/>
      <c r="I16524"/>
      <c r="K16524"/>
      <c r="O16524"/>
      <c r="R16524"/>
      <c r="W16524" s="4"/>
      <c r="X16524" s="4"/>
      <c r="Y16524" s="4"/>
    </row>
    <row r="16525" spans="5:25">
      <c r="E16525"/>
      <c r="G16525"/>
      <c r="H16525"/>
      <c r="I16525"/>
      <c r="K16525"/>
      <c r="O16525"/>
      <c r="R16525"/>
      <c r="W16525" s="4"/>
      <c r="X16525" s="4"/>
      <c r="Y16525" s="4"/>
    </row>
    <row r="16526" spans="5:25">
      <c r="E16526"/>
      <c r="G16526"/>
      <c r="H16526"/>
      <c r="I16526"/>
      <c r="K16526"/>
      <c r="O16526"/>
      <c r="R16526"/>
      <c r="W16526" s="4"/>
      <c r="X16526" s="4"/>
      <c r="Y16526" s="4"/>
    </row>
    <row r="16527" spans="5:25">
      <c r="E16527"/>
      <c r="G16527"/>
      <c r="H16527"/>
      <c r="I16527"/>
      <c r="K16527"/>
      <c r="O16527"/>
      <c r="R16527"/>
      <c r="W16527" s="4"/>
      <c r="X16527" s="4"/>
      <c r="Y16527" s="4"/>
    </row>
    <row r="16528" spans="5:25">
      <c r="E16528"/>
      <c r="G16528"/>
      <c r="H16528"/>
      <c r="I16528"/>
      <c r="K16528"/>
      <c r="O16528"/>
      <c r="R16528"/>
      <c r="W16528" s="4"/>
      <c r="X16528" s="4"/>
      <c r="Y16528" s="4"/>
    </row>
    <row r="16529" spans="5:25">
      <c r="E16529"/>
      <c r="G16529"/>
      <c r="H16529"/>
      <c r="I16529"/>
      <c r="K16529"/>
      <c r="O16529"/>
      <c r="R16529"/>
      <c r="W16529" s="4"/>
      <c r="X16529" s="4"/>
      <c r="Y16529" s="4"/>
    </row>
    <row r="16530" spans="5:25">
      <c r="E16530"/>
      <c r="G16530"/>
      <c r="H16530"/>
      <c r="I16530"/>
      <c r="K16530"/>
      <c r="O16530"/>
      <c r="R16530"/>
      <c r="W16530" s="4"/>
      <c r="X16530" s="4"/>
      <c r="Y16530" s="4"/>
    </row>
    <row r="16531" spans="5:25">
      <c r="E16531"/>
      <c r="G16531"/>
      <c r="H16531"/>
      <c r="I16531"/>
      <c r="K16531"/>
      <c r="O16531"/>
      <c r="R16531"/>
      <c r="W16531" s="4"/>
      <c r="X16531" s="4"/>
      <c r="Y16531" s="4"/>
    </row>
    <row r="16532" spans="5:25">
      <c r="E16532"/>
      <c r="G16532"/>
      <c r="H16532"/>
      <c r="I16532"/>
      <c r="K16532"/>
      <c r="O16532"/>
      <c r="R16532"/>
      <c r="W16532" s="4"/>
      <c r="X16532" s="4"/>
      <c r="Y16532" s="4"/>
    </row>
    <row r="16533" spans="5:25">
      <c r="E16533"/>
      <c r="G16533"/>
      <c r="H16533"/>
      <c r="I16533"/>
      <c r="K16533"/>
      <c r="O16533"/>
      <c r="R16533"/>
      <c r="W16533" s="4"/>
      <c r="X16533" s="4"/>
      <c r="Y16533" s="4"/>
    </row>
    <row r="16534" spans="5:25">
      <c r="E16534"/>
      <c r="G16534"/>
      <c r="H16534"/>
      <c r="I16534"/>
      <c r="K16534"/>
      <c r="O16534"/>
      <c r="R16534"/>
      <c r="W16534" s="4"/>
      <c r="X16534" s="4"/>
      <c r="Y16534" s="4"/>
    </row>
    <row r="16535" spans="5:25">
      <c r="E16535"/>
      <c r="G16535"/>
      <c r="H16535"/>
      <c r="I16535"/>
      <c r="K16535"/>
      <c r="O16535"/>
      <c r="R16535"/>
      <c r="W16535" s="4"/>
      <c r="X16535" s="4"/>
      <c r="Y16535" s="4"/>
    </row>
    <row r="16536" spans="5:25">
      <c r="E16536"/>
      <c r="G16536"/>
      <c r="H16536"/>
      <c r="I16536"/>
      <c r="K16536"/>
      <c r="O16536"/>
      <c r="R16536"/>
      <c r="W16536" s="4"/>
      <c r="X16536" s="4"/>
      <c r="Y16536" s="4"/>
    </row>
    <row r="16537" spans="5:25">
      <c r="E16537"/>
      <c r="G16537"/>
      <c r="H16537"/>
      <c r="I16537"/>
      <c r="K16537"/>
      <c r="O16537"/>
      <c r="R16537"/>
      <c r="W16537" s="4"/>
      <c r="X16537" s="4"/>
      <c r="Y16537" s="4"/>
    </row>
    <row r="16538" spans="5:25">
      <c r="E16538"/>
      <c r="G16538"/>
      <c r="H16538"/>
      <c r="I16538"/>
      <c r="K16538"/>
      <c r="O16538"/>
      <c r="R16538"/>
      <c r="W16538" s="4"/>
      <c r="X16538" s="4"/>
      <c r="Y16538" s="4"/>
    </row>
    <row r="16539" spans="5:25">
      <c r="E16539"/>
      <c r="G16539"/>
      <c r="H16539"/>
      <c r="I16539"/>
      <c r="K16539"/>
      <c r="O16539"/>
      <c r="R16539"/>
      <c r="W16539" s="4"/>
      <c r="X16539" s="4"/>
      <c r="Y16539" s="4"/>
    </row>
    <row r="16540" spans="5:25">
      <c r="E16540"/>
      <c r="G16540"/>
      <c r="H16540"/>
      <c r="I16540"/>
      <c r="K16540"/>
      <c r="O16540"/>
      <c r="R16540"/>
      <c r="W16540" s="4"/>
      <c r="X16540" s="4"/>
      <c r="Y16540" s="4"/>
    </row>
    <row r="16541" spans="5:25">
      <c r="E16541"/>
      <c r="G16541"/>
      <c r="H16541"/>
      <c r="I16541"/>
      <c r="K16541"/>
      <c r="O16541"/>
      <c r="R16541"/>
      <c r="W16541" s="4"/>
      <c r="X16541" s="4"/>
      <c r="Y16541" s="4"/>
    </row>
    <row r="16542" spans="5:25">
      <c r="E16542"/>
      <c r="G16542"/>
      <c r="H16542"/>
      <c r="I16542"/>
      <c r="K16542"/>
      <c r="O16542"/>
      <c r="R16542"/>
      <c r="W16542" s="4"/>
      <c r="X16542" s="4"/>
      <c r="Y16542" s="4"/>
    </row>
    <row r="16543" spans="5:25">
      <c r="E16543"/>
      <c r="G16543"/>
      <c r="H16543"/>
      <c r="I16543"/>
      <c r="K16543"/>
      <c r="O16543"/>
      <c r="R16543"/>
      <c r="W16543" s="4"/>
      <c r="X16543" s="4"/>
      <c r="Y16543" s="4"/>
    </row>
    <row r="16544" spans="5:25">
      <c r="E16544"/>
      <c r="G16544"/>
      <c r="H16544"/>
      <c r="I16544"/>
      <c r="K16544"/>
      <c r="O16544"/>
      <c r="R16544"/>
      <c r="W16544" s="4"/>
      <c r="X16544" s="4"/>
      <c r="Y16544" s="4"/>
    </row>
    <row r="16545" spans="5:25">
      <c r="E16545"/>
      <c r="G16545"/>
      <c r="H16545"/>
      <c r="I16545"/>
      <c r="K16545"/>
      <c r="O16545"/>
      <c r="R16545"/>
      <c r="W16545" s="4"/>
      <c r="X16545" s="4"/>
      <c r="Y16545" s="4"/>
    </row>
    <row r="16546" spans="5:25">
      <c r="E16546"/>
      <c r="G16546"/>
      <c r="H16546"/>
      <c r="I16546"/>
      <c r="K16546"/>
      <c r="O16546"/>
      <c r="R16546"/>
      <c r="W16546" s="4"/>
      <c r="X16546" s="4"/>
      <c r="Y16546" s="4"/>
    </row>
    <row r="16547" spans="5:25">
      <c r="E16547"/>
      <c r="G16547"/>
      <c r="H16547"/>
      <c r="I16547"/>
      <c r="K16547"/>
      <c r="O16547"/>
      <c r="R16547"/>
      <c r="W16547" s="4"/>
      <c r="X16547" s="4"/>
      <c r="Y16547" s="4"/>
    </row>
    <row r="16548" spans="5:25">
      <c r="E16548"/>
      <c r="G16548"/>
      <c r="H16548"/>
      <c r="I16548"/>
      <c r="K16548"/>
      <c r="O16548"/>
      <c r="R16548"/>
      <c r="W16548" s="4"/>
      <c r="X16548" s="4"/>
      <c r="Y16548" s="4"/>
    </row>
    <row r="16549" spans="5:25">
      <c r="E16549"/>
      <c r="G16549"/>
      <c r="H16549"/>
      <c r="I16549"/>
      <c r="K16549"/>
      <c r="O16549"/>
      <c r="R16549"/>
      <c r="W16549" s="4"/>
      <c r="X16549" s="4"/>
      <c r="Y16549" s="4"/>
    </row>
    <row r="16550" spans="5:25">
      <c r="E16550"/>
      <c r="G16550"/>
      <c r="H16550"/>
      <c r="I16550"/>
      <c r="K16550"/>
      <c r="O16550"/>
      <c r="R16550"/>
      <c r="W16550" s="4"/>
      <c r="X16550" s="4"/>
      <c r="Y16550" s="4"/>
    </row>
    <row r="16551" spans="5:25">
      <c r="E16551"/>
      <c r="G16551"/>
      <c r="H16551"/>
      <c r="I16551"/>
      <c r="K16551"/>
      <c r="O16551"/>
      <c r="R16551"/>
      <c r="W16551" s="4"/>
      <c r="X16551" s="4"/>
      <c r="Y16551" s="4"/>
    </row>
    <row r="16552" spans="5:25">
      <c r="E16552"/>
      <c r="G16552"/>
      <c r="H16552"/>
      <c r="I16552"/>
      <c r="K16552"/>
      <c r="O16552"/>
      <c r="R16552"/>
      <c r="W16552" s="4"/>
      <c r="X16552" s="4"/>
      <c r="Y16552" s="4"/>
    </row>
    <row r="16553" spans="5:25">
      <c r="E16553"/>
      <c r="G16553"/>
      <c r="H16553"/>
      <c r="I16553"/>
      <c r="K16553"/>
      <c r="O16553"/>
      <c r="R16553"/>
      <c r="W16553" s="4"/>
      <c r="X16553" s="4"/>
      <c r="Y16553" s="4"/>
    </row>
    <row r="16554" spans="5:25">
      <c r="E16554"/>
      <c r="G16554"/>
      <c r="H16554"/>
      <c r="I16554"/>
      <c r="K16554"/>
      <c r="O16554"/>
      <c r="R16554"/>
      <c r="W16554" s="4"/>
      <c r="X16554" s="4"/>
      <c r="Y16554" s="4"/>
    </row>
    <row r="16555" spans="5:25">
      <c r="E16555"/>
      <c r="G16555"/>
      <c r="H16555"/>
      <c r="I16555"/>
      <c r="K16555"/>
      <c r="O16555"/>
      <c r="R16555"/>
      <c r="W16555" s="4"/>
      <c r="X16555" s="4"/>
      <c r="Y16555" s="4"/>
    </row>
    <row r="16556" spans="5:25">
      <c r="E16556"/>
      <c r="G16556"/>
      <c r="H16556"/>
      <c r="I16556"/>
      <c r="K16556"/>
      <c r="O16556"/>
      <c r="R16556"/>
      <c r="W16556" s="4"/>
      <c r="X16556" s="4"/>
      <c r="Y16556" s="4"/>
    </row>
    <row r="16557" spans="5:25">
      <c r="E16557"/>
      <c r="G16557"/>
      <c r="H16557"/>
      <c r="I16557"/>
      <c r="K16557"/>
      <c r="O16557"/>
      <c r="R16557"/>
      <c r="W16557" s="4"/>
      <c r="X16557" s="4"/>
      <c r="Y16557" s="4"/>
    </row>
    <row r="16558" spans="5:25">
      <c r="E16558"/>
      <c r="G16558"/>
      <c r="H16558"/>
      <c r="I16558"/>
      <c r="K16558"/>
      <c r="O16558"/>
      <c r="R16558"/>
      <c r="W16558" s="4"/>
      <c r="X16558" s="4"/>
      <c r="Y16558" s="4"/>
    </row>
    <row r="16559" spans="5:25">
      <c r="E16559"/>
      <c r="G16559"/>
      <c r="H16559"/>
      <c r="I16559"/>
      <c r="K16559"/>
      <c r="O16559"/>
      <c r="R16559"/>
      <c r="W16559" s="4"/>
      <c r="X16559" s="4"/>
      <c r="Y16559" s="4"/>
    </row>
    <row r="16560" spans="5:25">
      <c r="E16560"/>
      <c r="G16560"/>
      <c r="H16560"/>
      <c r="I16560"/>
      <c r="K16560"/>
      <c r="O16560"/>
      <c r="R16560"/>
      <c r="W16560" s="4"/>
      <c r="X16560" s="4"/>
      <c r="Y16560" s="4"/>
    </row>
    <row r="16561" spans="5:25">
      <c r="E16561"/>
      <c r="G16561"/>
      <c r="H16561"/>
      <c r="I16561"/>
      <c r="K16561"/>
      <c r="O16561"/>
      <c r="R16561"/>
      <c r="W16561" s="4"/>
      <c r="X16561" s="4"/>
      <c r="Y16561" s="4"/>
    </row>
    <row r="16562" spans="5:25">
      <c r="E16562"/>
      <c r="G16562"/>
      <c r="H16562"/>
      <c r="I16562"/>
      <c r="K16562"/>
      <c r="O16562"/>
      <c r="R16562"/>
      <c r="W16562" s="4"/>
      <c r="X16562" s="4"/>
      <c r="Y16562" s="4"/>
    </row>
    <row r="16563" spans="5:25">
      <c r="E16563"/>
      <c r="G16563"/>
      <c r="H16563"/>
      <c r="I16563"/>
      <c r="K16563"/>
      <c r="O16563"/>
      <c r="R16563"/>
      <c r="W16563" s="4"/>
      <c r="X16563" s="4"/>
      <c r="Y16563" s="4"/>
    </row>
    <row r="16564" spans="5:25">
      <c r="E16564"/>
      <c r="G16564"/>
      <c r="H16564"/>
      <c r="I16564"/>
      <c r="K16564"/>
      <c r="O16564"/>
      <c r="R16564"/>
      <c r="W16564" s="4"/>
      <c r="X16564" s="4"/>
      <c r="Y16564" s="4"/>
    </row>
    <row r="16565" spans="5:25">
      <c r="E16565"/>
      <c r="G16565"/>
      <c r="H16565"/>
      <c r="I16565"/>
      <c r="K16565"/>
      <c r="O16565"/>
      <c r="R16565"/>
      <c r="W16565" s="4"/>
      <c r="X16565" s="4"/>
      <c r="Y16565" s="4"/>
    </row>
    <row r="16566" spans="5:25">
      <c r="E16566"/>
      <c r="G16566"/>
      <c r="H16566"/>
      <c r="I16566"/>
      <c r="K16566"/>
      <c r="O16566"/>
      <c r="R16566"/>
      <c r="W16566" s="4"/>
      <c r="X16566" s="4"/>
      <c r="Y16566" s="4"/>
    </row>
    <row r="16567" spans="5:25">
      <c r="E16567"/>
      <c r="G16567"/>
      <c r="H16567"/>
      <c r="I16567"/>
      <c r="K16567"/>
      <c r="O16567"/>
      <c r="R16567"/>
      <c r="W16567" s="4"/>
      <c r="X16567" s="4"/>
      <c r="Y16567" s="4"/>
    </row>
    <row r="16568" spans="5:25">
      <c r="E16568"/>
      <c r="G16568"/>
      <c r="H16568"/>
      <c r="I16568"/>
      <c r="K16568"/>
      <c r="O16568"/>
      <c r="R16568"/>
      <c r="W16568" s="4"/>
      <c r="X16568" s="4"/>
      <c r="Y16568" s="4"/>
    </row>
    <row r="16569" spans="5:25">
      <c r="E16569"/>
      <c r="G16569"/>
      <c r="H16569"/>
      <c r="I16569"/>
      <c r="K16569"/>
      <c r="O16569"/>
      <c r="R16569"/>
      <c r="W16569" s="4"/>
      <c r="X16569" s="4"/>
      <c r="Y16569" s="4"/>
    </row>
    <row r="16570" spans="5:25">
      <c r="E16570"/>
      <c r="G16570"/>
      <c r="H16570"/>
      <c r="I16570"/>
      <c r="K16570"/>
      <c r="O16570"/>
      <c r="R16570"/>
      <c r="W16570" s="4"/>
      <c r="X16570" s="4"/>
      <c r="Y16570" s="4"/>
    </row>
    <row r="16571" spans="5:25">
      <c r="E16571"/>
      <c r="G16571"/>
      <c r="H16571"/>
      <c r="I16571"/>
      <c r="K16571"/>
      <c r="O16571"/>
      <c r="R16571"/>
      <c r="W16571" s="4"/>
      <c r="X16571" s="4"/>
      <c r="Y16571" s="4"/>
    </row>
    <row r="16572" spans="5:25">
      <c r="E16572"/>
      <c r="G16572"/>
      <c r="H16572"/>
      <c r="I16572"/>
      <c r="K16572"/>
      <c r="O16572"/>
      <c r="R16572"/>
      <c r="W16572" s="4"/>
      <c r="X16572" s="4"/>
      <c r="Y16572" s="4"/>
    </row>
    <row r="16573" spans="5:25">
      <c r="E16573"/>
      <c r="G16573"/>
      <c r="H16573"/>
      <c r="I16573"/>
      <c r="K16573"/>
      <c r="O16573"/>
      <c r="R16573"/>
      <c r="W16573" s="4"/>
      <c r="X16573" s="4"/>
      <c r="Y16573" s="4"/>
    </row>
    <row r="16574" spans="5:25">
      <c r="E16574"/>
      <c r="G16574"/>
      <c r="H16574"/>
      <c r="I16574"/>
      <c r="K16574"/>
      <c r="O16574"/>
      <c r="R16574"/>
      <c r="W16574" s="4"/>
      <c r="X16574" s="4"/>
      <c r="Y16574" s="4"/>
    </row>
    <row r="16575" spans="5:25">
      <c r="E16575"/>
      <c r="G16575"/>
      <c r="H16575"/>
      <c r="I16575"/>
      <c r="K16575"/>
      <c r="O16575"/>
      <c r="R16575"/>
      <c r="W16575" s="4"/>
      <c r="X16575" s="4"/>
      <c r="Y16575" s="4"/>
    </row>
    <row r="16576" spans="5:25">
      <c r="E16576"/>
      <c r="G16576"/>
      <c r="H16576"/>
      <c r="I16576"/>
      <c r="K16576"/>
      <c r="O16576"/>
      <c r="R16576"/>
      <c r="W16576" s="4"/>
      <c r="X16576" s="4"/>
      <c r="Y16576" s="4"/>
    </row>
    <row r="16577" spans="5:25">
      <c r="E16577"/>
      <c r="G16577"/>
      <c r="H16577"/>
      <c r="I16577"/>
      <c r="K16577"/>
      <c r="O16577"/>
      <c r="R16577"/>
      <c r="W16577" s="4"/>
      <c r="X16577" s="4"/>
      <c r="Y16577" s="4"/>
    </row>
    <row r="16578" spans="5:25">
      <c r="E16578"/>
      <c r="G16578"/>
      <c r="H16578"/>
      <c r="I16578"/>
      <c r="K16578"/>
      <c r="O16578"/>
      <c r="R16578"/>
      <c r="W16578" s="4"/>
      <c r="X16578" s="4"/>
      <c r="Y16578" s="4"/>
    </row>
    <row r="16579" spans="5:25">
      <c r="E16579"/>
      <c r="G16579"/>
      <c r="H16579"/>
      <c r="I16579"/>
      <c r="K16579"/>
      <c r="O16579"/>
      <c r="R16579"/>
      <c r="W16579" s="4"/>
      <c r="X16579" s="4"/>
      <c r="Y16579" s="4"/>
    </row>
    <row r="16580" spans="5:25">
      <c r="E16580"/>
      <c r="G16580"/>
      <c r="H16580"/>
      <c r="I16580"/>
      <c r="K16580"/>
      <c r="O16580"/>
      <c r="R16580"/>
      <c r="W16580" s="4"/>
      <c r="X16580" s="4"/>
      <c r="Y16580" s="4"/>
    </row>
    <row r="16581" spans="5:25">
      <c r="E16581"/>
      <c r="G16581"/>
      <c r="H16581"/>
      <c r="I16581"/>
      <c r="K16581"/>
      <c r="O16581"/>
      <c r="R16581"/>
      <c r="W16581" s="4"/>
      <c r="X16581" s="4"/>
      <c r="Y16581" s="4"/>
    </row>
    <row r="16582" spans="5:25">
      <c r="E16582"/>
      <c r="G16582"/>
      <c r="H16582"/>
      <c r="I16582"/>
      <c r="K16582"/>
      <c r="O16582"/>
      <c r="R16582"/>
      <c r="W16582" s="4"/>
      <c r="X16582" s="4"/>
      <c r="Y16582" s="4"/>
    </row>
    <row r="16583" spans="5:25">
      <c r="E16583"/>
      <c r="G16583"/>
      <c r="H16583"/>
      <c r="I16583"/>
      <c r="K16583"/>
      <c r="O16583"/>
      <c r="R16583"/>
      <c r="W16583" s="4"/>
      <c r="X16583" s="4"/>
      <c r="Y16583" s="4"/>
    </row>
    <row r="16584" spans="5:25">
      <c r="E16584"/>
      <c r="G16584"/>
      <c r="H16584"/>
      <c r="I16584"/>
      <c r="K16584"/>
      <c r="O16584"/>
      <c r="R16584"/>
      <c r="W16584" s="4"/>
      <c r="X16584" s="4"/>
      <c r="Y16584" s="4"/>
    </row>
    <row r="16585" spans="5:25">
      <c r="E16585"/>
      <c r="G16585"/>
      <c r="H16585"/>
      <c r="I16585"/>
      <c r="K16585"/>
      <c r="O16585"/>
      <c r="R16585"/>
      <c r="W16585" s="4"/>
      <c r="X16585" s="4"/>
      <c r="Y16585" s="4"/>
    </row>
    <row r="16586" spans="5:25">
      <c r="E16586"/>
      <c r="G16586"/>
      <c r="H16586"/>
      <c r="I16586"/>
      <c r="K16586"/>
      <c r="O16586"/>
      <c r="R16586"/>
      <c r="W16586" s="4"/>
      <c r="X16586" s="4"/>
      <c r="Y16586" s="4"/>
    </row>
    <row r="16587" spans="5:25">
      <c r="E16587"/>
      <c r="G16587"/>
      <c r="H16587"/>
      <c r="I16587"/>
      <c r="K16587"/>
      <c r="O16587"/>
      <c r="R16587"/>
      <c r="W16587" s="4"/>
      <c r="X16587" s="4"/>
      <c r="Y16587" s="4"/>
    </row>
    <row r="16588" spans="5:25">
      <c r="E16588"/>
      <c r="G16588"/>
      <c r="H16588"/>
      <c r="I16588"/>
      <c r="K16588"/>
      <c r="O16588"/>
      <c r="R16588"/>
      <c r="W16588" s="4"/>
      <c r="X16588" s="4"/>
      <c r="Y16588" s="4"/>
    </row>
    <row r="16589" spans="5:25">
      <c r="E16589"/>
      <c r="G16589"/>
      <c r="H16589"/>
      <c r="I16589"/>
      <c r="K16589"/>
      <c r="O16589"/>
      <c r="R16589"/>
      <c r="W16589" s="4"/>
      <c r="X16589" s="4"/>
      <c r="Y16589" s="4"/>
    </row>
    <row r="16590" spans="5:25">
      <c r="E16590"/>
      <c r="G16590"/>
      <c r="H16590"/>
      <c r="I16590"/>
      <c r="K16590"/>
      <c r="O16590"/>
      <c r="R16590"/>
      <c r="W16590" s="4"/>
      <c r="X16590" s="4"/>
      <c r="Y16590" s="4"/>
    </row>
    <row r="16591" spans="5:25">
      <c r="E16591"/>
      <c r="G16591"/>
      <c r="H16591"/>
      <c r="I16591"/>
      <c r="K16591"/>
      <c r="O16591"/>
      <c r="R16591"/>
      <c r="W16591" s="4"/>
      <c r="X16591" s="4"/>
      <c r="Y16591" s="4"/>
    </row>
    <row r="16592" spans="5:25">
      <c r="E16592"/>
      <c r="G16592"/>
      <c r="H16592"/>
      <c r="I16592"/>
      <c r="K16592"/>
      <c r="O16592"/>
      <c r="R16592"/>
      <c r="W16592" s="4"/>
      <c r="X16592" s="4"/>
      <c r="Y16592" s="4"/>
    </row>
    <row r="16593" spans="5:25">
      <c r="E16593"/>
      <c r="G16593"/>
      <c r="H16593"/>
      <c r="I16593"/>
      <c r="K16593"/>
      <c r="O16593"/>
      <c r="R16593"/>
      <c r="W16593" s="4"/>
      <c r="X16593" s="4"/>
      <c r="Y16593" s="4"/>
    </row>
    <row r="16594" spans="5:25">
      <c r="E16594"/>
      <c r="G16594"/>
      <c r="H16594"/>
      <c r="I16594"/>
      <c r="K16594"/>
      <c r="O16594"/>
      <c r="R16594"/>
      <c r="W16594" s="4"/>
      <c r="X16594" s="4"/>
      <c r="Y16594" s="4"/>
    </row>
    <row r="16595" spans="5:25">
      <c r="E16595"/>
      <c r="G16595"/>
      <c r="H16595"/>
      <c r="I16595"/>
      <c r="K16595"/>
      <c r="O16595"/>
      <c r="R16595"/>
      <c r="W16595" s="4"/>
      <c r="X16595" s="4"/>
      <c r="Y16595" s="4"/>
    </row>
    <row r="16596" spans="5:25">
      <c r="E16596"/>
      <c r="G16596"/>
      <c r="H16596"/>
      <c r="I16596"/>
      <c r="K16596"/>
      <c r="O16596"/>
      <c r="R16596"/>
      <c r="W16596" s="4"/>
      <c r="X16596" s="4"/>
      <c r="Y16596" s="4"/>
    </row>
    <row r="16597" spans="5:25">
      <c r="E16597"/>
      <c r="G16597"/>
      <c r="H16597"/>
      <c r="I16597"/>
      <c r="K16597"/>
      <c r="O16597"/>
      <c r="R16597"/>
      <c r="W16597" s="4"/>
      <c r="X16597" s="4"/>
      <c r="Y16597" s="4"/>
    </row>
    <row r="16598" spans="5:25">
      <c r="E16598"/>
      <c r="G16598"/>
      <c r="H16598"/>
      <c r="I16598"/>
      <c r="K16598"/>
      <c r="O16598"/>
      <c r="R16598"/>
      <c r="W16598" s="4"/>
      <c r="X16598" s="4"/>
      <c r="Y16598" s="4"/>
    </row>
    <row r="16599" spans="5:25">
      <c r="E16599"/>
      <c r="G16599"/>
      <c r="H16599"/>
      <c r="I16599"/>
      <c r="K16599"/>
      <c r="O16599"/>
      <c r="R16599"/>
      <c r="W16599" s="4"/>
      <c r="X16599" s="4"/>
      <c r="Y16599" s="4"/>
    </row>
    <row r="16600" spans="5:25">
      <c r="E16600"/>
      <c r="G16600"/>
      <c r="H16600"/>
      <c r="I16600"/>
      <c r="K16600"/>
      <c r="O16600"/>
      <c r="R16600"/>
      <c r="W16600" s="4"/>
      <c r="X16600" s="4"/>
      <c r="Y16600" s="4"/>
    </row>
    <row r="16601" spans="5:25">
      <c r="E16601"/>
      <c r="G16601"/>
      <c r="H16601"/>
      <c r="I16601"/>
      <c r="K16601"/>
      <c r="O16601"/>
      <c r="R16601"/>
      <c r="W16601" s="4"/>
      <c r="X16601" s="4"/>
      <c r="Y16601" s="4"/>
    </row>
    <row r="16602" spans="5:25">
      <c r="E16602"/>
      <c r="G16602"/>
      <c r="H16602"/>
      <c r="I16602"/>
      <c r="K16602"/>
      <c r="O16602"/>
      <c r="R16602"/>
      <c r="W16602" s="4"/>
      <c r="X16602" s="4"/>
      <c r="Y16602" s="4"/>
    </row>
    <row r="16603" spans="5:25">
      <c r="E16603"/>
      <c r="G16603"/>
      <c r="H16603"/>
      <c r="I16603"/>
      <c r="K16603"/>
      <c r="O16603"/>
      <c r="R16603"/>
      <c r="W16603" s="4"/>
      <c r="X16603" s="4"/>
      <c r="Y16603" s="4"/>
    </row>
    <row r="16604" spans="5:25">
      <c r="E16604"/>
      <c r="G16604"/>
      <c r="H16604"/>
      <c r="I16604"/>
      <c r="K16604"/>
      <c r="O16604"/>
      <c r="R16604"/>
      <c r="W16604" s="4"/>
      <c r="X16604" s="4"/>
      <c r="Y16604" s="4"/>
    </row>
    <row r="16605" spans="5:25">
      <c r="E16605"/>
      <c r="G16605"/>
      <c r="H16605"/>
      <c r="I16605"/>
      <c r="K16605"/>
      <c r="O16605"/>
      <c r="R16605"/>
      <c r="W16605" s="4"/>
      <c r="X16605" s="4"/>
      <c r="Y16605" s="4"/>
    </row>
    <row r="16606" spans="5:25">
      <c r="E16606"/>
      <c r="G16606"/>
      <c r="H16606"/>
      <c r="I16606"/>
      <c r="K16606"/>
      <c r="O16606"/>
      <c r="R16606"/>
      <c r="W16606" s="4"/>
      <c r="X16606" s="4"/>
      <c r="Y16606" s="4"/>
    </row>
    <row r="16607" spans="5:25">
      <c r="E16607"/>
      <c r="G16607"/>
      <c r="H16607"/>
      <c r="I16607"/>
      <c r="K16607"/>
      <c r="O16607"/>
      <c r="R16607"/>
      <c r="W16607" s="4"/>
      <c r="X16607" s="4"/>
      <c r="Y16607" s="4"/>
    </row>
    <row r="16608" spans="5:25">
      <c r="E16608"/>
      <c r="G16608"/>
      <c r="H16608"/>
      <c r="I16608"/>
      <c r="K16608"/>
      <c r="O16608"/>
      <c r="R16608"/>
      <c r="W16608" s="4"/>
      <c r="X16608" s="4"/>
      <c r="Y16608" s="4"/>
    </row>
    <row r="16609" spans="5:25">
      <c r="E16609"/>
      <c r="G16609"/>
      <c r="H16609"/>
      <c r="I16609"/>
      <c r="K16609"/>
      <c r="O16609"/>
      <c r="R16609"/>
      <c r="W16609" s="4"/>
      <c r="X16609" s="4"/>
      <c r="Y16609" s="4"/>
    </row>
    <row r="16610" spans="5:25">
      <c r="E16610"/>
      <c r="G16610"/>
      <c r="H16610"/>
      <c r="I16610"/>
      <c r="K16610"/>
      <c r="O16610"/>
      <c r="R16610"/>
      <c r="W16610" s="4"/>
      <c r="X16610" s="4"/>
      <c r="Y16610" s="4"/>
    </row>
    <row r="16611" spans="5:25">
      <c r="E16611"/>
      <c r="G16611"/>
      <c r="H16611"/>
      <c r="I16611"/>
      <c r="K16611"/>
      <c r="O16611"/>
      <c r="R16611"/>
      <c r="W16611" s="4"/>
      <c r="X16611" s="4"/>
      <c r="Y16611" s="4"/>
    </row>
    <row r="16612" spans="5:25">
      <c r="E16612"/>
      <c r="G16612"/>
      <c r="H16612"/>
      <c r="I16612"/>
      <c r="K16612"/>
      <c r="O16612"/>
      <c r="R16612"/>
      <c r="W16612" s="4"/>
      <c r="X16612" s="4"/>
      <c r="Y16612" s="4"/>
    </row>
    <row r="16613" spans="5:25">
      <c r="E16613"/>
      <c r="G16613"/>
      <c r="H16613"/>
      <c r="I16613"/>
      <c r="K16613"/>
      <c r="O16613"/>
      <c r="R16613"/>
      <c r="W16613" s="4"/>
      <c r="X16613" s="4"/>
      <c r="Y16613" s="4"/>
    </row>
    <row r="16614" spans="5:25">
      <c r="E16614"/>
      <c r="G16614"/>
      <c r="H16614"/>
      <c r="I16614"/>
      <c r="K16614"/>
      <c r="O16614"/>
      <c r="R16614"/>
      <c r="W16614" s="4"/>
      <c r="X16614" s="4"/>
      <c r="Y16614" s="4"/>
    </row>
    <row r="16615" spans="5:25">
      <c r="E16615"/>
      <c r="G16615"/>
      <c r="H16615"/>
      <c r="I16615"/>
      <c r="K16615"/>
      <c r="O16615"/>
      <c r="R16615"/>
      <c r="W16615" s="4"/>
      <c r="X16615" s="4"/>
      <c r="Y16615" s="4"/>
    </row>
    <row r="16616" spans="5:25">
      <c r="E16616"/>
      <c r="G16616"/>
      <c r="H16616"/>
      <c r="I16616"/>
      <c r="K16616"/>
      <c r="O16616"/>
      <c r="R16616"/>
      <c r="W16616" s="4"/>
      <c r="X16616" s="4"/>
      <c r="Y16616" s="4"/>
    </row>
    <row r="16617" spans="5:25">
      <c r="E16617"/>
      <c r="G16617"/>
      <c r="H16617"/>
      <c r="I16617"/>
      <c r="K16617"/>
      <c r="O16617"/>
      <c r="R16617"/>
      <c r="W16617" s="4"/>
      <c r="X16617" s="4"/>
      <c r="Y16617" s="4"/>
    </row>
    <row r="16618" spans="5:25">
      <c r="E16618"/>
      <c r="G16618"/>
      <c r="H16618"/>
      <c r="I16618"/>
      <c r="K16618"/>
      <c r="O16618"/>
      <c r="R16618"/>
      <c r="W16618" s="4"/>
      <c r="X16618" s="4"/>
      <c r="Y16618" s="4"/>
    </row>
    <row r="16619" spans="5:25">
      <c r="E16619"/>
      <c r="G16619"/>
      <c r="H16619"/>
      <c r="I16619"/>
      <c r="K16619"/>
      <c r="O16619"/>
      <c r="R16619"/>
      <c r="W16619" s="4"/>
      <c r="X16619" s="4"/>
      <c r="Y16619" s="4"/>
    </row>
    <row r="16620" spans="5:25">
      <c r="E16620"/>
      <c r="G16620"/>
      <c r="H16620"/>
      <c r="I16620"/>
      <c r="K16620"/>
      <c r="O16620"/>
      <c r="R16620"/>
      <c r="W16620" s="4"/>
      <c r="X16620" s="4"/>
      <c r="Y16620" s="4"/>
    </row>
    <row r="16621" spans="5:25">
      <c r="E16621"/>
      <c r="G16621"/>
      <c r="H16621"/>
      <c r="I16621"/>
      <c r="K16621"/>
      <c r="O16621"/>
      <c r="R16621"/>
      <c r="W16621" s="4"/>
      <c r="X16621" s="4"/>
      <c r="Y16621" s="4"/>
    </row>
    <row r="16622" spans="5:25">
      <c r="E16622"/>
      <c r="G16622"/>
      <c r="H16622"/>
      <c r="I16622"/>
      <c r="K16622"/>
      <c r="O16622"/>
      <c r="R16622"/>
      <c r="W16622" s="4"/>
      <c r="X16622" s="4"/>
      <c r="Y16622" s="4"/>
    </row>
    <row r="16623" spans="5:25">
      <c r="E16623"/>
      <c r="G16623"/>
      <c r="H16623"/>
      <c r="I16623"/>
      <c r="K16623"/>
      <c r="O16623"/>
      <c r="R16623"/>
      <c r="W16623" s="4"/>
      <c r="X16623" s="4"/>
      <c r="Y16623" s="4"/>
    </row>
    <row r="16624" spans="5:25">
      <c r="E16624"/>
      <c r="G16624"/>
      <c r="H16624"/>
      <c r="I16624"/>
      <c r="K16624"/>
      <c r="O16624"/>
      <c r="R16624"/>
      <c r="W16624" s="4"/>
      <c r="X16624" s="4"/>
      <c r="Y16624" s="4"/>
    </row>
    <row r="16625" spans="5:25">
      <c r="E16625"/>
      <c r="G16625"/>
      <c r="H16625"/>
      <c r="I16625"/>
      <c r="K16625"/>
      <c r="O16625"/>
      <c r="R16625"/>
      <c r="W16625" s="4"/>
      <c r="X16625" s="4"/>
      <c r="Y16625" s="4"/>
    </row>
    <row r="16626" spans="5:25">
      <c r="E16626"/>
      <c r="G16626"/>
      <c r="H16626"/>
      <c r="I16626"/>
      <c r="K16626"/>
      <c r="O16626"/>
      <c r="R16626"/>
      <c r="W16626" s="4"/>
      <c r="X16626" s="4"/>
      <c r="Y16626" s="4"/>
    </row>
    <row r="16627" spans="5:25">
      <c r="E16627"/>
      <c r="G16627"/>
      <c r="H16627"/>
      <c r="I16627"/>
      <c r="K16627"/>
      <c r="O16627"/>
      <c r="R16627"/>
      <c r="W16627" s="4"/>
      <c r="X16627" s="4"/>
      <c r="Y16627" s="4"/>
    </row>
    <row r="16628" spans="5:25">
      <c r="E16628"/>
      <c r="G16628"/>
      <c r="H16628"/>
      <c r="I16628"/>
      <c r="K16628"/>
      <c r="O16628"/>
      <c r="R16628"/>
      <c r="W16628" s="4"/>
      <c r="X16628" s="4"/>
      <c r="Y16628" s="4"/>
    </row>
    <row r="16629" spans="5:25">
      <c r="E16629"/>
      <c r="G16629"/>
      <c r="H16629"/>
      <c r="I16629"/>
      <c r="K16629"/>
      <c r="O16629"/>
      <c r="R16629"/>
      <c r="W16629" s="4"/>
      <c r="X16629" s="4"/>
      <c r="Y16629" s="4"/>
    </row>
    <row r="16630" spans="5:25">
      <c r="E16630"/>
      <c r="G16630"/>
      <c r="H16630"/>
      <c r="I16630"/>
      <c r="K16630"/>
      <c r="O16630"/>
      <c r="R16630"/>
      <c r="W16630" s="4"/>
      <c r="X16630" s="4"/>
      <c r="Y16630" s="4"/>
    </row>
    <row r="16631" spans="5:25">
      <c r="E16631"/>
      <c r="G16631"/>
      <c r="H16631"/>
      <c r="I16631"/>
      <c r="K16631"/>
      <c r="O16631"/>
      <c r="R16631"/>
      <c r="W16631" s="4"/>
      <c r="X16631" s="4"/>
      <c r="Y16631" s="4"/>
    </row>
    <row r="16632" spans="5:25">
      <c r="E16632"/>
      <c r="G16632"/>
      <c r="H16632"/>
      <c r="I16632"/>
      <c r="K16632"/>
      <c r="O16632"/>
      <c r="R16632"/>
      <c r="W16632" s="4"/>
      <c r="X16632" s="4"/>
      <c r="Y16632" s="4"/>
    </row>
    <row r="16633" spans="5:25">
      <c r="E16633"/>
      <c r="G16633"/>
      <c r="H16633"/>
      <c r="I16633"/>
      <c r="K16633"/>
      <c r="O16633"/>
      <c r="R16633"/>
      <c r="W16633" s="4"/>
      <c r="X16633" s="4"/>
      <c r="Y16633" s="4"/>
    </row>
    <row r="16634" spans="5:25">
      <c r="E16634"/>
      <c r="G16634"/>
      <c r="H16634"/>
      <c r="I16634"/>
      <c r="K16634"/>
      <c r="O16634"/>
      <c r="R16634"/>
      <c r="W16634" s="4"/>
      <c r="X16634" s="4"/>
      <c r="Y16634" s="4"/>
    </row>
    <row r="16635" spans="5:25">
      <c r="E16635"/>
      <c r="G16635"/>
      <c r="H16635"/>
      <c r="I16635"/>
      <c r="K16635"/>
      <c r="O16635"/>
      <c r="R16635"/>
      <c r="W16635" s="4"/>
      <c r="X16635" s="4"/>
      <c r="Y16635" s="4"/>
    </row>
    <row r="16636" spans="5:25">
      <c r="E16636"/>
      <c r="G16636"/>
      <c r="H16636"/>
      <c r="I16636"/>
      <c r="K16636"/>
      <c r="O16636"/>
      <c r="R16636"/>
      <c r="W16636" s="4"/>
      <c r="X16636" s="4"/>
      <c r="Y16636" s="4"/>
    </row>
    <row r="16637" spans="5:25">
      <c r="E16637"/>
      <c r="G16637"/>
      <c r="H16637"/>
      <c r="I16637"/>
      <c r="K16637"/>
      <c r="O16637"/>
      <c r="R16637"/>
      <c r="W16637" s="4"/>
      <c r="X16637" s="4"/>
      <c r="Y16637" s="4"/>
    </row>
    <row r="16638" spans="5:25">
      <c r="E16638"/>
      <c r="G16638"/>
      <c r="H16638"/>
      <c r="I16638"/>
      <c r="K16638"/>
      <c r="O16638"/>
      <c r="R16638"/>
      <c r="W16638" s="4"/>
      <c r="X16638" s="4"/>
      <c r="Y16638" s="4"/>
    </row>
    <row r="16639" spans="5:25">
      <c r="E16639"/>
      <c r="G16639"/>
      <c r="H16639"/>
      <c r="I16639"/>
      <c r="K16639"/>
      <c r="O16639"/>
      <c r="R16639"/>
      <c r="W16639" s="4"/>
      <c r="X16639" s="4"/>
      <c r="Y16639" s="4"/>
    </row>
    <row r="16640" spans="5:25">
      <c r="E16640"/>
      <c r="G16640"/>
      <c r="H16640"/>
      <c r="I16640"/>
      <c r="K16640"/>
      <c r="O16640"/>
      <c r="R16640"/>
      <c r="W16640" s="4"/>
      <c r="X16640" s="4"/>
      <c r="Y16640" s="4"/>
    </row>
    <row r="16641" spans="5:25">
      <c r="E16641"/>
      <c r="G16641"/>
      <c r="H16641"/>
      <c r="I16641"/>
      <c r="K16641"/>
      <c r="O16641"/>
      <c r="R16641"/>
      <c r="W16641" s="4"/>
      <c r="X16641" s="4"/>
      <c r="Y16641" s="4"/>
    </row>
    <row r="16642" spans="5:25">
      <c r="E16642"/>
      <c r="G16642"/>
      <c r="H16642"/>
      <c r="I16642"/>
      <c r="K16642"/>
      <c r="O16642"/>
      <c r="R16642"/>
      <c r="W16642" s="4"/>
      <c r="X16642" s="4"/>
      <c r="Y16642" s="4"/>
    </row>
    <row r="16643" spans="5:25">
      <c r="E16643"/>
      <c r="G16643"/>
      <c r="H16643"/>
      <c r="I16643"/>
      <c r="K16643"/>
      <c r="O16643"/>
      <c r="R16643"/>
      <c r="W16643" s="4"/>
      <c r="X16643" s="4"/>
      <c r="Y16643" s="4"/>
    </row>
    <row r="16644" spans="5:25">
      <c r="E16644"/>
      <c r="G16644"/>
      <c r="H16644"/>
      <c r="I16644"/>
      <c r="K16644"/>
      <c r="O16644"/>
      <c r="R16644"/>
      <c r="W16644" s="4"/>
      <c r="X16644" s="4"/>
      <c r="Y16644" s="4"/>
    </row>
    <row r="16645" spans="5:25">
      <c r="E16645"/>
      <c r="G16645"/>
      <c r="H16645"/>
      <c r="I16645"/>
      <c r="K16645"/>
      <c r="O16645"/>
      <c r="R16645"/>
      <c r="W16645" s="4"/>
      <c r="X16645" s="4"/>
      <c r="Y16645" s="4"/>
    </row>
    <row r="16646" spans="5:25">
      <c r="E16646"/>
      <c r="G16646"/>
      <c r="H16646"/>
      <c r="I16646"/>
      <c r="K16646"/>
      <c r="O16646"/>
      <c r="R16646"/>
      <c r="W16646" s="4"/>
      <c r="X16646" s="4"/>
      <c r="Y16646" s="4"/>
    </row>
    <row r="16647" spans="5:25">
      <c r="E16647"/>
      <c r="G16647"/>
      <c r="H16647"/>
      <c r="I16647"/>
      <c r="K16647"/>
      <c r="O16647"/>
      <c r="R16647"/>
      <c r="W16647" s="4"/>
      <c r="X16647" s="4"/>
      <c r="Y16647" s="4"/>
    </row>
    <row r="16648" spans="5:25">
      <c r="E16648"/>
      <c r="G16648"/>
      <c r="H16648"/>
      <c r="I16648"/>
      <c r="K16648"/>
      <c r="O16648"/>
      <c r="R16648"/>
      <c r="W16648" s="4"/>
      <c r="X16648" s="4"/>
      <c r="Y16648" s="4"/>
    </row>
    <row r="16649" spans="5:25">
      <c r="E16649"/>
      <c r="G16649"/>
      <c r="H16649"/>
      <c r="I16649"/>
      <c r="K16649"/>
      <c r="O16649"/>
      <c r="R16649"/>
      <c r="W16649" s="4"/>
      <c r="X16649" s="4"/>
      <c r="Y16649" s="4"/>
    </row>
    <row r="16650" spans="5:25">
      <c r="E16650"/>
      <c r="G16650"/>
      <c r="H16650"/>
      <c r="I16650"/>
      <c r="K16650"/>
      <c r="O16650"/>
      <c r="R16650"/>
      <c r="W16650" s="4"/>
      <c r="X16650" s="4"/>
      <c r="Y16650" s="4"/>
    </row>
    <row r="16651" spans="5:25">
      <c r="E16651"/>
      <c r="G16651"/>
      <c r="H16651"/>
      <c r="I16651"/>
      <c r="K16651"/>
      <c r="O16651"/>
      <c r="R16651"/>
      <c r="W16651" s="4"/>
      <c r="X16651" s="4"/>
      <c r="Y16651" s="4"/>
    </row>
    <row r="16652" spans="5:25">
      <c r="E16652"/>
      <c r="G16652"/>
      <c r="H16652"/>
      <c r="I16652"/>
      <c r="K16652"/>
      <c r="O16652"/>
      <c r="R16652"/>
      <c r="W16652" s="4"/>
      <c r="X16652" s="4"/>
      <c r="Y16652" s="4"/>
    </row>
    <row r="16653" spans="5:25">
      <c r="E16653"/>
      <c r="G16653"/>
      <c r="H16653"/>
      <c r="I16653"/>
      <c r="K16653"/>
      <c r="O16653"/>
      <c r="R16653"/>
      <c r="W16653" s="4"/>
      <c r="X16653" s="4"/>
      <c r="Y16653" s="4"/>
    </row>
    <row r="16654" spans="5:25">
      <c r="E16654"/>
      <c r="G16654"/>
      <c r="H16654"/>
      <c r="I16654"/>
      <c r="K16654"/>
      <c r="O16654"/>
      <c r="R16654"/>
      <c r="W16654" s="4"/>
      <c r="X16654" s="4"/>
      <c r="Y16654" s="4"/>
    </row>
    <row r="16655" spans="5:25">
      <c r="E16655"/>
      <c r="G16655"/>
      <c r="H16655"/>
      <c r="I16655"/>
      <c r="K16655"/>
      <c r="O16655"/>
      <c r="R16655"/>
      <c r="W16655" s="4"/>
      <c r="X16655" s="4"/>
      <c r="Y16655" s="4"/>
    </row>
    <row r="16656" spans="5:25">
      <c r="E16656"/>
      <c r="G16656"/>
      <c r="H16656"/>
      <c r="I16656"/>
      <c r="K16656"/>
      <c r="O16656"/>
      <c r="R16656"/>
      <c r="W16656" s="4"/>
      <c r="X16656" s="4"/>
      <c r="Y16656" s="4"/>
    </row>
    <row r="16657" spans="5:25">
      <c r="E16657"/>
      <c r="G16657"/>
      <c r="H16657"/>
      <c r="I16657"/>
      <c r="K16657"/>
      <c r="O16657"/>
      <c r="R16657"/>
      <c r="W16657" s="4"/>
      <c r="X16657" s="4"/>
      <c r="Y16657" s="4"/>
    </row>
    <row r="16658" spans="5:25">
      <c r="E16658"/>
      <c r="G16658"/>
      <c r="H16658"/>
      <c r="I16658"/>
      <c r="K16658"/>
      <c r="O16658"/>
      <c r="R16658"/>
      <c r="W16658" s="4"/>
      <c r="X16658" s="4"/>
      <c r="Y16658" s="4"/>
    </row>
    <row r="16659" spans="5:25">
      <c r="E16659"/>
      <c r="G16659"/>
      <c r="H16659"/>
      <c r="I16659"/>
      <c r="K16659"/>
      <c r="O16659"/>
      <c r="R16659"/>
      <c r="W16659" s="4"/>
      <c r="X16659" s="4"/>
      <c r="Y16659" s="4"/>
    </row>
    <row r="16660" spans="5:25">
      <c r="E16660"/>
      <c r="G16660"/>
      <c r="H16660"/>
      <c r="I16660"/>
      <c r="K16660"/>
      <c r="O16660"/>
      <c r="R16660"/>
      <c r="W16660" s="4"/>
      <c r="X16660" s="4"/>
      <c r="Y16660" s="4"/>
    </row>
    <row r="16661" spans="5:25">
      <c r="E16661"/>
      <c r="G16661"/>
      <c r="H16661"/>
      <c r="I16661"/>
      <c r="K16661"/>
      <c r="O16661"/>
      <c r="R16661"/>
      <c r="W16661" s="4"/>
      <c r="X16661" s="4"/>
      <c r="Y16661" s="4"/>
    </row>
    <row r="16662" spans="5:25">
      <c r="E16662"/>
      <c r="G16662"/>
      <c r="H16662"/>
      <c r="I16662"/>
      <c r="K16662"/>
      <c r="O16662"/>
      <c r="R16662"/>
      <c r="W16662" s="4"/>
      <c r="X16662" s="4"/>
      <c r="Y16662" s="4"/>
    </row>
    <row r="16663" spans="5:25">
      <c r="E16663"/>
      <c r="G16663"/>
      <c r="H16663"/>
      <c r="I16663"/>
      <c r="K16663"/>
      <c r="O16663"/>
      <c r="R16663"/>
      <c r="W16663" s="4"/>
      <c r="X16663" s="4"/>
      <c r="Y16663" s="4"/>
    </row>
    <row r="16664" spans="5:25">
      <c r="E16664"/>
      <c r="G16664"/>
      <c r="H16664"/>
      <c r="I16664"/>
      <c r="K16664"/>
      <c r="O16664"/>
      <c r="R16664"/>
      <c r="W16664" s="4"/>
      <c r="X16664" s="4"/>
      <c r="Y16664" s="4"/>
    </row>
    <row r="16665" spans="5:25">
      <c r="E16665"/>
      <c r="G16665"/>
      <c r="H16665"/>
      <c r="I16665"/>
      <c r="K16665"/>
      <c r="O16665"/>
      <c r="R16665"/>
      <c r="W16665" s="4"/>
      <c r="X16665" s="4"/>
      <c r="Y16665" s="4"/>
    </row>
    <row r="16666" spans="5:25">
      <c r="E16666"/>
      <c r="G16666"/>
      <c r="H16666"/>
      <c r="I16666"/>
      <c r="K16666"/>
      <c r="O16666"/>
      <c r="R16666"/>
      <c r="W16666" s="4"/>
      <c r="X16666" s="4"/>
      <c r="Y16666" s="4"/>
    </row>
    <row r="16667" spans="5:25">
      <c r="E16667"/>
      <c r="G16667"/>
      <c r="H16667"/>
      <c r="I16667"/>
      <c r="K16667"/>
      <c r="O16667"/>
      <c r="R16667"/>
      <c r="W16667" s="4"/>
      <c r="X16667" s="4"/>
      <c r="Y16667" s="4"/>
    </row>
    <row r="16668" spans="5:25">
      <c r="E16668"/>
      <c r="G16668"/>
      <c r="H16668"/>
      <c r="I16668"/>
      <c r="K16668"/>
      <c r="O16668"/>
      <c r="R16668"/>
      <c r="W16668" s="4"/>
      <c r="X16668" s="4"/>
      <c r="Y16668" s="4"/>
    </row>
    <row r="16669" spans="5:25">
      <c r="E16669"/>
      <c r="G16669"/>
      <c r="H16669"/>
      <c r="I16669"/>
      <c r="K16669"/>
      <c r="O16669"/>
      <c r="R16669"/>
      <c r="W16669" s="4"/>
      <c r="X16669" s="4"/>
      <c r="Y16669" s="4"/>
    </row>
    <row r="16670" spans="5:25">
      <c r="E16670"/>
      <c r="G16670"/>
      <c r="H16670"/>
      <c r="I16670"/>
      <c r="K16670"/>
      <c r="O16670"/>
      <c r="R16670"/>
      <c r="W16670" s="4"/>
      <c r="X16670" s="4"/>
      <c r="Y16670" s="4"/>
    </row>
    <row r="16671" spans="5:25">
      <c r="E16671"/>
      <c r="G16671"/>
      <c r="H16671"/>
      <c r="I16671"/>
      <c r="K16671"/>
      <c r="O16671"/>
      <c r="R16671"/>
      <c r="W16671" s="4"/>
      <c r="X16671" s="4"/>
      <c r="Y16671" s="4"/>
    </row>
    <row r="16672" spans="5:25">
      <c r="E16672"/>
      <c r="G16672"/>
      <c r="H16672"/>
      <c r="I16672"/>
      <c r="K16672"/>
      <c r="O16672"/>
      <c r="R16672"/>
      <c r="W16672" s="4"/>
      <c r="X16672" s="4"/>
      <c r="Y16672" s="4"/>
    </row>
    <row r="16673" spans="5:25">
      <c r="E16673"/>
      <c r="G16673"/>
      <c r="H16673"/>
      <c r="I16673"/>
      <c r="K16673"/>
      <c r="O16673"/>
      <c r="R16673"/>
      <c r="W16673" s="4"/>
      <c r="X16673" s="4"/>
      <c r="Y16673" s="4"/>
    </row>
    <row r="16674" spans="5:25">
      <c r="E16674"/>
      <c r="G16674"/>
      <c r="H16674"/>
      <c r="I16674"/>
      <c r="K16674"/>
      <c r="O16674"/>
      <c r="R16674"/>
      <c r="W16674" s="4"/>
      <c r="X16674" s="4"/>
      <c r="Y16674" s="4"/>
    </row>
    <row r="16675" spans="5:25">
      <c r="E16675"/>
      <c r="G16675"/>
      <c r="H16675"/>
      <c r="I16675"/>
      <c r="K16675"/>
      <c r="O16675"/>
      <c r="R16675"/>
      <c r="W16675" s="4"/>
      <c r="X16675" s="4"/>
      <c r="Y16675" s="4"/>
    </row>
    <row r="16676" spans="5:25">
      <c r="E16676"/>
      <c r="G16676"/>
      <c r="H16676"/>
      <c r="I16676"/>
      <c r="K16676"/>
      <c r="O16676"/>
      <c r="R16676"/>
      <c r="W16676" s="4"/>
      <c r="X16676" s="4"/>
      <c r="Y16676" s="4"/>
    </row>
    <row r="16677" spans="5:25">
      <c r="E16677"/>
      <c r="G16677"/>
      <c r="H16677"/>
      <c r="I16677"/>
      <c r="K16677"/>
      <c r="O16677"/>
      <c r="R16677"/>
      <c r="W16677" s="4"/>
      <c r="X16677" s="4"/>
      <c r="Y16677" s="4"/>
    </row>
    <row r="16678" spans="5:25">
      <c r="E16678"/>
      <c r="G16678"/>
      <c r="H16678"/>
      <c r="I16678"/>
      <c r="K16678"/>
      <c r="O16678"/>
      <c r="R16678"/>
      <c r="W16678" s="4"/>
      <c r="X16678" s="4"/>
      <c r="Y16678" s="4"/>
    </row>
    <row r="16679" spans="5:25">
      <c r="E16679"/>
      <c r="G16679"/>
      <c r="H16679"/>
      <c r="I16679"/>
      <c r="K16679"/>
      <c r="O16679"/>
      <c r="R16679"/>
      <c r="W16679" s="4"/>
      <c r="X16679" s="4"/>
      <c r="Y16679" s="4"/>
    </row>
    <row r="16680" spans="5:25">
      <c r="E16680"/>
      <c r="G16680"/>
      <c r="H16680"/>
      <c r="I16680"/>
      <c r="K16680"/>
      <c r="O16680"/>
      <c r="R16680"/>
      <c r="W16680" s="4"/>
      <c r="X16680" s="4"/>
      <c r="Y16680" s="4"/>
    </row>
    <row r="16681" spans="5:25">
      <c r="E16681"/>
      <c r="G16681"/>
      <c r="H16681"/>
      <c r="I16681"/>
      <c r="K16681"/>
      <c r="O16681"/>
      <c r="R16681"/>
      <c r="W16681" s="4"/>
      <c r="X16681" s="4"/>
      <c r="Y16681" s="4"/>
    </row>
    <row r="16682" spans="5:25">
      <c r="E16682"/>
      <c r="G16682"/>
      <c r="H16682"/>
      <c r="I16682"/>
      <c r="K16682"/>
      <c r="O16682"/>
      <c r="R16682"/>
      <c r="W16682" s="4"/>
      <c r="X16682" s="4"/>
      <c r="Y16682" s="4"/>
    </row>
    <row r="16683" spans="5:25">
      <c r="E16683"/>
      <c r="G16683"/>
      <c r="H16683"/>
      <c r="I16683"/>
      <c r="K16683"/>
      <c r="O16683"/>
      <c r="R16683"/>
      <c r="W16683" s="4"/>
      <c r="X16683" s="4"/>
      <c r="Y16683" s="4"/>
    </row>
    <row r="16684" spans="5:25">
      <c r="E16684"/>
      <c r="G16684"/>
      <c r="H16684"/>
      <c r="I16684"/>
      <c r="K16684"/>
      <c r="O16684"/>
      <c r="R16684"/>
      <c r="W16684" s="4"/>
      <c r="X16684" s="4"/>
      <c r="Y16684" s="4"/>
    </row>
    <row r="16685" spans="5:25">
      <c r="E16685"/>
      <c r="G16685"/>
      <c r="H16685"/>
      <c r="I16685"/>
      <c r="K16685"/>
      <c r="O16685"/>
      <c r="R16685"/>
      <c r="W16685" s="4"/>
      <c r="X16685" s="4"/>
      <c r="Y16685" s="4"/>
    </row>
    <row r="16686" spans="5:25">
      <c r="E16686"/>
      <c r="G16686"/>
      <c r="H16686"/>
      <c r="I16686"/>
      <c r="K16686"/>
      <c r="O16686"/>
      <c r="R16686"/>
      <c r="W16686" s="4"/>
      <c r="X16686" s="4"/>
      <c r="Y16686" s="4"/>
    </row>
    <row r="16687" spans="5:25">
      <c r="E16687"/>
      <c r="G16687"/>
      <c r="H16687"/>
      <c r="I16687"/>
      <c r="K16687"/>
      <c r="O16687"/>
      <c r="R16687"/>
      <c r="W16687" s="4"/>
      <c r="X16687" s="4"/>
      <c r="Y16687" s="4"/>
    </row>
    <row r="16688" spans="5:25">
      <c r="E16688"/>
      <c r="G16688"/>
      <c r="H16688"/>
      <c r="I16688"/>
      <c r="K16688"/>
      <c r="O16688"/>
      <c r="R16688"/>
      <c r="W16688" s="4"/>
      <c r="X16688" s="4"/>
      <c r="Y16688" s="4"/>
    </row>
    <row r="16689" spans="5:25">
      <c r="E16689"/>
      <c r="G16689"/>
      <c r="H16689"/>
      <c r="I16689"/>
      <c r="K16689"/>
      <c r="O16689"/>
      <c r="R16689"/>
      <c r="W16689" s="4"/>
      <c r="X16689" s="4"/>
      <c r="Y16689" s="4"/>
    </row>
    <row r="16690" spans="5:25">
      <c r="E16690"/>
      <c r="G16690"/>
      <c r="H16690"/>
      <c r="I16690"/>
      <c r="K16690"/>
      <c r="O16690"/>
      <c r="R16690"/>
      <c r="W16690" s="4"/>
      <c r="X16690" s="4"/>
      <c r="Y16690" s="4"/>
    </row>
    <row r="16691" spans="5:25">
      <c r="E16691"/>
      <c r="G16691"/>
      <c r="H16691"/>
      <c r="I16691"/>
      <c r="K16691"/>
      <c r="O16691"/>
      <c r="R16691"/>
      <c r="W16691" s="4"/>
      <c r="X16691" s="4"/>
      <c r="Y16691" s="4"/>
    </row>
    <row r="16692" spans="5:25">
      <c r="E16692"/>
      <c r="G16692"/>
      <c r="H16692"/>
      <c r="I16692"/>
      <c r="K16692"/>
      <c r="O16692"/>
      <c r="R16692"/>
      <c r="W16692" s="4"/>
      <c r="X16692" s="4"/>
      <c r="Y16692" s="4"/>
    </row>
    <row r="16693" spans="5:25">
      <c r="E16693"/>
      <c r="G16693"/>
      <c r="H16693"/>
      <c r="I16693"/>
      <c r="K16693"/>
      <c r="O16693"/>
      <c r="R16693"/>
      <c r="W16693" s="4"/>
      <c r="X16693" s="4"/>
      <c r="Y16693" s="4"/>
    </row>
    <row r="16694" spans="5:25">
      <c r="E16694"/>
      <c r="G16694"/>
      <c r="H16694"/>
      <c r="I16694"/>
      <c r="K16694"/>
      <c r="O16694"/>
      <c r="R16694"/>
      <c r="W16694" s="4"/>
      <c r="X16694" s="4"/>
      <c r="Y16694" s="4"/>
    </row>
    <row r="16695" spans="5:25">
      <c r="E16695"/>
      <c r="G16695"/>
      <c r="H16695"/>
      <c r="I16695"/>
      <c r="K16695"/>
      <c r="O16695"/>
      <c r="R16695"/>
      <c r="W16695" s="4"/>
      <c r="X16695" s="4"/>
      <c r="Y16695" s="4"/>
    </row>
    <row r="16696" spans="5:25">
      <c r="E16696"/>
      <c r="G16696"/>
      <c r="H16696"/>
      <c r="I16696"/>
      <c r="K16696"/>
      <c r="O16696"/>
      <c r="R16696"/>
      <c r="W16696" s="4"/>
      <c r="X16696" s="4"/>
      <c r="Y16696" s="4"/>
    </row>
    <row r="16697" spans="5:25">
      <c r="E16697"/>
      <c r="G16697"/>
      <c r="H16697"/>
      <c r="I16697"/>
      <c r="K16697"/>
      <c r="O16697"/>
      <c r="R16697"/>
      <c r="W16697" s="4"/>
      <c r="X16697" s="4"/>
      <c r="Y16697" s="4"/>
    </row>
    <row r="16698" spans="5:25">
      <c r="E16698"/>
      <c r="G16698"/>
      <c r="H16698"/>
      <c r="I16698"/>
      <c r="K16698"/>
      <c r="O16698"/>
      <c r="R16698"/>
      <c r="W16698" s="4"/>
      <c r="X16698" s="4"/>
      <c r="Y16698" s="4"/>
    </row>
    <row r="16699" spans="5:25">
      <c r="E16699"/>
      <c r="G16699"/>
      <c r="H16699"/>
      <c r="I16699"/>
      <c r="K16699"/>
      <c r="O16699"/>
      <c r="R16699"/>
      <c r="W16699" s="4"/>
      <c r="X16699" s="4"/>
      <c r="Y16699" s="4"/>
    </row>
    <row r="16700" spans="5:25">
      <c r="E16700"/>
      <c r="G16700"/>
      <c r="H16700"/>
      <c r="I16700"/>
      <c r="K16700"/>
      <c r="O16700"/>
      <c r="R16700"/>
      <c r="W16700" s="4"/>
      <c r="X16700" s="4"/>
      <c r="Y16700" s="4"/>
    </row>
    <row r="16701" spans="5:25">
      <c r="E16701"/>
      <c r="G16701"/>
      <c r="H16701"/>
      <c r="I16701"/>
      <c r="K16701"/>
      <c r="O16701"/>
      <c r="R16701"/>
      <c r="W16701" s="4"/>
      <c r="X16701" s="4"/>
      <c r="Y16701" s="4"/>
    </row>
    <row r="16702" spans="5:25">
      <c r="E16702"/>
      <c r="G16702"/>
      <c r="H16702"/>
      <c r="I16702"/>
      <c r="K16702"/>
      <c r="O16702"/>
      <c r="R16702"/>
      <c r="W16702" s="4"/>
      <c r="X16702" s="4"/>
      <c r="Y16702" s="4"/>
    </row>
    <row r="16703" spans="5:25">
      <c r="E16703"/>
      <c r="G16703"/>
      <c r="H16703"/>
      <c r="I16703"/>
      <c r="K16703"/>
      <c r="O16703"/>
      <c r="R16703"/>
      <c r="W16703" s="4"/>
      <c r="X16703" s="4"/>
      <c r="Y16703" s="4"/>
    </row>
    <row r="16704" spans="5:25">
      <c r="E16704"/>
      <c r="G16704"/>
      <c r="H16704"/>
      <c r="I16704"/>
      <c r="K16704"/>
      <c r="O16704"/>
      <c r="R16704"/>
      <c r="W16704" s="4"/>
      <c r="X16704" s="4"/>
      <c r="Y16704" s="4"/>
    </row>
    <row r="16705" spans="5:25">
      <c r="E16705"/>
      <c r="G16705"/>
      <c r="H16705"/>
      <c r="I16705"/>
      <c r="K16705"/>
      <c r="O16705"/>
      <c r="R16705"/>
      <c r="W16705" s="4"/>
      <c r="X16705" s="4"/>
      <c r="Y16705" s="4"/>
    </row>
    <row r="16706" spans="5:25">
      <c r="E16706"/>
      <c r="G16706"/>
      <c r="H16706"/>
      <c r="I16706"/>
      <c r="K16706"/>
      <c r="O16706"/>
      <c r="R16706"/>
      <c r="W16706" s="4"/>
      <c r="X16706" s="4"/>
      <c r="Y16706" s="4"/>
    </row>
    <row r="16707" spans="5:25">
      <c r="E16707"/>
      <c r="G16707"/>
      <c r="H16707"/>
      <c r="I16707"/>
      <c r="K16707"/>
      <c r="O16707"/>
      <c r="R16707"/>
      <c r="W16707" s="4"/>
      <c r="X16707" s="4"/>
      <c r="Y16707" s="4"/>
    </row>
    <row r="16708" spans="5:25">
      <c r="E16708"/>
      <c r="G16708"/>
      <c r="H16708"/>
      <c r="I16708"/>
      <c r="K16708"/>
      <c r="O16708"/>
      <c r="R16708"/>
      <c r="W16708" s="4"/>
      <c r="X16708" s="4"/>
      <c r="Y16708" s="4"/>
    </row>
    <row r="16709" spans="5:25">
      <c r="E16709"/>
      <c r="G16709"/>
      <c r="H16709"/>
      <c r="I16709"/>
      <c r="K16709"/>
      <c r="O16709"/>
      <c r="R16709"/>
      <c r="W16709" s="4"/>
      <c r="X16709" s="4"/>
      <c r="Y16709" s="4"/>
    </row>
    <row r="16710" spans="5:25">
      <c r="E16710"/>
      <c r="G16710"/>
      <c r="H16710"/>
      <c r="I16710"/>
      <c r="K16710"/>
      <c r="O16710"/>
      <c r="R16710"/>
      <c r="W16710" s="4"/>
      <c r="X16710" s="4"/>
      <c r="Y16710" s="4"/>
    </row>
    <row r="16711" spans="5:25">
      <c r="E16711"/>
      <c r="G16711"/>
      <c r="H16711"/>
      <c r="I16711"/>
      <c r="K16711"/>
      <c r="O16711"/>
      <c r="R16711"/>
      <c r="W16711" s="4"/>
      <c r="X16711" s="4"/>
      <c r="Y16711" s="4"/>
    </row>
    <row r="16712" spans="5:25">
      <c r="E16712"/>
      <c r="G16712"/>
      <c r="H16712"/>
      <c r="I16712"/>
      <c r="K16712"/>
      <c r="O16712"/>
      <c r="R16712"/>
      <c r="W16712" s="4"/>
      <c r="X16712" s="4"/>
      <c r="Y16712" s="4"/>
    </row>
    <row r="16713" spans="5:25">
      <c r="E16713"/>
      <c r="G16713"/>
      <c r="H16713"/>
      <c r="I16713"/>
      <c r="K16713"/>
      <c r="O16713"/>
      <c r="R16713"/>
      <c r="W16713" s="4"/>
      <c r="X16713" s="4"/>
      <c r="Y16713" s="4"/>
    </row>
    <row r="16714" spans="5:25">
      <c r="E16714"/>
      <c r="G16714"/>
      <c r="H16714"/>
      <c r="I16714"/>
      <c r="K16714"/>
      <c r="O16714"/>
      <c r="R16714"/>
      <c r="W16714" s="4"/>
      <c r="X16714" s="4"/>
      <c r="Y16714" s="4"/>
    </row>
    <row r="16715" spans="5:25">
      <c r="E16715"/>
      <c r="G16715"/>
      <c r="H16715"/>
      <c r="I16715"/>
      <c r="K16715"/>
      <c r="O16715"/>
      <c r="R16715"/>
      <c r="W16715" s="4"/>
      <c r="X16715" s="4"/>
      <c r="Y16715" s="4"/>
    </row>
    <row r="16716" spans="5:25">
      <c r="E16716"/>
      <c r="G16716"/>
      <c r="H16716"/>
      <c r="I16716"/>
      <c r="K16716"/>
      <c r="O16716"/>
      <c r="R16716"/>
      <c r="W16716" s="4"/>
      <c r="X16716" s="4"/>
      <c r="Y16716" s="4"/>
    </row>
    <row r="16717" spans="5:25">
      <c r="E16717"/>
      <c r="G16717"/>
      <c r="H16717"/>
      <c r="I16717"/>
      <c r="K16717"/>
      <c r="O16717"/>
      <c r="R16717"/>
      <c r="W16717" s="4"/>
      <c r="X16717" s="4"/>
      <c r="Y16717" s="4"/>
    </row>
    <row r="16718" spans="5:25">
      <c r="E16718"/>
      <c r="G16718"/>
      <c r="H16718"/>
      <c r="I16718"/>
      <c r="K16718"/>
      <c r="O16718"/>
      <c r="R16718"/>
      <c r="W16718" s="4"/>
      <c r="X16718" s="4"/>
      <c r="Y16718" s="4"/>
    </row>
    <row r="16719" spans="5:25">
      <c r="E16719"/>
      <c r="G16719"/>
      <c r="H16719"/>
      <c r="I16719"/>
      <c r="K16719"/>
      <c r="O16719"/>
      <c r="R16719"/>
      <c r="W16719" s="4"/>
      <c r="X16719" s="4"/>
      <c r="Y16719" s="4"/>
    </row>
    <row r="16720" spans="5:25">
      <c r="E16720"/>
      <c r="G16720"/>
      <c r="H16720"/>
      <c r="I16720"/>
      <c r="K16720"/>
      <c r="O16720"/>
      <c r="R16720"/>
      <c r="W16720" s="4"/>
      <c r="X16720" s="4"/>
      <c r="Y16720" s="4"/>
    </row>
    <row r="16721" spans="5:25">
      <c r="E16721"/>
      <c r="G16721"/>
      <c r="H16721"/>
      <c r="I16721"/>
      <c r="K16721"/>
      <c r="O16721"/>
      <c r="R16721"/>
      <c r="W16721" s="4"/>
      <c r="X16721" s="4"/>
      <c r="Y16721" s="4"/>
    </row>
    <row r="16722" spans="5:25">
      <c r="E16722"/>
      <c r="G16722"/>
      <c r="H16722"/>
      <c r="I16722"/>
      <c r="K16722"/>
      <c r="O16722"/>
      <c r="R16722"/>
      <c r="W16722" s="4"/>
      <c r="X16722" s="4"/>
      <c r="Y16722" s="4"/>
    </row>
    <row r="16723" spans="5:25">
      <c r="E16723"/>
      <c r="G16723"/>
      <c r="H16723"/>
      <c r="I16723"/>
      <c r="K16723"/>
      <c r="O16723"/>
      <c r="R16723"/>
      <c r="W16723" s="4"/>
      <c r="X16723" s="4"/>
      <c r="Y16723" s="4"/>
    </row>
    <row r="16724" spans="5:25">
      <c r="E16724"/>
      <c r="G16724"/>
      <c r="H16724"/>
      <c r="I16724"/>
      <c r="K16724"/>
      <c r="O16724"/>
      <c r="R16724"/>
      <c r="W16724" s="4"/>
      <c r="X16724" s="4"/>
      <c r="Y16724" s="4"/>
    </row>
    <row r="16725" spans="5:25">
      <c r="E16725"/>
      <c r="G16725"/>
      <c r="H16725"/>
      <c r="I16725"/>
      <c r="K16725"/>
      <c r="O16725"/>
      <c r="R16725"/>
      <c r="W16725" s="4"/>
      <c r="X16725" s="4"/>
      <c r="Y16725" s="4"/>
    </row>
    <row r="16726" spans="5:25">
      <c r="E16726"/>
      <c r="G16726"/>
      <c r="H16726"/>
      <c r="I16726"/>
      <c r="K16726"/>
      <c r="O16726"/>
      <c r="R16726"/>
      <c r="W16726" s="4"/>
      <c r="X16726" s="4"/>
      <c r="Y16726" s="4"/>
    </row>
    <row r="16727" spans="5:25">
      <c r="E16727"/>
      <c r="G16727"/>
      <c r="H16727"/>
      <c r="I16727"/>
      <c r="K16727"/>
      <c r="O16727"/>
      <c r="R16727"/>
      <c r="W16727" s="4"/>
      <c r="X16727" s="4"/>
      <c r="Y16727" s="4"/>
    </row>
    <row r="16728" spans="5:25">
      <c r="E16728"/>
      <c r="G16728"/>
      <c r="H16728"/>
      <c r="I16728"/>
      <c r="K16728"/>
      <c r="O16728"/>
      <c r="R16728"/>
      <c r="W16728" s="4"/>
      <c r="X16728" s="4"/>
      <c r="Y16728" s="4"/>
    </row>
    <row r="16729" spans="5:25">
      <c r="E16729"/>
      <c r="G16729"/>
      <c r="H16729"/>
      <c r="I16729"/>
      <c r="K16729"/>
      <c r="O16729"/>
      <c r="R16729"/>
      <c r="W16729" s="4"/>
      <c r="X16729" s="4"/>
      <c r="Y16729" s="4"/>
    </row>
    <row r="16730" spans="5:25">
      <c r="E16730"/>
      <c r="G16730"/>
      <c r="H16730"/>
      <c r="I16730"/>
      <c r="K16730"/>
      <c r="O16730"/>
      <c r="R16730"/>
      <c r="W16730" s="4"/>
      <c r="X16730" s="4"/>
      <c r="Y16730" s="4"/>
    </row>
    <row r="16731" spans="5:25">
      <c r="E16731"/>
      <c r="G16731"/>
      <c r="H16731"/>
      <c r="I16731"/>
      <c r="K16731"/>
      <c r="O16731"/>
      <c r="R16731"/>
      <c r="W16731" s="4"/>
      <c r="X16731" s="4"/>
      <c r="Y16731" s="4"/>
    </row>
    <row r="16732" spans="5:25">
      <c r="E16732"/>
      <c r="G16732"/>
      <c r="H16732"/>
      <c r="I16732"/>
      <c r="K16732"/>
      <c r="O16732"/>
      <c r="R16732"/>
      <c r="W16732" s="4"/>
      <c r="X16732" s="4"/>
      <c r="Y16732" s="4"/>
    </row>
    <row r="16733" spans="5:25">
      <c r="E16733"/>
      <c r="G16733"/>
      <c r="H16733"/>
      <c r="I16733"/>
      <c r="K16733"/>
      <c r="O16733"/>
      <c r="R16733"/>
      <c r="W16733" s="4"/>
      <c r="X16733" s="4"/>
      <c r="Y16733" s="4"/>
    </row>
    <row r="16734" spans="5:25">
      <c r="E16734"/>
      <c r="G16734"/>
      <c r="H16734"/>
      <c r="I16734"/>
      <c r="K16734"/>
      <c r="O16734"/>
      <c r="R16734"/>
      <c r="W16734" s="4"/>
      <c r="X16734" s="4"/>
      <c r="Y16734" s="4"/>
    </row>
    <row r="16735" spans="5:25">
      <c r="E16735"/>
      <c r="G16735"/>
      <c r="H16735"/>
      <c r="I16735"/>
      <c r="K16735"/>
      <c r="O16735"/>
      <c r="R16735"/>
      <c r="W16735" s="4"/>
      <c r="X16735" s="4"/>
      <c r="Y16735" s="4"/>
    </row>
    <row r="16736" spans="5:25">
      <c r="E16736"/>
      <c r="G16736"/>
      <c r="H16736"/>
      <c r="I16736"/>
      <c r="K16736"/>
      <c r="O16736"/>
      <c r="R16736"/>
      <c r="W16736" s="4"/>
      <c r="X16736" s="4"/>
      <c r="Y16736" s="4"/>
    </row>
    <row r="16737" spans="5:25">
      <c r="E16737"/>
      <c r="G16737"/>
      <c r="H16737"/>
      <c r="I16737"/>
      <c r="K16737"/>
      <c r="O16737"/>
      <c r="R16737"/>
      <c r="W16737" s="4"/>
      <c r="X16737" s="4"/>
      <c r="Y16737" s="4"/>
    </row>
    <row r="16738" spans="5:25">
      <c r="E16738"/>
      <c r="G16738"/>
      <c r="H16738"/>
      <c r="I16738"/>
      <c r="K16738"/>
      <c r="O16738"/>
      <c r="R16738"/>
      <c r="W16738" s="4"/>
      <c r="X16738" s="4"/>
      <c r="Y16738" s="4"/>
    </row>
    <row r="16739" spans="5:25">
      <c r="E16739"/>
      <c r="G16739"/>
      <c r="H16739"/>
      <c r="I16739"/>
      <c r="K16739"/>
      <c r="O16739"/>
      <c r="R16739"/>
      <c r="W16739" s="4"/>
      <c r="X16739" s="4"/>
      <c r="Y16739" s="4"/>
    </row>
    <row r="16740" spans="5:25">
      <c r="E16740"/>
      <c r="G16740"/>
      <c r="H16740"/>
      <c r="I16740"/>
      <c r="K16740"/>
      <c r="O16740"/>
      <c r="R16740"/>
      <c r="W16740" s="4"/>
      <c r="X16740" s="4"/>
      <c r="Y16740" s="4"/>
    </row>
    <row r="16741" spans="5:25">
      <c r="E16741"/>
      <c r="G16741"/>
      <c r="H16741"/>
      <c r="I16741"/>
      <c r="K16741"/>
      <c r="O16741"/>
      <c r="R16741"/>
      <c r="W16741" s="4"/>
      <c r="X16741" s="4"/>
      <c r="Y16741" s="4"/>
    </row>
    <row r="16742" spans="5:25">
      <c r="E16742"/>
      <c r="G16742"/>
      <c r="H16742"/>
      <c r="I16742"/>
      <c r="K16742"/>
      <c r="O16742"/>
      <c r="R16742"/>
      <c r="W16742" s="4"/>
      <c r="X16742" s="4"/>
      <c r="Y16742" s="4"/>
    </row>
    <row r="16743" spans="5:25">
      <c r="E16743"/>
      <c r="G16743"/>
      <c r="H16743"/>
      <c r="I16743"/>
      <c r="K16743"/>
      <c r="O16743"/>
      <c r="R16743"/>
      <c r="W16743" s="4"/>
      <c r="X16743" s="4"/>
      <c r="Y16743" s="4"/>
    </row>
    <row r="16744" spans="5:25">
      <c r="E16744"/>
      <c r="G16744"/>
      <c r="H16744"/>
      <c r="I16744"/>
      <c r="K16744"/>
      <c r="O16744"/>
      <c r="R16744"/>
      <c r="W16744" s="4"/>
      <c r="X16744" s="4"/>
      <c r="Y16744" s="4"/>
    </row>
    <row r="16745" spans="5:25">
      <c r="E16745"/>
      <c r="G16745"/>
      <c r="H16745"/>
      <c r="I16745"/>
      <c r="K16745"/>
      <c r="O16745"/>
      <c r="R16745"/>
      <c r="W16745" s="4"/>
      <c r="X16745" s="4"/>
      <c r="Y16745" s="4"/>
    </row>
    <row r="16746" spans="5:25">
      <c r="E16746"/>
      <c r="G16746"/>
      <c r="H16746"/>
      <c r="I16746"/>
      <c r="K16746"/>
      <c r="O16746"/>
      <c r="R16746"/>
      <c r="W16746" s="4"/>
      <c r="X16746" s="4"/>
      <c r="Y16746" s="4"/>
    </row>
    <row r="16747" spans="5:25">
      <c r="E16747"/>
      <c r="G16747"/>
      <c r="H16747"/>
      <c r="I16747"/>
      <c r="K16747"/>
      <c r="O16747"/>
      <c r="R16747"/>
      <c r="W16747" s="4"/>
      <c r="X16747" s="4"/>
      <c r="Y16747" s="4"/>
    </row>
    <row r="16748" spans="5:25">
      <c r="E16748"/>
      <c r="G16748"/>
      <c r="H16748"/>
      <c r="I16748"/>
      <c r="K16748"/>
      <c r="O16748"/>
      <c r="R16748"/>
      <c r="W16748" s="4"/>
      <c r="X16748" s="4"/>
      <c r="Y16748" s="4"/>
    </row>
    <row r="16749" spans="5:25">
      <c r="E16749"/>
      <c r="G16749"/>
      <c r="H16749"/>
      <c r="I16749"/>
      <c r="K16749"/>
      <c r="O16749"/>
      <c r="R16749"/>
      <c r="W16749" s="4"/>
      <c r="X16749" s="4"/>
      <c r="Y16749" s="4"/>
    </row>
    <row r="16750" spans="5:25">
      <c r="E16750"/>
      <c r="G16750"/>
      <c r="H16750"/>
      <c r="I16750"/>
      <c r="K16750"/>
      <c r="O16750"/>
      <c r="R16750"/>
      <c r="W16750" s="4"/>
      <c r="X16750" s="4"/>
      <c r="Y16750" s="4"/>
    </row>
    <row r="16751" spans="5:25">
      <c r="E16751"/>
      <c r="G16751"/>
      <c r="H16751"/>
      <c r="I16751"/>
      <c r="K16751"/>
      <c r="O16751"/>
      <c r="R16751"/>
      <c r="W16751" s="4"/>
      <c r="X16751" s="4"/>
      <c r="Y16751" s="4"/>
    </row>
    <row r="16752" spans="5:25">
      <c r="E16752"/>
      <c r="G16752"/>
      <c r="H16752"/>
      <c r="I16752"/>
      <c r="K16752"/>
      <c r="O16752"/>
      <c r="R16752"/>
      <c r="W16752" s="4"/>
      <c r="X16752" s="4"/>
      <c r="Y16752" s="4"/>
    </row>
    <row r="16753" spans="5:25">
      <c r="E16753"/>
      <c r="G16753"/>
      <c r="H16753"/>
      <c r="I16753"/>
      <c r="K16753"/>
      <c r="O16753"/>
      <c r="R16753"/>
      <c r="W16753" s="4"/>
      <c r="X16753" s="4"/>
      <c r="Y16753" s="4"/>
    </row>
    <row r="16754" spans="5:25">
      <c r="E16754"/>
      <c r="G16754"/>
      <c r="H16754"/>
      <c r="I16754"/>
      <c r="K16754"/>
      <c r="O16754"/>
      <c r="R16754"/>
      <c r="W16754" s="4"/>
      <c r="X16754" s="4"/>
      <c r="Y16754" s="4"/>
    </row>
    <row r="16755" spans="5:25">
      <c r="E16755"/>
      <c r="G16755"/>
      <c r="H16755"/>
      <c r="I16755"/>
      <c r="K16755"/>
      <c r="O16755"/>
      <c r="R16755"/>
      <c r="W16755" s="4"/>
      <c r="X16755" s="4"/>
      <c r="Y16755" s="4"/>
    </row>
    <row r="16756" spans="5:25">
      <c r="E16756"/>
      <c r="G16756"/>
      <c r="H16756"/>
      <c r="I16756"/>
      <c r="K16756"/>
      <c r="O16756"/>
      <c r="R16756"/>
      <c r="W16756" s="4"/>
      <c r="X16756" s="4"/>
      <c r="Y16756" s="4"/>
    </row>
    <row r="16757" spans="5:25">
      <c r="E16757"/>
      <c r="G16757"/>
      <c r="H16757"/>
      <c r="I16757"/>
      <c r="K16757"/>
      <c r="O16757"/>
      <c r="R16757"/>
      <c r="W16757" s="4"/>
      <c r="X16757" s="4"/>
      <c r="Y16757" s="4"/>
    </row>
    <row r="16758" spans="5:25">
      <c r="E16758"/>
      <c r="G16758"/>
      <c r="H16758"/>
      <c r="I16758"/>
      <c r="K16758"/>
      <c r="O16758"/>
      <c r="R16758"/>
      <c r="W16758" s="4"/>
      <c r="X16758" s="4"/>
      <c r="Y16758" s="4"/>
    </row>
    <row r="16759" spans="5:25">
      <c r="E16759"/>
      <c r="G16759"/>
      <c r="H16759"/>
      <c r="I16759"/>
      <c r="K16759"/>
      <c r="O16759"/>
      <c r="R16759"/>
      <c r="W16759" s="4"/>
      <c r="X16759" s="4"/>
      <c r="Y16759" s="4"/>
    </row>
    <row r="16760" spans="5:25">
      <c r="E16760"/>
      <c r="G16760"/>
      <c r="H16760"/>
      <c r="I16760"/>
      <c r="K16760"/>
      <c r="O16760"/>
      <c r="R16760"/>
      <c r="W16760" s="4"/>
      <c r="X16760" s="4"/>
      <c r="Y16760" s="4"/>
    </row>
    <row r="16761" spans="5:25">
      <c r="E16761"/>
      <c r="G16761"/>
      <c r="H16761"/>
      <c r="I16761"/>
      <c r="K16761"/>
      <c r="O16761"/>
      <c r="R16761"/>
      <c r="W16761" s="4"/>
      <c r="X16761" s="4"/>
      <c r="Y16761" s="4"/>
    </row>
    <row r="16762" spans="5:25">
      <c r="E16762"/>
      <c r="G16762"/>
      <c r="H16762"/>
      <c r="I16762"/>
      <c r="K16762"/>
      <c r="O16762"/>
      <c r="R16762"/>
      <c r="W16762" s="4"/>
      <c r="X16762" s="4"/>
      <c r="Y16762" s="4"/>
    </row>
    <row r="16763" spans="5:25">
      <c r="E16763"/>
      <c r="G16763"/>
      <c r="H16763"/>
      <c r="I16763"/>
      <c r="K16763"/>
      <c r="O16763"/>
      <c r="R16763"/>
      <c r="W16763" s="4"/>
      <c r="X16763" s="4"/>
      <c r="Y16763" s="4"/>
    </row>
    <row r="16764" spans="5:25">
      <c r="E16764"/>
      <c r="G16764"/>
      <c r="H16764"/>
      <c r="I16764"/>
      <c r="K16764"/>
      <c r="O16764"/>
      <c r="R16764"/>
      <c r="W16764" s="4"/>
      <c r="X16764" s="4"/>
      <c r="Y16764" s="4"/>
    </row>
    <row r="16765" spans="5:25">
      <c r="E16765"/>
      <c r="G16765"/>
      <c r="H16765"/>
      <c r="I16765"/>
      <c r="K16765"/>
      <c r="O16765"/>
      <c r="R16765"/>
      <c r="W16765" s="4"/>
      <c r="X16765" s="4"/>
      <c r="Y16765" s="4"/>
    </row>
    <row r="16766" spans="5:25">
      <c r="E16766"/>
      <c r="G16766"/>
      <c r="H16766"/>
      <c r="I16766"/>
      <c r="K16766"/>
      <c r="O16766"/>
      <c r="R16766"/>
      <c r="W16766" s="4"/>
      <c r="X16766" s="4"/>
      <c r="Y16766" s="4"/>
    </row>
    <row r="16767" spans="5:25">
      <c r="E16767"/>
      <c r="G16767"/>
      <c r="H16767"/>
      <c r="I16767"/>
      <c r="K16767"/>
      <c r="O16767"/>
      <c r="R16767"/>
      <c r="W16767" s="4"/>
      <c r="X16767" s="4"/>
      <c r="Y16767" s="4"/>
    </row>
    <row r="16768" spans="5:25">
      <c r="E16768"/>
      <c r="G16768"/>
      <c r="H16768"/>
      <c r="I16768"/>
      <c r="K16768"/>
      <c r="O16768"/>
      <c r="R16768"/>
      <c r="W16768" s="4"/>
      <c r="X16768" s="4"/>
      <c r="Y16768" s="4"/>
    </row>
    <row r="16769" spans="5:25">
      <c r="E16769"/>
      <c r="G16769"/>
      <c r="H16769"/>
      <c r="I16769"/>
      <c r="K16769"/>
      <c r="O16769"/>
      <c r="R16769"/>
      <c r="W16769" s="4"/>
      <c r="X16769" s="4"/>
      <c r="Y16769" s="4"/>
    </row>
    <row r="16770" spans="5:25">
      <c r="E16770"/>
      <c r="G16770"/>
      <c r="H16770"/>
      <c r="I16770"/>
      <c r="K16770"/>
      <c r="O16770"/>
      <c r="R16770"/>
      <c r="W16770" s="4"/>
      <c r="X16770" s="4"/>
      <c r="Y16770" s="4"/>
    </row>
    <row r="16771" spans="5:25">
      <c r="E16771"/>
      <c r="G16771"/>
      <c r="H16771"/>
      <c r="I16771"/>
      <c r="K16771"/>
      <c r="O16771"/>
      <c r="R16771"/>
      <c r="W16771" s="4"/>
      <c r="X16771" s="4"/>
      <c r="Y16771" s="4"/>
    </row>
    <row r="16772" spans="5:25">
      <c r="E16772"/>
      <c r="G16772"/>
      <c r="H16772"/>
      <c r="I16772"/>
      <c r="K16772"/>
      <c r="O16772"/>
      <c r="R16772"/>
      <c r="W16772" s="4"/>
      <c r="X16772" s="4"/>
      <c r="Y16772" s="4"/>
    </row>
    <row r="16773" spans="5:25">
      <c r="E16773"/>
      <c r="G16773"/>
      <c r="H16773"/>
      <c r="I16773"/>
      <c r="K16773"/>
      <c r="O16773"/>
      <c r="R16773"/>
      <c r="W16773" s="4"/>
      <c r="X16773" s="4"/>
      <c r="Y16773" s="4"/>
    </row>
    <row r="16774" spans="5:25">
      <c r="E16774"/>
      <c r="G16774"/>
      <c r="H16774"/>
      <c r="I16774"/>
      <c r="K16774"/>
      <c r="O16774"/>
      <c r="R16774"/>
      <c r="W16774" s="4"/>
      <c r="X16774" s="4"/>
      <c r="Y16774" s="4"/>
    </row>
    <row r="16775" spans="5:25">
      <c r="E16775"/>
      <c r="G16775"/>
      <c r="H16775"/>
      <c r="I16775"/>
      <c r="K16775"/>
      <c r="O16775"/>
      <c r="R16775"/>
      <c r="W16775" s="4"/>
      <c r="X16775" s="4"/>
      <c r="Y16775" s="4"/>
    </row>
    <row r="16776" spans="5:25">
      <c r="E16776"/>
      <c r="G16776"/>
      <c r="H16776"/>
      <c r="I16776"/>
      <c r="K16776"/>
      <c r="O16776"/>
      <c r="R16776"/>
      <c r="W16776" s="4"/>
      <c r="X16776" s="4"/>
      <c r="Y16776" s="4"/>
    </row>
    <row r="16777" spans="5:25">
      <c r="E16777"/>
      <c r="G16777"/>
      <c r="H16777"/>
      <c r="I16777"/>
      <c r="K16777"/>
      <c r="O16777"/>
      <c r="R16777"/>
      <c r="W16777" s="4"/>
      <c r="X16777" s="4"/>
      <c r="Y16777" s="4"/>
    </row>
    <row r="16778" spans="5:25">
      <c r="E16778"/>
      <c r="G16778"/>
      <c r="H16778"/>
      <c r="I16778"/>
      <c r="K16778"/>
      <c r="O16778"/>
      <c r="R16778"/>
      <c r="W16778" s="4"/>
      <c r="X16778" s="4"/>
      <c r="Y16778" s="4"/>
    </row>
    <row r="16779" spans="5:25">
      <c r="E16779"/>
      <c r="G16779"/>
      <c r="H16779"/>
      <c r="I16779"/>
      <c r="K16779"/>
      <c r="O16779"/>
      <c r="R16779"/>
      <c r="W16779" s="4"/>
      <c r="X16779" s="4"/>
      <c r="Y16779" s="4"/>
    </row>
    <row r="16780" spans="5:25">
      <c r="E16780"/>
      <c r="G16780"/>
      <c r="H16780"/>
      <c r="I16780"/>
      <c r="K16780"/>
      <c r="O16780"/>
      <c r="R16780"/>
      <c r="W16780" s="4"/>
      <c r="X16780" s="4"/>
      <c r="Y16780" s="4"/>
    </row>
    <row r="16781" spans="5:25">
      <c r="E16781"/>
      <c r="G16781"/>
      <c r="H16781"/>
      <c r="I16781"/>
      <c r="K16781"/>
      <c r="O16781"/>
      <c r="R16781"/>
      <c r="W16781" s="4"/>
      <c r="X16781" s="4"/>
      <c r="Y16781" s="4"/>
    </row>
    <row r="16782" spans="5:25">
      <c r="E16782"/>
      <c r="G16782"/>
      <c r="H16782"/>
      <c r="I16782"/>
      <c r="K16782"/>
      <c r="O16782"/>
      <c r="R16782"/>
      <c r="W16782" s="4"/>
      <c r="X16782" s="4"/>
      <c r="Y16782" s="4"/>
    </row>
    <row r="16783" spans="5:25">
      <c r="E16783"/>
      <c r="G16783"/>
      <c r="H16783"/>
      <c r="I16783"/>
      <c r="K16783"/>
      <c r="O16783"/>
      <c r="R16783"/>
      <c r="W16783" s="4"/>
      <c r="X16783" s="4"/>
      <c r="Y16783" s="4"/>
    </row>
    <row r="16784" spans="5:25">
      <c r="E16784"/>
      <c r="G16784"/>
      <c r="H16784"/>
      <c r="I16784"/>
      <c r="K16784"/>
      <c r="O16784"/>
      <c r="R16784"/>
      <c r="W16784" s="4"/>
      <c r="X16784" s="4"/>
      <c r="Y16784" s="4"/>
    </row>
    <row r="16785" spans="5:25">
      <c r="E16785"/>
      <c r="G16785"/>
      <c r="H16785"/>
      <c r="I16785"/>
      <c r="K16785"/>
      <c r="O16785"/>
      <c r="R16785"/>
      <c r="W16785" s="4"/>
      <c r="X16785" s="4"/>
      <c r="Y16785" s="4"/>
    </row>
    <row r="16786" spans="5:25">
      <c r="E16786"/>
      <c r="G16786"/>
      <c r="H16786"/>
      <c r="I16786"/>
      <c r="K16786"/>
      <c r="O16786"/>
      <c r="R16786"/>
      <c r="W16786" s="4"/>
      <c r="X16786" s="4"/>
      <c r="Y16786" s="4"/>
    </row>
    <row r="16787" spans="5:25">
      <c r="E16787"/>
      <c r="G16787"/>
      <c r="H16787"/>
      <c r="I16787"/>
      <c r="K16787"/>
      <c r="O16787"/>
      <c r="R16787"/>
      <c r="W16787" s="4"/>
      <c r="X16787" s="4"/>
      <c r="Y16787" s="4"/>
    </row>
    <row r="16788" spans="5:25">
      <c r="E16788"/>
      <c r="G16788"/>
      <c r="H16788"/>
      <c r="I16788"/>
      <c r="K16788"/>
      <c r="O16788"/>
      <c r="R16788"/>
      <c r="W16788" s="4"/>
      <c r="X16788" s="4"/>
      <c r="Y16788" s="4"/>
    </row>
    <row r="16789" spans="5:25">
      <c r="E16789"/>
      <c r="G16789"/>
      <c r="H16789"/>
      <c r="I16789"/>
      <c r="K16789"/>
      <c r="O16789"/>
      <c r="R16789"/>
      <c r="W16789" s="4"/>
      <c r="X16789" s="4"/>
      <c r="Y16789" s="4"/>
    </row>
    <row r="16790" spans="5:25">
      <c r="E16790"/>
      <c r="G16790"/>
      <c r="H16790"/>
      <c r="I16790"/>
      <c r="K16790"/>
      <c r="O16790"/>
      <c r="R16790"/>
      <c r="W16790" s="4"/>
      <c r="X16790" s="4"/>
      <c r="Y16790" s="4"/>
    </row>
    <row r="16791" spans="5:25">
      <c r="E16791"/>
      <c r="G16791"/>
      <c r="H16791"/>
      <c r="I16791"/>
      <c r="K16791"/>
      <c r="O16791"/>
      <c r="R16791"/>
      <c r="W16791" s="4"/>
      <c r="X16791" s="4"/>
      <c r="Y16791" s="4"/>
    </row>
    <row r="16792" spans="5:25">
      <c r="E16792"/>
      <c r="G16792"/>
      <c r="H16792"/>
      <c r="I16792"/>
      <c r="K16792"/>
      <c r="O16792"/>
      <c r="R16792"/>
      <c r="W16792" s="4"/>
      <c r="X16792" s="4"/>
      <c r="Y16792" s="4"/>
    </row>
    <row r="16793" spans="5:25">
      <c r="E16793"/>
      <c r="G16793"/>
      <c r="H16793"/>
      <c r="I16793"/>
      <c r="K16793"/>
      <c r="O16793"/>
      <c r="R16793"/>
      <c r="W16793" s="4"/>
      <c r="X16793" s="4"/>
      <c r="Y16793" s="4"/>
    </row>
    <row r="16794" spans="5:25">
      <c r="E16794"/>
      <c r="G16794"/>
      <c r="H16794"/>
      <c r="I16794"/>
      <c r="K16794"/>
      <c r="O16794"/>
      <c r="R16794"/>
      <c r="W16794" s="4"/>
      <c r="X16794" s="4"/>
      <c r="Y16794" s="4"/>
    </row>
    <row r="16795" spans="5:25">
      <c r="E16795"/>
      <c r="G16795"/>
      <c r="H16795"/>
      <c r="I16795"/>
      <c r="K16795"/>
      <c r="O16795"/>
      <c r="R16795"/>
      <c r="W16795" s="4"/>
      <c r="X16795" s="4"/>
      <c r="Y16795" s="4"/>
    </row>
    <row r="16796" spans="5:25">
      <c r="E16796"/>
      <c r="G16796"/>
      <c r="H16796"/>
      <c r="I16796"/>
      <c r="K16796"/>
      <c r="O16796"/>
      <c r="R16796"/>
      <c r="W16796" s="4"/>
      <c r="X16796" s="4"/>
      <c r="Y16796" s="4"/>
    </row>
    <row r="16797" spans="5:25">
      <c r="E16797"/>
      <c r="G16797"/>
      <c r="H16797"/>
      <c r="I16797"/>
      <c r="K16797"/>
      <c r="O16797"/>
      <c r="R16797"/>
      <c r="W16797" s="4"/>
      <c r="X16797" s="4"/>
      <c r="Y16797" s="4"/>
    </row>
    <row r="16798" spans="5:25">
      <c r="E16798"/>
      <c r="G16798"/>
      <c r="H16798"/>
      <c r="I16798"/>
      <c r="K16798"/>
      <c r="O16798"/>
      <c r="R16798"/>
      <c r="W16798" s="4"/>
      <c r="X16798" s="4"/>
      <c r="Y16798" s="4"/>
    </row>
    <row r="16799" spans="5:25">
      <c r="E16799"/>
      <c r="G16799"/>
      <c r="H16799"/>
      <c r="I16799"/>
      <c r="K16799"/>
      <c r="O16799"/>
      <c r="R16799"/>
      <c r="W16799" s="4"/>
      <c r="X16799" s="4"/>
      <c r="Y16799" s="4"/>
    </row>
    <row r="16800" spans="5:25">
      <c r="E16800"/>
      <c r="G16800"/>
      <c r="H16800"/>
      <c r="I16800"/>
      <c r="K16800"/>
      <c r="O16800"/>
      <c r="R16800"/>
      <c r="W16800" s="4"/>
      <c r="X16800" s="4"/>
      <c r="Y16800" s="4"/>
    </row>
    <row r="16801" spans="5:25">
      <c r="E16801"/>
      <c r="G16801"/>
      <c r="H16801"/>
      <c r="I16801"/>
      <c r="K16801"/>
      <c r="O16801"/>
      <c r="R16801"/>
      <c r="W16801" s="4"/>
      <c r="X16801" s="4"/>
      <c r="Y16801" s="4"/>
    </row>
    <row r="16802" spans="5:25">
      <c r="E16802"/>
      <c r="G16802"/>
      <c r="H16802"/>
      <c r="I16802"/>
      <c r="K16802"/>
      <c r="O16802"/>
      <c r="R16802"/>
      <c r="W16802" s="4"/>
      <c r="X16802" s="4"/>
      <c r="Y16802" s="4"/>
    </row>
    <row r="16803" spans="5:25">
      <c r="E16803"/>
      <c r="G16803"/>
      <c r="H16803"/>
      <c r="I16803"/>
      <c r="K16803"/>
      <c r="O16803"/>
      <c r="R16803"/>
      <c r="W16803" s="4"/>
      <c r="X16803" s="4"/>
      <c r="Y16803" s="4"/>
    </row>
    <row r="16804" spans="5:25">
      <c r="E16804"/>
      <c r="G16804"/>
      <c r="H16804"/>
      <c r="I16804"/>
      <c r="K16804"/>
      <c r="O16804"/>
      <c r="R16804"/>
      <c r="W16804" s="4"/>
      <c r="X16804" s="4"/>
      <c r="Y16804" s="4"/>
    </row>
    <row r="16805" spans="5:25">
      <c r="E16805"/>
      <c r="G16805"/>
      <c r="H16805"/>
      <c r="I16805"/>
      <c r="K16805"/>
      <c r="O16805"/>
      <c r="R16805"/>
      <c r="W16805" s="4"/>
      <c r="X16805" s="4"/>
      <c r="Y16805" s="4"/>
    </row>
    <row r="16806" spans="5:25">
      <c r="E16806"/>
      <c r="G16806"/>
      <c r="H16806"/>
      <c r="I16806"/>
      <c r="K16806"/>
      <c r="O16806"/>
      <c r="R16806"/>
      <c r="W16806" s="4"/>
      <c r="X16806" s="4"/>
      <c r="Y16806" s="4"/>
    </row>
    <row r="16807" spans="5:25">
      <c r="E16807"/>
      <c r="G16807"/>
      <c r="H16807"/>
      <c r="I16807"/>
      <c r="K16807"/>
      <c r="O16807"/>
      <c r="R16807"/>
      <c r="W16807" s="4"/>
      <c r="X16807" s="4"/>
      <c r="Y16807" s="4"/>
    </row>
    <row r="16808" spans="5:25">
      <c r="E16808"/>
      <c r="G16808"/>
      <c r="H16808"/>
      <c r="I16808"/>
      <c r="K16808"/>
      <c r="O16808"/>
      <c r="R16808"/>
      <c r="W16808" s="4"/>
      <c r="X16808" s="4"/>
      <c r="Y16808" s="4"/>
    </row>
    <row r="16809" spans="5:25">
      <c r="E16809"/>
      <c r="G16809"/>
      <c r="H16809"/>
      <c r="I16809"/>
      <c r="K16809"/>
      <c r="O16809"/>
      <c r="R16809"/>
      <c r="W16809" s="4"/>
      <c r="X16809" s="4"/>
      <c r="Y16809" s="4"/>
    </row>
    <row r="16810" spans="5:25">
      <c r="E16810"/>
      <c r="G16810"/>
      <c r="H16810"/>
      <c r="I16810"/>
      <c r="K16810"/>
      <c r="O16810"/>
      <c r="R16810"/>
      <c r="W16810" s="4"/>
      <c r="X16810" s="4"/>
      <c r="Y16810" s="4"/>
    </row>
    <row r="16811" spans="5:25">
      <c r="E16811"/>
      <c r="G16811"/>
      <c r="H16811"/>
      <c r="I16811"/>
      <c r="K16811"/>
      <c r="O16811"/>
      <c r="R16811"/>
      <c r="W16811" s="4"/>
      <c r="X16811" s="4"/>
      <c r="Y16811" s="4"/>
    </row>
    <row r="16812" spans="5:25">
      <c r="E16812"/>
      <c r="G16812"/>
      <c r="H16812"/>
      <c r="I16812"/>
      <c r="K16812"/>
      <c r="O16812"/>
      <c r="R16812"/>
      <c r="W16812" s="4"/>
      <c r="X16812" s="4"/>
      <c r="Y16812" s="4"/>
    </row>
    <row r="16813" spans="5:25">
      <c r="E16813"/>
      <c r="G16813"/>
      <c r="H16813"/>
      <c r="I16813"/>
      <c r="K16813"/>
      <c r="O16813"/>
      <c r="R16813"/>
      <c r="W16813" s="4"/>
      <c r="X16813" s="4"/>
      <c r="Y16813" s="4"/>
    </row>
    <row r="16814" spans="5:25">
      <c r="E16814"/>
      <c r="G16814"/>
      <c r="H16814"/>
      <c r="I16814"/>
      <c r="K16814"/>
      <c r="O16814"/>
      <c r="R16814"/>
      <c r="W16814" s="4"/>
      <c r="X16814" s="4"/>
      <c r="Y16814" s="4"/>
    </row>
    <row r="16815" spans="5:25">
      <c r="E16815"/>
      <c r="G16815"/>
      <c r="H16815"/>
      <c r="I16815"/>
      <c r="K16815"/>
      <c r="O16815"/>
      <c r="R16815"/>
      <c r="W16815" s="4"/>
      <c r="X16815" s="4"/>
      <c r="Y16815" s="4"/>
    </row>
    <row r="16816" spans="5:25">
      <c r="E16816"/>
      <c r="G16816"/>
      <c r="H16816"/>
      <c r="I16816"/>
      <c r="K16816"/>
      <c r="O16816"/>
      <c r="R16816"/>
      <c r="W16816" s="4"/>
      <c r="X16816" s="4"/>
      <c r="Y16816" s="4"/>
    </row>
    <row r="16817" spans="5:25">
      <c r="E16817"/>
      <c r="G16817"/>
      <c r="H16817"/>
      <c r="I16817"/>
      <c r="K16817"/>
      <c r="O16817"/>
      <c r="R16817"/>
      <c r="W16817" s="4"/>
      <c r="X16817" s="4"/>
      <c r="Y16817" s="4"/>
    </row>
    <row r="16818" spans="5:25">
      <c r="E16818"/>
      <c r="G16818"/>
      <c r="H16818"/>
      <c r="I16818"/>
      <c r="K16818"/>
      <c r="O16818"/>
      <c r="R16818"/>
      <c r="W16818" s="4"/>
      <c r="X16818" s="4"/>
      <c r="Y16818" s="4"/>
    </row>
    <row r="16819" spans="5:25">
      <c r="E16819"/>
      <c r="G16819"/>
      <c r="H16819"/>
      <c r="I16819"/>
      <c r="K16819"/>
      <c r="O16819"/>
      <c r="R16819"/>
      <c r="W16819" s="4"/>
      <c r="X16819" s="4"/>
      <c r="Y16819" s="4"/>
    </row>
    <row r="16820" spans="5:25">
      <c r="E16820"/>
      <c r="G16820"/>
      <c r="H16820"/>
      <c r="I16820"/>
      <c r="K16820"/>
      <c r="O16820"/>
      <c r="R16820"/>
      <c r="W16820" s="4"/>
      <c r="X16820" s="4"/>
      <c r="Y16820" s="4"/>
    </row>
    <row r="16821" spans="5:25">
      <c r="E16821"/>
      <c r="G16821"/>
      <c r="H16821"/>
      <c r="I16821"/>
      <c r="K16821"/>
      <c r="O16821"/>
      <c r="R16821"/>
      <c r="W16821" s="4"/>
      <c r="X16821" s="4"/>
      <c r="Y16821" s="4"/>
    </row>
    <row r="16822" spans="5:25">
      <c r="E16822"/>
      <c r="G16822"/>
      <c r="H16822"/>
      <c r="I16822"/>
      <c r="K16822"/>
      <c r="O16822"/>
      <c r="R16822"/>
      <c r="W16822" s="4"/>
      <c r="X16822" s="4"/>
      <c r="Y16822" s="4"/>
    </row>
    <row r="16823" spans="5:25">
      <c r="E16823"/>
      <c r="G16823"/>
      <c r="H16823"/>
      <c r="I16823"/>
      <c r="K16823"/>
      <c r="O16823"/>
      <c r="R16823"/>
      <c r="W16823" s="4"/>
      <c r="X16823" s="4"/>
      <c r="Y16823" s="4"/>
    </row>
    <row r="16824" spans="5:25">
      <c r="E16824"/>
      <c r="G16824"/>
      <c r="H16824"/>
      <c r="I16824"/>
      <c r="K16824"/>
      <c r="O16824"/>
      <c r="R16824"/>
      <c r="W16824" s="4"/>
      <c r="X16824" s="4"/>
      <c r="Y16824" s="4"/>
    </row>
    <row r="16825" spans="5:25">
      <c r="E16825"/>
      <c r="G16825"/>
      <c r="H16825"/>
      <c r="I16825"/>
      <c r="K16825"/>
      <c r="O16825"/>
      <c r="R16825"/>
      <c r="W16825" s="4"/>
      <c r="X16825" s="4"/>
      <c r="Y16825" s="4"/>
    </row>
    <row r="16826" spans="5:25">
      <c r="E16826"/>
      <c r="G16826"/>
      <c r="H16826"/>
      <c r="I16826"/>
      <c r="K16826"/>
      <c r="O16826"/>
      <c r="R16826"/>
      <c r="W16826" s="4"/>
      <c r="X16826" s="4"/>
      <c r="Y16826" s="4"/>
    </row>
    <row r="16827" spans="5:25">
      <c r="E16827"/>
      <c r="G16827"/>
      <c r="H16827"/>
      <c r="I16827"/>
      <c r="K16827"/>
      <c r="O16827"/>
      <c r="R16827"/>
      <c r="W16827" s="4"/>
      <c r="X16827" s="4"/>
      <c r="Y16827" s="4"/>
    </row>
    <row r="16828" spans="5:25">
      <c r="E16828"/>
      <c r="G16828"/>
      <c r="H16828"/>
      <c r="I16828"/>
      <c r="K16828"/>
      <c r="O16828"/>
      <c r="R16828"/>
      <c r="W16828" s="4"/>
      <c r="X16828" s="4"/>
      <c r="Y16828" s="4"/>
    </row>
    <row r="16829" spans="5:25">
      <c r="E16829"/>
      <c r="G16829"/>
      <c r="H16829"/>
      <c r="I16829"/>
      <c r="K16829"/>
      <c r="O16829"/>
      <c r="R16829"/>
      <c r="W16829" s="4"/>
      <c r="X16829" s="4"/>
      <c r="Y16829" s="4"/>
    </row>
    <row r="16830" spans="5:25">
      <c r="E16830"/>
      <c r="G16830"/>
      <c r="H16830"/>
      <c r="I16830"/>
      <c r="K16830"/>
      <c r="O16830"/>
      <c r="R16830"/>
      <c r="W16830" s="4"/>
      <c r="X16830" s="4"/>
      <c r="Y16830" s="4"/>
    </row>
    <row r="16831" spans="5:25">
      <c r="E16831"/>
      <c r="G16831"/>
      <c r="H16831"/>
      <c r="I16831"/>
      <c r="K16831"/>
      <c r="O16831"/>
      <c r="R16831"/>
      <c r="W16831" s="4"/>
      <c r="X16831" s="4"/>
      <c r="Y16831" s="4"/>
    </row>
    <row r="16832" spans="5:25">
      <c r="E16832"/>
      <c r="G16832"/>
      <c r="H16832"/>
      <c r="I16832"/>
      <c r="K16832"/>
      <c r="O16832"/>
      <c r="R16832"/>
      <c r="W16832" s="4"/>
      <c r="X16832" s="4"/>
      <c r="Y16832" s="4"/>
    </row>
    <row r="16833" spans="5:25">
      <c r="E16833"/>
      <c r="G16833"/>
      <c r="H16833"/>
      <c r="I16833"/>
      <c r="K16833"/>
      <c r="O16833"/>
      <c r="R16833"/>
      <c r="W16833" s="4"/>
      <c r="X16833" s="4"/>
      <c r="Y16833" s="4"/>
    </row>
    <row r="16834" spans="5:25">
      <c r="E16834"/>
      <c r="G16834"/>
      <c r="H16834"/>
      <c r="I16834"/>
      <c r="K16834"/>
      <c r="O16834"/>
      <c r="R16834"/>
      <c r="W16834" s="4"/>
      <c r="X16834" s="4"/>
      <c r="Y16834" s="4"/>
    </row>
    <row r="16835" spans="5:25">
      <c r="E16835"/>
      <c r="G16835"/>
      <c r="H16835"/>
      <c r="I16835"/>
      <c r="K16835"/>
      <c r="O16835"/>
      <c r="R16835"/>
      <c r="W16835" s="4"/>
      <c r="X16835" s="4"/>
      <c r="Y16835" s="4"/>
    </row>
    <row r="16836" spans="5:25">
      <c r="E16836"/>
      <c r="G16836"/>
      <c r="H16836"/>
      <c r="I16836"/>
      <c r="K16836"/>
      <c r="O16836"/>
      <c r="R16836"/>
      <c r="W16836" s="4"/>
      <c r="X16836" s="4"/>
      <c r="Y16836" s="4"/>
    </row>
    <row r="16837" spans="5:25">
      <c r="E16837"/>
      <c r="G16837"/>
      <c r="H16837"/>
      <c r="I16837"/>
      <c r="K16837"/>
      <c r="O16837"/>
      <c r="R16837"/>
      <c r="W16837" s="4"/>
      <c r="X16837" s="4"/>
      <c r="Y16837" s="4"/>
    </row>
    <row r="16838" spans="5:25">
      <c r="E16838"/>
      <c r="G16838"/>
      <c r="H16838"/>
      <c r="I16838"/>
      <c r="K16838"/>
      <c r="O16838"/>
      <c r="R16838"/>
      <c r="W16838" s="4"/>
      <c r="X16838" s="4"/>
      <c r="Y16838" s="4"/>
    </row>
    <row r="16839" spans="5:25">
      <c r="E16839"/>
      <c r="G16839"/>
      <c r="H16839"/>
      <c r="I16839"/>
      <c r="K16839"/>
      <c r="O16839"/>
      <c r="R16839"/>
      <c r="W16839" s="4"/>
      <c r="X16839" s="4"/>
      <c r="Y16839" s="4"/>
    </row>
    <row r="16840" spans="5:25">
      <c r="E16840"/>
      <c r="G16840"/>
      <c r="H16840"/>
      <c r="I16840"/>
      <c r="K16840"/>
      <c r="O16840"/>
      <c r="R16840"/>
      <c r="W16840" s="4"/>
      <c r="X16840" s="4"/>
      <c r="Y16840" s="4"/>
    </row>
    <row r="16841" spans="5:25">
      <c r="E16841"/>
      <c r="G16841"/>
      <c r="H16841"/>
      <c r="I16841"/>
      <c r="K16841"/>
      <c r="O16841"/>
      <c r="R16841"/>
      <c r="W16841" s="4"/>
      <c r="X16841" s="4"/>
      <c r="Y16841" s="4"/>
    </row>
    <row r="16842" spans="5:25">
      <c r="E16842"/>
      <c r="G16842"/>
      <c r="H16842"/>
      <c r="I16842"/>
      <c r="K16842"/>
      <c r="O16842"/>
      <c r="R16842"/>
      <c r="W16842" s="4"/>
      <c r="X16842" s="4"/>
      <c r="Y16842" s="4"/>
    </row>
    <row r="16843" spans="5:25">
      <c r="E16843"/>
      <c r="G16843"/>
      <c r="H16843"/>
      <c r="I16843"/>
      <c r="K16843"/>
      <c r="O16843"/>
      <c r="R16843"/>
      <c r="W16843" s="4"/>
      <c r="X16843" s="4"/>
      <c r="Y16843" s="4"/>
    </row>
    <row r="16844" spans="5:25">
      <c r="E16844"/>
      <c r="G16844"/>
      <c r="H16844"/>
      <c r="I16844"/>
      <c r="K16844"/>
      <c r="O16844"/>
      <c r="R16844"/>
      <c r="W16844" s="4"/>
      <c r="X16844" s="4"/>
      <c r="Y16844" s="4"/>
    </row>
    <row r="16845" spans="5:25">
      <c r="E16845"/>
      <c r="G16845"/>
      <c r="H16845"/>
      <c r="I16845"/>
      <c r="K16845"/>
      <c r="O16845"/>
      <c r="R16845"/>
      <c r="W16845" s="4"/>
      <c r="X16845" s="4"/>
      <c r="Y16845" s="4"/>
    </row>
    <row r="16846" spans="5:25">
      <c r="E16846"/>
      <c r="G16846"/>
      <c r="H16846"/>
      <c r="I16846"/>
      <c r="K16846"/>
      <c r="O16846"/>
      <c r="R16846"/>
      <c r="W16846" s="4"/>
      <c r="X16846" s="4"/>
      <c r="Y16846" s="4"/>
    </row>
    <row r="16847" spans="5:25">
      <c r="E16847"/>
      <c r="G16847"/>
      <c r="H16847"/>
      <c r="I16847"/>
      <c r="K16847"/>
      <c r="O16847"/>
      <c r="R16847"/>
      <c r="W16847" s="4"/>
      <c r="X16847" s="4"/>
      <c r="Y16847" s="4"/>
    </row>
    <row r="16848" spans="5:25">
      <c r="E16848"/>
      <c r="G16848"/>
      <c r="H16848"/>
      <c r="I16848"/>
      <c r="K16848"/>
      <c r="O16848"/>
      <c r="R16848"/>
      <c r="W16848" s="4"/>
      <c r="X16848" s="4"/>
      <c r="Y16848" s="4"/>
    </row>
    <row r="16849" spans="5:25">
      <c r="E16849"/>
      <c r="G16849"/>
      <c r="H16849"/>
      <c r="I16849"/>
      <c r="K16849"/>
      <c r="O16849"/>
      <c r="R16849"/>
      <c r="W16849" s="4"/>
      <c r="X16849" s="4"/>
      <c r="Y16849" s="4"/>
    </row>
    <row r="16850" spans="5:25">
      <c r="E16850"/>
      <c r="G16850"/>
      <c r="H16850"/>
      <c r="I16850"/>
      <c r="K16850"/>
      <c r="O16850"/>
      <c r="R16850"/>
      <c r="W16850" s="4"/>
      <c r="X16850" s="4"/>
      <c r="Y16850" s="4"/>
    </row>
    <row r="16851" spans="5:25">
      <c r="E16851"/>
      <c r="G16851"/>
      <c r="H16851"/>
      <c r="I16851"/>
      <c r="K16851"/>
      <c r="O16851"/>
      <c r="R16851"/>
      <c r="W16851" s="4"/>
      <c r="X16851" s="4"/>
      <c r="Y16851" s="4"/>
    </row>
    <row r="16852" spans="5:25">
      <c r="E16852"/>
      <c r="G16852"/>
      <c r="H16852"/>
      <c r="I16852"/>
      <c r="K16852"/>
      <c r="O16852"/>
      <c r="R16852"/>
      <c r="W16852" s="4"/>
      <c r="X16852" s="4"/>
      <c r="Y16852" s="4"/>
    </row>
    <row r="16853" spans="5:25">
      <c r="E16853"/>
      <c r="G16853"/>
      <c r="H16853"/>
      <c r="I16853"/>
      <c r="K16853"/>
      <c r="O16853"/>
      <c r="R16853"/>
      <c r="W16853" s="4"/>
      <c r="X16853" s="4"/>
      <c r="Y16853" s="4"/>
    </row>
    <row r="16854" spans="5:25">
      <c r="E16854"/>
      <c r="G16854"/>
      <c r="H16854"/>
      <c r="I16854"/>
      <c r="K16854"/>
      <c r="O16854"/>
      <c r="R16854"/>
      <c r="W16854" s="4"/>
      <c r="X16854" s="4"/>
      <c r="Y16854" s="4"/>
    </row>
    <row r="16855" spans="5:25">
      <c r="E16855"/>
      <c r="G16855"/>
      <c r="H16855"/>
      <c r="I16855"/>
      <c r="K16855"/>
      <c r="O16855"/>
      <c r="R16855"/>
      <c r="W16855" s="4"/>
      <c r="X16855" s="4"/>
      <c r="Y16855" s="4"/>
    </row>
    <row r="16856" spans="5:25">
      <c r="E16856"/>
      <c r="G16856"/>
      <c r="H16856"/>
      <c r="I16856"/>
      <c r="K16856"/>
      <c r="O16856"/>
      <c r="R16856"/>
      <c r="W16856" s="4"/>
      <c r="X16856" s="4"/>
      <c r="Y16856" s="4"/>
    </row>
    <row r="16857" spans="5:25">
      <c r="E16857"/>
      <c r="G16857"/>
      <c r="H16857"/>
      <c r="I16857"/>
      <c r="K16857"/>
      <c r="O16857"/>
      <c r="R16857"/>
      <c r="W16857" s="4"/>
      <c r="X16857" s="4"/>
      <c r="Y16857" s="4"/>
    </row>
    <row r="16858" spans="5:25">
      <c r="E16858"/>
      <c r="G16858"/>
      <c r="H16858"/>
      <c r="I16858"/>
      <c r="K16858"/>
      <c r="O16858"/>
      <c r="R16858"/>
      <c r="W16858" s="4"/>
      <c r="X16858" s="4"/>
      <c r="Y16858" s="4"/>
    </row>
    <row r="16859" spans="5:25">
      <c r="E16859"/>
      <c r="G16859"/>
      <c r="H16859"/>
      <c r="I16859"/>
      <c r="K16859"/>
      <c r="O16859"/>
      <c r="R16859"/>
      <c r="W16859" s="4"/>
      <c r="X16859" s="4"/>
      <c r="Y16859" s="4"/>
    </row>
    <row r="16860" spans="5:25">
      <c r="E16860"/>
      <c r="G16860"/>
      <c r="H16860"/>
      <c r="I16860"/>
      <c r="K16860"/>
      <c r="O16860"/>
      <c r="R16860"/>
      <c r="W16860" s="4"/>
      <c r="X16860" s="4"/>
      <c r="Y16860" s="4"/>
    </row>
    <row r="16861" spans="5:25">
      <c r="E16861"/>
      <c r="G16861"/>
      <c r="H16861"/>
      <c r="I16861"/>
      <c r="K16861"/>
      <c r="O16861"/>
      <c r="R16861"/>
      <c r="W16861" s="4"/>
      <c r="X16861" s="4"/>
      <c r="Y16861" s="4"/>
    </row>
    <row r="16862" spans="5:25">
      <c r="E16862"/>
      <c r="G16862"/>
      <c r="H16862"/>
      <c r="I16862"/>
      <c r="K16862"/>
      <c r="O16862"/>
      <c r="R16862"/>
      <c r="W16862" s="4"/>
      <c r="X16862" s="4"/>
      <c r="Y16862" s="4"/>
    </row>
    <row r="16863" spans="5:25">
      <c r="E16863"/>
      <c r="G16863"/>
      <c r="H16863"/>
      <c r="I16863"/>
      <c r="K16863"/>
      <c r="O16863"/>
      <c r="R16863"/>
      <c r="W16863" s="4"/>
      <c r="X16863" s="4"/>
      <c r="Y16863" s="4"/>
    </row>
    <row r="16864" spans="5:25">
      <c r="E16864"/>
      <c r="G16864"/>
      <c r="H16864"/>
      <c r="I16864"/>
      <c r="K16864"/>
      <c r="O16864"/>
      <c r="R16864"/>
      <c r="W16864" s="4"/>
      <c r="X16864" s="4"/>
      <c r="Y16864" s="4"/>
    </row>
    <row r="16865" spans="5:25">
      <c r="E16865"/>
      <c r="G16865"/>
      <c r="H16865"/>
      <c r="I16865"/>
      <c r="K16865"/>
      <c r="O16865"/>
      <c r="R16865"/>
      <c r="W16865" s="4"/>
      <c r="X16865" s="4"/>
      <c r="Y16865" s="4"/>
    </row>
    <row r="16866" spans="5:25">
      <c r="E16866"/>
      <c r="G16866"/>
      <c r="H16866"/>
      <c r="I16866"/>
      <c r="K16866"/>
      <c r="O16866"/>
      <c r="R16866"/>
      <c r="W16866" s="4"/>
      <c r="X16866" s="4"/>
      <c r="Y16866" s="4"/>
    </row>
    <row r="16867" spans="5:25">
      <c r="E16867"/>
      <c r="G16867"/>
      <c r="H16867"/>
      <c r="I16867"/>
      <c r="K16867"/>
      <c r="O16867"/>
      <c r="R16867"/>
      <c r="W16867" s="4"/>
      <c r="X16867" s="4"/>
      <c r="Y16867" s="4"/>
    </row>
    <row r="16868" spans="5:25">
      <c r="E16868"/>
      <c r="G16868"/>
      <c r="H16868"/>
      <c r="I16868"/>
      <c r="K16868"/>
      <c r="O16868"/>
      <c r="R16868"/>
      <c r="W16868" s="4"/>
      <c r="X16868" s="4"/>
      <c r="Y16868" s="4"/>
    </row>
    <row r="16869" spans="5:25">
      <c r="E16869"/>
      <c r="G16869"/>
      <c r="H16869"/>
      <c r="I16869"/>
      <c r="K16869"/>
      <c r="O16869"/>
      <c r="R16869"/>
      <c r="W16869" s="4"/>
      <c r="X16869" s="4"/>
      <c r="Y16869" s="4"/>
    </row>
    <row r="16870" spans="5:25">
      <c r="E16870"/>
      <c r="G16870"/>
      <c r="H16870"/>
      <c r="I16870"/>
      <c r="K16870"/>
      <c r="O16870"/>
      <c r="R16870"/>
      <c r="W16870" s="4"/>
      <c r="X16870" s="4"/>
      <c r="Y16870" s="4"/>
    </row>
    <row r="16871" spans="5:25">
      <c r="E16871"/>
      <c r="G16871"/>
      <c r="H16871"/>
      <c r="I16871"/>
      <c r="K16871"/>
      <c r="O16871"/>
      <c r="R16871"/>
      <c r="W16871" s="4"/>
      <c r="X16871" s="4"/>
      <c r="Y16871" s="4"/>
    </row>
    <row r="16872" spans="5:25">
      <c r="E16872"/>
      <c r="G16872"/>
      <c r="H16872"/>
      <c r="I16872"/>
      <c r="K16872"/>
      <c r="O16872"/>
      <c r="R16872"/>
      <c r="W16872" s="4"/>
      <c r="X16872" s="4"/>
      <c r="Y16872" s="4"/>
    </row>
    <row r="16873" spans="5:25">
      <c r="E16873"/>
      <c r="G16873"/>
      <c r="H16873"/>
      <c r="I16873"/>
      <c r="K16873"/>
      <c r="O16873"/>
      <c r="R16873"/>
      <c r="W16873" s="4"/>
      <c r="X16873" s="4"/>
      <c r="Y16873" s="4"/>
    </row>
    <row r="16874" spans="5:25">
      <c r="E16874"/>
      <c r="G16874"/>
      <c r="H16874"/>
      <c r="I16874"/>
      <c r="K16874"/>
      <c r="O16874"/>
      <c r="R16874"/>
      <c r="W16874" s="4"/>
      <c r="X16874" s="4"/>
      <c r="Y16874" s="4"/>
    </row>
    <row r="16875" spans="5:25">
      <c r="E16875"/>
      <c r="G16875"/>
      <c r="H16875"/>
      <c r="I16875"/>
      <c r="K16875"/>
      <c r="O16875"/>
      <c r="R16875"/>
      <c r="W16875" s="4"/>
      <c r="X16875" s="4"/>
      <c r="Y16875" s="4"/>
    </row>
    <row r="16876" spans="5:25">
      <c r="E16876"/>
      <c r="G16876"/>
      <c r="H16876"/>
      <c r="I16876"/>
      <c r="K16876"/>
      <c r="O16876"/>
      <c r="R16876"/>
      <c r="W16876" s="4"/>
      <c r="X16876" s="4"/>
      <c r="Y16876" s="4"/>
    </row>
    <row r="16877" spans="5:25">
      <c r="E16877"/>
      <c r="G16877"/>
      <c r="H16877"/>
      <c r="I16877"/>
      <c r="K16877"/>
      <c r="O16877"/>
      <c r="R16877"/>
      <c r="W16877" s="4"/>
      <c r="X16877" s="4"/>
      <c r="Y16877" s="4"/>
    </row>
    <row r="16878" spans="5:25">
      <c r="E16878"/>
      <c r="G16878"/>
      <c r="H16878"/>
      <c r="I16878"/>
      <c r="K16878"/>
      <c r="O16878"/>
      <c r="R16878"/>
      <c r="W16878" s="4"/>
      <c r="X16878" s="4"/>
      <c r="Y16878" s="4"/>
    </row>
    <row r="16879" spans="5:25">
      <c r="E16879"/>
      <c r="G16879"/>
      <c r="H16879"/>
      <c r="I16879"/>
      <c r="K16879"/>
      <c r="O16879"/>
      <c r="R16879"/>
      <c r="W16879" s="4"/>
      <c r="X16879" s="4"/>
      <c r="Y16879" s="4"/>
    </row>
    <row r="16880" spans="5:25">
      <c r="E16880"/>
      <c r="G16880"/>
      <c r="H16880"/>
      <c r="I16880"/>
      <c r="K16880"/>
      <c r="O16880"/>
      <c r="R16880"/>
      <c r="W16880" s="4"/>
      <c r="X16880" s="4"/>
      <c r="Y16880" s="4"/>
    </row>
    <row r="16881" spans="5:25">
      <c r="E16881"/>
      <c r="G16881"/>
      <c r="H16881"/>
      <c r="I16881"/>
      <c r="K16881"/>
      <c r="O16881"/>
      <c r="R16881"/>
      <c r="W16881" s="4"/>
      <c r="X16881" s="4"/>
      <c r="Y16881" s="4"/>
    </row>
    <row r="16882" spans="5:25">
      <c r="E16882"/>
      <c r="G16882"/>
      <c r="H16882"/>
      <c r="I16882"/>
      <c r="K16882"/>
      <c r="O16882"/>
      <c r="R16882"/>
      <c r="W16882" s="4"/>
      <c r="X16882" s="4"/>
      <c r="Y16882" s="4"/>
    </row>
    <row r="16883" spans="5:25">
      <c r="E16883"/>
      <c r="G16883"/>
      <c r="H16883"/>
      <c r="I16883"/>
      <c r="K16883"/>
      <c r="O16883"/>
      <c r="R16883"/>
      <c r="W16883" s="4"/>
      <c r="X16883" s="4"/>
      <c r="Y16883" s="4"/>
    </row>
    <row r="16884" spans="5:25">
      <c r="E16884"/>
      <c r="G16884"/>
      <c r="H16884"/>
      <c r="I16884"/>
      <c r="K16884"/>
      <c r="O16884"/>
      <c r="R16884"/>
      <c r="W16884" s="4"/>
      <c r="X16884" s="4"/>
      <c r="Y16884" s="4"/>
    </row>
    <row r="16885" spans="5:25">
      <c r="E16885"/>
      <c r="G16885"/>
      <c r="H16885"/>
      <c r="I16885"/>
      <c r="K16885"/>
      <c r="O16885"/>
      <c r="R16885"/>
      <c r="W16885" s="4"/>
      <c r="X16885" s="4"/>
      <c r="Y16885" s="4"/>
    </row>
    <row r="16886" spans="5:25">
      <c r="E16886"/>
      <c r="G16886"/>
      <c r="H16886"/>
      <c r="I16886"/>
      <c r="K16886"/>
      <c r="O16886"/>
      <c r="R16886"/>
      <c r="W16886" s="4"/>
      <c r="X16886" s="4"/>
      <c r="Y16886" s="4"/>
    </row>
    <row r="16887" spans="5:25">
      <c r="E16887"/>
      <c r="G16887"/>
      <c r="H16887"/>
      <c r="I16887"/>
      <c r="K16887"/>
      <c r="O16887"/>
      <c r="R16887"/>
      <c r="W16887" s="4"/>
      <c r="X16887" s="4"/>
      <c r="Y16887" s="4"/>
    </row>
    <row r="16888" spans="5:25">
      <c r="E16888"/>
      <c r="G16888"/>
      <c r="H16888"/>
      <c r="I16888"/>
      <c r="K16888"/>
      <c r="O16888"/>
      <c r="R16888"/>
      <c r="W16888" s="4"/>
      <c r="X16888" s="4"/>
      <c r="Y16888" s="4"/>
    </row>
    <row r="16889" spans="5:25">
      <c r="E16889"/>
      <c r="G16889"/>
      <c r="H16889"/>
      <c r="I16889"/>
      <c r="K16889"/>
      <c r="O16889"/>
      <c r="R16889"/>
      <c r="W16889" s="4"/>
      <c r="X16889" s="4"/>
      <c r="Y16889" s="4"/>
    </row>
    <row r="16890" spans="5:25">
      <c r="E16890"/>
      <c r="G16890"/>
      <c r="H16890"/>
      <c r="I16890"/>
      <c r="K16890"/>
      <c r="O16890"/>
      <c r="R16890"/>
      <c r="W16890" s="4"/>
      <c r="X16890" s="4"/>
      <c r="Y16890" s="4"/>
    </row>
    <row r="16891" spans="5:25">
      <c r="E16891"/>
      <c r="G16891"/>
      <c r="H16891"/>
      <c r="I16891"/>
      <c r="K16891"/>
      <c r="O16891"/>
      <c r="R16891"/>
      <c r="W16891" s="4"/>
      <c r="X16891" s="4"/>
      <c r="Y16891" s="4"/>
    </row>
    <row r="16892" spans="5:25">
      <c r="E16892"/>
      <c r="G16892"/>
      <c r="H16892"/>
      <c r="I16892"/>
      <c r="K16892"/>
      <c r="O16892"/>
      <c r="R16892"/>
      <c r="W16892" s="4"/>
      <c r="X16892" s="4"/>
      <c r="Y16892" s="4"/>
    </row>
    <row r="16893" spans="5:25">
      <c r="E16893"/>
      <c r="G16893"/>
      <c r="H16893"/>
      <c r="I16893"/>
      <c r="K16893"/>
      <c r="O16893"/>
      <c r="R16893"/>
      <c r="W16893" s="4"/>
      <c r="X16893" s="4"/>
      <c r="Y16893" s="4"/>
    </row>
    <row r="16894" spans="5:25">
      <c r="E16894"/>
      <c r="G16894"/>
      <c r="H16894"/>
      <c r="I16894"/>
      <c r="K16894"/>
      <c r="O16894"/>
      <c r="R16894"/>
      <c r="W16894" s="4"/>
      <c r="X16894" s="4"/>
      <c r="Y16894" s="4"/>
    </row>
    <row r="16895" spans="5:25">
      <c r="E16895"/>
      <c r="G16895"/>
      <c r="H16895"/>
      <c r="I16895"/>
      <c r="K16895"/>
      <c r="O16895"/>
      <c r="R16895"/>
      <c r="W16895" s="4"/>
      <c r="X16895" s="4"/>
      <c r="Y16895" s="4"/>
    </row>
    <row r="16896" spans="5:25">
      <c r="E16896"/>
      <c r="G16896"/>
      <c r="H16896"/>
      <c r="I16896"/>
      <c r="K16896"/>
      <c r="O16896"/>
      <c r="R16896"/>
      <c r="W16896" s="4"/>
      <c r="X16896" s="4"/>
      <c r="Y16896" s="4"/>
    </row>
    <row r="16897" spans="5:25">
      <c r="E16897"/>
      <c r="G16897"/>
      <c r="H16897"/>
      <c r="I16897"/>
      <c r="K16897"/>
      <c r="O16897"/>
      <c r="R16897"/>
      <c r="W16897" s="4"/>
      <c r="X16897" s="4"/>
      <c r="Y16897" s="4"/>
    </row>
    <row r="16898" spans="5:25">
      <c r="E16898"/>
      <c r="G16898"/>
      <c r="H16898"/>
      <c r="I16898"/>
      <c r="K16898"/>
      <c r="O16898"/>
      <c r="R16898"/>
      <c r="W16898" s="4"/>
      <c r="X16898" s="4"/>
      <c r="Y16898" s="4"/>
    </row>
    <row r="16899" spans="5:25">
      <c r="E16899"/>
      <c r="G16899"/>
      <c r="H16899"/>
      <c r="I16899"/>
      <c r="K16899"/>
      <c r="O16899"/>
      <c r="R16899"/>
      <c r="W16899" s="4"/>
      <c r="X16899" s="4"/>
      <c r="Y16899" s="4"/>
    </row>
    <row r="16900" spans="5:25">
      <c r="E16900"/>
      <c r="G16900"/>
      <c r="H16900"/>
      <c r="I16900"/>
      <c r="K16900"/>
      <c r="O16900"/>
      <c r="R16900"/>
      <c r="W16900" s="4"/>
      <c r="X16900" s="4"/>
      <c r="Y16900" s="4"/>
    </row>
    <row r="16901" spans="5:25">
      <c r="E16901"/>
      <c r="G16901"/>
      <c r="H16901"/>
      <c r="I16901"/>
      <c r="K16901"/>
      <c r="O16901"/>
      <c r="R16901"/>
      <c r="W16901" s="4"/>
      <c r="X16901" s="4"/>
      <c r="Y16901" s="4"/>
    </row>
    <row r="16902" spans="5:25">
      <c r="E16902"/>
      <c r="G16902"/>
      <c r="H16902"/>
      <c r="I16902"/>
      <c r="K16902"/>
      <c r="O16902"/>
      <c r="R16902"/>
      <c r="W16902" s="4"/>
      <c r="X16902" s="4"/>
      <c r="Y16902" s="4"/>
    </row>
    <row r="16903" spans="5:25">
      <c r="E16903"/>
      <c r="G16903"/>
      <c r="H16903"/>
      <c r="I16903"/>
      <c r="K16903"/>
      <c r="O16903"/>
      <c r="R16903"/>
      <c r="W16903" s="4"/>
      <c r="X16903" s="4"/>
      <c r="Y16903" s="4"/>
    </row>
    <row r="16904" spans="5:25">
      <c r="E16904"/>
      <c r="G16904"/>
      <c r="H16904"/>
      <c r="I16904"/>
      <c r="K16904"/>
      <c r="O16904"/>
      <c r="R16904"/>
      <c r="W16904" s="4"/>
      <c r="X16904" s="4"/>
      <c r="Y16904" s="4"/>
    </row>
    <row r="16905" spans="5:25">
      <c r="E16905"/>
      <c r="G16905"/>
      <c r="H16905"/>
      <c r="I16905"/>
      <c r="K16905"/>
      <c r="O16905"/>
      <c r="R16905"/>
      <c r="W16905" s="4"/>
      <c r="X16905" s="4"/>
      <c r="Y16905" s="4"/>
    </row>
    <row r="16906" spans="5:25">
      <c r="E16906"/>
      <c r="G16906"/>
      <c r="H16906"/>
      <c r="I16906"/>
      <c r="K16906"/>
      <c r="O16906"/>
      <c r="R16906"/>
      <c r="W16906" s="4"/>
      <c r="X16906" s="4"/>
      <c r="Y16906" s="4"/>
    </row>
    <row r="16907" spans="5:25">
      <c r="E16907"/>
      <c r="G16907"/>
      <c r="H16907"/>
      <c r="I16907"/>
      <c r="K16907"/>
      <c r="O16907"/>
      <c r="R16907"/>
      <c r="W16907" s="4"/>
      <c r="X16907" s="4"/>
      <c r="Y16907" s="4"/>
    </row>
    <row r="16908" spans="5:25">
      <c r="E16908"/>
      <c r="G16908"/>
      <c r="H16908"/>
      <c r="I16908"/>
      <c r="K16908"/>
      <c r="O16908"/>
      <c r="R16908"/>
      <c r="W16908" s="4"/>
      <c r="X16908" s="4"/>
      <c r="Y16908" s="4"/>
    </row>
    <row r="16909" spans="5:25">
      <c r="E16909"/>
      <c r="G16909"/>
      <c r="H16909"/>
      <c r="I16909"/>
      <c r="K16909"/>
      <c r="O16909"/>
      <c r="R16909"/>
      <c r="W16909" s="4"/>
      <c r="X16909" s="4"/>
      <c r="Y16909" s="4"/>
    </row>
    <row r="16910" spans="5:25">
      <c r="E16910"/>
      <c r="G16910"/>
      <c r="H16910"/>
      <c r="I16910"/>
      <c r="K16910"/>
      <c r="O16910"/>
      <c r="R16910"/>
      <c r="W16910" s="4"/>
      <c r="X16910" s="4"/>
      <c r="Y16910" s="4"/>
    </row>
    <row r="16911" spans="5:25">
      <c r="E16911"/>
      <c r="G16911"/>
      <c r="H16911"/>
      <c r="I16911"/>
      <c r="K16911"/>
      <c r="O16911"/>
      <c r="R16911"/>
      <c r="W16911" s="4"/>
      <c r="X16911" s="4"/>
      <c r="Y16911" s="4"/>
    </row>
    <row r="16912" spans="5:25">
      <c r="E16912"/>
      <c r="G16912"/>
      <c r="H16912"/>
      <c r="I16912"/>
      <c r="K16912"/>
      <c r="O16912"/>
      <c r="R16912"/>
      <c r="W16912" s="4"/>
      <c r="X16912" s="4"/>
      <c r="Y16912" s="4"/>
    </row>
    <row r="16913" spans="5:25">
      <c r="E16913"/>
      <c r="G16913"/>
      <c r="H16913"/>
      <c r="I16913"/>
      <c r="K16913"/>
      <c r="O16913"/>
      <c r="R16913"/>
      <c r="W16913" s="4"/>
      <c r="X16913" s="4"/>
      <c r="Y16913" s="4"/>
    </row>
    <row r="16914" spans="5:25">
      <c r="E16914"/>
      <c r="G16914"/>
      <c r="H16914"/>
      <c r="I16914"/>
      <c r="K16914"/>
      <c r="O16914"/>
      <c r="R16914"/>
      <c r="W16914" s="4"/>
      <c r="X16914" s="4"/>
      <c r="Y16914" s="4"/>
    </row>
    <row r="16915" spans="5:25">
      <c r="E16915"/>
      <c r="G16915"/>
      <c r="H16915"/>
      <c r="I16915"/>
      <c r="K16915"/>
      <c r="O16915"/>
      <c r="R16915"/>
      <c r="W16915" s="4"/>
      <c r="X16915" s="4"/>
      <c r="Y16915" s="4"/>
    </row>
    <row r="16916" spans="5:25">
      <c r="E16916"/>
      <c r="G16916"/>
      <c r="H16916"/>
      <c r="I16916"/>
      <c r="K16916"/>
      <c r="O16916"/>
      <c r="R16916"/>
      <c r="W16916" s="4"/>
      <c r="X16916" s="4"/>
      <c r="Y16916" s="4"/>
    </row>
    <row r="16917" spans="5:25">
      <c r="E16917"/>
      <c r="G16917"/>
      <c r="H16917"/>
      <c r="I16917"/>
      <c r="K16917"/>
      <c r="O16917"/>
      <c r="R16917"/>
      <c r="W16917" s="4"/>
      <c r="X16917" s="4"/>
      <c r="Y16917" s="4"/>
    </row>
    <row r="16918" spans="5:25">
      <c r="E16918"/>
      <c r="G16918"/>
      <c r="H16918"/>
      <c r="I16918"/>
      <c r="K16918"/>
      <c r="O16918"/>
      <c r="R16918"/>
      <c r="W16918" s="4"/>
      <c r="X16918" s="4"/>
      <c r="Y16918" s="4"/>
    </row>
    <row r="16919" spans="5:25">
      <c r="E16919"/>
      <c r="G16919"/>
      <c r="H16919"/>
      <c r="I16919"/>
      <c r="K16919"/>
      <c r="O16919"/>
      <c r="R16919"/>
      <c r="W16919" s="4"/>
      <c r="X16919" s="4"/>
      <c r="Y16919" s="4"/>
    </row>
    <row r="16920" spans="5:25">
      <c r="E16920"/>
      <c r="G16920"/>
      <c r="H16920"/>
      <c r="I16920"/>
      <c r="K16920"/>
      <c r="O16920"/>
      <c r="R16920"/>
      <c r="W16920" s="4"/>
      <c r="X16920" s="4"/>
      <c r="Y16920" s="4"/>
    </row>
    <row r="16921" spans="5:25">
      <c r="E16921"/>
      <c r="G16921"/>
      <c r="H16921"/>
      <c r="I16921"/>
      <c r="K16921"/>
      <c r="O16921"/>
      <c r="R16921"/>
      <c r="W16921" s="4"/>
      <c r="X16921" s="4"/>
      <c r="Y16921" s="4"/>
    </row>
    <row r="16922" spans="5:25">
      <c r="E16922"/>
      <c r="G16922"/>
      <c r="H16922"/>
      <c r="I16922"/>
      <c r="K16922"/>
      <c r="O16922"/>
      <c r="R16922"/>
      <c r="W16922" s="4"/>
      <c r="X16922" s="4"/>
      <c r="Y16922" s="4"/>
    </row>
    <row r="16923" spans="5:25">
      <c r="E16923"/>
      <c r="G16923"/>
      <c r="H16923"/>
      <c r="I16923"/>
      <c r="K16923"/>
      <c r="O16923"/>
      <c r="R16923"/>
      <c r="W16923" s="4"/>
      <c r="X16923" s="4"/>
      <c r="Y16923" s="4"/>
    </row>
    <row r="16924" spans="5:25">
      <c r="E16924"/>
      <c r="G16924"/>
      <c r="H16924"/>
      <c r="I16924"/>
      <c r="K16924"/>
      <c r="O16924"/>
      <c r="R16924"/>
      <c r="W16924" s="4"/>
      <c r="X16924" s="4"/>
      <c r="Y16924" s="4"/>
    </row>
    <row r="16925" spans="5:25">
      <c r="E16925"/>
      <c r="G16925"/>
      <c r="H16925"/>
      <c r="I16925"/>
      <c r="K16925"/>
      <c r="O16925"/>
      <c r="R16925"/>
      <c r="W16925" s="4"/>
      <c r="X16925" s="4"/>
      <c r="Y16925" s="4"/>
    </row>
    <row r="16926" spans="5:25">
      <c r="E16926"/>
      <c r="G16926"/>
      <c r="H16926"/>
      <c r="I16926"/>
      <c r="K16926"/>
      <c r="O16926"/>
      <c r="R16926"/>
      <c r="W16926" s="4"/>
      <c r="X16926" s="4"/>
      <c r="Y16926" s="4"/>
    </row>
    <row r="16927" spans="5:25">
      <c r="E16927"/>
      <c r="G16927"/>
      <c r="H16927"/>
      <c r="I16927"/>
      <c r="K16927"/>
      <c r="O16927"/>
      <c r="R16927"/>
      <c r="W16927" s="4"/>
      <c r="X16927" s="4"/>
      <c r="Y16927" s="4"/>
    </row>
    <row r="16928" spans="5:25">
      <c r="E16928"/>
      <c r="G16928"/>
      <c r="H16928"/>
      <c r="I16928"/>
      <c r="K16928"/>
      <c r="O16928"/>
      <c r="R16928"/>
      <c r="W16928" s="4"/>
      <c r="X16928" s="4"/>
      <c r="Y16928" s="4"/>
    </row>
    <row r="16929" spans="5:25">
      <c r="E16929"/>
      <c r="G16929"/>
      <c r="H16929"/>
      <c r="I16929"/>
      <c r="K16929"/>
      <c r="O16929"/>
      <c r="R16929"/>
      <c r="W16929" s="4"/>
      <c r="X16929" s="4"/>
      <c r="Y16929" s="4"/>
    </row>
    <row r="16930" spans="5:25">
      <c r="E16930"/>
      <c r="G16930"/>
      <c r="H16930"/>
      <c r="I16930"/>
      <c r="K16930"/>
      <c r="O16930"/>
      <c r="R16930"/>
      <c r="W16930" s="4"/>
      <c r="X16930" s="4"/>
      <c r="Y16930" s="4"/>
    </row>
    <row r="16931" spans="5:25">
      <c r="E16931"/>
      <c r="G16931"/>
      <c r="H16931"/>
      <c r="I16931"/>
      <c r="K16931"/>
      <c r="O16931"/>
      <c r="R16931"/>
      <c r="W16931" s="4"/>
      <c r="X16931" s="4"/>
      <c r="Y16931" s="4"/>
    </row>
    <row r="16932" spans="5:25">
      <c r="E16932"/>
      <c r="G16932"/>
      <c r="H16932"/>
      <c r="I16932"/>
      <c r="K16932"/>
      <c r="O16932"/>
      <c r="R16932"/>
      <c r="W16932" s="4"/>
      <c r="X16932" s="4"/>
      <c r="Y16932" s="4"/>
    </row>
    <row r="16933" spans="5:25">
      <c r="E16933"/>
      <c r="G16933"/>
      <c r="H16933"/>
      <c r="I16933"/>
      <c r="K16933"/>
      <c r="O16933"/>
      <c r="R16933"/>
      <c r="W16933" s="4"/>
      <c r="X16933" s="4"/>
      <c r="Y16933" s="4"/>
    </row>
    <row r="16934" spans="5:25">
      <c r="E16934"/>
      <c r="G16934"/>
      <c r="H16934"/>
      <c r="I16934"/>
      <c r="K16934"/>
      <c r="O16934"/>
      <c r="R16934"/>
      <c r="W16934" s="4"/>
      <c r="X16934" s="4"/>
      <c r="Y16934" s="4"/>
    </row>
    <row r="16935" spans="5:25">
      <c r="E16935"/>
      <c r="G16935"/>
      <c r="H16935"/>
      <c r="I16935"/>
      <c r="K16935"/>
      <c r="O16935"/>
      <c r="R16935"/>
      <c r="W16935" s="4"/>
      <c r="X16935" s="4"/>
      <c r="Y16935" s="4"/>
    </row>
    <row r="16936" spans="5:25">
      <c r="E16936"/>
      <c r="G16936"/>
      <c r="H16936"/>
      <c r="I16936"/>
      <c r="K16936"/>
      <c r="O16936"/>
      <c r="R16936"/>
      <c r="W16936" s="4"/>
      <c r="X16936" s="4"/>
      <c r="Y16936" s="4"/>
    </row>
    <row r="16937" spans="5:25">
      <c r="E16937"/>
      <c r="G16937"/>
      <c r="H16937"/>
      <c r="I16937"/>
      <c r="K16937"/>
      <c r="O16937"/>
      <c r="R16937"/>
      <c r="W16937" s="4"/>
      <c r="X16937" s="4"/>
      <c r="Y16937" s="4"/>
    </row>
    <row r="16938" spans="5:25">
      <c r="E16938"/>
      <c r="G16938"/>
      <c r="H16938"/>
      <c r="I16938"/>
      <c r="K16938"/>
      <c r="O16938"/>
      <c r="R16938"/>
      <c r="W16938" s="4"/>
      <c r="X16938" s="4"/>
      <c r="Y16938" s="4"/>
    </row>
    <row r="16939" spans="5:25">
      <c r="E16939"/>
      <c r="G16939"/>
      <c r="H16939"/>
      <c r="I16939"/>
      <c r="K16939"/>
      <c r="O16939"/>
      <c r="R16939"/>
      <c r="W16939" s="4"/>
      <c r="X16939" s="4"/>
      <c r="Y16939" s="4"/>
    </row>
    <row r="16940" spans="5:25">
      <c r="E16940"/>
      <c r="G16940"/>
      <c r="H16940"/>
      <c r="I16940"/>
      <c r="K16940"/>
      <c r="O16940"/>
      <c r="R16940"/>
      <c r="W16940" s="4"/>
      <c r="X16940" s="4"/>
      <c r="Y16940" s="4"/>
    </row>
    <row r="16941" spans="5:25">
      <c r="E16941"/>
      <c r="G16941"/>
      <c r="H16941"/>
      <c r="I16941"/>
      <c r="K16941"/>
      <c r="O16941"/>
      <c r="R16941"/>
      <c r="W16941" s="4"/>
      <c r="X16941" s="4"/>
      <c r="Y16941" s="4"/>
    </row>
    <row r="16942" spans="5:25">
      <c r="E16942"/>
      <c r="G16942"/>
      <c r="H16942"/>
      <c r="I16942"/>
      <c r="K16942"/>
      <c r="O16942"/>
      <c r="R16942"/>
      <c r="W16942" s="4"/>
      <c r="X16942" s="4"/>
      <c r="Y16942" s="4"/>
    </row>
    <row r="16943" spans="5:25">
      <c r="E16943"/>
      <c r="G16943"/>
      <c r="H16943"/>
      <c r="I16943"/>
      <c r="K16943"/>
      <c r="O16943"/>
      <c r="R16943"/>
      <c r="W16943" s="4"/>
      <c r="X16943" s="4"/>
      <c r="Y16943" s="4"/>
    </row>
    <row r="16944" spans="5:25">
      <c r="E16944"/>
      <c r="G16944"/>
      <c r="H16944"/>
      <c r="I16944"/>
      <c r="K16944"/>
      <c r="O16944"/>
      <c r="R16944"/>
      <c r="W16944" s="4"/>
      <c r="X16944" s="4"/>
      <c r="Y16944" s="4"/>
    </row>
    <row r="16945" spans="5:25">
      <c r="E16945"/>
      <c r="G16945"/>
      <c r="H16945"/>
      <c r="I16945"/>
      <c r="K16945"/>
      <c r="O16945"/>
      <c r="R16945"/>
      <c r="W16945" s="4"/>
      <c r="X16945" s="4"/>
      <c r="Y16945" s="4"/>
    </row>
    <row r="16946" spans="5:25">
      <c r="E16946"/>
      <c r="G16946"/>
      <c r="H16946"/>
      <c r="I16946"/>
      <c r="K16946"/>
      <c r="O16946"/>
      <c r="R16946"/>
      <c r="W16946" s="4"/>
      <c r="X16946" s="4"/>
      <c r="Y16946" s="4"/>
    </row>
    <row r="16947" spans="5:25">
      <c r="E16947"/>
      <c r="G16947"/>
      <c r="H16947"/>
      <c r="I16947"/>
      <c r="K16947"/>
      <c r="O16947"/>
      <c r="R16947"/>
      <c r="W16947" s="4"/>
      <c r="X16947" s="4"/>
      <c r="Y16947" s="4"/>
    </row>
    <row r="16948" spans="5:25">
      <c r="E16948"/>
      <c r="G16948"/>
      <c r="H16948"/>
      <c r="I16948"/>
      <c r="K16948"/>
      <c r="O16948"/>
      <c r="R16948"/>
      <c r="W16948" s="4"/>
      <c r="X16948" s="4"/>
      <c r="Y16948" s="4"/>
    </row>
    <row r="16949" spans="5:25">
      <c r="E16949"/>
      <c r="G16949"/>
      <c r="H16949"/>
      <c r="I16949"/>
      <c r="K16949"/>
      <c r="O16949"/>
      <c r="R16949"/>
      <c r="W16949" s="4"/>
      <c r="X16949" s="4"/>
      <c r="Y16949" s="4"/>
    </row>
    <row r="16950" spans="5:25">
      <c r="E16950"/>
      <c r="G16950"/>
      <c r="H16950"/>
      <c r="I16950"/>
      <c r="K16950"/>
      <c r="O16950"/>
      <c r="R16950"/>
      <c r="W16950" s="4"/>
      <c r="X16950" s="4"/>
      <c r="Y16950" s="4"/>
    </row>
    <row r="16951" spans="5:25">
      <c r="E16951"/>
      <c r="G16951"/>
      <c r="H16951"/>
      <c r="I16951"/>
      <c r="K16951"/>
      <c r="O16951"/>
      <c r="R16951"/>
      <c r="W16951" s="4"/>
      <c r="X16951" s="4"/>
      <c r="Y16951" s="4"/>
    </row>
    <row r="16952" spans="5:25">
      <c r="E16952"/>
      <c r="G16952"/>
      <c r="H16952"/>
      <c r="I16952"/>
      <c r="K16952"/>
      <c r="O16952"/>
      <c r="R16952"/>
      <c r="W16952" s="4"/>
      <c r="X16952" s="4"/>
      <c r="Y16952" s="4"/>
    </row>
    <row r="16953" spans="5:25">
      <c r="E16953"/>
      <c r="G16953"/>
      <c r="H16953"/>
      <c r="I16953"/>
      <c r="K16953"/>
      <c r="O16953"/>
      <c r="R16953"/>
      <c r="W16953" s="4"/>
      <c r="X16953" s="4"/>
      <c r="Y16953" s="4"/>
    </row>
    <row r="16954" spans="5:25">
      <c r="E16954"/>
      <c r="G16954"/>
      <c r="H16954"/>
      <c r="I16954"/>
      <c r="K16954"/>
      <c r="O16954"/>
      <c r="R16954"/>
      <c r="W16954" s="4"/>
      <c r="X16954" s="4"/>
      <c r="Y16954" s="4"/>
    </row>
    <row r="16955" spans="5:25">
      <c r="E16955"/>
      <c r="G16955"/>
      <c r="H16955"/>
      <c r="I16955"/>
      <c r="K16955"/>
      <c r="O16955"/>
      <c r="R16955"/>
      <c r="W16955" s="4"/>
      <c r="X16955" s="4"/>
      <c r="Y16955" s="4"/>
    </row>
    <row r="16956" spans="5:25">
      <c r="E16956"/>
      <c r="G16956"/>
      <c r="H16956"/>
      <c r="I16956"/>
      <c r="K16956"/>
      <c r="O16956"/>
      <c r="R16956"/>
      <c r="W16956" s="4"/>
      <c r="X16956" s="4"/>
      <c r="Y16956" s="4"/>
    </row>
    <row r="16957" spans="5:25">
      <c r="E16957"/>
      <c r="G16957"/>
      <c r="H16957"/>
      <c r="I16957"/>
      <c r="K16957"/>
      <c r="O16957"/>
      <c r="R16957"/>
      <c r="W16957" s="4"/>
      <c r="X16957" s="4"/>
      <c r="Y16957" s="4"/>
    </row>
    <row r="16958" spans="5:25">
      <c r="E16958"/>
      <c r="G16958"/>
      <c r="H16958"/>
      <c r="I16958"/>
      <c r="K16958"/>
      <c r="O16958"/>
      <c r="R16958"/>
      <c r="W16958" s="4"/>
      <c r="X16958" s="4"/>
      <c r="Y16958" s="4"/>
    </row>
    <row r="16959" spans="5:25">
      <c r="E16959"/>
      <c r="G16959"/>
      <c r="H16959"/>
      <c r="I16959"/>
      <c r="K16959"/>
      <c r="O16959"/>
      <c r="R16959"/>
      <c r="W16959" s="4"/>
      <c r="X16959" s="4"/>
      <c r="Y16959" s="4"/>
    </row>
    <row r="16960" spans="5:25">
      <c r="E16960"/>
      <c r="G16960"/>
      <c r="H16960"/>
      <c r="I16960"/>
      <c r="K16960"/>
      <c r="O16960"/>
      <c r="R16960"/>
      <c r="W16960" s="4"/>
      <c r="X16960" s="4"/>
      <c r="Y16960" s="4"/>
    </row>
    <row r="16961" spans="5:25">
      <c r="E16961"/>
      <c r="G16961"/>
      <c r="H16961"/>
      <c r="I16961"/>
      <c r="K16961"/>
      <c r="O16961"/>
      <c r="R16961"/>
      <c r="W16961" s="4"/>
      <c r="X16961" s="4"/>
      <c r="Y16961" s="4"/>
    </row>
    <row r="16962" spans="5:25">
      <c r="E16962"/>
      <c r="G16962"/>
      <c r="H16962"/>
      <c r="I16962"/>
      <c r="K16962"/>
      <c r="O16962"/>
      <c r="R16962"/>
      <c r="W16962" s="4"/>
      <c r="X16962" s="4"/>
      <c r="Y16962" s="4"/>
    </row>
    <row r="16963" spans="5:25">
      <c r="E16963"/>
      <c r="G16963"/>
      <c r="H16963"/>
      <c r="I16963"/>
      <c r="K16963"/>
      <c r="O16963"/>
      <c r="R16963"/>
      <c r="W16963" s="4"/>
      <c r="X16963" s="4"/>
      <c r="Y16963" s="4"/>
    </row>
    <row r="16964" spans="5:25">
      <c r="E16964"/>
      <c r="G16964"/>
      <c r="H16964"/>
      <c r="I16964"/>
      <c r="K16964"/>
      <c r="O16964"/>
      <c r="R16964"/>
      <c r="W16964" s="4"/>
      <c r="X16964" s="4"/>
      <c r="Y16964" s="4"/>
    </row>
    <row r="16965" spans="5:25">
      <c r="E16965"/>
      <c r="G16965"/>
      <c r="H16965"/>
      <c r="I16965"/>
      <c r="K16965"/>
      <c r="O16965"/>
      <c r="R16965"/>
      <c r="W16965" s="4"/>
      <c r="X16965" s="4"/>
      <c r="Y16965" s="4"/>
    </row>
    <row r="16966" spans="5:25">
      <c r="E16966"/>
      <c r="G16966"/>
      <c r="H16966"/>
      <c r="I16966"/>
      <c r="K16966"/>
      <c r="O16966"/>
      <c r="R16966"/>
      <c r="W16966" s="4"/>
      <c r="X16966" s="4"/>
      <c r="Y16966" s="4"/>
    </row>
    <row r="16967" spans="5:25">
      <c r="E16967"/>
      <c r="G16967"/>
      <c r="H16967"/>
      <c r="I16967"/>
      <c r="K16967"/>
      <c r="O16967"/>
      <c r="R16967"/>
      <c r="W16967" s="4"/>
      <c r="X16967" s="4"/>
      <c r="Y16967" s="4"/>
    </row>
    <row r="16968" spans="5:25">
      <c r="E16968"/>
      <c r="G16968"/>
      <c r="H16968"/>
      <c r="I16968"/>
      <c r="K16968"/>
      <c r="O16968"/>
      <c r="R16968"/>
      <c r="W16968" s="4"/>
      <c r="X16968" s="4"/>
      <c r="Y16968" s="4"/>
    </row>
    <row r="16969" spans="5:25">
      <c r="E16969"/>
      <c r="G16969"/>
      <c r="H16969"/>
      <c r="I16969"/>
      <c r="K16969"/>
      <c r="O16969"/>
      <c r="R16969"/>
      <c r="W16969" s="4"/>
      <c r="X16969" s="4"/>
      <c r="Y16969" s="4"/>
    </row>
    <row r="16970" spans="5:25">
      <c r="E16970"/>
      <c r="G16970"/>
      <c r="H16970"/>
      <c r="I16970"/>
      <c r="K16970"/>
      <c r="O16970"/>
      <c r="R16970"/>
      <c r="W16970" s="4"/>
      <c r="X16970" s="4"/>
      <c r="Y16970" s="4"/>
    </row>
    <row r="16971" spans="5:25">
      <c r="E16971"/>
      <c r="G16971"/>
      <c r="H16971"/>
      <c r="I16971"/>
      <c r="K16971"/>
      <c r="O16971"/>
      <c r="R16971"/>
      <c r="W16971" s="4"/>
      <c r="X16971" s="4"/>
      <c r="Y16971" s="4"/>
    </row>
    <row r="16972" spans="5:25">
      <c r="E16972"/>
      <c r="G16972"/>
      <c r="H16972"/>
      <c r="I16972"/>
      <c r="K16972"/>
      <c r="O16972"/>
      <c r="R16972"/>
      <c r="W16972" s="4"/>
      <c r="X16972" s="4"/>
      <c r="Y16972" s="4"/>
    </row>
    <row r="16973" spans="5:25">
      <c r="E16973"/>
      <c r="G16973"/>
      <c r="H16973"/>
      <c r="I16973"/>
      <c r="K16973"/>
      <c r="O16973"/>
      <c r="R16973"/>
      <c r="W16973" s="4"/>
      <c r="X16973" s="4"/>
      <c r="Y16973" s="4"/>
    </row>
    <row r="16974" spans="5:25">
      <c r="E16974"/>
      <c r="G16974"/>
      <c r="H16974"/>
      <c r="I16974"/>
      <c r="K16974"/>
      <c r="O16974"/>
      <c r="R16974"/>
      <c r="W16974" s="4"/>
      <c r="X16974" s="4"/>
      <c r="Y16974" s="4"/>
    </row>
    <row r="16975" spans="5:25">
      <c r="E16975"/>
      <c r="G16975"/>
      <c r="H16975"/>
      <c r="I16975"/>
      <c r="K16975"/>
      <c r="O16975"/>
      <c r="R16975"/>
      <c r="W16975" s="4"/>
      <c r="X16975" s="4"/>
      <c r="Y16975" s="4"/>
    </row>
    <row r="16976" spans="5:25">
      <c r="E16976"/>
      <c r="G16976"/>
      <c r="H16976"/>
      <c r="I16976"/>
      <c r="K16976"/>
      <c r="O16976"/>
      <c r="R16976"/>
      <c r="W16976" s="4"/>
      <c r="X16976" s="4"/>
      <c r="Y16976" s="4"/>
    </row>
    <row r="16977" spans="5:25">
      <c r="E16977"/>
      <c r="G16977"/>
      <c r="H16977"/>
      <c r="I16977"/>
      <c r="K16977"/>
      <c r="O16977"/>
      <c r="R16977"/>
      <c r="W16977" s="4"/>
      <c r="X16977" s="4"/>
      <c r="Y16977" s="4"/>
    </row>
    <row r="16978" spans="5:25">
      <c r="E16978"/>
      <c r="G16978"/>
      <c r="H16978"/>
      <c r="I16978"/>
      <c r="K16978"/>
      <c r="O16978"/>
      <c r="R16978"/>
      <c r="W16978" s="4"/>
      <c r="X16978" s="4"/>
      <c r="Y16978" s="4"/>
    </row>
    <row r="16979" spans="5:25">
      <c r="E16979"/>
      <c r="G16979"/>
      <c r="H16979"/>
      <c r="I16979"/>
      <c r="K16979"/>
      <c r="O16979"/>
      <c r="R16979"/>
      <c r="W16979" s="4"/>
      <c r="X16979" s="4"/>
      <c r="Y16979" s="4"/>
    </row>
    <row r="16980" spans="5:25">
      <c r="E16980"/>
      <c r="G16980"/>
      <c r="H16980"/>
      <c r="I16980"/>
      <c r="K16980"/>
      <c r="O16980"/>
      <c r="R16980"/>
      <c r="W16980" s="4"/>
      <c r="X16980" s="4"/>
      <c r="Y16980" s="4"/>
    </row>
    <row r="16981" spans="5:25">
      <c r="E16981"/>
      <c r="G16981"/>
      <c r="H16981"/>
      <c r="I16981"/>
      <c r="K16981"/>
      <c r="O16981"/>
      <c r="R16981"/>
      <c r="W16981" s="4"/>
      <c r="X16981" s="4"/>
      <c r="Y16981" s="4"/>
    </row>
    <row r="16982" spans="5:25">
      <c r="E16982"/>
      <c r="G16982"/>
      <c r="H16982"/>
      <c r="I16982"/>
      <c r="K16982"/>
      <c r="O16982"/>
      <c r="R16982"/>
      <c r="W16982" s="4"/>
      <c r="X16982" s="4"/>
      <c r="Y16982" s="4"/>
    </row>
    <row r="16983" spans="5:25">
      <c r="E16983"/>
      <c r="G16983"/>
      <c r="H16983"/>
      <c r="I16983"/>
      <c r="K16983"/>
      <c r="O16983"/>
      <c r="R16983"/>
      <c r="W16983" s="4"/>
      <c r="X16983" s="4"/>
      <c r="Y16983" s="4"/>
    </row>
    <row r="16984" spans="5:25">
      <c r="E16984"/>
      <c r="G16984"/>
      <c r="H16984"/>
      <c r="I16984"/>
      <c r="K16984"/>
      <c r="O16984"/>
      <c r="R16984"/>
      <c r="W16984" s="4"/>
      <c r="X16984" s="4"/>
      <c r="Y16984" s="4"/>
    </row>
    <row r="16985" spans="5:25">
      <c r="E16985"/>
      <c r="G16985"/>
      <c r="H16985"/>
      <c r="I16985"/>
      <c r="K16985"/>
      <c r="O16985"/>
      <c r="R16985"/>
      <c r="W16985" s="4"/>
      <c r="X16985" s="4"/>
      <c r="Y16985" s="4"/>
    </row>
    <row r="16986" spans="5:25">
      <c r="E16986"/>
      <c r="G16986"/>
      <c r="H16986"/>
      <c r="I16986"/>
      <c r="K16986"/>
      <c r="O16986"/>
      <c r="R16986"/>
      <c r="W16986" s="4"/>
      <c r="X16986" s="4"/>
      <c r="Y16986" s="4"/>
    </row>
    <row r="16987" spans="5:25">
      <c r="E16987"/>
      <c r="G16987"/>
      <c r="H16987"/>
      <c r="I16987"/>
      <c r="K16987"/>
      <c r="O16987"/>
      <c r="R16987"/>
      <c r="W16987" s="4"/>
      <c r="X16987" s="4"/>
      <c r="Y16987" s="4"/>
    </row>
    <row r="16988" spans="5:25">
      <c r="E16988"/>
      <c r="G16988"/>
      <c r="H16988"/>
      <c r="I16988"/>
      <c r="K16988"/>
      <c r="O16988"/>
      <c r="R16988"/>
      <c r="W16988" s="4"/>
      <c r="X16988" s="4"/>
      <c r="Y16988" s="4"/>
    </row>
    <row r="16989" spans="5:25">
      <c r="E16989"/>
      <c r="G16989"/>
      <c r="H16989"/>
      <c r="I16989"/>
      <c r="K16989"/>
      <c r="O16989"/>
      <c r="R16989"/>
      <c r="W16989" s="4"/>
      <c r="X16989" s="4"/>
      <c r="Y16989" s="4"/>
    </row>
    <row r="16990" spans="5:25">
      <c r="E16990"/>
      <c r="G16990"/>
      <c r="H16990"/>
      <c r="I16990"/>
      <c r="K16990"/>
      <c r="O16990"/>
      <c r="R16990"/>
      <c r="W16990" s="4"/>
      <c r="X16990" s="4"/>
      <c r="Y16990" s="4"/>
    </row>
    <row r="16991" spans="5:25">
      <c r="E16991"/>
      <c r="G16991"/>
      <c r="H16991"/>
      <c r="I16991"/>
      <c r="K16991"/>
      <c r="O16991"/>
      <c r="R16991"/>
      <c r="W16991" s="4"/>
      <c r="X16991" s="4"/>
      <c r="Y16991" s="4"/>
    </row>
    <row r="16992" spans="5:25">
      <c r="E16992"/>
      <c r="G16992"/>
      <c r="H16992"/>
      <c r="I16992"/>
      <c r="K16992"/>
      <c r="O16992"/>
      <c r="R16992"/>
      <c r="W16992" s="4"/>
      <c r="X16992" s="4"/>
      <c r="Y16992" s="4"/>
    </row>
    <row r="16993" spans="5:25">
      <c r="E16993"/>
      <c r="G16993"/>
      <c r="H16993"/>
      <c r="I16993"/>
      <c r="K16993"/>
      <c r="O16993"/>
      <c r="R16993"/>
      <c r="W16993" s="4"/>
      <c r="X16993" s="4"/>
      <c r="Y16993" s="4"/>
    </row>
    <row r="16994" spans="5:25">
      <c r="E16994"/>
      <c r="G16994"/>
      <c r="H16994"/>
      <c r="I16994"/>
      <c r="K16994"/>
      <c r="O16994"/>
      <c r="R16994"/>
      <c r="W16994" s="4"/>
      <c r="X16994" s="4"/>
      <c r="Y16994" s="4"/>
    </row>
    <row r="16995" spans="5:25">
      <c r="E16995"/>
      <c r="G16995"/>
      <c r="H16995"/>
      <c r="I16995"/>
      <c r="K16995"/>
      <c r="O16995"/>
      <c r="R16995"/>
      <c r="W16995" s="4"/>
      <c r="X16995" s="4"/>
      <c r="Y16995" s="4"/>
    </row>
    <row r="16996" spans="5:25">
      <c r="E16996"/>
      <c r="G16996"/>
      <c r="H16996"/>
      <c r="I16996"/>
      <c r="K16996"/>
      <c r="O16996"/>
      <c r="R16996"/>
      <c r="W16996" s="4"/>
      <c r="X16996" s="4"/>
      <c r="Y16996" s="4"/>
    </row>
    <row r="16997" spans="5:25">
      <c r="E16997"/>
      <c r="G16997"/>
      <c r="H16997"/>
      <c r="I16997"/>
      <c r="K16997"/>
      <c r="O16997"/>
      <c r="R16997"/>
      <c r="W16997" s="4"/>
      <c r="X16997" s="4"/>
      <c r="Y16997" s="4"/>
    </row>
    <row r="16998" spans="5:25">
      <c r="E16998"/>
      <c r="G16998"/>
      <c r="H16998"/>
      <c r="I16998"/>
      <c r="K16998"/>
      <c r="O16998"/>
      <c r="R16998"/>
      <c r="W16998" s="4"/>
      <c r="X16998" s="4"/>
      <c r="Y16998" s="4"/>
    </row>
    <row r="16999" spans="5:25">
      <c r="E16999"/>
      <c r="G16999"/>
      <c r="H16999"/>
      <c r="I16999"/>
      <c r="K16999"/>
      <c r="O16999"/>
      <c r="R16999"/>
      <c r="W16999" s="4"/>
      <c r="X16999" s="4"/>
      <c r="Y16999" s="4"/>
    </row>
    <row r="17000" spans="5:25">
      <c r="E17000"/>
      <c r="G17000"/>
      <c r="H17000"/>
      <c r="I17000"/>
      <c r="K17000"/>
      <c r="O17000"/>
      <c r="R17000"/>
      <c r="W17000" s="4"/>
      <c r="X17000" s="4"/>
      <c r="Y17000" s="4"/>
    </row>
    <row r="17001" spans="5:25">
      <c r="E17001"/>
      <c r="G17001"/>
      <c r="H17001"/>
      <c r="I17001"/>
      <c r="K17001"/>
      <c r="O17001"/>
      <c r="R17001"/>
      <c r="W17001" s="4"/>
      <c r="X17001" s="4"/>
      <c r="Y17001" s="4"/>
    </row>
    <row r="17002" spans="5:25">
      <c r="E17002"/>
      <c r="G17002"/>
      <c r="H17002"/>
      <c r="I17002"/>
      <c r="K17002"/>
      <c r="O17002"/>
      <c r="R17002"/>
      <c r="W17002" s="4"/>
      <c r="X17002" s="4"/>
      <c r="Y17002" s="4"/>
    </row>
    <row r="17003" spans="5:25">
      <c r="E17003"/>
      <c r="G17003"/>
      <c r="H17003"/>
      <c r="I17003"/>
      <c r="K17003"/>
      <c r="O17003"/>
      <c r="R17003"/>
      <c r="W17003" s="4"/>
      <c r="X17003" s="4"/>
      <c r="Y17003" s="4"/>
    </row>
    <row r="17004" spans="5:25">
      <c r="E17004"/>
      <c r="G17004"/>
      <c r="H17004"/>
      <c r="I17004"/>
      <c r="K17004"/>
      <c r="O17004"/>
      <c r="R17004"/>
      <c r="W17004" s="4"/>
      <c r="X17004" s="4"/>
      <c r="Y17004" s="4"/>
    </row>
    <row r="17005" spans="5:25">
      <c r="E17005"/>
      <c r="G17005"/>
      <c r="H17005"/>
      <c r="I17005"/>
      <c r="K17005"/>
      <c r="O17005"/>
      <c r="R17005"/>
      <c r="W17005" s="4"/>
      <c r="X17005" s="4"/>
      <c r="Y17005" s="4"/>
    </row>
    <row r="17006" spans="5:25">
      <c r="E17006"/>
      <c r="G17006"/>
      <c r="H17006"/>
      <c r="I17006"/>
      <c r="K17006"/>
      <c r="O17006"/>
      <c r="R17006"/>
      <c r="W17006" s="4"/>
      <c r="X17006" s="4"/>
      <c r="Y17006" s="4"/>
    </row>
    <row r="17007" spans="5:25">
      <c r="E17007"/>
      <c r="G17007"/>
      <c r="H17007"/>
      <c r="I17007"/>
      <c r="K17007"/>
      <c r="O17007"/>
      <c r="R17007"/>
      <c r="W17007" s="4"/>
      <c r="X17007" s="4"/>
      <c r="Y17007" s="4"/>
    </row>
    <row r="17008" spans="5:25">
      <c r="E17008"/>
      <c r="G17008"/>
      <c r="H17008"/>
      <c r="I17008"/>
      <c r="K17008"/>
      <c r="O17008"/>
      <c r="R17008"/>
      <c r="W17008" s="4"/>
      <c r="X17008" s="4"/>
      <c r="Y17008" s="4"/>
    </row>
    <row r="17009" spans="5:25">
      <c r="E17009"/>
      <c r="G17009"/>
      <c r="H17009"/>
      <c r="I17009"/>
      <c r="K17009"/>
      <c r="O17009"/>
      <c r="R17009"/>
      <c r="W17009" s="4"/>
      <c r="X17009" s="4"/>
      <c r="Y17009" s="4"/>
    </row>
    <row r="17010" spans="5:25">
      <c r="E17010"/>
      <c r="G17010"/>
      <c r="H17010"/>
      <c r="I17010"/>
      <c r="K17010"/>
      <c r="O17010"/>
      <c r="R17010"/>
      <c r="W17010" s="4"/>
      <c r="X17010" s="4"/>
      <c r="Y17010" s="4"/>
    </row>
    <row r="17011" spans="5:25">
      <c r="E17011"/>
      <c r="G17011"/>
      <c r="H17011"/>
      <c r="I17011"/>
      <c r="K17011"/>
      <c r="O17011"/>
      <c r="R17011"/>
      <c r="W17011" s="4"/>
      <c r="X17011" s="4"/>
      <c r="Y17011" s="4"/>
    </row>
    <row r="17012" spans="5:25">
      <c r="E17012"/>
      <c r="G17012"/>
      <c r="H17012"/>
      <c r="I17012"/>
      <c r="K17012"/>
      <c r="O17012"/>
      <c r="R17012"/>
      <c r="W17012" s="4"/>
      <c r="X17012" s="4"/>
      <c r="Y17012" s="4"/>
    </row>
    <row r="17013" spans="5:25">
      <c r="E17013"/>
      <c r="G17013"/>
      <c r="H17013"/>
      <c r="I17013"/>
      <c r="K17013"/>
      <c r="O17013"/>
      <c r="R17013"/>
      <c r="W17013" s="4"/>
      <c r="X17013" s="4"/>
      <c r="Y17013" s="4"/>
    </row>
    <row r="17014" spans="5:25">
      <c r="E17014"/>
      <c r="G17014"/>
      <c r="H17014"/>
      <c r="I17014"/>
      <c r="K17014"/>
      <c r="O17014"/>
      <c r="R17014"/>
      <c r="W17014" s="4"/>
      <c r="X17014" s="4"/>
      <c r="Y17014" s="4"/>
    </row>
    <row r="17015" spans="5:25">
      <c r="E17015"/>
      <c r="G17015"/>
      <c r="H17015"/>
      <c r="I17015"/>
      <c r="K17015"/>
      <c r="O17015"/>
      <c r="R17015"/>
      <c r="W17015" s="4"/>
      <c r="X17015" s="4"/>
      <c r="Y17015" s="4"/>
    </row>
    <row r="17016" spans="5:25">
      <c r="E17016"/>
      <c r="G17016"/>
      <c r="H17016"/>
      <c r="I17016"/>
      <c r="K17016"/>
      <c r="O17016"/>
      <c r="R17016"/>
      <c r="W17016" s="4"/>
      <c r="X17016" s="4"/>
      <c r="Y17016" s="4"/>
    </row>
    <row r="17017" spans="5:25">
      <c r="E17017"/>
      <c r="G17017"/>
      <c r="H17017"/>
      <c r="I17017"/>
      <c r="K17017"/>
      <c r="O17017"/>
      <c r="R17017"/>
      <c r="W17017" s="4"/>
      <c r="X17017" s="4"/>
      <c r="Y17017" s="4"/>
    </row>
    <row r="17018" spans="5:25">
      <c r="E17018"/>
      <c r="G17018"/>
      <c r="H17018"/>
      <c r="I17018"/>
      <c r="K17018"/>
      <c r="O17018"/>
      <c r="R17018"/>
      <c r="W17018" s="4"/>
      <c r="X17018" s="4"/>
      <c r="Y17018" s="4"/>
    </row>
    <row r="17019" spans="5:25">
      <c r="E17019"/>
      <c r="G17019"/>
      <c r="H17019"/>
      <c r="I17019"/>
      <c r="K17019"/>
      <c r="O17019"/>
      <c r="R17019"/>
      <c r="W17019" s="4"/>
      <c r="X17019" s="4"/>
      <c r="Y17019" s="4"/>
    </row>
    <row r="17020" spans="5:25">
      <c r="E17020"/>
      <c r="G17020"/>
      <c r="H17020"/>
      <c r="I17020"/>
      <c r="K17020"/>
      <c r="O17020"/>
      <c r="R17020"/>
      <c r="W17020" s="4"/>
      <c r="X17020" s="4"/>
      <c r="Y17020" s="4"/>
    </row>
    <row r="17021" spans="5:25">
      <c r="E17021"/>
      <c r="G17021"/>
      <c r="H17021"/>
      <c r="I17021"/>
      <c r="K17021"/>
      <c r="O17021"/>
      <c r="R17021"/>
      <c r="W17021" s="4"/>
      <c r="X17021" s="4"/>
      <c r="Y17021" s="4"/>
    </row>
    <row r="17022" spans="5:25">
      <c r="E17022"/>
      <c r="G17022"/>
      <c r="H17022"/>
      <c r="I17022"/>
      <c r="K17022"/>
      <c r="O17022"/>
      <c r="R17022"/>
      <c r="W17022" s="4"/>
      <c r="X17022" s="4"/>
      <c r="Y17022" s="4"/>
    </row>
    <row r="17023" spans="5:25">
      <c r="E17023"/>
      <c r="G17023"/>
      <c r="H17023"/>
      <c r="I17023"/>
      <c r="K17023"/>
      <c r="O17023"/>
      <c r="R17023"/>
      <c r="W17023" s="4"/>
      <c r="X17023" s="4"/>
      <c r="Y17023" s="4"/>
    </row>
    <row r="17024" spans="5:25">
      <c r="E17024"/>
      <c r="G17024"/>
      <c r="H17024"/>
      <c r="I17024"/>
      <c r="K17024"/>
      <c r="O17024"/>
      <c r="R17024"/>
      <c r="W17024" s="4"/>
      <c r="X17024" s="4"/>
      <c r="Y17024" s="4"/>
    </row>
    <row r="17025" spans="5:25">
      <c r="E17025"/>
      <c r="G17025"/>
      <c r="H17025"/>
      <c r="I17025"/>
      <c r="K17025"/>
      <c r="O17025"/>
      <c r="R17025"/>
      <c r="W17025" s="4"/>
      <c r="X17025" s="4"/>
      <c r="Y17025" s="4"/>
    </row>
    <row r="17026" spans="5:25">
      <c r="E17026"/>
      <c r="G17026"/>
      <c r="H17026"/>
      <c r="I17026"/>
      <c r="K17026"/>
      <c r="O17026"/>
      <c r="R17026"/>
      <c r="W17026" s="4"/>
      <c r="X17026" s="4"/>
      <c r="Y17026" s="4"/>
    </row>
    <row r="17027" spans="5:25">
      <c r="E17027"/>
      <c r="G17027"/>
      <c r="H17027"/>
      <c r="I17027"/>
      <c r="K17027"/>
      <c r="O17027"/>
      <c r="R17027"/>
      <c r="W17027" s="4"/>
      <c r="X17027" s="4"/>
      <c r="Y17027" s="4"/>
    </row>
    <row r="17028" spans="5:25">
      <c r="E17028"/>
      <c r="G17028"/>
      <c r="H17028"/>
      <c r="I17028"/>
      <c r="K17028"/>
      <c r="O17028"/>
      <c r="R17028"/>
      <c r="W17028" s="4"/>
      <c r="X17028" s="4"/>
      <c r="Y17028" s="4"/>
    </row>
    <row r="17029" spans="5:25">
      <c r="E17029"/>
      <c r="G17029"/>
      <c r="H17029"/>
      <c r="I17029"/>
      <c r="K17029"/>
      <c r="O17029"/>
      <c r="R17029"/>
      <c r="W17029" s="4"/>
      <c r="X17029" s="4"/>
      <c r="Y17029" s="4"/>
    </row>
    <row r="17030" spans="5:25">
      <c r="E17030"/>
      <c r="G17030"/>
      <c r="H17030"/>
      <c r="I17030"/>
      <c r="K17030"/>
      <c r="O17030"/>
      <c r="R17030"/>
      <c r="W17030" s="4"/>
      <c r="X17030" s="4"/>
      <c r="Y17030" s="4"/>
    </row>
    <row r="17031" spans="5:25">
      <c r="E17031"/>
      <c r="G17031"/>
      <c r="H17031"/>
      <c r="I17031"/>
      <c r="K17031"/>
      <c r="O17031"/>
      <c r="R17031"/>
      <c r="W17031" s="4"/>
      <c r="X17031" s="4"/>
      <c r="Y17031" s="4"/>
    </row>
    <row r="17032" spans="5:25">
      <c r="E17032"/>
      <c r="G17032"/>
      <c r="H17032"/>
      <c r="I17032"/>
      <c r="K17032"/>
      <c r="O17032"/>
      <c r="R17032"/>
      <c r="W17032" s="4"/>
      <c r="X17032" s="4"/>
      <c r="Y17032" s="4"/>
    </row>
    <row r="17033" spans="5:25">
      <c r="E17033"/>
      <c r="G17033"/>
      <c r="H17033"/>
      <c r="I17033"/>
      <c r="K17033"/>
      <c r="O17033"/>
      <c r="R17033"/>
      <c r="W17033" s="4"/>
      <c r="X17033" s="4"/>
      <c r="Y17033" s="4"/>
    </row>
    <row r="17034" spans="5:25">
      <c r="E17034"/>
      <c r="G17034"/>
      <c r="H17034"/>
      <c r="I17034"/>
      <c r="K17034"/>
      <c r="O17034"/>
      <c r="R17034"/>
      <c r="W17034" s="4"/>
      <c r="X17034" s="4"/>
      <c r="Y17034" s="4"/>
    </row>
    <row r="17035" spans="5:25">
      <c r="E17035"/>
      <c r="G17035"/>
      <c r="H17035"/>
      <c r="I17035"/>
      <c r="K17035"/>
      <c r="O17035"/>
      <c r="R17035"/>
      <c r="W17035" s="4"/>
      <c r="X17035" s="4"/>
      <c r="Y17035" s="4"/>
    </row>
    <row r="17036" spans="5:25">
      <c r="E17036"/>
      <c r="G17036"/>
      <c r="H17036"/>
      <c r="I17036"/>
      <c r="K17036"/>
      <c r="O17036"/>
      <c r="R17036"/>
      <c r="W17036" s="4"/>
      <c r="X17036" s="4"/>
      <c r="Y17036" s="4"/>
    </row>
    <row r="17037" spans="5:25">
      <c r="E17037"/>
      <c r="G17037"/>
      <c r="H17037"/>
      <c r="I17037"/>
      <c r="K17037"/>
      <c r="O17037"/>
      <c r="R17037"/>
      <c r="W17037" s="4"/>
      <c r="X17037" s="4"/>
      <c r="Y17037" s="4"/>
    </row>
    <row r="17038" spans="5:25">
      <c r="E17038"/>
      <c r="G17038"/>
      <c r="H17038"/>
      <c r="I17038"/>
      <c r="K17038"/>
      <c r="O17038"/>
      <c r="R17038"/>
      <c r="W17038" s="4"/>
      <c r="X17038" s="4"/>
      <c r="Y17038" s="4"/>
    </row>
    <row r="17039" spans="5:25">
      <c r="E17039"/>
      <c r="G17039"/>
      <c r="H17039"/>
      <c r="I17039"/>
      <c r="K17039"/>
      <c r="O17039"/>
      <c r="R17039"/>
      <c r="W17039" s="4"/>
      <c r="X17039" s="4"/>
      <c r="Y17039" s="4"/>
    </row>
    <row r="17040" spans="5:25">
      <c r="E17040"/>
      <c r="G17040"/>
      <c r="H17040"/>
      <c r="I17040"/>
      <c r="K17040"/>
      <c r="O17040"/>
      <c r="R17040"/>
      <c r="W17040" s="4"/>
      <c r="X17040" s="4"/>
      <c r="Y17040" s="4"/>
    </row>
    <row r="17041" spans="5:25">
      <c r="E17041"/>
      <c r="G17041"/>
      <c r="H17041"/>
      <c r="I17041"/>
      <c r="K17041"/>
      <c r="O17041"/>
      <c r="R17041"/>
      <c r="W17041" s="4"/>
      <c r="X17041" s="4"/>
      <c r="Y17041" s="4"/>
    </row>
    <row r="17042" spans="5:25">
      <c r="E17042"/>
      <c r="G17042"/>
      <c r="H17042"/>
      <c r="I17042"/>
      <c r="K17042"/>
      <c r="O17042"/>
      <c r="R17042"/>
      <c r="W17042" s="4"/>
      <c r="X17042" s="4"/>
      <c r="Y17042" s="4"/>
    </row>
    <row r="17043" spans="5:25">
      <c r="E17043"/>
      <c r="G17043"/>
      <c r="H17043"/>
      <c r="I17043"/>
      <c r="K17043"/>
      <c r="O17043"/>
      <c r="R17043"/>
      <c r="W17043" s="4"/>
      <c r="X17043" s="4"/>
      <c r="Y17043" s="4"/>
    </row>
    <row r="17044" spans="5:25">
      <c r="E17044"/>
      <c r="G17044"/>
      <c r="H17044"/>
      <c r="I17044"/>
      <c r="K17044"/>
      <c r="O17044"/>
      <c r="R17044"/>
      <c r="W17044" s="4"/>
      <c r="X17044" s="4"/>
      <c r="Y17044" s="4"/>
    </row>
    <row r="17045" spans="5:25">
      <c r="E17045"/>
      <c r="G17045"/>
      <c r="H17045"/>
      <c r="I17045"/>
      <c r="K17045"/>
      <c r="O17045"/>
      <c r="R17045"/>
      <c r="W17045" s="4"/>
      <c r="X17045" s="4"/>
      <c r="Y17045" s="4"/>
    </row>
    <row r="17046" spans="5:25">
      <c r="E17046"/>
      <c r="G17046"/>
      <c r="H17046"/>
      <c r="I17046"/>
      <c r="K17046"/>
      <c r="O17046"/>
      <c r="R17046"/>
      <c r="W17046" s="4"/>
      <c r="X17046" s="4"/>
      <c r="Y17046" s="4"/>
    </row>
    <row r="17047" spans="5:25">
      <c r="E17047"/>
      <c r="G17047"/>
      <c r="H17047"/>
      <c r="I17047"/>
      <c r="K17047"/>
      <c r="O17047"/>
      <c r="R17047"/>
      <c r="W17047" s="4"/>
      <c r="X17047" s="4"/>
      <c r="Y17047" s="4"/>
    </row>
    <row r="17048" spans="5:25">
      <c r="E17048"/>
      <c r="G17048"/>
      <c r="H17048"/>
      <c r="I17048"/>
      <c r="K17048"/>
      <c r="O17048"/>
      <c r="R17048"/>
      <c r="W17048" s="4"/>
      <c r="X17048" s="4"/>
      <c r="Y17048" s="4"/>
    </row>
    <row r="17049" spans="5:25">
      <c r="E17049"/>
      <c r="G17049"/>
      <c r="H17049"/>
      <c r="I17049"/>
      <c r="K17049"/>
      <c r="O17049"/>
      <c r="R17049"/>
      <c r="W17049" s="4"/>
      <c r="X17049" s="4"/>
      <c r="Y17049" s="4"/>
    </row>
    <row r="17050" spans="5:25">
      <c r="E17050"/>
      <c r="G17050"/>
      <c r="H17050"/>
      <c r="I17050"/>
      <c r="K17050"/>
      <c r="O17050"/>
      <c r="R17050"/>
      <c r="W17050" s="4"/>
      <c r="X17050" s="4"/>
      <c r="Y17050" s="4"/>
    </row>
    <row r="17051" spans="5:25">
      <c r="E17051"/>
      <c r="G17051"/>
      <c r="H17051"/>
      <c r="I17051"/>
      <c r="K17051"/>
      <c r="O17051"/>
      <c r="R17051"/>
      <c r="W17051" s="4"/>
      <c r="X17051" s="4"/>
      <c r="Y17051" s="4"/>
    </row>
    <row r="17052" spans="5:25">
      <c r="E17052"/>
      <c r="G17052"/>
      <c r="H17052"/>
      <c r="I17052"/>
      <c r="K17052"/>
      <c r="O17052"/>
      <c r="R17052"/>
      <c r="W17052" s="4"/>
      <c r="X17052" s="4"/>
      <c r="Y17052" s="4"/>
    </row>
    <row r="17053" spans="5:25">
      <c r="E17053"/>
      <c r="G17053"/>
      <c r="H17053"/>
      <c r="I17053"/>
      <c r="K17053"/>
      <c r="O17053"/>
      <c r="R17053"/>
      <c r="W17053" s="4"/>
      <c r="X17053" s="4"/>
      <c r="Y17053" s="4"/>
    </row>
    <row r="17054" spans="5:25">
      <c r="E17054"/>
      <c r="G17054"/>
      <c r="H17054"/>
      <c r="I17054"/>
      <c r="K17054"/>
      <c r="O17054"/>
      <c r="R17054"/>
      <c r="W17054" s="4"/>
      <c r="X17054" s="4"/>
      <c r="Y17054" s="4"/>
    </row>
    <row r="17055" spans="5:25">
      <c r="E17055"/>
      <c r="G17055"/>
      <c r="H17055"/>
      <c r="I17055"/>
      <c r="K17055"/>
      <c r="O17055"/>
      <c r="R17055"/>
      <c r="W17055" s="4"/>
      <c r="X17055" s="4"/>
      <c r="Y17055" s="4"/>
    </row>
    <row r="17056" spans="5:25">
      <c r="E17056"/>
      <c r="G17056"/>
      <c r="H17056"/>
      <c r="I17056"/>
      <c r="K17056"/>
      <c r="O17056"/>
      <c r="R17056"/>
      <c r="W17056" s="4"/>
      <c r="X17056" s="4"/>
      <c r="Y17056" s="4"/>
    </row>
    <row r="17057" spans="5:25">
      <c r="E17057"/>
      <c r="G17057"/>
      <c r="H17057"/>
      <c r="I17057"/>
      <c r="K17057"/>
      <c r="O17057"/>
      <c r="R17057"/>
      <c r="W17057" s="4"/>
      <c r="X17057" s="4"/>
      <c r="Y17057" s="4"/>
    </row>
    <row r="17058" spans="5:25">
      <c r="E17058"/>
      <c r="G17058"/>
      <c r="H17058"/>
      <c r="I17058"/>
      <c r="K17058"/>
      <c r="O17058"/>
      <c r="R17058"/>
      <c r="W17058" s="4"/>
      <c r="X17058" s="4"/>
      <c r="Y17058" s="4"/>
    </row>
    <row r="17059" spans="5:25">
      <c r="E17059"/>
      <c r="G17059"/>
      <c r="H17059"/>
      <c r="I17059"/>
      <c r="K17059"/>
      <c r="O17059"/>
      <c r="R17059"/>
      <c r="W17059" s="4"/>
      <c r="X17059" s="4"/>
      <c r="Y17059" s="4"/>
    </row>
    <row r="17060" spans="5:25">
      <c r="E17060"/>
      <c r="G17060"/>
      <c r="H17060"/>
      <c r="I17060"/>
      <c r="K17060"/>
      <c r="O17060"/>
      <c r="R17060"/>
      <c r="W17060" s="4"/>
      <c r="X17060" s="4"/>
      <c r="Y17060" s="4"/>
    </row>
    <row r="17061" spans="5:25">
      <c r="E17061"/>
      <c r="G17061"/>
      <c r="H17061"/>
      <c r="I17061"/>
      <c r="K17061"/>
      <c r="O17061"/>
      <c r="R17061"/>
      <c r="W17061" s="4"/>
      <c r="X17061" s="4"/>
      <c r="Y17061" s="4"/>
    </row>
    <row r="17062" spans="5:25">
      <c r="E17062"/>
      <c r="G17062"/>
      <c r="H17062"/>
      <c r="I17062"/>
      <c r="K17062"/>
      <c r="O17062"/>
      <c r="R17062"/>
      <c r="W17062" s="4"/>
      <c r="X17062" s="4"/>
      <c r="Y17062" s="4"/>
    </row>
    <row r="17063" spans="5:25">
      <c r="E17063"/>
      <c r="G17063"/>
      <c r="H17063"/>
      <c r="I17063"/>
      <c r="K17063"/>
      <c r="O17063"/>
      <c r="R17063"/>
      <c r="W17063" s="4"/>
      <c r="X17063" s="4"/>
      <c r="Y17063" s="4"/>
    </row>
    <row r="17064" spans="5:25">
      <c r="E17064"/>
      <c r="G17064"/>
      <c r="H17064"/>
      <c r="I17064"/>
      <c r="K17064"/>
      <c r="O17064"/>
      <c r="R17064"/>
      <c r="W17064" s="4"/>
      <c r="X17064" s="4"/>
      <c r="Y17064" s="4"/>
    </row>
    <row r="17065" spans="5:25">
      <c r="E17065"/>
      <c r="G17065"/>
      <c r="H17065"/>
      <c r="I17065"/>
      <c r="K17065"/>
      <c r="O17065"/>
      <c r="R17065"/>
      <c r="W17065" s="4"/>
      <c r="X17065" s="4"/>
      <c r="Y17065" s="4"/>
    </row>
    <row r="17066" spans="5:25">
      <c r="E17066"/>
      <c r="G17066"/>
      <c r="H17066"/>
      <c r="I17066"/>
      <c r="K17066"/>
      <c r="O17066"/>
      <c r="R17066"/>
      <c r="W17066" s="4"/>
      <c r="X17066" s="4"/>
      <c r="Y17066" s="4"/>
    </row>
    <row r="17067" spans="5:25">
      <c r="E17067"/>
      <c r="G17067"/>
      <c r="H17067"/>
      <c r="I17067"/>
      <c r="K17067"/>
      <c r="O17067"/>
      <c r="R17067"/>
      <c r="W17067" s="4"/>
      <c r="X17067" s="4"/>
      <c r="Y17067" s="4"/>
    </row>
    <row r="17068" spans="5:25">
      <c r="E17068"/>
      <c r="G17068"/>
      <c r="H17068"/>
      <c r="I17068"/>
      <c r="K17068"/>
      <c r="O17068"/>
      <c r="R17068"/>
      <c r="W17068" s="4"/>
      <c r="X17068" s="4"/>
      <c r="Y17068" s="4"/>
    </row>
    <row r="17069" spans="5:25">
      <c r="E17069"/>
      <c r="G17069"/>
      <c r="H17069"/>
      <c r="I17069"/>
      <c r="K17069"/>
      <c r="O17069"/>
      <c r="R17069"/>
      <c r="W17069" s="4"/>
      <c r="X17069" s="4"/>
      <c r="Y17069" s="4"/>
    </row>
    <row r="17070" spans="5:25">
      <c r="E17070"/>
      <c r="G17070"/>
      <c r="H17070"/>
      <c r="I17070"/>
      <c r="K17070"/>
      <c r="O17070"/>
      <c r="R17070"/>
      <c r="W17070" s="4"/>
      <c r="X17070" s="4"/>
      <c r="Y17070" s="4"/>
    </row>
    <row r="17071" spans="5:25">
      <c r="E17071"/>
      <c r="G17071"/>
      <c r="H17071"/>
      <c r="I17071"/>
      <c r="K17071"/>
      <c r="O17071"/>
      <c r="R17071"/>
      <c r="W17071" s="4"/>
      <c r="X17071" s="4"/>
      <c r="Y17071" s="4"/>
    </row>
    <row r="17072" spans="5:25">
      <c r="E17072"/>
      <c r="G17072"/>
      <c r="H17072"/>
      <c r="I17072"/>
      <c r="K17072"/>
      <c r="O17072"/>
      <c r="R17072"/>
      <c r="W17072" s="4"/>
      <c r="X17072" s="4"/>
      <c r="Y17072" s="4"/>
    </row>
    <row r="17073" spans="5:25">
      <c r="E17073"/>
      <c r="G17073"/>
      <c r="H17073"/>
      <c r="I17073"/>
      <c r="K17073"/>
      <c r="O17073"/>
      <c r="R17073"/>
      <c r="W17073" s="4"/>
      <c r="X17073" s="4"/>
      <c r="Y17073" s="4"/>
    </row>
    <row r="17074" spans="5:25">
      <c r="E17074"/>
      <c r="G17074"/>
      <c r="H17074"/>
      <c r="I17074"/>
      <c r="K17074"/>
      <c r="O17074"/>
      <c r="R17074"/>
      <c r="W17074" s="4"/>
      <c r="X17074" s="4"/>
      <c r="Y17074" s="4"/>
    </row>
    <row r="17075" spans="5:25">
      <c r="E17075"/>
      <c r="G17075"/>
      <c r="H17075"/>
      <c r="I17075"/>
      <c r="K17075"/>
      <c r="O17075"/>
      <c r="R17075"/>
      <c r="W17075" s="4"/>
      <c r="X17075" s="4"/>
      <c r="Y17075" s="4"/>
    </row>
    <row r="17076" spans="5:25">
      <c r="E17076"/>
      <c r="G17076"/>
      <c r="H17076"/>
      <c r="I17076"/>
      <c r="K17076"/>
      <c r="O17076"/>
      <c r="R17076"/>
      <c r="W17076" s="4"/>
      <c r="X17076" s="4"/>
      <c r="Y17076" s="4"/>
    </row>
    <row r="17077" spans="5:25">
      <c r="E17077"/>
      <c r="G17077"/>
      <c r="H17077"/>
      <c r="I17077"/>
      <c r="K17077"/>
      <c r="O17077"/>
      <c r="R17077"/>
      <c r="W17077" s="4"/>
      <c r="X17077" s="4"/>
      <c r="Y17077" s="4"/>
    </row>
    <row r="17078" spans="5:25">
      <c r="E17078"/>
      <c r="G17078"/>
      <c r="H17078"/>
      <c r="I17078"/>
      <c r="K17078"/>
      <c r="O17078"/>
      <c r="R17078"/>
      <c r="W17078" s="4"/>
      <c r="X17078" s="4"/>
      <c r="Y17078" s="4"/>
    </row>
    <row r="17079" spans="5:25">
      <c r="E17079"/>
      <c r="G17079"/>
      <c r="H17079"/>
      <c r="I17079"/>
      <c r="K17079"/>
      <c r="O17079"/>
      <c r="R17079"/>
      <c r="W17079" s="4"/>
      <c r="X17079" s="4"/>
      <c r="Y17079" s="4"/>
    </row>
    <row r="17080" spans="5:25">
      <c r="E17080"/>
      <c r="G17080"/>
      <c r="H17080"/>
      <c r="I17080"/>
      <c r="K17080"/>
      <c r="O17080"/>
      <c r="R17080"/>
      <c r="W17080" s="4"/>
      <c r="X17080" s="4"/>
      <c r="Y17080" s="4"/>
    </row>
    <row r="17081" spans="5:25">
      <c r="E17081"/>
      <c r="G17081"/>
      <c r="H17081"/>
      <c r="I17081"/>
      <c r="K17081"/>
      <c r="O17081"/>
      <c r="R17081"/>
      <c r="W17081" s="4"/>
      <c r="X17081" s="4"/>
      <c r="Y17081" s="4"/>
    </row>
    <row r="17082" spans="5:25">
      <c r="E17082"/>
      <c r="G17082"/>
      <c r="H17082"/>
      <c r="I17082"/>
      <c r="K17082"/>
      <c r="O17082"/>
      <c r="R17082"/>
      <c r="W17082" s="4"/>
      <c r="X17082" s="4"/>
      <c r="Y17082" s="4"/>
    </row>
    <row r="17083" spans="5:25">
      <c r="E17083"/>
      <c r="G17083"/>
      <c r="H17083"/>
      <c r="I17083"/>
      <c r="K17083"/>
      <c r="O17083"/>
      <c r="R17083"/>
      <c r="W17083" s="4"/>
      <c r="X17083" s="4"/>
      <c r="Y17083" s="4"/>
    </row>
    <row r="17084" spans="5:25">
      <c r="E17084"/>
      <c r="G17084"/>
      <c r="H17084"/>
      <c r="I17084"/>
      <c r="K17084"/>
      <c r="O17084"/>
      <c r="R17084"/>
      <c r="W17084" s="4"/>
      <c r="X17084" s="4"/>
      <c r="Y17084" s="4"/>
    </row>
    <row r="17085" spans="5:25">
      <c r="E17085"/>
      <c r="G17085"/>
      <c r="H17085"/>
      <c r="I17085"/>
      <c r="K17085"/>
      <c r="O17085"/>
      <c r="R17085"/>
      <c r="W17085" s="4"/>
      <c r="X17085" s="4"/>
      <c r="Y17085" s="4"/>
    </row>
    <row r="17086" spans="5:25">
      <c r="E17086"/>
      <c r="G17086"/>
      <c r="H17086"/>
      <c r="I17086"/>
      <c r="K17086"/>
      <c r="O17086"/>
      <c r="R17086"/>
      <c r="W17086" s="4"/>
      <c r="X17086" s="4"/>
      <c r="Y17086" s="4"/>
    </row>
    <row r="17087" spans="5:25">
      <c r="E17087"/>
      <c r="G17087"/>
      <c r="H17087"/>
      <c r="I17087"/>
      <c r="K17087"/>
      <c r="O17087"/>
      <c r="R17087"/>
      <c r="W17087" s="4"/>
      <c r="X17087" s="4"/>
      <c r="Y17087" s="4"/>
    </row>
    <row r="17088" spans="5:25">
      <c r="E17088"/>
      <c r="G17088"/>
      <c r="H17088"/>
      <c r="I17088"/>
      <c r="K17088"/>
      <c r="O17088"/>
      <c r="R17088"/>
      <c r="W17088" s="4"/>
      <c r="X17088" s="4"/>
      <c r="Y17088" s="4"/>
    </row>
    <row r="17089" spans="5:25">
      <c r="E17089"/>
      <c r="G17089"/>
      <c r="H17089"/>
      <c r="I17089"/>
      <c r="K17089"/>
      <c r="O17089"/>
      <c r="R17089"/>
      <c r="W17089" s="4"/>
      <c r="X17089" s="4"/>
      <c r="Y17089" s="4"/>
    </row>
    <row r="17090" spans="5:25">
      <c r="E17090"/>
      <c r="G17090"/>
      <c r="H17090"/>
      <c r="I17090"/>
      <c r="K17090"/>
      <c r="O17090"/>
      <c r="R17090"/>
      <c r="W17090" s="4"/>
      <c r="X17090" s="4"/>
      <c r="Y17090" s="4"/>
    </row>
    <row r="17091" spans="5:25">
      <c r="E17091"/>
      <c r="G17091"/>
      <c r="H17091"/>
      <c r="I17091"/>
      <c r="K17091"/>
      <c r="O17091"/>
      <c r="R17091"/>
      <c r="W17091" s="4"/>
      <c r="X17091" s="4"/>
      <c r="Y17091" s="4"/>
    </row>
    <row r="17092" spans="5:25">
      <c r="E17092"/>
      <c r="G17092"/>
      <c r="H17092"/>
      <c r="I17092"/>
      <c r="K17092"/>
      <c r="O17092"/>
      <c r="R17092"/>
      <c r="W17092" s="4"/>
      <c r="X17092" s="4"/>
      <c r="Y17092" s="4"/>
    </row>
    <row r="17093" spans="5:25">
      <c r="E17093"/>
      <c r="G17093"/>
      <c r="H17093"/>
      <c r="I17093"/>
      <c r="K17093"/>
      <c r="O17093"/>
      <c r="R17093"/>
      <c r="W17093" s="4"/>
      <c r="X17093" s="4"/>
      <c r="Y17093" s="4"/>
    </row>
    <row r="17094" spans="5:25">
      <c r="E17094"/>
      <c r="G17094"/>
      <c r="H17094"/>
      <c r="I17094"/>
      <c r="K17094"/>
      <c r="O17094"/>
      <c r="R17094"/>
      <c r="W17094" s="4"/>
      <c r="X17094" s="4"/>
      <c r="Y17094" s="4"/>
    </row>
    <row r="17095" spans="5:25">
      <c r="E17095"/>
      <c r="G17095"/>
      <c r="H17095"/>
      <c r="I17095"/>
      <c r="K17095"/>
      <c r="O17095"/>
      <c r="R17095"/>
      <c r="W17095" s="4"/>
      <c r="X17095" s="4"/>
      <c r="Y17095" s="4"/>
    </row>
    <row r="17096" spans="5:25">
      <c r="E17096"/>
      <c r="G17096"/>
      <c r="H17096"/>
      <c r="I17096"/>
      <c r="K17096"/>
      <c r="O17096"/>
      <c r="R17096"/>
      <c r="W17096" s="4"/>
      <c r="X17096" s="4"/>
      <c r="Y17096" s="4"/>
    </row>
    <row r="17097" spans="5:25">
      <c r="E17097"/>
      <c r="G17097"/>
      <c r="H17097"/>
      <c r="I17097"/>
      <c r="K17097"/>
      <c r="O17097"/>
      <c r="R17097"/>
      <c r="W17097" s="4"/>
      <c r="X17097" s="4"/>
      <c r="Y17097" s="4"/>
    </row>
    <row r="17098" spans="5:25">
      <c r="E17098"/>
      <c r="G17098"/>
      <c r="H17098"/>
      <c r="I17098"/>
      <c r="K17098"/>
      <c r="O17098"/>
      <c r="R17098"/>
      <c r="W17098" s="4"/>
      <c r="X17098" s="4"/>
      <c r="Y17098" s="4"/>
    </row>
    <row r="17099" spans="5:25">
      <c r="E17099"/>
      <c r="G17099"/>
      <c r="H17099"/>
      <c r="I17099"/>
      <c r="K17099"/>
      <c r="O17099"/>
      <c r="R17099"/>
      <c r="W17099" s="4"/>
      <c r="X17099" s="4"/>
      <c r="Y17099" s="4"/>
    </row>
    <row r="17100" spans="5:25">
      <c r="E17100"/>
      <c r="G17100"/>
      <c r="H17100"/>
      <c r="I17100"/>
      <c r="K17100"/>
      <c r="O17100"/>
      <c r="R17100"/>
      <c r="W17100" s="4"/>
      <c r="X17100" s="4"/>
      <c r="Y17100" s="4"/>
    </row>
    <row r="17101" spans="5:25">
      <c r="E17101"/>
      <c r="G17101"/>
      <c r="H17101"/>
      <c r="I17101"/>
      <c r="K17101"/>
      <c r="O17101"/>
      <c r="R17101"/>
      <c r="W17101" s="4"/>
      <c r="X17101" s="4"/>
      <c r="Y17101" s="4"/>
    </row>
    <row r="17102" spans="5:25">
      <c r="E17102"/>
      <c r="G17102"/>
      <c r="H17102"/>
      <c r="I17102"/>
      <c r="K17102"/>
      <c r="O17102"/>
      <c r="R17102"/>
      <c r="W17102" s="4"/>
      <c r="X17102" s="4"/>
      <c r="Y17102" s="4"/>
    </row>
    <row r="17103" spans="5:25">
      <c r="E17103"/>
      <c r="G17103"/>
      <c r="H17103"/>
      <c r="I17103"/>
      <c r="K17103"/>
      <c r="O17103"/>
      <c r="R17103"/>
      <c r="W17103" s="4"/>
      <c r="X17103" s="4"/>
      <c r="Y17103" s="4"/>
    </row>
    <row r="17104" spans="5:25">
      <c r="E17104"/>
      <c r="G17104"/>
      <c r="H17104"/>
      <c r="I17104"/>
      <c r="K17104"/>
      <c r="O17104"/>
      <c r="R17104"/>
      <c r="W17104" s="4"/>
      <c r="X17104" s="4"/>
      <c r="Y17104" s="4"/>
    </row>
    <row r="17105" spans="5:25">
      <c r="E17105"/>
      <c r="G17105"/>
      <c r="H17105"/>
      <c r="I17105"/>
      <c r="K17105"/>
      <c r="O17105"/>
      <c r="R17105"/>
      <c r="W17105" s="4"/>
      <c r="X17105" s="4"/>
      <c r="Y17105" s="4"/>
    </row>
    <row r="17106" spans="5:25">
      <c r="E17106"/>
      <c r="G17106"/>
      <c r="H17106"/>
      <c r="I17106"/>
      <c r="K17106"/>
      <c r="O17106"/>
      <c r="R17106"/>
      <c r="W17106" s="4"/>
      <c r="X17106" s="4"/>
      <c r="Y17106" s="4"/>
    </row>
    <row r="17107" spans="5:25">
      <c r="E17107"/>
      <c r="G17107"/>
      <c r="H17107"/>
      <c r="I17107"/>
      <c r="K17107"/>
      <c r="O17107"/>
      <c r="R17107"/>
      <c r="W17107" s="4"/>
      <c r="X17107" s="4"/>
      <c r="Y17107" s="4"/>
    </row>
    <row r="17108" spans="5:25">
      <c r="E17108"/>
      <c r="G17108"/>
      <c r="H17108"/>
      <c r="I17108"/>
      <c r="K17108"/>
      <c r="O17108"/>
      <c r="R17108"/>
      <c r="W17108" s="4"/>
      <c r="X17108" s="4"/>
      <c r="Y17108" s="4"/>
    </row>
    <row r="17109" spans="5:25">
      <c r="E17109"/>
      <c r="G17109"/>
      <c r="H17109"/>
      <c r="I17109"/>
      <c r="K17109"/>
      <c r="O17109"/>
      <c r="R17109"/>
      <c r="W17109" s="4"/>
      <c r="X17109" s="4"/>
      <c r="Y17109" s="4"/>
    </row>
    <row r="17110" spans="5:25">
      <c r="E17110"/>
      <c r="G17110"/>
      <c r="H17110"/>
      <c r="I17110"/>
      <c r="K17110"/>
      <c r="O17110"/>
      <c r="R17110"/>
      <c r="W17110" s="4"/>
      <c r="X17110" s="4"/>
      <c r="Y17110" s="4"/>
    </row>
    <row r="17111" spans="5:25">
      <c r="E17111"/>
      <c r="G17111"/>
      <c r="H17111"/>
      <c r="I17111"/>
      <c r="K17111"/>
      <c r="O17111"/>
      <c r="R17111"/>
      <c r="W17111" s="4"/>
      <c r="X17111" s="4"/>
      <c r="Y17111" s="4"/>
    </row>
    <row r="17112" spans="5:25">
      <c r="E17112"/>
      <c r="G17112"/>
      <c r="H17112"/>
      <c r="I17112"/>
      <c r="K17112"/>
      <c r="O17112"/>
      <c r="R17112"/>
      <c r="W17112" s="4"/>
      <c r="X17112" s="4"/>
      <c r="Y17112" s="4"/>
    </row>
    <row r="17113" spans="5:25">
      <c r="E17113"/>
      <c r="G17113"/>
      <c r="H17113"/>
      <c r="I17113"/>
      <c r="K17113"/>
      <c r="O17113"/>
      <c r="R17113"/>
      <c r="W17113" s="4"/>
      <c r="X17113" s="4"/>
      <c r="Y17113" s="4"/>
    </row>
    <row r="17114" spans="5:25">
      <c r="E17114"/>
      <c r="G17114"/>
      <c r="H17114"/>
      <c r="I17114"/>
      <c r="K17114"/>
      <c r="O17114"/>
      <c r="R17114"/>
      <c r="W17114" s="4"/>
      <c r="X17114" s="4"/>
      <c r="Y17114" s="4"/>
    </row>
    <row r="17115" spans="5:25">
      <c r="E17115"/>
      <c r="G17115"/>
      <c r="H17115"/>
      <c r="I17115"/>
      <c r="K17115"/>
      <c r="O17115"/>
      <c r="R17115"/>
      <c r="W17115" s="4"/>
      <c r="X17115" s="4"/>
      <c r="Y17115" s="4"/>
    </row>
    <row r="17116" spans="5:25">
      <c r="E17116"/>
      <c r="G17116"/>
      <c r="H17116"/>
      <c r="I17116"/>
      <c r="K17116"/>
      <c r="O17116"/>
      <c r="R17116"/>
      <c r="W17116" s="4"/>
      <c r="X17116" s="4"/>
      <c r="Y17116" s="4"/>
    </row>
    <row r="17117" spans="5:25">
      <c r="E17117"/>
      <c r="G17117"/>
      <c r="H17117"/>
      <c r="I17117"/>
      <c r="K17117"/>
      <c r="O17117"/>
      <c r="R17117"/>
      <c r="W17117" s="4"/>
      <c r="X17117" s="4"/>
      <c r="Y17117" s="4"/>
    </row>
    <row r="17118" spans="5:25">
      <c r="E17118"/>
      <c r="G17118"/>
      <c r="H17118"/>
      <c r="I17118"/>
      <c r="K17118"/>
      <c r="O17118"/>
      <c r="R17118"/>
      <c r="W17118" s="4"/>
      <c r="X17118" s="4"/>
      <c r="Y17118" s="4"/>
    </row>
    <row r="17119" spans="5:25">
      <c r="E17119"/>
      <c r="G17119"/>
      <c r="H17119"/>
      <c r="I17119"/>
      <c r="K17119"/>
      <c r="O17119"/>
      <c r="R17119"/>
      <c r="W17119" s="4"/>
      <c r="X17119" s="4"/>
      <c r="Y17119" s="4"/>
    </row>
    <row r="17120" spans="5:25">
      <c r="E17120"/>
      <c r="G17120"/>
      <c r="H17120"/>
      <c r="I17120"/>
      <c r="K17120"/>
      <c r="O17120"/>
      <c r="R17120"/>
      <c r="W17120" s="4"/>
      <c r="X17120" s="4"/>
      <c r="Y17120" s="4"/>
    </row>
    <row r="17121" spans="5:25">
      <c r="E17121"/>
      <c r="G17121"/>
      <c r="H17121"/>
      <c r="I17121"/>
      <c r="K17121"/>
      <c r="O17121"/>
      <c r="R17121"/>
      <c r="W17121" s="4"/>
      <c r="X17121" s="4"/>
      <c r="Y17121" s="4"/>
    </row>
    <row r="17122" spans="5:25">
      <c r="E17122"/>
      <c r="G17122"/>
      <c r="H17122"/>
      <c r="I17122"/>
      <c r="K17122"/>
      <c r="O17122"/>
      <c r="R17122"/>
      <c r="W17122" s="4"/>
      <c r="X17122" s="4"/>
      <c r="Y17122" s="4"/>
    </row>
    <row r="17123" spans="5:25">
      <c r="E17123"/>
      <c r="G17123"/>
      <c r="H17123"/>
      <c r="I17123"/>
      <c r="K17123"/>
      <c r="O17123"/>
      <c r="R17123"/>
      <c r="W17123" s="4"/>
      <c r="X17123" s="4"/>
      <c r="Y17123" s="4"/>
    </row>
    <row r="17124" spans="5:25">
      <c r="E17124"/>
      <c r="G17124"/>
      <c r="H17124"/>
      <c r="I17124"/>
      <c r="K17124"/>
      <c r="O17124"/>
      <c r="R17124"/>
      <c r="W17124" s="4"/>
      <c r="X17124" s="4"/>
      <c r="Y17124" s="4"/>
    </row>
    <row r="17125" spans="5:25">
      <c r="E17125"/>
      <c r="G17125"/>
      <c r="H17125"/>
      <c r="I17125"/>
      <c r="K17125"/>
      <c r="O17125"/>
      <c r="R17125"/>
      <c r="W17125" s="4"/>
      <c r="X17125" s="4"/>
      <c r="Y17125" s="4"/>
    </row>
    <row r="17126" spans="5:25">
      <c r="E17126"/>
      <c r="G17126"/>
      <c r="H17126"/>
      <c r="I17126"/>
      <c r="K17126"/>
      <c r="O17126"/>
      <c r="R17126"/>
      <c r="W17126" s="4"/>
      <c r="X17126" s="4"/>
      <c r="Y17126" s="4"/>
    </row>
    <row r="17127" spans="5:25">
      <c r="E17127"/>
      <c r="G17127"/>
      <c r="H17127"/>
      <c r="I17127"/>
      <c r="K17127"/>
      <c r="O17127"/>
      <c r="R17127"/>
      <c r="W17127" s="4"/>
      <c r="X17127" s="4"/>
      <c r="Y17127" s="4"/>
    </row>
    <row r="17128" spans="5:25">
      <c r="E17128"/>
      <c r="G17128"/>
      <c r="H17128"/>
      <c r="I17128"/>
      <c r="K17128"/>
      <c r="O17128"/>
      <c r="R17128"/>
      <c r="W17128" s="4"/>
      <c r="X17128" s="4"/>
      <c r="Y17128" s="4"/>
    </row>
    <row r="17129" spans="5:25">
      <c r="E17129"/>
      <c r="G17129"/>
      <c r="H17129"/>
      <c r="I17129"/>
      <c r="K17129"/>
      <c r="O17129"/>
      <c r="R17129"/>
      <c r="W17129" s="4"/>
      <c r="X17129" s="4"/>
      <c r="Y17129" s="4"/>
    </row>
    <row r="17130" spans="5:25">
      <c r="E17130"/>
      <c r="G17130"/>
      <c r="H17130"/>
      <c r="I17130"/>
      <c r="K17130"/>
      <c r="O17130"/>
      <c r="R17130"/>
      <c r="W17130" s="4"/>
      <c r="X17130" s="4"/>
      <c r="Y17130" s="4"/>
    </row>
    <row r="17131" spans="5:25">
      <c r="E17131"/>
      <c r="G17131"/>
      <c r="H17131"/>
      <c r="I17131"/>
      <c r="K17131"/>
      <c r="O17131"/>
      <c r="R17131"/>
      <c r="W17131" s="4"/>
      <c r="X17131" s="4"/>
      <c r="Y17131" s="4"/>
    </row>
    <row r="17132" spans="5:25">
      <c r="E17132"/>
      <c r="G17132"/>
      <c r="H17132"/>
      <c r="I17132"/>
      <c r="K17132"/>
      <c r="O17132"/>
      <c r="R17132"/>
      <c r="W17132" s="4"/>
      <c r="X17132" s="4"/>
      <c r="Y17132" s="4"/>
    </row>
    <row r="17133" spans="5:25">
      <c r="E17133"/>
      <c r="G17133"/>
      <c r="H17133"/>
      <c r="I17133"/>
      <c r="K17133"/>
      <c r="O17133"/>
      <c r="R17133"/>
      <c r="W17133" s="4"/>
      <c r="X17133" s="4"/>
      <c r="Y17133" s="4"/>
    </row>
    <row r="17134" spans="5:25">
      <c r="E17134"/>
      <c r="G17134"/>
      <c r="H17134"/>
      <c r="I17134"/>
      <c r="K17134"/>
      <c r="O17134"/>
      <c r="R17134"/>
      <c r="W17134" s="4"/>
      <c r="X17134" s="4"/>
      <c r="Y17134" s="4"/>
    </row>
    <row r="17135" spans="5:25">
      <c r="E17135"/>
      <c r="G17135"/>
      <c r="H17135"/>
      <c r="I17135"/>
      <c r="K17135"/>
      <c r="O17135"/>
      <c r="R17135"/>
      <c r="W17135" s="4"/>
      <c r="X17135" s="4"/>
      <c r="Y17135" s="4"/>
    </row>
    <row r="17136" spans="5:25">
      <c r="E17136"/>
      <c r="G17136"/>
      <c r="H17136"/>
      <c r="I17136"/>
      <c r="K17136"/>
      <c r="O17136"/>
      <c r="R17136"/>
      <c r="W17136" s="4"/>
      <c r="X17136" s="4"/>
      <c r="Y17136" s="4"/>
    </row>
    <row r="17137" spans="5:25">
      <c r="E17137"/>
      <c r="G17137"/>
      <c r="H17137"/>
      <c r="I17137"/>
      <c r="K17137"/>
      <c r="O17137"/>
      <c r="R17137"/>
      <c r="W17137" s="4"/>
      <c r="X17137" s="4"/>
      <c r="Y17137" s="4"/>
    </row>
    <row r="17138" spans="5:25">
      <c r="E17138"/>
      <c r="G17138"/>
      <c r="H17138"/>
      <c r="I17138"/>
      <c r="K17138"/>
      <c r="O17138"/>
      <c r="R17138"/>
      <c r="W17138" s="4"/>
      <c r="X17138" s="4"/>
      <c r="Y17138" s="4"/>
    </row>
    <row r="17139" spans="5:25">
      <c r="E17139"/>
      <c r="G17139"/>
      <c r="H17139"/>
      <c r="I17139"/>
      <c r="K17139"/>
      <c r="O17139"/>
      <c r="R17139"/>
      <c r="W17139" s="4"/>
      <c r="X17139" s="4"/>
      <c r="Y17139" s="4"/>
    </row>
    <row r="17140" spans="5:25">
      <c r="E17140"/>
      <c r="G17140"/>
      <c r="H17140"/>
      <c r="I17140"/>
      <c r="K17140"/>
      <c r="O17140"/>
      <c r="R17140"/>
      <c r="W17140" s="4"/>
      <c r="X17140" s="4"/>
      <c r="Y17140" s="4"/>
    </row>
    <row r="17141" spans="5:25">
      <c r="E17141"/>
      <c r="G17141"/>
      <c r="H17141"/>
      <c r="I17141"/>
      <c r="K17141"/>
      <c r="O17141"/>
      <c r="R17141"/>
      <c r="W17141" s="4"/>
      <c r="X17141" s="4"/>
      <c r="Y17141" s="4"/>
    </row>
    <row r="17142" spans="5:25">
      <c r="E17142"/>
      <c r="G17142"/>
      <c r="H17142"/>
      <c r="I17142"/>
      <c r="K17142"/>
      <c r="O17142"/>
      <c r="R17142"/>
      <c r="W17142" s="4"/>
      <c r="X17142" s="4"/>
      <c r="Y17142" s="4"/>
    </row>
    <row r="17143" spans="5:25">
      <c r="E17143"/>
      <c r="G17143"/>
      <c r="H17143"/>
      <c r="I17143"/>
      <c r="K17143"/>
      <c r="O17143"/>
      <c r="R17143"/>
      <c r="W17143" s="4"/>
      <c r="X17143" s="4"/>
      <c r="Y17143" s="4"/>
    </row>
    <row r="17144" spans="5:25">
      <c r="E17144"/>
      <c r="G17144"/>
      <c r="H17144"/>
      <c r="I17144"/>
      <c r="K17144"/>
      <c r="O17144"/>
      <c r="R17144"/>
      <c r="W17144" s="4"/>
      <c r="X17144" s="4"/>
      <c r="Y17144" s="4"/>
    </row>
    <row r="17145" spans="5:25">
      <c r="E17145"/>
      <c r="G17145"/>
      <c r="H17145"/>
      <c r="I17145"/>
      <c r="K17145"/>
      <c r="O17145"/>
      <c r="R17145"/>
      <c r="W17145" s="4"/>
      <c r="X17145" s="4"/>
      <c r="Y17145" s="4"/>
    </row>
    <row r="17146" spans="5:25">
      <c r="E17146"/>
      <c r="G17146"/>
      <c r="H17146"/>
      <c r="I17146"/>
      <c r="K17146"/>
      <c r="O17146"/>
      <c r="R17146"/>
      <c r="W17146" s="4"/>
      <c r="X17146" s="4"/>
      <c r="Y17146" s="4"/>
    </row>
    <row r="17147" spans="5:25">
      <c r="E17147"/>
      <c r="G17147"/>
      <c r="H17147"/>
      <c r="I17147"/>
      <c r="K17147"/>
      <c r="O17147"/>
      <c r="R17147"/>
      <c r="W17147" s="4"/>
      <c r="X17147" s="4"/>
      <c r="Y17147" s="4"/>
    </row>
    <row r="17148" spans="5:25">
      <c r="E17148"/>
      <c r="G17148"/>
      <c r="H17148"/>
      <c r="I17148"/>
      <c r="K17148"/>
      <c r="O17148"/>
      <c r="R17148"/>
      <c r="W17148" s="4"/>
      <c r="X17148" s="4"/>
      <c r="Y17148" s="4"/>
    </row>
    <row r="17149" spans="5:25">
      <c r="E17149"/>
      <c r="G17149"/>
      <c r="H17149"/>
      <c r="I17149"/>
      <c r="K17149"/>
      <c r="O17149"/>
      <c r="R17149"/>
      <c r="W17149" s="4"/>
      <c r="X17149" s="4"/>
      <c r="Y17149" s="4"/>
    </row>
    <row r="17150" spans="5:25">
      <c r="E17150"/>
      <c r="G17150"/>
      <c r="H17150"/>
      <c r="I17150"/>
      <c r="K17150"/>
      <c r="O17150"/>
      <c r="R17150"/>
      <c r="W17150" s="4"/>
      <c r="X17150" s="4"/>
      <c r="Y17150" s="4"/>
    </row>
    <row r="17151" spans="5:25">
      <c r="E17151"/>
      <c r="G17151"/>
      <c r="H17151"/>
      <c r="I17151"/>
      <c r="K17151"/>
      <c r="O17151"/>
      <c r="R17151"/>
      <c r="W17151" s="4"/>
      <c r="X17151" s="4"/>
      <c r="Y17151" s="4"/>
    </row>
    <row r="17152" spans="5:25">
      <c r="E17152"/>
      <c r="G17152"/>
      <c r="H17152"/>
      <c r="I17152"/>
      <c r="K17152"/>
      <c r="O17152"/>
      <c r="R17152"/>
      <c r="W17152" s="4"/>
      <c r="X17152" s="4"/>
      <c r="Y17152" s="4"/>
    </row>
    <row r="17153" spans="5:25">
      <c r="E17153"/>
      <c r="G17153"/>
      <c r="H17153"/>
      <c r="I17153"/>
      <c r="K17153"/>
      <c r="O17153"/>
      <c r="R17153"/>
      <c r="W17153" s="4"/>
      <c r="X17153" s="4"/>
      <c r="Y17153" s="4"/>
    </row>
    <row r="17154" spans="5:25">
      <c r="E17154"/>
      <c r="G17154"/>
      <c r="H17154"/>
      <c r="I17154"/>
      <c r="K17154"/>
      <c r="O17154"/>
      <c r="R17154"/>
      <c r="W17154" s="4"/>
      <c r="X17154" s="4"/>
      <c r="Y17154" s="4"/>
    </row>
    <row r="17155" spans="5:25">
      <c r="E17155"/>
      <c r="G17155"/>
      <c r="H17155"/>
      <c r="I17155"/>
      <c r="K17155"/>
      <c r="O17155"/>
      <c r="R17155"/>
      <c r="W17155" s="4"/>
      <c r="X17155" s="4"/>
      <c r="Y17155" s="4"/>
    </row>
    <row r="17156" spans="5:25">
      <c r="E17156"/>
      <c r="G17156"/>
      <c r="H17156"/>
      <c r="I17156"/>
      <c r="K17156"/>
      <c r="O17156"/>
      <c r="R17156"/>
      <c r="W17156" s="4"/>
      <c r="X17156" s="4"/>
      <c r="Y17156" s="4"/>
    </row>
    <row r="17157" spans="5:25">
      <c r="E17157"/>
      <c r="G17157"/>
      <c r="H17157"/>
      <c r="I17157"/>
      <c r="K17157"/>
      <c r="O17157"/>
      <c r="R17157"/>
      <c r="W17157" s="4"/>
      <c r="X17157" s="4"/>
      <c r="Y17157" s="4"/>
    </row>
    <row r="17158" spans="5:25">
      <c r="E17158"/>
      <c r="G17158"/>
      <c r="H17158"/>
      <c r="I17158"/>
      <c r="K17158"/>
      <c r="O17158"/>
      <c r="R17158"/>
      <c r="W17158" s="4"/>
      <c r="X17158" s="4"/>
      <c r="Y17158" s="4"/>
    </row>
    <row r="17159" spans="5:25">
      <c r="E17159"/>
      <c r="G17159"/>
      <c r="H17159"/>
      <c r="I17159"/>
      <c r="K17159"/>
      <c r="O17159"/>
      <c r="R17159"/>
      <c r="W17159" s="4"/>
      <c r="X17159" s="4"/>
      <c r="Y17159" s="4"/>
    </row>
    <row r="17160" spans="5:25">
      <c r="E17160"/>
      <c r="G17160"/>
      <c r="H17160"/>
      <c r="I17160"/>
      <c r="K17160"/>
      <c r="O17160"/>
      <c r="R17160"/>
      <c r="W17160" s="4"/>
      <c r="X17160" s="4"/>
      <c r="Y17160" s="4"/>
    </row>
    <row r="17161" spans="5:25">
      <c r="E17161"/>
      <c r="G17161"/>
      <c r="H17161"/>
      <c r="I17161"/>
      <c r="K17161"/>
      <c r="O17161"/>
      <c r="R17161"/>
      <c r="W17161" s="4"/>
      <c r="X17161" s="4"/>
      <c r="Y17161" s="4"/>
    </row>
    <row r="17162" spans="5:25">
      <c r="E17162"/>
      <c r="G17162"/>
      <c r="H17162"/>
      <c r="I17162"/>
      <c r="K17162"/>
      <c r="O17162"/>
      <c r="R17162"/>
      <c r="W17162" s="4"/>
      <c r="X17162" s="4"/>
      <c r="Y17162" s="4"/>
    </row>
    <row r="17163" spans="5:25">
      <c r="E17163"/>
      <c r="G17163"/>
      <c r="H17163"/>
      <c r="I17163"/>
      <c r="K17163"/>
      <c r="O17163"/>
      <c r="R17163"/>
      <c r="W17163" s="4"/>
      <c r="X17163" s="4"/>
      <c r="Y17163" s="4"/>
    </row>
    <row r="17164" spans="5:25">
      <c r="E17164"/>
      <c r="G17164"/>
      <c r="H17164"/>
      <c r="I17164"/>
      <c r="K17164"/>
      <c r="O17164"/>
      <c r="R17164"/>
      <c r="W17164" s="4"/>
      <c r="X17164" s="4"/>
      <c r="Y17164" s="4"/>
    </row>
    <row r="17165" spans="5:25">
      <c r="E17165"/>
      <c r="G17165"/>
      <c r="H17165"/>
      <c r="I17165"/>
      <c r="K17165"/>
      <c r="O17165"/>
      <c r="R17165"/>
      <c r="W17165" s="4"/>
      <c r="X17165" s="4"/>
      <c r="Y17165" s="4"/>
    </row>
    <row r="17166" spans="5:25">
      <c r="E17166"/>
      <c r="G17166"/>
      <c r="H17166"/>
      <c r="I17166"/>
      <c r="K17166"/>
      <c r="O17166"/>
      <c r="R17166"/>
      <c r="W17166" s="4"/>
      <c r="X17166" s="4"/>
      <c r="Y17166" s="4"/>
    </row>
    <row r="17167" spans="5:25">
      <c r="E17167"/>
      <c r="G17167"/>
      <c r="H17167"/>
      <c r="I17167"/>
      <c r="K17167"/>
      <c r="O17167"/>
      <c r="R17167"/>
      <c r="W17167" s="4"/>
      <c r="X17167" s="4"/>
      <c r="Y17167" s="4"/>
    </row>
    <row r="17168" spans="5:25">
      <c r="E17168"/>
      <c r="G17168"/>
      <c r="H17168"/>
      <c r="I17168"/>
      <c r="K17168"/>
      <c r="O17168"/>
      <c r="R17168"/>
      <c r="W17168" s="4"/>
      <c r="X17168" s="4"/>
      <c r="Y17168" s="4"/>
    </row>
    <row r="17169" spans="5:25">
      <c r="E17169"/>
      <c r="G17169"/>
      <c r="H17169"/>
      <c r="I17169"/>
      <c r="K17169"/>
      <c r="O17169"/>
      <c r="R17169"/>
      <c r="W17169" s="4"/>
      <c r="X17169" s="4"/>
      <c r="Y17169" s="4"/>
    </row>
    <row r="17170" spans="5:25">
      <c r="E17170"/>
      <c r="G17170"/>
      <c r="H17170"/>
      <c r="I17170"/>
      <c r="K17170"/>
      <c r="O17170"/>
      <c r="R17170"/>
      <c r="W17170" s="4"/>
      <c r="X17170" s="4"/>
      <c r="Y17170" s="4"/>
    </row>
    <row r="17171" spans="5:25">
      <c r="E17171"/>
      <c r="G17171"/>
      <c r="H17171"/>
      <c r="I17171"/>
      <c r="K17171"/>
      <c r="O17171"/>
      <c r="R17171"/>
      <c r="W17171" s="4"/>
      <c r="X17171" s="4"/>
      <c r="Y17171" s="4"/>
    </row>
    <row r="17172" spans="5:25">
      <c r="E17172"/>
      <c r="G17172"/>
      <c r="H17172"/>
      <c r="I17172"/>
      <c r="K17172"/>
      <c r="O17172"/>
      <c r="R17172"/>
      <c r="W17172" s="4"/>
      <c r="X17172" s="4"/>
      <c r="Y17172" s="4"/>
    </row>
    <row r="17173" spans="5:25">
      <c r="E17173"/>
      <c r="G17173"/>
      <c r="H17173"/>
      <c r="I17173"/>
      <c r="K17173"/>
      <c r="O17173"/>
      <c r="R17173"/>
      <c r="W17173" s="4"/>
      <c r="X17173" s="4"/>
      <c r="Y17173" s="4"/>
    </row>
    <row r="17174" spans="5:25">
      <c r="E17174"/>
      <c r="G17174"/>
      <c r="H17174"/>
      <c r="I17174"/>
      <c r="K17174"/>
      <c r="O17174"/>
      <c r="R17174"/>
      <c r="W17174" s="4"/>
      <c r="X17174" s="4"/>
      <c r="Y17174" s="4"/>
    </row>
    <row r="17175" spans="5:25">
      <c r="E17175"/>
      <c r="G17175"/>
      <c r="H17175"/>
      <c r="I17175"/>
      <c r="K17175"/>
      <c r="O17175"/>
      <c r="R17175"/>
      <c r="W17175" s="4"/>
      <c r="X17175" s="4"/>
      <c r="Y17175" s="4"/>
    </row>
    <row r="17176" spans="5:25">
      <c r="E17176"/>
      <c r="G17176"/>
      <c r="H17176"/>
      <c r="I17176"/>
      <c r="K17176"/>
      <c r="O17176"/>
      <c r="R17176"/>
      <c r="W17176" s="4"/>
      <c r="X17176" s="4"/>
      <c r="Y17176" s="4"/>
    </row>
    <row r="17177" spans="5:25">
      <c r="E17177"/>
      <c r="G17177"/>
      <c r="H17177"/>
      <c r="I17177"/>
      <c r="K17177"/>
      <c r="O17177"/>
      <c r="R17177"/>
      <c r="W17177" s="4"/>
      <c r="X17177" s="4"/>
      <c r="Y17177" s="4"/>
    </row>
    <row r="17178" spans="5:25">
      <c r="E17178"/>
      <c r="G17178"/>
      <c r="H17178"/>
      <c r="I17178"/>
      <c r="K17178"/>
      <c r="O17178"/>
      <c r="R17178"/>
      <c r="W17178" s="4"/>
      <c r="X17178" s="4"/>
      <c r="Y17178" s="4"/>
    </row>
    <row r="17179" spans="5:25">
      <c r="E17179"/>
      <c r="G17179"/>
      <c r="H17179"/>
      <c r="I17179"/>
      <c r="K17179"/>
      <c r="O17179"/>
      <c r="R17179"/>
      <c r="W17179" s="4"/>
      <c r="X17179" s="4"/>
      <c r="Y17179" s="4"/>
    </row>
    <row r="17180" spans="5:25">
      <c r="E17180"/>
      <c r="G17180"/>
      <c r="H17180"/>
      <c r="I17180"/>
      <c r="K17180"/>
      <c r="O17180"/>
      <c r="R17180"/>
      <c r="W17180" s="4"/>
      <c r="X17180" s="4"/>
      <c r="Y17180" s="4"/>
    </row>
    <row r="17181" spans="5:25">
      <c r="E17181"/>
      <c r="G17181"/>
      <c r="H17181"/>
      <c r="I17181"/>
      <c r="K17181"/>
      <c r="O17181"/>
      <c r="R17181"/>
      <c r="W17181" s="4"/>
      <c r="X17181" s="4"/>
      <c r="Y17181" s="4"/>
    </row>
    <row r="17182" spans="5:25">
      <c r="E17182"/>
      <c r="G17182"/>
      <c r="H17182"/>
      <c r="I17182"/>
      <c r="K17182"/>
      <c r="O17182"/>
      <c r="R17182"/>
      <c r="W17182" s="4"/>
      <c r="X17182" s="4"/>
      <c r="Y17182" s="4"/>
    </row>
    <row r="17183" spans="5:25">
      <c r="E17183"/>
      <c r="G17183"/>
      <c r="H17183"/>
      <c r="I17183"/>
      <c r="K17183"/>
      <c r="O17183"/>
      <c r="R17183"/>
      <c r="W17183" s="4"/>
      <c r="X17183" s="4"/>
      <c r="Y17183" s="4"/>
    </row>
    <row r="17184" spans="5:25">
      <c r="E17184"/>
      <c r="G17184"/>
      <c r="H17184"/>
      <c r="I17184"/>
      <c r="K17184"/>
      <c r="O17184"/>
      <c r="R17184"/>
      <c r="W17184" s="4"/>
      <c r="X17184" s="4"/>
      <c r="Y17184" s="4"/>
    </row>
    <row r="17185" spans="5:25">
      <c r="E17185"/>
      <c r="G17185"/>
      <c r="H17185"/>
      <c r="I17185"/>
      <c r="K17185"/>
      <c r="O17185"/>
      <c r="R17185"/>
      <c r="W17185" s="4"/>
      <c r="X17185" s="4"/>
      <c r="Y17185" s="4"/>
    </row>
    <row r="17186" spans="5:25">
      <c r="E17186"/>
      <c r="G17186"/>
      <c r="H17186"/>
      <c r="I17186"/>
      <c r="K17186"/>
      <c r="O17186"/>
      <c r="R17186"/>
      <c r="W17186" s="4"/>
      <c r="X17186" s="4"/>
      <c r="Y17186" s="4"/>
    </row>
    <row r="17187" spans="5:25">
      <c r="E17187"/>
      <c r="G17187"/>
      <c r="H17187"/>
      <c r="I17187"/>
      <c r="K17187"/>
      <c r="O17187"/>
      <c r="R17187"/>
      <c r="W17187" s="4"/>
      <c r="X17187" s="4"/>
      <c r="Y17187" s="4"/>
    </row>
    <row r="17188" spans="5:25">
      <c r="E17188"/>
      <c r="G17188"/>
      <c r="H17188"/>
      <c r="I17188"/>
      <c r="K17188"/>
      <c r="O17188"/>
      <c r="R17188"/>
      <c r="W17188" s="4"/>
      <c r="X17188" s="4"/>
      <c r="Y17188" s="4"/>
    </row>
    <row r="17189" spans="5:25">
      <c r="E17189"/>
      <c r="G17189"/>
      <c r="H17189"/>
      <c r="I17189"/>
      <c r="K17189"/>
      <c r="O17189"/>
      <c r="R17189"/>
      <c r="W17189" s="4"/>
      <c r="X17189" s="4"/>
      <c r="Y17189" s="4"/>
    </row>
    <row r="17190" spans="5:25">
      <c r="E17190"/>
      <c r="G17190"/>
      <c r="H17190"/>
      <c r="I17190"/>
      <c r="K17190"/>
      <c r="O17190"/>
      <c r="R17190"/>
      <c r="W17190" s="4"/>
      <c r="X17190" s="4"/>
      <c r="Y17190" s="4"/>
    </row>
    <row r="17191" spans="5:25">
      <c r="E17191"/>
      <c r="G17191"/>
      <c r="H17191"/>
      <c r="I17191"/>
      <c r="K17191"/>
      <c r="O17191"/>
      <c r="R17191"/>
      <c r="W17191" s="4"/>
      <c r="X17191" s="4"/>
      <c r="Y17191" s="4"/>
    </row>
    <row r="17192" spans="5:25">
      <c r="E17192"/>
      <c r="G17192"/>
      <c r="H17192"/>
      <c r="I17192"/>
      <c r="K17192"/>
      <c r="O17192"/>
      <c r="R17192"/>
      <c r="W17192" s="4"/>
      <c r="X17192" s="4"/>
      <c r="Y17192" s="4"/>
    </row>
    <row r="17193" spans="5:25">
      <c r="E17193"/>
      <c r="G17193"/>
      <c r="H17193"/>
      <c r="I17193"/>
      <c r="K17193"/>
      <c r="O17193"/>
      <c r="R17193"/>
      <c r="W17193" s="4"/>
      <c r="X17193" s="4"/>
      <c r="Y17193" s="4"/>
    </row>
    <row r="17194" spans="5:25">
      <c r="E17194"/>
      <c r="G17194"/>
      <c r="H17194"/>
      <c r="I17194"/>
      <c r="K17194"/>
      <c r="O17194"/>
      <c r="R17194"/>
      <c r="W17194" s="4"/>
      <c r="X17194" s="4"/>
      <c r="Y17194" s="4"/>
    </row>
    <row r="17195" spans="5:25">
      <c r="E17195"/>
      <c r="G17195"/>
      <c r="H17195"/>
      <c r="I17195"/>
      <c r="K17195"/>
      <c r="O17195"/>
      <c r="R17195"/>
      <c r="W17195" s="4"/>
      <c r="X17195" s="4"/>
      <c r="Y17195" s="4"/>
    </row>
    <row r="17196" spans="5:25">
      <c r="E17196"/>
      <c r="G17196"/>
      <c r="H17196"/>
      <c r="I17196"/>
      <c r="K17196"/>
      <c r="O17196"/>
      <c r="R17196"/>
      <c r="W17196" s="4"/>
      <c r="X17196" s="4"/>
      <c r="Y17196" s="4"/>
    </row>
    <row r="17197" spans="5:25">
      <c r="E17197"/>
      <c r="G17197"/>
      <c r="H17197"/>
      <c r="I17197"/>
      <c r="K17197"/>
      <c r="O17197"/>
      <c r="R17197"/>
      <c r="W17197" s="4"/>
      <c r="X17197" s="4"/>
      <c r="Y17197" s="4"/>
    </row>
    <row r="17198" spans="5:25">
      <c r="E17198"/>
      <c r="G17198"/>
      <c r="H17198"/>
      <c r="I17198"/>
      <c r="K17198"/>
      <c r="O17198"/>
      <c r="R17198"/>
      <c r="W17198" s="4"/>
      <c r="X17198" s="4"/>
      <c r="Y17198" s="4"/>
    </row>
    <row r="17199" spans="5:25">
      <c r="E17199"/>
      <c r="G17199"/>
      <c r="H17199"/>
      <c r="I17199"/>
      <c r="K17199"/>
      <c r="O17199"/>
      <c r="R17199"/>
      <c r="W17199" s="4"/>
      <c r="X17199" s="4"/>
      <c r="Y17199" s="4"/>
    </row>
    <row r="17200" spans="5:25">
      <c r="E17200"/>
      <c r="G17200"/>
      <c r="H17200"/>
      <c r="I17200"/>
      <c r="K17200"/>
      <c r="O17200"/>
      <c r="R17200"/>
      <c r="W17200" s="4"/>
      <c r="X17200" s="4"/>
      <c r="Y17200" s="4"/>
    </row>
    <row r="17201" spans="5:25">
      <c r="E17201"/>
      <c r="G17201"/>
      <c r="H17201"/>
      <c r="I17201"/>
      <c r="K17201"/>
      <c r="O17201"/>
      <c r="R17201"/>
      <c r="W17201" s="4"/>
      <c r="X17201" s="4"/>
      <c r="Y17201" s="4"/>
    </row>
    <row r="17202" spans="5:25">
      <c r="E17202"/>
      <c r="G17202"/>
      <c r="H17202"/>
      <c r="I17202"/>
      <c r="K17202"/>
      <c r="O17202"/>
      <c r="R17202"/>
      <c r="W17202" s="4"/>
      <c r="X17202" s="4"/>
      <c r="Y17202" s="4"/>
    </row>
    <row r="17203" spans="5:25">
      <c r="E17203"/>
      <c r="G17203"/>
      <c r="H17203"/>
      <c r="I17203"/>
      <c r="K17203"/>
      <c r="O17203"/>
      <c r="R17203"/>
      <c r="W17203" s="4"/>
      <c r="X17203" s="4"/>
      <c r="Y17203" s="4"/>
    </row>
    <row r="17204" spans="5:25">
      <c r="E17204"/>
      <c r="G17204"/>
      <c r="H17204"/>
      <c r="I17204"/>
      <c r="K17204"/>
      <c r="O17204"/>
      <c r="R17204"/>
      <c r="W17204" s="4"/>
      <c r="X17204" s="4"/>
      <c r="Y17204" s="4"/>
    </row>
    <row r="17205" spans="5:25">
      <c r="E17205"/>
      <c r="G17205"/>
      <c r="H17205"/>
      <c r="I17205"/>
      <c r="K17205"/>
      <c r="O17205"/>
      <c r="R17205"/>
      <c r="W17205" s="4"/>
      <c r="X17205" s="4"/>
      <c r="Y17205" s="4"/>
    </row>
    <row r="17206" spans="5:25">
      <c r="E17206"/>
      <c r="G17206"/>
      <c r="H17206"/>
      <c r="I17206"/>
      <c r="K17206"/>
      <c r="O17206"/>
      <c r="R17206"/>
      <c r="W17206" s="4"/>
      <c r="X17206" s="4"/>
      <c r="Y17206" s="4"/>
    </row>
    <row r="17207" spans="5:25">
      <c r="E17207"/>
      <c r="G17207"/>
      <c r="H17207"/>
      <c r="I17207"/>
      <c r="K17207"/>
      <c r="O17207"/>
      <c r="R17207"/>
      <c r="W17207" s="4"/>
      <c r="X17207" s="4"/>
      <c r="Y17207" s="4"/>
    </row>
    <row r="17208" spans="5:25">
      <c r="E17208"/>
      <c r="G17208"/>
      <c r="H17208"/>
      <c r="I17208"/>
      <c r="K17208"/>
      <c r="O17208"/>
      <c r="R17208"/>
      <c r="W17208" s="4"/>
      <c r="X17208" s="4"/>
      <c r="Y17208" s="4"/>
    </row>
    <row r="17209" spans="5:25">
      <c r="E17209"/>
      <c r="G17209"/>
      <c r="H17209"/>
      <c r="I17209"/>
      <c r="K17209"/>
      <c r="O17209"/>
      <c r="R17209"/>
      <c r="W17209" s="4"/>
      <c r="X17209" s="4"/>
      <c r="Y17209" s="4"/>
    </row>
    <row r="17210" spans="5:25">
      <c r="E17210"/>
      <c r="G17210"/>
      <c r="H17210"/>
      <c r="I17210"/>
      <c r="K17210"/>
      <c r="O17210"/>
      <c r="R17210"/>
      <c r="W17210" s="4"/>
      <c r="X17210" s="4"/>
      <c r="Y17210" s="4"/>
    </row>
    <row r="17211" spans="5:25">
      <c r="E17211"/>
      <c r="G17211"/>
      <c r="H17211"/>
      <c r="I17211"/>
      <c r="K17211"/>
      <c r="O17211"/>
      <c r="R17211"/>
      <c r="W17211" s="4"/>
      <c r="X17211" s="4"/>
      <c r="Y17211" s="4"/>
    </row>
    <row r="17212" spans="5:25">
      <c r="E17212"/>
      <c r="G17212"/>
      <c r="H17212"/>
      <c r="I17212"/>
      <c r="K17212"/>
      <c r="O17212"/>
      <c r="R17212"/>
      <c r="W17212" s="4"/>
      <c r="X17212" s="4"/>
      <c r="Y17212" s="4"/>
    </row>
    <row r="17213" spans="5:25">
      <c r="E17213"/>
      <c r="G17213"/>
      <c r="H17213"/>
      <c r="I17213"/>
      <c r="K17213"/>
      <c r="O17213"/>
      <c r="R17213"/>
      <c r="W17213" s="4"/>
      <c r="X17213" s="4"/>
      <c r="Y17213" s="4"/>
    </row>
    <row r="17214" spans="5:25">
      <c r="E17214"/>
      <c r="G17214"/>
      <c r="H17214"/>
      <c r="I17214"/>
      <c r="K17214"/>
      <c r="O17214"/>
      <c r="R17214"/>
      <c r="W17214" s="4"/>
      <c r="X17214" s="4"/>
      <c r="Y17214" s="4"/>
    </row>
    <row r="17215" spans="5:25">
      <c r="E17215"/>
      <c r="G17215"/>
      <c r="H17215"/>
      <c r="I17215"/>
      <c r="K17215"/>
      <c r="O17215"/>
      <c r="R17215"/>
      <c r="W17215" s="4"/>
      <c r="X17215" s="4"/>
      <c r="Y17215" s="4"/>
    </row>
    <row r="17216" spans="5:25">
      <c r="E17216"/>
      <c r="G17216"/>
      <c r="H17216"/>
      <c r="I17216"/>
      <c r="K17216"/>
      <c r="O17216"/>
      <c r="R17216"/>
      <c r="W17216" s="4"/>
      <c r="X17216" s="4"/>
      <c r="Y17216" s="4"/>
    </row>
    <row r="17217" spans="5:25">
      <c r="E17217"/>
      <c r="G17217"/>
      <c r="H17217"/>
      <c r="I17217"/>
      <c r="K17217"/>
      <c r="O17217"/>
      <c r="R17217"/>
      <c r="W17217" s="4"/>
      <c r="X17217" s="4"/>
      <c r="Y17217" s="4"/>
    </row>
    <row r="17218" spans="5:25">
      <c r="E17218"/>
      <c r="G17218"/>
      <c r="H17218"/>
      <c r="I17218"/>
      <c r="K17218"/>
      <c r="O17218"/>
      <c r="R17218"/>
      <c r="W17218" s="4"/>
      <c r="X17218" s="4"/>
      <c r="Y17218" s="4"/>
    </row>
    <row r="17219" spans="5:25">
      <c r="E17219"/>
      <c r="G17219"/>
      <c r="H17219"/>
      <c r="I17219"/>
      <c r="K17219"/>
      <c r="O17219"/>
      <c r="R17219"/>
      <c r="W17219" s="4"/>
      <c r="X17219" s="4"/>
      <c r="Y17219" s="4"/>
    </row>
    <row r="17220" spans="5:25">
      <c r="E17220"/>
      <c r="G17220"/>
      <c r="H17220"/>
      <c r="I17220"/>
      <c r="K17220"/>
      <c r="O17220"/>
      <c r="R17220"/>
      <c r="W17220" s="4"/>
      <c r="X17220" s="4"/>
      <c r="Y17220" s="4"/>
    </row>
    <row r="17221" spans="5:25">
      <c r="E17221"/>
      <c r="G17221"/>
      <c r="H17221"/>
      <c r="I17221"/>
      <c r="K17221"/>
      <c r="O17221"/>
      <c r="R17221"/>
      <c r="W17221" s="4"/>
      <c r="X17221" s="4"/>
      <c r="Y17221" s="4"/>
    </row>
    <row r="17222" spans="5:25">
      <c r="E17222"/>
      <c r="G17222"/>
      <c r="H17222"/>
      <c r="I17222"/>
      <c r="K17222"/>
      <c r="O17222"/>
      <c r="R17222"/>
      <c r="W17222" s="4"/>
      <c r="X17222" s="4"/>
      <c r="Y17222" s="4"/>
    </row>
    <row r="17223" spans="5:25">
      <c r="E17223"/>
      <c r="G17223"/>
      <c r="H17223"/>
      <c r="I17223"/>
      <c r="K17223"/>
      <c r="O17223"/>
      <c r="R17223"/>
      <c r="W17223" s="4"/>
      <c r="X17223" s="4"/>
      <c r="Y17223" s="4"/>
    </row>
    <row r="17224" spans="5:25">
      <c r="E17224"/>
      <c r="G17224"/>
      <c r="H17224"/>
      <c r="I17224"/>
      <c r="K17224"/>
      <c r="O17224"/>
      <c r="R17224"/>
      <c r="W17224" s="4"/>
      <c r="X17224" s="4"/>
      <c r="Y17224" s="4"/>
    </row>
    <row r="17225" spans="5:25">
      <c r="E17225"/>
      <c r="G17225"/>
      <c r="H17225"/>
      <c r="I17225"/>
      <c r="K17225"/>
      <c r="O17225"/>
      <c r="R17225"/>
      <c r="W17225" s="4"/>
      <c r="X17225" s="4"/>
      <c r="Y17225" s="4"/>
    </row>
    <row r="17226" spans="5:25">
      <c r="E17226"/>
      <c r="G17226"/>
      <c r="H17226"/>
      <c r="I17226"/>
      <c r="K17226"/>
      <c r="O17226"/>
      <c r="R17226"/>
      <c r="W17226" s="4"/>
      <c r="X17226" s="4"/>
      <c r="Y17226" s="4"/>
    </row>
    <row r="17227" spans="5:25">
      <c r="E17227"/>
      <c r="G17227"/>
      <c r="H17227"/>
      <c r="I17227"/>
      <c r="K17227"/>
      <c r="O17227"/>
      <c r="R17227"/>
      <c r="W17227" s="4"/>
      <c r="X17227" s="4"/>
      <c r="Y17227" s="4"/>
    </row>
    <row r="17228" spans="5:25">
      <c r="E17228"/>
      <c r="G17228"/>
      <c r="H17228"/>
      <c r="I17228"/>
      <c r="K17228"/>
      <c r="O17228"/>
      <c r="R17228"/>
      <c r="W17228" s="4"/>
      <c r="X17228" s="4"/>
      <c r="Y17228" s="4"/>
    </row>
    <row r="17229" spans="5:25">
      <c r="E17229"/>
      <c r="G17229"/>
      <c r="H17229"/>
      <c r="I17229"/>
      <c r="K17229"/>
      <c r="O17229"/>
      <c r="R17229"/>
      <c r="W17229" s="4"/>
      <c r="X17229" s="4"/>
      <c r="Y17229" s="4"/>
    </row>
    <row r="17230" spans="5:25">
      <c r="E17230"/>
      <c r="G17230"/>
      <c r="H17230"/>
      <c r="I17230"/>
      <c r="K17230"/>
      <c r="O17230"/>
      <c r="R17230"/>
      <c r="W17230" s="4"/>
      <c r="X17230" s="4"/>
      <c r="Y17230" s="4"/>
    </row>
    <row r="17231" spans="5:25">
      <c r="E17231"/>
      <c r="G17231"/>
      <c r="H17231"/>
      <c r="I17231"/>
      <c r="K17231"/>
      <c r="O17231"/>
      <c r="R17231"/>
      <c r="W17231" s="4"/>
      <c r="X17231" s="4"/>
      <c r="Y17231" s="4"/>
    </row>
    <row r="17232" spans="5:25">
      <c r="E17232"/>
      <c r="G17232"/>
      <c r="H17232"/>
      <c r="I17232"/>
      <c r="K17232"/>
      <c r="O17232"/>
      <c r="R17232"/>
      <c r="W17232" s="4"/>
      <c r="X17232" s="4"/>
      <c r="Y17232" s="4"/>
    </row>
    <row r="17233" spans="5:25">
      <c r="E17233"/>
      <c r="G17233"/>
      <c r="H17233"/>
      <c r="I17233"/>
      <c r="K17233"/>
      <c r="O17233"/>
      <c r="R17233"/>
      <c r="W17233" s="4"/>
      <c r="X17233" s="4"/>
      <c r="Y17233" s="4"/>
    </row>
    <row r="17234" spans="5:25">
      <c r="E17234"/>
      <c r="G17234"/>
      <c r="H17234"/>
      <c r="I17234"/>
      <c r="K17234"/>
      <c r="O17234"/>
      <c r="R17234"/>
      <c r="W17234" s="4"/>
      <c r="X17234" s="4"/>
      <c r="Y17234" s="4"/>
    </row>
    <row r="17235" spans="5:25">
      <c r="E17235"/>
      <c r="G17235"/>
      <c r="H17235"/>
      <c r="I17235"/>
      <c r="K17235"/>
      <c r="O17235"/>
      <c r="R17235"/>
      <c r="W17235" s="4"/>
      <c r="X17235" s="4"/>
      <c r="Y17235" s="4"/>
    </row>
    <row r="17236" spans="5:25">
      <c r="E17236"/>
      <c r="G17236"/>
      <c r="H17236"/>
      <c r="I17236"/>
      <c r="K17236"/>
      <c r="O17236"/>
      <c r="R17236"/>
      <c r="W17236" s="4"/>
      <c r="X17236" s="4"/>
      <c r="Y17236" s="4"/>
    </row>
    <row r="17237" spans="5:25">
      <c r="E17237"/>
      <c r="G17237"/>
      <c r="H17237"/>
      <c r="I17237"/>
      <c r="K17237"/>
      <c r="O17237"/>
      <c r="R17237"/>
      <c r="W17237" s="4"/>
      <c r="X17237" s="4"/>
      <c r="Y17237" s="4"/>
    </row>
    <row r="17238" spans="5:25">
      <c r="E17238"/>
      <c r="G17238"/>
      <c r="H17238"/>
      <c r="I17238"/>
      <c r="K17238"/>
      <c r="O17238"/>
      <c r="R17238"/>
      <c r="W17238" s="4"/>
      <c r="X17238" s="4"/>
      <c r="Y17238" s="4"/>
    </row>
    <row r="17239" spans="5:25">
      <c r="E17239"/>
      <c r="G17239"/>
      <c r="H17239"/>
      <c r="I17239"/>
      <c r="K17239"/>
      <c r="O17239"/>
      <c r="R17239"/>
      <c r="W17239" s="4"/>
      <c r="X17239" s="4"/>
      <c r="Y17239" s="4"/>
    </row>
    <row r="17240" spans="5:25">
      <c r="E17240"/>
      <c r="G17240"/>
      <c r="H17240"/>
      <c r="I17240"/>
      <c r="K17240"/>
      <c r="O17240"/>
      <c r="R17240"/>
      <c r="W17240" s="4"/>
      <c r="X17240" s="4"/>
      <c r="Y17240" s="4"/>
    </row>
    <row r="17241" spans="5:25">
      <c r="E17241"/>
      <c r="G17241"/>
      <c r="H17241"/>
      <c r="I17241"/>
      <c r="K17241"/>
      <c r="O17241"/>
      <c r="R17241"/>
      <c r="W17241" s="4"/>
      <c r="X17241" s="4"/>
      <c r="Y17241" s="4"/>
    </row>
    <row r="17242" spans="5:25">
      <c r="E17242"/>
      <c r="G17242"/>
      <c r="H17242"/>
      <c r="I17242"/>
      <c r="K17242"/>
      <c r="O17242"/>
      <c r="R17242"/>
      <c r="W17242" s="4"/>
      <c r="X17242" s="4"/>
      <c r="Y17242" s="4"/>
    </row>
    <row r="17243" spans="5:25">
      <c r="E17243"/>
      <c r="G17243"/>
      <c r="H17243"/>
      <c r="I17243"/>
      <c r="K17243"/>
      <c r="O17243"/>
      <c r="R17243"/>
      <c r="W17243" s="4"/>
      <c r="X17243" s="4"/>
      <c r="Y17243" s="4"/>
    </row>
    <row r="17244" spans="5:25">
      <c r="E17244"/>
      <c r="G17244"/>
      <c r="H17244"/>
      <c r="I17244"/>
      <c r="K17244"/>
      <c r="O17244"/>
      <c r="R17244"/>
      <c r="W17244" s="4"/>
      <c r="X17244" s="4"/>
      <c r="Y17244" s="4"/>
    </row>
    <row r="17245" spans="5:25">
      <c r="E17245"/>
      <c r="G17245"/>
      <c r="H17245"/>
      <c r="I17245"/>
      <c r="K17245"/>
      <c r="O17245"/>
      <c r="R17245"/>
      <c r="W17245" s="4"/>
      <c r="X17245" s="4"/>
      <c r="Y17245" s="4"/>
    </row>
    <row r="17246" spans="5:25">
      <c r="E17246"/>
      <c r="G17246"/>
      <c r="H17246"/>
      <c r="I17246"/>
      <c r="K17246"/>
      <c r="O17246"/>
      <c r="R17246"/>
      <c r="W17246" s="4"/>
      <c r="X17246" s="4"/>
      <c r="Y17246" s="4"/>
    </row>
    <row r="17247" spans="5:25">
      <c r="E17247"/>
      <c r="G17247"/>
      <c r="H17247"/>
      <c r="I17247"/>
      <c r="K17247"/>
      <c r="O17247"/>
      <c r="R17247"/>
      <c r="W17247" s="4"/>
      <c r="X17247" s="4"/>
      <c r="Y17247" s="4"/>
    </row>
    <row r="17248" spans="5:25">
      <c r="E17248"/>
      <c r="G17248"/>
      <c r="H17248"/>
      <c r="I17248"/>
      <c r="K17248"/>
      <c r="O17248"/>
      <c r="R17248"/>
      <c r="W17248" s="4"/>
      <c r="X17248" s="4"/>
      <c r="Y17248" s="4"/>
    </row>
    <row r="17249" spans="5:25">
      <c r="E17249"/>
      <c r="G17249"/>
      <c r="H17249"/>
      <c r="I17249"/>
      <c r="K17249"/>
      <c r="O17249"/>
      <c r="R17249"/>
      <c r="W17249" s="4"/>
      <c r="X17249" s="4"/>
      <c r="Y17249" s="4"/>
    </row>
    <row r="17250" spans="5:25">
      <c r="E17250"/>
      <c r="G17250"/>
      <c r="H17250"/>
      <c r="I17250"/>
      <c r="K17250"/>
      <c r="O17250"/>
      <c r="R17250"/>
      <c r="W17250" s="4"/>
      <c r="X17250" s="4"/>
      <c r="Y17250" s="4"/>
    </row>
    <row r="17251" spans="5:25">
      <c r="E17251"/>
      <c r="G17251"/>
      <c r="H17251"/>
      <c r="I17251"/>
      <c r="K17251"/>
      <c r="O17251"/>
      <c r="R17251"/>
      <c r="W17251" s="4"/>
      <c r="X17251" s="4"/>
      <c r="Y17251" s="4"/>
    </row>
    <row r="17252" spans="5:25">
      <c r="E17252"/>
      <c r="G17252"/>
      <c r="H17252"/>
      <c r="I17252"/>
      <c r="K17252"/>
      <c r="O17252"/>
      <c r="R17252"/>
      <c r="W17252" s="4"/>
      <c r="X17252" s="4"/>
      <c r="Y17252" s="4"/>
    </row>
    <row r="17253" spans="5:25">
      <c r="E17253"/>
      <c r="G17253"/>
      <c r="H17253"/>
      <c r="I17253"/>
      <c r="K17253"/>
      <c r="O17253"/>
      <c r="R17253"/>
      <c r="W17253" s="4"/>
      <c r="X17253" s="4"/>
      <c r="Y17253" s="4"/>
    </row>
    <row r="17254" spans="5:25">
      <c r="E17254"/>
      <c r="G17254"/>
      <c r="H17254"/>
      <c r="I17254"/>
      <c r="K17254"/>
      <c r="O17254"/>
      <c r="R17254"/>
      <c r="W17254" s="4"/>
      <c r="X17254" s="4"/>
      <c r="Y17254" s="4"/>
    </row>
    <row r="17255" spans="5:25">
      <c r="E17255"/>
      <c r="G17255"/>
      <c r="H17255"/>
      <c r="I17255"/>
      <c r="K17255"/>
      <c r="O17255"/>
      <c r="R17255"/>
      <c r="W17255" s="4"/>
      <c r="X17255" s="4"/>
      <c r="Y17255" s="4"/>
    </row>
    <row r="17256" spans="5:25">
      <c r="E17256"/>
      <c r="G17256"/>
      <c r="H17256"/>
      <c r="I17256"/>
      <c r="K17256"/>
      <c r="O17256"/>
      <c r="R17256"/>
      <c r="W17256" s="4"/>
      <c r="X17256" s="4"/>
      <c r="Y17256" s="4"/>
    </row>
    <row r="17257" spans="5:25">
      <c r="E17257"/>
      <c r="G17257"/>
      <c r="H17257"/>
      <c r="I17257"/>
      <c r="K17257"/>
      <c r="O17257"/>
      <c r="R17257"/>
      <c r="W17257" s="4"/>
      <c r="X17257" s="4"/>
      <c r="Y17257" s="4"/>
    </row>
    <row r="17258" spans="5:25">
      <c r="E17258"/>
      <c r="G17258"/>
      <c r="H17258"/>
      <c r="I17258"/>
      <c r="K17258"/>
      <c r="O17258"/>
      <c r="R17258"/>
      <c r="W17258" s="4"/>
      <c r="X17258" s="4"/>
      <c r="Y17258" s="4"/>
    </row>
    <row r="17259" spans="5:25">
      <c r="E17259"/>
      <c r="G17259"/>
      <c r="H17259"/>
      <c r="I17259"/>
      <c r="K17259"/>
      <c r="O17259"/>
      <c r="R17259"/>
      <c r="W17259" s="4"/>
      <c r="X17259" s="4"/>
      <c r="Y17259" s="4"/>
    </row>
    <row r="17260" spans="5:25">
      <c r="E17260"/>
      <c r="G17260"/>
      <c r="H17260"/>
      <c r="I17260"/>
      <c r="K17260"/>
      <c r="O17260"/>
      <c r="R17260"/>
      <c r="W17260" s="4"/>
      <c r="X17260" s="4"/>
      <c r="Y17260" s="4"/>
    </row>
    <row r="17261" spans="5:25">
      <c r="E17261"/>
      <c r="G17261"/>
      <c r="H17261"/>
      <c r="I17261"/>
      <c r="K17261"/>
      <c r="O17261"/>
      <c r="R17261"/>
      <c r="W17261" s="4"/>
      <c r="X17261" s="4"/>
      <c r="Y17261" s="4"/>
    </row>
    <row r="17262" spans="5:25">
      <c r="E17262"/>
      <c r="G17262"/>
      <c r="H17262"/>
      <c r="I17262"/>
      <c r="K17262"/>
      <c r="O17262"/>
      <c r="R17262"/>
      <c r="W17262" s="4"/>
      <c r="X17262" s="4"/>
      <c r="Y17262" s="4"/>
    </row>
    <row r="17263" spans="5:25">
      <c r="E17263"/>
      <c r="G17263"/>
      <c r="H17263"/>
      <c r="I17263"/>
      <c r="K17263"/>
      <c r="O17263"/>
      <c r="R17263"/>
      <c r="W17263" s="4"/>
      <c r="X17263" s="4"/>
      <c r="Y17263" s="4"/>
    </row>
    <row r="17264" spans="5:25">
      <c r="E17264"/>
      <c r="G17264"/>
      <c r="H17264"/>
      <c r="I17264"/>
      <c r="K17264"/>
      <c r="O17264"/>
      <c r="R17264"/>
      <c r="W17264" s="4"/>
      <c r="X17264" s="4"/>
      <c r="Y17264" s="4"/>
    </row>
    <row r="17265" spans="5:25">
      <c r="E17265"/>
      <c r="G17265"/>
      <c r="H17265"/>
      <c r="I17265"/>
      <c r="K17265"/>
      <c r="O17265"/>
      <c r="R17265"/>
      <c r="W17265" s="4"/>
      <c r="X17265" s="4"/>
      <c r="Y17265" s="4"/>
    </row>
    <row r="17266" spans="5:25">
      <c r="E17266"/>
      <c r="G17266"/>
      <c r="H17266"/>
      <c r="I17266"/>
      <c r="K17266"/>
      <c r="O17266"/>
      <c r="R17266"/>
      <c r="W17266" s="4"/>
      <c r="X17266" s="4"/>
      <c r="Y17266" s="4"/>
    </row>
    <row r="17267" spans="5:25">
      <c r="E17267"/>
      <c r="G17267"/>
      <c r="H17267"/>
      <c r="I17267"/>
      <c r="K17267"/>
      <c r="O17267"/>
      <c r="R17267"/>
      <c r="W17267" s="4"/>
      <c r="X17267" s="4"/>
      <c r="Y17267" s="4"/>
    </row>
    <row r="17268" spans="5:25">
      <c r="E17268"/>
      <c r="G17268"/>
      <c r="H17268"/>
      <c r="I17268"/>
      <c r="K17268"/>
      <c r="O17268"/>
      <c r="R17268"/>
      <c r="W17268" s="4"/>
      <c r="X17268" s="4"/>
      <c r="Y17268" s="4"/>
    </row>
    <row r="17269" spans="5:25">
      <c r="E17269"/>
      <c r="G17269"/>
      <c r="H17269"/>
      <c r="I17269"/>
      <c r="K17269"/>
      <c r="O17269"/>
      <c r="R17269"/>
      <c r="W17269" s="4"/>
      <c r="X17269" s="4"/>
      <c r="Y17269" s="4"/>
    </row>
    <row r="17270" spans="5:25">
      <c r="E17270"/>
      <c r="G17270"/>
      <c r="H17270"/>
      <c r="I17270"/>
      <c r="K17270"/>
      <c r="O17270"/>
      <c r="R17270"/>
      <c r="W17270" s="4"/>
      <c r="X17270" s="4"/>
      <c r="Y17270" s="4"/>
    </row>
    <row r="17271" spans="5:25">
      <c r="E17271"/>
      <c r="G17271"/>
      <c r="H17271"/>
      <c r="I17271"/>
      <c r="K17271"/>
      <c r="O17271"/>
      <c r="R17271"/>
      <c r="W17271" s="4"/>
      <c r="X17271" s="4"/>
      <c r="Y17271" s="4"/>
    </row>
    <row r="17272" spans="5:25">
      <c r="E17272"/>
      <c r="G17272"/>
      <c r="H17272"/>
      <c r="I17272"/>
      <c r="K17272"/>
      <c r="O17272"/>
      <c r="R17272"/>
      <c r="W17272" s="4"/>
      <c r="X17272" s="4"/>
      <c r="Y17272" s="4"/>
    </row>
    <row r="17273" spans="5:25">
      <c r="E17273"/>
      <c r="G17273"/>
      <c r="H17273"/>
      <c r="I17273"/>
      <c r="K17273"/>
      <c r="O17273"/>
      <c r="R17273"/>
      <c r="W17273" s="4"/>
      <c r="X17273" s="4"/>
      <c r="Y17273" s="4"/>
    </row>
    <row r="17274" spans="5:25">
      <c r="E17274"/>
      <c r="G17274"/>
      <c r="H17274"/>
      <c r="I17274"/>
      <c r="K17274"/>
      <c r="O17274"/>
      <c r="R17274"/>
      <c r="W17274" s="4"/>
      <c r="X17274" s="4"/>
      <c r="Y17274" s="4"/>
    </row>
    <row r="17275" spans="5:25">
      <c r="E17275"/>
      <c r="G17275"/>
      <c r="H17275"/>
      <c r="I17275"/>
      <c r="K17275"/>
      <c r="O17275"/>
      <c r="R17275"/>
      <c r="W17275" s="4"/>
      <c r="X17275" s="4"/>
      <c r="Y17275" s="4"/>
    </row>
    <row r="17276" spans="5:25">
      <c r="E17276"/>
      <c r="G17276"/>
      <c r="H17276"/>
      <c r="I17276"/>
      <c r="K17276"/>
      <c r="O17276"/>
      <c r="R17276"/>
      <c r="W17276" s="4"/>
      <c r="X17276" s="4"/>
      <c r="Y17276" s="4"/>
    </row>
    <row r="17277" spans="5:25">
      <c r="E17277"/>
      <c r="G17277"/>
      <c r="H17277"/>
      <c r="I17277"/>
      <c r="K17277"/>
      <c r="O17277"/>
      <c r="R17277"/>
      <c r="W17277" s="4"/>
      <c r="X17277" s="4"/>
      <c r="Y17277" s="4"/>
    </row>
    <row r="17278" spans="5:25">
      <c r="E17278"/>
      <c r="G17278"/>
      <c r="H17278"/>
      <c r="I17278"/>
      <c r="K17278"/>
      <c r="O17278"/>
      <c r="R17278"/>
      <c r="W17278" s="4"/>
      <c r="X17278" s="4"/>
      <c r="Y17278" s="4"/>
    </row>
    <row r="17279" spans="5:25">
      <c r="E17279"/>
      <c r="G17279"/>
      <c r="H17279"/>
      <c r="I17279"/>
      <c r="K17279"/>
      <c r="O17279"/>
      <c r="R17279"/>
      <c r="W17279" s="4"/>
      <c r="X17279" s="4"/>
      <c r="Y17279" s="4"/>
    </row>
    <row r="17280" spans="5:25">
      <c r="E17280"/>
      <c r="G17280"/>
      <c r="H17280"/>
      <c r="I17280"/>
      <c r="K17280"/>
      <c r="O17280"/>
      <c r="R17280"/>
      <c r="W17280" s="4"/>
      <c r="X17280" s="4"/>
      <c r="Y17280" s="4"/>
    </row>
    <row r="17281" spans="5:25">
      <c r="E17281"/>
      <c r="G17281"/>
      <c r="H17281"/>
      <c r="I17281"/>
      <c r="K17281"/>
      <c r="O17281"/>
      <c r="R17281"/>
      <c r="W17281" s="4"/>
      <c r="X17281" s="4"/>
      <c r="Y17281" s="4"/>
    </row>
    <row r="17282" spans="5:25">
      <c r="E17282"/>
      <c r="G17282"/>
      <c r="H17282"/>
      <c r="I17282"/>
      <c r="K17282"/>
      <c r="O17282"/>
      <c r="R17282"/>
      <c r="W17282" s="4"/>
      <c r="X17282" s="4"/>
      <c r="Y17282" s="4"/>
    </row>
    <row r="17283" spans="5:25">
      <c r="E17283"/>
      <c r="G17283"/>
      <c r="H17283"/>
      <c r="I17283"/>
      <c r="K17283"/>
      <c r="O17283"/>
      <c r="R17283"/>
      <c r="W17283" s="4"/>
      <c r="X17283" s="4"/>
      <c r="Y17283" s="4"/>
    </row>
    <row r="17284" spans="5:25">
      <c r="E17284"/>
      <c r="G17284"/>
      <c r="H17284"/>
      <c r="I17284"/>
      <c r="K17284"/>
      <c r="O17284"/>
      <c r="R17284"/>
      <c r="W17284" s="4"/>
      <c r="X17284" s="4"/>
      <c r="Y17284" s="4"/>
    </row>
    <row r="17285" spans="5:25">
      <c r="E17285"/>
      <c r="G17285"/>
      <c r="H17285"/>
      <c r="I17285"/>
      <c r="K17285"/>
      <c r="O17285"/>
      <c r="R17285"/>
      <c r="W17285" s="4"/>
      <c r="X17285" s="4"/>
      <c r="Y17285" s="4"/>
    </row>
    <row r="17286" spans="5:25">
      <c r="E17286"/>
      <c r="G17286"/>
      <c r="H17286"/>
      <c r="I17286"/>
      <c r="K17286"/>
      <c r="O17286"/>
      <c r="R17286"/>
      <c r="W17286" s="4"/>
      <c r="X17286" s="4"/>
      <c r="Y17286" s="4"/>
    </row>
    <row r="17287" spans="5:25">
      <c r="E17287"/>
      <c r="G17287"/>
      <c r="H17287"/>
      <c r="I17287"/>
      <c r="K17287"/>
      <c r="O17287"/>
      <c r="R17287"/>
      <c r="W17287" s="4"/>
      <c r="X17287" s="4"/>
      <c r="Y17287" s="4"/>
    </row>
    <row r="17288" spans="5:25">
      <c r="E17288"/>
      <c r="G17288"/>
      <c r="H17288"/>
      <c r="I17288"/>
      <c r="K17288"/>
      <c r="O17288"/>
      <c r="R17288"/>
      <c r="W17288" s="4"/>
      <c r="X17288" s="4"/>
      <c r="Y17288" s="4"/>
    </row>
    <row r="17289" spans="5:25">
      <c r="E17289"/>
      <c r="G17289"/>
      <c r="H17289"/>
      <c r="I17289"/>
      <c r="K17289"/>
      <c r="O17289"/>
      <c r="R17289"/>
      <c r="W17289" s="4"/>
      <c r="X17289" s="4"/>
      <c r="Y17289" s="4"/>
    </row>
    <row r="17290" spans="5:25">
      <c r="E17290"/>
      <c r="G17290"/>
      <c r="H17290"/>
      <c r="I17290"/>
      <c r="K17290"/>
      <c r="O17290"/>
      <c r="R17290"/>
      <c r="W17290" s="4"/>
      <c r="X17290" s="4"/>
      <c r="Y17290" s="4"/>
    </row>
    <row r="17291" spans="5:25">
      <c r="E17291"/>
      <c r="G17291"/>
      <c r="H17291"/>
      <c r="I17291"/>
      <c r="K17291"/>
      <c r="O17291"/>
      <c r="R17291"/>
      <c r="W17291" s="4"/>
      <c r="X17291" s="4"/>
      <c r="Y17291" s="4"/>
    </row>
    <row r="17292" spans="5:25">
      <c r="E17292"/>
      <c r="G17292"/>
      <c r="H17292"/>
      <c r="I17292"/>
      <c r="K17292"/>
      <c r="O17292"/>
      <c r="R17292"/>
      <c r="W17292" s="4"/>
      <c r="X17292" s="4"/>
      <c r="Y17292" s="4"/>
    </row>
    <row r="17293" spans="5:25">
      <c r="E17293"/>
      <c r="G17293"/>
      <c r="H17293"/>
      <c r="I17293"/>
      <c r="K17293"/>
      <c r="O17293"/>
      <c r="R17293"/>
      <c r="W17293" s="4"/>
      <c r="X17293" s="4"/>
      <c r="Y17293" s="4"/>
    </row>
    <row r="17294" spans="5:25">
      <c r="E17294"/>
      <c r="G17294"/>
      <c r="H17294"/>
      <c r="I17294"/>
      <c r="K17294"/>
      <c r="O17294"/>
      <c r="R17294"/>
      <c r="W17294" s="4"/>
      <c r="X17294" s="4"/>
      <c r="Y17294" s="4"/>
    </row>
    <row r="17295" spans="5:25">
      <c r="E17295"/>
      <c r="G17295"/>
      <c r="H17295"/>
      <c r="I17295"/>
      <c r="K17295"/>
      <c r="O17295"/>
      <c r="R17295"/>
      <c r="W17295" s="4"/>
      <c r="X17295" s="4"/>
      <c r="Y17295" s="4"/>
    </row>
    <row r="17296" spans="5:25">
      <c r="E17296"/>
      <c r="G17296"/>
      <c r="H17296"/>
      <c r="I17296"/>
      <c r="K17296"/>
      <c r="O17296"/>
      <c r="R17296"/>
      <c r="W17296" s="4"/>
      <c r="X17296" s="4"/>
      <c r="Y17296" s="4"/>
    </row>
    <row r="17297" spans="5:25">
      <c r="E17297"/>
      <c r="G17297"/>
      <c r="H17297"/>
      <c r="I17297"/>
      <c r="K17297"/>
      <c r="O17297"/>
      <c r="R17297"/>
      <c r="W17297" s="4"/>
      <c r="X17297" s="4"/>
      <c r="Y17297" s="4"/>
    </row>
    <row r="17298" spans="5:25">
      <c r="E17298"/>
      <c r="G17298"/>
      <c r="H17298"/>
      <c r="I17298"/>
      <c r="K17298"/>
      <c r="O17298"/>
      <c r="R17298"/>
      <c r="W17298" s="4"/>
      <c r="X17298" s="4"/>
      <c r="Y17298" s="4"/>
    </row>
    <row r="17299" spans="5:25">
      <c r="E17299"/>
      <c r="G17299"/>
      <c r="H17299"/>
      <c r="I17299"/>
      <c r="K17299"/>
      <c r="O17299"/>
      <c r="R17299"/>
      <c r="W17299" s="4"/>
      <c r="X17299" s="4"/>
      <c r="Y17299" s="4"/>
    </row>
    <row r="17300" spans="5:25">
      <c r="E17300"/>
      <c r="G17300"/>
      <c r="H17300"/>
      <c r="I17300"/>
      <c r="K17300"/>
      <c r="O17300"/>
      <c r="R17300"/>
      <c r="W17300" s="4"/>
      <c r="X17300" s="4"/>
      <c r="Y17300" s="4"/>
    </row>
    <row r="17301" spans="5:25">
      <c r="E17301"/>
      <c r="G17301"/>
      <c r="H17301"/>
      <c r="I17301"/>
      <c r="K17301"/>
      <c r="O17301"/>
      <c r="R17301"/>
      <c r="W17301" s="4"/>
      <c r="X17301" s="4"/>
      <c r="Y17301" s="4"/>
    </row>
    <row r="17302" spans="5:25">
      <c r="E17302"/>
      <c r="G17302"/>
      <c r="H17302"/>
      <c r="I17302"/>
      <c r="K17302"/>
      <c r="O17302"/>
      <c r="R17302"/>
      <c r="W17302" s="4"/>
      <c r="X17302" s="4"/>
      <c r="Y17302" s="4"/>
    </row>
    <row r="17303" spans="5:25">
      <c r="E17303"/>
      <c r="G17303"/>
      <c r="H17303"/>
      <c r="I17303"/>
      <c r="K17303"/>
      <c r="O17303"/>
      <c r="R17303"/>
      <c r="W17303" s="4"/>
      <c r="X17303" s="4"/>
      <c r="Y17303" s="4"/>
    </row>
    <row r="17304" spans="5:25">
      <c r="E17304"/>
      <c r="G17304"/>
      <c r="H17304"/>
      <c r="I17304"/>
      <c r="K17304"/>
      <c r="O17304"/>
      <c r="R17304"/>
      <c r="W17304" s="4"/>
      <c r="X17304" s="4"/>
      <c r="Y17304" s="4"/>
    </row>
    <row r="17305" spans="5:25">
      <c r="E17305"/>
      <c r="G17305"/>
      <c r="H17305"/>
      <c r="I17305"/>
      <c r="K17305"/>
      <c r="O17305"/>
      <c r="R17305"/>
      <c r="W17305" s="4"/>
      <c r="X17305" s="4"/>
      <c r="Y17305" s="4"/>
    </row>
    <row r="17306" spans="5:25">
      <c r="E17306"/>
      <c r="G17306"/>
      <c r="H17306"/>
      <c r="I17306"/>
      <c r="K17306"/>
      <c r="O17306"/>
      <c r="R17306"/>
      <c r="W17306" s="4"/>
      <c r="X17306" s="4"/>
      <c r="Y17306" s="4"/>
    </row>
    <row r="17307" spans="5:25">
      <c r="E17307"/>
      <c r="G17307"/>
      <c r="H17307"/>
      <c r="I17307"/>
      <c r="K17307"/>
      <c r="O17307"/>
      <c r="R17307"/>
      <c r="W17307" s="4"/>
      <c r="X17307" s="4"/>
      <c r="Y17307" s="4"/>
    </row>
    <row r="17308" spans="5:25">
      <c r="E17308"/>
      <c r="G17308"/>
      <c r="H17308"/>
      <c r="I17308"/>
      <c r="K17308"/>
      <c r="O17308"/>
      <c r="R17308"/>
      <c r="W17308" s="4"/>
      <c r="X17308" s="4"/>
      <c r="Y17308" s="4"/>
    </row>
    <row r="17309" spans="5:25">
      <c r="E17309"/>
      <c r="G17309"/>
      <c r="H17309"/>
      <c r="I17309"/>
      <c r="K17309"/>
      <c r="O17309"/>
      <c r="R17309"/>
      <c r="W17309" s="4"/>
      <c r="X17309" s="4"/>
      <c r="Y17309" s="4"/>
    </row>
    <row r="17310" spans="5:25">
      <c r="E17310"/>
      <c r="G17310"/>
      <c r="H17310"/>
      <c r="I17310"/>
      <c r="K17310"/>
      <c r="O17310"/>
      <c r="R17310"/>
      <c r="W17310" s="4"/>
      <c r="X17310" s="4"/>
      <c r="Y17310" s="4"/>
    </row>
    <row r="17311" spans="5:25">
      <c r="E17311"/>
      <c r="G17311"/>
      <c r="H17311"/>
      <c r="I17311"/>
      <c r="K17311"/>
      <c r="O17311"/>
      <c r="R17311"/>
      <c r="W17311" s="4"/>
      <c r="X17311" s="4"/>
      <c r="Y17311" s="4"/>
    </row>
    <row r="17312" spans="5:25">
      <c r="E17312"/>
      <c r="G17312"/>
      <c r="H17312"/>
      <c r="I17312"/>
      <c r="K17312"/>
      <c r="O17312"/>
      <c r="R17312"/>
      <c r="W17312" s="4"/>
      <c r="X17312" s="4"/>
      <c r="Y17312" s="4"/>
    </row>
    <row r="17313" spans="5:25">
      <c r="E17313"/>
      <c r="G17313"/>
      <c r="H17313"/>
      <c r="I17313"/>
      <c r="K17313"/>
      <c r="O17313"/>
      <c r="R17313"/>
      <c r="W17313" s="4"/>
      <c r="X17313" s="4"/>
      <c r="Y17313" s="4"/>
    </row>
    <row r="17314" spans="5:25">
      <c r="E17314"/>
      <c r="G17314"/>
      <c r="H17314"/>
      <c r="I17314"/>
      <c r="K17314"/>
      <c r="O17314"/>
      <c r="R17314"/>
      <c r="W17314" s="4"/>
      <c r="X17314" s="4"/>
      <c r="Y17314" s="4"/>
    </row>
    <row r="17315" spans="5:25">
      <c r="E17315"/>
      <c r="G17315"/>
      <c r="H17315"/>
      <c r="I17315"/>
      <c r="K17315"/>
      <c r="O17315"/>
      <c r="R17315"/>
      <c r="W17315" s="4"/>
      <c r="X17315" s="4"/>
      <c r="Y17315" s="4"/>
    </row>
    <row r="17316" spans="5:25">
      <c r="E17316"/>
      <c r="G17316"/>
      <c r="H17316"/>
      <c r="I17316"/>
      <c r="K17316"/>
      <c r="O17316"/>
      <c r="R17316"/>
      <c r="W17316" s="4"/>
      <c r="X17316" s="4"/>
      <c r="Y17316" s="4"/>
    </row>
    <row r="17317" spans="5:25">
      <c r="E17317"/>
      <c r="G17317"/>
      <c r="H17317"/>
      <c r="I17317"/>
      <c r="K17317"/>
      <c r="O17317"/>
      <c r="R17317"/>
      <c r="W17317" s="4"/>
      <c r="X17317" s="4"/>
      <c r="Y17317" s="4"/>
    </row>
    <row r="17318" spans="5:25">
      <c r="E17318"/>
      <c r="G17318"/>
      <c r="H17318"/>
      <c r="I17318"/>
      <c r="K17318"/>
      <c r="O17318"/>
      <c r="R17318"/>
      <c r="W17318" s="4"/>
      <c r="X17318" s="4"/>
      <c r="Y17318" s="4"/>
    </row>
    <row r="17319" spans="5:25">
      <c r="E17319"/>
      <c r="G17319"/>
      <c r="H17319"/>
      <c r="I17319"/>
      <c r="K17319"/>
      <c r="O17319"/>
      <c r="R17319"/>
      <c r="W17319" s="4"/>
      <c r="X17319" s="4"/>
      <c r="Y17319" s="4"/>
    </row>
    <row r="17320" spans="5:25">
      <c r="E17320"/>
      <c r="G17320"/>
      <c r="H17320"/>
      <c r="I17320"/>
      <c r="K17320"/>
      <c r="O17320"/>
      <c r="R17320"/>
      <c r="W17320" s="4"/>
      <c r="X17320" s="4"/>
      <c r="Y17320" s="4"/>
    </row>
    <row r="17321" spans="5:25">
      <c r="E17321"/>
      <c r="G17321"/>
      <c r="H17321"/>
      <c r="I17321"/>
      <c r="K17321"/>
      <c r="O17321"/>
      <c r="R17321"/>
      <c r="W17321" s="4"/>
      <c r="X17321" s="4"/>
      <c r="Y17321" s="4"/>
    </row>
    <row r="17322" spans="5:25">
      <c r="E17322"/>
      <c r="G17322"/>
      <c r="H17322"/>
      <c r="I17322"/>
      <c r="K17322"/>
      <c r="O17322"/>
      <c r="R17322"/>
      <c r="W17322" s="4"/>
      <c r="X17322" s="4"/>
      <c r="Y17322" s="4"/>
    </row>
    <row r="17323" spans="5:25">
      <c r="E17323"/>
      <c r="G17323"/>
      <c r="H17323"/>
      <c r="I17323"/>
      <c r="K17323"/>
      <c r="O17323"/>
      <c r="R17323"/>
      <c r="W17323" s="4"/>
      <c r="X17323" s="4"/>
      <c r="Y17323" s="4"/>
    </row>
    <row r="17324" spans="5:25">
      <c r="E17324"/>
      <c r="G17324"/>
      <c r="H17324"/>
      <c r="I17324"/>
      <c r="K17324"/>
      <c r="O17324"/>
      <c r="R17324"/>
      <c r="W17324" s="4"/>
      <c r="X17324" s="4"/>
      <c r="Y17324" s="4"/>
    </row>
    <row r="17325" spans="5:25">
      <c r="E17325"/>
      <c r="G17325"/>
      <c r="H17325"/>
      <c r="I17325"/>
      <c r="K17325"/>
      <c r="O17325"/>
      <c r="R17325"/>
      <c r="W17325" s="4"/>
      <c r="X17325" s="4"/>
      <c r="Y17325" s="4"/>
    </row>
    <row r="17326" spans="5:25">
      <c r="E17326"/>
      <c r="G17326"/>
      <c r="H17326"/>
      <c r="I17326"/>
      <c r="K17326"/>
      <c r="O17326"/>
      <c r="R17326"/>
      <c r="W17326" s="4"/>
      <c r="X17326" s="4"/>
      <c r="Y17326" s="4"/>
    </row>
    <row r="17327" spans="5:25">
      <c r="E17327"/>
      <c r="G17327"/>
      <c r="H17327"/>
      <c r="I17327"/>
      <c r="K17327"/>
      <c r="O17327"/>
      <c r="R17327"/>
      <c r="W17327" s="4"/>
      <c r="X17327" s="4"/>
      <c r="Y17327" s="4"/>
    </row>
    <row r="17328" spans="5:25">
      <c r="E17328"/>
      <c r="G17328"/>
      <c r="H17328"/>
      <c r="I17328"/>
      <c r="K17328"/>
      <c r="O17328"/>
      <c r="R17328"/>
      <c r="W17328" s="4"/>
      <c r="X17328" s="4"/>
      <c r="Y17328" s="4"/>
    </row>
    <row r="17329" spans="5:25">
      <c r="E17329"/>
      <c r="G17329"/>
      <c r="H17329"/>
      <c r="I17329"/>
      <c r="K17329"/>
      <c r="O17329"/>
      <c r="R17329"/>
      <c r="W17329" s="4"/>
      <c r="X17329" s="4"/>
      <c r="Y17329" s="4"/>
    </row>
    <row r="17330" spans="5:25">
      <c r="E17330"/>
      <c r="G17330"/>
      <c r="H17330"/>
      <c r="I17330"/>
      <c r="K17330"/>
      <c r="O17330"/>
      <c r="R17330"/>
      <c r="W17330" s="4"/>
      <c r="X17330" s="4"/>
      <c r="Y17330" s="4"/>
    </row>
    <row r="17331" spans="5:25">
      <c r="E17331"/>
      <c r="G17331"/>
      <c r="H17331"/>
      <c r="I17331"/>
      <c r="K17331"/>
      <c r="O17331"/>
      <c r="R17331"/>
      <c r="W17331" s="4"/>
      <c r="X17331" s="4"/>
      <c r="Y17331" s="4"/>
    </row>
    <row r="17332" spans="5:25">
      <c r="E17332"/>
      <c r="G17332"/>
      <c r="H17332"/>
      <c r="I17332"/>
      <c r="K17332"/>
      <c r="O17332"/>
      <c r="R17332"/>
      <c r="W17332" s="4"/>
      <c r="X17332" s="4"/>
      <c r="Y17332" s="4"/>
    </row>
    <row r="17333" spans="5:25">
      <c r="E17333"/>
      <c r="G17333"/>
      <c r="H17333"/>
      <c r="I17333"/>
      <c r="K17333"/>
      <c r="O17333"/>
      <c r="R17333"/>
      <c r="W17333" s="4"/>
      <c r="X17333" s="4"/>
      <c r="Y17333" s="4"/>
    </row>
    <row r="17334" spans="5:25">
      <c r="E17334"/>
      <c r="G17334"/>
      <c r="H17334"/>
      <c r="I17334"/>
      <c r="K17334"/>
      <c r="O17334"/>
      <c r="R17334"/>
      <c r="W17334" s="4"/>
      <c r="X17334" s="4"/>
      <c r="Y17334" s="4"/>
    </row>
    <row r="17335" spans="5:25">
      <c r="E17335"/>
      <c r="G17335"/>
      <c r="H17335"/>
      <c r="I17335"/>
      <c r="K17335"/>
      <c r="O17335"/>
      <c r="R17335"/>
      <c r="W17335" s="4"/>
      <c r="X17335" s="4"/>
      <c r="Y17335" s="4"/>
    </row>
    <row r="17336" spans="5:25">
      <c r="E17336"/>
      <c r="G17336"/>
      <c r="H17336"/>
      <c r="I17336"/>
      <c r="K17336"/>
      <c r="O17336"/>
      <c r="R17336"/>
      <c r="W17336" s="4"/>
      <c r="X17336" s="4"/>
      <c r="Y17336" s="4"/>
    </row>
    <row r="17337" spans="5:25">
      <c r="E17337"/>
      <c r="G17337"/>
      <c r="H17337"/>
      <c r="I17337"/>
      <c r="K17337"/>
      <c r="O17337"/>
      <c r="R17337"/>
      <c r="W17337" s="4"/>
      <c r="X17337" s="4"/>
      <c r="Y17337" s="4"/>
    </row>
    <row r="17338" spans="5:25">
      <c r="E17338"/>
      <c r="G17338"/>
      <c r="H17338"/>
      <c r="I17338"/>
      <c r="K17338"/>
      <c r="O17338"/>
      <c r="R17338"/>
      <c r="W17338" s="4"/>
      <c r="X17338" s="4"/>
      <c r="Y17338" s="4"/>
    </row>
    <row r="17339" spans="5:25">
      <c r="E17339"/>
      <c r="G17339"/>
      <c r="H17339"/>
      <c r="I17339"/>
      <c r="K17339"/>
      <c r="O17339"/>
      <c r="R17339"/>
      <c r="W17339" s="4"/>
      <c r="X17339" s="4"/>
      <c r="Y17339" s="4"/>
    </row>
    <row r="17340" spans="5:25">
      <c r="E17340"/>
      <c r="G17340"/>
      <c r="H17340"/>
      <c r="I17340"/>
      <c r="K17340"/>
      <c r="O17340"/>
      <c r="R17340"/>
      <c r="W17340" s="4"/>
      <c r="X17340" s="4"/>
      <c r="Y17340" s="4"/>
    </row>
    <row r="17341" spans="5:25">
      <c r="E17341"/>
      <c r="G17341"/>
      <c r="H17341"/>
      <c r="I17341"/>
      <c r="K17341"/>
      <c r="O17341"/>
      <c r="R17341"/>
      <c r="W17341" s="4"/>
      <c r="X17341" s="4"/>
      <c r="Y17341" s="4"/>
    </row>
    <row r="17342" spans="5:25">
      <c r="E17342"/>
      <c r="G17342"/>
      <c r="H17342"/>
      <c r="I17342"/>
      <c r="K17342"/>
      <c r="O17342"/>
      <c r="R17342"/>
      <c r="W17342" s="4"/>
      <c r="X17342" s="4"/>
      <c r="Y17342" s="4"/>
    </row>
    <row r="17343" spans="5:25">
      <c r="E17343"/>
      <c r="G17343"/>
      <c r="H17343"/>
      <c r="I17343"/>
      <c r="K17343"/>
      <c r="O17343"/>
      <c r="R17343"/>
      <c r="W17343" s="4"/>
      <c r="X17343" s="4"/>
      <c r="Y17343" s="4"/>
    </row>
    <row r="17344" spans="5:25">
      <c r="E17344"/>
      <c r="G17344"/>
      <c r="H17344"/>
      <c r="I17344"/>
      <c r="K17344"/>
      <c r="O17344"/>
      <c r="R17344"/>
      <c r="W17344" s="4"/>
      <c r="X17344" s="4"/>
      <c r="Y17344" s="4"/>
    </row>
    <row r="17345" spans="5:25">
      <c r="E17345"/>
      <c r="G17345"/>
      <c r="H17345"/>
      <c r="I17345"/>
      <c r="K17345"/>
      <c r="O17345"/>
      <c r="R17345"/>
      <c r="W17345" s="4"/>
      <c r="X17345" s="4"/>
      <c r="Y17345" s="4"/>
    </row>
    <row r="17346" spans="5:25">
      <c r="E17346"/>
      <c r="G17346"/>
      <c r="H17346"/>
      <c r="I17346"/>
      <c r="K17346"/>
      <c r="O17346"/>
      <c r="R17346"/>
      <c r="W17346" s="4"/>
      <c r="X17346" s="4"/>
      <c r="Y17346" s="4"/>
    </row>
    <row r="17347" spans="5:25">
      <c r="E17347"/>
      <c r="G17347"/>
      <c r="H17347"/>
      <c r="I17347"/>
      <c r="K17347"/>
      <c r="O17347"/>
      <c r="R17347"/>
      <c r="W17347" s="4"/>
      <c r="X17347" s="4"/>
      <c r="Y17347" s="4"/>
    </row>
    <row r="17348" spans="5:25">
      <c r="E17348"/>
      <c r="G17348"/>
      <c r="H17348"/>
      <c r="I17348"/>
      <c r="K17348"/>
      <c r="O17348"/>
      <c r="R17348"/>
      <c r="W17348" s="4"/>
      <c r="X17348" s="4"/>
      <c r="Y17348" s="4"/>
    </row>
    <row r="17349" spans="5:25">
      <c r="E17349"/>
      <c r="G17349"/>
      <c r="H17349"/>
      <c r="I17349"/>
      <c r="K17349"/>
      <c r="O17349"/>
      <c r="R17349"/>
      <c r="W17349" s="4"/>
      <c r="X17349" s="4"/>
      <c r="Y17349" s="4"/>
    </row>
    <row r="17350" spans="5:25">
      <c r="E17350"/>
      <c r="G17350"/>
      <c r="H17350"/>
      <c r="I17350"/>
      <c r="K17350"/>
      <c r="O17350"/>
      <c r="R17350"/>
      <c r="W17350" s="4"/>
      <c r="X17350" s="4"/>
      <c r="Y17350" s="4"/>
    </row>
    <row r="17351" spans="5:25">
      <c r="E17351"/>
      <c r="G17351"/>
      <c r="H17351"/>
      <c r="I17351"/>
      <c r="K17351"/>
      <c r="O17351"/>
      <c r="R17351"/>
      <c r="W17351" s="4"/>
      <c r="X17351" s="4"/>
      <c r="Y17351" s="4"/>
    </row>
    <row r="17352" spans="5:25">
      <c r="E17352"/>
      <c r="G17352"/>
      <c r="H17352"/>
      <c r="I17352"/>
      <c r="K17352"/>
      <c r="O17352"/>
      <c r="R17352"/>
      <c r="W17352" s="4"/>
      <c r="X17352" s="4"/>
      <c r="Y17352" s="4"/>
    </row>
    <row r="17353" spans="5:25">
      <c r="E17353"/>
      <c r="G17353"/>
      <c r="H17353"/>
      <c r="I17353"/>
      <c r="K17353"/>
      <c r="O17353"/>
      <c r="R17353"/>
      <c r="W17353" s="4"/>
      <c r="X17353" s="4"/>
      <c r="Y17353" s="4"/>
    </row>
    <row r="17354" spans="5:25">
      <c r="E17354"/>
      <c r="G17354"/>
      <c r="H17354"/>
      <c r="I17354"/>
      <c r="K17354"/>
      <c r="O17354"/>
      <c r="R17354"/>
      <c r="W17354" s="4"/>
      <c r="X17354" s="4"/>
      <c r="Y17354" s="4"/>
    </row>
    <row r="17355" spans="5:25">
      <c r="E17355"/>
      <c r="G17355"/>
      <c r="H17355"/>
      <c r="I17355"/>
      <c r="K17355"/>
      <c r="O17355"/>
      <c r="R17355"/>
      <c r="W17355" s="4"/>
      <c r="X17355" s="4"/>
      <c r="Y17355" s="4"/>
    </row>
    <row r="17356" spans="5:25">
      <c r="E17356"/>
      <c r="G17356"/>
      <c r="H17356"/>
      <c r="I17356"/>
      <c r="K17356"/>
      <c r="O17356"/>
      <c r="R17356"/>
      <c r="W17356" s="4"/>
      <c r="X17356" s="4"/>
      <c r="Y17356" s="4"/>
    </row>
    <row r="17357" spans="5:25">
      <c r="E17357"/>
      <c r="G17357"/>
      <c r="H17357"/>
      <c r="I17357"/>
      <c r="K17357"/>
      <c r="O17357"/>
      <c r="R17357"/>
      <c r="W17357" s="4"/>
      <c r="X17357" s="4"/>
      <c r="Y17357" s="4"/>
    </row>
    <row r="17358" spans="5:25">
      <c r="E17358"/>
      <c r="G17358"/>
      <c r="H17358"/>
      <c r="I17358"/>
      <c r="K17358"/>
      <c r="O17358"/>
      <c r="R17358"/>
      <c r="W17358" s="4"/>
      <c r="X17358" s="4"/>
      <c r="Y17358" s="4"/>
    </row>
    <row r="17359" spans="5:25">
      <c r="E17359"/>
      <c r="G17359"/>
      <c r="H17359"/>
      <c r="I17359"/>
      <c r="K17359"/>
      <c r="O17359"/>
      <c r="R17359"/>
      <c r="W17359" s="4"/>
      <c r="X17359" s="4"/>
      <c r="Y17359" s="4"/>
    </row>
    <row r="17360" spans="5:25">
      <c r="E17360"/>
      <c r="G17360"/>
      <c r="H17360"/>
      <c r="I17360"/>
      <c r="K17360"/>
      <c r="O17360"/>
      <c r="R17360"/>
      <c r="W17360" s="4"/>
      <c r="X17360" s="4"/>
      <c r="Y17360" s="4"/>
    </row>
    <row r="17361" spans="5:25">
      <c r="E17361"/>
      <c r="G17361"/>
      <c r="H17361"/>
      <c r="I17361"/>
      <c r="K17361"/>
      <c r="O17361"/>
      <c r="R17361"/>
      <c r="W17361" s="4"/>
      <c r="X17361" s="4"/>
      <c r="Y17361" s="4"/>
    </row>
    <row r="17362" spans="5:25">
      <c r="E17362"/>
      <c r="G17362"/>
      <c r="H17362"/>
      <c r="I17362"/>
      <c r="K17362"/>
      <c r="O17362"/>
      <c r="R17362"/>
      <c r="W17362" s="4"/>
      <c r="X17362" s="4"/>
      <c r="Y17362" s="4"/>
    </row>
    <row r="17363" spans="5:25">
      <c r="E17363"/>
      <c r="G17363"/>
      <c r="H17363"/>
      <c r="I17363"/>
      <c r="K17363"/>
      <c r="O17363"/>
      <c r="R17363"/>
      <c r="W17363" s="4"/>
      <c r="X17363" s="4"/>
      <c r="Y17363" s="4"/>
    </row>
    <row r="17364" spans="5:25">
      <c r="E17364"/>
      <c r="G17364"/>
      <c r="H17364"/>
      <c r="I17364"/>
      <c r="K17364"/>
      <c r="O17364"/>
      <c r="R17364"/>
      <c r="W17364" s="4"/>
      <c r="X17364" s="4"/>
      <c r="Y17364" s="4"/>
    </row>
    <row r="17365" spans="5:25">
      <c r="E17365"/>
      <c r="G17365"/>
      <c r="H17365"/>
      <c r="I17365"/>
      <c r="K17365"/>
      <c r="O17365"/>
      <c r="R17365"/>
      <c r="W17365" s="4"/>
      <c r="X17365" s="4"/>
      <c r="Y17365" s="4"/>
    </row>
    <row r="17366" spans="5:25">
      <c r="E17366"/>
      <c r="G17366"/>
      <c r="H17366"/>
      <c r="I17366"/>
      <c r="K17366"/>
      <c r="O17366"/>
      <c r="R17366"/>
      <c r="W17366" s="4"/>
      <c r="X17366" s="4"/>
      <c r="Y17366" s="4"/>
    </row>
    <row r="17367" spans="5:25">
      <c r="E17367"/>
      <c r="G17367"/>
      <c r="H17367"/>
      <c r="I17367"/>
      <c r="K17367"/>
      <c r="O17367"/>
      <c r="R17367"/>
      <c r="W17367" s="4"/>
      <c r="X17367" s="4"/>
      <c r="Y17367" s="4"/>
    </row>
    <row r="17368" spans="5:25">
      <c r="E17368"/>
      <c r="G17368"/>
      <c r="H17368"/>
      <c r="I17368"/>
      <c r="K17368"/>
      <c r="O17368"/>
      <c r="R17368"/>
      <c r="W17368" s="4"/>
      <c r="X17368" s="4"/>
      <c r="Y17368" s="4"/>
    </row>
    <row r="17369" spans="5:25">
      <c r="E17369"/>
      <c r="G17369"/>
      <c r="H17369"/>
      <c r="I17369"/>
      <c r="K17369"/>
      <c r="O17369"/>
      <c r="R17369"/>
      <c r="W17369" s="4"/>
      <c r="X17369" s="4"/>
      <c r="Y17369" s="4"/>
    </row>
    <row r="17370" spans="5:25">
      <c r="E17370"/>
      <c r="G17370"/>
      <c r="H17370"/>
      <c r="I17370"/>
      <c r="K17370"/>
      <c r="O17370"/>
      <c r="R17370"/>
      <c r="W17370" s="4"/>
      <c r="X17370" s="4"/>
      <c r="Y17370" s="4"/>
    </row>
    <row r="17371" spans="5:25">
      <c r="E17371"/>
      <c r="G17371"/>
      <c r="H17371"/>
      <c r="I17371"/>
      <c r="K17371"/>
      <c r="O17371"/>
      <c r="R17371"/>
      <c r="W17371" s="4"/>
      <c r="X17371" s="4"/>
      <c r="Y17371" s="4"/>
    </row>
    <row r="17372" spans="5:25">
      <c r="E17372"/>
      <c r="G17372"/>
      <c r="H17372"/>
      <c r="I17372"/>
      <c r="K17372"/>
      <c r="O17372"/>
      <c r="R17372"/>
      <c r="W17372" s="4"/>
      <c r="X17372" s="4"/>
      <c r="Y17372" s="4"/>
    </row>
    <row r="17373" spans="5:25">
      <c r="E17373"/>
      <c r="G17373"/>
      <c r="H17373"/>
      <c r="I17373"/>
      <c r="K17373"/>
      <c r="O17373"/>
      <c r="R17373"/>
      <c r="W17373" s="4"/>
      <c r="X17373" s="4"/>
      <c r="Y17373" s="4"/>
    </row>
    <row r="17374" spans="5:25">
      <c r="E17374"/>
      <c r="G17374"/>
      <c r="H17374"/>
      <c r="I17374"/>
      <c r="K17374"/>
      <c r="O17374"/>
      <c r="R17374"/>
      <c r="W17374" s="4"/>
      <c r="X17374" s="4"/>
      <c r="Y17374" s="4"/>
    </row>
    <row r="17375" spans="5:25">
      <c r="E17375"/>
      <c r="G17375"/>
      <c r="H17375"/>
      <c r="I17375"/>
      <c r="K17375"/>
      <c r="O17375"/>
      <c r="R17375"/>
      <c r="W17375" s="4"/>
      <c r="X17375" s="4"/>
      <c r="Y17375" s="4"/>
    </row>
    <row r="17376" spans="5:25">
      <c r="E17376"/>
      <c r="G17376"/>
      <c r="H17376"/>
      <c r="I17376"/>
      <c r="K17376"/>
      <c r="O17376"/>
      <c r="R17376"/>
      <c r="W17376" s="4"/>
      <c r="X17376" s="4"/>
      <c r="Y17376" s="4"/>
    </row>
    <row r="17377" spans="5:25">
      <c r="E17377"/>
      <c r="G17377"/>
      <c r="H17377"/>
      <c r="I17377"/>
      <c r="K17377"/>
      <c r="O17377"/>
      <c r="R17377"/>
      <c r="W17377" s="4"/>
      <c r="X17377" s="4"/>
      <c r="Y17377" s="4"/>
    </row>
    <row r="17378" spans="5:25">
      <c r="E17378"/>
      <c r="G17378"/>
      <c r="H17378"/>
      <c r="I17378"/>
      <c r="K17378"/>
      <c r="O17378"/>
      <c r="R17378"/>
      <c r="W17378" s="4"/>
      <c r="X17378" s="4"/>
      <c r="Y17378" s="4"/>
    </row>
    <row r="17379" spans="5:25">
      <c r="E17379"/>
      <c r="G17379"/>
      <c r="H17379"/>
      <c r="I17379"/>
      <c r="K17379"/>
      <c r="O17379"/>
      <c r="R17379"/>
      <c r="W17379" s="4"/>
      <c r="X17379" s="4"/>
      <c r="Y17379" s="4"/>
    </row>
    <row r="17380" spans="5:25">
      <c r="E17380"/>
      <c r="G17380"/>
      <c r="H17380"/>
      <c r="I17380"/>
      <c r="K17380"/>
      <c r="O17380"/>
      <c r="R17380"/>
      <c r="W17380" s="4"/>
      <c r="X17380" s="4"/>
      <c r="Y17380" s="4"/>
    </row>
    <row r="17381" spans="5:25">
      <c r="E17381"/>
      <c r="G17381"/>
      <c r="H17381"/>
      <c r="I17381"/>
      <c r="K17381"/>
      <c r="O17381"/>
      <c r="R17381"/>
      <c r="W17381" s="4"/>
      <c r="X17381" s="4"/>
      <c r="Y17381" s="4"/>
    </row>
    <row r="17382" spans="5:25">
      <c r="E17382"/>
      <c r="G17382"/>
      <c r="H17382"/>
      <c r="I17382"/>
      <c r="K17382"/>
      <c r="O17382"/>
      <c r="R17382"/>
      <c r="W17382" s="4"/>
      <c r="X17382" s="4"/>
      <c r="Y17382" s="4"/>
    </row>
    <row r="17383" spans="5:25">
      <c r="E17383"/>
      <c r="G17383"/>
      <c r="H17383"/>
      <c r="I17383"/>
      <c r="K17383"/>
      <c r="O17383"/>
      <c r="R17383"/>
      <c r="W17383" s="4"/>
      <c r="X17383" s="4"/>
      <c r="Y17383" s="4"/>
    </row>
    <row r="17384" spans="5:25">
      <c r="E17384"/>
      <c r="G17384"/>
      <c r="H17384"/>
      <c r="I17384"/>
      <c r="K17384"/>
      <c r="O17384"/>
      <c r="R17384"/>
      <c r="W17384" s="4"/>
      <c r="X17384" s="4"/>
      <c r="Y17384" s="4"/>
    </row>
    <row r="17385" spans="5:25">
      <c r="E17385"/>
      <c r="G17385"/>
      <c r="H17385"/>
      <c r="I17385"/>
      <c r="K17385"/>
      <c r="O17385"/>
      <c r="R17385"/>
      <c r="W17385" s="4"/>
      <c r="X17385" s="4"/>
      <c r="Y17385" s="4"/>
    </row>
    <row r="17386" spans="5:25">
      <c r="E17386"/>
      <c r="G17386"/>
      <c r="H17386"/>
      <c r="I17386"/>
      <c r="K17386"/>
      <c r="O17386"/>
      <c r="R17386"/>
      <c r="W17386" s="4"/>
      <c r="X17386" s="4"/>
      <c r="Y17386" s="4"/>
    </row>
    <row r="17387" spans="5:25">
      <c r="E17387"/>
      <c r="G17387"/>
      <c r="H17387"/>
      <c r="I17387"/>
      <c r="K17387"/>
      <c r="O17387"/>
      <c r="R17387"/>
      <c r="W17387" s="4"/>
      <c r="X17387" s="4"/>
      <c r="Y17387" s="4"/>
    </row>
    <row r="17388" spans="5:25">
      <c r="E17388"/>
      <c r="G17388"/>
      <c r="H17388"/>
      <c r="I17388"/>
      <c r="K17388"/>
      <c r="O17388"/>
      <c r="R17388"/>
      <c r="W17388" s="4"/>
      <c r="X17388" s="4"/>
      <c r="Y17388" s="4"/>
    </row>
    <row r="17389" spans="5:25">
      <c r="E17389"/>
      <c r="G17389"/>
      <c r="H17389"/>
      <c r="I17389"/>
      <c r="K17389"/>
      <c r="O17389"/>
      <c r="R17389"/>
      <c r="W17389" s="4"/>
      <c r="X17389" s="4"/>
      <c r="Y17389" s="4"/>
    </row>
    <row r="17390" spans="5:25">
      <c r="E17390"/>
      <c r="G17390"/>
      <c r="H17390"/>
      <c r="I17390"/>
      <c r="K17390"/>
      <c r="O17390"/>
      <c r="R17390"/>
      <c r="W17390" s="4"/>
      <c r="X17390" s="4"/>
      <c r="Y17390" s="4"/>
    </row>
    <row r="17391" spans="5:25">
      <c r="E17391"/>
      <c r="G17391"/>
      <c r="H17391"/>
      <c r="I17391"/>
      <c r="K17391"/>
      <c r="O17391"/>
      <c r="R17391"/>
      <c r="W17391" s="4"/>
      <c r="X17391" s="4"/>
      <c r="Y17391" s="4"/>
    </row>
    <row r="17392" spans="5:25">
      <c r="E17392"/>
      <c r="G17392"/>
      <c r="H17392"/>
      <c r="I17392"/>
      <c r="K17392"/>
      <c r="O17392"/>
      <c r="R17392"/>
      <c r="W17392" s="4"/>
      <c r="X17392" s="4"/>
      <c r="Y17392" s="4"/>
    </row>
    <row r="17393" spans="5:25">
      <c r="E17393"/>
      <c r="G17393"/>
      <c r="H17393"/>
      <c r="I17393"/>
      <c r="K17393"/>
      <c r="O17393"/>
      <c r="R17393"/>
      <c r="W17393" s="4"/>
      <c r="X17393" s="4"/>
      <c r="Y17393" s="4"/>
    </row>
    <row r="17394" spans="5:25">
      <c r="E17394"/>
      <c r="G17394"/>
      <c r="H17394"/>
      <c r="I17394"/>
      <c r="K17394"/>
      <c r="O17394"/>
      <c r="R17394"/>
      <c r="W17394" s="4"/>
      <c r="X17394" s="4"/>
      <c r="Y17394" s="4"/>
    </row>
    <row r="17395" spans="5:25">
      <c r="E17395"/>
      <c r="G17395"/>
      <c r="H17395"/>
      <c r="I17395"/>
      <c r="K17395"/>
      <c r="O17395"/>
      <c r="R17395"/>
      <c r="W17395" s="4"/>
      <c r="X17395" s="4"/>
      <c r="Y17395" s="4"/>
    </row>
    <row r="17396" spans="5:25">
      <c r="E17396"/>
      <c r="G17396"/>
      <c r="H17396"/>
      <c r="I17396"/>
      <c r="K17396"/>
      <c r="O17396"/>
      <c r="R17396"/>
      <c r="W17396" s="4"/>
      <c r="X17396" s="4"/>
      <c r="Y17396" s="4"/>
    </row>
    <row r="17397" spans="5:25">
      <c r="E17397"/>
      <c r="G17397"/>
      <c r="H17397"/>
      <c r="I17397"/>
      <c r="K17397"/>
      <c r="O17397"/>
      <c r="R17397"/>
      <c r="W17397" s="4"/>
      <c r="X17397" s="4"/>
      <c r="Y17397" s="4"/>
    </row>
    <row r="17398" spans="5:25">
      <c r="E17398"/>
      <c r="G17398"/>
      <c r="H17398"/>
      <c r="I17398"/>
      <c r="K17398"/>
      <c r="O17398"/>
      <c r="R17398"/>
      <c r="W17398" s="4"/>
      <c r="X17398" s="4"/>
      <c r="Y17398" s="4"/>
    </row>
    <row r="17399" spans="5:25">
      <c r="E17399"/>
      <c r="G17399"/>
      <c r="H17399"/>
      <c r="I17399"/>
      <c r="K17399"/>
      <c r="O17399"/>
      <c r="R17399"/>
      <c r="W17399" s="4"/>
      <c r="X17399" s="4"/>
      <c r="Y17399" s="4"/>
    </row>
    <row r="17400" spans="5:25">
      <c r="E17400"/>
      <c r="G17400"/>
      <c r="H17400"/>
      <c r="I17400"/>
      <c r="K17400"/>
      <c r="O17400"/>
      <c r="R17400"/>
      <c r="W17400" s="4"/>
      <c r="X17400" s="4"/>
      <c r="Y17400" s="4"/>
    </row>
    <row r="17401" spans="5:25">
      <c r="E17401"/>
      <c r="G17401"/>
      <c r="H17401"/>
      <c r="I17401"/>
      <c r="K17401"/>
      <c r="O17401"/>
      <c r="R17401"/>
      <c r="W17401" s="4"/>
      <c r="X17401" s="4"/>
      <c r="Y17401" s="4"/>
    </row>
    <row r="17402" spans="5:25">
      <c r="E17402"/>
      <c r="G17402"/>
      <c r="H17402"/>
      <c r="I17402"/>
      <c r="K17402"/>
      <c r="O17402"/>
      <c r="R17402"/>
      <c r="W17402" s="4"/>
      <c r="X17402" s="4"/>
      <c r="Y17402" s="4"/>
    </row>
    <row r="17403" spans="5:25">
      <c r="E17403"/>
      <c r="G17403"/>
      <c r="H17403"/>
      <c r="I17403"/>
      <c r="K17403"/>
      <c r="O17403"/>
      <c r="R17403"/>
      <c r="W17403" s="4"/>
      <c r="X17403" s="4"/>
      <c r="Y17403" s="4"/>
    </row>
    <row r="17404" spans="5:25">
      <c r="E17404"/>
      <c r="G17404"/>
      <c r="H17404"/>
      <c r="I17404"/>
      <c r="K17404"/>
      <c r="O17404"/>
      <c r="R17404"/>
      <c r="W17404" s="4"/>
      <c r="X17404" s="4"/>
      <c r="Y17404" s="4"/>
    </row>
    <row r="17405" spans="5:25">
      <c r="E17405"/>
      <c r="G17405"/>
      <c r="H17405"/>
      <c r="I17405"/>
      <c r="K17405"/>
      <c r="O17405"/>
      <c r="R17405"/>
      <c r="W17405" s="4"/>
      <c r="X17405" s="4"/>
      <c r="Y17405" s="4"/>
    </row>
    <row r="17406" spans="5:25">
      <c r="E17406"/>
      <c r="G17406"/>
      <c r="H17406"/>
      <c r="I17406"/>
      <c r="K17406"/>
      <c r="O17406"/>
      <c r="R17406"/>
      <c r="W17406" s="4"/>
      <c r="X17406" s="4"/>
      <c r="Y17406" s="4"/>
    </row>
    <row r="17407" spans="5:25">
      <c r="E17407"/>
      <c r="G17407"/>
      <c r="H17407"/>
      <c r="I17407"/>
      <c r="K17407"/>
      <c r="O17407"/>
      <c r="R17407"/>
      <c r="W17407" s="4"/>
      <c r="X17407" s="4"/>
      <c r="Y17407" s="4"/>
    </row>
    <row r="17408" spans="5:25">
      <c r="E17408"/>
      <c r="G17408"/>
      <c r="H17408"/>
      <c r="I17408"/>
      <c r="K17408"/>
      <c r="O17408"/>
      <c r="R17408"/>
      <c r="W17408" s="4"/>
      <c r="X17408" s="4"/>
      <c r="Y17408" s="4"/>
    </row>
    <row r="17409" spans="5:25">
      <c r="E17409"/>
      <c r="G17409"/>
      <c r="H17409"/>
      <c r="I17409"/>
      <c r="K17409"/>
      <c r="O17409"/>
      <c r="R17409"/>
      <c r="W17409" s="4"/>
      <c r="X17409" s="4"/>
      <c r="Y17409" s="4"/>
    </row>
    <row r="17410" spans="5:25">
      <c r="E17410"/>
      <c r="G17410"/>
      <c r="H17410"/>
      <c r="I17410"/>
      <c r="K17410"/>
      <c r="O17410"/>
      <c r="R17410"/>
      <c r="W17410" s="4"/>
      <c r="X17410" s="4"/>
      <c r="Y17410" s="4"/>
    </row>
    <row r="17411" spans="5:25">
      <c r="E17411"/>
      <c r="G17411"/>
      <c r="H17411"/>
      <c r="I17411"/>
      <c r="K17411"/>
      <c r="O17411"/>
      <c r="R17411"/>
      <c r="W17411" s="4"/>
      <c r="X17411" s="4"/>
      <c r="Y17411" s="4"/>
    </row>
    <row r="17412" spans="5:25">
      <c r="E17412"/>
      <c r="G17412"/>
      <c r="H17412"/>
      <c r="I17412"/>
      <c r="K17412"/>
      <c r="O17412"/>
      <c r="R17412"/>
      <c r="W17412" s="4"/>
      <c r="X17412" s="4"/>
      <c r="Y17412" s="4"/>
    </row>
    <row r="17413" spans="5:25">
      <c r="E17413"/>
      <c r="G17413"/>
      <c r="H17413"/>
      <c r="I17413"/>
      <c r="K17413"/>
      <c r="O17413"/>
      <c r="R17413"/>
      <c r="W17413" s="4"/>
      <c r="X17413" s="4"/>
      <c r="Y17413" s="4"/>
    </row>
    <row r="17414" spans="5:25">
      <c r="E17414"/>
      <c r="G17414"/>
      <c r="H17414"/>
      <c r="I17414"/>
      <c r="K17414"/>
      <c r="O17414"/>
      <c r="R17414"/>
      <c r="W17414" s="4"/>
      <c r="X17414" s="4"/>
      <c r="Y17414" s="4"/>
    </row>
    <row r="17415" spans="5:25">
      <c r="E17415"/>
      <c r="G17415"/>
      <c r="H17415"/>
      <c r="I17415"/>
      <c r="K17415"/>
      <c r="O17415"/>
      <c r="R17415"/>
      <c r="W17415" s="4"/>
      <c r="X17415" s="4"/>
      <c r="Y17415" s="4"/>
    </row>
    <row r="17416" spans="5:25">
      <c r="E17416"/>
      <c r="G17416"/>
      <c r="H17416"/>
      <c r="I17416"/>
      <c r="K17416"/>
      <c r="O17416"/>
      <c r="R17416"/>
      <c r="W17416" s="4"/>
      <c r="X17416" s="4"/>
      <c r="Y17416" s="4"/>
    </row>
    <row r="17417" spans="5:25">
      <c r="E17417"/>
      <c r="G17417"/>
      <c r="H17417"/>
      <c r="I17417"/>
      <c r="K17417"/>
      <c r="O17417"/>
      <c r="R17417"/>
      <c r="W17417" s="4"/>
      <c r="X17417" s="4"/>
      <c r="Y17417" s="4"/>
    </row>
    <row r="17418" spans="5:25">
      <c r="E17418"/>
      <c r="G17418"/>
      <c r="H17418"/>
      <c r="I17418"/>
      <c r="K17418"/>
      <c r="O17418"/>
      <c r="R17418"/>
      <c r="W17418" s="4"/>
      <c r="X17418" s="4"/>
      <c r="Y17418" s="4"/>
    </row>
    <row r="17419" spans="5:25">
      <c r="E17419"/>
      <c r="G17419"/>
      <c r="H17419"/>
      <c r="I17419"/>
      <c r="K17419"/>
      <c r="O17419"/>
      <c r="R17419"/>
      <c r="W17419" s="4"/>
      <c r="X17419" s="4"/>
      <c r="Y17419" s="4"/>
    </row>
    <row r="17420" spans="5:25">
      <c r="E17420"/>
      <c r="G17420"/>
      <c r="H17420"/>
      <c r="I17420"/>
      <c r="K17420"/>
      <c r="O17420"/>
      <c r="R17420"/>
      <c r="W17420" s="4"/>
      <c r="X17420" s="4"/>
      <c r="Y17420" s="4"/>
    </row>
    <row r="17421" spans="5:25">
      <c r="E17421"/>
      <c r="G17421"/>
      <c r="H17421"/>
      <c r="I17421"/>
      <c r="K17421"/>
      <c r="O17421"/>
      <c r="R17421"/>
      <c r="W17421" s="4"/>
      <c r="X17421" s="4"/>
      <c r="Y17421" s="4"/>
    </row>
    <row r="17422" spans="5:25">
      <c r="E17422"/>
      <c r="G17422"/>
      <c r="H17422"/>
      <c r="I17422"/>
      <c r="K17422"/>
      <c r="O17422"/>
      <c r="R17422"/>
      <c r="W17422" s="4"/>
      <c r="X17422" s="4"/>
      <c r="Y17422" s="4"/>
    </row>
    <row r="17423" spans="5:25">
      <c r="E17423"/>
      <c r="G17423"/>
      <c r="H17423"/>
      <c r="I17423"/>
      <c r="K17423"/>
      <c r="O17423"/>
      <c r="R17423"/>
      <c r="W17423" s="4"/>
      <c r="X17423" s="4"/>
      <c r="Y17423" s="4"/>
    </row>
    <row r="17424" spans="5:25">
      <c r="E17424"/>
      <c r="G17424"/>
      <c r="H17424"/>
      <c r="I17424"/>
      <c r="K17424"/>
      <c r="O17424"/>
      <c r="R17424"/>
      <c r="W17424" s="4"/>
      <c r="X17424" s="4"/>
      <c r="Y17424" s="4"/>
    </row>
    <row r="17425" spans="5:25">
      <c r="E17425"/>
      <c r="G17425"/>
      <c r="H17425"/>
      <c r="I17425"/>
      <c r="K17425"/>
      <c r="O17425"/>
      <c r="R17425"/>
      <c r="W17425" s="4"/>
      <c r="X17425" s="4"/>
      <c r="Y17425" s="4"/>
    </row>
    <row r="17426" spans="5:25">
      <c r="E17426"/>
      <c r="G17426"/>
      <c r="H17426"/>
      <c r="I17426"/>
      <c r="K17426"/>
      <c r="O17426"/>
      <c r="R17426"/>
      <c r="W17426" s="4"/>
      <c r="X17426" s="4"/>
      <c r="Y17426" s="4"/>
    </row>
    <row r="17427" spans="5:25">
      <c r="E17427"/>
      <c r="G17427"/>
      <c r="H17427"/>
      <c r="I17427"/>
      <c r="K17427"/>
      <c r="O17427"/>
      <c r="R17427"/>
      <c r="W17427" s="4"/>
      <c r="X17427" s="4"/>
      <c r="Y17427" s="4"/>
    </row>
    <row r="17428" spans="5:25">
      <c r="E17428"/>
      <c r="G17428"/>
      <c r="H17428"/>
      <c r="I17428"/>
      <c r="K17428"/>
      <c r="O17428"/>
      <c r="R17428"/>
      <c r="W17428" s="4"/>
      <c r="X17428" s="4"/>
      <c r="Y17428" s="4"/>
    </row>
    <row r="17429" spans="5:25">
      <c r="E17429"/>
      <c r="G17429"/>
      <c r="H17429"/>
      <c r="I17429"/>
      <c r="K17429"/>
      <c r="O17429"/>
      <c r="R17429"/>
      <c r="W17429" s="4"/>
      <c r="X17429" s="4"/>
      <c r="Y17429" s="4"/>
    </row>
    <row r="17430" spans="5:25">
      <c r="E17430"/>
      <c r="G17430"/>
      <c r="H17430"/>
      <c r="I17430"/>
      <c r="K17430"/>
      <c r="O17430"/>
      <c r="R17430"/>
      <c r="W17430" s="4"/>
      <c r="X17430" s="4"/>
      <c r="Y17430" s="4"/>
    </row>
    <row r="17431" spans="5:25">
      <c r="E17431"/>
      <c r="G17431"/>
      <c r="H17431"/>
      <c r="I17431"/>
      <c r="K17431"/>
      <c r="O17431"/>
      <c r="R17431"/>
      <c r="W17431" s="4"/>
      <c r="X17431" s="4"/>
      <c r="Y17431" s="4"/>
    </row>
    <row r="17432" spans="5:25">
      <c r="E17432"/>
      <c r="G17432"/>
      <c r="H17432"/>
      <c r="I17432"/>
      <c r="K17432"/>
      <c r="O17432"/>
      <c r="R17432"/>
      <c r="W17432" s="4"/>
      <c r="X17432" s="4"/>
      <c r="Y17432" s="4"/>
    </row>
    <row r="17433" spans="5:25">
      <c r="E17433"/>
      <c r="G17433"/>
      <c r="H17433"/>
      <c r="I17433"/>
      <c r="K17433"/>
      <c r="O17433"/>
      <c r="R17433"/>
      <c r="W17433" s="4"/>
      <c r="X17433" s="4"/>
      <c r="Y17433" s="4"/>
    </row>
    <row r="17434" spans="5:25">
      <c r="E17434"/>
      <c r="G17434"/>
      <c r="H17434"/>
      <c r="I17434"/>
      <c r="K17434"/>
      <c r="O17434"/>
      <c r="R17434"/>
      <c r="W17434" s="4"/>
      <c r="X17434" s="4"/>
      <c r="Y17434" s="4"/>
    </row>
    <row r="17435" spans="5:25">
      <c r="E17435"/>
      <c r="G17435"/>
      <c r="H17435"/>
      <c r="I17435"/>
      <c r="K17435"/>
      <c r="O17435"/>
      <c r="R17435"/>
      <c r="W17435" s="4"/>
      <c r="X17435" s="4"/>
      <c r="Y17435" s="4"/>
    </row>
    <row r="17436" spans="5:25">
      <c r="E17436"/>
      <c r="G17436"/>
      <c r="H17436"/>
      <c r="I17436"/>
      <c r="K17436"/>
      <c r="O17436"/>
      <c r="R17436"/>
      <c r="W17436" s="4"/>
      <c r="X17436" s="4"/>
      <c r="Y17436" s="4"/>
    </row>
    <row r="17437" spans="5:25">
      <c r="E17437"/>
      <c r="G17437"/>
      <c r="H17437"/>
      <c r="I17437"/>
      <c r="K17437"/>
      <c r="O17437"/>
      <c r="R17437"/>
      <c r="W17437" s="4"/>
      <c r="X17437" s="4"/>
      <c r="Y17437" s="4"/>
    </row>
    <row r="17438" spans="5:25">
      <c r="E17438"/>
      <c r="G17438"/>
      <c r="H17438"/>
      <c r="I17438"/>
      <c r="K17438"/>
      <c r="O17438"/>
      <c r="R17438"/>
      <c r="W17438" s="4"/>
      <c r="X17438" s="4"/>
      <c r="Y17438" s="4"/>
    </row>
    <row r="17439" spans="5:25">
      <c r="E17439"/>
      <c r="G17439"/>
      <c r="H17439"/>
      <c r="I17439"/>
      <c r="K17439"/>
      <c r="O17439"/>
      <c r="R17439"/>
      <c r="W17439" s="4"/>
      <c r="X17439" s="4"/>
      <c r="Y17439" s="4"/>
    </row>
    <row r="17440" spans="5:25">
      <c r="E17440"/>
      <c r="G17440"/>
      <c r="H17440"/>
      <c r="I17440"/>
      <c r="K17440"/>
      <c r="O17440"/>
      <c r="R17440"/>
      <c r="W17440" s="4"/>
      <c r="X17440" s="4"/>
      <c r="Y17440" s="4"/>
    </row>
    <row r="17441" spans="5:25">
      <c r="E17441"/>
      <c r="G17441"/>
      <c r="H17441"/>
      <c r="I17441"/>
      <c r="K17441"/>
      <c r="O17441"/>
      <c r="R17441"/>
      <c r="W17441" s="4"/>
      <c r="X17441" s="4"/>
      <c r="Y17441" s="4"/>
    </row>
    <row r="17442" spans="5:25">
      <c r="E17442"/>
      <c r="G17442"/>
      <c r="H17442"/>
      <c r="I17442"/>
      <c r="K17442"/>
      <c r="O17442"/>
      <c r="R17442"/>
      <c r="W17442" s="4"/>
      <c r="X17442" s="4"/>
      <c r="Y17442" s="4"/>
    </row>
    <row r="17443" spans="5:25">
      <c r="E17443"/>
      <c r="G17443"/>
      <c r="H17443"/>
      <c r="I17443"/>
      <c r="K17443"/>
      <c r="O17443"/>
      <c r="R17443"/>
      <c r="W17443" s="4"/>
      <c r="X17443" s="4"/>
      <c r="Y17443" s="4"/>
    </row>
    <row r="17444" spans="5:25">
      <c r="E17444"/>
      <c r="G17444"/>
      <c r="H17444"/>
      <c r="I17444"/>
      <c r="K17444"/>
      <c r="O17444"/>
      <c r="R17444"/>
      <c r="W17444" s="4"/>
      <c r="X17444" s="4"/>
      <c r="Y17444" s="4"/>
    </row>
    <row r="17445" spans="5:25">
      <c r="E17445"/>
      <c r="G17445"/>
      <c r="H17445"/>
      <c r="I17445"/>
      <c r="K17445"/>
      <c r="O17445"/>
      <c r="R17445"/>
      <c r="W17445" s="4"/>
      <c r="X17445" s="4"/>
      <c r="Y17445" s="4"/>
    </row>
    <row r="17446" spans="5:25">
      <c r="E17446"/>
      <c r="G17446"/>
      <c r="H17446"/>
      <c r="I17446"/>
      <c r="K17446"/>
      <c r="O17446"/>
      <c r="R17446"/>
      <c r="W17446" s="4"/>
      <c r="X17446" s="4"/>
      <c r="Y17446" s="4"/>
    </row>
    <row r="17447" spans="5:25">
      <c r="E17447"/>
      <c r="G17447"/>
      <c r="H17447"/>
      <c r="I17447"/>
      <c r="K17447"/>
      <c r="O17447"/>
      <c r="R17447"/>
      <c r="W17447" s="4"/>
      <c r="X17447" s="4"/>
      <c r="Y17447" s="4"/>
    </row>
    <row r="17448" spans="5:25">
      <c r="E17448"/>
      <c r="G17448"/>
      <c r="H17448"/>
      <c r="I17448"/>
      <c r="K17448"/>
      <c r="O17448"/>
      <c r="R17448"/>
      <c r="W17448" s="4"/>
      <c r="X17448" s="4"/>
      <c r="Y17448" s="4"/>
    </row>
    <row r="17449" spans="5:25">
      <c r="E17449"/>
      <c r="G17449"/>
      <c r="H17449"/>
      <c r="I17449"/>
      <c r="K17449"/>
      <c r="O17449"/>
      <c r="R17449"/>
      <c r="W17449" s="4"/>
      <c r="X17449" s="4"/>
      <c r="Y17449" s="4"/>
    </row>
    <row r="17450" spans="5:25">
      <c r="E17450"/>
      <c r="G17450"/>
      <c r="H17450"/>
      <c r="I17450"/>
      <c r="K17450"/>
      <c r="O17450"/>
      <c r="R17450"/>
      <c r="W17450" s="4"/>
      <c r="X17450" s="4"/>
      <c r="Y17450" s="4"/>
    </row>
    <row r="17451" spans="5:25">
      <c r="E17451"/>
      <c r="G17451"/>
      <c r="H17451"/>
      <c r="I17451"/>
      <c r="K17451"/>
      <c r="O17451"/>
      <c r="R17451"/>
      <c r="W17451" s="4"/>
      <c r="X17451" s="4"/>
      <c r="Y17451" s="4"/>
    </row>
    <row r="17452" spans="5:25">
      <c r="E17452"/>
      <c r="G17452"/>
      <c r="H17452"/>
      <c r="I17452"/>
      <c r="K17452"/>
      <c r="O17452"/>
      <c r="R17452"/>
      <c r="W17452" s="4"/>
      <c r="X17452" s="4"/>
      <c r="Y17452" s="4"/>
    </row>
    <row r="17453" spans="5:25">
      <c r="E17453"/>
      <c r="G17453"/>
      <c r="H17453"/>
      <c r="I17453"/>
      <c r="K17453"/>
      <c r="O17453"/>
      <c r="R17453"/>
      <c r="W17453" s="4"/>
      <c r="X17453" s="4"/>
      <c r="Y17453" s="4"/>
    </row>
    <row r="17454" spans="5:25">
      <c r="E17454"/>
      <c r="G17454"/>
      <c r="H17454"/>
      <c r="I17454"/>
      <c r="K17454"/>
      <c r="O17454"/>
      <c r="R17454"/>
      <c r="W17454" s="4"/>
      <c r="X17454" s="4"/>
      <c r="Y17454" s="4"/>
    </row>
    <row r="17455" spans="5:25">
      <c r="E17455"/>
      <c r="G17455"/>
      <c r="H17455"/>
      <c r="I17455"/>
      <c r="K17455"/>
      <c r="O17455"/>
      <c r="R17455"/>
      <c r="W17455" s="4"/>
      <c r="X17455" s="4"/>
      <c r="Y17455" s="4"/>
    </row>
    <row r="17456" spans="5:25">
      <c r="E17456"/>
      <c r="G17456"/>
      <c r="H17456"/>
      <c r="I17456"/>
      <c r="K17456"/>
      <c r="O17456"/>
      <c r="R17456"/>
      <c r="W17456" s="4"/>
      <c r="X17456" s="4"/>
      <c r="Y17456" s="4"/>
    </row>
    <row r="17457" spans="5:25">
      <c r="E17457"/>
      <c r="G17457"/>
      <c r="H17457"/>
      <c r="I17457"/>
      <c r="K17457"/>
      <c r="O17457"/>
      <c r="R17457"/>
      <c r="W17457" s="4"/>
      <c r="X17457" s="4"/>
      <c r="Y17457" s="4"/>
    </row>
    <row r="17458" spans="5:25">
      <c r="E17458"/>
      <c r="G17458"/>
      <c r="H17458"/>
      <c r="I17458"/>
      <c r="K17458"/>
      <c r="O17458"/>
      <c r="R17458"/>
      <c r="W17458" s="4"/>
      <c r="X17458" s="4"/>
      <c r="Y17458" s="4"/>
    </row>
    <row r="17459" spans="5:25">
      <c r="E17459"/>
      <c r="G17459"/>
      <c r="H17459"/>
      <c r="I17459"/>
      <c r="K17459"/>
      <c r="O17459"/>
      <c r="R17459"/>
      <c r="W17459" s="4"/>
      <c r="X17459" s="4"/>
      <c r="Y17459" s="4"/>
    </row>
    <row r="17460" spans="5:25">
      <c r="E17460"/>
      <c r="G17460"/>
      <c r="H17460"/>
      <c r="I17460"/>
      <c r="K17460"/>
      <c r="O17460"/>
      <c r="R17460"/>
      <c r="W17460" s="4"/>
      <c r="X17460" s="4"/>
      <c r="Y17460" s="4"/>
    </row>
    <row r="17461" spans="5:25">
      <c r="E17461"/>
      <c r="G17461"/>
      <c r="H17461"/>
      <c r="I17461"/>
      <c r="K17461"/>
      <c r="O17461"/>
      <c r="R17461"/>
      <c r="W17461" s="4"/>
      <c r="X17461" s="4"/>
      <c r="Y17461" s="4"/>
    </row>
    <row r="17462" spans="5:25">
      <c r="E17462"/>
      <c r="G17462"/>
      <c r="H17462"/>
      <c r="I17462"/>
      <c r="K17462"/>
      <c r="O17462"/>
      <c r="R17462"/>
      <c r="W17462" s="4"/>
      <c r="X17462" s="4"/>
      <c r="Y17462" s="4"/>
    </row>
    <row r="17463" spans="5:25">
      <c r="E17463"/>
      <c r="G17463"/>
      <c r="H17463"/>
      <c r="I17463"/>
      <c r="K17463"/>
      <c r="O17463"/>
      <c r="R17463"/>
      <c r="W17463" s="4"/>
      <c r="X17463" s="4"/>
      <c r="Y17463" s="4"/>
    </row>
    <row r="17464" spans="5:25">
      <c r="E17464"/>
      <c r="G17464"/>
      <c r="H17464"/>
      <c r="I17464"/>
      <c r="K17464"/>
      <c r="O17464"/>
      <c r="R17464"/>
      <c r="W17464" s="4"/>
      <c r="X17464" s="4"/>
      <c r="Y17464" s="4"/>
    </row>
    <row r="17465" spans="5:25">
      <c r="E17465"/>
      <c r="G17465"/>
      <c r="H17465"/>
      <c r="I17465"/>
      <c r="K17465"/>
      <c r="O17465"/>
      <c r="R17465"/>
      <c r="W17465" s="4"/>
      <c r="X17465" s="4"/>
      <c r="Y17465" s="4"/>
    </row>
    <row r="17466" spans="5:25">
      <c r="E17466"/>
      <c r="G17466"/>
      <c r="H17466"/>
      <c r="I17466"/>
      <c r="K17466"/>
      <c r="O17466"/>
      <c r="R17466"/>
      <c r="W17466" s="4"/>
      <c r="X17466" s="4"/>
      <c r="Y17466" s="4"/>
    </row>
    <row r="17467" spans="5:25">
      <c r="E17467"/>
      <c r="G17467"/>
      <c r="H17467"/>
      <c r="I17467"/>
      <c r="K17467"/>
      <c r="O17467"/>
      <c r="R17467"/>
      <c r="W17467" s="4"/>
      <c r="X17467" s="4"/>
      <c r="Y17467" s="4"/>
    </row>
    <row r="17468" spans="5:25">
      <c r="E17468"/>
      <c r="G17468"/>
      <c r="H17468"/>
      <c r="I17468"/>
      <c r="K17468"/>
      <c r="O17468"/>
      <c r="R17468"/>
      <c r="W17468" s="4"/>
      <c r="X17468" s="4"/>
      <c r="Y17468" s="4"/>
    </row>
    <row r="17469" spans="5:25">
      <c r="E17469"/>
      <c r="G17469"/>
      <c r="H17469"/>
      <c r="I17469"/>
      <c r="K17469"/>
      <c r="O17469"/>
      <c r="R17469"/>
      <c r="W17469" s="4"/>
      <c r="X17469" s="4"/>
      <c r="Y17469" s="4"/>
    </row>
    <row r="17470" spans="5:25">
      <c r="E17470"/>
      <c r="G17470"/>
      <c r="H17470"/>
      <c r="I17470"/>
      <c r="K17470"/>
      <c r="O17470"/>
      <c r="R17470"/>
      <c r="W17470" s="4"/>
      <c r="X17470" s="4"/>
      <c r="Y17470" s="4"/>
    </row>
    <row r="17471" spans="5:25">
      <c r="E17471"/>
      <c r="G17471"/>
      <c r="H17471"/>
      <c r="I17471"/>
      <c r="K17471"/>
      <c r="O17471"/>
      <c r="R17471"/>
      <c r="W17471" s="4"/>
      <c r="X17471" s="4"/>
      <c r="Y17471" s="4"/>
    </row>
    <row r="17472" spans="5:25">
      <c r="E17472"/>
      <c r="G17472"/>
      <c r="H17472"/>
      <c r="I17472"/>
      <c r="K17472"/>
      <c r="O17472"/>
      <c r="R17472"/>
      <c r="W17472" s="4"/>
      <c r="X17472" s="4"/>
      <c r="Y17472" s="4"/>
    </row>
    <row r="17473" spans="5:25">
      <c r="E17473"/>
      <c r="G17473"/>
      <c r="H17473"/>
      <c r="I17473"/>
      <c r="K17473"/>
      <c r="O17473"/>
      <c r="R17473"/>
      <c r="W17473" s="4"/>
      <c r="X17473" s="4"/>
      <c r="Y17473" s="4"/>
    </row>
    <row r="17474" spans="5:25">
      <c r="E17474"/>
      <c r="G17474"/>
      <c r="H17474"/>
      <c r="I17474"/>
      <c r="K17474"/>
      <c r="O17474"/>
      <c r="R17474"/>
      <c r="W17474" s="4"/>
      <c r="X17474" s="4"/>
      <c r="Y17474" s="4"/>
    </row>
    <row r="17475" spans="5:25">
      <c r="E17475"/>
      <c r="G17475"/>
      <c r="H17475"/>
      <c r="I17475"/>
      <c r="K17475"/>
      <c r="O17475"/>
      <c r="R17475"/>
      <c r="W17475" s="4"/>
      <c r="X17475" s="4"/>
      <c r="Y17475" s="4"/>
    </row>
    <row r="17476" spans="5:25">
      <c r="E17476"/>
      <c r="G17476"/>
      <c r="H17476"/>
      <c r="I17476"/>
      <c r="K17476"/>
      <c r="O17476"/>
      <c r="R17476"/>
      <c r="W17476" s="4"/>
      <c r="X17476" s="4"/>
      <c r="Y17476" s="4"/>
    </row>
    <row r="17477" spans="5:25">
      <c r="E17477"/>
      <c r="G17477"/>
      <c r="H17477"/>
      <c r="I17477"/>
      <c r="K17477"/>
      <c r="O17477"/>
      <c r="R17477"/>
      <c r="W17477" s="4"/>
      <c r="X17477" s="4"/>
      <c r="Y17477" s="4"/>
    </row>
    <row r="17478" spans="5:25">
      <c r="E17478"/>
      <c r="G17478"/>
      <c r="H17478"/>
      <c r="I17478"/>
      <c r="K17478"/>
      <c r="O17478"/>
      <c r="R17478"/>
      <c r="W17478" s="4"/>
      <c r="X17478" s="4"/>
      <c r="Y17478" s="4"/>
    </row>
    <row r="17479" spans="5:25">
      <c r="E17479"/>
      <c r="G17479"/>
      <c r="H17479"/>
      <c r="I17479"/>
      <c r="K17479"/>
      <c r="O17479"/>
      <c r="R17479"/>
      <c r="W17479" s="4"/>
      <c r="X17479" s="4"/>
      <c r="Y17479" s="4"/>
    </row>
    <row r="17480" spans="5:25">
      <c r="E17480"/>
      <c r="G17480"/>
      <c r="H17480"/>
      <c r="I17480"/>
      <c r="K17480"/>
      <c r="O17480"/>
      <c r="R17480"/>
      <c r="W17480" s="4"/>
      <c r="X17480" s="4"/>
      <c r="Y17480" s="4"/>
    </row>
    <row r="17481" spans="5:25">
      <c r="E17481"/>
      <c r="G17481"/>
      <c r="H17481"/>
      <c r="I17481"/>
      <c r="K17481"/>
      <c r="O17481"/>
      <c r="R17481"/>
      <c r="W17481" s="4"/>
      <c r="X17481" s="4"/>
      <c r="Y17481" s="4"/>
    </row>
    <row r="17482" spans="5:25">
      <c r="E17482"/>
      <c r="G17482"/>
      <c r="H17482"/>
      <c r="I17482"/>
      <c r="K17482"/>
      <c r="O17482"/>
      <c r="R17482"/>
      <c r="W17482" s="4"/>
      <c r="X17482" s="4"/>
      <c r="Y17482" s="4"/>
    </row>
    <row r="17483" spans="5:25">
      <c r="E17483"/>
      <c r="G17483"/>
      <c r="H17483"/>
      <c r="I17483"/>
      <c r="K17483"/>
      <c r="O17483"/>
      <c r="R17483"/>
      <c r="W17483" s="4"/>
      <c r="X17483" s="4"/>
      <c r="Y17483" s="4"/>
    </row>
    <row r="17484" spans="5:25">
      <c r="E17484"/>
      <c r="G17484"/>
      <c r="H17484"/>
      <c r="I17484"/>
      <c r="K17484"/>
      <c r="O17484"/>
      <c r="R17484"/>
      <c r="W17484" s="4"/>
      <c r="X17484" s="4"/>
      <c r="Y17484" s="4"/>
    </row>
    <row r="17485" spans="5:25">
      <c r="E17485"/>
      <c r="G17485"/>
      <c r="H17485"/>
      <c r="I17485"/>
      <c r="K17485"/>
      <c r="O17485"/>
      <c r="R17485"/>
      <c r="W17485" s="4"/>
      <c r="X17485" s="4"/>
      <c r="Y17485" s="4"/>
    </row>
    <row r="17486" spans="5:25">
      <c r="E17486"/>
      <c r="G17486"/>
      <c r="H17486"/>
      <c r="I17486"/>
      <c r="K17486"/>
      <c r="O17486"/>
      <c r="R17486"/>
      <c r="W17486" s="4"/>
      <c r="X17486" s="4"/>
      <c r="Y17486" s="4"/>
    </row>
    <row r="17487" spans="5:25">
      <c r="E17487"/>
      <c r="G17487"/>
      <c r="H17487"/>
      <c r="I17487"/>
      <c r="K17487"/>
      <c r="O17487"/>
      <c r="R17487"/>
      <c r="W17487" s="4"/>
      <c r="X17487" s="4"/>
      <c r="Y17487" s="4"/>
    </row>
    <row r="17488" spans="5:25">
      <c r="E17488"/>
      <c r="G17488"/>
      <c r="H17488"/>
      <c r="I17488"/>
      <c r="K17488"/>
      <c r="O17488"/>
      <c r="R17488"/>
      <c r="W17488" s="4"/>
      <c r="X17488" s="4"/>
      <c r="Y17488" s="4"/>
    </row>
    <row r="17489" spans="5:25">
      <c r="E17489"/>
      <c r="G17489"/>
      <c r="H17489"/>
      <c r="I17489"/>
      <c r="K17489"/>
      <c r="O17489"/>
      <c r="R17489"/>
      <c r="W17489" s="4"/>
      <c r="X17489" s="4"/>
      <c r="Y17489" s="4"/>
    </row>
    <row r="17490" spans="5:25">
      <c r="E17490"/>
      <c r="G17490"/>
      <c r="H17490"/>
      <c r="I17490"/>
      <c r="K17490"/>
      <c r="O17490"/>
      <c r="R17490"/>
      <c r="W17490" s="4"/>
      <c r="X17490" s="4"/>
      <c r="Y17490" s="4"/>
    </row>
    <row r="17491" spans="5:25">
      <c r="E17491"/>
      <c r="G17491"/>
      <c r="H17491"/>
      <c r="I17491"/>
      <c r="K17491"/>
      <c r="O17491"/>
      <c r="R17491"/>
      <c r="W17491" s="4"/>
      <c r="X17491" s="4"/>
      <c r="Y17491" s="4"/>
    </row>
    <row r="17492" spans="5:25">
      <c r="E17492"/>
      <c r="G17492"/>
      <c r="H17492"/>
      <c r="I17492"/>
      <c r="K17492"/>
      <c r="O17492"/>
      <c r="R17492"/>
      <c r="W17492" s="4"/>
      <c r="X17492" s="4"/>
      <c r="Y17492" s="4"/>
    </row>
    <row r="17493" spans="5:25">
      <c r="E17493"/>
      <c r="G17493"/>
      <c r="H17493"/>
      <c r="I17493"/>
      <c r="K17493"/>
      <c r="O17493"/>
      <c r="R17493"/>
      <c r="W17493" s="4"/>
      <c r="X17493" s="4"/>
      <c r="Y17493" s="4"/>
    </row>
    <row r="17494" spans="5:25">
      <c r="E17494"/>
      <c r="G17494"/>
      <c r="H17494"/>
      <c r="I17494"/>
      <c r="K17494"/>
      <c r="O17494"/>
      <c r="R17494"/>
      <c r="W17494" s="4"/>
      <c r="X17494" s="4"/>
      <c r="Y17494" s="4"/>
    </row>
    <row r="17495" spans="5:25">
      <c r="E17495"/>
      <c r="G17495"/>
      <c r="H17495"/>
      <c r="I17495"/>
      <c r="K17495"/>
      <c r="O17495"/>
      <c r="R17495"/>
      <c r="W17495" s="4"/>
      <c r="X17495" s="4"/>
      <c r="Y17495" s="4"/>
    </row>
    <row r="17496" spans="5:25">
      <c r="E17496"/>
      <c r="G17496"/>
      <c r="H17496"/>
      <c r="I17496"/>
      <c r="K17496"/>
      <c r="O17496"/>
      <c r="R17496"/>
      <c r="W17496" s="4"/>
      <c r="X17496" s="4"/>
      <c r="Y17496" s="4"/>
    </row>
    <row r="17497" spans="5:25">
      <c r="E17497"/>
      <c r="G17497"/>
      <c r="H17497"/>
      <c r="I17497"/>
      <c r="K17497"/>
      <c r="O17497"/>
      <c r="R17497"/>
      <c r="W17497" s="4"/>
      <c r="X17497" s="4"/>
      <c r="Y17497" s="4"/>
    </row>
    <row r="17498" spans="5:25">
      <c r="E17498"/>
      <c r="G17498"/>
      <c r="H17498"/>
      <c r="I17498"/>
      <c r="K17498"/>
      <c r="O17498"/>
      <c r="R17498"/>
      <c r="W17498" s="4"/>
      <c r="X17498" s="4"/>
      <c r="Y17498" s="4"/>
    </row>
    <row r="17499" spans="5:25">
      <c r="E17499"/>
      <c r="G17499"/>
      <c r="H17499"/>
      <c r="I17499"/>
      <c r="K17499"/>
      <c r="O17499"/>
      <c r="R17499"/>
      <c r="W17499" s="4"/>
      <c r="X17499" s="4"/>
      <c r="Y17499" s="4"/>
    </row>
    <row r="17500" spans="5:25">
      <c r="E17500"/>
      <c r="G17500"/>
      <c r="H17500"/>
      <c r="I17500"/>
      <c r="K17500"/>
      <c r="O17500"/>
      <c r="R17500"/>
      <c r="W17500" s="4"/>
      <c r="X17500" s="4"/>
      <c r="Y17500" s="4"/>
    </row>
    <row r="17501" spans="5:25">
      <c r="E17501"/>
      <c r="G17501"/>
      <c r="H17501"/>
      <c r="I17501"/>
      <c r="K17501"/>
      <c r="O17501"/>
      <c r="R17501"/>
      <c r="W17501" s="4"/>
      <c r="X17501" s="4"/>
      <c r="Y17501" s="4"/>
    </row>
    <row r="17502" spans="5:25">
      <c r="E17502"/>
      <c r="G17502"/>
      <c r="H17502"/>
      <c r="I17502"/>
      <c r="K17502"/>
      <c r="O17502"/>
      <c r="R17502"/>
      <c r="W17502" s="4"/>
      <c r="X17502" s="4"/>
      <c r="Y17502" s="4"/>
    </row>
    <row r="17503" spans="5:25">
      <c r="E17503"/>
      <c r="G17503"/>
      <c r="H17503"/>
      <c r="I17503"/>
      <c r="K17503"/>
      <c r="O17503"/>
      <c r="R17503"/>
      <c r="W17503" s="4"/>
      <c r="X17503" s="4"/>
      <c r="Y17503" s="4"/>
    </row>
    <row r="17504" spans="5:25">
      <c r="E17504"/>
      <c r="G17504"/>
      <c r="H17504"/>
      <c r="I17504"/>
      <c r="K17504"/>
      <c r="O17504"/>
      <c r="R17504"/>
      <c r="W17504" s="4"/>
      <c r="X17504" s="4"/>
      <c r="Y17504" s="4"/>
    </row>
    <row r="17505" spans="5:25">
      <c r="E17505"/>
      <c r="G17505"/>
      <c r="H17505"/>
      <c r="I17505"/>
      <c r="K17505"/>
      <c r="O17505"/>
      <c r="R17505"/>
      <c r="W17505" s="4"/>
      <c r="X17505" s="4"/>
      <c r="Y17505" s="4"/>
    </row>
    <row r="17506" spans="5:25">
      <c r="E17506"/>
      <c r="G17506"/>
      <c r="H17506"/>
      <c r="I17506"/>
      <c r="K17506"/>
      <c r="O17506"/>
      <c r="R17506"/>
      <c r="W17506" s="4"/>
      <c r="X17506" s="4"/>
      <c r="Y17506" s="4"/>
    </row>
    <row r="17507" spans="5:25">
      <c r="E17507"/>
      <c r="G17507"/>
      <c r="H17507"/>
      <c r="I17507"/>
      <c r="K17507"/>
      <c r="O17507"/>
      <c r="R17507"/>
      <c r="W17507" s="4"/>
      <c r="X17507" s="4"/>
      <c r="Y17507" s="4"/>
    </row>
    <row r="17508" spans="5:25">
      <c r="E17508"/>
      <c r="G17508"/>
      <c r="H17508"/>
      <c r="I17508"/>
      <c r="K17508"/>
      <c r="O17508"/>
      <c r="R17508"/>
      <c r="W17508" s="4"/>
      <c r="X17508" s="4"/>
      <c r="Y17508" s="4"/>
    </row>
    <row r="17509" spans="5:25">
      <c r="E17509"/>
      <c r="G17509"/>
      <c r="H17509"/>
      <c r="I17509"/>
      <c r="K17509"/>
      <c r="O17509"/>
      <c r="R17509"/>
      <c r="W17509" s="4"/>
      <c r="X17509" s="4"/>
      <c r="Y17509" s="4"/>
    </row>
    <row r="17510" spans="5:25">
      <c r="E17510"/>
      <c r="G17510"/>
      <c r="H17510"/>
      <c r="I17510"/>
      <c r="K17510"/>
      <c r="O17510"/>
      <c r="R17510"/>
      <c r="W17510" s="4"/>
      <c r="X17510" s="4"/>
      <c r="Y17510" s="4"/>
    </row>
    <row r="17511" spans="5:25">
      <c r="E17511"/>
      <c r="G17511"/>
      <c r="H17511"/>
      <c r="I17511"/>
      <c r="K17511"/>
      <c r="O17511"/>
      <c r="R17511"/>
      <c r="W17511" s="4"/>
      <c r="X17511" s="4"/>
      <c r="Y17511" s="4"/>
    </row>
    <row r="17512" spans="5:25">
      <c r="E17512"/>
      <c r="G17512"/>
      <c r="H17512"/>
      <c r="I17512"/>
      <c r="K17512"/>
      <c r="O17512"/>
      <c r="R17512"/>
      <c r="W17512" s="4"/>
      <c r="X17512" s="4"/>
      <c r="Y17512" s="4"/>
    </row>
    <row r="17513" spans="5:25">
      <c r="E17513"/>
      <c r="G17513"/>
      <c r="H17513"/>
      <c r="I17513"/>
      <c r="K17513"/>
      <c r="O17513"/>
      <c r="R17513"/>
      <c r="W17513" s="4"/>
      <c r="X17513" s="4"/>
      <c r="Y17513" s="4"/>
    </row>
    <row r="17514" spans="5:25">
      <c r="E17514"/>
      <c r="G17514"/>
      <c r="H17514"/>
      <c r="I17514"/>
      <c r="K17514"/>
      <c r="O17514"/>
      <c r="R17514"/>
      <c r="W17514" s="4"/>
      <c r="X17514" s="4"/>
      <c r="Y17514" s="4"/>
    </row>
    <row r="17515" spans="5:25">
      <c r="E17515"/>
      <c r="G17515"/>
      <c r="H17515"/>
      <c r="I17515"/>
      <c r="K17515"/>
      <c r="O17515"/>
      <c r="R17515"/>
      <c r="W17515" s="4"/>
      <c r="X17515" s="4"/>
      <c r="Y17515" s="4"/>
    </row>
    <row r="17516" spans="5:25">
      <c r="E17516"/>
      <c r="G17516"/>
      <c r="H17516"/>
      <c r="I17516"/>
      <c r="K17516"/>
      <c r="O17516"/>
      <c r="R17516"/>
      <c r="W17516" s="4"/>
      <c r="X17516" s="4"/>
      <c r="Y17516" s="4"/>
    </row>
    <row r="17517" spans="5:25">
      <c r="E17517"/>
      <c r="G17517"/>
      <c r="H17517"/>
      <c r="I17517"/>
      <c r="K17517"/>
      <c r="O17517"/>
      <c r="R17517"/>
      <c r="W17517" s="4"/>
      <c r="X17517" s="4"/>
      <c r="Y17517" s="4"/>
    </row>
    <row r="17518" spans="5:25">
      <c r="E17518"/>
      <c r="G17518"/>
      <c r="H17518"/>
      <c r="I17518"/>
      <c r="K17518"/>
      <c r="O17518"/>
      <c r="R17518"/>
      <c r="W17518" s="4"/>
      <c r="X17518" s="4"/>
      <c r="Y17518" s="4"/>
    </row>
    <row r="17519" spans="5:25">
      <c r="E17519"/>
      <c r="G17519"/>
      <c r="H17519"/>
      <c r="I17519"/>
      <c r="K17519"/>
      <c r="O17519"/>
      <c r="R17519"/>
      <c r="W17519" s="4"/>
      <c r="X17519" s="4"/>
      <c r="Y17519" s="4"/>
    </row>
    <row r="17520" spans="5:25">
      <c r="E17520"/>
      <c r="G17520"/>
      <c r="H17520"/>
      <c r="I17520"/>
      <c r="K17520"/>
      <c r="O17520"/>
      <c r="R17520"/>
      <c r="W17520" s="4"/>
      <c r="X17520" s="4"/>
      <c r="Y17520" s="4"/>
    </row>
    <row r="17521" spans="5:25">
      <c r="E17521"/>
      <c r="G17521"/>
      <c r="H17521"/>
      <c r="I17521"/>
      <c r="K17521"/>
      <c r="O17521"/>
      <c r="R17521"/>
      <c r="W17521" s="4"/>
      <c r="X17521" s="4"/>
      <c r="Y17521" s="4"/>
    </row>
    <row r="17522" spans="5:25">
      <c r="E17522"/>
      <c r="G17522"/>
      <c r="H17522"/>
      <c r="I17522"/>
      <c r="K17522"/>
      <c r="O17522"/>
      <c r="R17522"/>
      <c r="W17522" s="4"/>
      <c r="X17522" s="4"/>
      <c r="Y17522" s="4"/>
    </row>
    <row r="17523" spans="5:25">
      <c r="E17523"/>
      <c r="G17523"/>
      <c r="H17523"/>
      <c r="I17523"/>
      <c r="K17523"/>
      <c r="O17523"/>
      <c r="R17523"/>
      <c r="W17523" s="4"/>
      <c r="X17523" s="4"/>
      <c r="Y17523" s="4"/>
    </row>
    <row r="17524" spans="5:25">
      <c r="E17524"/>
      <c r="G17524"/>
      <c r="H17524"/>
      <c r="I17524"/>
      <c r="K17524"/>
      <c r="O17524"/>
      <c r="R17524"/>
      <c r="W17524" s="4"/>
      <c r="X17524" s="4"/>
      <c r="Y17524" s="4"/>
    </row>
    <row r="17525" spans="5:25">
      <c r="E17525"/>
      <c r="G17525"/>
      <c r="H17525"/>
      <c r="I17525"/>
      <c r="K17525"/>
      <c r="O17525"/>
      <c r="R17525"/>
      <c r="W17525" s="4"/>
      <c r="X17525" s="4"/>
      <c r="Y17525" s="4"/>
    </row>
    <row r="17526" spans="5:25">
      <c r="E17526"/>
      <c r="G17526"/>
      <c r="H17526"/>
      <c r="I17526"/>
      <c r="K17526"/>
      <c r="O17526"/>
      <c r="R17526"/>
      <c r="W17526" s="4"/>
      <c r="X17526" s="4"/>
      <c r="Y17526" s="4"/>
    </row>
    <row r="17527" spans="5:25">
      <c r="E17527"/>
      <c r="G17527"/>
      <c r="H17527"/>
      <c r="I17527"/>
      <c r="K17527"/>
      <c r="O17527"/>
      <c r="R17527"/>
      <c r="W17527" s="4"/>
      <c r="X17527" s="4"/>
      <c r="Y17527" s="4"/>
    </row>
    <row r="17528" spans="5:25">
      <c r="E17528"/>
      <c r="G17528"/>
      <c r="H17528"/>
      <c r="I17528"/>
      <c r="K17528"/>
      <c r="O17528"/>
      <c r="R17528"/>
      <c r="W17528" s="4"/>
      <c r="X17528" s="4"/>
      <c r="Y17528" s="4"/>
    </row>
    <row r="17529" spans="5:25">
      <c r="E17529"/>
      <c r="G17529"/>
      <c r="H17529"/>
      <c r="I17529"/>
      <c r="K17529"/>
      <c r="O17529"/>
      <c r="R17529"/>
      <c r="W17529" s="4"/>
      <c r="X17529" s="4"/>
      <c r="Y17529" s="4"/>
    </row>
    <row r="17530" spans="5:25">
      <c r="E17530"/>
      <c r="G17530"/>
      <c r="H17530"/>
      <c r="I17530"/>
      <c r="K17530"/>
      <c r="O17530"/>
      <c r="R17530"/>
      <c r="W17530" s="4"/>
      <c r="X17530" s="4"/>
      <c r="Y17530" s="4"/>
    </row>
    <row r="17531" spans="5:25">
      <c r="E17531"/>
      <c r="G17531"/>
      <c r="H17531"/>
      <c r="I17531"/>
      <c r="K17531"/>
      <c r="O17531"/>
      <c r="R17531"/>
      <c r="W17531" s="4"/>
      <c r="X17531" s="4"/>
      <c r="Y17531" s="4"/>
    </row>
    <row r="17532" spans="5:25">
      <c r="E17532"/>
      <c r="G17532"/>
      <c r="H17532"/>
      <c r="I17532"/>
      <c r="K17532"/>
      <c r="O17532"/>
      <c r="R17532"/>
      <c r="W17532" s="4"/>
      <c r="X17532" s="4"/>
      <c r="Y17532" s="4"/>
    </row>
    <row r="17533" spans="5:25">
      <c r="E17533"/>
      <c r="G17533"/>
      <c r="H17533"/>
      <c r="I17533"/>
      <c r="K17533"/>
      <c r="O17533"/>
      <c r="R17533"/>
      <c r="W17533" s="4"/>
      <c r="X17533" s="4"/>
      <c r="Y17533" s="4"/>
    </row>
    <row r="17534" spans="5:25">
      <c r="E17534"/>
      <c r="G17534"/>
      <c r="H17534"/>
      <c r="I17534"/>
      <c r="K17534"/>
      <c r="O17534"/>
      <c r="R17534"/>
      <c r="W17534" s="4"/>
      <c r="X17534" s="4"/>
      <c r="Y17534" s="4"/>
    </row>
    <row r="17535" spans="5:25">
      <c r="E17535"/>
      <c r="G17535"/>
      <c r="H17535"/>
      <c r="I17535"/>
      <c r="K17535"/>
      <c r="O17535"/>
      <c r="R17535"/>
      <c r="W17535" s="4"/>
      <c r="X17535" s="4"/>
      <c r="Y17535" s="4"/>
    </row>
    <row r="17536" spans="5:25">
      <c r="E17536"/>
      <c r="G17536"/>
      <c r="H17536"/>
      <c r="I17536"/>
      <c r="K17536"/>
      <c r="O17536"/>
      <c r="R17536"/>
      <c r="W17536" s="4"/>
      <c r="X17536" s="4"/>
      <c r="Y17536" s="4"/>
    </row>
    <row r="17537" spans="5:25">
      <c r="E17537"/>
      <c r="G17537"/>
      <c r="H17537"/>
      <c r="I17537"/>
      <c r="K17537"/>
      <c r="O17537"/>
      <c r="R17537"/>
      <c r="W17537" s="4"/>
      <c r="X17537" s="4"/>
      <c r="Y17537" s="4"/>
    </row>
    <row r="17538" spans="5:25">
      <c r="E17538"/>
      <c r="G17538"/>
      <c r="H17538"/>
      <c r="I17538"/>
      <c r="K17538"/>
      <c r="O17538"/>
      <c r="R17538"/>
      <c r="W17538" s="4"/>
      <c r="X17538" s="4"/>
      <c r="Y17538" s="4"/>
    </row>
    <row r="17539" spans="5:25">
      <c r="E17539"/>
      <c r="G17539"/>
      <c r="H17539"/>
      <c r="I17539"/>
      <c r="K17539"/>
      <c r="O17539"/>
      <c r="R17539"/>
      <c r="W17539" s="4"/>
      <c r="X17539" s="4"/>
      <c r="Y17539" s="4"/>
    </row>
    <row r="17540" spans="5:25">
      <c r="E17540"/>
      <c r="G17540"/>
      <c r="H17540"/>
      <c r="I17540"/>
      <c r="K17540"/>
      <c r="O17540"/>
      <c r="R17540"/>
      <c r="W17540" s="4"/>
      <c r="X17540" s="4"/>
      <c r="Y17540" s="4"/>
    </row>
    <row r="17541" spans="5:25">
      <c r="E17541"/>
      <c r="G17541"/>
      <c r="H17541"/>
      <c r="I17541"/>
      <c r="K17541"/>
      <c r="O17541"/>
      <c r="R17541"/>
      <c r="W17541" s="4"/>
      <c r="X17541" s="4"/>
      <c r="Y17541" s="4"/>
    </row>
    <row r="17542" spans="5:25">
      <c r="E17542"/>
      <c r="G17542"/>
      <c r="H17542"/>
      <c r="I17542"/>
      <c r="K17542"/>
      <c r="O17542"/>
      <c r="R17542"/>
      <c r="W17542" s="4"/>
      <c r="X17542" s="4"/>
      <c r="Y17542" s="4"/>
    </row>
    <row r="17543" spans="5:25">
      <c r="E17543"/>
      <c r="G17543"/>
      <c r="H17543"/>
      <c r="I17543"/>
      <c r="K17543"/>
      <c r="O17543"/>
      <c r="R17543"/>
      <c r="W17543" s="4"/>
      <c r="X17543" s="4"/>
      <c r="Y17543" s="4"/>
    </row>
    <row r="17544" spans="5:25">
      <c r="E17544"/>
      <c r="G17544"/>
      <c r="H17544"/>
      <c r="I17544"/>
      <c r="K17544"/>
      <c r="O17544"/>
      <c r="R17544"/>
      <c r="W17544" s="4"/>
      <c r="X17544" s="4"/>
      <c r="Y17544" s="4"/>
    </row>
    <row r="17545" spans="5:25">
      <c r="E17545"/>
      <c r="G17545"/>
      <c r="H17545"/>
      <c r="I17545"/>
      <c r="K17545"/>
      <c r="O17545"/>
      <c r="R17545"/>
      <c r="W17545" s="4"/>
      <c r="X17545" s="4"/>
      <c r="Y17545" s="4"/>
    </row>
    <row r="17546" spans="5:25">
      <c r="E17546"/>
      <c r="G17546"/>
      <c r="H17546"/>
      <c r="I17546"/>
      <c r="K17546"/>
      <c r="O17546"/>
      <c r="R17546"/>
      <c r="W17546" s="4"/>
      <c r="X17546" s="4"/>
      <c r="Y17546" s="4"/>
    </row>
    <row r="17547" spans="5:25">
      <c r="E17547"/>
      <c r="G17547"/>
      <c r="H17547"/>
      <c r="I17547"/>
      <c r="K17547"/>
      <c r="O17547"/>
      <c r="R17547"/>
      <c r="W17547" s="4"/>
      <c r="X17547" s="4"/>
      <c r="Y17547" s="4"/>
    </row>
    <row r="17548" spans="5:25">
      <c r="E17548"/>
      <c r="G17548"/>
      <c r="H17548"/>
      <c r="I17548"/>
      <c r="K17548"/>
      <c r="O17548"/>
      <c r="R17548"/>
      <c r="W17548" s="4"/>
      <c r="X17548" s="4"/>
      <c r="Y17548" s="4"/>
    </row>
    <row r="17549" spans="5:25">
      <c r="E17549"/>
      <c r="G17549"/>
      <c r="H17549"/>
      <c r="I17549"/>
      <c r="K17549"/>
      <c r="O17549"/>
      <c r="R17549"/>
      <c r="W17549" s="4"/>
      <c r="X17549" s="4"/>
      <c r="Y17549" s="4"/>
    </row>
    <row r="17550" spans="5:25">
      <c r="E17550"/>
      <c r="G17550"/>
      <c r="H17550"/>
      <c r="I17550"/>
      <c r="K17550"/>
      <c r="O17550"/>
      <c r="R17550"/>
      <c r="W17550" s="4"/>
      <c r="X17550" s="4"/>
      <c r="Y17550" s="4"/>
    </row>
    <row r="17551" spans="5:25">
      <c r="E17551"/>
      <c r="G17551"/>
      <c r="H17551"/>
      <c r="I17551"/>
      <c r="K17551"/>
      <c r="O17551"/>
      <c r="R17551"/>
      <c r="W17551" s="4"/>
      <c r="X17551" s="4"/>
      <c r="Y17551" s="4"/>
    </row>
    <row r="17552" spans="5:25">
      <c r="E17552"/>
      <c r="G17552"/>
      <c r="H17552"/>
      <c r="I17552"/>
      <c r="K17552"/>
      <c r="O17552"/>
      <c r="R17552"/>
      <c r="W17552" s="4"/>
      <c r="X17552" s="4"/>
      <c r="Y17552" s="4"/>
    </row>
    <row r="17553" spans="5:25">
      <c r="E17553"/>
      <c r="G17553"/>
      <c r="H17553"/>
      <c r="I17553"/>
      <c r="K17553"/>
      <c r="O17553"/>
      <c r="R17553"/>
      <c r="W17553" s="4"/>
      <c r="X17553" s="4"/>
      <c r="Y17553" s="4"/>
    </row>
    <row r="17554" spans="5:25">
      <c r="E17554"/>
      <c r="G17554"/>
      <c r="H17554"/>
      <c r="I17554"/>
      <c r="K17554"/>
      <c r="O17554"/>
      <c r="R17554"/>
      <c r="W17554" s="4"/>
      <c r="X17554" s="4"/>
      <c r="Y17554" s="4"/>
    </row>
    <row r="17555" spans="5:25">
      <c r="E17555"/>
      <c r="G17555"/>
      <c r="H17555"/>
      <c r="I17555"/>
      <c r="K17555"/>
      <c r="O17555"/>
      <c r="R17555"/>
      <c r="W17555" s="4"/>
      <c r="X17555" s="4"/>
      <c r="Y17555" s="4"/>
    </row>
    <row r="17556" spans="5:25">
      <c r="E17556"/>
      <c r="G17556"/>
      <c r="H17556"/>
      <c r="I17556"/>
      <c r="K17556"/>
      <c r="O17556"/>
      <c r="R17556"/>
      <c r="W17556" s="4"/>
      <c r="X17556" s="4"/>
      <c r="Y17556" s="4"/>
    </row>
    <row r="17557" spans="5:25">
      <c r="E17557"/>
      <c r="G17557"/>
      <c r="H17557"/>
      <c r="I17557"/>
      <c r="K17557"/>
      <c r="O17557"/>
      <c r="R17557"/>
      <c r="W17557" s="4"/>
      <c r="X17557" s="4"/>
      <c r="Y17557" s="4"/>
    </row>
    <row r="17558" spans="5:25">
      <c r="E17558"/>
      <c r="G17558"/>
      <c r="H17558"/>
      <c r="I17558"/>
      <c r="K17558"/>
      <c r="O17558"/>
      <c r="R17558"/>
      <c r="W17558" s="4"/>
      <c r="X17558" s="4"/>
      <c r="Y17558" s="4"/>
    </row>
    <row r="17559" spans="5:25">
      <c r="E17559"/>
      <c r="G17559"/>
      <c r="H17559"/>
      <c r="I17559"/>
      <c r="K17559"/>
      <c r="O17559"/>
      <c r="R17559"/>
      <c r="W17559" s="4"/>
      <c r="X17559" s="4"/>
      <c r="Y17559" s="4"/>
    </row>
    <row r="17560" spans="5:25">
      <c r="E17560"/>
      <c r="G17560"/>
      <c r="H17560"/>
      <c r="I17560"/>
      <c r="K17560"/>
      <c r="O17560"/>
      <c r="R17560"/>
      <c r="W17560" s="4"/>
      <c r="X17560" s="4"/>
      <c r="Y17560" s="4"/>
    </row>
    <row r="17561" spans="5:25">
      <c r="E17561"/>
      <c r="G17561"/>
      <c r="H17561"/>
      <c r="I17561"/>
      <c r="K17561"/>
      <c r="O17561"/>
      <c r="R17561"/>
      <c r="W17561" s="4"/>
      <c r="X17561" s="4"/>
      <c r="Y17561" s="4"/>
    </row>
    <row r="17562" spans="5:25">
      <c r="E17562"/>
      <c r="G17562"/>
      <c r="H17562"/>
      <c r="I17562"/>
      <c r="K17562"/>
      <c r="O17562"/>
      <c r="R17562"/>
      <c r="W17562" s="4"/>
      <c r="X17562" s="4"/>
      <c r="Y17562" s="4"/>
    </row>
    <row r="17563" spans="5:25">
      <c r="E17563"/>
      <c r="G17563"/>
      <c r="H17563"/>
      <c r="I17563"/>
      <c r="K17563"/>
      <c r="O17563"/>
      <c r="R17563"/>
      <c r="W17563" s="4"/>
      <c r="X17563" s="4"/>
      <c r="Y17563" s="4"/>
    </row>
    <row r="17564" spans="5:25">
      <c r="E17564"/>
      <c r="G17564"/>
      <c r="H17564"/>
      <c r="I17564"/>
      <c r="K17564"/>
      <c r="O17564"/>
      <c r="R17564"/>
      <c r="W17564" s="4"/>
      <c r="X17564" s="4"/>
      <c r="Y17564" s="4"/>
    </row>
    <row r="17565" spans="5:25">
      <c r="E17565"/>
      <c r="G17565"/>
      <c r="H17565"/>
      <c r="I17565"/>
      <c r="K17565"/>
      <c r="O17565"/>
      <c r="R17565"/>
      <c r="W17565" s="4"/>
      <c r="X17565" s="4"/>
      <c r="Y17565" s="4"/>
    </row>
    <row r="17566" spans="5:25">
      <c r="E17566"/>
      <c r="G17566"/>
      <c r="H17566"/>
      <c r="I17566"/>
      <c r="K17566"/>
      <c r="O17566"/>
      <c r="R17566"/>
      <c r="W17566" s="4"/>
      <c r="X17566" s="4"/>
      <c r="Y17566" s="4"/>
    </row>
    <row r="17567" spans="5:25">
      <c r="E17567"/>
      <c r="G17567"/>
      <c r="H17567"/>
      <c r="I17567"/>
      <c r="K17567"/>
      <c r="O17567"/>
      <c r="R17567"/>
      <c r="W17567" s="4"/>
      <c r="X17567" s="4"/>
      <c r="Y17567" s="4"/>
    </row>
    <row r="17568" spans="5:25">
      <c r="E17568"/>
      <c r="G17568"/>
      <c r="H17568"/>
      <c r="I17568"/>
      <c r="K17568"/>
      <c r="O17568"/>
      <c r="R17568"/>
      <c r="W17568" s="4"/>
      <c r="X17568" s="4"/>
      <c r="Y17568" s="4"/>
    </row>
    <row r="17569" spans="5:25">
      <c r="E17569"/>
      <c r="G17569"/>
      <c r="H17569"/>
      <c r="I17569"/>
      <c r="K17569"/>
      <c r="O17569"/>
      <c r="R17569"/>
      <c r="W17569" s="4"/>
      <c r="X17569" s="4"/>
      <c r="Y17569" s="4"/>
    </row>
    <row r="17570" spans="5:25">
      <c r="E17570"/>
      <c r="G17570"/>
      <c r="H17570"/>
      <c r="I17570"/>
      <c r="K17570"/>
      <c r="O17570"/>
      <c r="R17570"/>
      <c r="W17570" s="4"/>
      <c r="X17570" s="4"/>
      <c r="Y17570" s="4"/>
    </row>
    <row r="17571" spans="5:25">
      <c r="E17571"/>
      <c r="G17571"/>
      <c r="H17571"/>
      <c r="I17571"/>
      <c r="K17571"/>
      <c r="O17571"/>
      <c r="R17571"/>
      <c r="W17571" s="4"/>
      <c r="X17571" s="4"/>
      <c r="Y17571" s="4"/>
    </row>
    <row r="17572" spans="5:25">
      <c r="E17572"/>
      <c r="G17572"/>
      <c r="H17572"/>
      <c r="I17572"/>
      <c r="K17572"/>
      <c r="O17572"/>
      <c r="R17572"/>
      <c r="W17572" s="4"/>
      <c r="X17572" s="4"/>
      <c r="Y17572" s="4"/>
    </row>
    <row r="17573" spans="5:25">
      <c r="E17573"/>
      <c r="G17573"/>
      <c r="H17573"/>
      <c r="I17573"/>
      <c r="K17573"/>
      <c r="O17573"/>
      <c r="R17573"/>
      <c r="W17573" s="4"/>
      <c r="X17573" s="4"/>
      <c r="Y17573" s="4"/>
    </row>
    <row r="17574" spans="5:25">
      <c r="E17574"/>
      <c r="G17574"/>
      <c r="H17574"/>
      <c r="I17574"/>
      <c r="K17574"/>
      <c r="O17574"/>
      <c r="R17574"/>
      <c r="W17574" s="4"/>
      <c r="X17574" s="4"/>
      <c r="Y17574" s="4"/>
    </row>
    <row r="17575" spans="5:25">
      <c r="E17575"/>
      <c r="G17575"/>
      <c r="H17575"/>
      <c r="I17575"/>
      <c r="K17575"/>
      <c r="O17575"/>
      <c r="R17575"/>
      <c r="W17575" s="4"/>
      <c r="X17575" s="4"/>
      <c r="Y17575" s="4"/>
    </row>
    <row r="17576" spans="5:25">
      <c r="E17576"/>
      <c r="G17576"/>
      <c r="H17576"/>
      <c r="I17576"/>
      <c r="K17576"/>
      <c r="O17576"/>
      <c r="R17576"/>
      <c r="W17576" s="4"/>
      <c r="X17576" s="4"/>
      <c r="Y17576" s="4"/>
    </row>
    <row r="17577" spans="5:25">
      <c r="E17577"/>
      <c r="G17577"/>
      <c r="H17577"/>
      <c r="I17577"/>
      <c r="K17577"/>
      <c r="O17577"/>
      <c r="R17577"/>
      <c r="W17577" s="4"/>
      <c r="X17577" s="4"/>
      <c r="Y17577" s="4"/>
    </row>
    <row r="17578" spans="5:25">
      <c r="E17578"/>
      <c r="G17578"/>
      <c r="H17578"/>
      <c r="I17578"/>
      <c r="K17578"/>
      <c r="O17578"/>
      <c r="R17578"/>
      <c r="W17578" s="4"/>
      <c r="X17578" s="4"/>
      <c r="Y17578" s="4"/>
    </row>
    <row r="17579" spans="5:25">
      <c r="E17579"/>
      <c r="G17579"/>
      <c r="H17579"/>
      <c r="I17579"/>
      <c r="K17579"/>
      <c r="O17579"/>
      <c r="R17579"/>
      <c r="W17579" s="4"/>
      <c r="X17579" s="4"/>
      <c r="Y17579" s="4"/>
    </row>
    <row r="17580" spans="5:25">
      <c r="E17580"/>
      <c r="G17580"/>
      <c r="H17580"/>
      <c r="I17580"/>
      <c r="K17580"/>
      <c r="O17580"/>
      <c r="R17580"/>
      <c r="W17580" s="4"/>
      <c r="X17580" s="4"/>
      <c r="Y17580" s="4"/>
    </row>
    <row r="17581" spans="5:25">
      <c r="E17581"/>
      <c r="G17581"/>
      <c r="H17581"/>
      <c r="I17581"/>
      <c r="K17581"/>
      <c r="O17581"/>
      <c r="R17581"/>
      <c r="W17581" s="4"/>
      <c r="X17581" s="4"/>
      <c r="Y17581" s="4"/>
    </row>
    <row r="17582" spans="5:25">
      <c r="E17582"/>
      <c r="G17582"/>
      <c r="H17582"/>
      <c r="I17582"/>
      <c r="K17582"/>
      <c r="O17582"/>
      <c r="R17582"/>
      <c r="W17582" s="4"/>
      <c r="X17582" s="4"/>
      <c r="Y17582" s="4"/>
    </row>
    <row r="17583" spans="5:25">
      <c r="E17583"/>
      <c r="G17583"/>
      <c r="H17583"/>
      <c r="I17583"/>
      <c r="K17583"/>
      <c r="O17583"/>
      <c r="R17583"/>
      <c r="W17583" s="4"/>
      <c r="X17583" s="4"/>
      <c r="Y17583" s="4"/>
    </row>
    <row r="17584" spans="5:25">
      <c r="E17584"/>
      <c r="G17584"/>
      <c r="H17584"/>
      <c r="I17584"/>
      <c r="K17584"/>
      <c r="O17584"/>
      <c r="R17584"/>
      <c r="W17584" s="4"/>
      <c r="X17584" s="4"/>
      <c r="Y17584" s="4"/>
    </row>
    <row r="17585" spans="5:25">
      <c r="E17585"/>
      <c r="G17585"/>
      <c r="H17585"/>
      <c r="I17585"/>
      <c r="K17585"/>
      <c r="O17585"/>
      <c r="R17585"/>
      <c r="W17585" s="4"/>
      <c r="X17585" s="4"/>
      <c r="Y17585" s="4"/>
    </row>
    <row r="17586" spans="5:25">
      <c r="E17586"/>
      <c r="G17586"/>
      <c r="H17586"/>
      <c r="I17586"/>
      <c r="K17586"/>
      <c r="O17586"/>
      <c r="R17586"/>
      <c r="W17586" s="4"/>
      <c r="X17586" s="4"/>
      <c r="Y17586" s="4"/>
    </row>
    <row r="17587" spans="5:25">
      <c r="E17587"/>
      <c r="G17587"/>
      <c r="H17587"/>
      <c r="I17587"/>
      <c r="K17587"/>
      <c r="O17587"/>
      <c r="R17587"/>
      <c r="W17587" s="4"/>
      <c r="X17587" s="4"/>
      <c r="Y17587" s="4"/>
    </row>
    <row r="17588" spans="5:25">
      <c r="E17588"/>
      <c r="G17588"/>
      <c r="H17588"/>
      <c r="I17588"/>
      <c r="K17588"/>
      <c r="O17588"/>
      <c r="R17588"/>
      <c r="W17588" s="4"/>
      <c r="X17588" s="4"/>
      <c r="Y17588" s="4"/>
    </row>
    <row r="17589" spans="5:25">
      <c r="E17589"/>
      <c r="G17589"/>
      <c r="H17589"/>
      <c r="I17589"/>
      <c r="K17589"/>
      <c r="O17589"/>
      <c r="R17589"/>
      <c r="W17589" s="4"/>
      <c r="X17589" s="4"/>
      <c r="Y17589" s="4"/>
    </row>
    <row r="17590" spans="5:25">
      <c r="E17590"/>
      <c r="G17590"/>
      <c r="H17590"/>
      <c r="I17590"/>
      <c r="K17590"/>
      <c r="O17590"/>
      <c r="R17590"/>
      <c r="W17590" s="4"/>
      <c r="X17590" s="4"/>
      <c r="Y17590" s="4"/>
    </row>
    <row r="17591" spans="5:25">
      <c r="E17591"/>
      <c r="G17591"/>
      <c r="H17591"/>
      <c r="I17591"/>
      <c r="K17591"/>
      <c r="O17591"/>
      <c r="R17591"/>
      <c r="W17591" s="4"/>
      <c r="X17591" s="4"/>
      <c r="Y17591" s="4"/>
    </row>
    <row r="17592" spans="5:25">
      <c r="E17592"/>
      <c r="G17592"/>
      <c r="H17592"/>
      <c r="I17592"/>
      <c r="K17592"/>
      <c r="O17592"/>
      <c r="R17592"/>
      <c r="W17592" s="4"/>
      <c r="X17592" s="4"/>
      <c r="Y17592" s="4"/>
    </row>
    <row r="17593" spans="5:25">
      <c r="E17593"/>
      <c r="G17593"/>
      <c r="H17593"/>
      <c r="I17593"/>
      <c r="K17593"/>
      <c r="O17593"/>
      <c r="R17593"/>
      <c r="W17593" s="4"/>
      <c r="X17593" s="4"/>
      <c r="Y17593" s="4"/>
    </row>
    <row r="17594" spans="5:25">
      <c r="E17594"/>
      <c r="G17594"/>
      <c r="H17594"/>
      <c r="I17594"/>
      <c r="K17594"/>
      <c r="O17594"/>
      <c r="R17594"/>
      <c r="W17594" s="4"/>
      <c r="X17594" s="4"/>
      <c r="Y17594" s="4"/>
    </row>
    <row r="17595" spans="5:25">
      <c r="E17595"/>
      <c r="G17595"/>
      <c r="H17595"/>
      <c r="I17595"/>
      <c r="K17595"/>
      <c r="O17595"/>
      <c r="R17595"/>
      <c r="W17595" s="4"/>
      <c r="X17595" s="4"/>
      <c r="Y17595" s="4"/>
    </row>
    <row r="17596" spans="5:25">
      <c r="E17596"/>
      <c r="G17596"/>
      <c r="H17596"/>
      <c r="I17596"/>
      <c r="K17596"/>
      <c r="O17596"/>
      <c r="R17596"/>
      <c r="W17596" s="4"/>
      <c r="X17596" s="4"/>
      <c r="Y17596" s="4"/>
    </row>
    <row r="17597" spans="5:25">
      <c r="E17597"/>
      <c r="G17597"/>
      <c r="H17597"/>
      <c r="I17597"/>
      <c r="K17597"/>
      <c r="O17597"/>
      <c r="R17597"/>
      <c r="W17597" s="4"/>
      <c r="X17597" s="4"/>
      <c r="Y17597" s="4"/>
    </row>
    <row r="17598" spans="5:25">
      <c r="E17598"/>
      <c r="G17598"/>
      <c r="H17598"/>
      <c r="I17598"/>
      <c r="K17598"/>
      <c r="O17598"/>
      <c r="R17598"/>
      <c r="W17598" s="4"/>
      <c r="X17598" s="4"/>
      <c r="Y17598" s="4"/>
    </row>
    <row r="17599" spans="5:25">
      <c r="E17599"/>
      <c r="G17599"/>
      <c r="H17599"/>
      <c r="I17599"/>
      <c r="K17599"/>
      <c r="O17599"/>
      <c r="R17599"/>
      <c r="W17599" s="4"/>
      <c r="X17599" s="4"/>
      <c r="Y17599" s="4"/>
    </row>
    <row r="17600" spans="5:25">
      <c r="E17600"/>
      <c r="G17600"/>
      <c r="H17600"/>
      <c r="I17600"/>
      <c r="K17600"/>
      <c r="O17600"/>
      <c r="R17600"/>
      <c r="W17600" s="4"/>
      <c r="X17600" s="4"/>
      <c r="Y17600" s="4"/>
    </row>
    <row r="17601" spans="5:25">
      <c r="E17601"/>
      <c r="G17601"/>
      <c r="H17601"/>
      <c r="I17601"/>
      <c r="K17601"/>
      <c r="O17601"/>
      <c r="R17601"/>
      <c r="W17601" s="4"/>
      <c r="X17601" s="4"/>
      <c r="Y17601" s="4"/>
    </row>
    <row r="17602" spans="5:25">
      <c r="E17602"/>
      <c r="G17602"/>
      <c r="H17602"/>
      <c r="I17602"/>
      <c r="K17602"/>
      <c r="O17602"/>
      <c r="R17602"/>
      <c r="W17602" s="4"/>
      <c r="X17602" s="4"/>
      <c r="Y17602" s="4"/>
    </row>
    <row r="17603" spans="5:25">
      <c r="E17603"/>
      <c r="G17603"/>
      <c r="H17603"/>
      <c r="I17603"/>
      <c r="K17603"/>
      <c r="O17603"/>
      <c r="R17603"/>
      <c r="W17603" s="4"/>
      <c r="X17603" s="4"/>
      <c r="Y17603" s="4"/>
    </row>
    <row r="17604" spans="5:25">
      <c r="E17604"/>
      <c r="G17604"/>
      <c r="H17604"/>
      <c r="I17604"/>
      <c r="K17604"/>
      <c r="O17604"/>
      <c r="R17604"/>
      <c r="W17604" s="4"/>
      <c r="X17604" s="4"/>
      <c r="Y17604" s="4"/>
    </row>
    <row r="17605" spans="5:25">
      <c r="E17605"/>
      <c r="G17605"/>
      <c r="H17605"/>
      <c r="I17605"/>
      <c r="K17605"/>
      <c r="O17605"/>
      <c r="R17605"/>
      <c r="W17605" s="4"/>
      <c r="X17605" s="4"/>
      <c r="Y17605" s="4"/>
    </row>
    <row r="17606" spans="5:25">
      <c r="E17606"/>
      <c r="G17606"/>
      <c r="H17606"/>
      <c r="I17606"/>
      <c r="K17606"/>
      <c r="O17606"/>
      <c r="R17606"/>
      <c r="W17606" s="4"/>
      <c r="X17606" s="4"/>
      <c r="Y17606" s="4"/>
    </row>
    <row r="17607" spans="5:25">
      <c r="E17607"/>
      <c r="G17607"/>
      <c r="H17607"/>
      <c r="I17607"/>
      <c r="K17607"/>
      <c r="O17607"/>
      <c r="R17607"/>
      <c r="W17607" s="4"/>
      <c r="X17607" s="4"/>
      <c r="Y17607" s="4"/>
    </row>
    <row r="17608" spans="5:25">
      <c r="E17608"/>
      <c r="G17608"/>
      <c r="H17608"/>
      <c r="I17608"/>
      <c r="K17608"/>
      <c r="O17608"/>
      <c r="R17608"/>
      <c r="W17608" s="4"/>
      <c r="X17608" s="4"/>
      <c r="Y17608" s="4"/>
    </row>
    <row r="17609" spans="5:25">
      <c r="E17609"/>
      <c r="G17609"/>
      <c r="H17609"/>
      <c r="I17609"/>
      <c r="K17609"/>
      <c r="O17609"/>
      <c r="R17609"/>
      <c r="W17609" s="4"/>
      <c r="X17609" s="4"/>
      <c r="Y17609" s="4"/>
    </row>
    <row r="17610" spans="5:25">
      <c r="E17610"/>
      <c r="G17610"/>
      <c r="H17610"/>
      <c r="I17610"/>
      <c r="K17610"/>
      <c r="O17610"/>
      <c r="R17610"/>
      <c r="W17610" s="4"/>
      <c r="X17610" s="4"/>
      <c r="Y17610" s="4"/>
    </row>
    <row r="17611" spans="5:25">
      <c r="E17611"/>
      <c r="G17611"/>
      <c r="H17611"/>
      <c r="I17611"/>
      <c r="K17611"/>
      <c r="O17611"/>
      <c r="R17611"/>
      <c r="W17611" s="4"/>
      <c r="X17611" s="4"/>
      <c r="Y17611" s="4"/>
    </row>
    <row r="17612" spans="5:25">
      <c r="E17612"/>
      <c r="G17612"/>
      <c r="H17612"/>
      <c r="I17612"/>
      <c r="K17612"/>
      <c r="O17612"/>
      <c r="R17612"/>
      <c r="W17612" s="4"/>
      <c r="X17612" s="4"/>
      <c r="Y17612" s="4"/>
    </row>
    <row r="17613" spans="5:25">
      <c r="E17613"/>
      <c r="G17613"/>
      <c r="H17613"/>
      <c r="I17613"/>
      <c r="K17613"/>
      <c r="O17613"/>
      <c r="R17613"/>
      <c r="W17613" s="4"/>
      <c r="X17613" s="4"/>
      <c r="Y17613" s="4"/>
    </row>
    <row r="17614" spans="5:25">
      <c r="E17614"/>
      <c r="G17614"/>
      <c r="H17614"/>
      <c r="I17614"/>
      <c r="K17614"/>
      <c r="O17614"/>
      <c r="R17614"/>
      <c r="W17614" s="4"/>
      <c r="X17614" s="4"/>
      <c r="Y17614" s="4"/>
    </row>
    <row r="17615" spans="5:25">
      <c r="E17615"/>
      <c r="G17615"/>
      <c r="H17615"/>
      <c r="I17615"/>
      <c r="K17615"/>
      <c r="O17615"/>
      <c r="R17615"/>
      <c r="W17615" s="4"/>
      <c r="X17615" s="4"/>
      <c r="Y17615" s="4"/>
    </row>
    <row r="17616" spans="5:25">
      <c r="E17616"/>
      <c r="G17616"/>
      <c r="H17616"/>
      <c r="I17616"/>
      <c r="K17616"/>
      <c r="O17616"/>
      <c r="R17616"/>
      <c r="W17616" s="4"/>
      <c r="X17616" s="4"/>
      <c r="Y17616" s="4"/>
    </row>
    <row r="17617" spans="5:25">
      <c r="E17617"/>
      <c r="G17617"/>
      <c r="H17617"/>
      <c r="I17617"/>
      <c r="K17617"/>
      <c r="O17617"/>
      <c r="R17617"/>
      <c r="W17617" s="4"/>
      <c r="X17617" s="4"/>
      <c r="Y17617" s="4"/>
    </row>
    <row r="17618" spans="5:25">
      <c r="E17618"/>
      <c r="G17618"/>
      <c r="H17618"/>
      <c r="I17618"/>
      <c r="K17618"/>
      <c r="O17618"/>
      <c r="R17618"/>
      <c r="W17618" s="4"/>
      <c r="X17618" s="4"/>
      <c r="Y17618" s="4"/>
    </row>
    <row r="17619" spans="5:25">
      <c r="E17619"/>
      <c r="G17619"/>
      <c r="H17619"/>
      <c r="I17619"/>
      <c r="K17619"/>
      <c r="O17619"/>
      <c r="R17619"/>
      <c r="W17619" s="4"/>
      <c r="X17619" s="4"/>
      <c r="Y17619" s="4"/>
    </row>
    <row r="17620" spans="5:25">
      <c r="E17620"/>
      <c r="G17620"/>
      <c r="H17620"/>
      <c r="I17620"/>
      <c r="K17620"/>
      <c r="O17620"/>
      <c r="R17620"/>
      <c r="W17620" s="4"/>
      <c r="X17620" s="4"/>
      <c r="Y17620" s="4"/>
    </row>
    <row r="17621" spans="5:25">
      <c r="E17621"/>
      <c r="G17621"/>
      <c r="H17621"/>
      <c r="I17621"/>
      <c r="K17621"/>
      <c r="O17621"/>
      <c r="R17621"/>
      <c r="W17621" s="4"/>
      <c r="X17621" s="4"/>
      <c r="Y17621" s="4"/>
    </row>
    <row r="17622" spans="5:25">
      <c r="E17622"/>
      <c r="G17622"/>
      <c r="H17622"/>
      <c r="I17622"/>
      <c r="K17622"/>
      <c r="O17622"/>
      <c r="R17622"/>
      <c r="W17622" s="4"/>
      <c r="X17622" s="4"/>
      <c r="Y17622" s="4"/>
    </row>
    <row r="17623" spans="5:25">
      <c r="E17623"/>
      <c r="G17623"/>
      <c r="H17623"/>
      <c r="I17623"/>
      <c r="K17623"/>
      <c r="O17623"/>
      <c r="R17623"/>
      <c r="W17623" s="4"/>
      <c r="X17623" s="4"/>
      <c r="Y17623" s="4"/>
    </row>
    <row r="17624" spans="5:25">
      <c r="E17624"/>
      <c r="G17624"/>
      <c r="H17624"/>
      <c r="I17624"/>
      <c r="K17624"/>
      <c r="O17624"/>
      <c r="R17624"/>
      <c r="W17624" s="4"/>
      <c r="X17624" s="4"/>
      <c r="Y17624" s="4"/>
    </row>
    <row r="17625" spans="5:25">
      <c r="E17625"/>
      <c r="G17625"/>
      <c r="H17625"/>
      <c r="I17625"/>
      <c r="K17625"/>
      <c r="O17625"/>
      <c r="R17625"/>
      <c r="W17625" s="4"/>
      <c r="X17625" s="4"/>
      <c r="Y17625" s="4"/>
    </row>
    <row r="17626" spans="5:25">
      <c r="E17626"/>
      <c r="G17626"/>
      <c r="H17626"/>
      <c r="I17626"/>
      <c r="K17626"/>
      <c r="O17626"/>
      <c r="R17626"/>
      <c r="W17626" s="4"/>
      <c r="X17626" s="4"/>
      <c r="Y17626" s="4"/>
    </row>
    <row r="17627" spans="5:25">
      <c r="E17627"/>
      <c r="G17627"/>
      <c r="H17627"/>
      <c r="I17627"/>
      <c r="K17627"/>
      <c r="O17627"/>
      <c r="R17627"/>
      <c r="W17627" s="4"/>
      <c r="X17627" s="4"/>
      <c r="Y17627" s="4"/>
    </row>
    <row r="17628" spans="5:25">
      <c r="E17628"/>
      <c r="G17628"/>
      <c r="H17628"/>
      <c r="I17628"/>
      <c r="K17628"/>
      <c r="O17628"/>
      <c r="R17628"/>
      <c r="W17628" s="4"/>
      <c r="X17628" s="4"/>
      <c r="Y17628" s="4"/>
    </row>
    <row r="17629" spans="5:25">
      <c r="E17629"/>
      <c r="G17629"/>
      <c r="H17629"/>
      <c r="I17629"/>
      <c r="K17629"/>
      <c r="O17629"/>
      <c r="R17629"/>
      <c r="W17629" s="4"/>
      <c r="X17629" s="4"/>
      <c r="Y17629" s="4"/>
    </row>
    <row r="17630" spans="5:25">
      <c r="E17630"/>
      <c r="G17630"/>
      <c r="H17630"/>
      <c r="I17630"/>
      <c r="K17630"/>
      <c r="O17630"/>
      <c r="R17630"/>
      <c r="W17630" s="4"/>
      <c r="X17630" s="4"/>
      <c r="Y17630" s="4"/>
    </row>
    <row r="17631" spans="5:25">
      <c r="E17631"/>
      <c r="G17631"/>
      <c r="H17631"/>
      <c r="I17631"/>
      <c r="K17631"/>
      <c r="O17631"/>
      <c r="R17631"/>
      <c r="W17631" s="4"/>
      <c r="X17631" s="4"/>
      <c r="Y17631" s="4"/>
    </row>
    <row r="17632" spans="5:25">
      <c r="E17632"/>
      <c r="G17632"/>
      <c r="H17632"/>
      <c r="I17632"/>
      <c r="K17632"/>
      <c r="O17632"/>
      <c r="R17632"/>
      <c r="W17632" s="4"/>
      <c r="X17632" s="4"/>
      <c r="Y17632" s="4"/>
    </row>
    <row r="17633" spans="5:25">
      <c r="E17633"/>
      <c r="G17633"/>
      <c r="H17633"/>
      <c r="I17633"/>
      <c r="K17633"/>
      <c r="O17633"/>
      <c r="R17633"/>
      <c r="W17633" s="4"/>
      <c r="X17633" s="4"/>
      <c r="Y17633" s="4"/>
    </row>
    <row r="17634" spans="5:25">
      <c r="E17634"/>
      <c r="G17634"/>
      <c r="H17634"/>
      <c r="I17634"/>
      <c r="K17634"/>
      <c r="O17634"/>
      <c r="R17634"/>
      <c r="W17634" s="4"/>
      <c r="X17634" s="4"/>
      <c r="Y17634" s="4"/>
    </row>
    <row r="17635" spans="5:25">
      <c r="E17635"/>
      <c r="G17635"/>
      <c r="H17635"/>
      <c r="I17635"/>
      <c r="K17635"/>
      <c r="O17635"/>
      <c r="R17635"/>
      <c r="W17635" s="4"/>
      <c r="X17635" s="4"/>
      <c r="Y17635" s="4"/>
    </row>
    <row r="17636" spans="5:25">
      <c r="E17636"/>
      <c r="G17636"/>
      <c r="H17636"/>
      <c r="I17636"/>
      <c r="K17636"/>
      <c r="O17636"/>
      <c r="R17636"/>
      <c r="W17636" s="4"/>
      <c r="X17636" s="4"/>
      <c r="Y17636" s="4"/>
    </row>
    <row r="17637" spans="5:25">
      <c r="E17637"/>
      <c r="G17637"/>
      <c r="H17637"/>
      <c r="I17637"/>
      <c r="K17637"/>
      <c r="O17637"/>
      <c r="R17637"/>
      <c r="W17637" s="4"/>
      <c r="X17637" s="4"/>
      <c r="Y17637" s="4"/>
    </row>
    <row r="17638" spans="5:25">
      <c r="E17638"/>
      <c r="G17638"/>
      <c r="H17638"/>
      <c r="I17638"/>
      <c r="K17638"/>
      <c r="O17638"/>
      <c r="R17638"/>
      <c r="W17638" s="4"/>
      <c r="X17638" s="4"/>
      <c r="Y17638" s="4"/>
    </row>
    <row r="17639" spans="5:25">
      <c r="E17639"/>
      <c r="G17639"/>
      <c r="H17639"/>
      <c r="I17639"/>
      <c r="K17639"/>
      <c r="O17639"/>
      <c r="R17639"/>
      <c r="W17639" s="4"/>
      <c r="X17639" s="4"/>
      <c r="Y17639" s="4"/>
    </row>
    <row r="17640" spans="5:25">
      <c r="E17640"/>
      <c r="G17640"/>
      <c r="H17640"/>
      <c r="I17640"/>
      <c r="K17640"/>
      <c r="O17640"/>
      <c r="R17640"/>
      <c r="W17640" s="4"/>
      <c r="X17640" s="4"/>
      <c r="Y17640" s="4"/>
    </row>
    <row r="17641" spans="5:25">
      <c r="E17641"/>
      <c r="G17641"/>
      <c r="H17641"/>
      <c r="I17641"/>
      <c r="K17641"/>
      <c r="O17641"/>
      <c r="R17641"/>
      <c r="W17641" s="4"/>
      <c r="X17641" s="4"/>
      <c r="Y17641" s="4"/>
    </row>
    <row r="17642" spans="5:25">
      <c r="E17642"/>
      <c r="G17642"/>
      <c r="H17642"/>
      <c r="I17642"/>
      <c r="K17642"/>
      <c r="O17642"/>
      <c r="R17642"/>
      <c r="W17642" s="4"/>
      <c r="X17642" s="4"/>
      <c r="Y17642" s="4"/>
    </row>
    <row r="17643" spans="5:25">
      <c r="E17643"/>
      <c r="G17643"/>
      <c r="H17643"/>
      <c r="I17643"/>
      <c r="K17643"/>
      <c r="O17643"/>
      <c r="R17643"/>
      <c r="W17643" s="4"/>
      <c r="X17643" s="4"/>
      <c r="Y17643" s="4"/>
    </row>
    <row r="17644" spans="5:25">
      <c r="E17644"/>
      <c r="G17644"/>
      <c r="H17644"/>
      <c r="I17644"/>
      <c r="K17644"/>
      <c r="O17644"/>
      <c r="R17644"/>
      <c r="W17644" s="4"/>
      <c r="X17644" s="4"/>
      <c r="Y17644" s="4"/>
    </row>
    <row r="17645" spans="5:25">
      <c r="E17645"/>
      <c r="G17645"/>
      <c r="H17645"/>
      <c r="I17645"/>
      <c r="K17645"/>
      <c r="O17645"/>
      <c r="R17645"/>
      <c r="W17645" s="4"/>
      <c r="X17645" s="4"/>
      <c r="Y17645" s="4"/>
    </row>
    <row r="17646" spans="5:25">
      <c r="E17646"/>
      <c r="G17646"/>
      <c r="H17646"/>
      <c r="I17646"/>
      <c r="K17646"/>
      <c r="O17646"/>
      <c r="R17646"/>
      <c r="W17646" s="4"/>
      <c r="X17646" s="4"/>
      <c r="Y17646" s="4"/>
    </row>
    <row r="17647" spans="5:25">
      <c r="E17647"/>
      <c r="G17647"/>
      <c r="H17647"/>
      <c r="I17647"/>
      <c r="K17647"/>
      <c r="O17647"/>
      <c r="R17647"/>
      <c r="W17647" s="4"/>
      <c r="X17647" s="4"/>
      <c r="Y17647" s="4"/>
    </row>
    <row r="17648" spans="5:25">
      <c r="E17648"/>
      <c r="G17648"/>
      <c r="H17648"/>
      <c r="I17648"/>
      <c r="K17648"/>
      <c r="O17648"/>
      <c r="R17648"/>
      <c r="W17648" s="4"/>
      <c r="X17648" s="4"/>
      <c r="Y17648" s="4"/>
    </row>
    <row r="17649" spans="5:25">
      <c r="E17649"/>
      <c r="G17649"/>
      <c r="H17649"/>
      <c r="I17649"/>
      <c r="K17649"/>
      <c r="O17649"/>
      <c r="R17649"/>
      <c r="W17649" s="4"/>
      <c r="X17649" s="4"/>
      <c r="Y17649" s="4"/>
    </row>
    <row r="17650" spans="5:25">
      <c r="E17650"/>
      <c r="G17650"/>
      <c r="H17650"/>
      <c r="I17650"/>
      <c r="K17650"/>
      <c r="O17650"/>
      <c r="R17650"/>
      <c r="W17650" s="4"/>
      <c r="X17650" s="4"/>
      <c r="Y17650" s="4"/>
    </row>
    <row r="17651" spans="5:25">
      <c r="E17651"/>
      <c r="G17651"/>
      <c r="H17651"/>
      <c r="I17651"/>
      <c r="K17651"/>
      <c r="O17651"/>
      <c r="R17651"/>
      <c r="W17651" s="4"/>
      <c r="X17651" s="4"/>
      <c r="Y17651" s="4"/>
    </row>
    <row r="17652" spans="5:25">
      <c r="E17652"/>
      <c r="G17652"/>
      <c r="H17652"/>
      <c r="I17652"/>
      <c r="K17652"/>
      <c r="O17652"/>
      <c r="R17652"/>
      <c r="W17652" s="4"/>
      <c r="X17652" s="4"/>
      <c r="Y17652" s="4"/>
    </row>
    <row r="17653" spans="5:25">
      <c r="E17653"/>
      <c r="G17653"/>
      <c r="H17653"/>
      <c r="I17653"/>
      <c r="K17653"/>
      <c r="O17653"/>
      <c r="R17653"/>
      <c r="W17653" s="4"/>
      <c r="X17653" s="4"/>
      <c r="Y17653" s="4"/>
    </row>
    <row r="17654" spans="5:25">
      <c r="E17654"/>
      <c r="G17654"/>
      <c r="H17654"/>
      <c r="I17654"/>
      <c r="K17654"/>
      <c r="O17654"/>
      <c r="R17654"/>
      <c r="W17654" s="4"/>
      <c r="X17654" s="4"/>
      <c r="Y17654" s="4"/>
    </row>
    <row r="17655" spans="5:25">
      <c r="E17655"/>
      <c r="G17655"/>
      <c r="H17655"/>
      <c r="I17655"/>
      <c r="K17655"/>
      <c r="O17655"/>
      <c r="R17655"/>
      <c r="W17655" s="4"/>
      <c r="X17655" s="4"/>
      <c r="Y17655" s="4"/>
    </row>
    <row r="17656" spans="5:25">
      <c r="E17656"/>
      <c r="G17656"/>
      <c r="H17656"/>
      <c r="I17656"/>
      <c r="K17656"/>
      <c r="O17656"/>
      <c r="R17656"/>
      <c r="W17656" s="4"/>
      <c r="X17656" s="4"/>
      <c r="Y17656" s="4"/>
    </row>
    <row r="17657" spans="5:25">
      <c r="E17657"/>
      <c r="G17657"/>
      <c r="H17657"/>
      <c r="I17657"/>
      <c r="K17657"/>
      <c r="O17657"/>
      <c r="R17657"/>
      <c r="W17657" s="4"/>
      <c r="X17657" s="4"/>
      <c r="Y17657" s="4"/>
    </row>
    <row r="17658" spans="5:25">
      <c r="E17658"/>
      <c r="G17658"/>
      <c r="H17658"/>
      <c r="I17658"/>
      <c r="K17658"/>
      <c r="O17658"/>
      <c r="R17658"/>
      <c r="W17658" s="4"/>
      <c r="X17658" s="4"/>
      <c r="Y17658" s="4"/>
    </row>
    <row r="17659" spans="5:25">
      <c r="E17659"/>
      <c r="G17659"/>
      <c r="H17659"/>
      <c r="I17659"/>
      <c r="K17659"/>
      <c r="O17659"/>
      <c r="R17659"/>
      <c r="W17659" s="4"/>
      <c r="X17659" s="4"/>
      <c r="Y17659" s="4"/>
    </row>
    <row r="17660" spans="5:25">
      <c r="E17660"/>
      <c r="G17660"/>
      <c r="H17660"/>
      <c r="I17660"/>
      <c r="K17660"/>
      <c r="O17660"/>
      <c r="R17660"/>
      <c r="W17660" s="4"/>
      <c r="X17660" s="4"/>
      <c r="Y17660" s="4"/>
    </row>
    <row r="17661" spans="5:25">
      <c r="E17661"/>
      <c r="G17661"/>
      <c r="H17661"/>
      <c r="I17661"/>
      <c r="K17661"/>
      <c r="O17661"/>
      <c r="R17661"/>
      <c r="W17661" s="4"/>
      <c r="X17661" s="4"/>
      <c r="Y17661" s="4"/>
    </row>
    <row r="17662" spans="5:25">
      <c r="E17662"/>
      <c r="G17662"/>
      <c r="H17662"/>
      <c r="I17662"/>
      <c r="K17662"/>
      <c r="O17662"/>
      <c r="R17662"/>
      <c r="W17662" s="4"/>
      <c r="X17662" s="4"/>
      <c r="Y17662" s="4"/>
    </row>
    <row r="17663" spans="5:25">
      <c r="E17663"/>
      <c r="G17663"/>
      <c r="H17663"/>
      <c r="I17663"/>
      <c r="K17663"/>
      <c r="O17663"/>
      <c r="R17663"/>
      <c r="W17663" s="4"/>
      <c r="X17663" s="4"/>
      <c r="Y17663" s="4"/>
    </row>
    <row r="17664" spans="5:25">
      <c r="E17664"/>
      <c r="G17664"/>
      <c r="H17664"/>
      <c r="I17664"/>
      <c r="K17664"/>
      <c r="O17664"/>
      <c r="R17664"/>
      <c r="W17664" s="4"/>
      <c r="X17664" s="4"/>
      <c r="Y17664" s="4"/>
    </row>
    <row r="17665" spans="5:25">
      <c r="E17665"/>
      <c r="G17665"/>
      <c r="H17665"/>
      <c r="I17665"/>
      <c r="K17665"/>
      <c r="O17665"/>
      <c r="R17665"/>
      <c r="W17665" s="4"/>
      <c r="X17665" s="4"/>
      <c r="Y17665" s="4"/>
    </row>
    <row r="17666" spans="5:25">
      <c r="E17666"/>
      <c r="G17666"/>
      <c r="H17666"/>
      <c r="I17666"/>
      <c r="K17666"/>
      <c r="O17666"/>
      <c r="R17666"/>
      <c r="W17666" s="4"/>
      <c r="X17666" s="4"/>
      <c r="Y17666" s="4"/>
    </row>
    <row r="17667" spans="5:25">
      <c r="E17667"/>
      <c r="G17667"/>
      <c r="H17667"/>
      <c r="I17667"/>
      <c r="K17667"/>
      <c r="O17667"/>
      <c r="R17667"/>
      <c r="W17667" s="4"/>
      <c r="X17667" s="4"/>
      <c r="Y17667" s="4"/>
    </row>
    <row r="17668" spans="5:25">
      <c r="E17668"/>
      <c r="G17668"/>
      <c r="H17668"/>
      <c r="I17668"/>
      <c r="K17668"/>
      <c r="O17668"/>
      <c r="R17668"/>
      <c r="W17668" s="4"/>
      <c r="X17668" s="4"/>
      <c r="Y17668" s="4"/>
    </row>
    <row r="17669" spans="5:25">
      <c r="E17669"/>
      <c r="G17669"/>
      <c r="H17669"/>
      <c r="I17669"/>
      <c r="K17669"/>
      <c r="O17669"/>
      <c r="R17669"/>
      <c r="W17669" s="4"/>
      <c r="X17669" s="4"/>
      <c r="Y17669" s="4"/>
    </row>
    <row r="17670" spans="5:25">
      <c r="E17670"/>
      <c r="G17670"/>
      <c r="H17670"/>
      <c r="I17670"/>
      <c r="K17670"/>
      <c r="O17670"/>
      <c r="R17670"/>
      <c r="W17670" s="4"/>
      <c r="X17670" s="4"/>
      <c r="Y17670" s="4"/>
    </row>
    <row r="17671" spans="5:25">
      <c r="E17671"/>
      <c r="G17671"/>
      <c r="H17671"/>
      <c r="I17671"/>
      <c r="K17671"/>
      <c r="O17671"/>
      <c r="R17671"/>
      <c r="W17671" s="4"/>
      <c r="X17671" s="4"/>
      <c r="Y17671" s="4"/>
    </row>
    <row r="17672" spans="5:25">
      <c r="E17672"/>
      <c r="G17672"/>
      <c r="H17672"/>
      <c r="I17672"/>
      <c r="K17672"/>
      <c r="O17672"/>
      <c r="R17672"/>
      <c r="W17672" s="4"/>
      <c r="X17672" s="4"/>
      <c r="Y17672" s="4"/>
    </row>
    <row r="17673" spans="5:25">
      <c r="E17673"/>
      <c r="G17673"/>
      <c r="H17673"/>
      <c r="I17673"/>
      <c r="K17673"/>
      <c r="O17673"/>
      <c r="R17673"/>
      <c r="W17673" s="4"/>
      <c r="X17673" s="4"/>
      <c r="Y17673" s="4"/>
    </row>
    <row r="17674" spans="5:25">
      <c r="E17674"/>
      <c r="G17674"/>
      <c r="H17674"/>
      <c r="I17674"/>
      <c r="K17674"/>
      <c r="O17674"/>
      <c r="R17674"/>
      <c r="W17674" s="4"/>
      <c r="X17674" s="4"/>
      <c r="Y17674" s="4"/>
    </row>
    <row r="17675" spans="5:25">
      <c r="E17675"/>
      <c r="G17675"/>
      <c r="H17675"/>
      <c r="I17675"/>
      <c r="K17675"/>
      <c r="O17675"/>
      <c r="R17675"/>
      <c r="W17675" s="4"/>
      <c r="X17675" s="4"/>
      <c r="Y17675" s="4"/>
    </row>
    <row r="17676" spans="5:25">
      <c r="E17676"/>
      <c r="G17676"/>
      <c r="H17676"/>
      <c r="I17676"/>
      <c r="K17676"/>
      <c r="O17676"/>
      <c r="R17676"/>
      <c r="W17676" s="4"/>
      <c r="X17676" s="4"/>
      <c r="Y17676" s="4"/>
    </row>
    <row r="17677" spans="5:25">
      <c r="E17677"/>
      <c r="G17677"/>
      <c r="H17677"/>
      <c r="I17677"/>
      <c r="K17677"/>
      <c r="O17677"/>
      <c r="R17677"/>
      <c r="W17677" s="4"/>
      <c r="X17677" s="4"/>
      <c r="Y17677" s="4"/>
    </row>
    <row r="17678" spans="5:25">
      <c r="E17678"/>
      <c r="G17678"/>
      <c r="H17678"/>
      <c r="I17678"/>
      <c r="K17678"/>
      <c r="O17678"/>
      <c r="R17678"/>
      <c r="W17678" s="4"/>
      <c r="X17678" s="4"/>
      <c r="Y17678" s="4"/>
    </row>
    <row r="17679" spans="5:25">
      <c r="E17679"/>
      <c r="G17679"/>
      <c r="H17679"/>
      <c r="I17679"/>
      <c r="K17679"/>
      <c r="O17679"/>
      <c r="R17679"/>
      <c r="W17679" s="4"/>
      <c r="X17679" s="4"/>
      <c r="Y17679" s="4"/>
    </row>
    <row r="17680" spans="5:25">
      <c r="E17680"/>
      <c r="G17680"/>
      <c r="H17680"/>
      <c r="I17680"/>
      <c r="K17680"/>
      <c r="O17680"/>
      <c r="R17680"/>
      <c r="W17680" s="4"/>
      <c r="X17680" s="4"/>
      <c r="Y17680" s="4"/>
    </row>
    <row r="17681" spans="5:25">
      <c r="E17681"/>
      <c r="G17681"/>
      <c r="H17681"/>
      <c r="I17681"/>
      <c r="K17681"/>
      <c r="O17681"/>
      <c r="R17681"/>
      <c r="W17681" s="4"/>
      <c r="X17681" s="4"/>
      <c r="Y17681" s="4"/>
    </row>
    <row r="17682" spans="5:25">
      <c r="E17682"/>
      <c r="G17682"/>
      <c r="H17682"/>
      <c r="I17682"/>
      <c r="K17682"/>
      <c r="O17682"/>
      <c r="R17682"/>
      <c r="W17682" s="4"/>
      <c r="X17682" s="4"/>
      <c r="Y17682" s="4"/>
    </row>
    <row r="17683" spans="5:25">
      <c r="E17683"/>
      <c r="G17683"/>
      <c r="H17683"/>
      <c r="I17683"/>
      <c r="K17683"/>
      <c r="O17683"/>
      <c r="R17683"/>
      <c r="W17683" s="4"/>
      <c r="X17683" s="4"/>
      <c r="Y17683" s="4"/>
    </row>
    <row r="17684" spans="5:25">
      <c r="E17684"/>
      <c r="G17684"/>
      <c r="H17684"/>
      <c r="I17684"/>
      <c r="K17684"/>
      <c r="O17684"/>
      <c r="R17684"/>
      <c r="W17684" s="4"/>
      <c r="X17684" s="4"/>
      <c r="Y17684" s="4"/>
    </row>
    <row r="17685" spans="5:25">
      <c r="E17685"/>
      <c r="G17685"/>
      <c r="H17685"/>
      <c r="I17685"/>
      <c r="K17685"/>
      <c r="O17685"/>
      <c r="R17685"/>
      <c r="W17685" s="4"/>
      <c r="X17685" s="4"/>
      <c r="Y17685" s="4"/>
    </row>
    <row r="17686" spans="5:25">
      <c r="E17686"/>
      <c r="G17686"/>
      <c r="H17686"/>
      <c r="I17686"/>
      <c r="K17686"/>
      <c r="O17686"/>
      <c r="R17686"/>
      <c r="W17686" s="4"/>
      <c r="X17686" s="4"/>
      <c r="Y17686" s="4"/>
    </row>
    <row r="17687" spans="5:25">
      <c r="E17687"/>
      <c r="G17687"/>
      <c r="H17687"/>
      <c r="I17687"/>
      <c r="K17687"/>
      <c r="O17687"/>
      <c r="R17687"/>
      <c r="W17687" s="4"/>
      <c r="X17687" s="4"/>
      <c r="Y17687" s="4"/>
    </row>
    <row r="17688" spans="5:25">
      <c r="E17688"/>
      <c r="G17688"/>
      <c r="H17688"/>
      <c r="I17688"/>
      <c r="K17688"/>
      <c r="O17688"/>
      <c r="R17688"/>
      <c r="W17688" s="4"/>
      <c r="X17688" s="4"/>
      <c r="Y17688" s="4"/>
    </row>
    <row r="17689" spans="5:25">
      <c r="E17689"/>
      <c r="G17689"/>
      <c r="H17689"/>
      <c r="I17689"/>
      <c r="K17689"/>
      <c r="O17689"/>
      <c r="R17689"/>
      <c r="W17689" s="4"/>
      <c r="X17689" s="4"/>
      <c r="Y17689" s="4"/>
    </row>
    <row r="17690" spans="5:25">
      <c r="E17690"/>
      <c r="G17690"/>
      <c r="H17690"/>
      <c r="I17690"/>
      <c r="K17690"/>
      <c r="O17690"/>
      <c r="R17690"/>
      <c r="W17690" s="4"/>
      <c r="X17690" s="4"/>
      <c r="Y17690" s="4"/>
    </row>
    <row r="17691" spans="5:25">
      <c r="E17691"/>
      <c r="G17691"/>
      <c r="H17691"/>
      <c r="I17691"/>
      <c r="K17691"/>
      <c r="O17691"/>
      <c r="R17691"/>
      <c r="W17691" s="4"/>
      <c r="X17691" s="4"/>
      <c r="Y17691" s="4"/>
    </row>
    <row r="17692" spans="5:25">
      <c r="E17692"/>
      <c r="G17692"/>
      <c r="H17692"/>
      <c r="I17692"/>
      <c r="K17692"/>
      <c r="O17692"/>
      <c r="R17692"/>
      <c r="W17692" s="4"/>
      <c r="X17692" s="4"/>
      <c r="Y17692" s="4"/>
    </row>
    <row r="17693" spans="5:25">
      <c r="E17693"/>
      <c r="G17693"/>
      <c r="H17693"/>
      <c r="I17693"/>
      <c r="K17693"/>
      <c r="O17693"/>
      <c r="R17693"/>
      <c r="W17693" s="4"/>
      <c r="X17693" s="4"/>
      <c r="Y17693" s="4"/>
    </row>
    <row r="17694" spans="5:25">
      <c r="E17694"/>
      <c r="G17694"/>
      <c r="H17694"/>
      <c r="I17694"/>
      <c r="K17694"/>
      <c r="O17694"/>
      <c r="R17694"/>
      <c r="W17694" s="4"/>
      <c r="X17694" s="4"/>
      <c r="Y17694" s="4"/>
    </row>
    <row r="17695" spans="5:25">
      <c r="E17695"/>
      <c r="G17695"/>
      <c r="H17695"/>
      <c r="I17695"/>
      <c r="K17695"/>
      <c r="O17695"/>
      <c r="R17695"/>
      <c r="W17695" s="4"/>
      <c r="X17695" s="4"/>
      <c r="Y17695" s="4"/>
    </row>
    <row r="17696" spans="5:25">
      <c r="E17696"/>
      <c r="G17696"/>
      <c r="H17696"/>
      <c r="I17696"/>
      <c r="K17696"/>
      <c r="O17696"/>
      <c r="R17696"/>
      <c r="W17696" s="4"/>
      <c r="X17696" s="4"/>
      <c r="Y17696" s="4"/>
    </row>
    <row r="17697" spans="5:25">
      <c r="E17697"/>
      <c r="G17697"/>
      <c r="H17697"/>
      <c r="I17697"/>
      <c r="K17697"/>
      <c r="O17697"/>
      <c r="R17697"/>
      <c r="W17697" s="4"/>
      <c r="X17697" s="4"/>
      <c r="Y17697" s="4"/>
    </row>
    <row r="17698" spans="5:25">
      <c r="E17698"/>
      <c r="G17698"/>
      <c r="H17698"/>
      <c r="I17698"/>
      <c r="K17698"/>
      <c r="O17698"/>
      <c r="R17698"/>
      <c r="W17698" s="4"/>
      <c r="X17698" s="4"/>
      <c r="Y17698" s="4"/>
    </row>
    <row r="17699" spans="5:25">
      <c r="E17699"/>
      <c r="G17699"/>
      <c r="H17699"/>
      <c r="I17699"/>
      <c r="K17699"/>
      <c r="O17699"/>
      <c r="R17699"/>
      <c r="W17699" s="4"/>
      <c r="X17699" s="4"/>
      <c r="Y17699" s="4"/>
    </row>
    <row r="17700" spans="5:25">
      <c r="E17700"/>
      <c r="G17700"/>
      <c r="H17700"/>
      <c r="I17700"/>
      <c r="K17700"/>
      <c r="O17700"/>
      <c r="R17700"/>
      <c r="W17700" s="4"/>
      <c r="X17700" s="4"/>
      <c r="Y17700" s="4"/>
    </row>
    <row r="17701" spans="5:25">
      <c r="E17701"/>
      <c r="G17701"/>
      <c r="H17701"/>
      <c r="I17701"/>
      <c r="K17701"/>
      <c r="O17701"/>
      <c r="R17701"/>
      <c r="W17701" s="4"/>
      <c r="X17701" s="4"/>
      <c r="Y17701" s="4"/>
    </row>
    <row r="17702" spans="5:25">
      <c r="E17702"/>
      <c r="G17702"/>
      <c r="H17702"/>
      <c r="I17702"/>
      <c r="K17702"/>
      <c r="O17702"/>
      <c r="R17702"/>
      <c r="W17702" s="4"/>
      <c r="X17702" s="4"/>
      <c r="Y17702" s="4"/>
    </row>
    <row r="17703" spans="5:25">
      <c r="E17703"/>
      <c r="G17703"/>
      <c r="H17703"/>
      <c r="I17703"/>
      <c r="K17703"/>
      <c r="O17703"/>
      <c r="R17703"/>
      <c r="W17703" s="4"/>
      <c r="X17703" s="4"/>
      <c r="Y17703" s="4"/>
    </row>
    <row r="17704" spans="5:25">
      <c r="E17704"/>
      <c r="G17704"/>
      <c r="H17704"/>
      <c r="I17704"/>
      <c r="K17704"/>
      <c r="O17704"/>
      <c r="R17704"/>
      <c r="W17704" s="4"/>
      <c r="X17704" s="4"/>
      <c r="Y17704" s="4"/>
    </row>
    <row r="17705" spans="5:25">
      <c r="E17705"/>
      <c r="G17705"/>
      <c r="H17705"/>
      <c r="I17705"/>
      <c r="K17705"/>
      <c r="O17705"/>
      <c r="R17705"/>
      <c r="W17705" s="4"/>
      <c r="X17705" s="4"/>
      <c r="Y17705" s="4"/>
    </row>
    <row r="17706" spans="5:25">
      <c r="E17706"/>
      <c r="G17706"/>
      <c r="H17706"/>
      <c r="I17706"/>
      <c r="K17706"/>
      <c r="O17706"/>
      <c r="R17706"/>
      <c r="W17706" s="4"/>
      <c r="X17706" s="4"/>
      <c r="Y17706" s="4"/>
    </row>
    <row r="17707" spans="5:25">
      <c r="E17707"/>
      <c r="G17707"/>
      <c r="H17707"/>
      <c r="I17707"/>
      <c r="K17707"/>
      <c r="O17707"/>
      <c r="R17707"/>
      <c r="W17707" s="4"/>
      <c r="X17707" s="4"/>
      <c r="Y17707" s="4"/>
    </row>
    <row r="17708" spans="5:25">
      <c r="E17708"/>
      <c r="G17708"/>
      <c r="H17708"/>
      <c r="I17708"/>
      <c r="K17708"/>
      <c r="O17708"/>
      <c r="R17708"/>
      <c r="W17708" s="4"/>
      <c r="X17708" s="4"/>
      <c r="Y17708" s="4"/>
    </row>
    <row r="17709" spans="5:25">
      <c r="E17709"/>
      <c r="G17709"/>
      <c r="H17709"/>
      <c r="I17709"/>
      <c r="K17709"/>
      <c r="O17709"/>
      <c r="R17709"/>
      <c r="W17709" s="4"/>
      <c r="X17709" s="4"/>
      <c r="Y17709" s="4"/>
    </row>
    <row r="17710" spans="5:25">
      <c r="E17710"/>
      <c r="G17710"/>
      <c r="H17710"/>
      <c r="I17710"/>
      <c r="K17710"/>
      <c r="O17710"/>
      <c r="R17710"/>
      <c r="W17710" s="4"/>
      <c r="X17710" s="4"/>
      <c r="Y17710" s="4"/>
    </row>
    <row r="17711" spans="5:25">
      <c r="E17711"/>
      <c r="G17711"/>
      <c r="H17711"/>
      <c r="I17711"/>
      <c r="K17711"/>
      <c r="O17711"/>
      <c r="R17711"/>
      <c r="W17711" s="4"/>
      <c r="X17711" s="4"/>
      <c r="Y17711" s="4"/>
    </row>
    <row r="17712" spans="5:25">
      <c r="E17712"/>
      <c r="G17712"/>
      <c r="H17712"/>
      <c r="I17712"/>
      <c r="K17712"/>
      <c r="O17712"/>
      <c r="R17712"/>
      <c r="W17712" s="4"/>
      <c r="X17712" s="4"/>
      <c r="Y17712" s="4"/>
    </row>
    <row r="17713" spans="5:25">
      <c r="E17713"/>
      <c r="G17713"/>
      <c r="H17713"/>
      <c r="I17713"/>
      <c r="K17713"/>
      <c r="O17713"/>
      <c r="R17713"/>
      <c r="W17713" s="4"/>
      <c r="X17713" s="4"/>
      <c r="Y17713" s="4"/>
    </row>
    <row r="17714" spans="5:25">
      <c r="E17714"/>
      <c r="G17714"/>
      <c r="H17714"/>
      <c r="I17714"/>
      <c r="K17714"/>
      <c r="O17714"/>
      <c r="R17714"/>
      <c r="W17714" s="4"/>
      <c r="X17714" s="4"/>
      <c r="Y17714" s="4"/>
    </row>
    <row r="17715" spans="5:25">
      <c r="E17715"/>
      <c r="G17715"/>
      <c r="H17715"/>
      <c r="I17715"/>
      <c r="K17715"/>
      <c r="O17715"/>
      <c r="R17715"/>
      <c r="W17715" s="4"/>
      <c r="X17715" s="4"/>
      <c r="Y17715" s="4"/>
    </row>
    <row r="17716" spans="5:25">
      <c r="E17716"/>
      <c r="G17716"/>
      <c r="H17716"/>
      <c r="I17716"/>
      <c r="K17716"/>
      <c r="O17716"/>
      <c r="R17716"/>
      <c r="W17716" s="4"/>
      <c r="X17716" s="4"/>
      <c r="Y17716" s="4"/>
    </row>
    <row r="17717" spans="5:25">
      <c r="E17717"/>
      <c r="G17717"/>
      <c r="H17717"/>
      <c r="I17717"/>
      <c r="K17717"/>
      <c r="O17717"/>
      <c r="R17717"/>
      <c r="W17717" s="4"/>
      <c r="X17717" s="4"/>
      <c r="Y17717" s="4"/>
    </row>
    <row r="17718" spans="5:25">
      <c r="E17718"/>
      <c r="G17718"/>
      <c r="H17718"/>
      <c r="I17718"/>
      <c r="K17718"/>
      <c r="O17718"/>
      <c r="R17718"/>
      <c r="W17718" s="4"/>
      <c r="X17718" s="4"/>
      <c r="Y17718" s="4"/>
    </row>
    <row r="17719" spans="5:25">
      <c r="E17719"/>
      <c r="G17719"/>
      <c r="H17719"/>
      <c r="I17719"/>
      <c r="K17719"/>
      <c r="O17719"/>
      <c r="R17719"/>
      <c r="W17719" s="4"/>
      <c r="X17719" s="4"/>
      <c r="Y17719" s="4"/>
    </row>
    <row r="17720" spans="5:25">
      <c r="E17720"/>
      <c r="G17720"/>
      <c r="H17720"/>
      <c r="I17720"/>
      <c r="K17720"/>
      <c r="O17720"/>
      <c r="R17720"/>
      <c r="W17720" s="4"/>
      <c r="X17720" s="4"/>
      <c r="Y17720" s="4"/>
    </row>
    <row r="17721" spans="5:25">
      <c r="E17721"/>
      <c r="G17721"/>
      <c r="H17721"/>
      <c r="I17721"/>
      <c r="K17721"/>
      <c r="O17721"/>
      <c r="R17721"/>
      <c r="W17721" s="4"/>
      <c r="X17721" s="4"/>
      <c r="Y17721" s="4"/>
    </row>
    <row r="17722" spans="5:25">
      <c r="E17722"/>
      <c r="G17722"/>
      <c r="H17722"/>
      <c r="I17722"/>
      <c r="K17722"/>
      <c r="O17722"/>
      <c r="R17722"/>
      <c r="W17722" s="4"/>
      <c r="X17722" s="4"/>
      <c r="Y17722" s="4"/>
    </row>
    <row r="17723" spans="5:25">
      <c r="E17723"/>
      <c r="G17723"/>
      <c r="H17723"/>
      <c r="I17723"/>
      <c r="K17723"/>
      <c r="O17723"/>
      <c r="R17723"/>
      <c r="W17723" s="4"/>
      <c r="X17723" s="4"/>
      <c r="Y17723" s="4"/>
    </row>
    <row r="17724" spans="5:25">
      <c r="E17724"/>
      <c r="G17724"/>
      <c r="H17724"/>
      <c r="I17724"/>
      <c r="K17724"/>
      <c r="O17724"/>
      <c r="R17724"/>
      <c r="W17724" s="4"/>
      <c r="X17724" s="4"/>
      <c r="Y17724" s="4"/>
    </row>
    <row r="17725" spans="5:25">
      <c r="E17725"/>
      <c r="G17725"/>
      <c r="H17725"/>
      <c r="I17725"/>
      <c r="K17725"/>
      <c r="O17725"/>
      <c r="R17725"/>
      <c r="W17725" s="4"/>
      <c r="X17725" s="4"/>
      <c r="Y17725" s="4"/>
    </row>
    <row r="17726" spans="5:25">
      <c r="E17726"/>
      <c r="G17726"/>
      <c r="H17726"/>
      <c r="I17726"/>
      <c r="K17726"/>
      <c r="O17726"/>
      <c r="R17726"/>
      <c r="W17726" s="4"/>
      <c r="X17726" s="4"/>
      <c r="Y17726" s="4"/>
    </row>
    <row r="17727" spans="5:25">
      <c r="E17727"/>
      <c r="G17727"/>
      <c r="H17727"/>
      <c r="I17727"/>
      <c r="K17727"/>
      <c r="O17727"/>
      <c r="R17727"/>
      <c r="W17727" s="4"/>
      <c r="X17727" s="4"/>
      <c r="Y17727" s="4"/>
    </row>
    <row r="17728" spans="5:25">
      <c r="E17728"/>
      <c r="G17728"/>
      <c r="H17728"/>
      <c r="I17728"/>
      <c r="K17728"/>
      <c r="O17728"/>
      <c r="R17728"/>
      <c r="W17728" s="4"/>
      <c r="X17728" s="4"/>
      <c r="Y17728" s="4"/>
    </row>
    <row r="17729" spans="5:25">
      <c r="E17729"/>
      <c r="G17729"/>
      <c r="H17729"/>
      <c r="I17729"/>
      <c r="K17729"/>
      <c r="O17729"/>
      <c r="R17729"/>
      <c r="W17729" s="4"/>
      <c r="X17729" s="4"/>
      <c r="Y17729" s="4"/>
    </row>
    <row r="17730" spans="5:25">
      <c r="E17730"/>
      <c r="G17730"/>
      <c r="H17730"/>
      <c r="I17730"/>
      <c r="K17730"/>
      <c r="O17730"/>
      <c r="R17730"/>
      <c r="W17730" s="4"/>
      <c r="X17730" s="4"/>
      <c r="Y17730" s="4"/>
    </row>
    <row r="17731" spans="5:25">
      <c r="E17731"/>
      <c r="G17731"/>
      <c r="H17731"/>
      <c r="I17731"/>
      <c r="K17731"/>
      <c r="O17731"/>
      <c r="R17731"/>
      <c r="W17731" s="4"/>
      <c r="X17731" s="4"/>
      <c r="Y17731" s="4"/>
    </row>
    <row r="17732" spans="5:25">
      <c r="E17732"/>
      <c r="G17732"/>
      <c r="H17732"/>
      <c r="I17732"/>
      <c r="K17732"/>
      <c r="O17732"/>
      <c r="R17732"/>
      <c r="W17732" s="4"/>
      <c r="X17732" s="4"/>
      <c r="Y17732" s="4"/>
    </row>
    <row r="17733" spans="5:25">
      <c r="E17733"/>
      <c r="G17733"/>
      <c r="H17733"/>
      <c r="I17733"/>
      <c r="K17733"/>
      <c r="O17733"/>
      <c r="R17733"/>
      <c r="W17733" s="4"/>
      <c r="X17733" s="4"/>
      <c r="Y17733" s="4"/>
    </row>
    <row r="17734" spans="5:25">
      <c r="E17734"/>
      <c r="G17734"/>
      <c r="H17734"/>
      <c r="I17734"/>
      <c r="K17734"/>
      <c r="O17734"/>
      <c r="R17734"/>
      <c r="W17734" s="4"/>
      <c r="X17734" s="4"/>
      <c r="Y17734" s="4"/>
    </row>
    <row r="17735" spans="5:25">
      <c r="E17735"/>
      <c r="G17735"/>
      <c r="H17735"/>
      <c r="I17735"/>
      <c r="K17735"/>
      <c r="O17735"/>
      <c r="R17735"/>
      <c r="W17735" s="4"/>
      <c r="X17735" s="4"/>
      <c r="Y17735" s="4"/>
    </row>
    <row r="17736" spans="5:25">
      <c r="E17736"/>
      <c r="G17736"/>
      <c r="H17736"/>
      <c r="I17736"/>
      <c r="K17736"/>
      <c r="O17736"/>
      <c r="R17736"/>
      <c r="W17736" s="4"/>
      <c r="X17736" s="4"/>
      <c r="Y17736" s="4"/>
    </row>
    <row r="17737" spans="5:25">
      <c r="E17737"/>
      <c r="G17737"/>
      <c r="H17737"/>
      <c r="I17737"/>
      <c r="K17737"/>
      <c r="O17737"/>
      <c r="R17737"/>
      <c r="W17737" s="4"/>
      <c r="X17737" s="4"/>
      <c r="Y17737" s="4"/>
    </row>
    <row r="17738" spans="5:25">
      <c r="E17738"/>
      <c r="G17738"/>
      <c r="H17738"/>
      <c r="I17738"/>
      <c r="K17738"/>
      <c r="O17738"/>
      <c r="R17738"/>
      <c r="W17738" s="4"/>
      <c r="X17738" s="4"/>
      <c r="Y17738" s="4"/>
    </row>
    <row r="17739" spans="5:25">
      <c r="E17739"/>
      <c r="G17739"/>
      <c r="H17739"/>
      <c r="I17739"/>
      <c r="K17739"/>
      <c r="O17739"/>
      <c r="R17739"/>
      <c r="W17739" s="4"/>
      <c r="X17739" s="4"/>
      <c r="Y17739" s="4"/>
    </row>
    <row r="17740" spans="5:25">
      <c r="E17740"/>
      <c r="G17740"/>
      <c r="H17740"/>
      <c r="I17740"/>
      <c r="K17740"/>
      <c r="O17740"/>
      <c r="R17740"/>
      <c r="W17740" s="4"/>
      <c r="X17740" s="4"/>
      <c r="Y17740" s="4"/>
    </row>
    <row r="17741" spans="5:25">
      <c r="E17741"/>
      <c r="G17741"/>
      <c r="H17741"/>
      <c r="I17741"/>
      <c r="K17741"/>
      <c r="O17741"/>
      <c r="R17741"/>
      <c r="W17741" s="4"/>
      <c r="X17741" s="4"/>
      <c r="Y17741" s="4"/>
    </row>
    <row r="17742" spans="5:25">
      <c r="E17742"/>
      <c r="G17742"/>
      <c r="H17742"/>
      <c r="I17742"/>
      <c r="K17742"/>
      <c r="O17742"/>
      <c r="R17742"/>
      <c r="W17742" s="4"/>
      <c r="X17742" s="4"/>
      <c r="Y17742" s="4"/>
    </row>
    <row r="17743" spans="5:25">
      <c r="E17743"/>
      <c r="G17743"/>
      <c r="H17743"/>
      <c r="I17743"/>
      <c r="K17743"/>
      <c r="O17743"/>
      <c r="R17743"/>
      <c r="W17743" s="4"/>
      <c r="X17743" s="4"/>
      <c r="Y17743" s="4"/>
    </row>
    <row r="17744" spans="5:25">
      <c r="E17744"/>
      <c r="G17744"/>
      <c r="H17744"/>
      <c r="I17744"/>
      <c r="K17744"/>
      <c r="O17744"/>
      <c r="R17744"/>
      <c r="W17744" s="4"/>
      <c r="X17744" s="4"/>
      <c r="Y17744" s="4"/>
    </row>
    <row r="17745" spans="5:25">
      <c r="E17745"/>
      <c r="G17745"/>
      <c r="H17745"/>
      <c r="I17745"/>
      <c r="K17745"/>
      <c r="O17745"/>
      <c r="R17745"/>
      <c r="W17745" s="4"/>
      <c r="X17745" s="4"/>
      <c r="Y17745" s="4"/>
    </row>
    <row r="17746" spans="5:25">
      <c r="E17746"/>
      <c r="G17746"/>
      <c r="H17746"/>
      <c r="I17746"/>
      <c r="K17746"/>
      <c r="O17746"/>
      <c r="R17746"/>
      <c r="W17746" s="4"/>
      <c r="X17746" s="4"/>
      <c r="Y17746" s="4"/>
    </row>
    <row r="17747" spans="5:25">
      <c r="E17747"/>
      <c r="G17747"/>
      <c r="H17747"/>
      <c r="I17747"/>
      <c r="K17747"/>
      <c r="O17747"/>
      <c r="R17747"/>
      <c r="W17747" s="4"/>
      <c r="X17747" s="4"/>
      <c r="Y17747" s="4"/>
    </row>
    <row r="17748" spans="5:25">
      <c r="E17748"/>
      <c r="G17748"/>
      <c r="H17748"/>
      <c r="I17748"/>
      <c r="K17748"/>
      <c r="O17748"/>
      <c r="R17748"/>
      <c r="W17748" s="4"/>
      <c r="X17748" s="4"/>
      <c r="Y17748" s="4"/>
    </row>
    <row r="17749" spans="5:25">
      <c r="E17749"/>
      <c r="G17749"/>
      <c r="H17749"/>
      <c r="I17749"/>
      <c r="K17749"/>
      <c r="O17749"/>
      <c r="R17749"/>
      <c r="W17749" s="4"/>
      <c r="X17749" s="4"/>
      <c r="Y17749" s="4"/>
    </row>
    <row r="17750" spans="5:25">
      <c r="E17750"/>
      <c r="G17750"/>
      <c r="H17750"/>
      <c r="I17750"/>
      <c r="K17750"/>
      <c r="O17750"/>
      <c r="R17750"/>
      <c r="W17750" s="4"/>
      <c r="X17750" s="4"/>
      <c r="Y17750" s="4"/>
    </row>
    <row r="17751" spans="5:25">
      <c r="E17751"/>
      <c r="G17751"/>
      <c r="H17751"/>
      <c r="I17751"/>
      <c r="K17751"/>
      <c r="O17751"/>
      <c r="R17751"/>
      <c r="W17751" s="4"/>
      <c r="X17751" s="4"/>
      <c r="Y17751" s="4"/>
    </row>
    <row r="17752" spans="5:25">
      <c r="E17752"/>
      <c r="G17752"/>
      <c r="H17752"/>
      <c r="I17752"/>
      <c r="K17752"/>
      <c r="O17752"/>
      <c r="R17752"/>
      <c r="W17752" s="4"/>
      <c r="X17752" s="4"/>
      <c r="Y17752" s="4"/>
    </row>
    <row r="17753" spans="5:25">
      <c r="E17753"/>
      <c r="G17753"/>
      <c r="H17753"/>
      <c r="I17753"/>
      <c r="K17753"/>
      <c r="O17753"/>
      <c r="R17753"/>
      <c r="W17753" s="4"/>
      <c r="X17753" s="4"/>
      <c r="Y17753" s="4"/>
    </row>
    <row r="17754" spans="5:25">
      <c r="E17754"/>
      <c r="G17754"/>
      <c r="H17754"/>
      <c r="I17754"/>
      <c r="K17754"/>
      <c r="O17754"/>
      <c r="R17754"/>
      <c r="W17754" s="4"/>
      <c r="X17754" s="4"/>
      <c r="Y17754" s="4"/>
    </row>
    <row r="17755" spans="5:25">
      <c r="E17755"/>
      <c r="G17755"/>
      <c r="H17755"/>
      <c r="I17755"/>
      <c r="K17755"/>
      <c r="O17755"/>
      <c r="R17755"/>
      <c r="W17755" s="4"/>
      <c r="X17755" s="4"/>
      <c r="Y17755" s="4"/>
    </row>
    <row r="17756" spans="5:25">
      <c r="E17756"/>
      <c r="G17756"/>
      <c r="H17756"/>
      <c r="I17756"/>
      <c r="K17756"/>
      <c r="O17756"/>
      <c r="R17756"/>
      <c r="W17756" s="4"/>
      <c r="X17756" s="4"/>
      <c r="Y17756" s="4"/>
    </row>
    <row r="17757" spans="5:25">
      <c r="E17757"/>
      <c r="G17757"/>
      <c r="H17757"/>
      <c r="I17757"/>
      <c r="K17757"/>
      <c r="O17757"/>
      <c r="R17757"/>
      <c r="W17757" s="4"/>
      <c r="X17757" s="4"/>
      <c r="Y17757" s="4"/>
    </row>
    <row r="17758" spans="5:25">
      <c r="E17758"/>
      <c r="G17758"/>
      <c r="H17758"/>
      <c r="I17758"/>
      <c r="K17758"/>
      <c r="O17758"/>
      <c r="R17758"/>
      <c r="W17758" s="4"/>
      <c r="X17758" s="4"/>
      <c r="Y17758" s="4"/>
    </row>
    <row r="17759" spans="5:25">
      <c r="E17759"/>
      <c r="G17759"/>
      <c r="H17759"/>
      <c r="I17759"/>
      <c r="K17759"/>
      <c r="O17759"/>
      <c r="R17759"/>
      <c r="W17759" s="4"/>
      <c r="X17759" s="4"/>
      <c r="Y17759" s="4"/>
    </row>
    <row r="17760" spans="5:25">
      <c r="E17760"/>
      <c r="G17760"/>
      <c r="H17760"/>
      <c r="I17760"/>
      <c r="K17760"/>
      <c r="O17760"/>
      <c r="R17760"/>
      <c r="W17760" s="4"/>
      <c r="X17760" s="4"/>
      <c r="Y17760" s="4"/>
    </row>
    <row r="17761" spans="5:25">
      <c r="E17761"/>
      <c r="G17761"/>
      <c r="H17761"/>
      <c r="I17761"/>
      <c r="K17761"/>
      <c r="O17761"/>
      <c r="R17761"/>
      <c r="W17761" s="4"/>
      <c r="X17761" s="4"/>
      <c r="Y17761" s="4"/>
    </row>
    <row r="17762" spans="5:25">
      <c r="E17762"/>
      <c r="G17762"/>
      <c r="H17762"/>
      <c r="I17762"/>
      <c r="K17762"/>
      <c r="O17762"/>
      <c r="R17762"/>
      <c r="W17762" s="4"/>
      <c r="X17762" s="4"/>
      <c r="Y17762" s="4"/>
    </row>
    <row r="17763" spans="5:25">
      <c r="E17763"/>
      <c r="G17763"/>
      <c r="H17763"/>
      <c r="I17763"/>
      <c r="K17763"/>
      <c r="O17763"/>
      <c r="R17763"/>
      <c r="W17763" s="4"/>
      <c r="X17763" s="4"/>
      <c r="Y17763" s="4"/>
    </row>
    <row r="17764" spans="5:25">
      <c r="E17764"/>
      <c r="G17764"/>
      <c r="H17764"/>
      <c r="I17764"/>
      <c r="K17764"/>
      <c r="O17764"/>
      <c r="R17764"/>
      <c r="W17764" s="4"/>
      <c r="X17764" s="4"/>
      <c r="Y17764" s="4"/>
    </row>
    <row r="17765" spans="5:25">
      <c r="E17765"/>
      <c r="G17765"/>
      <c r="H17765"/>
      <c r="I17765"/>
      <c r="K17765"/>
      <c r="O17765"/>
      <c r="R17765"/>
      <c r="W17765" s="4"/>
      <c r="X17765" s="4"/>
      <c r="Y17765" s="4"/>
    </row>
    <row r="17766" spans="5:25">
      <c r="E17766"/>
      <c r="G17766"/>
      <c r="H17766"/>
      <c r="I17766"/>
      <c r="K17766"/>
      <c r="O17766"/>
      <c r="R17766"/>
      <c r="W17766" s="4"/>
      <c r="X17766" s="4"/>
      <c r="Y17766" s="4"/>
    </row>
    <row r="17767" spans="5:25">
      <c r="E17767"/>
      <c r="G17767"/>
      <c r="H17767"/>
      <c r="I17767"/>
      <c r="K17767"/>
      <c r="O17767"/>
      <c r="R17767"/>
      <c r="W17767" s="4"/>
      <c r="X17767" s="4"/>
      <c r="Y17767" s="4"/>
    </row>
    <row r="17768" spans="5:25">
      <c r="E17768"/>
      <c r="G17768"/>
      <c r="H17768"/>
      <c r="I17768"/>
      <c r="K17768"/>
      <c r="O17768"/>
      <c r="R17768"/>
      <c r="W17768" s="4"/>
      <c r="X17768" s="4"/>
      <c r="Y17768" s="4"/>
    </row>
    <row r="17769" spans="5:25">
      <c r="E17769"/>
      <c r="G17769"/>
      <c r="H17769"/>
      <c r="I17769"/>
      <c r="K17769"/>
      <c r="O17769"/>
      <c r="R17769"/>
      <c r="W17769" s="4"/>
      <c r="X17769" s="4"/>
      <c r="Y17769" s="4"/>
    </row>
    <row r="17770" spans="5:25">
      <c r="E17770"/>
      <c r="G17770"/>
      <c r="H17770"/>
      <c r="I17770"/>
      <c r="K17770"/>
      <c r="O17770"/>
      <c r="R17770"/>
      <c r="W17770" s="4"/>
      <c r="X17770" s="4"/>
      <c r="Y17770" s="4"/>
    </row>
    <row r="17771" spans="5:25">
      <c r="E17771"/>
      <c r="G17771"/>
      <c r="H17771"/>
      <c r="I17771"/>
      <c r="K17771"/>
      <c r="O17771"/>
      <c r="R17771"/>
      <c r="W17771" s="4"/>
      <c r="X17771" s="4"/>
      <c r="Y17771" s="4"/>
    </row>
    <row r="17772" spans="5:25">
      <c r="E17772"/>
      <c r="G17772"/>
      <c r="H17772"/>
      <c r="I17772"/>
      <c r="K17772"/>
      <c r="O17772"/>
      <c r="R17772"/>
      <c r="W17772" s="4"/>
      <c r="X17772" s="4"/>
      <c r="Y17772" s="4"/>
    </row>
    <row r="17773" spans="5:25">
      <c r="E17773"/>
      <c r="G17773"/>
      <c r="H17773"/>
      <c r="I17773"/>
      <c r="K17773"/>
      <c r="O17773"/>
      <c r="R17773"/>
      <c r="W17773" s="4"/>
      <c r="X17773" s="4"/>
      <c r="Y17773" s="4"/>
    </row>
    <row r="17774" spans="5:25">
      <c r="E17774"/>
      <c r="G17774"/>
      <c r="H17774"/>
      <c r="I17774"/>
      <c r="K17774"/>
      <c r="O17774"/>
      <c r="R17774"/>
      <c r="W17774" s="4"/>
      <c r="X17774" s="4"/>
      <c r="Y17774" s="4"/>
    </row>
    <row r="17775" spans="5:25">
      <c r="E17775"/>
      <c r="G17775"/>
      <c r="H17775"/>
      <c r="I17775"/>
      <c r="K17775"/>
      <c r="O17775"/>
      <c r="R17775"/>
      <c r="W17775" s="4"/>
      <c r="X17775" s="4"/>
      <c r="Y17775" s="4"/>
    </row>
    <row r="17776" spans="5:25">
      <c r="E17776"/>
      <c r="G17776"/>
      <c r="H17776"/>
      <c r="I17776"/>
      <c r="K17776"/>
      <c r="O17776"/>
      <c r="R17776"/>
      <c r="W17776" s="4"/>
      <c r="X17776" s="4"/>
      <c r="Y17776" s="4"/>
    </row>
    <row r="17777" spans="5:25">
      <c r="E17777"/>
      <c r="G17777"/>
      <c r="H17777"/>
      <c r="I17777"/>
      <c r="K17777"/>
      <c r="O17777"/>
      <c r="R17777"/>
      <c r="W17777" s="4"/>
      <c r="X17777" s="4"/>
      <c r="Y17777" s="4"/>
    </row>
    <row r="17778" spans="5:25">
      <c r="E17778"/>
      <c r="G17778"/>
      <c r="H17778"/>
      <c r="I17778"/>
      <c r="K17778"/>
      <c r="O17778"/>
      <c r="R17778"/>
      <c r="W17778" s="4"/>
      <c r="X17778" s="4"/>
      <c r="Y17778" s="4"/>
    </row>
    <row r="17779" spans="5:25">
      <c r="E17779"/>
      <c r="G17779"/>
      <c r="H17779"/>
      <c r="I17779"/>
      <c r="K17779"/>
      <c r="O17779"/>
      <c r="R17779"/>
      <c r="W17779" s="4"/>
      <c r="X17779" s="4"/>
      <c r="Y17779" s="4"/>
    </row>
    <row r="17780" spans="5:25">
      <c r="E17780"/>
      <c r="G17780"/>
      <c r="H17780"/>
      <c r="I17780"/>
      <c r="K17780"/>
      <c r="O17780"/>
      <c r="R17780"/>
      <c r="W17780" s="4"/>
      <c r="X17780" s="4"/>
      <c r="Y17780" s="4"/>
    </row>
    <row r="17781" spans="5:25">
      <c r="E17781"/>
      <c r="G17781"/>
      <c r="H17781"/>
      <c r="I17781"/>
      <c r="K17781"/>
      <c r="O17781"/>
      <c r="R17781"/>
      <c r="W17781" s="4"/>
      <c r="X17781" s="4"/>
      <c r="Y17781" s="4"/>
    </row>
    <row r="17782" spans="5:25">
      <c r="E17782"/>
      <c r="G17782"/>
      <c r="H17782"/>
      <c r="I17782"/>
      <c r="K17782"/>
      <c r="O17782"/>
      <c r="R17782"/>
      <c r="W17782" s="4"/>
      <c r="X17782" s="4"/>
      <c r="Y17782" s="4"/>
    </row>
    <row r="17783" spans="5:25">
      <c r="E17783"/>
      <c r="G17783"/>
      <c r="H17783"/>
      <c r="I17783"/>
      <c r="K17783"/>
      <c r="O17783"/>
      <c r="R17783"/>
      <c r="W17783" s="4"/>
      <c r="X17783" s="4"/>
      <c r="Y17783" s="4"/>
    </row>
    <row r="17784" spans="5:25">
      <c r="E17784"/>
      <c r="G17784"/>
      <c r="H17784"/>
      <c r="I17784"/>
      <c r="K17784"/>
      <c r="O17784"/>
      <c r="R17784"/>
      <c r="W17784" s="4"/>
      <c r="X17784" s="4"/>
      <c r="Y17784" s="4"/>
    </row>
    <row r="17785" spans="5:25">
      <c r="E17785"/>
      <c r="G17785"/>
      <c r="H17785"/>
      <c r="I17785"/>
      <c r="K17785"/>
      <c r="O17785"/>
      <c r="R17785"/>
      <c r="W17785" s="4"/>
      <c r="X17785" s="4"/>
      <c r="Y17785" s="4"/>
    </row>
    <row r="17786" spans="5:25">
      <c r="E17786"/>
      <c r="G17786"/>
      <c r="H17786"/>
      <c r="I17786"/>
      <c r="K17786"/>
      <c r="O17786"/>
      <c r="R17786"/>
      <c r="W17786" s="4"/>
      <c r="X17786" s="4"/>
      <c r="Y17786" s="4"/>
    </row>
    <row r="17787" spans="5:25">
      <c r="E17787"/>
      <c r="G17787"/>
      <c r="H17787"/>
      <c r="I17787"/>
      <c r="K17787"/>
      <c r="O17787"/>
      <c r="R17787"/>
      <c r="W17787" s="4"/>
      <c r="X17787" s="4"/>
      <c r="Y17787" s="4"/>
    </row>
    <row r="17788" spans="5:25">
      <c r="E17788"/>
      <c r="G17788"/>
      <c r="H17788"/>
      <c r="I17788"/>
      <c r="K17788"/>
      <c r="O17788"/>
      <c r="R17788"/>
      <c r="W17788" s="4"/>
      <c r="X17788" s="4"/>
      <c r="Y17788" s="4"/>
    </row>
    <row r="17789" spans="5:25">
      <c r="E17789"/>
      <c r="G17789"/>
      <c r="H17789"/>
      <c r="I17789"/>
      <c r="K17789"/>
      <c r="O17789"/>
      <c r="R17789"/>
      <c r="W17789" s="4"/>
      <c r="X17789" s="4"/>
      <c r="Y17789" s="4"/>
    </row>
    <row r="17790" spans="5:25">
      <c r="E17790"/>
      <c r="G17790"/>
      <c r="H17790"/>
      <c r="I17790"/>
      <c r="K17790"/>
      <c r="O17790"/>
      <c r="R17790"/>
      <c r="W17790" s="4"/>
      <c r="X17790" s="4"/>
      <c r="Y17790" s="4"/>
    </row>
    <row r="17791" spans="5:25">
      <c r="E17791"/>
      <c r="G17791"/>
      <c r="H17791"/>
      <c r="I17791"/>
      <c r="K17791"/>
      <c r="O17791"/>
      <c r="R17791"/>
      <c r="W17791" s="4"/>
      <c r="X17791" s="4"/>
      <c r="Y17791" s="4"/>
    </row>
    <row r="17792" spans="5:25">
      <c r="E17792"/>
      <c r="G17792"/>
      <c r="H17792"/>
      <c r="I17792"/>
      <c r="K17792"/>
      <c r="O17792"/>
      <c r="R17792"/>
      <c r="W17792" s="4"/>
      <c r="X17792" s="4"/>
      <c r="Y17792" s="4"/>
    </row>
    <row r="17793" spans="5:25">
      <c r="E17793"/>
      <c r="G17793"/>
      <c r="H17793"/>
      <c r="I17793"/>
      <c r="K17793"/>
      <c r="O17793"/>
      <c r="R17793"/>
      <c r="W17793" s="4"/>
      <c r="X17793" s="4"/>
      <c r="Y17793" s="4"/>
    </row>
    <row r="17794" spans="5:25">
      <c r="E17794"/>
      <c r="G17794"/>
      <c r="H17794"/>
      <c r="I17794"/>
      <c r="K17794"/>
      <c r="O17794"/>
      <c r="R17794"/>
      <c r="W17794" s="4"/>
      <c r="X17794" s="4"/>
      <c r="Y17794" s="4"/>
    </row>
    <row r="17795" spans="5:25">
      <c r="E17795"/>
      <c r="G17795"/>
      <c r="H17795"/>
      <c r="I17795"/>
      <c r="K17795"/>
      <c r="O17795"/>
      <c r="R17795"/>
      <c r="W17795" s="4"/>
      <c r="X17795" s="4"/>
      <c r="Y17795" s="4"/>
    </row>
    <row r="17796" spans="5:25">
      <c r="E17796"/>
      <c r="G17796"/>
      <c r="H17796"/>
      <c r="I17796"/>
      <c r="K17796"/>
      <c r="O17796"/>
      <c r="R17796"/>
      <c r="W17796" s="4"/>
      <c r="X17796" s="4"/>
      <c r="Y17796" s="4"/>
    </row>
    <row r="17797" spans="5:25">
      <c r="E17797"/>
      <c r="G17797"/>
      <c r="H17797"/>
      <c r="I17797"/>
      <c r="K17797"/>
      <c r="O17797"/>
      <c r="R17797"/>
      <c r="W17797" s="4"/>
      <c r="X17797" s="4"/>
      <c r="Y17797" s="4"/>
    </row>
    <row r="17798" spans="5:25">
      <c r="E17798"/>
      <c r="G17798"/>
      <c r="H17798"/>
      <c r="I17798"/>
      <c r="K17798"/>
      <c r="O17798"/>
      <c r="R17798"/>
      <c r="W17798" s="4"/>
      <c r="X17798" s="4"/>
      <c r="Y17798" s="4"/>
    </row>
    <row r="17799" spans="5:25">
      <c r="E17799"/>
      <c r="G17799"/>
      <c r="H17799"/>
      <c r="I17799"/>
      <c r="K17799"/>
      <c r="O17799"/>
      <c r="R17799"/>
      <c r="W17799" s="4"/>
      <c r="X17799" s="4"/>
      <c r="Y17799" s="4"/>
    </row>
    <row r="17800" spans="5:25">
      <c r="E17800"/>
      <c r="G17800"/>
      <c r="H17800"/>
      <c r="I17800"/>
      <c r="K17800"/>
      <c r="O17800"/>
      <c r="R17800"/>
      <c r="W17800" s="4"/>
      <c r="X17800" s="4"/>
      <c r="Y17800" s="4"/>
    </row>
    <row r="17801" spans="5:25">
      <c r="E17801"/>
      <c r="G17801"/>
      <c r="H17801"/>
      <c r="I17801"/>
      <c r="K17801"/>
      <c r="O17801"/>
      <c r="R17801"/>
      <c r="W17801" s="4"/>
      <c r="X17801" s="4"/>
      <c r="Y17801" s="4"/>
    </row>
    <row r="17802" spans="5:25">
      <c r="E17802"/>
      <c r="G17802"/>
      <c r="H17802"/>
      <c r="I17802"/>
      <c r="K17802"/>
      <c r="O17802"/>
      <c r="R17802"/>
      <c r="W17802" s="4"/>
      <c r="X17802" s="4"/>
      <c r="Y17802" s="4"/>
    </row>
    <row r="17803" spans="5:25">
      <c r="E17803"/>
      <c r="G17803"/>
      <c r="H17803"/>
      <c r="I17803"/>
      <c r="K17803"/>
      <c r="O17803"/>
      <c r="R17803"/>
      <c r="W17803" s="4"/>
      <c r="X17803" s="4"/>
      <c r="Y17803" s="4"/>
    </row>
    <row r="17804" spans="5:25">
      <c r="E17804"/>
      <c r="G17804"/>
      <c r="H17804"/>
      <c r="I17804"/>
      <c r="K17804"/>
      <c r="O17804"/>
      <c r="R17804"/>
      <c r="W17804" s="4"/>
      <c r="X17804" s="4"/>
      <c r="Y17804" s="4"/>
    </row>
    <row r="17805" spans="5:25">
      <c r="E17805"/>
      <c r="G17805"/>
      <c r="H17805"/>
      <c r="I17805"/>
      <c r="K17805"/>
      <c r="O17805"/>
      <c r="R17805"/>
      <c r="W17805" s="4"/>
      <c r="X17805" s="4"/>
      <c r="Y17805" s="4"/>
    </row>
    <row r="17806" spans="5:25">
      <c r="E17806"/>
      <c r="G17806"/>
      <c r="H17806"/>
      <c r="I17806"/>
      <c r="K17806"/>
      <c r="O17806"/>
      <c r="R17806"/>
      <c r="W17806" s="4"/>
      <c r="X17806" s="4"/>
      <c r="Y17806" s="4"/>
    </row>
    <row r="17807" spans="5:25">
      <c r="E17807"/>
      <c r="G17807"/>
      <c r="H17807"/>
      <c r="I17807"/>
      <c r="K17807"/>
      <c r="O17807"/>
      <c r="R17807"/>
      <c r="W17807" s="4"/>
      <c r="X17807" s="4"/>
      <c r="Y17807" s="4"/>
    </row>
    <row r="17808" spans="5:25">
      <c r="E17808"/>
      <c r="G17808"/>
      <c r="H17808"/>
      <c r="I17808"/>
      <c r="K17808"/>
      <c r="O17808"/>
      <c r="R17808"/>
      <c r="W17808" s="4"/>
      <c r="X17808" s="4"/>
      <c r="Y17808" s="4"/>
    </row>
    <row r="17809" spans="5:25">
      <c r="E17809"/>
      <c r="G17809"/>
      <c r="H17809"/>
      <c r="I17809"/>
      <c r="K17809"/>
      <c r="O17809"/>
      <c r="R17809"/>
      <c r="W17809" s="4"/>
      <c r="X17809" s="4"/>
      <c r="Y17809" s="4"/>
    </row>
    <row r="17810" spans="5:25">
      <c r="E17810"/>
      <c r="G17810"/>
      <c r="H17810"/>
      <c r="I17810"/>
      <c r="K17810"/>
      <c r="O17810"/>
      <c r="R17810"/>
      <c r="W17810" s="4"/>
      <c r="X17810" s="4"/>
      <c r="Y17810" s="4"/>
    </row>
    <row r="17811" spans="5:25">
      <c r="E17811"/>
      <c r="G17811"/>
      <c r="H17811"/>
      <c r="I17811"/>
      <c r="K17811"/>
      <c r="O17811"/>
      <c r="R17811"/>
      <c r="W17811" s="4"/>
      <c r="X17811" s="4"/>
      <c r="Y17811" s="4"/>
    </row>
    <row r="17812" spans="5:25">
      <c r="E17812"/>
      <c r="G17812"/>
      <c r="H17812"/>
      <c r="I17812"/>
      <c r="K17812"/>
      <c r="O17812"/>
      <c r="R17812"/>
      <c r="W17812" s="4"/>
      <c r="X17812" s="4"/>
      <c r="Y17812" s="4"/>
    </row>
    <row r="17813" spans="5:25">
      <c r="E17813"/>
      <c r="G17813"/>
      <c r="H17813"/>
      <c r="I17813"/>
      <c r="K17813"/>
      <c r="O17813"/>
      <c r="R17813"/>
      <c r="W17813" s="4"/>
      <c r="X17813" s="4"/>
      <c r="Y17813" s="4"/>
    </row>
    <row r="17814" spans="5:25">
      <c r="E17814"/>
      <c r="G17814"/>
      <c r="H17814"/>
      <c r="I17814"/>
      <c r="K17814"/>
      <c r="O17814"/>
      <c r="R17814"/>
      <c r="W17814" s="4"/>
      <c r="X17814" s="4"/>
      <c r="Y17814" s="4"/>
    </row>
    <row r="17815" spans="5:25">
      <c r="E17815"/>
      <c r="G17815"/>
      <c r="H17815"/>
      <c r="I17815"/>
      <c r="K17815"/>
      <c r="O17815"/>
      <c r="R17815"/>
      <c r="W17815" s="4"/>
      <c r="X17815" s="4"/>
      <c r="Y17815" s="4"/>
    </row>
    <row r="17816" spans="5:25">
      <c r="E17816"/>
      <c r="G17816"/>
      <c r="H17816"/>
      <c r="I17816"/>
      <c r="K17816"/>
      <c r="O17816"/>
      <c r="R17816"/>
      <c r="W17816" s="4"/>
      <c r="X17816" s="4"/>
      <c r="Y17816" s="4"/>
    </row>
    <row r="17817" spans="5:25">
      <c r="E17817"/>
      <c r="G17817"/>
      <c r="H17817"/>
      <c r="I17817"/>
      <c r="K17817"/>
      <c r="O17817"/>
      <c r="R17817"/>
      <c r="W17817" s="4"/>
      <c r="X17817" s="4"/>
      <c r="Y17817" s="4"/>
    </row>
    <row r="17818" spans="5:25">
      <c r="E17818"/>
      <c r="G17818"/>
      <c r="H17818"/>
      <c r="I17818"/>
      <c r="K17818"/>
      <c r="O17818"/>
      <c r="R17818"/>
      <c r="W17818" s="4"/>
      <c r="X17818" s="4"/>
      <c r="Y17818" s="4"/>
    </row>
    <row r="17819" spans="5:25">
      <c r="E17819"/>
      <c r="G17819"/>
      <c r="H17819"/>
      <c r="I17819"/>
      <c r="K17819"/>
      <c r="O17819"/>
      <c r="R17819"/>
      <c r="W17819" s="4"/>
      <c r="X17819" s="4"/>
      <c r="Y17819" s="4"/>
    </row>
    <row r="17820" spans="5:25">
      <c r="E17820"/>
      <c r="G17820"/>
      <c r="H17820"/>
      <c r="I17820"/>
      <c r="K17820"/>
      <c r="O17820"/>
      <c r="R17820"/>
      <c r="W17820" s="4"/>
      <c r="X17820" s="4"/>
      <c r="Y17820" s="4"/>
    </row>
    <row r="17821" spans="5:25">
      <c r="E17821"/>
      <c r="G17821"/>
      <c r="H17821"/>
      <c r="I17821"/>
      <c r="K17821"/>
      <c r="O17821"/>
      <c r="R17821"/>
      <c r="W17821" s="4"/>
      <c r="X17821" s="4"/>
      <c r="Y17821" s="4"/>
    </row>
    <row r="17822" spans="5:25">
      <c r="E17822"/>
      <c r="G17822"/>
      <c r="H17822"/>
      <c r="I17822"/>
      <c r="K17822"/>
      <c r="O17822"/>
      <c r="R17822"/>
      <c r="W17822" s="4"/>
      <c r="X17822" s="4"/>
      <c r="Y17822" s="4"/>
    </row>
    <row r="17823" spans="5:25">
      <c r="E17823"/>
      <c r="G17823"/>
      <c r="H17823"/>
      <c r="I17823"/>
      <c r="K17823"/>
      <c r="O17823"/>
      <c r="R17823"/>
      <c r="W17823" s="4"/>
      <c r="X17823" s="4"/>
      <c r="Y17823" s="4"/>
    </row>
    <row r="17824" spans="5:25">
      <c r="E17824"/>
      <c r="G17824"/>
      <c r="H17824"/>
      <c r="I17824"/>
      <c r="K17824"/>
      <c r="O17824"/>
      <c r="R17824"/>
      <c r="W17824" s="4"/>
      <c r="X17824" s="4"/>
      <c r="Y17824" s="4"/>
    </row>
    <row r="17825" spans="5:25">
      <c r="E17825"/>
      <c r="G17825"/>
      <c r="H17825"/>
      <c r="I17825"/>
      <c r="K17825"/>
      <c r="O17825"/>
      <c r="R17825"/>
      <c r="W17825" s="4"/>
      <c r="X17825" s="4"/>
      <c r="Y17825" s="4"/>
    </row>
    <row r="17826" spans="5:25">
      <c r="E17826"/>
      <c r="G17826"/>
      <c r="H17826"/>
      <c r="I17826"/>
      <c r="K17826"/>
      <c r="O17826"/>
      <c r="R17826"/>
      <c r="W17826" s="4"/>
      <c r="X17826" s="4"/>
      <c r="Y17826" s="4"/>
    </row>
    <row r="17827" spans="5:25">
      <c r="E17827"/>
      <c r="G17827"/>
      <c r="H17827"/>
      <c r="I17827"/>
      <c r="K17827"/>
      <c r="O17827"/>
      <c r="R17827"/>
      <c r="W17827" s="4"/>
      <c r="X17827" s="4"/>
      <c r="Y17827" s="4"/>
    </row>
    <row r="17828" spans="5:25">
      <c r="E17828"/>
      <c r="G17828"/>
      <c r="H17828"/>
      <c r="I17828"/>
      <c r="K17828"/>
      <c r="O17828"/>
      <c r="R17828"/>
      <c r="W17828" s="4"/>
      <c r="X17828" s="4"/>
      <c r="Y17828" s="4"/>
    </row>
    <row r="17829" spans="5:25">
      <c r="E17829"/>
      <c r="G17829"/>
      <c r="H17829"/>
      <c r="I17829"/>
      <c r="K17829"/>
      <c r="O17829"/>
      <c r="R17829"/>
      <c r="W17829" s="4"/>
      <c r="X17829" s="4"/>
      <c r="Y17829" s="4"/>
    </row>
    <row r="17830" spans="5:25">
      <c r="E17830"/>
      <c r="G17830"/>
      <c r="H17830"/>
      <c r="I17830"/>
      <c r="K17830"/>
      <c r="O17830"/>
      <c r="R17830"/>
      <c r="W17830" s="4"/>
      <c r="X17830" s="4"/>
      <c r="Y17830" s="4"/>
    </row>
    <row r="17831" spans="5:25">
      <c r="E17831"/>
      <c r="G17831"/>
      <c r="H17831"/>
      <c r="I17831"/>
      <c r="K17831"/>
      <c r="O17831"/>
      <c r="R17831"/>
      <c r="W17831" s="4"/>
      <c r="X17831" s="4"/>
      <c r="Y17831" s="4"/>
    </row>
    <row r="17832" spans="5:25">
      <c r="E17832"/>
      <c r="G17832"/>
      <c r="H17832"/>
      <c r="I17832"/>
      <c r="K17832"/>
      <c r="O17832"/>
      <c r="R17832"/>
      <c r="W17832" s="4"/>
      <c r="X17832" s="4"/>
      <c r="Y17832" s="4"/>
    </row>
    <row r="17833" spans="5:25">
      <c r="E17833"/>
      <c r="G17833"/>
      <c r="H17833"/>
      <c r="I17833"/>
      <c r="K17833"/>
      <c r="O17833"/>
      <c r="R17833"/>
      <c r="W17833" s="4"/>
      <c r="X17833" s="4"/>
      <c r="Y17833" s="4"/>
    </row>
    <row r="17834" spans="5:25">
      <c r="E17834"/>
      <c r="G17834"/>
      <c r="H17834"/>
      <c r="I17834"/>
      <c r="K17834"/>
      <c r="O17834"/>
      <c r="R17834"/>
      <c r="W17834" s="4"/>
      <c r="X17834" s="4"/>
      <c r="Y17834" s="4"/>
    </row>
    <row r="17835" spans="5:25">
      <c r="E17835"/>
      <c r="G17835"/>
      <c r="H17835"/>
      <c r="I17835"/>
      <c r="K17835"/>
      <c r="O17835"/>
      <c r="R17835"/>
      <c r="W17835" s="4"/>
      <c r="X17835" s="4"/>
      <c r="Y17835" s="4"/>
    </row>
    <row r="17836" spans="5:25">
      <c r="E17836"/>
      <c r="G17836"/>
      <c r="H17836"/>
      <c r="I17836"/>
      <c r="K17836"/>
      <c r="O17836"/>
      <c r="R17836"/>
      <c r="W17836" s="4"/>
      <c r="X17836" s="4"/>
      <c r="Y17836" s="4"/>
    </row>
    <row r="17837" spans="5:25">
      <c r="E17837"/>
      <c r="G17837"/>
      <c r="H17837"/>
      <c r="I17837"/>
      <c r="K17837"/>
      <c r="O17837"/>
      <c r="R17837"/>
      <c r="W17837" s="4"/>
      <c r="X17837" s="4"/>
      <c r="Y17837" s="4"/>
    </row>
    <row r="17838" spans="5:25">
      <c r="E17838"/>
      <c r="G17838"/>
      <c r="H17838"/>
      <c r="I17838"/>
      <c r="K17838"/>
      <c r="O17838"/>
      <c r="R17838"/>
      <c r="W17838" s="4"/>
      <c r="X17838" s="4"/>
      <c r="Y17838" s="4"/>
    </row>
    <row r="17839" spans="5:25">
      <c r="E17839"/>
      <c r="G17839"/>
      <c r="H17839"/>
      <c r="I17839"/>
      <c r="K17839"/>
      <c r="O17839"/>
      <c r="R17839"/>
      <c r="W17839" s="4"/>
      <c r="X17839" s="4"/>
      <c r="Y17839" s="4"/>
    </row>
    <row r="17840" spans="5:25">
      <c r="E17840"/>
      <c r="G17840"/>
      <c r="H17840"/>
      <c r="I17840"/>
      <c r="K17840"/>
      <c r="O17840"/>
      <c r="R17840"/>
      <c r="W17840" s="4"/>
      <c r="X17840" s="4"/>
      <c r="Y17840" s="4"/>
    </row>
    <row r="17841" spans="5:25">
      <c r="E17841"/>
      <c r="G17841"/>
      <c r="H17841"/>
      <c r="I17841"/>
      <c r="K17841"/>
      <c r="O17841"/>
      <c r="R17841"/>
      <c r="W17841" s="4"/>
      <c r="X17841" s="4"/>
      <c r="Y17841" s="4"/>
    </row>
    <row r="17842" spans="5:25">
      <c r="E17842"/>
      <c r="G17842"/>
      <c r="H17842"/>
      <c r="I17842"/>
      <c r="K17842"/>
      <c r="O17842"/>
      <c r="R17842"/>
      <c r="W17842" s="4"/>
      <c r="X17842" s="4"/>
      <c r="Y17842" s="4"/>
    </row>
    <row r="17843" spans="5:25">
      <c r="E17843"/>
      <c r="G17843"/>
      <c r="H17843"/>
      <c r="I17843"/>
      <c r="K17843"/>
      <c r="O17843"/>
      <c r="R17843"/>
      <c r="W17843" s="4"/>
      <c r="X17843" s="4"/>
      <c r="Y17843" s="4"/>
    </row>
    <row r="17844" spans="5:25">
      <c r="E17844"/>
      <c r="G17844"/>
      <c r="H17844"/>
      <c r="I17844"/>
      <c r="K17844"/>
      <c r="O17844"/>
      <c r="R17844"/>
      <c r="W17844" s="4"/>
      <c r="X17844" s="4"/>
      <c r="Y17844" s="4"/>
    </row>
    <row r="17845" spans="5:25">
      <c r="E17845"/>
      <c r="G17845"/>
      <c r="H17845"/>
      <c r="I17845"/>
      <c r="K17845"/>
      <c r="O17845"/>
      <c r="R17845"/>
      <c r="W17845" s="4"/>
      <c r="X17845" s="4"/>
      <c r="Y17845" s="4"/>
    </row>
    <row r="17846" spans="5:25">
      <c r="E17846"/>
      <c r="G17846"/>
      <c r="H17846"/>
      <c r="I17846"/>
      <c r="K17846"/>
      <c r="O17846"/>
      <c r="R17846"/>
      <c r="W17846" s="4"/>
      <c r="X17846" s="4"/>
      <c r="Y17846" s="4"/>
    </row>
    <row r="17847" spans="5:25">
      <c r="E17847"/>
      <c r="G17847"/>
      <c r="H17847"/>
      <c r="I17847"/>
      <c r="K17847"/>
      <c r="O17847"/>
      <c r="R17847"/>
      <c r="W17847" s="4"/>
      <c r="X17847" s="4"/>
      <c r="Y17847" s="4"/>
    </row>
    <row r="17848" spans="5:25">
      <c r="E17848"/>
      <c r="G17848"/>
      <c r="H17848"/>
      <c r="I17848"/>
      <c r="K17848"/>
      <c r="O17848"/>
      <c r="R17848"/>
      <c r="W17848" s="4"/>
      <c r="X17848" s="4"/>
      <c r="Y17848" s="4"/>
    </row>
    <row r="17849" spans="5:25">
      <c r="E17849"/>
      <c r="G17849"/>
      <c r="H17849"/>
      <c r="I17849"/>
      <c r="K17849"/>
      <c r="O17849"/>
      <c r="R17849"/>
      <c r="W17849" s="4"/>
      <c r="X17849" s="4"/>
      <c r="Y17849" s="4"/>
    </row>
    <row r="17850" spans="5:25">
      <c r="E17850"/>
      <c r="G17850"/>
      <c r="H17850"/>
      <c r="I17850"/>
      <c r="K17850"/>
      <c r="O17850"/>
      <c r="R17850"/>
      <c r="W17850" s="4"/>
      <c r="X17850" s="4"/>
      <c r="Y17850" s="4"/>
    </row>
    <row r="17851" spans="5:25">
      <c r="E17851"/>
      <c r="G17851"/>
      <c r="H17851"/>
      <c r="I17851"/>
      <c r="K17851"/>
      <c r="O17851"/>
      <c r="R17851"/>
      <c r="W17851" s="4"/>
      <c r="X17851" s="4"/>
      <c r="Y17851" s="4"/>
    </row>
    <row r="17852" spans="5:25">
      <c r="E17852"/>
      <c r="G17852"/>
      <c r="H17852"/>
      <c r="I17852"/>
      <c r="K17852"/>
      <c r="O17852"/>
      <c r="R17852"/>
      <c r="W17852" s="4"/>
      <c r="X17852" s="4"/>
      <c r="Y17852" s="4"/>
    </row>
    <row r="17853" spans="5:25">
      <c r="E17853"/>
      <c r="G17853"/>
      <c r="H17853"/>
      <c r="I17853"/>
      <c r="K17853"/>
      <c r="O17853"/>
      <c r="R17853"/>
      <c r="W17853" s="4"/>
      <c r="X17853" s="4"/>
      <c r="Y17853" s="4"/>
    </row>
    <row r="17854" spans="5:25">
      <c r="E17854"/>
      <c r="G17854"/>
      <c r="H17854"/>
      <c r="I17854"/>
      <c r="K17854"/>
      <c r="O17854"/>
      <c r="R17854"/>
      <c r="W17854" s="4"/>
      <c r="X17854" s="4"/>
      <c r="Y17854" s="4"/>
    </row>
    <row r="17855" spans="5:25">
      <c r="E17855"/>
      <c r="G17855"/>
      <c r="H17855"/>
      <c r="I17855"/>
      <c r="K17855"/>
      <c r="O17855"/>
      <c r="R17855"/>
      <c r="W17855" s="4"/>
      <c r="X17855" s="4"/>
      <c r="Y17855" s="4"/>
    </row>
    <row r="17856" spans="5:25">
      <c r="E17856"/>
      <c r="G17856"/>
      <c r="H17856"/>
      <c r="I17856"/>
      <c r="K17856"/>
      <c r="O17856"/>
      <c r="R17856"/>
      <c r="W17856" s="4"/>
      <c r="X17856" s="4"/>
      <c r="Y17856" s="4"/>
    </row>
    <row r="17857" spans="5:25">
      <c r="E17857"/>
      <c r="G17857"/>
      <c r="H17857"/>
      <c r="I17857"/>
      <c r="K17857"/>
      <c r="O17857"/>
      <c r="R17857"/>
      <c r="W17857" s="4"/>
      <c r="X17857" s="4"/>
      <c r="Y17857" s="4"/>
    </row>
    <row r="17858" spans="5:25">
      <c r="E17858"/>
      <c r="G17858"/>
      <c r="H17858"/>
      <c r="I17858"/>
      <c r="K17858"/>
      <c r="O17858"/>
      <c r="R17858"/>
      <c r="W17858" s="4"/>
      <c r="X17858" s="4"/>
      <c r="Y17858" s="4"/>
    </row>
    <row r="17859" spans="5:25">
      <c r="E17859"/>
      <c r="G17859"/>
      <c r="H17859"/>
      <c r="I17859"/>
      <c r="K17859"/>
      <c r="O17859"/>
      <c r="R17859"/>
      <c r="W17859" s="4"/>
      <c r="X17859" s="4"/>
      <c r="Y17859" s="4"/>
    </row>
    <row r="17860" spans="5:25">
      <c r="E17860"/>
      <c r="G17860"/>
      <c r="H17860"/>
      <c r="I17860"/>
      <c r="K17860"/>
      <c r="O17860"/>
      <c r="R17860"/>
      <c r="W17860" s="4"/>
      <c r="X17860" s="4"/>
      <c r="Y17860" s="4"/>
    </row>
    <row r="17861" spans="5:25">
      <c r="E17861"/>
      <c r="G17861"/>
      <c r="H17861"/>
      <c r="I17861"/>
      <c r="K17861"/>
      <c r="O17861"/>
      <c r="R17861"/>
      <c r="W17861" s="4"/>
      <c r="X17861" s="4"/>
      <c r="Y17861" s="4"/>
    </row>
    <row r="17862" spans="5:25">
      <c r="E17862"/>
      <c r="G17862"/>
      <c r="H17862"/>
      <c r="I17862"/>
      <c r="K17862"/>
      <c r="O17862"/>
      <c r="R17862"/>
      <c r="W17862" s="4"/>
      <c r="X17862" s="4"/>
      <c r="Y17862" s="4"/>
    </row>
    <row r="17863" spans="5:25">
      <c r="E17863"/>
      <c r="G17863"/>
      <c r="H17863"/>
      <c r="I17863"/>
      <c r="K17863"/>
      <c r="O17863"/>
      <c r="R17863"/>
      <c r="W17863" s="4"/>
      <c r="X17863" s="4"/>
      <c r="Y17863" s="4"/>
    </row>
    <row r="17864" spans="5:25">
      <c r="E17864"/>
      <c r="G17864"/>
      <c r="H17864"/>
      <c r="I17864"/>
      <c r="K17864"/>
      <c r="O17864"/>
      <c r="R17864"/>
      <c r="W17864" s="4"/>
      <c r="X17864" s="4"/>
      <c r="Y17864" s="4"/>
    </row>
    <row r="17865" spans="5:25">
      <c r="E17865"/>
      <c r="G17865"/>
      <c r="H17865"/>
      <c r="I17865"/>
      <c r="K17865"/>
      <c r="O17865"/>
      <c r="R17865"/>
      <c r="W17865" s="4"/>
      <c r="X17865" s="4"/>
      <c r="Y17865" s="4"/>
    </row>
    <row r="17866" spans="5:25">
      <c r="E17866"/>
      <c r="G17866"/>
      <c r="H17866"/>
      <c r="I17866"/>
      <c r="K17866"/>
      <c r="O17866"/>
      <c r="R17866"/>
      <c r="W17866" s="4"/>
      <c r="X17866" s="4"/>
      <c r="Y17866" s="4"/>
    </row>
    <row r="17867" spans="5:25">
      <c r="E17867"/>
      <c r="G17867"/>
      <c r="H17867"/>
      <c r="I17867"/>
      <c r="K17867"/>
      <c r="O17867"/>
      <c r="R17867"/>
      <c r="W17867" s="4"/>
      <c r="X17867" s="4"/>
      <c r="Y17867" s="4"/>
    </row>
    <row r="17868" spans="5:25">
      <c r="E17868"/>
      <c r="G17868"/>
      <c r="H17868"/>
      <c r="I17868"/>
      <c r="K17868"/>
      <c r="O17868"/>
      <c r="R17868"/>
      <c r="W17868" s="4"/>
      <c r="X17868" s="4"/>
      <c r="Y17868" s="4"/>
    </row>
    <row r="17869" spans="5:25">
      <c r="E17869"/>
      <c r="G17869"/>
      <c r="H17869"/>
      <c r="I17869"/>
      <c r="K17869"/>
      <c r="O17869"/>
      <c r="R17869"/>
      <c r="W17869" s="4"/>
      <c r="X17869" s="4"/>
      <c r="Y17869" s="4"/>
    </row>
    <row r="17870" spans="5:25">
      <c r="E17870"/>
      <c r="G17870"/>
      <c r="H17870"/>
      <c r="I17870"/>
      <c r="K17870"/>
      <c r="O17870"/>
      <c r="R17870"/>
      <c r="W17870" s="4"/>
      <c r="X17870" s="4"/>
      <c r="Y17870" s="4"/>
    </row>
    <row r="17871" spans="5:25">
      <c r="E17871"/>
      <c r="G17871"/>
      <c r="H17871"/>
      <c r="I17871"/>
      <c r="K17871"/>
      <c r="O17871"/>
      <c r="R17871"/>
      <c r="W17871" s="4"/>
      <c r="X17871" s="4"/>
      <c r="Y17871" s="4"/>
    </row>
    <row r="17872" spans="5:25">
      <c r="E17872"/>
      <c r="G17872"/>
      <c r="H17872"/>
      <c r="I17872"/>
      <c r="K17872"/>
      <c r="O17872"/>
      <c r="R17872"/>
      <c r="W17872" s="4"/>
      <c r="X17872" s="4"/>
      <c r="Y17872" s="4"/>
    </row>
    <row r="17873" spans="5:25">
      <c r="E17873"/>
      <c r="G17873"/>
      <c r="H17873"/>
      <c r="I17873"/>
      <c r="K17873"/>
      <c r="O17873"/>
      <c r="R17873"/>
      <c r="W17873" s="4"/>
      <c r="X17873" s="4"/>
      <c r="Y17873" s="4"/>
    </row>
    <row r="17874" spans="5:25">
      <c r="E17874"/>
      <c r="G17874"/>
      <c r="H17874"/>
      <c r="I17874"/>
      <c r="K17874"/>
      <c r="O17874"/>
      <c r="R17874"/>
      <c r="W17874" s="4"/>
      <c r="X17874" s="4"/>
      <c r="Y17874" s="4"/>
    </row>
    <row r="17875" spans="5:25">
      <c r="E17875"/>
      <c r="G17875"/>
      <c r="H17875"/>
      <c r="I17875"/>
      <c r="K17875"/>
      <c r="O17875"/>
      <c r="R17875"/>
      <c r="W17875" s="4"/>
      <c r="X17875" s="4"/>
      <c r="Y17875" s="4"/>
    </row>
    <row r="17876" spans="5:25">
      <c r="E17876"/>
      <c r="G17876"/>
      <c r="H17876"/>
      <c r="I17876"/>
      <c r="K17876"/>
      <c r="O17876"/>
      <c r="R17876"/>
      <c r="W17876" s="4"/>
      <c r="X17876" s="4"/>
      <c r="Y17876" s="4"/>
    </row>
    <row r="17877" spans="5:25">
      <c r="E17877"/>
      <c r="G17877"/>
      <c r="H17877"/>
      <c r="I17877"/>
      <c r="K17877"/>
      <c r="O17877"/>
      <c r="R17877"/>
      <c r="W17877" s="4"/>
      <c r="X17877" s="4"/>
      <c r="Y17877" s="4"/>
    </row>
    <row r="17878" spans="5:25">
      <c r="E17878"/>
      <c r="G17878"/>
      <c r="H17878"/>
      <c r="I17878"/>
      <c r="K17878"/>
      <c r="O17878"/>
      <c r="R17878"/>
      <c r="W17878" s="4"/>
      <c r="X17878" s="4"/>
      <c r="Y17878" s="4"/>
    </row>
    <row r="17879" spans="5:25">
      <c r="E17879"/>
      <c r="G17879"/>
      <c r="H17879"/>
      <c r="I17879"/>
      <c r="K17879"/>
      <c r="O17879"/>
      <c r="R17879"/>
      <c r="W17879" s="4"/>
      <c r="X17879" s="4"/>
      <c r="Y17879" s="4"/>
    </row>
    <row r="17880" spans="5:25">
      <c r="E17880"/>
      <c r="G17880"/>
      <c r="H17880"/>
      <c r="I17880"/>
      <c r="K17880"/>
      <c r="O17880"/>
      <c r="R17880"/>
      <c r="W17880" s="4"/>
      <c r="X17880" s="4"/>
      <c r="Y17880" s="4"/>
    </row>
    <row r="17881" spans="5:25">
      <c r="E17881"/>
      <c r="G17881"/>
      <c r="H17881"/>
      <c r="I17881"/>
      <c r="K17881"/>
      <c r="O17881"/>
      <c r="R17881"/>
      <c r="W17881" s="4"/>
      <c r="X17881" s="4"/>
      <c r="Y17881" s="4"/>
    </row>
    <row r="17882" spans="5:25">
      <c r="E17882"/>
      <c r="G17882"/>
      <c r="H17882"/>
      <c r="I17882"/>
      <c r="K17882"/>
      <c r="O17882"/>
      <c r="R17882"/>
      <c r="W17882" s="4"/>
      <c r="X17882" s="4"/>
      <c r="Y17882" s="4"/>
    </row>
    <row r="17883" spans="5:25">
      <c r="E17883"/>
      <c r="G17883"/>
      <c r="H17883"/>
      <c r="I17883"/>
      <c r="K17883"/>
      <c r="O17883"/>
      <c r="R17883"/>
      <c r="W17883" s="4"/>
      <c r="X17883" s="4"/>
      <c r="Y17883" s="4"/>
    </row>
    <row r="17884" spans="5:25">
      <c r="E17884"/>
      <c r="G17884"/>
      <c r="H17884"/>
      <c r="I17884"/>
      <c r="K17884"/>
      <c r="O17884"/>
      <c r="R17884"/>
      <c r="W17884" s="4"/>
      <c r="X17884" s="4"/>
      <c r="Y17884" s="4"/>
    </row>
    <row r="17885" spans="5:25">
      <c r="E17885"/>
      <c r="G17885"/>
      <c r="H17885"/>
      <c r="I17885"/>
      <c r="K17885"/>
      <c r="O17885"/>
      <c r="R17885"/>
      <c r="W17885" s="4"/>
      <c r="X17885" s="4"/>
      <c r="Y17885" s="4"/>
    </row>
    <row r="17886" spans="5:25">
      <c r="E17886"/>
      <c r="G17886"/>
      <c r="H17886"/>
      <c r="I17886"/>
      <c r="K17886"/>
      <c r="O17886"/>
      <c r="R17886"/>
      <c r="W17886" s="4"/>
      <c r="X17886" s="4"/>
      <c r="Y17886" s="4"/>
    </row>
    <row r="17887" spans="5:25">
      <c r="E17887"/>
      <c r="G17887"/>
      <c r="H17887"/>
      <c r="I17887"/>
      <c r="K17887"/>
      <c r="O17887"/>
      <c r="R17887"/>
      <c r="W17887" s="4"/>
      <c r="X17887" s="4"/>
      <c r="Y17887" s="4"/>
    </row>
    <row r="17888" spans="5:25">
      <c r="E17888"/>
      <c r="G17888"/>
      <c r="H17888"/>
      <c r="I17888"/>
      <c r="K17888"/>
      <c r="O17888"/>
      <c r="R17888"/>
      <c r="W17888" s="4"/>
      <c r="X17888" s="4"/>
      <c r="Y17888" s="4"/>
    </row>
    <row r="17889" spans="5:25">
      <c r="E17889"/>
      <c r="G17889"/>
      <c r="H17889"/>
      <c r="I17889"/>
      <c r="K17889"/>
      <c r="O17889"/>
      <c r="R17889"/>
      <c r="W17889" s="4"/>
      <c r="X17889" s="4"/>
      <c r="Y17889" s="4"/>
    </row>
    <row r="17890" spans="5:25">
      <c r="E17890"/>
      <c r="G17890"/>
      <c r="H17890"/>
      <c r="I17890"/>
      <c r="K17890"/>
      <c r="O17890"/>
      <c r="R17890"/>
      <c r="W17890" s="4"/>
      <c r="X17890" s="4"/>
      <c r="Y17890" s="4"/>
    </row>
    <row r="17891" spans="5:25">
      <c r="E17891"/>
      <c r="G17891"/>
      <c r="H17891"/>
      <c r="I17891"/>
      <c r="K17891"/>
      <c r="O17891"/>
      <c r="R17891"/>
      <c r="W17891" s="4"/>
      <c r="X17891" s="4"/>
      <c r="Y17891" s="4"/>
    </row>
    <row r="17892" spans="5:25">
      <c r="E17892"/>
      <c r="G17892"/>
      <c r="H17892"/>
      <c r="I17892"/>
      <c r="K17892"/>
      <c r="O17892"/>
      <c r="R17892"/>
      <c r="W17892" s="4"/>
      <c r="X17892" s="4"/>
      <c r="Y17892" s="4"/>
    </row>
    <row r="17893" spans="5:25">
      <c r="E17893"/>
      <c r="G17893"/>
      <c r="H17893"/>
      <c r="I17893"/>
      <c r="K17893"/>
      <c r="O17893"/>
      <c r="R17893"/>
      <c r="W17893" s="4"/>
      <c r="X17893" s="4"/>
      <c r="Y17893" s="4"/>
    </row>
    <row r="17894" spans="5:25">
      <c r="E17894"/>
      <c r="G17894"/>
      <c r="H17894"/>
      <c r="I17894"/>
      <c r="K17894"/>
      <c r="O17894"/>
      <c r="R17894"/>
      <c r="W17894" s="4"/>
      <c r="X17894" s="4"/>
      <c r="Y17894" s="4"/>
    </row>
    <row r="17895" spans="5:25">
      <c r="E17895"/>
      <c r="G17895"/>
      <c r="H17895"/>
      <c r="I17895"/>
      <c r="K17895"/>
      <c r="O17895"/>
      <c r="R17895"/>
      <c r="W17895" s="4"/>
      <c r="X17895" s="4"/>
      <c r="Y17895" s="4"/>
    </row>
    <row r="17896" spans="5:25">
      <c r="E17896"/>
      <c r="G17896"/>
      <c r="H17896"/>
      <c r="I17896"/>
      <c r="K17896"/>
      <c r="O17896"/>
      <c r="R17896"/>
      <c r="W17896" s="4"/>
      <c r="X17896" s="4"/>
      <c r="Y17896" s="4"/>
    </row>
    <row r="17897" spans="5:25">
      <c r="E17897"/>
      <c r="G17897"/>
      <c r="H17897"/>
      <c r="I17897"/>
      <c r="K17897"/>
      <c r="O17897"/>
      <c r="R17897"/>
      <c r="W17897" s="4"/>
      <c r="X17897" s="4"/>
      <c r="Y17897" s="4"/>
    </row>
    <row r="17898" spans="5:25">
      <c r="E17898"/>
      <c r="G17898"/>
      <c r="H17898"/>
      <c r="I17898"/>
      <c r="K17898"/>
      <c r="O17898"/>
      <c r="R17898"/>
      <c r="W17898" s="4"/>
      <c r="X17898" s="4"/>
      <c r="Y17898" s="4"/>
    </row>
    <row r="17899" spans="5:25">
      <c r="E17899"/>
      <c r="G17899"/>
      <c r="H17899"/>
      <c r="I17899"/>
      <c r="K17899"/>
      <c r="O17899"/>
      <c r="R17899"/>
      <c r="W17899" s="4"/>
      <c r="X17899" s="4"/>
      <c r="Y17899" s="4"/>
    </row>
    <row r="17900" spans="5:25">
      <c r="E17900"/>
      <c r="G17900"/>
      <c r="H17900"/>
      <c r="I17900"/>
      <c r="K17900"/>
      <c r="O17900"/>
      <c r="R17900"/>
      <c r="W17900" s="4"/>
      <c r="X17900" s="4"/>
      <c r="Y17900" s="4"/>
    </row>
    <row r="17901" spans="5:25">
      <c r="E17901"/>
      <c r="G17901"/>
      <c r="H17901"/>
      <c r="I17901"/>
      <c r="K17901"/>
      <c r="O17901"/>
      <c r="R17901"/>
      <c r="W17901" s="4"/>
      <c r="X17901" s="4"/>
      <c r="Y17901" s="4"/>
    </row>
    <row r="17902" spans="5:25">
      <c r="E17902"/>
      <c r="G17902"/>
      <c r="H17902"/>
      <c r="I17902"/>
      <c r="K17902"/>
      <c r="O17902"/>
      <c r="R17902"/>
      <c r="W17902" s="4"/>
      <c r="X17902" s="4"/>
      <c r="Y17902" s="4"/>
    </row>
    <row r="17903" spans="5:25">
      <c r="E17903"/>
      <c r="G17903"/>
      <c r="H17903"/>
      <c r="I17903"/>
      <c r="K17903"/>
      <c r="O17903"/>
      <c r="R17903"/>
      <c r="W17903" s="4"/>
      <c r="X17903" s="4"/>
      <c r="Y17903" s="4"/>
    </row>
    <row r="17904" spans="5:25">
      <c r="E17904"/>
      <c r="G17904"/>
      <c r="H17904"/>
      <c r="I17904"/>
      <c r="K17904"/>
      <c r="O17904"/>
      <c r="R17904"/>
      <c r="W17904" s="4"/>
      <c r="X17904" s="4"/>
      <c r="Y17904" s="4"/>
    </row>
    <row r="17905" spans="5:25">
      <c r="E17905"/>
      <c r="G17905"/>
      <c r="H17905"/>
      <c r="I17905"/>
      <c r="K17905"/>
      <c r="O17905"/>
      <c r="R17905"/>
      <c r="W17905" s="4"/>
      <c r="X17905" s="4"/>
      <c r="Y17905" s="4"/>
    </row>
    <row r="17906" spans="5:25">
      <c r="E17906"/>
      <c r="G17906"/>
      <c r="H17906"/>
      <c r="I17906"/>
      <c r="K17906"/>
      <c r="O17906"/>
      <c r="R17906"/>
      <c r="W17906" s="4"/>
      <c r="X17906" s="4"/>
      <c r="Y17906" s="4"/>
    </row>
    <row r="17907" spans="5:25">
      <c r="E17907"/>
      <c r="G17907"/>
      <c r="H17907"/>
      <c r="I17907"/>
      <c r="K17907"/>
      <c r="O17907"/>
      <c r="R17907"/>
      <c r="W17907" s="4"/>
      <c r="X17907" s="4"/>
      <c r="Y17907" s="4"/>
    </row>
    <row r="17908" spans="5:25">
      <c r="E17908"/>
      <c r="G17908"/>
      <c r="H17908"/>
      <c r="I17908"/>
      <c r="K17908"/>
      <c r="O17908"/>
      <c r="R17908"/>
      <c r="W17908" s="4"/>
      <c r="X17908" s="4"/>
      <c r="Y17908" s="4"/>
    </row>
    <row r="17909" spans="5:25">
      <c r="E17909"/>
      <c r="G17909"/>
      <c r="H17909"/>
      <c r="I17909"/>
      <c r="K17909"/>
      <c r="O17909"/>
      <c r="R17909"/>
      <c r="W17909" s="4"/>
      <c r="X17909" s="4"/>
      <c r="Y17909" s="4"/>
    </row>
    <row r="17910" spans="5:25">
      <c r="E17910"/>
      <c r="G17910"/>
      <c r="H17910"/>
      <c r="I17910"/>
      <c r="K17910"/>
      <c r="O17910"/>
      <c r="R17910"/>
      <c r="W17910" s="4"/>
      <c r="X17910" s="4"/>
      <c r="Y17910" s="4"/>
    </row>
    <row r="17911" spans="5:25">
      <c r="E17911"/>
      <c r="G17911"/>
      <c r="H17911"/>
      <c r="I17911"/>
      <c r="K17911"/>
      <c r="O17911"/>
      <c r="R17911"/>
      <c r="W17911" s="4"/>
      <c r="X17911" s="4"/>
      <c r="Y17911" s="4"/>
    </row>
    <row r="17912" spans="5:25">
      <c r="E17912"/>
      <c r="G17912"/>
      <c r="H17912"/>
      <c r="I17912"/>
      <c r="K17912"/>
      <c r="O17912"/>
      <c r="R17912"/>
      <c r="W17912" s="4"/>
      <c r="X17912" s="4"/>
      <c r="Y17912" s="4"/>
    </row>
    <row r="17913" spans="5:25">
      <c r="E17913"/>
      <c r="G17913"/>
      <c r="H17913"/>
      <c r="I17913"/>
      <c r="K17913"/>
      <c r="O17913"/>
      <c r="R17913"/>
      <c r="W17913" s="4"/>
      <c r="X17913" s="4"/>
      <c r="Y17913" s="4"/>
    </row>
    <row r="17914" spans="5:25">
      <c r="E17914"/>
      <c r="G17914"/>
      <c r="H17914"/>
      <c r="I17914"/>
      <c r="K17914"/>
      <c r="O17914"/>
      <c r="R17914"/>
      <c r="W17914" s="4"/>
      <c r="X17914" s="4"/>
      <c r="Y17914" s="4"/>
    </row>
    <row r="17915" spans="5:25">
      <c r="E17915"/>
      <c r="G17915"/>
      <c r="H17915"/>
      <c r="I17915"/>
      <c r="K17915"/>
      <c r="O17915"/>
      <c r="R17915"/>
      <c r="W17915" s="4"/>
      <c r="X17915" s="4"/>
      <c r="Y17915" s="4"/>
    </row>
    <row r="17916" spans="5:25">
      <c r="E17916"/>
      <c r="G17916"/>
      <c r="H17916"/>
      <c r="I17916"/>
      <c r="K17916"/>
      <c r="O17916"/>
      <c r="R17916"/>
      <c r="W17916" s="4"/>
      <c r="X17916" s="4"/>
      <c r="Y17916" s="4"/>
    </row>
    <row r="17917" spans="5:25">
      <c r="E17917"/>
      <c r="G17917"/>
      <c r="H17917"/>
      <c r="I17917"/>
      <c r="K17917"/>
      <c r="O17917"/>
      <c r="R17917"/>
      <c r="W17917" s="4"/>
      <c r="X17917" s="4"/>
      <c r="Y17917" s="4"/>
    </row>
    <row r="17918" spans="5:25">
      <c r="E17918"/>
      <c r="G17918"/>
      <c r="H17918"/>
      <c r="I17918"/>
      <c r="K17918"/>
      <c r="O17918"/>
      <c r="R17918"/>
      <c r="W17918" s="4"/>
      <c r="X17918" s="4"/>
      <c r="Y17918" s="4"/>
    </row>
    <row r="17919" spans="5:25">
      <c r="E17919"/>
      <c r="G17919"/>
      <c r="H17919"/>
      <c r="I17919"/>
      <c r="K17919"/>
      <c r="O17919"/>
      <c r="R17919"/>
      <c r="W17919" s="4"/>
      <c r="X17919" s="4"/>
      <c r="Y17919" s="4"/>
    </row>
    <row r="17920" spans="5:25">
      <c r="E17920"/>
      <c r="G17920"/>
      <c r="H17920"/>
      <c r="I17920"/>
      <c r="K17920"/>
      <c r="O17920"/>
      <c r="R17920"/>
      <c r="W17920" s="4"/>
      <c r="X17920" s="4"/>
      <c r="Y17920" s="4"/>
    </row>
    <row r="17921" spans="5:25">
      <c r="E17921"/>
      <c r="G17921"/>
      <c r="H17921"/>
      <c r="I17921"/>
      <c r="K17921"/>
      <c r="O17921"/>
      <c r="R17921"/>
      <c r="W17921" s="4"/>
      <c r="X17921" s="4"/>
      <c r="Y17921" s="4"/>
    </row>
    <row r="17922" spans="5:25">
      <c r="E17922"/>
      <c r="G17922"/>
      <c r="H17922"/>
      <c r="I17922"/>
      <c r="K17922"/>
      <c r="O17922"/>
      <c r="R17922"/>
      <c r="W17922" s="4"/>
      <c r="X17922" s="4"/>
      <c r="Y17922" s="4"/>
    </row>
    <row r="17923" spans="5:25">
      <c r="E17923"/>
      <c r="G17923"/>
      <c r="H17923"/>
      <c r="I17923"/>
      <c r="K17923"/>
      <c r="O17923"/>
      <c r="R17923"/>
      <c r="W17923" s="4"/>
      <c r="X17923" s="4"/>
      <c r="Y17923" s="4"/>
    </row>
    <row r="17924" spans="5:25">
      <c r="E17924"/>
      <c r="G17924"/>
      <c r="H17924"/>
      <c r="I17924"/>
      <c r="K17924"/>
      <c r="O17924"/>
      <c r="R17924"/>
      <c r="W17924" s="4"/>
      <c r="X17924" s="4"/>
      <c r="Y17924" s="4"/>
    </row>
    <row r="17925" spans="5:25">
      <c r="E17925"/>
      <c r="G17925"/>
      <c r="H17925"/>
      <c r="I17925"/>
      <c r="K17925"/>
      <c r="O17925"/>
      <c r="R17925"/>
      <c r="W17925" s="4"/>
      <c r="X17925" s="4"/>
      <c r="Y17925" s="4"/>
    </row>
    <row r="17926" spans="5:25">
      <c r="E17926"/>
      <c r="G17926"/>
      <c r="H17926"/>
      <c r="I17926"/>
      <c r="K17926"/>
      <c r="O17926"/>
      <c r="R17926"/>
      <c r="W17926" s="4"/>
      <c r="X17926" s="4"/>
      <c r="Y17926" s="4"/>
    </row>
    <row r="17927" spans="5:25">
      <c r="E17927"/>
      <c r="G17927"/>
      <c r="H17927"/>
      <c r="I17927"/>
      <c r="K17927"/>
      <c r="O17927"/>
      <c r="R17927"/>
      <c r="W17927" s="4"/>
      <c r="X17927" s="4"/>
      <c r="Y17927" s="4"/>
    </row>
    <row r="17928" spans="5:25">
      <c r="E17928"/>
      <c r="G17928"/>
      <c r="H17928"/>
      <c r="I17928"/>
      <c r="K17928"/>
      <c r="O17928"/>
      <c r="R17928"/>
      <c r="W17928" s="4"/>
      <c r="X17928" s="4"/>
      <c r="Y17928" s="4"/>
    </row>
    <row r="17929" spans="5:25">
      <c r="E17929"/>
      <c r="G17929"/>
      <c r="H17929"/>
      <c r="I17929"/>
      <c r="K17929"/>
      <c r="O17929"/>
      <c r="R17929"/>
      <c r="W17929" s="4"/>
      <c r="X17929" s="4"/>
      <c r="Y17929" s="4"/>
    </row>
    <row r="17930" spans="5:25">
      <c r="E17930"/>
      <c r="G17930"/>
      <c r="H17930"/>
      <c r="I17930"/>
      <c r="K17930"/>
      <c r="O17930"/>
      <c r="R17930"/>
      <c r="W17930" s="4"/>
      <c r="X17930" s="4"/>
      <c r="Y17930" s="4"/>
    </row>
    <row r="17931" spans="5:25">
      <c r="E17931"/>
      <c r="G17931"/>
      <c r="H17931"/>
      <c r="I17931"/>
      <c r="K17931"/>
      <c r="O17931"/>
      <c r="R17931"/>
      <c r="W17931" s="4"/>
      <c r="X17931" s="4"/>
      <c r="Y17931" s="4"/>
    </row>
    <row r="17932" spans="5:25">
      <c r="E17932"/>
      <c r="G17932"/>
      <c r="H17932"/>
      <c r="I17932"/>
      <c r="K17932"/>
      <c r="O17932"/>
      <c r="R17932"/>
      <c r="W17932" s="4"/>
      <c r="X17932" s="4"/>
      <c r="Y17932" s="4"/>
    </row>
    <row r="17933" spans="5:25">
      <c r="E17933"/>
      <c r="G17933"/>
      <c r="H17933"/>
      <c r="I17933"/>
      <c r="K17933"/>
      <c r="O17933"/>
      <c r="R17933"/>
      <c r="W17933" s="4"/>
      <c r="X17933" s="4"/>
      <c r="Y17933" s="4"/>
    </row>
    <row r="17934" spans="5:25">
      <c r="E17934"/>
      <c r="G17934"/>
      <c r="H17934"/>
      <c r="I17934"/>
      <c r="K17934"/>
      <c r="O17934"/>
      <c r="R17934"/>
      <c r="W17934" s="4"/>
      <c r="X17934" s="4"/>
      <c r="Y17934" s="4"/>
    </row>
    <row r="17935" spans="5:25">
      <c r="E17935"/>
      <c r="G17935"/>
      <c r="H17935"/>
      <c r="I17935"/>
      <c r="K17935"/>
      <c r="O17935"/>
      <c r="R17935"/>
      <c r="W17935" s="4"/>
      <c r="X17935" s="4"/>
      <c r="Y17935" s="4"/>
    </row>
    <row r="17936" spans="5:25">
      <c r="E17936"/>
      <c r="G17936"/>
      <c r="H17936"/>
      <c r="I17936"/>
      <c r="K17936"/>
      <c r="O17936"/>
      <c r="R17936"/>
      <c r="W17936" s="4"/>
      <c r="X17936" s="4"/>
      <c r="Y17936" s="4"/>
    </row>
    <row r="17937" spans="5:25">
      <c r="E17937"/>
      <c r="G17937"/>
      <c r="H17937"/>
      <c r="I17937"/>
      <c r="K17937"/>
      <c r="O17937"/>
      <c r="R17937"/>
      <c r="W17937" s="4"/>
      <c r="X17937" s="4"/>
      <c r="Y17937" s="4"/>
    </row>
    <row r="17938" spans="5:25">
      <c r="E17938"/>
      <c r="G17938"/>
      <c r="H17938"/>
      <c r="I17938"/>
      <c r="K17938"/>
      <c r="O17938"/>
      <c r="R17938"/>
      <c r="W17938" s="4"/>
      <c r="X17938" s="4"/>
      <c r="Y17938" s="4"/>
    </row>
    <row r="17939" spans="5:25">
      <c r="E17939"/>
      <c r="G17939"/>
      <c r="H17939"/>
      <c r="I17939"/>
      <c r="K17939"/>
      <c r="O17939"/>
      <c r="R17939"/>
      <c r="W17939" s="4"/>
      <c r="X17939" s="4"/>
      <c r="Y17939" s="4"/>
    </row>
    <row r="17940" spans="5:25">
      <c r="E17940"/>
      <c r="G17940"/>
      <c r="H17940"/>
      <c r="I17940"/>
      <c r="K17940"/>
      <c r="O17940"/>
      <c r="R17940"/>
      <c r="W17940" s="4"/>
      <c r="X17940" s="4"/>
      <c r="Y17940" s="4"/>
    </row>
    <row r="17941" spans="5:25">
      <c r="E17941"/>
      <c r="G17941"/>
      <c r="H17941"/>
      <c r="I17941"/>
      <c r="K17941"/>
      <c r="O17941"/>
      <c r="R17941"/>
      <c r="W17941" s="4"/>
      <c r="X17941" s="4"/>
      <c r="Y17941" s="4"/>
    </row>
    <row r="17942" spans="5:25">
      <c r="E17942"/>
      <c r="G17942"/>
      <c r="H17942"/>
      <c r="I17942"/>
      <c r="K17942"/>
      <c r="O17942"/>
      <c r="R17942"/>
      <c r="W17942" s="4"/>
      <c r="X17942" s="4"/>
      <c r="Y17942" s="4"/>
    </row>
    <row r="17943" spans="5:25">
      <c r="E17943"/>
      <c r="G17943"/>
      <c r="H17943"/>
      <c r="I17943"/>
      <c r="K17943"/>
      <c r="O17943"/>
      <c r="R17943"/>
      <c r="W17943" s="4"/>
      <c r="X17943" s="4"/>
      <c r="Y17943" s="4"/>
    </row>
    <row r="17944" spans="5:25">
      <c r="E17944"/>
      <c r="G17944"/>
      <c r="H17944"/>
      <c r="I17944"/>
      <c r="K17944"/>
      <c r="O17944"/>
      <c r="R17944"/>
      <c r="W17944" s="4"/>
      <c r="X17944" s="4"/>
      <c r="Y17944" s="4"/>
    </row>
    <row r="17945" spans="5:25">
      <c r="E17945"/>
      <c r="G17945"/>
      <c r="H17945"/>
      <c r="I17945"/>
      <c r="K17945"/>
      <c r="O17945"/>
      <c r="R17945"/>
      <c r="W17945" s="4"/>
      <c r="X17945" s="4"/>
      <c r="Y17945" s="4"/>
    </row>
    <row r="17946" spans="5:25">
      <c r="E17946"/>
      <c r="G17946"/>
      <c r="H17946"/>
      <c r="I17946"/>
      <c r="K17946"/>
      <c r="O17946"/>
      <c r="R17946"/>
      <c r="W17946" s="4"/>
      <c r="X17946" s="4"/>
      <c r="Y17946" s="4"/>
    </row>
    <row r="17947" spans="5:25">
      <c r="E17947"/>
      <c r="G17947"/>
      <c r="H17947"/>
      <c r="I17947"/>
      <c r="K17947"/>
      <c r="O17947"/>
      <c r="R17947"/>
      <c r="W17947" s="4"/>
      <c r="X17947" s="4"/>
      <c r="Y17947" s="4"/>
    </row>
    <row r="17948" spans="5:25">
      <c r="E17948"/>
      <c r="G17948"/>
      <c r="H17948"/>
      <c r="I17948"/>
      <c r="K17948"/>
      <c r="O17948"/>
      <c r="R17948"/>
      <c r="W17948" s="4"/>
      <c r="X17948" s="4"/>
      <c r="Y17948" s="4"/>
    </row>
    <row r="17949" spans="5:25">
      <c r="E17949"/>
      <c r="G17949"/>
      <c r="H17949"/>
      <c r="I17949"/>
      <c r="K17949"/>
      <c r="O17949"/>
      <c r="R17949"/>
      <c r="W17949" s="4"/>
      <c r="X17949" s="4"/>
      <c r="Y17949" s="4"/>
    </row>
    <row r="17950" spans="5:25">
      <c r="E17950"/>
      <c r="G17950"/>
      <c r="H17950"/>
      <c r="I17950"/>
      <c r="K17950"/>
      <c r="O17950"/>
      <c r="R17950"/>
      <c r="W17950" s="4"/>
      <c r="X17950" s="4"/>
      <c r="Y17950" s="4"/>
    </row>
    <row r="17951" spans="5:25">
      <c r="E17951"/>
      <c r="G17951"/>
      <c r="H17951"/>
      <c r="I17951"/>
      <c r="K17951"/>
      <c r="O17951"/>
      <c r="R17951"/>
      <c r="W17951" s="4"/>
      <c r="X17951" s="4"/>
      <c r="Y17951" s="4"/>
    </row>
    <row r="17952" spans="5:25">
      <c r="E17952"/>
      <c r="G17952"/>
      <c r="H17952"/>
      <c r="I17952"/>
      <c r="K17952"/>
      <c r="O17952"/>
      <c r="R17952"/>
      <c r="W17952" s="4"/>
      <c r="X17952" s="4"/>
      <c r="Y17952" s="4"/>
    </row>
    <row r="17953" spans="5:25">
      <c r="E17953"/>
      <c r="G17953"/>
      <c r="H17953"/>
      <c r="I17953"/>
      <c r="K17953"/>
      <c r="O17953"/>
      <c r="R17953"/>
      <c r="W17953" s="4"/>
      <c r="X17953" s="4"/>
      <c r="Y17953" s="4"/>
    </row>
    <row r="17954" spans="5:25">
      <c r="E17954"/>
      <c r="G17954"/>
      <c r="H17954"/>
      <c r="I17954"/>
      <c r="K17954"/>
      <c r="O17954"/>
      <c r="R17954"/>
      <c r="W17954" s="4"/>
      <c r="X17954" s="4"/>
      <c r="Y17954" s="4"/>
    </row>
    <row r="17955" spans="5:25">
      <c r="E17955"/>
      <c r="G17955"/>
      <c r="H17955"/>
      <c r="I17955"/>
      <c r="K17955"/>
      <c r="O17955"/>
      <c r="R17955"/>
      <c r="W17955" s="4"/>
      <c r="X17955" s="4"/>
      <c r="Y17955" s="4"/>
    </row>
    <row r="17956" spans="5:25">
      <c r="E17956"/>
      <c r="G17956"/>
      <c r="H17956"/>
      <c r="I17956"/>
      <c r="K17956"/>
      <c r="O17956"/>
      <c r="R17956"/>
      <c r="W17956" s="4"/>
      <c r="X17956" s="4"/>
      <c r="Y17956" s="4"/>
    </row>
    <row r="17957" spans="5:25">
      <c r="E17957"/>
      <c r="G17957"/>
      <c r="H17957"/>
      <c r="I17957"/>
      <c r="K17957"/>
      <c r="O17957"/>
      <c r="R17957"/>
      <c r="W17957" s="4"/>
      <c r="X17957" s="4"/>
      <c r="Y17957" s="4"/>
    </row>
    <row r="17958" spans="5:25">
      <c r="E17958"/>
      <c r="G17958"/>
      <c r="H17958"/>
      <c r="I17958"/>
      <c r="K17958"/>
      <c r="O17958"/>
      <c r="R17958"/>
      <c r="W17958" s="4"/>
      <c r="X17958" s="4"/>
      <c r="Y17958" s="4"/>
    </row>
    <row r="17959" spans="5:25">
      <c r="E17959"/>
      <c r="G17959"/>
      <c r="H17959"/>
      <c r="I17959"/>
      <c r="K17959"/>
      <c r="O17959"/>
      <c r="R17959"/>
      <c r="W17959" s="4"/>
      <c r="X17959" s="4"/>
      <c r="Y17959" s="4"/>
    </row>
    <row r="17960" spans="5:25">
      <c r="E17960"/>
      <c r="G17960"/>
      <c r="H17960"/>
      <c r="I17960"/>
      <c r="K17960"/>
      <c r="O17960"/>
      <c r="R17960"/>
      <c r="W17960" s="4"/>
      <c r="X17960" s="4"/>
      <c r="Y17960" s="4"/>
    </row>
    <row r="17961" spans="5:25">
      <c r="E17961"/>
      <c r="G17961"/>
      <c r="H17961"/>
      <c r="I17961"/>
      <c r="K17961"/>
      <c r="O17961"/>
      <c r="R17961"/>
      <c r="W17961" s="4"/>
      <c r="X17961" s="4"/>
      <c r="Y17961" s="4"/>
    </row>
    <row r="17962" spans="5:25">
      <c r="E17962"/>
      <c r="G17962"/>
      <c r="H17962"/>
      <c r="I17962"/>
      <c r="K17962"/>
      <c r="O17962"/>
      <c r="R17962"/>
      <c r="W17962" s="4"/>
      <c r="X17962" s="4"/>
      <c r="Y17962" s="4"/>
    </row>
    <row r="17963" spans="5:25">
      <c r="E17963"/>
      <c r="G17963"/>
      <c r="H17963"/>
      <c r="I17963"/>
      <c r="K17963"/>
      <c r="O17963"/>
      <c r="R17963"/>
      <c r="W17963" s="4"/>
      <c r="X17963" s="4"/>
      <c r="Y17963" s="4"/>
    </row>
    <row r="17964" spans="5:25">
      <c r="E17964"/>
      <c r="G17964"/>
      <c r="H17964"/>
      <c r="I17964"/>
      <c r="K17964"/>
      <c r="O17964"/>
      <c r="R17964"/>
      <c r="W17964" s="4"/>
      <c r="X17964" s="4"/>
      <c r="Y17964" s="4"/>
    </row>
    <row r="17965" spans="5:25">
      <c r="E17965"/>
      <c r="G17965"/>
      <c r="H17965"/>
      <c r="I17965"/>
      <c r="K17965"/>
      <c r="O17965"/>
      <c r="R17965"/>
      <c r="W17965" s="4"/>
      <c r="X17965" s="4"/>
      <c r="Y17965" s="4"/>
    </row>
    <row r="17966" spans="5:25">
      <c r="E17966"/>
      <c r="G17966"/>
      <c r="H17966"/>
      <c r="I17966"/>
      <c r="K17966"/>
      <c r="O17966"/>
      <c r="R17966"/>
      <c r="W17966" s="4"/>
      <c r="X17966" s="4"/>
      <c r="Y17966" s="4"/>
    </row>
    <row r="17967" spans="5:25">
      <c r="E17967"/>
      <c r="G17967"/>
      <c r="H17967"/>
      <c r="I17967"/>
      <c r="K17967"/>
      <c r="O17967"/>
      <c r="R17967"/>
      <c r="W17967" s="4"/>
      <c r="X17967" s="4"/>
      <c r="Y17967" s="4"/>
    </row>
    <row r="17968" spans="5:25">
      <c r="E17968"/>
      <c r="G17968"/>
      <c r="H17968"/>
      <c r="I17968"/>
      <c r="K17968"/>
      <c r="O17968"/>
      <c r="R17968"/>
      <c r="W17968" s="4"/>
      <c r="X17968" s="4"/>
      <c r="Y17968" s="4"/>
    </row>
    <row r="17969" spans="5:25">
      <c r="E17969"/>
      <c r="G17969"/>
      <c r="H17969"/>
      <c r="I17969"/>
      <c r="K17969"/>
      <c r="O17969"/>
      <c r="R17969"/>
      <c r="W17969" s="4"/>
      <c r="X17969" s="4"/>
      <c r="Y17969" s="4"/>
    </row>
    <row r="17970" spans="5:25">
      <c r="E17970"/>
      <c r="G17970"/>
      <c r="H17970"/>
      <c r="I17970"/>
      <c r="K17970"/>
      <c r="O17970"/>
      <c r="R17970"/>
      <c r="W17970" s="4"/>
      <c r="X17970" s="4"/>
      <c r="Y17970" s="4"/>
    </row>
    <row r="17971" spans="5:25">
      <c r="E17971"/>
      <c r="G17971"/>
      <c r="H17971"/>
      <c r="I17971"/>
      <c r="K17971"/>
      <c r="O17971"/>
      <c r="R17971"/>
      <c r="W17971" s="4"/>
      <c r="X17971" s="4"/>
      <c r="Y17971" s="4"/>
    </row>
    <row r="17972" spans="5:25">
      <c r="E17972"/>
      <c r="G17972"/>
      <c r="H17972"/>
      <c r="I17972"/>
      <c r="K17972"/>
      <c r="O17972"/>
      <c r="R17972"/>
      <c r="W17972" s="4"/>
      <c r="X17972" s="4"/>
      <c r="Y17972" s="4"/>
    </row>
    <row r="17973" spans="5:25">
      <c r="E17973"/>
      <c r="G17973"/>
      <c r="H17973"/>
      <c r="I17973"/>
      <c r="K17973"/>
      <c r="O17973"/>
      <c r="R17973"/>
      <c r="W17973" s="4"/>
      <c r="X17973" s="4"/>
      <c r="Y17973" s="4"/>
    </row>
    <row r="17974" spans="5:25">
      <c r="E17974"/>
      <c r="G17974"/>
      <c r="H17974"/>
      <c r="I17974"/>
      <c r="K17974"/>
      <c r="O17974"/>
      <c r="R17974"/>
      <c r="W17974" s="4"/>
      <c r="X17974" s="4"/>
      <c r="Y17974" s="4"/>
    </row>
    <row r="17975" spans="5:25">
      <c r="E17975"/>
      <c r="G17975"/>
      <c r="H17975"/>
      <c r="I17975"/>
      <c r="K17975"/>
      <c r="O17975"/>
      <c r="R17975"/>
      <c r="W17975" s="4"/>
      <c r="X17975" s="4"/>
      <c r="Y17975" s="4"/>
    </row>
    <row r="17976" spans="5:25">
      <c r="E17976"/>
      <c r="G17976"/>
      <c r="H17976"/>
      <c r="I17976"/>
      <c r="K17976"/>
      <c r="O17976"/>
      <c r="R17976"/>
      <c r="W17976" s="4"/>
      <c r="X17976" s="4"/>
      <c r="Y17976" s="4"/>
    </row>
    <row r="17977" spans="5:25">
      <c r="E17977"/>
      <c r="G17977"/>
      <c r="H17977"/>
      <c r="I17977"/>
      <c r="K17977"/>
      <c r="O17977"/>
      <c r="R17977"/>
      <c r="W17977" s="4"/>
      <c r="X17977" s="4"/>
      <c r="Y17977" s="4"/>
    </row>
    <row r="17978" spans="5:25">
      <c r="E17978"/>
      <c r="G17978"/>
      <c r="H17978"/>
      <c r="I17978"/>
      <c r="K17978"/>
      <c r="O17978"/>
      <c r="R17978"/>
      <c r="W17978" s="4"/>
      <c r="X17978" s="4"/>
      <c r="Y17978" s="4"/>
    </row>
    <row r="17979" spans="5:25">
      <c r="E17979"/>
      <c r="G17979"/>
      <c r="H17979"/>
      <c r="I17979"/>
      <c r="K17979"/>
      <c r="O17979"/>
      <c r="R17979"/>
      <c r="W17979" s="4"/>
      <c r="X17979" s="4"/>
      <c r="Y17979" s="4"/>
    </row>
    <row r="17980" spans="5:25">
      <c r="E17980"/>
      <c r="G17980"/>
      <c r="H17980"/>
      <c r="I17980"/>
      <c r="K17980"/>
      <c r="O17980"/>
      <c r="R17980"/>
      <c r="W17980" s="4"/>
      <c r="X17980" s="4"/>
      <c r="Y17980" s="4"/>
    </row>
    <row r="17981" spans="5:25">
      <c r="E17981"/>
      <c r="G17981"/>
      <c r="H17981"/>
      <c r="I17981"/>
      <c r="K17981"/>
      <c r="O17981"/>
      <c r="R17981"/>
      <c r="W17981" s="4"/>
      <c r="X17981" s="4"/>
      <c r="Y17981" s="4"/>
    </row>
    <row r="17982" spans="5:25">
      <c r="E17982"/>
      <c r="G17982"/>
      <c r="H17982"/>
      <c r="I17982"/>
      <c r="K17982"/>
      <c r="O17982"/>
      <c r="R17982"/>
      <c r="W17982" s="4"/>
      <c r="X17982" s="4"/>
      <c r="Y17982" s="4"/>
    </row>
    <row r="17983" spans="5:25">
      <c r="E17983"/>
      <c r="G17983"/>
      <c r="H17983"/>
      <c r="I17983"/>
      <c r="K17983"/>
      <c r="O17983"/>
      <c r="R17983"/>
      <c r="W17983" s="4"/>
      <c r="X17983" s="4"/>
      <c r="Y17983" s="4"/>
    </row>
    <row r="17984" spans="5:25">
      <c r="E17984"/>
      <c r="G17984"/>
      <c r="H17984"/>
      <c r="I17984"/>
      <c r="K17984"/>
      <c r="O17984"/>
      <c r="R17984"/>
      <c r="W17984" s="4"/>
      <c r="X17984" s="4"/>
      <c r="Y17984" s="4"/>
    </row>
    <row r="17985" spans="5:25">
      <c r="E17985"/>
      <c r="G17985"/>
      <c r="H17985"/>
      <c r="I17985"/>
      <c r="K17985"/>
      <c r="O17985"/>
      <c r="R17985"/>
      <c r="W17985" s="4"/>
      <c r="X17985" s="4"/>
      <c r="Y17985" s="4"/>
    </row>
    <row r="17986" spans="5:25">
      <c r="E17986"/>
      <c r="G17986"/>
      <c r="H17986"/>
      <c r="I17986"/>
      <c r="K17986"/>
      <c r="O17986"/>
      <c r="R17986"/>
      <c r="W17986" s="4"/>
      <c r="X17986" s="4"/>
      <c r="Y17986" s="4"/>
    </row>
    <row r="17987" spans="5:25">
      <c r="E17987"/>
      <c r="G17987"/>
      <c r="H17987"/>
      <c r="I17987"/>
      <c r="K17987"/>
      <c r="O17987"/>
      <c r="R17987"/>
      <c r="W17987" s="4"/>
      <c r="X17987" s="4"/>
      <c r="Y17987" s="4"/>
    </row>
    <row r="17988" spans="5:25">
      <c r="E17988"/>
      <c r="G17988"/>
      <c r="H17988"/>
      <c r="I17988"/>
      <c r="K17988"/>
      <c r="O17988"/>
      <c r="R17988"/>
      <c r="W17988" s="4"/>
      <c r="X17988" s="4"/>
      <c r="Y17988" s="4"/>
    </row>
    <row r="17989" spans="5:25">
      <c r="E17989"/>
      <c r="G17989"/>
      <c r="H17989"/>
      <c r="I17989"/>
      <c r="K17989"/>
      <c r="O17989"/>
      <c r="R17989"/>
      <c r="W17989" s="4"/>
      <c r="X17989" s="4"/>
      <c r="Y17989" s="4"/>
    </row>
    <row r="17990" spans="5:25">
      <c r="E17990"/>
      <c r="G17990"/>
      <c r="H17990"/>
      <c r="I17990"/>
      <c r="K17990"/>
      <c r="O17990"/>
      <c r="R17990"/>
      <c r="W17990" s="4"/>
      <c r="X17990" s="4"/>
      <c r="Y17990" s="4"/>
    </row>
    <row r="17991" spans="5:25">
      <c r="E17991"/>
      <c r="G17991"/>
      <c r="H17991"/>
      <c r="I17991"/>
      <c r="K17991"/>
      <c r="O17991"/>
      <c r="R17991"/>
      <c r="W17991" s="4"/>
      <c r="X17991" s="4"/>
      <c r="Y17991" s="4"/>
    </row>
    <row r="17992" spans="5:25">
      <c r="E17992"/>
      <c r="G17992"/>
      <c r="H17992"/>
      <c r="I17992"/>
      <c r="K17992"/>
      <c r="O17992"/>
      <c r="R17992"/>
      <c r="W17992" s="4"/>
      <c r="X17992" s="4"/>
      <c r="Y17992" s="4"/>
    </row>
    <row r="17993" spans="5:25">
      <c r="E17993"/>
      <c r="G17993"/>
      <c r="H17993"/>
      <c r="I17993"/>
      <c r="K17993"/>
      <c r="O17993"/>
      <c r="R17993"/>
      <c r="W17993" s="4"/>
      <c r="X17993" s="4"/>
      <c r="Y17993" s="4"/>
    </row>
    <row r="17994" spans="5:25">
      <c r="E17994"/>
      <c r="G17994"/>
      <c r="H17994"/>
      <c r="I17994"/>
      <c r="K17994"/>
      <c r="O17994"/>
      <c r="R17994"/>
      <c r="W17994" s="4"/>
      <c r="X17994" s="4"/>
      <c r="Y17994" s="4"/>
    </row>
    <row r="17995" spans="5:25">
      <c r="E17995"/>
      <c r="G17995"/>
      <c r="H17995"/>
      <c r="I17995"/>
      <c r="K17995"/>
      <c r="O17995"/>
      <c r="R17995"/>
      <c r="W17995" s="4"/>
      <c r="X17995" s="4"/>
      <c r="Y17995" s="4"/>
    </row>
    <row r="17996" spans="5:25">
      <c r="E17996"/>
      <c r="G17996"/>
      <c r="H17996"/>
      <c r="I17996"/>
      <c r="K17996"/>
      <c r="O17996"/>
      <c r="R17996"/>
      <c r="W17996" s="4"/>
      <c r="X17996" s="4"/>
      <c r="Y17996" s="4"/>
    </row>
    <row r="17997" spans="5:25">
      <c r="E17997"/>
      <c r="G17997"/>
      <c r="H17997"/>
      <c r="I17997"/>
      <c r="K17997"/>
      <c r="O17997"/>
      <c r="R17997"/>
      <c r="W17997" s="4"/>
      <c r="X17997" s="4"/>
      <c r="Y17997" s="4"/>
    </row>
    <row r="17998" spans="5:25">
      <c r="E17998"/>
      <c r="G17998"/>
      <c r="H17998"/>
      <c r="I17998"/>
      <c r="K17998"/>
      <c r="O17998"/>
      <c r="R17998"/>
      <c r="W17998" s="4"/>
      <c r="X17998" s="4"/>
      <c r="Y17998" s="4"/>
    </row>
    <row r="17999" spans="5:25">
      <c r="E17999"/>
      <c r="G17999"/>
      <c r="H17999"/>
      <c r="I17999"/>
      <c r="K17999"/>
      <c r="O17999"/>
      <c r="R17999"/>
      <c r="W17999" s="4"/>
      <c r="X17999" s="4"/>
      <c r="Y17999" s="4"/>
    </row>
    <row r="18000" spans="5:25">
      <c r="E18000"/>
      <c r="G18000"/>
      <c r="H18000"/>
      <c r="I18000"/>
      <c r="K18000"/>
      <c r="O18000"/>
      <c r="R18000"/>
      <c r="W18000" s="4"/>
      <c r="X18000" s="4"/>
      <c r="Y18000" s="4"/>
    </row>
    <row r="18001" spans="5:25">
      <c r="E18001"/>
      <c r="G18001"/>
      <c r="H18001"/>
      <c r="I18001"/>
      <c r="K18001"/>
      <c r="O18001"/>
      <c r="R18001"/>
      <c r="W18001" s="4"/>
      <c r="X18001" s="4"/>
      <c r="Y18001" s="4"/>
    </row>
    <row r="18002" spans="5:25">
      <c r="E18002"/>
      <c r="G18002"/>
      <c r="H18002"/>
      <c r="I18002"/>
      <c r="K18002"/>
      <c r="O18002"/>
      <c r="R18002"/>
      <c r="W18002" s="4"/>
      <c r="X18002" s="4"/>
      <c r="Y18002" s="4"/>
    </row>
    <row r="18003" spans="5:25">
      <c r="E18003"/>
      <c r="G18003"/>
      <c r="H18003"/>
      <c r="I18003"/>
      <c r="K18003"/>
      <c r="O18003"/>
      <c r="R18003"/>
      <c r="W18003" s="4"/>
      <c r="X18003" s="4"/>
      <c r="Y18003" s="4"/>
    </row>
    <row r="18004" spans="5:25">
      <c r="E18004"/>
      <c r="G18004"/>
      <c r="H18004"/>
      <c r="I18004"/>
      <c r="K18004"/>
      <c r="O18004"/>
      <c r="R18004"/>
      <c r="W18004" s="4"/>
      <c r="X18004" s="4"/>
      <c r="Y18004" s="4"/>
    </row>
    <row r="18005" spans="5:25">
      <c r="E18005"/>
      <c r="G18005"/>
      <c r="H18005"/>
      <c r="I18005"/>
      <c r="K18005"/>
      <c r="O18005"/>
      <c r="R18005"/>
      <c r="W18005" s="4"/>
      <c r="X18005" s="4"/>
      <c r="Y18005" s="4"/>
    </row>
    <row r="18006" spans="5:25">
      <c r="E18006"/>
      <c r="G18006"/>
      <c r="H18006"/>
      <c r="I18006"/>
      <c r="K18006"/>
      <c r="O18006"/>
      <c r="R18006"/>
      <c r="W18006" s="4"/>
      <c r="X18006" s="4"/>
      <c r="Y18006" s="4"/>
    </row>
    <row r="18007" spans="5:25">
      <c r="E18007"/>
      <c r="G18007"/>
      <c r="H18007"/>
      <c r="I18007"/>
      <c r="K18007"/>
      <c r="O18007"/>
      <c r="R18007"/>
      <c r="W18007" s="4"/>
      <c r="X18007" s="4"/>
      <c r="Y18007" s="4"/>
    </row>
    <row r="18008" spans="5:25">
      <c r="E18008"/>
      <c r="G18008"/>
      <c r="H18008"/>
      <c r="I18008"/>
      <c r="K18008"/>
      <c r="O18008"/>
      <c r="R18008"/>
      <c r="W18008" s="4"/>
      <c r="X18008" s="4"/>
      <c r="Y18008" s="4"/>
    </row>
    <row r="18009" spans="5:25">
      <c r="E18009"/>
      <c r="G18009"/>
      <c r="H18009"/>
      <c r="I18009"/>
      <c r="K18009"/>
      <c r="O18009"/>
      <c r="R18009"/>
      <c r="W18009" s="4"/>
      <c r="X18009" s="4"/>
      <c r="Y18009" s="4"/>
    </row>
    <row r="18010" spans="5:25">
      <c r="E18010"/>
      <c r="G18010"/>
      <c r="H18010"/>
      <c r="I18010"/>
      <c r="K18010"/>
      <c r="O18010"/>
      <c r="R18010"/>
      <c r="W18010" s="4"/>
      <c r="X18010" s="4"/>
      <c r="Y18010" s="4"/>
    </row>
    <row r="18011" spans="5:25">
      <c r="E18011"/>
      <c r="G18011"/>
      <c r="H18011"/>
      <c r="I18011"/>
      <c r="K18011"/>
      <c r="O18011"/>
      <c r="R18011"/>
      <c r="W18011" s="4"/>
      <c r="X18011" s="4"/>
      <c r="Y18011" s="4"/>
    </row>
    <row r="18012" spans="5:25">
      <c r="E18012"/>
      <c r="G18012"/>
      <c r="H18012"/>
      <c r="I18012"/>
      <c r="K18012"/>
      <c r="O18012"/>
      <c r="R18012"/>
      <c r="W18012" s="4"/>
      <c r="X18012" s="4"/>
      <c r="Y18012" s="4"/>
    </row>
    <row r="18013" spans="5:25">
      <c r="E18013"/>
      <c r="G18013"/>
      <c r="H18013"/>
      <c r="I18013"/>
      <c r="K18013"/>
      <c r="O18013"/>
      <c r="R18013"/>
      <c r="W18013" s="4"/>
      <c r="X18013" s="4"/>
      <c r="Y18013" s="4"/>
    </row>
    <row r="18014" spans="5:25">
      <c r="E18014"/>
      <c r="G18014"/>
      <c r="H18014"/>
      <c r="I18014"/>
      <c r="K18014"/>
      <c r="O18014"/>
      <c r="R18014"/>
      <c r="W18014" s="4"/>
      <c r="X18014" s="4"/>
      <c r="Y18014" s="4"/>
    </row>
    <row r="18015" spans="5:25">
      <c r="E18015"/>
      <c r="G18015"/>
      <c r="H18015"/>
      <c r="I18015"/>
      <c r="K18015"/>
      <c r="O18015"/>
      <c r="R18015"/>
      <c r="W18015" s="4"/>
      <c r="X18015" s="4"/>
      <c r="Y18015" s="4"/>
    </row>
    <row r="18016" spans="5:25">
      <c r="E18016"/>
      <c r="G18016"/>
      <c r="H18016"/>
      <c r="I18016"/>
      <c r="K18016"/>
      <c r="O18016"/>
      <c r="R18016"/>
      <c r="W18016" s="4"/>
      <c r="X18016" s="4"/>
      <c r="Y18016" s="4"/>
    </row>
    <row r="18017" spans="5:25">
      <c r="E18017"/>
      <c r="G18017"/>
      <c r="H18017"/>
      <c r="I18017"/>
      <c r="K18017"/>
      <c r="O18017"/>
      <c r="R18017"/>
      <c r="W18017" s="4"/>
      <c r="X18017" s="4"/>
      <c r="Y18017" s="4"/>
    </row>
    <row r="18018" spans="5:25">
      <c r="E18018"/>
      <c r="G18018"/>
      <c r="H18018"/>
      <c r="I18018"/>
      <c r="K18018"/>
      <c r="O18018"/>
      <c r="R18018"/>
      <c r="W18018" s="4"/>
      <c r="X18018" s="4"/>
      <c r="Y18018" s="4"/>
    </row>
    <row r="18019" spans="5:25">
      <c r="E18019"/>
      <c r="G18019"/>
      <c r="H18019"/>
      <c r="I18019"/>
      <c r="K18019"/>
      <c r="O18019"/>
      <c r="R18019"/>
      <c r="W18019" s="4"/>
      <c r="X18019" s="4"/>
      <c r="Y18019" s="4"/>
    </row>
    <row r="18020" spans="5:25">
      <c r="E18020"/>
      <c r="G18020"/>
      <c r="H18020"/>
      <c r="I18020"/>
      <c r="K18020"/>
      <c r="O18020"/>
      <c r="R18020"/>
      <c r="W18020" s="4"/>
      <c r="X18020" s="4"/>
      <c r="Y18020" s="4"/>
    </row>
    <row r="18021" spans="5:25">
      <c r="E18021"/>
      <c r="G18021"/>
      <c r="H18021"/>
      <c r="I18021"/>
      <c r="K18021"/>
      <c r="O18021"/>
      <c r="R18021"/>
      <c r="W18021" s="4"/>
      <c r="X18021" s="4"/>
      <c r="Y18021" s="4"/>
    </row>
    <row r="18022" spans="5:25">
      <c r="E18022"/>
      <c r="G18022"/>
      <c r="H18022"/>
      <c r="I18022"/>
      <c r="K18022"/>
      <c r="O18022"/>
      <c r="R18022"/>
      <c r="W18022" s="4"/>
      <c r="X18022" s="4"/>
      <c r="Y18022" s="4"/>
    </row>
    <row r="18023" spans="5:25">
      <c r="E18023"/>
      <c r="G18023"/>
      <c r="H18023"/>
      <c r="I18023"/>
      <c r="K18023"/>
      <c r="O18023"/>
      <c r="R18023"/>
      <c r="W18023" s="4"/>
      <c r="X18023" s="4"/>
      <c r="Y18023" s="4"/>
    </row>
    <row r="18024" spans="5:25">
      <c r="E18024"/>
      <c r="G18024"/>
      <c r="H18024"/>
      <c r="I18024"/>
      <c r="K18024"/>
      <c r="O18024"/>
      <c r="R18024"/>
      <c r="W18024" s="4"/>
      <c r="X18024" s="4"/>
      <c r="Y18024" s="4"/>
    </row>
    <row r="18025" spans="5:25">
      <c r="E18025"/>
      <c r="G18025"/>
      <c r="H18025"/>
      <c r="I18025"/>
      <c r="K18025"/>
      <c r="O18025"/>
      <c r="R18025"/>
      <c r="W18025" s="4"/>
      <c r="X18025" s="4"/>
      <c r="Y18025" s="4"/>
    </row>
    <row r="18026" spans="5:25">
      <c r="E18026"/>
      <c r="G18026"/>
      <c r="H18026"/>
      <c r="I18026"/>
      <c r="K18026"/>
      <c r="O18026"/>
      <c r="R18026"/>
      <c r="W18026" s="4"/>
      <c r="X18026" s="4"/>
      <c r="Y18026" s="4"/>
    </row>
    <row r="18027" spans="5:25">
      <c r="E18027"/>
      <c r="G18027"/>
      <c r="H18027"/>
      <c r="I18027"/>
      <c r="K18027"/>
      <c r="O18027"/>
      <c r="R18027"/>
      <c r="W18027" s="4"/>
      <c r="X18027" s="4"/>
      <c r="Y18027" s="4"/>
    </row>
    <row r="18028" spans="5:25">
      <c r="E18028"/>
      <c r="G18028"/>
      <c r="H18028"/>
      <c r="I18028"/>
      <c r="K18028"/>
      <c r="O18028"/>
      <c r="R18028"/>
      <c r="W18028" s="4"/>
      <c r="X18028" s="4"/>
      <c r="Y18028" s="4"/>
    </row>
    <row r="18029" spans="5:25">
      <c r="E18029"/>
      <c r="G18029"/>
      <c r="H18029"/>
      <c r="I18029"/>
      <c r="K18029"/>
      <c r="O18029"/>
      <c r="R18029"/>
      <c r="W18029" s="4"/>
      <c r="X18029" s="4"/>
      <c r="Y18029" s="4"/>
    </row>
    <row r="18030" spans="5:25">
      <c r="E18030"/>
      <c r="G18030"/>
      <c r="H18030"/>
      <c r="I18030"/>
      <c r="K18030"/>
      <c r="O18030"/>
      <c r="R18030"/>
      <c r="W18030" s="4"/>
      <c r="X18030" s="4"/>
      <c r="Y18030" s="4"/>
    </row>
    <row r="18031" spans="5:25">
      <c r="E18031"/>
      <c r="G18031"/>
      <c r="H18031"/>
      <c r="I18031"/>
      <c r="K18031"/>
      <c r="O18031"/>
      <c r="R18031"/>
      <c r="W18031" s="4"/>
      <c r="X18031" s="4"/>
      <c r="Y18031" s="4"/>
    </row>
    <row r="18032" spans="5:25">
      <c r="E18032"/>
      <c r="G18032"/>
      <c r="H18032"/>
      <c r="I18032"/>
      <c r="K18032"/>
      <c r="O18032"/>
      <c r="R18032"/>
      <c r="W18032" s="4"/>
      <c r="X18032" s="4"/>
      <c r="Y18032" s="4"/>
    </row>
    <row r="18033" spans="5:25">
      <c r="E18033"/>
      <c r="G18033"/>
      <c r="H18033"/>
      <c r="I18033"/>
      <c r="K18033"/>
      <c r="O18033"/>
      <c r="R18033"/>
      <c r="W18033" s="4"/>
      <c r="X18033" s="4"/>
      <c r="Y18033" s="4"/>
    </row>
    <row r="18034" spans="5:25">
      <c r="E18034"/>
      <c r="G18034"/>
      <c r="H18034"/>
      <c r="I18034"/>
      <c r="K18034"/>
      <c r="O18034"/>
      <c r="R18034"/>
      <c r="W18034" s="4"/>
      <c r="X18034" s="4"/>
      <c r="Y18034" s="4"/>
    </row>
    <row r="18035" spans="5:25">
      <c r="E18035"/>
      <c r="G18035"/>
      <c r="H18035"/>
      <c r="I18035"/>
      <c r="K18035"/>
      <c r="O18035"/>
      <c r="R18035"/>
      <c r="W18035" s="4"/>
      <c r="X18035" s="4"/>
      <c r="Y18035" s="4"/>
    </row>
    <row r="18036" spans="5:25">
      <c r="E18036"/>
      <c r="G18036"/>
      <c r="H18036"/>
      <c r="I18036"/>
      <c r="K18036"/>
      <c r="O18036"/>
      <c r="R18036"/>
      <c r="W18036" s="4"/>
      <c r="X18036" s="4"/>
      <c r="Y18036" s="4"/>
    </row>
    <row r="18037" spans="5:25">
      <c r="E18037"/>
      <c r="G18037"/>
      <c r="H18037"/>
      <c r="I18037"/>
      <c r="K18037"/>
      <c r="O18037"/>
      <c r="R18037"/>
      <c r="W18037" s="4"/>
      <c r="X18037" s="4"/>
      <c r="Y18037" s="4"/>
    </row>
    <row r="18038" spans="5:25">
      <c r="E18038"/>
      <c r="G18038"/>
      <c r="H18038"/>
      <c r="I18038"/>
      <c r="K18038"/>
      <c r="O18038"/>
      <c r="R18038"/>
      <c r="W18038" s="4"/>
      <c r="X18038" s="4"/>
      <c r="Y18038" s="4"/>
    </row>
    <row r="18039" spans="5:25">
      <c r="E18039"/>
      <c r="G18039"/>
      <c r="H18039"/>
      <c r="I18039"/>
      <c r="K18039"/>
      <c r="O18039"/>
      <c r="R18039"/>
      <c r="W18039" s="4"/>
      <c r="X18039" s="4"/>
      <c r="Y18039" s="4"/>
    </row>
    <row r="18040" spans="5:25">
      <c r="E18040"/>
      <c r="G18040"/>
      <c r="H18040"/>
      <c r="I18040"/>
      <c r="K18040"/>
      <c r="O18040"/>
      <c r="R18040"/>
      <c r="W18040" s="4"/>
      <c r="X18040" s="4"/>
      <c r="Y18040" s="4"/>
    </row>
    <row r="18041" spans="5:25">
      <c r="E18041"/>
      <c r="G18041"/>
      <c r="H18041"/>
      <c r="I18041"/>
      <c r="K18041"/>
      <c r="O18041"/>
      <c r="R18041"/>
      <c r="W18041" s="4"/>
      <c r="X18041" s="4"/>
      <c r="Y18041" s="4"/>
    </row>
    <row r="18042" spans="5:25">
      <c r="E18042"/>
      <c r="G18042"/>
      <c r="H18042"/>
      <c r="I18042"/>
      <c r="K18042"/>
      <c r="O18042"/>
      <c r="R18042"/>
      <c r="W18042" s="4"/>
      <c r="X18042" s="4"/>
      <c r="Y18042" s="4"/>
    </row>
    <row r="18043" spans="5:25">
      <c r="E18043"/>
      <c r="G18043"/>
      <c r="H18043"/>
      <c r="I18043"/>
      <c r="K18043"/>
      <c r="O18043"/>
      <c r="R18043"/>
      <c r="W18043" s="4"/>
      <c r="X18043" s="4"/>
      <c r="Y18043" s="4"/>
    </row>
    <row r="18044" spans="5:25">
      <c r="E18044"/>
      <c r="G18044"/>
      <c r="H18044"/>
      <c r="I18044"/>
      <c r="K18044"/>
      <c r="O18044"/>
      <c r="R18044"/>
      <c r="W18044" s="4"/>
      <c r="X18044" s="4"/>
      <c r="Y18044" s="4"/>
    </row>
    <row r="18045" spans="5:25">
      <c r="E18045"/>
      <c r="G18045"/>
      <c r="H18045"/>
      <c r="I18045"/>
      <c r="K18045"/>
      <c r="O18045"/>
      <c r="R18045"/>
      <c r="W18045" s="4"/>
      <c r="X18045" s="4"/>
      <c r="Y18045" s="4"/>
    </row>
    <row r="18046" spans="5:25">
      <c r="E18046"/>
      <c r="G18046"/>
      <c r="H18046"/>
      <c r="I18046"/>
      <c r="K18046"/>
      <c r="O18046"/>
      <c r="R18046"/>
      <c r="W18046" s="4"/>
      <c r="X18046" s="4"/>
      <c r="Y18046" s="4"/>
    </row>
    <row r="18047" spans="5:25">
      <c r="E18047"/>
      <c r="G18047"/>
      <c r="H18047"/>
      <c r="I18047"/>
      <c r="K18047"/>
      <c r="O18047"/>
      <c r="R18047"/>
      <c r="W18047" s="4"/>
      <c r="X18047" s="4"/>
      <c r="Y18047" s="4"/>
    </row>
    <row r="18048" spans="5:25">
      <c r="E18048"/>
      <c r="G18048"/>
      <c r="H18048"/>
      <c r="I18048"/>
      <c r="K18048"/>
      <c r="O18048"/>
      <c r="R18048"/>
      <c r="W18048" s="4"/>
      <c r="X18048" s="4"/>
      <c r="Y18048" s="4"/>
    </row>
    <row r="18049" spans="5:25">
      <c r="E18049"/>
      <c r="G18049"/>
      <c r="H18049"/>
      <c r="I18049"/>
      <c r="K18049"/>
      <c r="O18049"/>
      <c r="R18049"/>
      <c r="W18049" s="4"/>
      <c r="X18049" s="4"/>
      <c r="Y18049" s="4"/>
    </row>
    <row r="18050" spans="5:25">
      <c r="E18050"/>
      <c r="G18050"/>
      <c r="H18050"/>
      <c r="I18050"/>
      <c r="K18050"/>
      <c r="O18050"/>
      <c r="R18050"/>
      <c r="W18050" s="4"/>
      <c r="X18050" s="4"/>
      <c r="Y18050" s="4"/>
    </row>
    <row r="18051" spans="5:25">
      <c r="E18051"/>
      <c r="G18051"/>
      <c r="H18051"/>
      <c r="I18051"/>
      <c r="K18051"/>
      <c r="O18051"/>
      <c r="R18051"/>
      <c r="W18051" s="4"/>
      <c r="X18051" s="4"/>
      <c r="Y18051" s="4"/>
    </row>
    <row r="18052" spans="5:25">
      <c r="E18052"/>
      <c r="G18052"/>
      <c r="H18052"/>
      <c r="I18052"/>
      <c r="K18052"/>
      <c r="O18052"/>
      <c r="R18052"/>
      <c r="W18052" s="4"/>
      <c r="X18052" s="4"/>
      <c r="Y18052" s="4"/>
    </row>
    <row r="18053" spans="5:25">
      <c r="E18053"/>
      <c r="G18053"/>
      <c r="H18053"/>
      <c r="I18053"/>
      <c r="K18053"/>
      <c r="O18053"/>
      <c r="R18053"/>
      <c r="W18053" s="4"/>
      <c r="X18053" s="4"/>
      <c r="Y18053" s="4"/>
    </row>
    <row r="18054" spans="5:25">
      <c r="E18054"/>
      <c r="G18054"/>
      <c r="H18054"/>
      <c r="I18054"/>
      <c r="K18054"/>
      <c r="O18054"/>
      <c r="R18054"/>
      <c r="W18054" s="4"/>
      <c r="X18054" s="4"/>
      <c r="Y18054" s="4"/>
    </row>
    <row r="18055" spans="5:25">
      <c r="E18055"/>
      <c r="G18055"/>
      <c r="H18055"/>
      <c r="I18055"/>
      <c r="K18055"/>
      <c r="O18055"/>
      <c r="R18055"/>
      <c r="W18055" s="4"/>
      <c r="X18055" s="4"/>
      <c r="Y18055" s="4"/>
    </row>
    <row r="18056" spans="5:25">
      <c r="E18056"/>
      <c r="G18056"/>
      <c r="H18056"/>
      <c r="I18056"/>
      <c r="K18056"/>
      <c r="O18056"/>
      <c r="R18056"/>
      <c r="W18056" s="4"/>
      <c r="X18056" s="4"/>
      <c r="Y18056" s="4"/>
    </row>
    <row r="18057" spans="5:25">
      <c r="E18057"/>
      <c r="G18057"/>
      <c r="H18057"/>
      <c r="I18057"/>
      <c r="K18057"/>
      <c r="O18057"/>
      <c r="R18057"/>
      <c r="W18057" s="4"/>
      <c r="X18057" s="4"/>
      <c r="Y18057" s="4"/>
    </row>
    <row r="18058" spans="5:25">
      <c r="E18058"/>
      <c r="G18058"/>
      <c r="H18058"/>
      <c r="I18058"/>
      <c r="K18058"/>
      <c r="O18058"/>
      <c r="R18058"/>
      <c r="W18058" s="4"/>
      <c r="X18058" s="4"/>
      <c r="Y18058" s="4"/>
    </row>
    <row r="18059" spans="5:25">
      <c r="E18059"/>
      <c r="G18059"/>
      <c r="H18059"/>
      <c r="I18059"/>
      <c r="K18059"/>
      <c r="O18059"/>
      <c r="R18059"/>
      <c r="W18059" s="4"/>
      <c r="X18059" s="4"/>
      <c r="Y18059" s="4"/>
    </row>
    <row r="18060" spans="5:25">
      <c r="E18060"/>
      <c r="G18060"/>
      <c r="H18060"/>
      <c r="I18060"/>
      <c r="K18060"/>
      <c r="O18060"/>
      <c r="R18060"/>
      <c r="W18060" s="4"/>
      <c r="X18060" s="4"/>
      <c r="Y18060" s="4"/>
    </row>
    <row r="18061" spans="5:25">
      <c r="E18061"/>
      <c r="G18061"/>
      <c r="H18061"/>
      <c r="I18061"/>
      <c r="K18061"/>
      <c r="O18061"/>
      <c r="R18061"/>
      <c r="W18061" s="4"/>
      <c r="X18061" s="4"/>
      <c r="Y18061" s="4"/>
    </row>
    <row r="18062" spans="5:25">
      <c r="E18062"/>
      <c r="G18062"/>
      <c r="H18062"/>
      <c r="I18062"/>
      <c r="K18062"/>
      <c r="O18062"/>
      <c r="R18062"/>
      <c r="W18062" s="4"/>
      <c r="X18062" s="4"/>
      <c r="Y18062" s="4"/>
    </row>
    <row r="18063" spans="5:25">
      <c r="E18063"/>
      <c r="G18063"/>
      <c r="H18063"/>
      <c r="I18063"/>
      <c r="K18063"/>
      <c r="O18063"/>
      <c r="R18063"/>
      <c r="W18063" s="4"/>
      <c r="X18063" s="4"/>
      <c r="Y18063" s="4"/>
    </row>
    <row r="18064" spans="5:25">
      <c r="E18064"/>
      <c r="G18064"/>
      <c r="H18064"/>
      <c r="I18064"/>
      <c r="K18064"/>
      <c r="O18064"/>
      <c r="R18064"/>
      <c r="W18064" s="4"/>
      <c r="X18064" s="4"/>
      <c r="Y18064" s="4"/>
    </row>
    <row r="18065" spans="5:25">
      <c r="E18065"/>
      <c r="G18065"/>
      <c r="H18065"/>
      <c r="I18065"/>
      <c r="K18065"/>
      <c r="O18065"/>
      <c r="R18065"/>
      <c r="W18065" s="4"/>
      <c r="X18065" s="4"/>
      <c r="Y18065" s="4"/>
    </row>
    <row r="18066" spans="5:25">
      <c r="E18066"/>
      <c r="G18066"/>
      <c r="H18066"/>
      <c r="I18066"/>
      <c r="K18066"/>
      <c r="O18066"/>
      <c r="R18066"/>
      <c r="W18066" s="4"/>
      <c r="X18066" s="4"/>
      <c r="Y18066" s="4"/>
    </row>
    <row r="18067" spans="5:25">
      <c r="E18067"/>
      <c r="G18067"/>
      <c r="H18067"/>
      <c r="I18067"/>
      <c r="K18067"/>
      <c r="O18067"/>
      <c r="R18067"/>
      <c r="W18067" s="4"/>
      <c r="X18067" s="4"/>
      <c r="Y18067" s="4"/>
    </row>
    <row r="18068" spans="5:25">
      <c r="E18068"/>
      <c r="G18068"/>
      <c r="H18068"/>
      <c r="I18068"/>
      <c r="K18068"/>
      <c r="O18068"/>
      <c r="R18068"/>
      <c r="W18068" s="4"/>
      <c r="X18068" s="4"/>
      <c r="Y18068" s="4"/>
    </row>
    <row r="18069" spans="5:25">
      <c r="E18069"/>
      <c r="G18069"/>
      <c r="H18069"/>
      <c r="I18069"/>
      <c r="K18069"/>
      <c r="O18069"/>
      <c r="R18069"/>
      <c r="W18069" s="4"/>
      <c r="X18069" s="4"/>
      <c r="Y18069" s="4"/>
    </row>
    <row r="18070" spans="5:25">
      <c r="E18070"/>
      <c r="G18070"/>
      <c r="H18070"/>
      <c r="I18070"/>
      <c r="K18070"/>
      <c r="O18070"/>
      <c r="R18070"/>
      <c r="W18070" s="4"/>
      <c r="X18070" s="4"/>
      <c r="Y18070" s="4"/>
    </row>
    <row r="18071" spans="5:25">
      <c r="E18071"/>
      <c r="G18071"/>
      <c r="H18071"/>
      <c r="I18071"/>
      <c r="K18071"/>
      <c r="O18071"/>
      <c r="R18071"/>
      <c r="W18071" s="4"/>
      <c r="X18071" s="4"/>
      <c r="Y18071" s="4"/>
    </row>
    <row r="18072" spans="5:25">
      <c r="E18072"/>
      <c r="G18072"/>
      <c r="H18072"/>
      <c r="I18072"/>
      <c r="K18072"/>
      <c r="O18072"/>
      <c r="R18072"/>
      <c r="W18072" s="4"/>
      <c r="X18072" s="4"/>
      <c r="Y18072" s="4"/>
    </row>
    <row r="18073" spans="5:25">
      <c r="E18073"/>
      <c r="G18073"/>
      <c r="H18073"/>
      <c r="I18073"/>
      <c r="K18073"/>
      <c r="O18073"/>
      <c r="R18073"/>
      <c r="W18073" s="4"/>
      <c r="X18073" s="4"/>
      <c r="Y18073" s="4"/>
    </row>
    <row r="18074" spans="5:25">
      <c r="E18074"/>
      <c r="G18074"/>
      <c r="H18074"/>
      <c r="I18074"/>
      <c r="K18074"/>
      <c r="O18074"/>
      <c r="R18074"/>
      <c r="W18074" s="4"/>
      <c r="X18074" s="4"/>
      <c r="Y18074" s="4"/>
    </row>
    <row r="18075" spans="5:25">
      <c r="E18075"/>
      <c r="G18075"/>
      <c r="H18075"/>
      <c r="I18075"/>
      <c r="K18075"/>
      <c r="O18075"/>
      <c r="R18075"/>
      <c r="W18075" s="4"/>
      <c r="X18075" s="4"/>
      <c r="Y18075" s="4"/>
    </row>
    <row r="18076" spans="5:25">
      <c r="E18076"/>
      <c r="G18076"/>
      <c r="H18076"/>
      <c r="I18076"/>
      <c r="K18076"/>
      <c r="O18076"/>
      <c r="R18076"/>
      <c r="W18076" s="4"/>
      <c r="X18076" s="4"/>
      <c r="Y18076" s="4"/>
    </row>
    <row r="18077" spans="5:25">
      <c r="E18077"/>
      <c r="G18077"/>
      <c r="H18077"/>
      <c r="I18077"/>
      <c r="K18077"/>
      <c r="O18077"/>
      <c r="R18077"/>
      <c r="W18077" s="4"/>
      <c r="X18077" s="4"/>
      <c r="Y18077" s="4"/>
    </row>
    <row r="18078" spans="5:25">
      <c r="E18078"/>
      <c r="G18078"/>
      <c r="H18078"/>
      <c r="I18078"/>
      <c r="K18078"/>
      <c r="O18078"/>
      <c r="R18078"/>
      <c r="W18078" s="4"/>
      <c r="X18078" s="4"/>
      <c r="Y18078" s="4"/>
    </row>
    <row r="18079" spans="5:25">
      <c r="E18079"/>
      <c r="G18079"/>
      <c r="H18079"/>
      <c r="I18079"/>
      <c r="K18079"/>
      <c r="O18079"/>
      <c r="R18079"/>
      <c r="W18079" s="4"/>
      <c r="X18079" s="4"/>
      <c r="Y18079" s="4"/>
    </row>
    <row r="18080" spans="5:25">
      <c r="E18080"/>
      <c r="G18080"/>
      <c r="H18080"/>
      <c r="I18080"/>
      <c r="K18080"/>
      <c r="O18080"/>
      <c r="R18080"/>
      <c r="W18080" s="4"/>
      <c r="X18080" s="4"/>
      <c r="Y18080" s="4"/>
    </row>
    <row r="18081" spans="5:25">
      <c r="E18081"/>
      <c r="G18081"/>
      <c r="H18081"/>
      <c r="I18081"/>
      <c r="K18081"/>
      <c r="O18081"/>
      <c r="R18081"/>
      <c r="W18081" s="4"/>
      <c r="X18081" s="4"/>
      <c r="Y18081" s="4"/>
    </row>
    <row r="18082" spans="5:25">
      <c r="E18082"/>
      <c r="G18082"/>
      <c r="H18082"/>
      <c r="I18082"/>
      <c r="K18082"/>
      <c r="O18082"/>
      <c r="R18082"/>
      <c r="W18082" s="4"/>
      <c r="X18082" s="4"/>
      <c r="Y18082" s="4"/>
    </row>
    <row r="18083" spans="5:25">
      <c r="E18083"/>
      <c r="G18083"/>
      <c r="H18083"/>
      <c r="I18083"/>
      <c r="K18083"/>
      <c r="O18083"/>
      <c r="R18083"/>
      <c r="W18083" s="4"/>
      <c r="X18083" s="4"/>
      <c r="Y18083" s="4"/>
    </row>
    <row r="18084" spans="5:25">
      <c r="E18084"/>
      <c r="G18084"/>
      <c r="H18084"/>
      <c r="I18084"/>
      <c r="K18084"/>
      <c r="O18084"/>
      <c r="R18084"/>
      <c r="W18084" s="4"/>
      <c r="X18084" s="4"/>
      <c r="Y18084" s="4"/>
    </row>
    <row r="18085" spans="5:25">
      <c r="E18085"/>
      <c r="G18085"/>
      <c r="H18085"/>
      <c r="I18085"/>
      <c r="K18085"/>
      <c r="O18085"/>
      <c r="R18085"/>
      <c r="W18085" s="4"/>
      <c r="X18085" s="4"/>
      <c r="Y18085" s="4"/>
    </row>
    <row r="18086" spans="5:25">
      <c r="E18086"/>
      <c r="G18086"/>
      <c r="H18086"/>
      <c r="I18086"/>
      <c r="K18086"/>
      <c r="O18086"/>
      <c r="R18086"/>
      <c r="W18086" s="4"/>
      <c r="X18086" s="4"/>
      <c r="Y18086" s="4"/>
    </row>
    <row r="18087" spans="5:25">
      <c r="E18087"/>
      <c r="G18087"/>
      <c r="H18087"/>
      <c r="I18087"/>
      <c r="K18087"/>
      <c r="O18087"/>
      <c r="R18087"/>
      <c r="W18087" s="4"/>
      <c r="X18087" s="4"/>
      <c r="Y18087" s="4"/>
    </row>
    <row r="18088" spans="5:25">
      <c r="E18088"/>
      <c r="G18088"/>
      <c r="H18088"/>
      <c r="I18088"/>
      <c r="K18088"/>
      <c r="O18088"/>
      <c r="R18088"/>
      <c r="W18088" s="4"/>
      <c r="X18088" s="4"/>
      <c r="Y18088" s="4"/>
    </row>
    <row r="18089" spans="5:25">
      <c r="E18089"/>
      <c r="G18089"/>
      <c r="H18089"/>
      <c r="I18089"/>
      <c r="K18089"/>
      <c r="O18089"/>
      <c r="R18089"/>
      <c r="W18089" s="4"/>
      <c r="X18089" s="4"/>
      <c r="Y18089" s="4"/>
    </row>
    <row r="18090" spans="5:25">
      <c r="E18090"/>
      <c r="G18090"/>
      <c r="H18090"/>
      <c r="I18090"/>
      <c r="K18090"/>
      <c r="O18090"/>
      <c r="R18090"/>
      <c r="W18090" s="4"/>
      <c r="X18090" s="4"/>
      <c r="Y18090" s="4"/>
    </row>
    <row r="18091" spans="5:25">
      <c r="E18091"/>
      <c r="G18091"/>
      <c r="H18091"/>
      <c r="I18091"/>
      <c r="K18091"/>
      <c r="O18091"/>
      <c r="R18091"/>
      <c r="W18091" s="4"/>
      <c r="X18091" s="4"/>
      <c r="Y18091" s="4"/>
    </row>
    <row r="18092" spans="5:25">
      <c r="E18092"/>
      <c r="G18092"/>
      <c r="H18092"/>
      <c r="I18092"/>
      <c r="K18092"/>
      <c r="O18092"/>
      <c r="R18092"/>
      <c r="W18092" s="4"/>
      <c r="X18092" s="4"/>
      <c r="Y18092" s="4"/>
    </row>
    <row r="18093" spans="5:25">
      <c r="E18093"/>
      <c r="G18093"/>
      <c r="H18093"/>
      <c r="I18093"/>
      <c r="K18093"/>
      <c r="O18093"/>
      <c r="R18093"/>
      <c r="W18093" s="4"/>
      <c r="X18093" s="4"/>
      <c r="Y18093" s="4"/>
    </row>
    <row r="18094" spans="5:25">
      <c r="E18094"/>
      <c r="G18094"/>
      <c r="H18094"/>
      <c r="I18094"/>
      <c r="K18094"/>
      <c r="O18094"/>
      <c r="R18094"/>
      <c r="W18094" s="4"/>
      <c r="X18094" s="4"/>
      <c r="Y18094" s="4"/>
    </row>
    <row r="18095" spans="5:25">
      <c r="E18095"/>
      <c r="G18095"/>
      <c r="H18095"/>
      <c r="I18095"/>
      <c r="K18095"/>
      <c r="O18095"/>
      <c r="R18095"/>
      <c r="W18095" s="4"/>
      <c r="X18095" s="4"/>
      <c r="Y18095" s="4"/>
    </row>
    <row r="18096" spans="5:25">
      <c r="E18096"/>
      <c r="G18096"/>
      <c r="H18096"/>
      <c r="I18096"/>
      <c r="K18096"/>
      <c r="O18096"/>
      <c r="R18096"/>
      <c r="W18096" s="4"/>
      <c r="X18096" s="4"/>
      <c r="Y18096" s="4"/>
    </row>
    <row r="18097" spans="5:25">
      <c r="E18097"/>
      <c r="G18097"/>
      <c r="H18097"/>
      <c r="I18097"/>
      <c r="K18097"/>
      <c r="O18097"/>
      <c r="R18097"/>
      <c r="W18097" s="4"/>
      <c r="X18097" s="4"/>
      <c r="Y18097" s="4"/>
    </row>
    <row r="18098" spans="5:25">
      <c r="E18098"/>
      <c r="G18098"/>
      <c r="H18098"/>
      <c r="I18098"/>
      <c r="K18098"/>
      <c r="O18098"/>
      <c r="R18098"/>
      <c r="W18098" s="4"/>
      <c r="X18098" s="4"/>
      <c r="Y18098" s="4"/>
    </row>
    <row r="18099" spans="5:25">
      <c r="E18099"/>
      <c r="G18099"/>
      <c r="H18099"/>
      <c r="I18099"/>
      <c r="K18099"/>
      <c r="O18099"/>
      <c r="R18099"/>
      <c r="W18099" s="4"/>
      <c r="X18099" s="4"/>
      <c r="Y18099" s="4"/>
    </row>
    <row r="18100" spans="5:25">
      <c r="E18100"/>
      <c r="G18100"/>
      <c r="H18100"/>
      <c r="I18100"/>
      <c r="K18100"/>
      <c r="O18100"/>
      <c r="R18100"/>
      <c r="W18100" s="4"/>
      <c r="X18100" s="4"/>
      <c r="Y18100" s="4"/>
    </row>
    <row r="18101" spans="5:25">
      <c r="E18101"/>
      <c r="G18101"/>
      <c r="H18101"/>
      <c r="I18101"/>
      <c r="K18101"/>
      <c r="O18101"/>
      <c r="R18101"/>
      <c r="W18101" s="4"/>
      <c r="X18101" s="4"/>
      <c r="Y18101" s="4"/>
    </row>
    <row r="18102" spans="5:25">
      <c r="E18102"/>
      <c r="G18102"/>
      <c r="H18102"/>
      <c r="I18102"/>
      <c r="K18102"/>
      <c r="O18102"/>
      <c r="R18102"/>
      <c r="W18102" s="4"/>
      <c r="X18102" s="4"/>
      <c r="Y18102" s="4"/>
    </row>
    <row r="18103" spans="5:25">
      <c r="E18103"/>
      <c r="G18103"/>
      <c r="H18103"/>
      <c r="I18103"/>
      <c r="K18103"/>
      <c r="O18103"/>
      <c r="R18103"/>
      <c r="W18103" s="4"/>
      <c r="X18103" s="4"/>
      <c r="Y18103" s="4"/>
    </row>
    <row r="18104" spans="5:25">
      <c r="E18104"/>
      <c r="G18104"/>
      <c r="H18104"/>
      <c r="I18104"/>
      <c r="K18104"/>
      <c r="O18104"/>
      <c r="R18104"/>
      <c r="W18104" s="4"/>
      <c r="X18104" s="4"/>
      <c r="Y18104" s="4"/>
    </row>
    <row r="18105" spans="5:25">
      <c r="E18105"/>
      <c r="G18105"/>
      <c r="H18105"/>
      <c r="I18105"/>
      <c r="K18105"/>
      <c r="O18105"/>
      <c r="R18105"/>
      <c r="W18105" s="4"/>
      <c r="X18105" s="4"/>
      <c r="Y18105" s="4"/>
    </row>
    <row r="18106" spans="5:25">
      <c r="E18106"/>
      <c r="G18106"/>
      <c r="H18106"/>
      <c r="I18106"/>
      <c r="K18106"/>
      <c r="O18106"/>
      <c r="R18106"/>
      <c r="W18106" s="4"/>
      <c r="X18106" s="4"/>
      <c r="Y18106" s="4"/>
    </row>
    <row r="18107" spans="5:25">
      <c r="E18107"/>
      <c r="G18107"/>
      <c r="H18107"/>
      <c r="I18107"/>
      <c r="K18107"/>
      <c r="O18107"/>
      <c r="R18107"/>
      <c r="W18107" s="4"/>
      <c r="X18107" s="4"/>
      <c r="Y18107" s="4"/>
    </row>
    <row r="18108" spans="5:25">
      <c r="E18108"/>
      <c r="G18108"/>
      <c r="H18108"/>
      <c r="I18108"/>
      <c r="K18108"/>
      <c r="O18108"/>
      <c r="R18108"/>
      <c r="W18108" s="4"/>
      <c r="X18108" s="4"/>
      <c r="Y18108" s="4"/>
    </row>
    <row r="18109" spans="5:25">
      <c r="E18109"/>
      <c r="G18109"/>
      <c r="H18109"/>
      <c r="I18109"/>
      <c r="K18109"/>
      <c r="O18109"/>
      <c r="R18109"/>
      <c r="W18109" s="4"/>
      <c r="X18109" s="4"/>
      <c r="Y18109" s="4"/>
    </row>
    <row r="18110" spans="5:25">
      <c r="E18110"/>
      <c r="G18110"/>
      <c r="H18110"/>
      <c r="I18110"/>
      <c r="K18110"/>
      <c r="O18110"/>
      <c r="R18110"/>
      <c r="W18110" s="4"/>
      <c r="X18110" s="4"/>
      <c r="Y18110" s="4"/>
    </row>
    <row r="18111" spans="5:25">
      <c r="E18111"/>
      <c r="G18111"/>
      <c r="H18111"/>
      <c r="I18111"/>
      <c r="K18111"/>
      <c r="O18111"/>
      <c r="R18111"/>
      <c r="W18111" s="4"/>
      <c r="X18111" s="4"/>
      <c r="Y18111" s="4"/>
    </row>
    <row r="18112" spans="5:25">
      <c r="E18112"/>
      <c r="G18112"/>
      <c r="H18112"/>
      <c r="I18112"/>
      <c r="K18112"/>
      <c r="O18112"/>
      <c r="R18112"/>
      <c r="W18112" s="4"/>
      <c r="X18112" s="4"/>
      <c r="Y18112" s="4"/>
    </row>
    <row r="18113" spans="5:25">
      <c r="E18113"/>
      <c r="G18113"/>
      <c r="H18113"/>
      <c r="I18113"/>
      <c r="K18113"/>
      <c r="O18113"/>
      <c r="R18113"/>
      <c r="W18113" s="4"/>
      <c r="X18113" s="4"/>
      <c r="Y18113" s="4"/>
    </row>
    <row r="18114" spans="5:25">
      <c r="E18114"/>
      <c r="G18114"/>
      <c r="H18114"/>
      <c r="I18114"/>
      <c r="K18114"/>
      <c r="O18114"/>
      <c r="R18114"/>
      <c r="W18114" s="4"/>
      <c r="X18114" s="4"/>
      <c r="Y18114" s="4"/>
    </row>
    <row r="18115" spans="5:25">
      <c r="E18115"/>
      <c r="G18115"/>
      <c r="H18115"/>
      <c r="I18115"/>
      <c r="K18115"/>
      <c r="O18115"/>
      <c r="R18115"/>
      <c r="W18115" s="4"/>
      <c r="X18115" s="4"/>
      <c r="Y18115" s="4"/>
    </row>
    <row r="18116" spans="5:25">
      <c r="E18116"/>
      <c r="G18116"/>
      <c r="H18116"/>
      <c r="I18116"/>
      <c r="K18116"/>
      <c r="O18116"/>
      <c r="R18116"/>
      <c r="W18116" s="4"/>
      <c r="X18116" s="4"/>
      <c r="Y18116" s="4"/>
    </row>
    <row r="18117" spans="5:25">
      <c r="E18117"/>
      <c r="G18117"/>
      <c r="H18117"/>
      <c r="I18117"/>
      <c r="K18117"/>
      <c r="O18117"/>
      <c r="R18117"/>
      <c r="W18117" s="4"/>
      <c r="X18117" s="4"/>
      <c r="Y18117" s="4"/>
    </row>
    <row r="18118" spans="5:25">
      <c r="E18118"/>
      <c r="G18118"/>
      <c r="H18118"/>
      <c r="I18118"/>
      <c r="K18118"/>
      <c r="O18118"/>
      <c r="R18118"/>
      <c r="W18118" s="4"/>
      <c r="X18118" s="4"/>
      <c r="Y18118" s="4"/>
    </row>
    <row r="18119" spans="5:25">
      <c r="E18119"/>
      <c r="G18119"/>
      <c r="H18119"/>
      <c r="I18119"/>
      <c r="K18119"/>
      <c r="O18119"/>
      <c r="R18119"/>
      <c r="W18119" s="4"/>
      <c r="X18119" s="4"/>
      <c r="Y18119" s="4"/>
    </row>
    <row r="18120" spans="5:25">
      <c r="E18120"/>
      <c r="G18120"/>
      <c r="H18120"/>
      <c r="I18120"/>
      <c r="K18120"/>
      <c r="O18120"/>
      <c r="R18120"/>
      <c r="W18120" s="4"/>
      <c r="X18120" s="4"/>
      <c r="Y18120" s="4"/>
    </row>
    <row r="18121" spans="5:25">
      <c r="E18121"/>
      <c r="G18121"/>
      <c r="H18121"/>
      <c r="I18121"/>
      <c r="K18121"/>
      <c r="O18121"/>
      <c r="R18121"/>
      <c r="W18121" s="4"/>
      <c r="X18121" s="4"/>
      <c r="Y18121" s="4"/>
    </row>
    <row r="18122" spans="5:25">
      <c r="E18122"/>
      <c r="G18122"/>
      <c r="H18122"/>
      <c r="I18122"/>
      <c r="K18122"/>
      <c r="O18122"/>
      <c r="R18122"/>
      <c r="W18122" s="4"/>
      <c r="X18122" s="4"/>
      <c r="Y18122" s="4"/>
    </row>
    <row r="18123" spans="5:25">
      <c r="E18123"/>
      <c r="G18123"/>
      <c r="H18123"/>
      <c r="I18123"/>
      <c r="K18123"/>
      <c r="O18123"/>
      <c r="R18123"/>
      <c r="W18123" s="4"/>
      <c r="X18123" s="4"/>
      <c r="Y18123" s="4"/>
    </row>
    <row r="18124" spans="5:25">
      <c r="E18124"/>
      <c r="G18124"/>
      <c r="H18124"/>
      <c r="I18124"/>
      <c r="K18124"/>
      <c r="O18124"/>
      <c r="R18124"/>
      <c r="W18124" s="4"/>
      <c r="X18124" s="4"/>
      <c r="Y18124" s="4"/>
    </row>
    <row r="18125" spans="5:25">
      <c r="E18125"/>
      <c r="G18125"/>
      <c r="H18125"/>
      <c r="I18125"/>
      <c r="K18125"/>
      <c r="O18125"/>
      <c r="R18125"/>
      <c r="W18125" s="4"/>
      <c r="X18125" s="4"/>
      <c r="Y18125" s="4"/>
    </row>
    <row r="18126" spans="5:25">
      <c r="E18126"/>
      <c r="G18126"/>
      <c r="H18126"/>
      <c r="I18126"/>
      <c r="K18126"/>
      <c r="O18126"/>
      <c r="R18126"/>
      <c r="W18126" s="4"/>
      <c r="X18126" s="4"/>
      <c r="Y18126" s="4"/>
    </row>
    <row r="18127" spans="5:25">
      <c r="E18127"/>
      <c r="G18127"/>
      <c r="H18127"/>
      <c r="I18127"/>
      <c r="K18127"/>
      <c r="O18127"/>
      <c r="R18127"/>
      <c r="W18127" s="4"/>
      <c r="X18127" s="4"/>
      <c r="Y18127" s="4"/>
    </row>
    <row r="18128" spans="5:25">
      <c r="E18128"/>
      <c r="G18128"/>
      <c r="H18128"/>
      <c r="I18128"/>
      <c r="K18128"/>
      <c r="O18128"/>
      <c r="R18128"/>
      <c r="W18128" s="4"/>
      <c r="X18128" s="4"/>
      <c r="Y18128" s="4"/>
    </row>
    <row r="18129" spans="5:25">
      <c r="E18129"/>
      <c r="G18129"/>
      <c r="H18129"/>
      <c r="I18129"/>
      <c r="K18129"/>
      <c r="O18129"/>
      <c r="R18129"/>
      <c r="W18129" s="4"/>
      <c r="X18129" s="4"/>
      <c r="Y18129" s="4"/>
    </row>
    <row r="18130" spans="5:25">
      <c r="E18130"/>
      <c r="G18130"/>
      <c r="H18130"/>
      <c r="I18130"/>
      <c r="K18130"/>
      <c r="O18130"/>
      <c r="R18130"/>
      <c r="W18130" s="4"/>
      <c r="X18130" s="4"/>
      <c r="Y18130" s="4"/>
    </row>
    <row r="18131" spans="5:25">
      <c r="E18131"/>
      <c r="G18131"/>
      <c r="H18131"/>
      <c r="I18131"/>
      <c r="K18131"/>
      <c r="O18131"/>
      <c r="R18131"/>
      <c r="W18131" s="4"/>
      <c r="X18131" s="4"/>
      <c r="Y18131" s="4"/>
    </row>
    <row r="18132" spans="5:25">
      <c r="E18132"/>
      <c r="G18132"/>
      <c r="H18132"/>
      <c r="I18132"/>
      <c r="K18132"/>
      <c r="O18132"/>
      <c r="R18132"/>
      <c r="W18132" s="4"/>
      <c r="X18132" s="4"/>
      <c r="Y18132" s="4"/>
    </row>
    <row r="18133" spans="5:25">
      <c r="E18133"/>
      <c r="G18133"/>
      <c r="H18133"/>
      <c r="I18133"/>
      <c r="K18133"/>
      <c r="O18133"/>
      <c r="R18133"/>
      <c r="W18133" s="4"/>
      <c r="X18133" s="4"/>
      <c r="Y18133" s="4"/>
    </row>
    <row r="18134" spans="5:25">
      <c r="E18134"/>
      <c r="G18134"/>
      <c r="H18134"/>
      <c r="I18134"/>
      <c r="K18134"/>
      <c r="O18134"/>
      <c r="R18134"/>
      <c r="W18134" s="4"/>
      <c r="X18134" s="4"/>
      <c r="Y18134" s="4"/>
    </row>
    <row r="18135" spans="5:25">
      <c r="E18135"/>
      <c r="G18135"/>
      <c r="H18135"/>
      <c r="I18135"/>
      <c r="K18135"/>
      <c r="O18135"/>
      <c r="R18135"/>
      <c r="W18135" s="4"/>
      <c r="X18135" s="4"/>
      <c r="Y18135" s="4"/>
    </row>
    <row r="18136" spans="5:25">
      <c r="E18136"/>
      <c r="G18136"/>
      <c r="H18136"/>
      <c r="I18136"/>
      <c r="K18136"/>
      <c r="O18136"/>
      <c r="R18136"/>
      <c r="W18136" s="4"/>
      <c r="X18136" s="4"/>
      <c r="Y18136" s="4"/>
    </row>
    <row r="18137" spans="5:25">
      <c r="E18137"/>
      <c r="G18137"/>
      <c r="H18137"/>
      <c r="I18137"/>
      <c r="K18137"/>
      <c r="O18137"/>
      <c r="R18137"/>
      <c r="W18137" s="4"/>
      <c r="X18137" s="4"/>
      <c r="Y18137" s="4"/>
    </row>
    <row r="18138" spans="5:25">
      <c r="E18138"/>
      <c r="G18138"/>
      <c r="H18138"/>
      <c r="I18138"/>
      <c r="K18138"/>
      <c r="O18138"/>
      <c r="R18138"/>
      <c r="W18138" s="4"/>
      <c r="X18138" s="4"/>
      <c r="Y18138" s="4"/>
    </row>
    <row r="18139" spans="5:25">
      <c r="E18139"/>
      <c r="G18139"/>
      <c r="H18139"/>
      <c r="I18139"/>
      <c r="K18139"/>
      <c r="O18139"/>
      <c r="R18139"/>
      <c r="W18139" s="4"/>
      <c r="X18139" s="4"/>
      <c r="Y18139" s="4"/>
    </row>
    <row r="18140" spans="5:25">
      <c r="E18140"/>
      <c r="G18140"/>
      <c r="H18140"/>
      <c r="I18140"/>
      <c r="K18140"/>
      <c r="O18140"/>
      <c r="R18140"/>
      <c r="W18140" s="4"/>
      <c r="X18140" s="4"/>
      <c r="Y18140" s="4"/>
    </row>
    <row r="18141" spans="5:25">
      <c r="E18141"/>
      <c r="G18141"/>
      <c r="H18141"/>
      <c r="I18141"/>
      <c r="K18141"/>
      <c r="O18141"/>
      <c r="R18141"/>
      <c r="W18141" s="4"/>
      <c r="X18141" s="4"/>
      <c r="Y18141" s="4"/>
    </row>
    <row r="18142" spans="5:25">
      <c r="E18142"/>
      <c r="G18142"/>
      <c r="H18142"/>
      <c r="I18142"/>
      <c r="K18142"/>
      <c r="O18142"/>
      <c r="R18142"/>
      <c r="W18142" s="4"/>
      <c r="X18142" s="4"/>
      <c r="Y18142" s="4"/>
    </row>
    <row r="18143" spans="5:25">
      <c r="E18143"/>
      <c r="G18143"/>
      <c r="H18143"/>
      <c r="I18143"/>
      <c r="K18143"/>
      <c r="O18143"/>
      <c r="R18143"/>
      <c r="W18143" s="4"/>
      <c r="X18143" s="4"/>
      <c r="Y18143" s="4"/>
    </row>
    <row r="18144" spans="5:25">
      <c r="E18144"/>
      <c r="G18144"/>
      <c r="H18144"/>
      <c r="I18144"/>
      <c r="K18144"/>
      <c r="O18144"/>
      <c r="R18144"/>
      <c r="W18144" s="4"/>
      <c r="X18144" s="4"/>
      <c r="Y18144" s="4"/>
    </row>
    <row r="18145" spans="5:25">
      <c r="E18145"/>
      <c r="G18145"/>
      <c r="H18145"/>
      <c r="I18145"/>
      <c r="K18145"/>
      <c r="O18145"/>
      <c r="R18145"/>
      <c r="W18145" s="4"/>
      <c r="X18145" s="4"/>
      <c r="Y18145" s="4"/>
    </row>
    <row r="18146" spans="5:25">
      <c r="E18146"/>
      <c r="G18146"/>
      <c r="H18146"/>
      <c r="I18146"/>
      <c r="K18146"/>
      <c r="O18146"/>
      <c r="R18146"/>
      <c r="W18146" s="4"/>
      <c r="X18146" s="4"/>
      <c r="Y18146" s="4"/>
    </row>
    <row r="18147" spans="5:25">
      <c r="E18147"/>
      <c r="G18147"/>
      <c r="H18147"/>
      <c r="I18147"/>
      <c r="K18147"/>
      <c r="O18147"/>
      <c r="R18147"/>
      <c r="W18147" s="4"/>
      <c r="X18147" s="4"/>
      <c r="Y18147" s="4"/>
    </row>
    <row r="18148" spans="5:25">
      <c r="E18148"/>
      <c r="G18148"/>
      <c r="H18148"/>
      <c r="I18148"/>
      <c r="K18148"/>
      <c r="O18148"/>
      <c r="R18148"/>
      <c r="W18148" s="4"/>
      <c r="X18148" s="4"/>
      <c r="Y18148" s="4"/>
    </row>
    <row r="18149" spans="5:25">
      <c r="E18149"/>
      <c r="G18149"/>
      <c r="H18149"/>
      <c r="I18149"/>
      <c r="K18149"/>
      <c r="O18149"/>
      <c r="R18149"/>
      <c r="W18149" s="4"/>
      <c r="X18149" s="4"/>
      <c r="Y18149" s="4"/>
    </row>
    <row r="18150" spans="5:25">
      <c r="E18150"/>
      <c r="G18150"/>
      <c r="H18150"/>
      <c r="I18150"/>
      <c r="K18150"/>
      <c r="O18150"/>
      <c r="R18150"/>
      <c r="W18150" s="4"/>
      <c r="X18150" s="4"/>
      <c r="Y18150" s="4"/>
    </row>
    <row r="18151" spans="5:25">
      <c r="E18151"/>
      <c r="G18151"/>
      <c r="H18151"/>
      <c r="I18151"/>
      <c r="K18151"/>
      <c r="O18151"/>
      <c r="R18151"/>
      <c r="W18151" s="4"/>
      <c r="X18151" s="4"/>
      <c r="Y18151" s="4"/>
    </row>
    <row r="18152" spans="5:25">
      <c r="E18152"/>
      <c r="G18152"/>
      <c r="H18152"/>
      <c r="I18152"/>
      <c r="K18152"/>
      <c r="O18152"/>
      <c r="R18152"/>
      <c r="W18152" s="4"/>
      <c r="X18152" s="4"/>
      <c r="Y18152" s="4"/>
    </row>
    <row r="18153" spans="5:25">
      <c r="E18153"/>
      <c r="G18153"/>
      <c r="H18153"/>
      <c r="I18153"/>
      <c r="K18153"/>
      <c r="O18153"/>
      <c r="R18153"/>
      <c r="W18153" s="4"/>
      <c r="X18153" s="4"/>
      <c r="Y18153" s="4"/>
    </row>
    <row r="18154" spans="5:25">
      <c r="E18154"/>
      <c r="G18154"/>
      <c r="H18154"/>
      <c r="I18154"/>
      <c r="K18154"/>
      <c r="O18154"/>
      <c r="R18154"/>
      <c r="W18154" s="4"/>
      <c r="X18154" s="4"/>
      <c r="Y18154" s="4"/>
    </row>
    <row r="18155" spans="5:25">
      <c r="E18155"/>
      <c r="G18155"/>
      <c r="H18155"/>
      <c r="I18155"/>
      <c r="K18155"/>
      <c r="O18155"/>
      <c r="R18155"/>
      <c r="W18155" s="4"/>
      <c r="X18155" s="4"/>
      <c r="Y18155" s="4"/>
    </row>
    <row r="18156" spans="5:25">
      <c r="E18156"/>
      <c r="G18156"/>
      <c r="H18156"/>
      <c r="I18156"/>
      <c r="K18156"/>
      <c r="O18156"/>
      <c r="R18156"/>
      <c r="W18156" s="4"/>
      <c r="X18156" s="4"/>
      <c r="Y18156" s="4"/>
    </row>
    <row r="18157" spans="5:25">
      <c r="E18157"/>
      <c r="G18157"/>
      <c r="H18157"/>
      <c r="I18157"/>
      <c r="K18157"/>
      <c r="O18157"/>
      <c r="R18157"/>
      <c r="W18157" s="4"/>
      <c r="X18157" s="4"/>
      <c r="Y18157" s="4"/>
    </row>
    <row r="18158" spans="5:25">
      <c r="E18158"/>
      <c r="G18158"/>
      <c r="H18158"/>
      <c r="I18158"/>
      <c r="K18158"/>
      <c r="O18158"/>
      <c r="R18158"/>
      <c r="W18158" s="4"/>
      <c r="X18158" s="4"/>
      <c r="Y18158" s="4"/>
    </row>
    <row r="18159" spans="5:25">
      <c r="E18159"/>
      <c r="G18159"/>
      <c r="H18159"/>
      <c r="I18159"/>
      <c r="K18159"/>
      <c r="O18159"/>
      <c r="R18159"/>
      <c r="W18159" s="4"/>
      <c r="X18159" s="4"/>
      <c r="Y18159" s="4"/>
    </row>
    <row r="18160" spans="5:25">
      <c r="E18160"/>
      <c r="G18160"/>
      <c r="H18160"/>
      <c r="I18160"/>
      <c r="K18160"/>
      <c r="O18160"/>
      <c r="R18160"/>
      <c r="W18160" s="4"/>
      <c r="X18160" s="4"/>
      <c r="Y18160" s="4"/>
    </row>
    <row r="18161" spans="5:25">
      <c r="E18161"/>
      <c r="G18161"/>
      <c r="H18161"/>
      <c r="I18161"/>
      <c r="K18161"/>
      <c r="O18161"/>
      <c r="R18161"/>
      <c r="W18161" s="4"/>
      <c r="X18161" s="4"/>
      <c r="Y18161" s="4"/>
    </row>
    <row r="18162" spans="5:25">
      <c r="E18162"/>
      <c r="G18162"/>
      <c r="H18162"/>
      <c r="I18162"/>
      <c r="K18162"/>
      <c r="O18162"/>
      <c r="R18162"/>
      <c r="W18162" s="4"/>
      <c r="X18162" s="4"/>
      <c r="Y18162" s="4"/>
    </row>
    <row r="18163" spans="5:25">
      <c r="E18163"/>
      <c r="G18163"/>
      <c r="H18163"/>
      <c r="I18163"/>
      <c r="K18163"/>
      <c r="O18163"/>
      <c r="R18163"/>
      <c r="W18163" s="4"/>
      <c r="X18163" s="4"/>
      <c r="Y18163" s="4"/>
    </row>
    <row r="18164" spans="5:25">
      <c r="E18164"/>
      <c r="G18164"/>
      <c r="H18164"/>
      <c r="I18164"/>
      <c r="K18164"/>
      <c r="O18164"/>
      <c r="R18164"/>
      <c r="W18164" s="4"/>
      <c r="X18164" s="4"/>
      <c r="Y18164" s="4"/>
    </row>
    <row r="18165" spans="5:25">
      <c r="E18165"/>
      <c r="G18165"/>
      <c r="H18165"/>
      <c r="I18165"/>
      <c r="K18165"/>
      <c r="O18165"/>
      <c r="R18165"/>
      <c r="W18165" s="4"/>
      <c r="X18165" s="4"/>
      <c r="Y18165" s="4"/>
    </row>
    <row r="18166" spans="5:25">
      <c r="E18166"/>
      <c r="G18166"/>
      <c r="H18166"/>
      <c r="I18166"/>
      <c r="K18166"/>
      <c r="O18166"/>
      <c r="R18166"/>
      <c r="W18166" s="4"/>
      <c r="X18166" s="4"/>
      <c r="Y18166" s="4"/>
    </row>
    <row r="18167" spans="5:25">
      <c r="E18167"/>
      <c r="G18167"/>
      <c r="H18167"/>
      <c r="I18167"/>
      <c r="K18167"/>
      <c r="O18167"/>
      <c r="R18167"/>
      <c r="W18167" s="4"/>
      <c r="X18167" s="4"/>
      <c r="Y18167" s="4"/>
    </row>
    <row r="18168" spans="5:25">
      <c r="E18168"/>
      <c r="G18168"/>
      <c r="H18168"/>
      <c r="I18168"/>
      <c r="K18168"/>
      <c r="O18168"/>
      <c r="R18168"/>
      <c r="W18168" s="4"/>
      <c r="X18168" s="4"/>
      <c r="Y18168" s="4"/>
    </row>
    <row r="18169" spans="5:25">
      <c r="E18169"/>
      <c r="G18169"/>
      <c r="H18169"/>
      <c r="I18169"/>
      <c r="K18169"/>
      <c r="O18169"/>
      <c r="R18169"/>
      <c r="W18169" s="4"/>
      <c r="X18169" s="4"/>
      <c r="Y18169" s="4"/>
    </row>
    <row r="18170" spans="5:25">
      <c r="E18170"/>
      <c r="G18170"/>
      <c r="H18170"/>
      <c r="I18170"/>
      <c r="K18170"/>
      <c r="O18170"/>
      <c r="R18170"/>
      <c r="W18170" s="4"/>
      <c r="X18170" s="4"/>
      <c r="Y18170" s="4"/>
    </row>
    <row r="18171" spans="5:25">
      <c r="E18171"/>
      <c r="G18171"/>
      <c r="H18171"/>
      <c r="I18171"/>
      <c r="K18171"/>
      <c r="O18171"/>
      <c r="R18171"/>
      <c r="W18171" s="4"/>
      <c r="X18171" s="4"/>
      <c r="Y18171" s="4"/>
    </row>
    <row r="18172" spans="5:25">
      <c r="E18172"/>
      <c r="G18172"/>
      <c r="H18172"/>
      <c r="I18172"/>
      <c r="K18172"/>
      <c r="O18172"/>
      <c r="R18172"/>
      <c r="W18172" s="4"/>
      <c r="X18172" s="4"/>
      <c r="Y18172" s="4"/>
    </row>
    <row r="18173" spans="5:25">
      <c r="E18173"/>
      <c r="G18173"/>
      <c r="H18173"/>
      <c r="I18173"/>
      <c r="K18173"/>
      <c r="O18173"/>
      <c r="R18173"/>
      <c r="W18173" s="4"/>
      <c r="X18173" s="4"/>
      <c r="Y18173" s="4"/>
    </row>
    <row r="18174" spans="5:25">
      <c r="E18174"/>
      <c r="G18174"/>
      <c r="H18174"/>
      <c r="I18174"/>
      <c r="K18174"/>
      <c r="O18174"/>
      <c r="R18174"/>
      <c r="W18174" s="4"/>
      <c r="X18174" s="4"/>
      <c r="Y18174" s="4"/>
    </row>
    <row r="18175" spans="5:25">
      <c r="E18175"/>
      <c r="G18175"/>
      <c r="H18175"/>
      <c r="I18175"/>
      <c r="K18175"/>
      <c r="O18175"/>
      <c r="R18175"/>
      <c r="W18175" s="4"/>
      <c r="X18175" s="4"/>
      <c r="Y18175" s="4"/>
    </row>
    <row r="18176" spans="5:25">
      <c r="E18176"/>
      <c r="G18176"/>
      <c r="H18176"/>
      <c r="I18176"/>
      <c r="K18176"/>
      <c r="O18176"/>
      <c r="R18176"/>
      <c r="W18176" s="4"/>
      <c r="X18176" s="4"/>
      <c r="Y18176" s="4"/>
    </row>
    <row r="18177" spans="5:25">
      <c r="E18177"/>
      <c r="G18177"/>
      <c r="H18177"/>
      <c r="I18177"/>
      <c r="K18177"/>
      <c r="O18177"/>
      <c r="R18177"/>
      <c r="W18177" s="4"/>
      <c r="X18177" s="4"/>
      <c r="Y18177" s="4"/>
    </row>
    <row r="18178" spans="5:25">
      <c r="E18178"/>
      <c r="G18178"/>
      <c r="H18178"/>
      <c r="I18178"/>
      <c r="K18178"/>
      <c r="O18178"/>
      <c r="R18178"/>
      <c r="W18178" s="4"/>
      <c r="X18178" s="4"/>
      <c r="Y18178" s="4"/>
    </row>
    <row r="18179" spans="5:25">
      <c r="E18179"/>
      <c r="G18179"/>
      <c r="H18179"/>
      <c r="I18179"/>
      <c r="K18179"/>
      <c r="O18179"/>
      <c r="R18179"/>
      <c r="W18179" s="4"/>
      <c r="X18179" s="4"/>
      <c r="Y18179" s="4"/>
    </row>
    <row r="18180" spans="5:25">
      <c r="E18180"/>
      <c r="G18180"/>
      <c r="H18180"/>
      <c r="I18180"/>
      <c r="K18180"/>
      <c r="O18180"/>
      <c r="R18180"/>
      <c r="W18180" s="4"/>
      <c r="X18180" s="4"/>
      <c r="Y18180" s="4"/>
    </row>
    <row r="18181" spans="5:25">
      <c r="E18181"/>
      <c r="G18181"/>
      <c r="H18181"/>
      <c r="I18181"/>
      <c r="K18181"/>
      <c r="O18181"/>
      <c r="R18181"/>
      <c r="W18181" s="4"/>
      <c r="X18181" s="4"/>
      <c r="Y18181" s="4"/>
    </row>
    <row r="18182" spans="5:25">
      <c r="E18182"/>
      <c r="G18182"/>
      <c r="H18182"/>
      <c r="I18182"/>
      <c r="K18182"/>
      <c r="O18182"/>
      <c r="R18182"/>
      <c r="W18182" s="4"/>
      <c r="X18182" s="4"/>
      <c r="Y18182" s="4"/>
    </row>
    <row r="18183" spans="5:25">
      <c r="E18183"/>
      <c r="G18183"/>
      <c r="H18183"/>
      <c r="I18183"/>
      <c r="K18183"/>
      <c r="O18183"/>
      <c r="R18183"/>
      <c r="W18183" s="4"/>
      <c r="X18183" s="4"/>
      <c r="Y18183" s="4"/>
    </row>
    <row r="18184" spans="5:25">
      <c r="E18184"/>
      <c r="G18184"/>
      <c r="H18184"/>
      <c r="I18184"/>
      <c r="K18184"/>
      <c r="O18184"/>
      <c r="R18184"/>
      <c r="W18184" s="4"/>
      <c r="X18184" s="4"/>
      <c r="Y18184" s="4"/>
    </row>
    <row r="18185" spans="5:25">
      <c r="E18185"/>
      <c r="G18185"/>
      <c r="H18185"/>
      <c r="I18185"/>
      <c r="K18185"/>
      <c r="O18185"/>
      <c r="R18185"/>
      <c r="W18185" s="4"/>
      <c r="X18185" s="4"/>
      <c r="Y18185" s="4"/>
    </row>
    <row r="18186" spans="5:25">
      <c r="E18186"/>
      <c r="G18186"/>
      <c r="H18186"/>
      <c r="I18186"/>
      <c r="K18186"/>
      <c r="O18186"/>
      <c r="R18186"/>
      <c r="W18186" s="4"/>
      <c r="X18186" s="4"/>
      <c r="Y18186" s="4"/>
    </row>
    <row r="18187" spans="5:25">
      <c r="E18187"/>
      <c r="G18187"/>
      <c r="H18187"/>
      <c r="I18187"/>
      <c r="K18187"/>
      <c r="O18187"/>
      <c r="R18187"/>
      <c r="W18187" s="4"/>
      <c r="X18187" s="4"/>
      <c r="Y18187" s="4"/>
    </row>
    <row r="18188" spans="5:25">
      <c r="E18188"/>
      <c r="G18188"/>
      <c r="H18188"/>
      <c r="I18188"/>
      <c r="K18188"/>
      <c r="O18188"/>
      <c r="R18188"/>
      <c r="W18188" s="4"/>
      <c r="X18188" s="4"/>
      <c r="Y18188" s="4"/>
    </row>
    <row r="18189" spans="5:25">
      <c r="E18189"/>
      <c r="G18189"/>
      <c r="H18189"/>
      <c r="I18189"/>
      <c r="K18189"/>
      <c r="O18189"/>
      <c r="R18189"/>
      <c r="W18189" s="4"/>
      <c r="X18189" s="4"/>
      <c r="Y18189" s="4"/>
    </row>
    <row r="18190" spans="5:25">
      <c r="E18190"/>
      <c r="G18190"/>
      <c r="H18190"/>
      <c r="I18190"/>
      <c r="K18190"/>
      <c r="O18190"/>
      <c r="R18190"/>
      <c r="W18190" s="4"/>
      <c r="X18190" s="4"/>
      <c r="Y18190" s="4"/>
    </row>
    <row r="18191" spans="5:25">
      <c r="E18191"/>
      <c r="G18191"/>
      <c r="H18191"/>
      <c r="I18191"/>
      <c r="K18191"/>
      <c r="O18191"/>
      <c r="R18191"/>
      <c r="W18191" s="4"/>
      <c r="X18191" s="4"/>
      <c r="Y18191" s="4"/>
    </row>
    <row r="18192" spans="5:25">
      <c r="E18192"/>
      <c r="G18192"/>
      <c r="H18192"/>
      <c r="I18192"/>
      <c r="K18192"/>
      <c r="O18192"/>
      <c r="R18192"/>
      <c r="W18192" s="4"/>
      <c r="X18192" s="4"/>
      <c r="Y18192" s="4"/>
    </row>
    <row r="18193" spans="5:25">
      <c r="E18193"/>
      <c r="G18193"/>
      <c r="H18193"/>
      <c r="I18193"/>
      <c r="K18193"/>
      <c r="O18193"/>
      <c r="R18193"/>
      <c r="W18193" s="4"/>
      <c r="X18193" s="4"/>
      <c r="Y18193" s="4"/>
    </row>
    <row r="18194" spans="5:25">
      <c r="E18194"/>
      <c r="G18194"/>
      <c r="H18194"/>
      <c r="I18194"/>
      <c r="K18194"/>
      <c r="O18194"/>
      <c r="R18194"/>
      <c r="W18194" s="4"/>
      <c r="X18194" s="4"/>
      <c r="Y18194" s="4"/>
    </row>
    <row r="18195" spans="5:25">
      <c r="E18195"/>
      <c r="G18195"/>
      <c r="H18195"/>
      <c r="I18195"/>
      <c r="K18195"/>
      <c r="O18195"/>
      <c r="R18195"/>
      <c r="W18195" s="4"/>
      <c r="X18195" s="4"/>
      <c r="Y18195" s="4"/>
    </row>
    <row r="18196" spans="5:25">
      <c r="E18196"/>
      <c r="G18196"/>
      <c r="H18196"/>
      <c r="I18196"/>
      <c r="K18196"/>
      <c r="O18196"/>
      <c r="R18196"/>
      <c r="W18196" s="4"/>
      <c r="X18196" s="4"/>
      <c r="Y18196" s="4"/>
    </row>
    <row r="18197" spans="5:25">
      <c r="E18197"/>
      <c r="G18197"/>
      <c r="H18197"/>
      <c r="I18197"/>
      <c r="K18197"/>
      <c r="O18197"/>
      <c r="R18197"/>
      <c r="W18197" s="4"/>
      <c r="X18197" s="4"/>
      <c r="Y18197" s="4"/>
    </row>
    <row r="18198" spans="5:25">
      <c r="E18198"/>
      <c r="G18198"/>
      <c r="H18198"/>
      <c r="I18198"/>
      <c r="K18198"/>
      <c r="O18198"/>
      <c r="R18198"/>
      <c r="W18198" s="4"/>
      <c r="X18198" s="4"/>
      <c r="Y18198" s="4"/>
    </row>
    <row r="18199" spans="5:25">
      <c r="E18199"/>
      <c r="G18199"/>
      <c r="H18199"/>
      <c r="I18199"/>
      <c r="K18199"/>
      <c r="O18199"/>
      <c r="R18199"/>
      <c r="W18199" s="4"/>
      <c r="X18199" s="4"/>
      <c r="Y18199" s="4"/>
    </row>
    <row r="18200" spans="5:25">
      <c r="E18200"/>
      <c r="G18200"/>
      <c r="H18200"/>
      <c r="I18200"/>
      <c r="K18200"/>
      <c r="O18200"/>
      <c r="R18200"/>
      <c r="W18200" s="4"/>
      <c r="X18200" s="4"/>
      <c r="Y18200" s="4"/>
    </row>
    <row r="18201" spans="5:25">
      <c r="E18201"/>
      <c r="G18201"/>
      <c r="H18201"/>
      <c r="I18201"/>
      <c r="K18201"/>
      <c r="O18201"/>
      <c r="R18201"/>
      <c r="W18201" s="4"/>
      <c r="X18201" s="4"/>
      <c r="Y18201" s="4"/>
    </row>
    <row r="18202" spans="5:25">
      <c r="E18202"/>
      <c r="G18202"/>
      <c r="H18202"/>
      <c r="I18202"/>
      <c r="K18202"/>
      <c r="O18202"/>
      <c r="R18202"/>
      <c r="W18202" s="4"/>
      <c r="X18202" s="4"/>
      <c r="Y18202" s="4"/>
    </row>
    <row r="18203" spans="5:25">
      <c r="E18203"/>
      <c r="G18203"/>
      <c r="H18203"/>
      <c r="I18203"/>
      <c r="K18203"/>
      <c r="O18203"/>
      <c r="R18203"/>
      <c r="W18203" s="4"/>
      <c r="X18203" s="4"/>
      <c r="Y18203" s="4"/>
    </row>
    <row r="18204" spans="5:25">
      <c r="E18204"/>
      <c r="G18204"/>
      <c r="H18204"/>
      <c r="I18204"/>
      <c r="K18204"/>
      <c r="O18204"/>
      <c r="R18204"/>
      <c r="W18204" s="4"/>
      <c r="X18204" s="4"/>
      <c r="Y18204" s="4"/>
    </row>
    <row r="18205" spans="5:25">
      <c r="E18205"/>
      <c r="G18205"/>
      <c r="H18205"/>
      <c r="I18205"/>
      <c r="K18205"/>
      <c r="O18205"/>
      <c r="R18205"/>
      <c r="W18205" s="4"/>
      <c r="X18205" s="4"/>
      <c r="Y18205" s="4"/>
    </row>
    <row r="18206" spans="5:25">
      <c r="E18206"/>
      <c r="G18206"/>
      <c r="H18206"/>
      <c r="I18206"/>
      <c r="K18206"/>
      <c r="O18206"/>
      <c r="R18206"/>
      <c r="W18206" s="4"/>
      <c r="X18206" s="4"/>
      <c r="Y18206" s="4"/>
    </row>
    <row r="18207" spans="5:25">
      <c r="E18207"/>
      <c r="G18207"/>
      <c r="H18207"/>
      <c r="I18207"/>
      <c r="K18207"/>
      <c r="O18207"/>
      <c r="R18207"/>
      <c r="W18207" s="4"/>
      <c r="X18207" s="4"/>
      <c r="Y18207" s="4"/>
    </row>
    <row r="18208" spans="5:25">
      <c r="E18208"/>
      <c r="G18208"/>
      <c r="H18208"/>
      <c r="I18208"/>
      <c r="K18208"/>
      <c r="O18208"/>
      <c r="R18208"/>
      <c r="W18208" s="4"/>
      <c r="X18208" s="4"/>
      <c r="Y18208" s="4"/>
    </row>
    <row r="18209" spans="5:25">
      <c r="E18209"/>
      <c r="G18209"/>
      <c r="H18209"/>
      <c r="I18209"/>
      <c r="K18209"/>
      <c r="O18209"/>
      <c r="R18209"/>
      <c r="W18209" s="4"/>
      <c r="X18209" s="4"/>
      <c r="Y18209" s="4"/>
    </row>
    <row r="18210" spans="5:25">
      <c r="E18210"/>
      <c r="G18210"/>
      <c r="H18210"/>
      <c r="I18210"/>
      <c r="K18210"/>
      <c r="O18210"/>
      <c r="R18210"/>
      <c r="W18210" s="4"/>
      <c r="X18210" s="4"/>
      <c r="Y18210" s="4"/>
    </row>
    <row r="18211" spans="5:25">
      <c r="E18211"/>
      <c r="G18211"/>
      <c r="H18211"/>
      <c r="I18211"/>
      <c r="K18211"/>
      <c r="O18211"/>
      <c r="R18211"/>
      <c r="W18211" s="4"/>
      <c r="X18211" s="4"/>
      <c r="Y18211" s="4"/>
    </row>
    <row r="18212" spans="5:25">
      <c r="E18212"/>
      <c r="G18212"/>
      <c r="H18212"/>
      <c r="I18212"/>
      <c r="K18212"/>
      <c r="O18212"/>
      <c r="R18212"/>
      <c r="W18212" s="4"/>
      <c r="X18212" s="4"/>
      <c r="Y18212" s="4"/>
    </row>
    <row r="18213" spans="5:25">
      <c r="E18213"/>
      <c r="G18213"/>
      <c r="H18213"/>
      <c r="I18213"/>
      <c r="K18213"/>
      <c r="O18213"/>
      <c r="R18213"/>
      <c r="W18213" s="4"/>
      <c r="X18213" s="4"/>
      <c r="Y18213" s="4"/>
    </row>
    <row r="18214" spans="5:25">
      <c r="E18214"/>
      <c r="G18214"/>
      <c r="H18214"/>
      <c r="I18214"/>
      <c r="K18214"/>
      <c r="O18214"/>
      <c r="R18214"/>
      <c r="W18214" s="4"/>
      <c r="X18214" s="4"/>
      <c r="Y18214" s="4"/>
    </row>
    <row r="18215" spans="5:25">
      <c r="E18215"/>
      <c r="G18215"/>
      <c r="H18215"/>
      <c r="I18215"/>
      <c r="K18215"/>
      <c r="O18215"/>
      <c r="R18215"/>
      <c r="W18215" s="4"/>
      <c r="X18215" s="4"/>
      <c r="Y18215" s="4"/>
    </row>
    <row r="18216" spans="5:25">
      <c r="E18216"/>
      <c r="G18216"/>
      <c r="H18216"/>
      <c r="I18216"/>
      <c r="K18216"/>
      <c r="O18216"/>
      <c r="R18216"/>
      <c r="W18216" s="4"/>
      <c r="X18216" s="4"/>
      <c r="Y18216" s="4"/>
    </row>
    <row r="18217" spans="5:25">
      <c r="E18217"/>
      <c r="G18217"/>
      <c r="H18217"/>
      <c r="I18217"/>
      <c r="K18217"/>
      <c r="O18217"/>
      <c r="R18217"/>
      <c r="W18217" s="4"/>
      <c r="X18217" s="4"/>
      <c r="Y18217" s="4"/>
    </row>
    <row r="18218" spans="5:25">
      <c r="E18218"/>
      <c r="G18218"/>
      <c r="H18218"/>
      <c r="I18218"/>
      <c r="K18218"/>
      <c r="O18218"/>
      <c r="R18218"/>
      <c r="W18218" s="4"/>
      <c r="X18218" s="4"/>
      <c r="Y18218" s="4"/>
    </row>
    <row r="18219" spans="5:25">
      <c r="E18219"/>
      <c r="G18219"/>
      <c r="H18219"/>
      <c r="I18219"/>
      <c r="K18219"/>
      <c r="O18219"/>
      <c r="R18219"/>
      <c r="W18219" s="4"/>
      <c r="X18219" s="4"/>
      <c r="Y18219" s="4"/>
    </row>
    <row r="18220" spans="5:25">
      <c r="E18220"/>
      <c r="G18220"/>
      <c r="H18220"/>
      <c r="I18220"/>
      <c r="K18220"/>
      <c r="O18220"/>
      <c r="R18220"/>
      <c r="W18220" s="4"/>
      <c r="X18220" s="4"/>
      <c r="Y18220" s="4"/>
    </row>
    <row r="18221" spans="5:25">
      <c r="E18221"/>
      <c r="G18221"/>
      <c r="H18221"/>
      <c r="I18221"/>
      <c r="K18221"/>
      <c r="O18221"/>
      <c r="R18221"/>
      <c r="W18221" s="4"/>
      <c r="X18221" s="4"/>
      <c r="Y18221" s="4"/>
    </row>
    <row r="18222" spans="5:25">
      <c r="E18222"/>
      <c r="G18222"/>
      <c r="H18222"/>
      <c r="I18222"/>
      <c r="K18222"/>
      <c r="O18222"/>
      <c r="R18222"/>
      <c r="W18222" s="4"/>
      <c r="X18222" s="4"/>
      <c r="Y18222" s="4"/>
    </row>
    <row r="18223" spans="5:25">
      <c r="E18223"/>
      <c r="G18223"/>
      <c r="H18223"/>
      <c r="I18223"/>
      <c r="K18223"/>
      <c r="O18223"/>
      <c r="R18223"/>
      <c r="W18223" s="4"/>
      <c r="X18223" s="4"/>
      <c r="Y18223" s="4"/>
    </row>
    <row r="18224" spans="5:25">
      <c r="E18224"/>
      <c r="G18224"/>
      <c r="H18224"/>
      <c r="I18224"/>
      <c r="K18224"/>
      <c r="O18224"/>
      <c r="R18224"/>
      <c r="W18224" s="4"/>
      <c r="X18224" s="4"/>
      <c r="Y18224" s="4"/>
    </row>
    <row r="18225" spans="5:25">
      <c r="E18225"/>
      <c r="G18225"/>
      <c r="H18225"/>
      <c r="I18225"/>
      <c r="K18225"/>
      <c r="O18225"/>
      <c r="R18225"/>
      <c r="W18225" s="4"/>
      <c r="X18225" s="4"/>
      <c r="Y18225" s="4"/>
    </row>
    <row r="18226" spans="5:25">
      <c r="E18226"/>
      <c r="G18226"/>
      <c r="H18226"/>
      <c r="I18226"/>
      <c r="K18226"/>
      <c r="O18226"/>
      <c r="R18226"/>
      <c r="W18226" s="4"/>
      <c r="X18226" s="4"/>
      <c r="Y18226" s="4"/>
    </row>
    <row r="18227" spans="5:25">
      <c r="E18227"/>
      <c r="G18227"/>
      <c r="H18227"/>
      <c r="I18227"/>
      <c r="K18227"/>
      <c r="O18227"/>
      <c r="R18227"/>
      <c r="W18227" s="4"/>
      <c r="X18227" s="4"/>
      <c r="Y18227" s="4"/>
    </row>
    <row r="18228" spans="5:25">
      <c r="E18228"/>
      <c r="G18228"/>
      <c r="H18228"/>
      <c r="I18228"/>
      <c r="K18228"/>
      <c r="O18228"/>
      <c r="R18228"/>
      <c r="W18228" s="4"/>
      <c r="X18228" s="4"/>
      <c r="Y18228" s="4"/>
    </row>
    <row r="18229" spans="5:25">
      <c r="E18229"/>
      <c r="G18229"/>
      <c r="H18229"/>
      <c r="I18229"/>
      <c r="K18229"/>
      <c r="O18229"/>
      <c r="R18229"/>
      <c r="W18229" s="4"/>
      <c r="X18229" s="4"/>
      <c r="Y18229" s="4"/>
    </row>
    <row r="18230" spans="5:25">
      <c r="E18230"/>
      <c r="G18230"/>
      <c r="H18230"/>
      <c r="I18230"/>
      <c r="K18230"/>
      <c r="O18230"/>
      <c r="R18230"/>
      <c r="W18230" s="4"/>
      <c r="X18230" s="4"/>
      <c r="Y18230" s="4"/>
    </row>
    <row r="18231" spans="5:25">
      <c r="E18231"/>
      <c r="G18231"/>
      <c r="H18231"/>
      <c r="I18231"/>
      <c r="K18231"/>
      <c r="O18231"/>
      <c r="R18231"/>
      <c r="W18231" s="4"/>
      <c r="X18231" s="4"/>
      <c r="Y18231" s="4"/>
    </row>
    <row r="18232" spans="5:25">
      <c r="E18232"/>
      <c r="G18232"/>
      <c r="H18232"/>
      <c r="I18232"/>
      <c r="K18232"/>
      <c r="O18232"/>
      <c r="R18232"/>
      <c r="W18232" s="4"/>
      <c r="X18232" s="4"/>
      <c r="Y18232" s="4"/>
    </row>
    <row r="18233" spans="5:25">
      <c r="E18233"/>
      <c r="G18233"/>
      <c r="H18233"/>
      <c r="I18233"/>
      <c r="K18233"/>
      <c r="O18233"/>
      <c r="R18233"/>
      <c r="W18233" s="4"/>
      <c r="X18233" s="4"/>
      <c r="Y18233" s="4"/>
    </row>
    <row r="18234" spans="5:25">
      <c r="E18234"/>
      <c r="G18234"/>
      <c r="H18234"/>
      <c r="I18234"/>
      <c r="K18234"/>
      <c r="O18234"/>
      <c r="R18234"/>
      <c r="W18234" s="4"/>
      <c r="X18234" s="4"/>
      <c r="Y18234" s="4"/>
    </row>
    <row r="18235" spans="5:25">
      <c r="E18235"/>
      <c r="G18235"/>
      <c r="H18235"/>
      <c r="I18235"/>
      <c r="K18235"/>
      <c r="O18235"/>
      <c r="R18235"/>
      <c r="W18235" s="4"/>
      <c r="X18235" s="4"/>
      <c r="Y18235" s="4"/>
    </row>
    <row r="18236" spans="5:25">
      <c r="E18236"/>
      <c r="G18236"/>
      <c r="H18236"/>
      <c r="I18236"/>
      <c r="K18236"/>
      <c r="O18236"/>
      <c r="R18236"/>
      <c r="W18236" s="4"/>
      <c r="X18236" s="4"/>
      <c r="Y18236" s="4"/>
    </row>
    <row r="18237" spans="5:25">
      <c r="E18237"/>
      <c r="G18237"/>
      <c r="H18237"/>
      <c r="I18237"/>
      <c r="K18237"/>
      <c r="O18237"/>
      <c r="R18237"/>
      <c r="W18237" s="4"/>
      <c r="X18237" s="4"/>
      <c r="Y18237" s="4"/>
    </row>
    <row r="18238" spans="5:25">
      <c r="E18238"/>
      <c r="G18238"/>
      <c r="H18238"/>
      <c r="I18238"/>
      <c r="K18238"/>
      <c r="O18238"/>
      <c r="R18238"/>
      <c r="W18238" s="4"/>
      <c r="X18238" s="4"/>
      <c r="Y18238" s="4"/>
    </row>
    <row r="18239" spans="5:25">
      <c r="E18239"/>
      <c r="G18239"/>
      <c r="H18239"/>
      <c r="I18239"/>
      <c r="K18239"/>
      <c r="O18239"/>
      <c r="R18239"/>
      <c r="W18239" s="4"/>
      <c r="X18239" s="4"/>
      <c r="Y18239" s="4"/>
    </row>
    <row r="18240" spans="5:25">
      <c r="E18240"/>
      <c r="G18240"/>
      <c r="H18240"/>
      <c r="I18240"/>
      <c r="K18240"/>
      <c r="O18240"/>
      <c r="R18240"/>
      <c r="W18240" s="4"/>
      <c r="X18240" s="4"/>
      <c r="Y18240" s="4"/>
    </row>
    <row r="18241" spans="5:25">
      <c r="E18241"/>
      <c r="G18241"/>
      <c r="H18241"/>
      <c r="I18241"/>
      <c r="K18241"/>
      <c r="O18241"/>
      <c r="R18241"/>
      <c r="W18241" s="4"/>
      <c r="X18241" s="4"/>
      <c r="Y18241" s="4"/>
    </row>
    <row r="18242" spans="5:25">
      <c r="E18242"/>
      <c r="G18242"/>
      <c r="H18242"/>
      <c r="I18242"/>
      <c r="K18242"/>
      <c r="O18242"/>
      <c r="R18242"/>
      <c r="W18242" s="4"/>
      <c r="X18242" s="4"/>
      <c r="Y18242" s="4"/>
    </row>
    <row r="18243" spans="5:25">
      <c r="E18243"/>
      <c r="G18243"/>
      <c r="H18243"/>
      <c r="I18243"/>
      <c r="K18243"/>
      <c r="O18243"/>
      <c r="R18243"/>
      <c r="W18243" s="4"/>
      <c r="X18243" s="4"/>
      <c r="Y18243" s="4"/>
    </row>
    <row r="18244" spans="5:25">
      <c r="E18244"/>
      <c r="G18244"/>
      <c r="H18244"/>
      <c r="I18244"/>
      <c r="K18244"/>
      <c r="O18244"/>
      <c r="R18244"/>
      <c r="W18244" s="4"/>
      <c r="X18244" s="4"/>
      <c r="Y18244" s="4"/>
    </row>
    <row r="18245" spans="5:25">
      <c r="E18245"/>
      <c r="G18245"/>
      <c r="H18245"/>
      <c r="I18245"/>
      <c r="K18245"/>
      <c r="O18245"/>
      <c r="R18245"/>
      <c r="W18245" s="4"/>
      <c r="X18245" s="4"/>
      <c r="Y18245" s="4"/>
    </row>
    <row r="18246" spans="5:25">
      <c r="E18246"/>
      <c r="G18246"/>
      <c r="H18246"/>
      <c r="I18246"/>
      <c r="K18246"/>
      <c r="O18246"/>
      <c r="R18246"/>
      <c r="W18246" s="4"/>
      <c r="X18246" s="4"/>
      <c r="Y18246" s="4"/>
    </row>
    <row r="18247" spans="5:25">
      <c r="E18247"/>
      <c r="G18247"/>
      <c r="H18247"/>
      <c r="I18247"/>
      <c r="K18247"/>
      <c r="O18247"/>
      <c r="R18247"/>
      <c r="W18247" s="4"/>
      <c r="X18247" s="4"/>
      <c r="Y18247" s="4"/>
    </row>
    <row r="18248" spans="5:25">
      <c r="E18248"/>
      <c r="G18248"/>
      <c r="H18248"/>
      <c r="I18248"/>
      <c r="K18248"/>
      <c r="O18248"/>
      <c r="R18248"/>
      <c r="W18248" s="4"/>
      <c r="X18248" s="4"/>
      <c r="Y18248" s="4"/>
    </row>
    <row r="18249" spans="5:25">
      <c r="E18249"/>
      <c r="G18249"/>
      <c r="H18249"/>
      <c r="I18249"/>
      <c r="K18249"/>
      <c r="O18249"/>
      <c r="R18249"/>
      <c r="W18249" s="4"/>
      <c r="X18249" s="4"/>
      <c r="Y18249" s="4"/>
    </row>
    <row r="18250" spans="5:25">
      <c r="E18250"/>
      <c r="G18250"/>
      <c r="H18250"/>
      <c r="I18250"/>
      <c r="K18250"/>
      <c r="O18250"/>
      <c r="R18250"/>
      <c r="W18250" s="4"/>
      <c r="X18250" s="4"/>
      <c r="Y18250" s="4"/>
    </row>
    <row r="18251" spans="5:25">
      <c r="E18251"/>
      <c r="G18251"/>
      <c r="H18251"/>
      <c r="I18251"/>
      <c r="K18251"/>
      <c r="O18251"/>
      <c r="R18251"/>
      <c r="W18251" s="4"/>
      <c r="X18251" s="4"/>
      <c r="Y18251" s="4"/>
    </row>
    <row r="18252" spans="5:25">
      <c r="E18252"/>
      <c r="G18252"/>
      <c r="H18252"/>
      <c r="I18252"/>
      <c r="K18252"/>
      <c r="O18252"/>
      <c r="R18252"/>
      <c r="W18252" s="4"/>
      <c r="X18252" s="4"/>
      <c r="Y18252" s="4"/>
    </row>
    <row r="18253" spans="5:25">
      <c r="E18253"/>
      <c r="G18253"/>
      <c r="H18253"/>
      <c r="I18253"/>
      <c r="K18253"/>
      <c r="O18253"/>
      <c r="R18253"/>
      <c r="W18253" s="4"/>
      <c r="X18253" s="4"/>
      <c r="Y18253" s="4"/>
    </row>
    <row r="18254" spans="5:25">
      <c r="E18254"/>
      <c r="G18254"/>
      <c r="H18254"/>
      <c r="I18254"/>
      <c r="K18254"/>
      <c r="O18254"/>
      <c r="R18254"/>
      <c r="W18254" s="4"/>
      <c r="X18254" s="4"/>
      <c r="Y18254" s="4"/>
    </row>
    <row r="18255" spans="5:25">
      <c r="E18255"/>
      <c r="G18255"/>
      <c r="H18255"/>
      <c r="I18255"/>
      <c r="K18255"/>
      <c r="O18255"/>
      <c r="R18255"/>
      <c r="W18255" s="4"/>
      <c r="X18255" s="4"/>
      <c r="Y18255" s="4"/>
    </row>
    <row r="18256" spans="5:25">
      <c r="E18256"/>
      <c r="G18256"/>
      <c r="H18256"/>
      <c r="I18256"/>
      <c r="K18256"/>
      <c r="O18256"/>
      <c r="R18256"/>
      <c r="W18256" s="4"/>
      <c r="X18256" s="4"/>
      <c r="Y18256" s="4"/>
    </row>
    <row r="18257" spans="5:25">
      <c r="E18257"/>
      <c r="G18257"/>
      <c r="H18257"/>
      <c r="I18257"/>
      <c r="K18257"/>
      <c r="O18257"/>
      <c r="R18257"/>
      <c r="W18257" s="4"/>
      <c r="X18257" s="4"/>
      <c r="Y18257" s="4"/>
    </row>
    <row r="18258" spans="5:25">
      <c r="E18258"/>
      <c r="G18258"/>
      <c r="H18258"/>
      <c r="I18258"/>
      <c r="K18258"/>
      <c r="O18258"/>
      <c r="R18258"/>
      <c r="W18258" s="4"/>
      <c r="X18258" s="4"/>
      <c r="Y18258" s="4"/>
    </row>
    <row r="18259" spans="5:25">
      <c r="E18259"/>
      <c r="G18259"/>
      <c r="H18259"/>
      <c r="I18259"/>
      <c r="K18259"/>
      <c r="O18259"/>
      <c r="R18259"/>
      <c r="W18259" s="4"/>
      <c r="X18259" s="4"/>
      <c r="Y18259" s="4"/>
    </row>
    <row r="18260" spans="5:25">
      <c r="E18260"/>
      <c r="G18260"/>
      <c r="H18260"/>
      <c r="I18260"/>
      <c r="K18260"/>
      <c r="O18260"/>
      <c r="R18260"/>
      <c r="W18260" s="4"/>
      <c r="X18260" s="4"/>
      <c r="Y18260" s="4"/>
    </row>
    <row r="18261" spans="5:25">
      <c r="E18261"/>
      <c r="G18261"/>
      <c r="H18261"/>
      <c r="I18261"/>
      <c r="K18261"/>
      <c r="O18261"/>
      <c r="R18261"/>
      <c r="W18261" s="4"/>
      <c r="X18261" s="4"/>
      <c r="Y18261" s="4"/>
    </row>
    <row r="18262" spans="5:25">
      <c r="E18262"/>
      <c r="G18262"/>
      <c r="H18262"/>
      <c r="I18262"/>
      <c r="K18262"/>
      <c r="O18262"/>
      <c r="R18262"/>
      <c r="W18262" s="4"/>
      <c r="X18262" s="4"/>
      <c r="Y18262" s="4"/>
    </row>
    <row r="18263" spans="5:25">
      <c r="E18263"/>
      <c r="G18263"/>
      <c r="H18263"/>
      <c r="I18263"/>
      <c r="K18263"/>
      <c r="O18263"/>
      <c r="R18263"/>
      <c r="W18263" s="4"/>
      <c r="X18263" s="4"/>
      <c r="Y18263" s="4"/>
    </row>
    <row r="18264" spans="5:25">
      <c r="E18264"/>
      <c r="G18264"/>
      <c r="H18264"/>
      <c r="I18264"/>
      <c r="K18264"/>
      <c r="O18264"/>
      <c r="R18264"/>
      <c r="W18264" s="4"/>
      <c r="X18264" s="4"/>
      <c r="Y18264" s="4"/>
    </row>
    <row r="18265" spans="5:25">
      <c r="E18265"/>
      <c r="G18265"/>
      <c r="H18265"/>
      <c r="I18265"/>
      <c r="K18265"/>
      <c r="O18265"/>
      <c r="R18265"/>
      <c r="W18265" s="4"/>
      <c r="X18265" s="4"/>
      <c r="Y18265" s="4"/>
    </row>
    <row r="18266" spans="5:25">
      <c r="E18266"/>
      <c r="G18266"/>
      <c r="H18266"/>
      <c r="I18266"/>
      <c r="K18266"/>
      <c r="O18266"/>
      <c r="R18266"/>
      <c r="W18266" s="4"/>
      <c r="X18266" s="4"/>
      <c r="Y18266" s="4"/>
    </row>
    <row r="18267" spans="5:25">
      <c r="E18267"/>
      <c r="G18267"/>
      <c r="H18267"/>
      <c r="I18267"/>
      <c r="K18267"/>
      <c r="O18267"/>
      <c r="R18267"/>
      <c r="W18267" s="4"/>
      <c r="X18267" s="4"/>
      <c r="Y18267" s="4"/>
    </row>
    <row r="18268" spans="5:25">
      <c r="E18268"/>
      <c r="G18268"/>
      <c r="H18268"/>
      <c r="I18268"/>
      <c r="K18268"/>
      <c r="O18268"/>
      <c r="R18268"/>
      <c r="W18268" s="4"/>
      <c r="X18268" s="4"/>
      <c r="Y18268" s="4"/>
    </row>
    <row r="18269" spans="5:25">
      <c r="E18269"/>
      <c r="G18269"/>
      <c r="H18269"/>
      <c r="I18269"/>
      <c r="K18269"/>
      <c r="O18269"/>
      <c r="R18269"/>
      <c r="W18269" s="4"/>
      <c r="X18269" s="4"/>
      <c r="Y18269" s="4"/>
    </row>
    <row r="18270" spans="5:25">
      <c r="E18270"/>
      <c r="G18270"/>
      <c r="H18270"/>
      <c r="I18270"/>
      <c r="K18270"/>
      <c r="O18270"/>
      <c r="R18270"/>
      <c r="W18270" s="4"/>
      <c r="X18270" s="4"/>
      <c r="Y18270" s="4"/>
    </row>
    <row r="18271" spans="5:25">
      <c r="E18271"/>
      <c r="G18271"/>
      <c r="H18271"/>
      <c r="I18271"/>
      <c r="K18271"/>
      <c r="O18271"/>
      <c r="R18271"/>
      <c r="W18271" s="4"/>
      <c r="X18271" s="4"/>
      <c r="Y18271" s="4"/>
    </row>
    <row r="18272" spans="5:25">
      <c r="E18272"/>
      <c r="G18272"/>
      <c r="H18272"/>
      <c r="I18272"/>
      <c r="K18272"/>
      <c r="O18272"/>
      <c r="R18272"/>
      <c r="W18272" s="4"/>
      <c r="X18272" s="4"/>
      <c r="Y18272" s="4"/>
    </row>
    <row r="18273" spans="5:25">
      <c r="E18273"/>
      <c r="G18273"/>
      <c r="H18273"/>
      <c r="I18273"/>
      <c r="K18273"/>
      <c r="O18273"/>
      <c r="R18273"/>
      <c r="W18273" s="4"/>
      <c r="X18273" s="4"/>
      <c r="Y18273" s="4"/>
    </row>
    <row r="18274" spans="5:25">
      <c r="E18274"/>
      <c r="G18274"/>
      <c r="H18274"/>
      <c r="I18274"/>
      <c r="K18274"/>
      <c r="O18274"/>
      <c r="R18274"/>
      <c r="W18274" s="4"/>
      <c r="X18274" s="4"/>
      <c r="Y18274" s="4"/>
    </row>
    <row r="18275" spans="5:25">
      <c r="E18275"/>
      <c r="G18275"/>
      <c r="H18275"/>
      <c r="I18275"/>
      <c r="K18275"/>
      <c r="O18275"/>
      <c r="R18275"/>
      <c r="W18275" s="4"/>
      <c r="X18275" s="4"/>
      <c r="Y18275" s="4"/>
    </row>
    <row r="18276" spans="5:25">
      <c r="E18276"/>
      <c r="G18276"/>
      <c r="H18276"/>
      <c r="I18276"/>
      <c r="K18276"/>
      <c r="O18276"/>
      <c r="R18276"/>
      <c r="W18276" s="4"/>
      <c r="X18276" s="4"/>
      <c r="Y18276" s="4"/>
    </row>
    <row r="18277" spans="5:25">
      <c r="E18277"/>
      <c r="G18277"/>
      <c r="H18277"/>
      <c r="I18277"/>
      <c r="K18277"/>
      <c r="O18277"/>
      <c r="R18277"/>
      <c r="W18277" s="4"/>
      <c r="X18277" s="4"/>
      <c r="Y18277" s="4"/>
    </row>
    <row r="18278" spans="5:25">
      <c r="E18278"/>
      <c r="G18278"/>
      <c r="H18278"/>
      <c r="I18278"/>
      <c r="K18278"/>
      <c r="O18278"/>
      <c r="R18278"/>
      <c r="W18278" s="4"/>
      <c r="X18278" s="4"/>
      <c r="Y18278" s="4"/>
    </row>
    <row r="18279" spans="5:25">
      <c r="E18279"/>
      <c r="G18279"/>
      <c r="H18279"/>
      <c r="I18279"/>
      <c r="K18279"/>
      <c r="O18279"/>
      <c r="R18279"/>
      <c r="W18279" s="4"/>
      <c r="X18279" s="4"/>
      <c r="Y18279" s="4"/>
    </row>
    <row r="18280" spans="5:25">
      <c r="E18280"/>
      <c r="G18280"/>
      <c r="H18280"/>
      <c r="I18280"/>
      <c r="K18280"/>
      <c r="O18280"/>
      <c r="R18280"/>
      <c r="W18280" s="4"/>
      <c r="X18280" s="4"/>
      <c r="Y18280" s="4"/>
    </row>
    <row r="18281" spans="5:25">
      <c r="E18281"/>
      <c r="G18281"/>
      <c r="H18281"/>
      <c r="I18281"/>
      <c r="K18281"/>
      <c r="O18281"/>
      <c r="R18281"/>
      <c r="W18281" s="4"/>
      <c r="X18281" s="4"/>
      <c r="Y18281" s="4"/>
    </row>
    <row r="18282" spans="5:25">
      <c r="E18282"/>
      <c r="G18282"/>
      <c r="H18282"/>
      <c r="I18282"/>
      <c r="K18282"/>
      <c r="O18282"/>
      <c r="R18282"/>
      <c r="W18282" s="4"/>
      <c r="X18282" s="4"/>
      <c r="Y18282" s="4"/>
    </row>
    <row r="18283" spans="5:25">
      <c r="E18283"/>
      <c r="G18283"/>
      <c r="H18283"/>
      <c r="I18283"/>
      <c r="K18283"/>
      <c r="O18283"/>
      <c r="R18283"/>
      <c r="W18283" s="4"/>
      <c r="X18283" s="4"/>
      <c r="Y18283" s="4"/>
    </row>
    <row r="18284" spans="5:25">
      <c r="E18284"/>
      <c r="G18284"/>
      <c r="H18284"/>
      <c r="I18284"/>
      <c r="K18284"/>
      <c r="O18284"/>
      <c r="R18284"/>
      <c r="W18284" s="4"/>
      <c r="X18284" s="4"/>
      <c r="Y18284" s="4"/>
    </row>
    <row r="18285" spans="5:25">
      <c r="E18285"/>
      <c r="G18285"/>
      <c r="H18285"/>
      <c r="I18285"/>
      <c r="K18285"/>
      <c r="O18285"/>
      <c r="R18285"/>
      <c r="W18285" s="4"/>
      <c r="X18285" s="4"/>
      <c r="Y18285" s="4"/>
    </row>
    <row r="18286" spans="5:25">
      <c r="E18286"/>
      <c r="G18286"/>
      <c r="H18286"/>
      <c r="I18286"/>
      <c r="K18286"/>
      <c r="O18286"/>
      <c r="R18286"/>
      <c r="W18286" s="4"/>
      <c r="X18286" s="4"/>
      <c r="Y18286" s="4"/>
    </row>
    <row r="18287" spans="5:25">
      <c r="E18287"/>
      <c r="G18287"/>
      <c r="H18287"/>
      <c r="I18287"/>
      <c r="K18287"/>
      <c r="O18287"/>
      <c r="R18287"/>
      <c r="W18287" s="4"/>
      <c r="X18287" s="4"/>
      <c r="Y18287" s="4"/>
    </row>
    <row r="18288" spans="5:25">
      <c r="E18288"/>
      <c r="G18288"/>
      <c r="H18288"/>
      <c r="I18288"/>
      <c r="K18288"/>
      <c r="O18288"/>
      <c r="R18288"/>
      <c r="W18288" s="4"/>
      <c r="X18288" s="4"/>
      <c r="Y18288" s="4"/>
    </row>
    <row r="18289" spans="5:25">
      <c r="E18289"/>
      <c r="G18289"/>
      <c r="H18289"/>
      <c r="I18289"/>
      <c r="K18289"/>
      <c r="O18289"/>
      <c r="R18289"/>
      <c r="W18289" s="4"/>
      <c r="X18289" s="4"/>
      <c r="Y18289" s="4"/>
    </row>
    <row r="18290" spans="5:25">
      <c r="E18290"/>
      <c r="G18290"/>
      <c r="H18290"/>
      <c r="I18290"/>
      <c r="K18290"/>
      <c r="O18290"/>
      <c r="R18290"/>
      <c r="W18290" s="4"/>
      <c r="X18290" s="4"/>
      <c r="Y18290" s="4"/>
    </row>
    <row r="18291" spans="5:25">
      <c r="E18291"/>
      <c r="G18291"/>
      <c r="H18291"/>
      <c r="I18291"/>
      <c r="K18291"/>
      <c r="O18291"/>
      <c r="R18291"/>
      <c r="W18291" s="4"/>
      <c r="X18291" s="4"/>
      <c r="Y18291" s="4"/>
    </row>
    <row r="18292" spans="5:25">
      <c r="E18292"/>
      <c r="G18292"/>
      <c r="H18292"/>
      <c r="I18292"/>
      <c r="K18292"/>
      <c r="O18292"/>
      <c r="R18292"/>
      <c r="W18292" s="4"/>
      <c r="X18292" s="4"/>
      <c r="Y18292" s="4"/>
    </row>
    <row r="18293" spans="5:25">
      <c r="E18293"/>
      <c r="G18293"/>
      <c r="H18293"/>
      <c r="I18293"/>
      <c r="K18293"/>
      <c r="O18293"/>
      <c r="R18293"/>
      <c r="W18293" s="4"/>
      <c r="X18293" s="4"/>
      <c r="Y18293" s="4"/>
    </row>
    <row r="18294" spans="5:25">
      <c r="E18294"/>
      <c r="G18294"/>
      <c r="H18294"/>
      <c r="I18294"/>
      <c r="K18294"/>
      <c r="O18294"/>
      <c r="R18294"/>
      <c r="W18294" s="4"/>
      <c r="X18294" s="4"/>
      <c r="Y18294" s="4"/>
    </row>
    <row r="18295" spans="5:25">
      <c r="E18295"/>
      <c r="G18295"/>
      <c r="H18295"/>
      <c r="I18295"/>
      <c r="K18295"/>
      <c r="O18295"/>
      <c r="R18295"/>
      <c r="W18295" s="4"/>
      <c r="X18295" s="4"/>
      <c r="Y18295" s="4"/>
    </row>
    <row r="18296" spans="5:25">
      <c r="E18296"/>
      <c r="G18296"/>
      <c r="H18296"/>
      <c r="I18296"/>
      <c r="K18296"/>
      <c r="O18296"/>
      <c r="R18296"/>
      <c r="W18296" s="4"/>
      <c r="X18296" s="4"/>
      <c r="Y18296" s="4"/>
    </row>
    <row r="18297" spans="5:25">
      <c r="E18297"/>
      <c r="G18297"/>
      <c r="H18297"/>
      <c r="I18297"/>
      <c r="K18297"/>
      <c r="O18297"/>
      <c r="R18297"/>
      <c r="W18297" s="4"/>
      <c r="X18297" s="4"/>
      <c r="Y18297" s="4"/>
    </row>
    <row r="18298" spans="5:25">
      <c r="E18298"/>
      <c r="G18298"/>
      <c r="H18298"/>
      <c r="I18298"/>
      <c r="K18298"/>
      <c r="O18298"/>
      <c r="R18298"/>
      <c r="W18298" s="4"/>
      <c r="X18298" s="4"/>
      <c r="Y18298" s="4"/>
    </row>
    <row r="18299" spans="5:25">
      <c r="E18299"/>
      <c r="G18299"/>
      <c r="H18299"/>
      <c r="I18299"/>
      <c r="K18299"/>
      <c r="O18299"/>
      <c r="R18299"/>
      <c r="W18299" s="4"/>
      <c r="X18299" s="4"/>
      <c r="Y18299" s="4"/>
    </row>
    <row r="18300" spans="5:25">
      <c r="E18300"/>
      <c r="G18300"/>
      <c r="H18300"/>
      <c r="I18300"/>
      <c r="K18300"/>
      <c r="O18300"/>
      <c r="R18300"/>
      <c r="W18300" s="4"/>
      <c r="X18300" s="4"/>
      <c r="Y18300" s="4"/>
    </row>
    <row r="18301" spans="5:25">
      <c r="E18301"/>
      <c r="G18301"/>
      <c r="H18301"/>
      <c r="I18301"/>
      <c r="K18301"/>
      <c r="O18301"/>
      <c r="R18301"/>
      <c r="W18301" s="4"/>
      <c r="X18301" s="4"/>
      <c r="Y18301" s="4"/>
    </row>
    <row r="18302" spans="5:25">
      <c r="E18302"/>
      <c r="G18302"/>
      <c r="H18302"/>
      <c r="I18302"/>
      <c r="K18302"/>
      <c r="O18302"/>
      <c r="R18302"/>
      <c r="W18302" s="4"/>
      <c r="X18302" s="4"/>
      <c r="Y18302" s="4"/>
    </row>
    <row r="18303" spans="5:25">
      <c r="E18303"/>
      <c r="G18303"/>
      <c r="H18303"/>
      <c r="I18303"/>
      <c r="K18303"/>
      <c r="O18303"/>
      <c r="R18303"/>
      <c r="W18303" s="4"/>
      <c r="X18303" s="4"/>
      <c r="Y18303" s="4"/>
    </row>
    <row r="18304" spans="5:25">
      <c r="E18304"/>
      <c r="G18304"/>
      <c r="H18304"/>
      <c r="I18304"/>
      <c r="K18304"/>
      <c r="O18304"/>
      <c r="R18304"/>
      <c r="W18304" s="4"/>
      <c r="X18304" s="4"/>
      <c r="Y18304" s="4"/>
    </row>
    <row r="18305" spans="5:25">
      <c r="E18305"/>
      <c r="G18305"/>
      <c r="H18305"/>
      <c r="I18305"/>
      <c r="K18305"/>
      <c r="O18305"/>
      <c r="R18305"/>
      <c r="W18305" s="4"/>
      <c r="X18305" s="4"/>
      <c r="Y18305" s="4"/>
    </row>
    <row r="18306" spans="5:25">
      <c r="E18306"/>
      <c r="G18306"/>
      <c r="H18306"/>
      <c r="I18306"/>
      <c r="K18306"/>
      <c r="O18306"/>
      <c r="R18306"/>
      <c r="W18306" s="4"/>
      <c r="X18306" s="4"/>
      <c r="Y18306" s="4"/>
    </row>
    <row r="18307" spans="5:25">
      <c r="E18307"/>
      <c r="G18307"/>
      <c r="H18307"/>
      <c r="I18307"/>
      <c r="K18307"/>
      <c r="O18307"/>
      <c r="R18307"/>
      <c r="W18307" s="4"/>
      <c r="X18307" s="4"/>
      <c r="Y18307" s="4"/>
    </row>
    <row r="18308" spans="5:25">
      <c r="E18308"/>
      <c r="G18308"/>
      <c r="H18308"/>
      <c r="I18308"/>
      <c r="K18308"/>
      <c r="O18308"/>
      <c r="R18308"/>
      <c r="W18308" s="4"/>
      <c r="X18308" s="4"/>
      <c r="Y18308" s="4"/>
    </row>
    <row r="18309" spans="5:25">
      <c r="E18309"/>
      <c r="G18309"/>
      <c r="H18309"/>
      <c r="I18309"/>
      <c r="K18309"/>
      <c r="O18309"/>
      <c r="R18309"/>
      <c r="W18309" s="4"/>
      <c r="X18309" s="4"/>
      <c r="Y18309" s="4"/>
    </row>
    <row r="18310" spans="5:25">
      <c r="E18310"/>
      <c r="G18310"/>
      <c r="H18310"/>
      <c r="I18310"/>
      <c r="K18310"/>
      <c r="O18310"/>
      <c r="R18310"/>
      <c r="W18310" s="4"/>
      <c r="X18310" s="4"/>
      <c r="Y18310" s="4"/>
    </row>
    <row r="18311" spans="5:25">
      <c r="E18311"/>
      <c r="G18311"/>
      <c r="H18311"/>
      <c r="I18311"/>
      <c r="K18311"/>
      <c r="O18311"/>
      <c r="R18311"/>
      <c r="W18311" s="4"/>
      <c r="X18311" s="4"/>
      <c r="Y18311" s="4"/>
    </row>
    <row r="18312" spans="5:25">
      <c r="E18312"/>
      <c r="G18312"/>
      <c r="H18312"/>
      <c r="I18312"/>
      <c r="K18312"/>
      <c r="O18312"/>
      <c r="R18312"/>
      <c r="W18312" s="4"/>
      <c r="X18312" s="4"/>
      <c r="Y18312" s="4"/>
    </row>
    <row r="18313" spans="5:25">
      <c r="E18313"/>
      <c r="G18313"/>
      <c r="H18313"/>
      <c r="I18313"/>
      <c r="K18313"/>
      <c r="O18313"/>
      <c r="R18313"/>
      <c r="W18313" s="4"/>
      <c r="X18313" s="4"/>
      <c r="Y18313" s="4"/>
    </row>
    <row r="18314" spans="5:25">
      <c r="E18314"/>
      <c r="G18314"/>
      <c r="H18314"/>
      <c r="I18314"/>
      <c r="K18314"/>
      <c r="O18314"/>
      <c r="R18314"/>
      <c r="W18314" s="4"/>
      <c r="X18314" s="4"/>
      <c r="Y18314" s="4"/>
    </row>
    <row r="18315" spans="5:25">
      <c r="E18315"/>
      <c r="G18315"/>
      <c r="H18315"/>
      <c r="I18315"/>
      <c r="K18315"/>
      <c r="O18315"/>
      <c r="R18315"/>
      <c r="W18315" s="4"/>
      <c r="X18315" s="4"/>
      <c r="Y18315" s="4"/>
    </row>
    <row r="18316" spans="5:25">
      <c r="E18316"/>
      <c r="G18316"/>
      <c r="H18316"/>
      <c r="I18316"/>
      <c r="K18316"/>
      <c r="O18316"/>
      <c r="R18316"/>
      <c r="W18316" s="4"/>
      <c r="X18316" s="4"/>
      <c r="Y18316" s="4"/>
    </row>
    <row r="18317" spans="5:25">
      <c r="E18317"/>
      <c r="G18317"/>
      <c r="H18317"/>
      <c r="I18317"/>
      <c r="K18317"/>
      <c r="O18317"/>
      <c r="R18317"/>
      <c r="W18317" s="4"/>
      <c r="X18317" s="4"/>
      <c r="Y18317" s="4"/>
    </row>
    <row r="18318" spans="5:25">
      <c r="E18318"/>
      <c r="G18318"/>
      <c r="H18318"/>
      <c r="I18318"/>
      <c r="K18318"/>
      <c r="O18318"/>
      <c r="R18318"/>
      <c r="W18318" s="4"/>
      <c r="X18318" s="4"/>
      <c r="Y18318" s="4"/>
    </row>
    <row r="18319" spans="5:25">
      <c r="E18319"/>
      <c r="G18319"/>
      <c r="H18319"/>
      <c r="I18319"/>
      <c r="K18319"/>
      <c r="O18319"/>
      <c r="R18319"/>
      <c r="W18319" s="4"/>
      <c r="X18319" s="4"/>
      <c r="Y18319" s="4"/>
    </row>
    <row r="18320" spans="5:25">
      <c r="E18320"/>
      <c r="G18320"/>
      <c r="H18320"/>
      <c r="I18320"/>
      <c r="K18320"/>
      <c r="O18320"/>
      <c r="R18320"/>
      <c r="W18320" s="4"/>
      <c r="X18320" s="4"/>
      <c r="Y18320" s="4"/>
    </row>
    <row r="18321" spans="5:25">
      <c r="E18321"/>
      <c r="G18321"/>
      <c r="H18321"/>
      <c r="I18321"/>
      <c r="K18321"/>
      <c r="O18321"/>
      <c r="R18321"/>
      <c r="W18321" s="4"/>
      <c r="X18321" s="4"/>
      <c r="Y18321" s="4"/>
    </row>
    <row r="18322" spans="5:25">
      <c r="E18322"/>
      <c r="G18322"/>
      <c r="H18322"/>
      <c r="I18322"/>
      <c r="K18322"/>
      <c r="O18322"/>
      <c r="R18322"/>
      <c r="W18322" s="4"/>
      <c r="X18322" s="4"/>
      <c r="Y18322" s="4"/>
    </row>
    <row r="18323" spans="5:25">
      <c r="E18323"/>
      <c r="G18323"/>
      <c r="H18323"/>
      <c r="I18323"/>
      <c r="K18323"/>
      <c r="O18323"/>
      <c r="R18323"/>
      <c r="W18323" s="4"/>
      <c r="X18323" s="4"/>
      <c r="Y18323" s="4"/>
    </row>
    <row r="18324" spans="5:25">
      <c r="E18324"/>
      <c r="G18324"/>
      <c r="H18324"/>
      <c r="I18324"/>
      <c r="K18324"/>
      <c r="O18324"/>
      <c r="R18324"/>
      <c r="W18324" s="4"/>
      <c r="X18324" s="4"/>
      <c r="Y18324" s="4"/>
    </row>
    <row r="18325" spans="5:25">
      <c r="E18325"/>
      <c r="G18325"/>
      <c r="H18325"/>
      <c r="I18325"/>
      <c r="K18325"/>
      <c r="O18325"/>
      <c r="R18325"/>
      <c r="W18325" s="4"/>
      <c r="X18325" s="4"/>
      <c r="Y18325" s="4"/>
    </row>
    <row r="18326" spans="5:25">
      <c r="E18326"/>
      <c r="G18326"/>
      <c r="H18326"/>
      <c r="I18326"/>
      <c r="K18326"/>
      <c r="O18326"/>
      <c r="R18326"/>
      <c r="W18326" s="4"/>
      <c r="X18326" s="4"/>
      <c r="Y18326" s="4"/>
    </row>
    <row r="18327" spans="5:25">
      <c r="E18327"/>
      <c r="G18327"/>
      <c r="H18327"/>
      <c r="I18327"/>
      <c r="K18327"/>
      <c r="O18327"/>
      <c r="R18327"/>
      <c r="W18327" s="4"/>
      <c r="X18327" s="4"/>
      <c r="Y18327" s="4"/>
    </row>
    <row r="18328" spans="5:25">
      <c r="E18328"/>
      <c r="G18328"/>
      <c r="H18328"/>
      <c r="I18328"/>
      <c r="K18328"/>
      <c r="O18328"/>
      <c r="R18328"/>
      <c r="W18328" s="4"/>
      <c r="X18328" s="4"/>
      <c r="Y18328" s="4"/>
    </row>
    <row r="18329" spans="5:25">
      <c r="E18329"/>
      <c r="G18329"/>
      <c r="H18329"/>
      <c r="I18329"/>
      <c r="K18329"/>
      <c r="O18329"/>
      <c r="R18329"/>
      <c r="W18329" s="4"/>
      <c r="X18329" s="4"/>
      <c r="Y18329" s="4"/>
    </row>
    <row r="18330" spans="5:25">
      <c r="E18330"/>
      <c r="G18330"/>
      <c r="H18330"/>
      <c r="I18330"/>
      <c r="K18330"/>
      <c r="O18330"/>
      <c r="R18330"/>
      <c r="W18330" s="4"/>
      <c r="X18330" s="4"/>
      <c r="Y18330" s="4"/>
    </row>
    <row r="18331" spans="5:25">
      <c r="E18331"/>
      <c r="G18331"/>
      <c r="H18331"/>
      <c r="I18331"/>
      <c r="K18331"/>
      <c r="O18331"/>
      <c r="R18331"/>
      <c r="W18331" s="4"/>
      <c r="X18331" s="4"/>
      <c r="Y18331" s="4"/>
    </row>
    <row r="18332" spans="5:25">
      <c r="E18332"/>
      <c r="G18332"/>
      <c r="H18332"/>
      <c r="I18332"/>
      <c r="K18332"/>
      <c r="O18332"/>
      <c r="R18332"/>
      <c r="W18332" s="4"/>
      <c r="X18332" s="4"/>
      <c r="Y18332" s="4"/>
    </row>
    <row r="18333" spans="5:25">
      <c r="E18333"/>
      <c r="G18333"/>
      <c r="H18333"/>
      <c r="I18333"/>
      <c r="K18333"/>
      <c r="O18333"/>
      <c r="R18333"/>
      <c r="W18333" s="4"/>
      <c r="X18333" s="4"/>
      <c r="Y18333" s="4"/>
    </row>
    <row r="18334" spans="5:25">
      <c r="E18334"/>
      <c r="G18334"/>
      <c r="H18334"/>
      <c r="I18334"/>
      <c r="K18334"/>
      <c r="O18334"/>
      <c r="R18334"/>
      <c r="W18334" s="4"/>
      <c r="X18334" s="4"/>
      <c r="Y18334" s="4"/>
    </row>
    <row r="18335" spans="5:25">
      <c r="E18335"/>
      <c r="G18335"/>
      <c r="H18335"/>
      <c r="I18335"/>
      <c r="K18335"/>
      <c r="O18335"/>
      <c r="R18335"/>
      <c r="W18335" s="4"/>
      <c r="X18335" s="4"/>
      <c r="Y18335" s="4"/>
    </row>
    <row r="18336" spans="5:25">
      <c r="E18336"/>
      <c r="G18336"/>
      <c r="H18336"/>
      <c r="I18336"/>
      <c r="K18336"/>
      <c r="O18336"/>
      <c r="R18336"/>
      <c r="W18336" s="4"/>
      <c r="X18336" s="4"/>
      <c r="Y18336" s="4"/>
    </row>
    <row r="18337" spans="5:25">
      <c r="E18337"/>
      <c r="G18337"/>
      <c r="H18337"/>
      <c r="I18337"/>
      <c r="K18337"/>
      <c r="O18337"/>
      <c r="R18337"/>
      <c r="W18337" s="4"/>
      <c r="X18337" s="4"/>
      <c r="Y18337" s="4"/>
    </row>
    <row r="18338" spans="5:25">
      <c r="E18338"/>
      <c r="G18338"/>
      <c r="H18338"/>
      <c r="I18338"/>
      <c r="K18338"/>
      <c r="O18338"/>
      <c r="R18338"/>
      <c r="W18338" s="4"/>
      <c r="X18338" s="4"/>
      <c r="Y18338" s="4"/>
    </row>
    <row r="18339" spans="5:25">
      <c r="E18339"/>
      <c r="G18339"/>
      <c r="H18339"/>
      <c r="I18339"/>
      <c r="K18339"/>
      <c r="O18339"/>
      <c r="R18339"/>
      <c r="W18339" s="4"/>
      <c r="X18339" s="4"/>
      <c r="Y18339" s="4"/>
    </row>
    <row r="18340" spans="5:25">
      <c r="E18340"/>
      <c r="G18340"/>
      <c r="H18340"/>
      <c r="I18340"/>
      <c r="K18340"/>
      <c r="O18340"/>
      <c r="R18340"/>
      <c r="W18340" s="4"/>
      <c r="X18340" s="4"/>
      <c r="Y18340" s="4"/>
    </row>
    <row r="18341" spans="5:25">
      <c r="E18341"/>
      <c r="G18341"/>
      <c r="H18341"/>
      <c r="I18341"/>
      <c r="K18341"/>
      <c r="O18341"/>
      <c r="R18341"/>
      <c r="W18341" s="4"/>
      <c r="X18341" s="4"/>
      <c r="Y18341" s="4"/>
    </row>
    <row r="18342" spans="5:25">
      <c r="E18342"/>
      <c r="G18342"/>
      <c r="H18342"/>
      <c r="I18342"/>
      <c r="K18342"/>
      <c r="O18342"/>
      <c r="R18342"/>
      <c r="W18342" s="4"/>
      <c r="X18342" s="4"/>
      <c r="Y18342" s="4"/>
    </row>
    <row r="18343" spans="5:25">
      <c r="E18343"/>
      <c r="G18343"/>
      <c r="H18343"/>
      <c r="I18343"/>
      <c r="K18343"/>
      <c r="O18343"/>
      <c r="R18343"/>
      <c r="W18343" s="4"/>
      <c r="X18343" s="4"/>
      <c r="Y18343" s="4"/>
    </row>
    <row r="18344" spans="5:25">
      <c r="E18344"/>
      <c r="G18344"/>
      <c r="H18344"/>
      <c r="I18344"/>
      <c r="K18344"/>
      <c r="O18344"/>
      <c r="R18344"/>
      <c r="W18344" s="4"/>
      <c r="X18344" s="4"/>
      <c r="Y18344" s="4"/>
    </row>
    <row r="18345" spans="5:25">
      <c r="E18345"/>
      <c r="G18345"/>
      <c r="H18345"/>
      <c r="I18345"/>
      <c r="K18345"/>
      <c r="O18345"/>
      <c r="R18345"/>
      <c r="W18345" s="4"/>
      <c r="X18345" s="4"/>
      <c r="Y18345" s="4"/>
    </row>
    <row r="18346" spans="5:25">
      <c r="E18346"/>
      <c r="G18346"/>
      <c r="H18346"/>
      <c r="I18346"/>
      <c r="K18346"/>
      <c r="O18346"/>
      <c r="R18346"/>
      <c r="W18346" s="4"/>
      <c r="X18346" s="4"/>
      <c r="Y18346" s="4"/>
    </row>
    <row r="18347" spans="5:25">
      <c r="E18347"/>
      <c r="G18347"/>
      <c r="H18347"/>
      <c r="I18347"/>
      <c r="K18347"/>
      <c r="O18347"/>
      <c r="R18347"/>
      <c r="W18347" s="4"/>
      <c r="X18347" s="4"/>
      <c r="Y18347" s="4"/>
    </row>
    <row r="18348" spans="5:25">
      <c r="E18348"/>
      <c r="G18348"/>
      <c r="H18348"/>
      <c r="I18348"/>
      <c r="K18348"/>
      <c r="O18348"/>
      <c r="R18348"/>
      <c r="W18348" s="4"/>
      <c r="X18348" s="4"/>
      <c r="Y18348" s="4"/>
    </row>
    <row r="18349" spans="5:25">
      <c r="E18349"/>
      <c r="G18349"/>
      <c r="H18349"/>
      <c r="I18349"/>
      <c r="K18349"/>
      <c r="O18349"/>
      <c r="R18349"/>
      <c r="W18349" s="4"/>
      <c r="X18349" s="4"/>
      <c r="Y18349" s="4"/>
    </row>
    <row r="18350" spans="5:25">
      <c r="E18350"/>
      <c r="G18350"/>
      <c r="H18350"/>
      <c r="I18350"/>
      <c r="K18350"/>
      <c r="O18350"/>
      <c r="R18350"/>
      <c r="W18350" s="4"/>
      <c r="X18350" s="4"/>
      <c r="Y18350" s="4"/>
    </row>
    <row r="18351" spans="5:25">
      <c r="E18351"/>
      <c r="G18351"/>
      <c r="H18351"/>
      <c r="I18351"/>
      <c r="K18351"/>
      <c r="O18351"/>
      <c r="R18351"/>
      <c r="W18351" s="4"/>
      <c r="X18351" s="4"/>
      <c r="Y18351" s="4"/>
    </row>
    <row r="18352" spans="5:25">
      <c r="E18352"/>
      <c r="G18352"/>
      <c r="H18352"/>
      <c r="I18352"/>
      <c r="K18352"/>
      <c r="O18352"/>
      <c r="R18352"/>
      <c r="W18352" s="4"/>
      <c r="X18352" s="4"/>
      <c r="Y18352" s="4"/>
    </row>
    <row r="18353" spans="5:25">
      <c r="E18353"/>
      <c r="G18353"/>
      <c r="H18353"/>
      <c r="I18353"/>
      <c r="K18353"/>
      <c r="O18353"/>
      <c r="R18353"/>
      <c r="W18353" s="4"/>
      <c r="X18353" s="4"/>
      <c r="Y18353" s="4"/>
    </row>
    <row r="18354" spans="5:25">
      <c r="E18354"/>
      <c r="G18354"/>
      <c r="H18354"/>
      <c r="I18354"/>
      <c r="K18354"/>
      <c r="O18354"/>
      <c r="R18354"/>
      <c r="W18354" s="4"/>
      <c r="X18354" s="4"/>
      <c r="Y18354" s="4"/>
    </row>
    <row r="18355" spans="5:25">
      <c r="E18355"/>
      <c r="G18355"/>
      <c r="H18355"/>
      <c r="I18355"/>
      <c r="K18355"/>
      <c r="O18355"/>
      <c r="R18355"/>
      <c r="W18355" s="4"/>
      <c r="X18355" s="4"/>
      <c r="Y18355" s="4"/>
    </row>
    <row r="18356" spans="5:25">
      <c r="E18356"/>
      <c r="G18356"/>
      <c r="H18356"/>
      <c r="I18356"/>
      <c r="K18356"/>
      <c r="O18356"/>
      <c r="R18356"/>
      <c r="W18356" s="4"/>
      <c r="X18356" s="4"/>
      <c r="Y18356" s="4"/>
    </row>
    <row r="18357" spans="5:25">
      <c r="E18357"/>
      <c r="G18357"/>
      <c r="H18357"/>
      <c r="I18357"/>
      <c r="K18357"/>
      <c r="O18357"/>
      <c r="R18357"/>
      <c r="W18357" s="4"/>
      <c r="X18357" s="4"/>
      <c r="Y18357" s="4"/>
    </row>
    <row r="18358" spans="5:25">
      <c r="E18358"/>
      <c r="G18358"/>
      <c r="H18358"/>
      <c r="I18358"/>
      <c r="K18358"/>
      <c r="O18358"/>
      <c r="R18358"/>
      <c r="W18358" s="4"/>
      <c r="X18358" s="4"/>
      <c r="Y18358" s="4"/>
    </row>
    <row r="18359" spans="5:25">
      <c r="E18359"/>
      <c r="G18359"/>
      <c r="H18359"/>
      <c r="I18359"/>
      <c r="K18359"/>
      <c r="O18359"/>
      <c r="R18359"/>
      <c r="W18359" s="4"/>
      <c r="X18359" s="4"/>
      <c r="Y18359" s="4"/>
    </row>
    <row r="18360" spans="5:25">
      <c r="E18360"/>
      <c r="G18360"/>
      <c r="H18360"/>
      <c r="I18360"/>
      <c r="K18360"/>
      <c r="O18360"/>
      <c r="R18360"/>
      <c r="W18360" s="4"/>
      <c r="X18360" s="4"/>
      <c r="Y18360" s="4"/>
    </row>
    <row r="18361" spans="5:25">
      <c r="E18361"/>
      <c r="G18361"/>
      <c r="H18361"/>
      <c r="I18361"/>
      <c r="K18361"/>
      <c r="O18361"/>
      <c r="R18361"/>
      <c r="W18361" s="4"/>
      <c r="X18361" s="4"/>
      <c r="Y18361" s="4"/>
    </row>
    <row r="18362" spans="5:25">
      <c r="E18362"/>
      <c r="G18362"/>
      <c r="H18362"/>
      <c r="I18362"/>
      <c r="K18362"/>
      <c r="O18362"/>
      <c r="R18362"/>
      <c r="W18362" s="4"/>
      <c r="X18362" s="4"/>
      <c r="Y18362" s="4"/>
    </row>
    <row r="18363" spans="5:25">
      <c r="E18363"/>
      <c r="G18363"/>
      <c r="H18363"/>
      <c r="I18363"/>
      <c r="K18363"/>
      <c r="O18363"/>
      <c r="R18363"/>
      <c r="W18363" s="4"/>
      <c r="X18363" s="4"/>
      <c r="Y18363" s="4"/>
    </row>
    <row r="18364" spans="5:25">
      <c r="E18364"/>
      <c r="G18364"/>
      <c r="H18364"/>
      <c r="I18364"/>
      <c r="K18364"/>
      <c r="O18364"/>
      <c r="R18364"/>
      <c r="W18364" s="4"/>
      <c r="X18364" s="4"/>
      <c r="Y18364" s="4"/>
    </row>
    <row r="18365" spans="5:25">
      <c r="E18365"/>
      <c r="G18365"/>
      <c r="H18365"/>
      <c r="I18365"/>
      <c r="K18365"/>
      <c r="O18365"/>
      <c r="R18365"/>
      <c r="W18365" s="4"/>
      <c r="X18365" s="4"/>
      <c r="Y18365" s="4"/>
    </row>
    <row r="18366" spans="5:25">
      <c r="E18366"/>
      <c r="G18366"/>
      <c r="H18366"/>
      <c r="I18366"/>
      <c r="K18366"/>
      <c r="O18366"/>
      <c r="R18366"/>
      <c r="W18366" s="4"/>
      <c r="X18366" s="4"/>
      <c r="Y18366" s="4"/>
    </row>
    <row r="18367" spans="5:25">
      <c r="E18367"/>
      <c r="G18367"/>
      <c r="H18367"/>
      <c r="I18367"/>
      <c r="K18367"/>
      <c r="O18367"/>
      <c r="R18367"/>
      <c r="W18367" s="4"/>
      <c r="X18367" s="4"/>
      <c r="Y18367" s="4"/>
    </row>
    <row r="18368" spans="5:25">
      <c r="E18368"/>
      <c r="G18368"/>
      <c r="H18368"/>
      <c r="I18368"/>
      <c r="K18368"/>
      <c r="O18368"/>
      <c r="R18368"/>
      <c r="W18368" s="4"/>
      <c r="X18368" s="4"/>
      <c r="Y18368" s="4"/>
    </row>
    <row r="18369" spans="5:25">
      <c r="E18369"/>
      <c r="G18369"/>
      <c r="H18369"/>
      <c r="I18369"/>
      <c r="K18369"/>
      <c r="O18369"/>
      <c r="R18369"/>
      <c r="W18369" s="4"/>
      <c r="X18369" s="4"/>
      <c r="Y18369" s="4"/>
    </row>
    <row r="18370" spans="5:25">
      <c r="E18370"/>
      <c r="G18370"/>
      <c r="H18370"/>
      <c r="I18370"/>
      <c r="K18370"/>
      <c r="O18370"/>
      <c r="R18370"/>
      <c r="W18370" s="4"/>
      <c r="X18370" s="4"/>
      <c r="Y18370" s="4"/>
    </row>
    <row r="18371" spans="5:25">
      <c r="E18371"/>
      <c r="G18371"/>
      <c r="H18371"/>
      <c r="I18371"/>
      <c r="K18371"/>
      <c r="O18371"/>
      <c r="R18371"/>
      <c r="W18371" s="4"/>
      <c r="X18371" s="4"/>
      <c r="Y18371" s="4"/>
    </row>
    <row r="18372" spans="5:25">
      <c r="E18372"/>
      <c r="G18372"/>
      <c r="H18372"/>
      <c r="I18372"/>
      <c r="K18372"/>
      <c r="O18372"/>
      <c r="R18372"/>
      <c r="W18372" s="4"/>
      <c r="X18372" s="4"/>
      <c r="Y18372" s="4"/>
    </row>
    <row r="18373" spans="5:25">
      <c r="E18373"/>
      <c r="G18373"/>
      <c r="H18373"/>
      <c r="I18373"/>
      <c r="K18373"/>
      <c r="O18373"/>
      <c r="R18373"/>
      <c r="W18373" s="4"/>
      <c r="X18373" s="4"/>
      <c r="Y18373" s="4"/>
    </row>
    <row r="18374" spans="5:25">
      <c r="E18374"/>
      <c r="G18374"/>
      <c r="H18374"/>
      <c r="I18374"/>
      <c r="K18374"/>
      <c r="O18374"/>
      <c r="R18374"/>
      <c r="W18374" s="4"/>
      <c r="X18374" s="4"/>
      <c r="Y18374" s="4"/>
    </row>
    <row r="18375" spans="5:25">
      <c r="E18375"/>
      <c r="G18375"/>
      <c r="H18375"/>
      <c r="I18375"/>
      <c r="K18375"/>
      <c r="O18375"/>
      <c r="R18375"/>
      <c r="W18375" s="4"/>
      <c r="X18375" s="4"/>
      <c r="Y18375" s="4"/>
    </row>
    <row r="18376" spans="5:25">
      <c r="E18376"/>
      <c r="G18376"/>
      <c r="H18376"/>
      <c r="I18376"/>
      <c r="K18376"/>
      <c r="O18376"/>
      <c r="R18376"/>
      <c r="W18376" s="4"/>
      <c r="X18376" s="4"/>
      <c r="Y18376" s="4"/>
    </row>
    <row r="18377" spans="5:25">
      <c r="E18377"/>
      <c r="G18377"/>
      <c r="H18377"/>
      <c r="I18377"/>
      <c r="K18377"/>
      <c r="O18377"/>
      <c r="R18377"/>
      <c r="W18377" s="4"/>
      <c r="X18377" s="4"/>
      <c r="Y18377" s="4"/>
    </row>
    <row r="18378" spans="5:25">
      <c r="E18378"/>
      <c r="G18378"/>
      <c r="H18378"/>
      <c r="I18378"/>
      <c r="K18378"/>
      <c r="O18378"/>
      <c r="R18378"/>
      <c r="W18378" s="4"/>
      <c r="X18378" s="4"/>
      <c r="Y18378" s="4"/>
    </row>
    <row r="18379" spans="5:25">
      <c r="E18379"/>
      <c r="G18379"/>
      <c r="H18379"/>
      <c r="I18379"/>
      <c r="K18379"/>
      <c r="O18379"/>
      <c r="R18379"/>
      <c r="W18379" s="4"/>
      <c r="X18379" s="4"/>
      <c r="Y18379" s="4"/>
    </row>
    <row r="18380" spans="5:25">
      <c r="E18380"/>
      <c r="G18380"/>
      <c r="H18380"/>
      <c r="I18380"/>
      <c r="K18380"/>
      <c r="O18380"/>
      <c r="R18380"/>
      <c r="W18380" s="4"/>
      <c r="X18380" s="4"/>
      <c r="Y18380" s="4"/>
    </row>
    <row r="18381" spans="5:25">
      <c r="E18381"/>
      <c r="G18381"/>
      <c r="H18381"/>
      <c r="I18381"/>
      <c r="K18381"/>
      <c r="O18381"/>
      <c r="R18381"/>
      <c r="W18381" s="4"/>
      <c r="X18381" s="4"/>
      <c r="Y18381" s="4"/>
    </row>
    <row r="18382" spans="5:25">
      <c r="E18382"/>
      <c r="G18382"/>
      <c r="H18382"/>
      <c r="I18382"/>
      <c r="K18382"/>
      <c r="O18382"/>
      <c r="R18382"/>
      <c r="W18382" s="4"/>
      <c r="X18382" s="4"/>
      <c r="Y18382" s="4"/>
    </row>
    <row r="18383" spans="5:25">
      <c r="E18383"/>
      <c r="G18383"/>
      <c r="H18383"/>
      <c r="I18383"/>
      <c r="K18383"/>
      <c r="O18383"/>
      <c r="R18383"/>
      <c r="W18383" s="4"/>
      <c r="X18383" s="4"/>
      <c r="Y18383" s="4"/>
    </row>
    <row r="18384" spans="5:25">
      <c r="E18384"/>
      <c r="G18384"/>
      <c r="H18384"/>
      <c r="I18384"/>
      <c r="K18384"/>
      <c r="O18384"/>
      <c r="R18384"/>
      <c r="W18384" s="4"/>
      <c r="X18384" s="4"/>
      <c r="Y18384" s="4"/>
    </row>
    <row r="18385" spans="5:25">
      <c r="E18385"/>
      <c r="G18385"/>
      <c r="H18385"/>
      <c r="I18385"/>
      <c r="K18385"/>
      <c r="O18385"/>
      <c r="R18385"/>
      <c r="W18385" s="4"/>
      <c r="X18385" s="4"/>
      <c r="Y18385" s="4"/>
    </row>
    <row r="18386" spans="5:25">
      <c r="E18386"/>
      <c r="G18386"/>
      <c r="H18386"/>
      <c r="I18386"/>
      <c r="K18386"/>
      <c r="O18386"/>
      <c r="R18386"/>
      <c r="W18386" s="4"/>
      <c r="X18386" s="4"/>
      <c r="Y18386" s="4"/>
    </row>
    <row r="18387" spans="5:25">
      <c r="E18387"/>
      <c r="G18387"/>
      <c r="H18387"/>
      <c r="I18387"/>
      <c r="K18387"/>
      <c r="O18387"/>
      <c r="R18387"/>
      <c r="W18387" s="4"/>
      <c r="X18387" s="4"/>
      <c r="Y18387" s="4"/>
    </row>
    <row r="18388" spans="5:25">
      <c r="E18388"/>
      <c r="G18388"/>
      <c r="H18388"/>
      <c r="I18388"/>
      <c r="K18388"/>
      <c r="O18388"/>
      <c r="R18388"/>
      <c r="W18388" s="4"/>
      <c r="X18388" s="4"/>
      <c r="Y18388" s="4"/>
    </row>
    <row r="18389" spans="5:25">
      <c r="E18389"/>
      <c r="G18389"/>
      <c r="H18389"/>
      <c r="I18389"/>
      <c r="K18389"/>
      <c r="O18389"/>
      <c r="R18389"/>
      <c r="W18389" s="4"/>
      <c r="X18389" s="4"/>
      <c r="Y18389" s="4"/>
    </row>
    <row r="18390" spans="5:25">
      <c r="E18390"/>
      <c r="G18390"/>
      <c r="H18390"/>
      <c r="I18390"/>
      <c r="K18390"/>
      <c r="O18390"/>
      <c r="R18390"/>
      <c r="W18390" s="4"/>
      <c r="X18390" s="4"/>
      <c r="Y18390" s="4"/>
    </row>
    <row r="18391" spans="5:25">
      <c r="E18391"/>
      <c r="G18391"/>
      <c r="H18391"/>
      <c r="I18391"/>
      <c r="K18391"/>
      <c r="O18391"/>
      <c r="R18391"/>
      <c r="W18391" s="4"/>
      <c r="X18391" s="4"/>
      <c r="Y18391" s="4"/>
    </row>
    <row r="18392" spans="5:25">
      <c r="E18392"/>
      <c r="G18392"/>
      <c r="H18392"/>
      <c r="I18392"/>
      <c r="K18392"/>
      <c r="O18392"/>
      <c r="R18392"/>
      <c r="W18392" s="4"/>
      <c r="X18392" s="4"/>
      <c r="Y18392" s="4"/>
    </row>
    <row r="18393" spans="5:25">
      <c r="E18393"/>
      <c r="G18393"/>
      <c r="H18393"/>
      <c r="I18393"/>
      <c r="K18393"/>
      <c r="O18393"/>
      <c r="R18393"/>
      <c r="W18393" s="4"/>
      <c r="X18393" s="4"/>
      <c r="Y18393" s="4"/>
    </row>
    <row r="18394" spans="5:25">
      <c r="E18394"/>
      <c r="G18394"/>
      <c r="H18394"/>
      <c r="I18394"/>
      <c r="K18394"/>
      <c r="O18394"/>
      <c r="R18394"/>
      <c r="W18394" s="4"/>
      <c r="X18394" s="4"/>
      <c r="Y18394" s="4"/>
    </row>
    <row r="18395" spans="5:25">
      <c r="E18395"/>
      <c r="G18395"/>
      <c r="H18395"/>
      <c r="I18395"/>
      <c r="K18395"/>
      <c r="O18395"/>
      <c r="R18395"/>
      <c r="W18395" s="4"/>
      <c r="X18395" s="4"/>
      <c r="Y18395" s="4"/>
    </row>
    <row r="18396" spans="5:25">
      <c r="E18396"/>
      <c r="G18396"/>
      <c r="H18396"/>
      <c r="I18396"/>
      <c r="K18396"/>
      <c r="O18396"/>
      <c r="R18396"/>
      <c r="W18396" s="4"/>
      <c r="X18396" s="4"/>
      <c r="Y18396" s="4"/>
    </row>
    <row r="18397" spans="5:25">
      <c r="E18397"/>
      <c r="G18397"/>
      <c r="H18397"/>
      <c r="I18397"/>
      <c r="K18397"/>
      <c r="O18397"/>
      <c r="R18397"/>
      <c r="W18397" s="4"/>
      <c r="X18397" s="4"/>
      <c r="Y18397" s="4"/>
    </row>
    <row r="18398" spans="5:25">
      <c r="E18398"/>
      <c r="G18398"/>
      <c r="H18398"/>
      <c r="I18398"/>
      <c r="K18398"/>
      <c r="O18398"/>
      <c r="R18398"/>
      <c r="W18398" s="4"/>
      <c r="X18398" s="4"/>
      <c r="Y18398" s="4"/>
    </row>
    <row r="18399" spans="5:25">
      <c r="E18399"/>
      <c r="G18399"/>
      <c r="H18399"/>
      <c r="I18399"/>
      <c r="K18399"/>
      <c r="O18399"/>
      <c r="R18399"/>
      <c r="W18399" s="4"/>
      <c r="X18399" s="4"/>
      <c r="Y18399" s="4"/>
    </row>
    <row r="18400" spans="5:25">
      <c r="E18400"/>
      <c r="G18400"/>
      <c r="H18400"/>
      <c r="I18400"/>
      <c r="K18400"/>
      <c r="O18400"/>
      <c r="R18400"/>
      <c r="W18400" s="4"/>
      <c r="X18400" s="4"/>
      <c r="Y18400" s="4"/>
    </row>
    <row r="18401" spans="5:25">
      <c r="E18401"/>
      <c r="G18401"/>
      <c r="H18401"/>
      <c r="I18401"/>
      <c r="K18401"/>
      <c r="O18401"/>
      <c r="R18401"/>
      <c r="W18401" s="4"/>
      <c r="X18401" s="4"/>
      <c r="Y18401" s="4"/>
    </row>
    <row r="18402" spans="5:25">
      <c r="E18402"/>
      <c r="G18402"/>
      <c r="H18402"/>
      <c r="I18402"/>
      <c r="K18402"/>
      <c r="O18402"/>
      <c r="R18402"/>
      <c r="W18402" s="4"/>
      <c r="X18402" s="4"/>
      <c r="Y18402" s="4"/>
    </row>
    <row r="18403" spans="5:25">
      <c r="E18403"/>
      <c r="G18403"/>
      <c r="H18403"/>
      <c r="I18403"/>
      <c r="K18403"/>
      <c r="O18403"/>
      <c r="R18403"/>
      <c r="W18403" s="4"/>
      <c r="X18403" s="4"/>
      <c r="Y18403" s="4"/>
    </row>
    <row r="18404" spans="5:25">
      <c r="E18404"/>
      <c r="G18404"/>
      <c r="H18404"/>
      <c r="I18404"/>
      <c r="K18404"/>
      <c r="O18404"/>
      <c r="R18404"/>
      <c r="W18404" s="4"/>
      <c r="X18404" s="4"/>
      <c r="Y18404" s="4"/>
    </row>
    <row r="18405" spans="5:25">
      <c r="E18405"/>
      <c r="G18405"/>
      <c r="H18405"/>
      <c r="I18405"/>
      <c r="K18405"/>
      <c r="O18405"/>
      <c r="R18405"/>
      <c r="W18405" s="4"/>
      <c r="X18405" s="4"/>
      <c r="Y18405" s="4"/>
    </row>
    <row r="18406" spans="5:25">
      <c r="E18406"/>
      <c r="G18406"/>
      <c r="H18406"/>
      <c r="I18406"/>
      <c r="K18406"/>
      <c r="O18406"/>
      <c r="R18406"/>
      <c r="W18406" s="4"/>
      <c r="X18406" s="4"/>
      <c r="Y18406" s="4"/>
    </row>
    <row r="18407" spans="5:25">
      <c r="E18407"/>
      <c r="G18407"/>
      <c r="H18407"/>
      <c r="I18407"/>
      <c r="K18407"/>
      <c r="O18407"/>
      <c r="R18407"/>
      <c r="W18407" s="4"/>
      <c r="X18407" s="4"/>
      <c r="Y18407" s="4"/>
    </row>
    <row r="18408" spans="5:25">
      <c r="E18408"/>
      <c r="G18408"/>
      <c r="H18408"/>
      <c r="I18408"/>
      <c r="K18408"/>
      <c r="O18408"/>
      <c r="R18408"/>
      <c r="W18408" s="4"/>
      <c r="X18408" s="4"/>
      <c r="Y18408" s="4"/>
    </row>
    <row r="18409" spans="5:25">
      <c r="E18409"/>
      <c r="G18409"/>
      <c r="H18409"/>
      <c r="I18409"/>
      <c r="K18409"/>
      <c r="O18409"/>
      <c r="R18409"/>
      <c r="W18409" s="4"/>
      <c r="X18409" s="4"/>
      <c r="Y18409" s="4"/>
    </row>
    <row r="18410" spans="5:25">
      <c r="E18410"/>
      <c r="G18410"/>
      <c r="H18410"/>
      <c r="I18410"/>
      <c r="K18410"/>
      <c r="O18410"/>
      <c r="R18410"/>
      <c r="W18410" s="4"/>
      <c r="X18410" s="4"/>
      <c r="Y18410" s="4"/>
    </row>
    <row r="18411" spans="5:25">
      <c r="E18411"/>
      <c r="G18411"/>
      <c r="H18411"/>
      <c r="I18411"/>
      <c r="K18411"/>
      <c r="O18411"/>
      <c r="R18411"/>
      <c r="W18411" s="4"/>
      <c r="X18411" s="4"/>
      <c r="Y18411" s="4"/>
    </row>
    <row r="18412" spans="5:25">
      <c r="E18412"/>
      <c r="G18412"/>
      <c r="H18412"/>
      <c r="I18412"/>
      <c r="K18412"/>
      <c r="O18412"/>
      <c r="R18412"/>
      <c r="W18412" s="4"/>
      <c r="X18412" s="4"/>
      <c r="Y18412" s="4"/>
    </row>
    <row r="18413" spans="5:25">
      <c r="E18413"/>
      <c r="G18413"/>
      <c r="H18413"/>
      <c r="I18413"/>
      <c r="K18413"/>
      <c r="O18413"/>
      <c r="R18413"/>
      <c r="W18413" s="4"/>
      <c r="X18413" s="4"/>
      <c r="Y18413" s="4"/>
    </row>
    <row r="18414" spans="5:25">
      <c r="E18414"/>
      <c r="G18414"/>
      <c r="H18414"/>
      <c r="I18414"/>
      <c r="K18414"/>
      <c r="O18414"/>
      <c r="R18414"/>
      <c r="W18414" s="4"/>
      <c r="X18414" s="4"/>
      <c r="Y18414" s="4"/>
    </row>
    <row r="18415" spans="5:25">
      <c r="E18415"/>
      <c r="G18415"/>
      <c r="H18415"/>
      <c r="I18415"/>
      <c r="K18415"/>
      <c r="O18415"/>
      <c r="R18415"/>
      <c r="W18415" s="4"/>
      <c r="X18415" s="4"/>
      <c r="Y18415" s="4"/>
    </row>
    <row r="18416" spans="5:25">
      <c r="E18416"/>
      <c r="G18416"/>
      <c r="H18416"/>
      <c r="I18416"/>
      <c r="K18416"/>
      <c r="O18416"/>
      <c r="R18416"/>
      <c r="W18416" s="4"/>
      <c r="X18416" s="4"/>
      <c r="Y18416" s="4"/>
    </row>
    <row r="18417" spans="5:25">
      <c r="E18417"/>
      <c r="G18417"/>
      <c r="H18417"/>
      <c r="I18417"/>
      <c r="K18417"/>
      <c r="O18417"/>
      <c r="R18417"/>
      <c r="W18417" s="4"/>
      <c r="X18417" s="4"/>
      <c r="Y18417" s="4"/>
    </row>
    <row r="18418" spans="5:25">
      <c r="E18418"/>
      <c r="G18418"/>
      <c r="H18418"/>
      <c r="I18418"/>
      <c r="K18418"/>
      <c r="O18418"/>
      <c r="R18418"/>
      <c r="W18418" s="4"/>
      <c r="X18418" s="4"/>
      <c r="Y18418" s="4"/>
    </row>
    <row r="18419" spans="5:25">
      <c r="E18419"/>
      <c r="G18419"/>
      <c r="H18419"/>
      <c r="I18419"/>
      <c r="K18419"/>
      <c r="O18419"/>
      <c r="R18419"/>
      <c r="W18419" s="4"/>
      <c r="X18419" s="4"/>
      <c r="Y18419" s="4"/>
    </row>
    <row r="18420" spans="5:25">
      <c r="E18420"/>
      <c r="G18420"/>
      <c r="H18420"/>
      <c r="I18420"/>
      <c r="K18420"/>
      <c r="O18420"/>
      <c r="R18420"/>
      <c r="W18420" s="4"/>
      <c r="X18420" s="4"/>
      <c r="Y18420" s="4"/>
    </row>
    <row r="18421" spans="5:25">
      <c r="E18421"/>
      <c r="G18421"/>
      <c r="H18421"/>
      <c r="I18421"/>
      <c r="K18421"/>
      <c r="O18421"/>
      <c r="R18421"/>
      <c r="W18421" s="4"/>
      <c r="X18421" s="4"/>
      <c r="Y18421" s="4"/>
    </row>
    <row r="18422" spans="5:25">
      <c r="E18422"/>
      <c r="G18422"/>
      <c r="H18422"/>
      <c r="I18422"/>
      <c r="K18422"/>
      <c r="O18422"/>
      <c r="R18422"/>
      <c r="W18422" s="4"/>
      <c r="X18422" s="4"/>
      <c r="Y18422" s="4"/>
    </row>
    <row r="18423" spans="5:25">
      <c r="E18423"/>
      <c r="G18423"/>
      <c r="H18423"/>
      <c r="I18423"/>
      <c r="K18423"/>
      <c r="O18423"/>
      <c r="R18423"/>
      <c r="W18423" s="4"/>
      <c r="X18423" s="4"/>
      <c r="Y18423" s="4"/>
    </row>
    <row r="18424" spans="5:25">
      <c r="E18424"/>
      <c r="G18424"/>
      <c r="H18424"/>
      <c r="I18424"/>
      <c r="K18424"/>
      <c r="O18424"/>
      <c r="R18424"/>
      <c r="W18424" s="4"/>
      <c r="X18424" s="4"/>
      <c r="Y18424" s="4"/>
    </row>
    <row r="18425" spans="5:25">
      <c r="E18425"/>
      <c r="G18425"/>
      <c r="H18425"/>
      <c r="I18425"/>
      <c r="K18425"/>
      <c r="O18425"/>
      <c r="R18425"/>
      <c r="W18425" s="4"/>
      <c r="X18425" s="4"/>
      <c r="Y18425" s="4"/>
    </row>
    <row r="18426" spans="5:25">
      <c r="E18426"/>
      <c r="G18426"/>
      <c r="H18426"/>
      <c r="I18426"/>
      <c r="K18426"/>
      <c r="O18426"/>
      <c r="R18426"/>
      <c r="W18426" s="4"/>
      <c r="X18426" s="4"/>
      <c r="Y18426" s="4"/>
    </row>
    <row r="18427" spans="5:25">
      <c r="E18427"/>
      <c r="G18427"/>
      <c r="H18427"/>
      <c r="I18427"/>
      <c r="K18427"/>
      <c r="O18427"/>
      <c r="R18427"/>
      <c r="W18427" s="4"/>
      <c r="X18427" s="4"/>
      <c r="Y18427" s="4"/>
    </row>
    <row r="18428" spans="5:25">
      <c r="E18428"/>
      <c r="G18428"/>
      <c r="H18428"/>
      <c r="I18428"/>
      <c r="K18428"/>
      <c r="O18428"/>
      <c r="R18428"/>
      <c r="W18428" s="4"/>
      <c r="X18428" s="4"/>
      <c r="Y18428" s="4"/>
    </row>
    <row r="18429" spans="5:25">
      <c r="E18429"/>
      <c r="G18429"/>
      <c r="H18429"/>
      <c r="I18429"/>
      <c r="K18429"/>
      <c r="O18429"/>
      <c r="R18429"/>
      <c r="W18429" s="4"/>
      <c r="X18429" s="4"/>
      <c r="Y18429" s="4"/>
    </row>
    <row r="18430" spans="5:25">
      <c r="E18430"/>
      <c r="G18430"/>
      <c r="H18430"/>
      <c r="I18430"/>
      <c r="K18430"/>
      <c r="O18430"/>
      <c r="R18430"/>
      <c r="W18430" s="4"/>
      <c r="X18430" s="4"/>
      <c r="Y18430" s="4"/>
    </row>
    <row r="18431" spans="5:25">
      <c r="E18431"/>
      <c r="G18431"/>
      <c r="H18431"/>
      <c r="I18431"/>
      <c r="K18431"/>
      <c r="O18431"/>
      <c r="R18431"/>
      <c r="W18431" s="4"/>
      <c r="X18431" s="4"/>
      <c r="Y18431" s="4"/>
    </row>
    <row r="18432" spans="5:25">
      <c r="E18432"/>
      <c r="G18432"/>
      <c r="H18432"/>
      <c r="I18432"/>
      <c r="K18432"/>
      <c r="O18432"/>
      <c r="R18432"/>
      <c r="W18432" s="4"/>
      <c r="X18432" s="4"/>
      <c r="Y18432" s="4"/>
    </row>
    <row r="18433" spans="5:25">
      <c r="E18433"/>
      <c r="G18433"/>
      <c r="H18433"/>
      <c r="I18433"/>
      <c r="K18433"/>
      <c r="O18433"/>
      <c r="R18433"/>
      <c r="W18433" s="4"/>
      <c r="X18433" s="4"/>
      <c r="Y18433" s="4"/>
    </row>
    <row r="18434" spans="5:25">
      <c r="E18434"/>
      <c r="G18434"/>
      <c r="H18434"/>
      <c r="I18434"/>
      <c r="K18434"/>
      <c r="O18434"/>
      <c r="R18434"/>
      <c r="W18434" s="4"/>
      <c r="X18434" s="4"/>
      <c r="Y18434" s="4"/>
    </row>
    <row r="18435" spans="5:25">
      <c r="E18435"/>
      <c r="G18435"/>
      <c r="H18435"/>
      <c r="I18435"/>
      <c r="K18435"/>
      <c r="O18435"/>
      <c r="R18435"/>
      <c r="W18435" s="4"/>
      <c r="X18435" s="4"/>
      <c r="Y18435" s="4"/>
    </row>
    <row r="18436" spans="5:25">
      <c r="E18436"/>
      <c r="G18436"/>
      <c r="H18436"/>
      <c r="I18436"/>
      <c r="K18436"/>
      <c r="O18436"/>
      <c r="R18436"/>
      <c r="W18436" s="4"/>
      <c r="X18436" s="4"/>
      <c r="Y18436" s="4"/>
    </row>
    <row r="18437" spans="5:25">
      <c r="E18437"/>
      <c r="G18437"/>
      <c r="H18437"/>
      <c r="I18437"/>
      <c r="K18437"/>
      <c r="O18437"/>
      <c r="R18437"/>
      <c r="W18437" s="4"/>
      <c r="X18437" s="4"/>
      <c r="Y18437" s="4"/>
    </row>
    <row r="18438" spans="5:25">
      <c r="E18438"/>
      <c r="G18438"/>
      <c r="H18438"/>
      <c r="I18438"/>
      <c r="K18438"/>
      <c r="O18438"/>
      <c r="R18438"/>
      <c r="W18438" s="4"/>
      <c r="X18438" s="4"/>
      <c r="Y18438" s="4"/>
    </row>
    <row r="18439" spans="5:25">
      <c r="E18439"/>
      <c r="G18439"/>
      <c r="H18439"/>
      <c r="I18439"/>
      <c r="K18439"/>
      <c r="O18439"/>
      <c r="R18439"/>
      <c r="W18439" s="4"/>
      <c r="X18439" s="4"/>
      <c r="Y18439" s="4"/>
    </row>
    <row r="18440" spans="5:25">
      <c r="E18440"/>
      <c r="G18440"/>
      <c r="H18440"/>
      <c r="I18440"/>
      <c r="K18440"/>
      <c r="O18440"/>
      <c r="R18440"/>
      <c r="W18440" s="4"/>
      <c r="X18440" s="4"/>
      <c r="Y18440" s="4"/>
    </row>
    <row r="18441" spans="5:25">
      <c r="E18441"/>
      <c r="G18441"/>
      <c r="H18441"/>
      <c r="I18441"/>
      <c r="K18441"/>
      <c r="O18441"/>
      <c r="R18441"/>
      <c r="W18441" s="4"/>
      <c r="X18441" s="4"/>
      <c r="Y18441" s="4"/>
    </row>
    <row r="18442" spans="5:25">
      <c r="E18442"/>
      <c r="G18442"/>
      <c r="H18442"/>
      <c r="I18442"/>
      <c r="K18442"/>
      <c r="O18442"/>
      <c r="R18442"/>
      <c r="W18442" s="4"/>
      <c r="X18442" s="4"/>
      <c r="Y18442" s="4"/>
    </row>
    <row r="18443" spans="5:25">
      <c r="E18443"/>
      <c r="G18443"/>
      <c r="H18443"/>
      <c r="I18443"/>
      <c r="K18443"/>
      <c r="O18443"/>
      <c r="R18443"/>
      <c r="W18443" s="4"/>
      <c r="X18443" s="4"/>
      <c r="Y18443" s="4"/>
    </row>
    <row r="18444" spans="5:25">
      <c r="E18444"/>
      <c r="G18444"/>
      <c r="H18444"/>
      <c r="I18444"/>
      <c r="K18444"/>
      <c r="O18444"/>
      <c r="R18444"/>
      <c r="W18444" s="4"/>
      <c r="X18444" s="4"/>
      <c r="Y18444" s="4"/>
    </row>
    <row r="18445" spans="5:25">
      <c r="E18445"/>
      <c r="G18445"/>
      <c r="H18445"/>
      <c r="I18445"/>
      <c r="K18445"/>
      <c r="O18445"/>
      <c r="R18445"/>
      <c r="W18445" s="4"/>
      <c r="X18445" s="4"/>
      <c r="Y18445" s="4"/>
    </row>
    <row r="18446" spans="5:25">
      <c r="E18446"/>
      <c r="G18446"/>
      <c r="H18446"/>
      <c r="I18446"/>
      <c r="K18446"/>
      <c r="O18446"/>
      <c r="R18446"/>
      <c r="W18446" s="4"/>
      <c r="X18446" s="4"/>
      <c r="Y18446" s="4"/>
    </row>
    <row r="18447" spans="5:25">
      <c r="E18447"/>
      <c r="G18447"/>
      <c r="H18447"/>
      <c r="I18447"/>
      <c r="K18447"/>
      <c r="O18447"/>
      <c r="R18447"/>
      <c r="W18447" s="4"/>
      <c r="X18447" s="4"/>
      <c r="Y18447" s="4"/>
    </row>
    <row r="18448" spans="5:25">
      <c r="E18448"/>
      <c r="G18448"/>
      <c r="H18448"/>
      <c r="I18448"/>
      <c r="K18448"/>
      <c r="O18448"/>
      <c r="R18448"/>
      <c r="W18448" s="4"/>
      <c r="X18448" s="4"/>
      <c r="Y18448" s="4"/>
    </row>
    <row r="18449" spans="5:25">
      <c r="E18449"/>
      <c r="G18449"/>
      <c r="H18449"/>
      <c r="I18449"/>
      <c r="K18449"/>
      <c r="O18449"/>
      <c r="R18449"/>
      <c r="W18449" s="4"/>
      <c r="X18449" s="4"/>
      <c r="Y18449" s="4"/>
    </row>
    <row r="18450" spans="5:25">
      <c r="E18450"/>
      <c r="G18450"/>
      <c r="H18450"/>
      <c r="I18450"/>
      <c r="K18450"/>
      <c r="O18450"/>
      <c r="R18450"/>
      <c r="W18450" s="4"/>
      <c r="X18450" s="4"/>
      <c r="Y18450" s="4"/>
    </row>
    <row r="18451" spans="5:25">
      <c r="E18451"/>
      <c r="G18451"/>
      <c r="H18451"/>
      <c r="I18451"/>
      <c r="K18451"/>
      <c r="O18451"/>
      <c r="R18451"/>
      <c r="W18451" s="4"/>
      <c r="X18451" s="4"/>
      <c r="Y18451" s="4"/>
    </row>
    <row r="18452" spans="5:25">
      <c r="E18452"/>
      <c r="G18452"/>
      <c r="H18452"/>
      <c r="I18452"/>
      <c r="K18452"/>
      <c r="O18452"/>
      <c r="R18452"/>
      <c r="W18452" s="4"/>
      <c r="X18452" s="4"/>
      <c r="Y18452" s="4"/>
    </row>
    <row r="18453" spans="5:25">
      <c r="E18453"/>
      <c r="G18453"/>
      <c r="H18453"/>
      <c r="I18453"/>
      <c r="K18453"/>
      <c r="O18453"/>
      <c r="R18453"/>
      <c r="W18453" s="4"/>
      <c r="X18453" s="4"/>
      <c r="Y18453" s="4"/>
    </row>
    <row r="18454" spans="5:25">
      <c r="E18454"/>
      <c r="G18454"/>
      <c r="H18454"/>
      <c r="I18454"/>
      <c r="K18454"/>
      <c r="O18454"/>
      <c r="R18454"/>
      <c r="W18454" s="4"/>
      <c r="X18454" s="4"/>
      <c r="Y18454" s="4"/>
    </row>
    <row r="18455" spans="5:25">
      <c r="E18455"/>
      <c r="G18455"/>
      <c r="H18455"/>
      <c r="I18455"/>
      <c r="K18455"/>
      <c r="O18455"/>
      <c r="R18455"/>
      <c r="W18455" s="4"/>
      <c r="X18455" s="4"/>
      <c r="Y18455" s="4"/>
    </row>
    <row r="18456" spans="5:25">
      <c r="E18456"/>
      <c r="G18456"/>
      <c r="H18456"/>
      <c r="I18456"/>
      <c r="K18456"/>
      <c r="O18456"/>
      <c r="R18456"/>
      <c r="W18456" s="4"/>
      <c r="X18456" s="4"/>
      <c r="Y18456" s="4"/>
    </row>
    <row r="18457" spans="5:25">
      <c r="E18457"/>
      <c r="G18457"/>
      <c r="H18457"/>
      <c r="I18457"/>
      <c r="K18457"/>
      <c r="O18457"/>
      <c r="R18457"/>
      <c r="W18457" s="4"/>
      <c r="X18457" s="4"/>
      <c r="Y18457" s="4"/>
    </row>
    <row r="18458" spans="5:25">
      <c r="E18458"/>
      <c r="G18458"/>
      <c r="H18458"/>
      <c r="I18458"/>
      <c r="K18458"/>
      <c r="O18458"/>
      <c r="R18458"/>
      <c r="W18458" s="4"/>
      <c r="X18458" s="4"/>
      <c r="Y18458" s="4"/>
    </row>
    <row r="18459" spans="5:25">
      <c r="E18459"/>
      <c r="G18459"/>
      <c r="H18459"/>
      <c r="I18459"/>
      <c r="K18459"/>
      <c r="O18459"/>
      <c r="R18459"/>
      <c r="W18459" s="4"/>
      <c r="X18459" s="4"/>
      <c r="Y18459" s="4"/>
    </row>
    <row r="18460" spans="5:25">
      <c r="E18460"/>
      <c r="G18460"/>
      <c r="H18460"/>
      <c r="I18460"/>
      <c r="K18460"/>
      <c r="O18460"/>
      <c r="R18460"/>
      <c r="W18460" s="4"/>
      <c r="X18460" s="4"/>
      <c r="Y18460" s="4"/>
    </row>
    <row r="18461" spans="5:25">
      <c r="E18461"/>
      <c r="G18461"/>
      <c r="H18461"/>
      <c r="I18461"/>
      <c r="K18461"/>
      <c r="O18461"/>
      <c r="R18461"/>
      <c r="W18461" s="4"/>
      <c r="X18461" s="4"/>
      <c r="Y18461" s="4"/>
    </row>
    <row r="18462" spans="5:25">
      <c r="E18462"/>
      <c r="G18462"/>
      <c r="H18462"/>
      <c r="I18462"/>
      <c r="K18462"/>
      <c r="O18462"/>
      <c r="R18462"/>
      <c r="W18462" s="4"/>
      <c r="X18462" s="4"/>
      <c r="Y18462" s="4"/>
    </row>
    <row r="18463" spans="5:25">
      <c r="E18463"/>
      <c r="G18463"/>
      <c r="H18463"/>
      <c r="I18463"/>
      <c r="K18463"/>
      <c r="O18463"/>
      <c r="R18463"/>
      <c r="W18463" s="4"/>
      <c r="X18463" s="4"/>
      <c r="Y18463" s="4"/>
    </row>
    <row r="18464" spans="5:25">
      <c r="E18464"/>
      <c r="G18464"/>
      <c r="H18464"/>
      <c r="I18464"/>
      <c r="K18464"/>
      <c r="O18464"/>
      <c r="R18464"/>
      <c r="W18464" s="4"/>
      <c r="X18464" s="4"/>
      <c r="Y18464" s="4"/>
    </row>
    <row r="18465" spans="5:25">
      <c r="E18465"/>
      <c r="G18465"/>
      <c r="H18465"/>
      <c r="I18465"/>
      <c r="K18465"/>
      <c r="O18465"/>
      <c r="R18465"/>
      <c r="W18465" s="4"/>
      <c r="X18465" s="4"/>
      <c r="Y18465" s="4"/>
    </row>
    <row r="18466" spans="5:25">
      <c r="E18466"/>
      <c r="G18466"/>
      <c r="H18466"/>
      <c r="I18466"/>
      <c r="K18466"/>
      <c r="O18466"/>
      <c r="R18466"/>
      <c r="W18466" s="4"/>
      <c r="X18466" s="4"/>
      <c r="Y18466" s="4"/>
    </row>
    <row r="18467" spans="5:25">
      <c r="E18467"/>
      <c r="G18467"/>
      <c r="H18467"/>
      <c r="I18467"/>
      <c r="K18467"/>
      <c r="O18467"/>
      <c r="R18467"/>
      <c r="W18467" s="4"/>
      <c r="X18467" s="4"/>
      <c r="Y18467" s="4"/>
    </row>
    <row r="18468" spans="5:25">
      <c r="E18468"/>
      <c r="G18468"/>
      <c r="H18468"/>
      <c r="I18468"/>
      <c r="K18468"/>
      <c r="O18468"/>
      <c r="R18468"/>
      <c r="W18468" s="4"/>
      <c r="X18468" s="4"/>
      <c r="Y18468" s="4"/>
    </row>
    <row r="18469" spans="5:25">
      <c r="E18469"/>
      <c r="G18469"/>
      <c r="H18469"/>
      <c r="I18469"/>
      <c r="K18469"/>
      <c r="O18469"/>
      <c r="R18469"/>
      <c r="W18469" s="4"/>
      <c r="X18469" s="4"/>
      <c r="Y18469" s="4"/>
    </row>
    <row r="18470" spans="5:25">
      <c r="E18470"/>
      <c r="G18470"/>
      <c r="H18470"/>
      <c r="I18470"/>
      <c r="K18470"/>
      <c r="O18470"/>
      <c r="R18470"/>
      <c r="W18470" s="4"/>
      <c r="X18470" s="4"/>
      <c r="Y18470" s="4"/>
    </row>
    <row r="18471" spans="5:25">
      <c r="E18471"/>
      <c r="G18471"/>
      <c r="H18471"/>
      <c r="I18471"/>
      <c r="K18471"/>
      <c r="O18471"/>
      <c r="R18471"/>
      <c r="W18471" s="4"/>
      <c r="X18471" s="4"/>
      <c r="Y18471" s="4"/>
    </row>
    <row r="18472" spans="5:25">
      <c r="E18472"/>
      <c r="G18472"/>
      <c r="H18472"/>
      <c r="I18472"/>
      <c r="K18472"/>
      <c r="O18472"/>
      <c r="R18472"/>
      <c r="W18472" s="4"/>
      <c r="X18472" s="4"/>
      <c r="Y18472" s="4"/>
    </row>
    <row r="18473" spans="5:25">
      <c r="E18473"/>
      <c r="G18473"/>
      <c r="H18473"/>
      <c r="I18473"/>
      <c r="K18473"/>
      <c r="O18473"/>
      <c r="R18473"/>
      <c r="W18473" s="4"/>
      <c r="X18473" s="4"/>
      <c r="Y18473" s="4"/>
    </row>
    <row r="18474" spans="5:25">
      <c r="E18474"/>
      <c r="G18474"/>
      <c r="H18474"/>
      <c r="I18474"/>
      <c r="K18474"/>
      <c r="O18474"/>
      <c r="R18474"/>
      <c r="W18474" s="4"/>
      <c r="X18474" s="4"/>
      <c r="Y18474" s="4"/>
    </row>
    <row r="18475" spans="5:25">
      <c r="E18475"/>
      <c r="G18475"/>
      <c r="H18475"/>
      <c r="I18475"/>
      <c r="K18475"/>
      <c r="O18475"/>
      <c r="R18475"/>
      <c r="W18475" s="4"/>
      <c r="X18475" s="4"/>
      <c r="Y18475" s="4"/>
    </row>
    <row r="18476" spans="5:25">
      <c r="E18476"/>
      <c r="G18476"/>
      <c r="H18476"/>
      <c r="I18476"/>
      <c r="K18476"/>
      <c r="O18476"/>
      <c r="R18476"/>
      <c r="W18476" s="4"/>
      <c r="X18476" s="4"/>
      <c r="Y18476" s="4"/>
    </row>
    <row r="18477" spans="5:25">
      <c r="E18477"/>
      <c r="G18477"/>
      <c r="H18477"/>
      <c r="I18477"/>
      <c r="K18477"/>
      <c r="O18477"/>
      <c r="R18477"/>
      <c r="W18477" s="4"/>
      <c r="X18477" s="4"/>
      <c r="Y18477" s="4"/>
    </row>
    <row r="18478" spans="5:25">
      <c r="E18478"/>
      <c r="G18478"/>
      <c r="H18478"/>
      <c r="I18478"/>
      <c r="K18478"/>
      <c r="O18478"/>
      <c r="R18478"/>
      <c r="W18478" s="4"/>
      <c r="X18478" s="4"/>
      <c r="Y18478" s="4"/>
    </row>
    <row r="18479" spans="5:25">
      <c r="E18479"/>
      <c r="G18479"/>
      <c r="H18479"/>
      <c r="I18479"/>
      <c r="K18479"/>
      <c r="O18479"/>
      <c r="R18479"/>
      <c r="W18479" s="4"/>
      <c r="X18479" s="4"/>
      <c r="Y18479" s="4"/>
    </row>
    <row r="18480" spans="5:25">
      <c r="E18480"/>
      <c r="G18480"/>
      <c r="H18480"/>
      <c r="I18480"/>
      <c r="K18480"/>
      <c r="O18480"/>
      <c r="R18480"/>
      <c r="W18480" s="4"/>
      <c r="X18480" s="4"/>
      <c r="Y18480" s="4"/>
    </row>
    <row r="18481" spans="5:25">
      <c r="E18481"/>
      <c r="G18481"/>
      <c r="H18481"/>
      <c r="I18481"/>
      <c r="K18481"/>
      <c r="O18481"/>
      <c r="R18481"/>
      <c r="W18481" s="4"/>
      <c r="X18481" s="4"/>
      <c r="Y18481" s="4"/>
    </row>
    <row r="18482" spans="5:25">
      <c r="E18482"/>
      <c r="G18482"/>
      <c r="H18482"/>
      <c r="I18482"/>
      <c r="K18482"/>
      <c r="O18482"/>
      <c r="R18482"/>
      <c r="W18482" s="4"/>
      <c r="X18482" s="4"/>
      <c r="Y18482" s="4"/>
    </row>
    <row r="18483" spans="5:25">
      <c r="E18483"/>
      <c r="G18483"/>
      <c r="H18483"/>
      <c r="I18483"/>
      <c r="K18483"/>
      <c r="O18483"/>
      <c r="R18483"/>
      <c r="W18483" s="4"/>
      <c r="X18483" s="4"/>
      <c r="Y18483" s="4"/>
    </row>
    <row r="18484" spans="5:25">
      <c r="E18484"/>
      <c r="G18484"/>
      <c r="H18484"/>
      <c r="I18484"/>
      <c r="K18484"/>
      <c r="O18484"/>
      <c r="R18484"/>
      <c r="W18484" s="4"/>
      <c r="X18484" s="4"/>
      <c r="Y18484" s="4"/>
    </row>
    <row r="18485" spans="5:25">
      <c r="E18485"/>
      <c r="G18485"/>
      <c r="H18485"/>
      <c r="I18485"/>
      <c r="K18485"/>
      <c r="O18485"/>
      <c r="R18485"/>
      <c r="W18485" s="4"/>
      <c r="X18485" s="4"/>
      <c r="Y18485" s="4"/>
    </row>
    <row r="18486" spans="5:25">
      <c r="E18486"/>
      <c r="G18486"/>
      <c r="H18486"/>
      <c r="I18486"/>
      <c r="K18486"/>
      <c r="O18486"/>
      <c r="R18486"/>
      <c r="W18486" s="4"/>
      <c r="X18486" s="4"/>
      <c r="Y18486" s="4"/>
    </row>
    <row r="18487" spans="5:25">
      <c r="E18487"/>
      <c r="G18487"/>
      <c r="H18487"/>
      <c r="I18487"/>
      <c r="K18487"/>
      <c r="O18487"/>
      <c r="R18487"/>
      <c r="W18487" s="4"/>
      <c r="X18487" s="4"/>
      <c r="Y18487" s="4"/>
    </row>
    <row r="18488" spans="5:25">
      <c r="E18488"/>
      <c r="G18488"/>
      <c r="H18488"/>
      <c r="I18488"/>
      <c r="K18488"/>
      <c r="O18488"/>
      <c r="R18488"/>
      <c r="W18488" s="4"/>
      <c r="X18488" s="4"/>
      <c r="Y18488" s="4"/>
    </row>
    <row r="18489" spans="5:25">
      <c r="E18489"/>
      <c r="G18489"/>
      <c r="H18489"/>
      <c r="I18489"/>
      <c r="K18489"/>
      <c r="O18489"/>
      <c r="R18489"/>
      <c r="W18489" s="4"/>
      <c r="X18489" s="4"/>
      <c r="Y18489" s="4"/>
    </row>
    <row r="18490" spans="5:25">
      <c r="E18490"/>
      <c r="G18490"/>
      <c r="H18490"/>
      <c r="I18490"/>
      <c r="K18490"/>
      <c r="O18490"/>
      <c r="R18490"/>
      <c r="W18490" s="4"/>
      <c r="X18490" s="4"/>
      <c r="Y18490" s="4"/>
    </row>
    <row r="18491" spans="5:25">
      <c r="E18491"/>
      <c r="G18491"/>
      <c r="H18491"/>
      <c r="I18491"/>
      <c r="K18491"/>
      <c r="O18491"/>
      <c r="R18491"/>
      <c r="W18491" s="4"/>
      <c r="X18491" s="4"/>
      <c r="Y18491" s="4"/>
    </row>
    <row r="18492" spans="5:25">
      <c r="E18492"/>
      <c r="G18492"/>
      <c r="H18492"/>
      <c r="I18492"/>
      <c r="K18492"/>
      <c r="O18492"/>
      <c r="R18492"/>
      <c r="W18492" s="4"/>
      <c r="X18492" s="4"/>
      <c r="Y18492" s="4"/>
    </row>
    <row r="18493" spans="5:25">
      <c r="E18493"/>
      <c r="G18493"/>
      <c r="H18493"/>
      <c r="I18493"/>
      <c r="K18493"/>
      <c r="O18493"/>
      <c r="R18493"/>
      <c r="W18493" s="4"/>
      <c r="X18493" s="4"/>
      <c r="Y18493" s="4"/>
    </row>
    <row r="18494" spans="5:25">
      <c r="E18494"/>
      <c r="G18494"/>
      <c r="H18494"/>
      <c r="I18494"/>
      <c r="K18494"/>
      <c r="O18494"/>
      <c r="R18494"/>
      <c r="W18494" s="4"/>
      <c r="X18494" s="4"/>
      <c r="Y18494" s="4"/>
    </row>
    <row r="18495" spans="5:25">
      <c r="E18495"/>
      <c r="G18495"/>
      <c r="H18495"/>
      <c r="I18495"/>
      <c r="K18495"/>
      <c r="O18495"/>
      <c r="R18495"/>
      <c r="W18495" s="4"/>
      <c r="X18495" s="4"/>
      <c r="Y18495" s="4"/>
    </row>
    <row r="18496" spans="5:25">
      <c r="E18496"/>
      <c r="G18496"/>
      <c r="H18496"/>
      <c r="I18496"/>
      <c r="K18496"/>
      <c r="O18496"/>
      <c r="R18496"/>
      <c r="W18496" s="4"/>
      <c r="X18496" s="4"/>
      <c r="Y18496" s="4"/>
    </row>
    <row r="18497" spans="5:25">
      <c r="E18497"/>
      <c r="G18497"/>
      <c r="H18497"/>
      <c r="I18497"/>
      <c r="K18497"/>
      <c r="O18497"/>
      <c r="R18497"/>
      <c r="W18497" s="4"/>
      <c r="X18497" s="4"/>
      <c r="Y18497" s="4"/>
    </row>
    <row r="18498" spans="5:25">
      <c r="E18498"/>
      <c r="G18498"/>
      <c r="H18498"/>
      <c r="I18498"/>
      <c r="K18498"/>
      <c r="O18498"/>
      <c r="R18498"/>
      <c r="W18498" s="4"/>
      <c r="X18498" s="4"/>
      <c r="Y18498" s="4"/>
    </row>
    <row r="18499" spans="5:25">
      <c r="E18499"/>
      <c r="G18499"/>
      <c r="H18499"/>
      <c r="I18499"/>
      <c r="K18499"/>
      <c r="O18499"/>
      <c r="R18499"/>
      <c r="W18499" s="4"/>
      <c r="X18499" s="4"/>
      <c r="Y18499" s="4"/>
    </row>
    <row r="18500" spans="5:25">
      <c r="E18500"/>
      <c r="G18500"/>
      <c r="H18500"/>
      <c r="I18500"/>
      <c r="K18500"/>
      <c r="O18500"/>
      <c r="R18500"/>
      <c r="W18500" s="4"/>
      <c r="X18500" s="4"/>
      <c r="Y18500" s="4"/>
    </row>
    <row r="18501" spans="5:25">
      <c r="E18501"/>
      <c r="G18501"/>
      <c r="H18501"/>
      <c r="I18501"/>
      <c r="K18501"/>
      <c r="O18501"/>
      <c r="R18501"/>
      <c r="W18501" s="4"/>
      <c r="X18501" s="4"/>
      <c r="Y18501" s="4"/>
    </row>
    <row r="18502" spans="5:25">
      <c r="E18502"/>
      <c r="G18502"/>
      <c r="H18502"/>
      <c r="I18502"/>
      <c r="K18502"/>
      <c r="O18502"/>
      <c r="R18502"/>
      <c r="W18502" s="4"/>
      <c r="X18502" s="4"/>
      <c r="Y18502" s="4"/>
    </row>
    <row r="18503" spans="5:25">
      <c r="E18503"/>
      <c r="G18503"/>
      <c r="H18503"/>
      <c r="I18503"/>
      <c r="K18503"/>
      <c r="O18503"/>
      <c r="R18503"/>
      <c r="W18503" s="4"/>
      <c r="X18503" s="4"/>
      <c r="Y18503" s="4"/>
    </row>
    <row r="18504" spans="5:25">
      <c r="E18504"/>
      <c r="G18504"/>
      <c r="H18504"/>
      <c r="I18504"/>
      <c r="K18504"/>
      <c r="O18504"/>
      <c r="R18504"/>
      <c r="W18504" s="4"/>
      <c r="X18504" s="4"/>
      <c r="Y18504" s="4"/>
    </row>
    <row r="18505" spans="5:25">
      <c r="E18505"/>
      <c r="G18505"/>
      <c r="H18505"/>
      <c r="I18505"/>
      <c r="K18505"/>
      <c r="O18505"/>
      <c r="R18505"/>
      <c r="W18505" s="4"/>
      <c r="X18505" s="4"/>
      <c r="Y18505" s="4"/>
    </row>
    <row r="18506" spans="5:25">
      <c r="E18506"/>
      <c r="G18506"/>
      <c r="H18506"/>
      <c r="I18506"/>
      <c r="K18506"/>
      <c r="O18506"/>
      <c r="R18506"/>
      <c r="W18506" s="4"/>
      <c r="X18506" s="4"/>
      <c r="Y18506" s="4"/>
    </row>
    <row r="18507" spans="5:25">
      <c r="E18507"/>
      <c r="G18507"/>
      <c r="H18507"/>
      <c r="I18507"/>
      <c r="K18507"/>
      <c r="O18507"/>
      <c r="R18507"/>
      <c r="W18507" s="4"/>
      <c r="X18507" s="4"/>
      <c r="Y18507" s="4"/>
    </row>
    <row r="18508" spans="5:25">
      <c r="E18508"/>
      <c r="G18508"/>
      <c r="H18508"/>
      <c r="I18508"/>
      <c r="K18508"/>
      <c r="O18508"/>
      <c r="R18508"/>
      <c r="W18508" s="4"/>
      <c r="X18508" s="4"/>
      <c r="Y18508" s="4"/>
    </row>
    <row r="18509" spans="5:25">
      <c r="E18509"/>
      <c r="G18509"/>
      <c r="H18509"/>
      <c r="I18509"/>
      <c r="K18509"/>
      <c r="O18509"/>
      <c r="R18509"/>
      <c r="W18509" s="4"/>
      <c r="X18509" s="4"/>
      <c r="Y18509" s="4"/>
    </row>
    <row r="18510" spans="5:25">
      <c r="E18510"/>
      <c r="G18510"/>
      <c r="H18510"/>
      <c r="I18510"/>
      <c r="K18510"/>
      <c r="O18510"/>
      <c r="R18510"/>
      <c r="W18510" s="4"/>
      <c r="X18510" s="4"/>
      <c r="Y18510" s="4"/>
    </row>
    <row r="18511" spans="5:25">
      <c r="E18511"/>
      <c r="G18511"/>
      <c r="H18511"/>
      <c r="I18511"/>
      <c r="K18511"/>
      <c r="O18511"/>
      <c r="R18511"/>
      <c r="W18511" s="4"/>
      <c r="X18511" s="4"/>
      <c r="Y18511" s="4"/>
    </row>
    <row r="18512" spans="5:25">
      <c r="E18512"/>
      <c r="G18512"/>
      <c r="H18512"/>
      <c r="I18512"/>
      <c r="K18512"/>
      <c r="O18512"/>
      <c r="R18512"/>
      <c r="W18512" s="4"/>
      <c r="X18512" s="4"/>
      <c r="Y18512" s="4"/>
    </row>
    <row r="18513" spans="5:25">
      <c r="E18513"/>
      <c r="G18513"/>
      <c r="H18513"/>
      <c r="I18513"/>
      <c r="K18513"/>
      <c r="O18513"/>
      <c r="R18513"/>
      <c r="W18513" s="4"/>
      <c r="X18513" s="4"/>
      <c r="Y18513" s="4"/>
    </row>
    <row r="18514" spans="5:25">
      <c r="E18514"/>
      <c r="G18514"/>
      <c r="H18514"/>
      <c r="I18514"/>
      <c r="K18514"/>
      <c r="O18514"/>
      <c r="R18514"/>
      <c r="W18514" s="4"/>
      <c r="X18514" s="4"/>
      <c r="Y18514" s="4"/>
    </row>
    <row r="18515" spans="5:25">
      <c r="E18515"/>
      <c r="G18515"/>
      <c r="H18515"/>
      <c r="I18515"/>
      <c r="K18515"/>
      <c r="O18515"/>
      <c r="R18515"/>
      <c r="W18515" s="4"/>
      <c r="X18515" s="4"/>
      <c r="Y18515" s="4"/>
    </row>
    <row r="18516" spans="5:25">
      <c r="E18516"/>
      <c r="G18516"/>
      <c r="H18516"/>
      <c r="I18516"/>
      <c r="K18516"/>
      <c r="O18516"/>
      <c r="R18516"/>
      <c r="W18516" s="4"/>
      <c r="X18516" s="4"/>
      <c r="Y18516" s="4"/>
    </row>
    <row r="18517" spans="5:25">
      <c r="E18517"/>
      <c r="G18517"/>
      <c r="H18517"/>
      <c r="I18517"/>
      <c r="K18517"/>
      <c r="O18517"/>
      <c r="R18517"/>
      <c r="W18517" s="4"/>
      <c r="X18517" s="4"/>
      <c r="Y18517" s="4"/>
    </row>
    <row r="18518" spans="5:25">
      <c r="E18518"/>
      <c r="G18518"/>
      <c r="H18518"/>
      <c r="I18518"/>
      <c r="K18518"/>
      <c r="O18518"/>
      <c r="R18518"/>
      <c r="W18518" s="4"/>
      <c r="X18518" s="4"/>
      <c r="Y18518" s="4"/>
    </row>
    <row r="18519" spans="5:25">
      <c r="E18519"/>
      <c r="G18519"/>
      <c r="H18519"/>
      <c r="I18519"/>
      <c r="K18519"/>
      <c r="O18519"/>
      <c r="R18519"/>
      <c r="W18519" s="4"/>
      <c r="X18519" s="4"/>
      <c r="Y18519" s="4"/>
    </row>
    <row r="18520" spans="5:25">
      <c r="E18520"/>
      <c r="G18520"/>
      <c r="H18520"/>
      <c r="I18520"/>
      <c r="K18520"/>
      <c r="O18520"/>
      <c r="R18520"/>
      <c r="W18520" s="4"/>
      <c r="X18520" s="4"/>
      <c r="Y18520" s="4"/>
    </row>
    <row r="18521" spans="5:25">
      <c r="E18521"/>
      <c r="G18521"/>
      <c r="H18521"/>
      <c r="I18521"/>
      <c r="K18521"/>
      <c r="O18521"/>
      <c r="R18521"/>
      <c r="W18521" s="4"/>
      <c r="X18521" s="4"/>
      <c r="Y18521" s="4"/>
    </row>
    <row r="18522" spans="5:25">
      <c r="E18522"/>
      <c r="G18522"/>
      <c r="H18522"/>
      <c r="I18522"/>
      <c r="K18522"/>
      <c r="O18522"/>
      <c r="R18522"/>
      <c r="W18522" s="4"/>
      <c r="X18522" s="4"/>
      <c r="Y18522" s="4"/>
    </row>
    <row r="18523" spans="5:25">
      <c r="E18523"/>
      <c r="G18523"/>
      <c r="H18523"/>
      <c r="I18523"/>
      <c r="K18523"/>
      <c r="O18523"/>
      <c r="R18523"/>
      <c r="W18523" s="4"/>
      <c r="X18523" s="4"/>
      <c r="Y18523" s="4"/>
    </row>
    <row r="18524" spans="5:25">
      <c r="E18524"/>
      <c r="G18524"/>
      <c r="H18524"/>
      <c r="I18524"/>
      <c r="K18524"/>
      <c r="O18524"/>
      <c r="R18524"/>
      <c r="W18524" s="4"/>
      <c r="X18524" s="4"/>
      <c r="Y18524" s="4"/>
    </row>
    <row r="18525" spans="5:25">
      <c r="E18525"/>
      <c r="G18525"/>
      <c r="H18525"/>
      <c r="I18525"/>
      <c r="K18525"/>
      <c r="O18525"/>
      <c r="R18525"/>
      <c r="W18525" s="4"/>
      <c r="X18525" s="4"/>
      <c r="Y18525" s="4"/>
    </row>
    <row r="18526" spans="5:25">
      <c r="E18526"/>
      <c r="G18526"/>
      <c r="H18526"/>
      <c r="I18526"/>
      <c r="K18526"/>
      <c r="O18526"/>
      <c r="R18526"/>
      <c r="W18526" s="4"/>
      <c r="X18526" s="4"/>
      <c r="Y18526" s="4"/>
    </row>
    <row r="18527" spans="5:25">
      <c r="E18527"/>
      <c r="G18527"/>
      <c r="H18527"/>
      <c r="I18527"/>
      <c r="K18527"/>
      <c r="O18527"/>
      <c r="R18527"/>
      <c r="W18527" s="4"/>
      <c r="X18527" s="4"/>
      <c r="Y18527" s="4"/>
    </row>
    <row r="18528" spans="5:25">
      <c r="E18528"/>
      <c r="G18528"/>
      <c r="H18528"/>
      <c r="I18528"/>
      <c r="K18528"/>
      <c r="O18528"/>
      <c r="R18528"/>
      <c r="W18528" s="4"/>
      <c r="X18528" s="4"/>
      <c r="Y18528" s="4"/>
    </row>
    <row r="18529" spans="5:25">
      <c r="E18529"/>
      <c r="G18529"/>
      <c r="H18529"/>
      <c r="I18529"/>
      <c r="K18529"/>
      <c r="O18529"/>
      <c r="R18529"/>
      <c r="W18529" s="4"/>
      <c r="X18529" s="4"/>
      <c r="Y18529" s="4"/>
    </row>
    <row r="18530" spans="5:25">
      <c r="E18530"/>
      <c r="G18530"/>
      <c r="H18530"/>
      <c r="I18530"/>
      <c r="K18530"/>
      <c r="O18530"/>
      <c r="R18530"/>
      <c r="W18530" s="4"/>
      <c r="X18530" s="4"/>
      <c r="Y18530" s="4"/>
    </row>
    <row r="18531" spans="5:25">
      <c r="E18531"/>
      <c r="G18531"/>
      <c r="H18531"/>
      <c r="I18531"/>
      <c r="K18531"/>
      <c r="O18531"/>
      <c r="R18531"/>
      <c r="W18531" s="4"/>
      <c r="X18531" s="4"/>
      <c r="Y18531" s="4"/>
    </row>
    <row r="18532" spans="5:25">
      <c r="E18532"/>
      <c r="G18532"/>
      <c r="H18532"/>
      <c r="I18532"/>
      <c r="K18532"/>
      <c r="O18532"/>
      <c r="R18532"/>
      <c r="W18532" s="4"/>
      <c r="X18532" s="4"/>
      <c r="Y18532" s="4"/>
    </row>
    <row r="18533" spans="5:25">
      <c r="E18533"/>
      <c r="G18533"/>
      <c r="H18533"/>
      <c r="I18533"/>
      <c r="K18533"/>
      <c r="O18533"/>
      <c r="R18533"/>
      <c r="W18533" s="4"/>
      <c r="X18533" s="4"/>
      <c r="Y18533" s="4"/>
    </row>
    <row r="18534" spans="5:25">
      <c r="E18534"/>
      <c r="G18534"/>
      <c r="H18534"/>
      <c r="I18534"/>
      <c r="K18534"/>
      <c r="O18534"/>
      <c r="R18534"/>
      <c r="W18534" s="4"/>
      <c r="X18534" s="4"/>
      <c r="Y18534" s="4"/>
    </row>
    <row r="18535" spans="5:25">
      <c r="E18535"/>
      <c r="G18535"/>
      <c r="H18535"/>
      <c r="I18535"/>
      <c r="K18535"/>
      <c r="O18535"/>
      <c r="R18535"/>
      <c r="W18535" s="4"/>
      <c r="X18535" s="4"/>
      <c r="Y18535" s="4"/>
    </row>
    <row r="18536" spans="5:25">
      <c r="E18536"/>
      <c r="G18536"/>
      <c r="H18536"/>
      <c r="I18536"/>
      <c r="K18536"/>
      <c r="O18536"/>
      <c r="R18536"/>
      <c r="W18536" s="4"/>
      <c r="X18536" s="4"/>
      <c r="Y18536" s="4"/>
    </row>
    <row r="18537" spans="5:25">
      <c r="E18537"/>
      <c r="G18537"/>
      <c r="H18537"/>
      <c r="I18537"/>
      <c r="K18537"/>
      <c r="O18537"/>
      <c r="R18537"/>
      <c r="W18537" s="4"/>
      <c r="X18537" s="4"/>
      <c r="Y18537" s="4"/>
    </row>
    <row r="18538" spans="5:25">
      <c r="E18538"/>
      <c r="G18538"/>
      <c r="H18538"/>
      <c r="I18538"/>
      <c r="K18538"/>
      <c r="O18538"/>
      <c r="R18538"/>
      <c r="W18538" s="4"/>
      <c r="X18538" s="4"/>
      <c r="Y18538" s="4"/>
    </row>
    <row r="18539" spans="5:25">
      <c r="E18539"/>
      <c r="G18539"/>
      <c r="H18539"/>
      <c r="I18539"/>
      <c r="K18539"/>
      <c r="O18539"/>
      <c r="R18539"/>
      <c r="W18539" s="4"/>
      <c r="X18539" s="4"/>
      <c r="Y18539" s="4"/>
    </row>
    <row r="18540" spans="5:25">
      <c r="E18540"/>
      <c r="G18540"/>
      <c r="H18540"/>
      <c r="I18540"/>
      <c r="K18540"/>
      <c r="O18540"/>
      <c r="R18540"/>
      <c r="W18540" s="4"/>
      <c r="X18540" s="4"/>
      <c r="Y18540" s="4"/>
    </row>
    <row r="18541" spans="5:25">
      <c r="E18541"/>
      <c r="G18541"/>
      <c r="H18541"/>
      <c r="I18541"/>
      <c r="K18541"/>
      <c r="O18541"/>
      <c r="R18541"/>
      <c r="W18541" s="4"/>
      <c r="X18541" s="4"/>
      <c r="Y18541" s="4"/>
    </row>
    <row r="18542" spans="5:25">
      <c r="E18542"/>
      <c r="G18542"/>
      <c r="H18542"/>
      <c r="I18542"/>
      <c r="K18542"/>
      <c r="O18542"/>
      <c r="R18542"/>
      <c r="W18542" s="4"/>
      <c r="X18542" s="4"/>
      <c r="Y18542" s="4"/>
    </row>
    <row r="18543" spans="5:25">
      <c r="E18543"/>
      <c r="G18543"/>
      <c r="H18543"/>
      <c r="I18543"/>
      <c r="K18543"/>
      <c r="O18543"/>
      <c r="R18543"/>
      <c r="W18543" s="4"/>
      <c r="X18543" s="4"/>
      <c r="Y18543" s="4"/>
    </row>
    <row r="18544" spans="5:25">
      <c r="E18544"/>
      <c r="G18544"/>
      <c r="H18544"/>
      <c r="I18544"/>
      <c r="K18544"/>
      <c r="O18544"/>
      <c r="R18544"/>
      <c r="W18544" s="4"/>
      <c r="X18544" s="4"/>
      <c r="Y18544" s="4"/>
    </row>
    <row r="18545" spans="5:25">
      <c r="E18545"/>
      <c r="G18545"/>
      <c r="H18545"/>
      <c r="I18545"/>
      <c r="K18545"/>
      <c r="O18545"/>
      <c r="R18545"/>
      <c r="W18545" s="4"/>
      <c r="X18545" s="4"/>
      <c r="Y18545" s="4"/>
    </row>
    <row r="18546" spans="5:25">
      <c r="E18546"/>
      <c r="G18546"/>
      <c r="H18546"/>
      <c r="I18546"/>
      <c r="K18546"/>
      <c r="O18546"/>
      <c r="R18546"/>
      <c r="W18546" s="4"/>
      <c r="X18546" s="4"/>
      <c r="Y18546" s="4"/>
    </row>
    <row r="18547" spans="5:25">
      <c r="E18547"/>
      <c r="G18547"/>
      <c r="H18547"/>
      <c r="I18547"/>
      <c r="K18547"/>
      <c r="O18547"/>
      <c r="R18547"/>
      <c r="W18547" s="4"/>
      <c r="X18547" s="4"/>
      <c r="Y18547" s="4"/>
    </row>
    <row r="18548" spans="5:25">
      <c r="E18548"/>
      <c r="G18548"/>
      <c r="H18548"/>
      <c r="I18548"/>
      <c r="K18548"/>
      <c r="O18548"/>
      <c r="R18548"/>
      <c r="W18548" s="4"/>
      <c r="X18548" s="4"/>
      <c r="Y18548" s="4"/>
    </row>
    <row r="18549" spans="5:25">
      <c r="E18549"/>
      <c r="G18549"/>
      <c r="H18549"/>
      <c r="I18549"/>
      <c r="K18549"/>
      <c r="O18549"/>
      <c r="R18549"/>
      <c r="W18549" s="4"/>
      <c r="X18549" s="4"/>
      <c r="Y18549" s="4"/>
    </row>
    <row r="18550" spans="5:25">
      <c r="E18550"/>
      <c r="G18550"/>
      <c r="H18550"/>
      <c r="I18550"/>
      <c r="K18550"/>
      <c r="O18550"/>
      <c r="R18550"/>
      <c r="W18550" s="4"/>
      <c r="X18550" s="4"/>
      <c r="Y18550" s="4"/>
    </row>
    <row r="18551" spans="5:25">
      <c r="E18551"/>
      <c r="G18551"/>
      <c r="H18551"/>
      <c r="I18551"/>
      <c r="K18551"/>
      <c r="O18551"/>
      <c r="R18551"/>
      <c r="W18551" s="4"/>
      <c r="X18551" s="4"/>
      <c r="Y18551" s="4"/>
    </row>
    <row r="18552" spans="5:25">
      <c r="E18552"/>
      <c r="G18552"/>
      <c r="H18552"/>
      <c r="I18552"/>
      <c r="K18552"/>
      <c r="O18552"/>
      <c r="R18552"/>
      <c r="W18552" s="4"/>
      <c r="X18552" s="4"/>
      <c r="Y18552" s="4"/>
    </row>
    <row r="18553" spans="5:25">
      <c r="E18553"/>
      <c r="G18553"/>
      <c r="H18553"/>
      <c r="I18553"/>
      <c r="K18553"/>
      <c r="O18553"/>
      <c r="R18553"/>
      <c r="W18553" s="4"/>
      <c r="X18553" s="4"/>
      <c r="Y18553" s="4"/>
    </row>
    <row r="18554" spans="5:25">
      <c r="E18554"/>
      <c r="G18554"/>
      <c r="H18554"/>
      <c r="I18554"/>
      <c r="K18554"/>
      <c r="O18554"/>
      <c r="R18554"/>
      <c r="W18554" s="4"/>
      <c r="X18554" s="4"/>
      <c r="Y18554" s="4"/>
    </row>
    <row r="18555" spans="5:25">
      <c r="E18555"/>
      <c r="G18555"/>
      <c r="H18555"/>
      <c r="I18555"/>
      <c r="K18555"/>
      <c r="O18555"/>
      <c r="R18555"/>
      <c r="W18555" s="4"/>
      <c r="X18555" s="4"/>
      <c r="Y18555" s="4"/>
    </row>
    <row r="18556" spans="5:25">
      <c r="E18556"/>
      <c r="G18556"/>
      <c r="H18556"/>
      <c r="I18556"/>
      <c r="K18556"/>
      <c r="O18556"/>
      <c r="R18556"/>
      <c r="W18556" s="4"/>
      <c r="X18556" s="4"/>
      <c r="Y18556" s="4"/>
    </row>
    <row r="18557" spans="5:25">
      <c r="E18557"/>
      <c r="G18557"/>
      <c r="H18557"/>
      <c r="I18557"/>
      <c r="K18557"/>
      <c r="O18557"/>
      <c r="R18557"/>
      <c r="W18557" s="4"/>
      <c r="X18557" s="4"/>
      <c r="Y18557" s="4"/>
    </row>
    <row r="18558" spans="5:25">
      <c r="E18558"/>
      <c r="G18558"/>
      <c r="H18558"/>
      <c r="I18558"/>
      <c r="K18558"/>
      <c r="O18558"/>
      <c r="R18558"/>
      <c r="W18558" s="4"/>
      <c r="X18558" s="4"/>
      <c r="Y18558" s="4"/>
    </row>
    <row r="18559" spans="5:25">
      <c r="E18559"/>
      <c r="G18559"/>
      <c r="H18559"/>
      <c r="I18559"/>
      <c r="K18559"/>
      <c r="O18559"/>
      <c r="R18559"/>
      <c r="W18559" s="4"/>
      <c r="X18559" s="4"/>
      <c r="Y18559" s="4"/>
    </row>
    <row r="18560" spans="5:25">
      <c r="E18560"/>
      <c r="G18560"/>
      <c r="H18560"/>
      <c r="I18560"/>
      <c r="K18560"/>
      <c r="O18560"/>
      <c r="R18560"/>
      <c r="W18560" s="4"/>
      <c r="X18560" s="4"/>
      <c r="Y18560" s="4"/>
    </row>
    <row r="18561" spans="5:25">
      <c r="E18561"/>
      <c r="G18561"/>
      <c r="H18561"/>
      <c r="I18561"/>
      <c r="K18561"/>
      <c r="O18561"/>
      <c r="R18561"/>
      <c r="W18561" s="4"/>
      <c r="X18561" s="4"/>
      <c r="Y18561" s="4"/>
    </row>
    <row r="18562" spans="5:25">
      <c r="E18562"/>
      <c r="G18562"/>
      <c r="H18562"/>
      <c r="I18562"/>
      <c r="K18562"/>
      <c r="O18562"/>
      <c r="R18562"/>
      <c r="W18562" s="4"/>
      <c r="X18562" s="4"/>
      <c r="Y18562" s="4"/>
    </row>
    <row r="18563" spans="5:25">
      <c r="E18563"/>
      <c r="G18563"/>
      <c r="H18563"/>
      <c r="I18563"/>
      <c r="K18563"/>
      <c r="O18563"/>
      <c r="R18563"/>
      <c r="W18563" s="4"/>
      <c r="X18563" s="4"/>
      <c r="Y18563" s="4"/>
    </row>
    <row r="18564" spans="5:25">
      <c r="E18564"/>
      <c r="G18564"/>
      <c r="H18564"/>
      <c r="I18564"/>
      <c r="K18564"/>
      <c r="O18564"/>
      <c r="R18564"/>
      <c r="W18564" s="4"/>
      <c r="X18564" s="4"/>
      <c r="Y18564" s="4"/>
    </row>
    <row r="18565" spans="5:25">
      <c r="E18565"/>
      <c r="G18565"/>
      <c r="H18565"/>
      <c r="I18565"/>
      <c r="K18565"/>
      <c r="O18565"/>
      <c r="R18565"/>
      <c r="W18565" s="4"/>
      <c r="X18565" s="4"/>
      <c r="Y18565" s="4"/>
    </row>
    <row r="18566" spans="5:25">
      <c r="E18566"/>
      <c r="G18566"/>
      <c r="H18566"/>
      <c r="I18566"/>
      <c r="K18566"/>
      <c r="O18566"/>
      <c r="R18566"/>
      <c r="W18566" s="4"/>
      <c r="X18566" s="4"/>
      <c r="Y18566" s="4"/>
    </row>
    <row r="18567" spans="5:25">
      <c r="E18567"/>
      <c r="G18567"/>
      <c r="H18567"/>
      <c r="I18567"/>
      <c r="K18567"/>
      <c r="O18567"/>
      <c r="R18567"/>
      <c r="W18567" s="4"/>
      <c r="X18567" s="4"/>
      <c r="Y18567" s="4"/>
    </row>
    <row r="18568" spans="5:25">
      <c r="E18568"/>
      <c r="G18568"/>
      <c r="H18568"/>
      <c r="I18568"/>
      <c r="K18568"/>
      <c r="O18568"/>
      <c r="R18568"/>
      <c r="W18568" s="4"/>
      <c r="X18568" s="4"/>
      <c r="Y18568" s="4"/>
    </row>
    <row r="18569" spans="5:25">
      <c r="E18569"/>
      <c r="G18569"/>
      <c r="H18569"/>
      <c r="I18569"/>
      <c r="K18569"/>
      <c r="O18569"/>
      <c r="R18569"/>
      <c r="W18569" s="4"/>
      <c r="X18569" s="4"/>
      <c r="Y18569" s="4"/>
    </row>
    <row r="18570" spans="5:25">
      <c r="E18570"/>
      <c r="G18570"/>
      <c r="H18570"/>
      <c r="I18570"/>
      <c r="K18570"/>
      <c r="O18570"/>
      <c r="R18570"/>
      <c r="W18570" s="4"/>
      <c r="X18570" s="4"/>
      <c r="Y18570" s="4"/>
    </row>
    <row r="18571" spans="5:25">
      <c r="E18571"/>
      <c r="G18571"/>
      <c r="H18571"/>
      <c r="I18571"/>
      <c r="K18571"/>
      <c r="O18571"/>
      <c r="R18571"/>
      <c r="W18571" s="4"/>
      <c r="X18571" s="4"/>
      <c r="Y18571" s="4"/>
    </row>
    <row r="18572" spans="5:25">
      <c r="E18572"/>
      <c r="G18572"/>
      <c r="H18572"/>
      <c r="I18572"/>
      <c r="K18572"/>
      <c r="O18572"/>
      <c r="R18572"/>
      <c r="W18572" s="4"/>
      <c r="X18572" s="4"/>
      <c r="Y18572" s="4"/>
    </row>
    <row r="18573" spans="5:25">
      <c r="E18573"/>
      <c r="G18573"/>
      <c r="H18573"/>
      <c r="I18573"/>
      <c r="K18573"/>
      <c r="O18573"/>
      <c r="R18573"/>
      <c r="W18573" s="4"/>
      <c r="X18573" s="4"/>
      <c r="Y18573" s="4"/>
    </row>
    <row r="18574" spans="5:25">
      <c r="E18574"/>
      <c r="G18574"/>
      <c r="H18574"/>
      <c r="I18574"/>
      <c r="K18574"/>
      <c r="O18574"/>
      <c r="R18574"/>
      <c r="W18574" s="4"/>
      <c r="X18574" s="4"/>
      <c r="Y18574" s="4"/>
    </row>
    <row r="18575" spans="5:25">
      <c r="E18575"/>
      <c r="G18575"/>
      <c r="H18575"/>
      <c r="I18575"/>
      <c r="K18575"/>
      <c r="O18575"/>
      <c r="R18575"/>
      <c r="W18575" s="4"/>
      <c r="X18575" s="4"/>
      <c r="Y18575" s="4"/>
    </row>
    <row r="18576" spans="5:25">
      <c r="E18576"/>
      <c r="G18576"/>
      <c r="H18576"/>
      <c r="I18576"/>
      <c r="K18576"/>
      <c r="O18576"/>
      <c r="R18576"/>
      <c r="W18576" s="4"/>
      <c r="X18576" s="4"/>
      <c r="Y18576" s="4"/>
    </row>
    <row r="18577" spans="5:25">
      <c r="E18577"/>
      <c r="G18577"/>
      <c r="H18577"/>
      <c r="I18577"/>
      <c r="K18577"/>
      <c r="O18577"/>
      <c r="R18577"/>
      <c r="W18577" s="4"/>
      <c r="X18577" s="4"/>
      <c r="Y18577" s="4"/>
    </row>
    <row r="18578" spans="5:25">
      <c r="E18578"/>
      <c r="G18578"/>
      <c r="H18578"/>
      <c r="I18578"/>
      <c r="K18578"/>
      <c r="O18578"/>
      <c r="R18578"/>
      <c r="W18578" s="4"/>
      <c r="X18578" s="4"/>
      <c r="Y18578" s="4"/>
    </row>
    <row r="18579" spans="5:25">
      <c r="E18579"/>
      <c r="G18579"/>
      <c r="H18579"/>
      <c r="I18579"/>
      <c r="K18579"/>
      <c r="O18579"/>
      <c r="R18579"/>
      <c r="W18579" s="4"/>
      <c r="X18579" s="4"/>
      <c r="Y18579" s="4"/>
    </row>
    <row r="18580" spans="5:25">
      <c r="E18580"/>
      <c r="G18580"/>
      <c r="H18580"/>
      <c r="I18580"/>
      <c r="K18580"/>
      <c r="O18580"/>
      <c r="R18580"/>
      <c r="W18580" s="4"/>
      <c r="X18580" s="4"/>
      <c r="Y18580" s="4"/>
    </row>
    <row r="18581" spans="5:25">
      <c r="E18581"/>
      <c r="G18581"/>
      <c r="H18581"/>
      <c r="I18581"/>
      <c r="K18581"/>
      <c r="O18581"/>
      <c r="R18581"/>
      <c r="W18581" s="4"/>
      <c r="X18581" s="4"/>
      <c r="Y18581" s="4"/>
    </row>
    <row r="18582" spans="5:25">
      <c r="E18582"/>
      <c r="G18582"/>
      <c r="H18582"/>
      <c r="I18582"/>
      <c r="K18582"/>
      <c r="O18582"/>
      <c r="R18582"/>
      <c r="W18582" s="4"/>
      <c r="X18582" s="4"/>
      <c r="Y18582" s="4"/>
    </row>
    <row r="18583" spans="5:25">
      <c r="E18583"/>
      <c r="G18583"/>
      <c r="H18583"/>
      <c r="I18583"/>
      <c r="K18583"/>
      <c r="O18583"/>
      <c r="R18583"/>
      <c r="W18583" s="4"/>
      <c r="X18583" s="4"/>
      <c r="Y18583" s="4"/>
    </row>
    <row r="18584" spans="5:25">
      <c r="E18584"/>
      <c r="G18584"/>
      <c r="H18584"/>
      <c r="I18584"/>
      <c r="K18584"/>
      <c r="O18584"/>
      <c r="R18584"/>
      <c r="W18584" s="4"/>
      <c r="X18584" s="4"/>
      <c r="Y18584" s="4"/>
    </row>
    <row r="18585" spans="5:25">
      <c r="E18585"/>
      <c r="G18585"/>
      <c r="H18585"/>
      <c r="I18585"/>
      <c r="K18585"/>
      <c r="O18585"/>
      <c r="R18585"/>
      <c r="W18585" s="4"/>
      <c r="X18585" s="4"/>
      <c r="Y18585" s="4"/>
    </row>
    <row r="18586" spans="5:25">
      <c r="E18586"/>
      <c r="G18586"/>
      <c r="H18586"/>
      <c r="I18586"/>
      <c r="K18586"/>
      <c r="O18586"/>
      <c r="R18586"/>
      <c r="W18586" s="4"/>
      <c r="X18586" s="4"/>
      <c r="Y18586" s="4"/>
    </row>
    <row r="18587" spans="5:25">
      <c r="E18587"/>
      <c r="G18587"/>
      <c r="H18587"/>
      <c r="I18587"/>
      <c r="K18587"/>
      <c r="O18587"/>
      <c r="R18587"/>
      <c r="W18587" s="4"/>
      <c r="X18587" s="4"/>
      <c r="Y18587" s="4"/>
    </row>
    <row r="18588" spans="5:25">
      <c r="E18588"/>
      <c r="G18588"/>
      <c r="H18588"/>
      <c r="I18588"/>
      <c r="K18588"/>
      <c r="O18588"/>
      <c r="R18588"/>
      <c r="W18588" s="4"/>
      <c r="X18588" s="4"/>
      <c r="Y18588" s="4"/>
    </row>
    <row r="18589" spans="5:25">
      <c r="E18589"/>
      <c r="G18589"/>
      <c r="H18589"/>
      <c r="I18589"/>
      <c r="K18589"/>
      <c r="O18589"/>
      <c r="R18589"/>
      <c r="W18589" s="4"/>
      <c r="X18589" s="4"/>
      <c r="Y18589" s="4"/>
    </row>
    <row r="18590" spans="5:25">
      <c r="E18590"/>
      <c r="G18590"/>
      <c r="H18590"/>
      <c r="I18590"/>
      <c r="K18590"/>
      <c r="O18590"/>
      <c r="R18590"/>
      <c r="W18590" s="4"/>
      <c r="X18590" s="4"/>
      <c r="Y18590" s="4"/>
    </row>
    <row r="18591" spans="5:25">
      <c r="E18591"/>
      <c r="G18591"/>
      <c r="H18591"/>
      <c r="I18591"/>
      <c r="K18591"/>
      <c r="O18591"/>
      <c r="R18591"/>
      <c r="W18591" s="4"/>
      <c r="X18591" s="4"/>
      <c r="Y18591" s="4"/>
    </row>
    <row r="18592" spans="5:25">
      <c r="E18592"/>
      <c r="G18592"/>
      <c r="H18592"/>
      <c r="I18592"/>
      <c r="K18592"/>
      <c r="O18592"/>
      <c r="R18592"/>
      <c r="W18592" s="4"/>
      <c r="X18592" s="4"/>
      <c r="Y18592" s="4"/>
    </row>
    <row r="18593" spans="5:25">
      <c r="E18593"/>
      <c r="G18593"/>
      <c r="H18593"/>
      <c r="I18593"/>
      <c r="K18593"/>
      <c r="O18593"/>
      <c r="R18593"/>
      <c r="W18593" s="4"/>
      <c r="X18593" s="4"/>
      <c r="Y18593" s="4"/>
    </row>
    <row r="18594" spans="5:25">
      <c r="E18594"/>
      <c r="G18594"/>
      <c r="H18594"/>
      <c r="I18594"/>
      <c r="K18594"/>
      <c r="O18594"/>
      <c r="R18594"/>
      <c r="W18594" s="4"/>
      <c r="X18594" s="4"/>
      <c r="Y18594" s="4"/>
    </row>
    <row r="18595" spans="5:25">
      <c r="E18595"/>
      <c r="G18595"/>
      <c r="H18595"/>
      <c r="I18595"/>
      <c r="K18595"/>
      <c r="O18595"/>
      <c r="R18595"/>
      <c r="W18595" s="4"/>
      <c r="X18595" s="4"/>
      <c r="Y18595" s="4"/>
    </row>
    <row r="18596" spans="5:25">
      <c r="E18596"/>
      <c r="G18596"/>
      <c r="H18596"/>
      <c r="I18596"/>
      <c r="K18596"/>
      <c r="O18596"/>
      <c r="R18596"/>
      <c r="W18596" s="4"/>
      <c r="X18596" s="4"/>
      <c r="Y18596" s="4"/>
    </row>
    <row r="18597" spans="5:25">
      <c r="E18597"/>
      <c r="G18597"/>
      <c r="H18597"/>
      <c r="I18597"/>
      <c r="K18597"/>
      <c r="O18597"/>
      <c r="R18597"/>
      <c r="W18597" s="4"/>
      <c r="X18597" s="4"/>
      <c r="Y18597" s="4"/>
    </row>
    <row r="18598" spans="5:25">
      <c r="E18598"/>
      <c r="G18598"/>
      <c r="H18598"/>
      <c r="I18598"/>
      <c r="K18598"/>
      <c r="O18598"/>
      <c r="R18598"/>
      <c r="W18598" s="4"/>
      <c r="X18598" s="4"/>
      <c r="Y18598" s="4"/>
    </row>
    <row r="18599" spans="5:25">
      <c r="E18599"/>
      <c r="G18599"/>
      <c r="H18599"/>
      <c r="I18599"/>
      <c r="K18599"/>
      <c r="O18599"/>
      <c r="R18599"/>
      <c r="W18599" s="4"/>
      <c r="X18599" s="4"/>
      <c r="Y18599" s="4"/>
    </row>
    <row r="18600" spans="5:25">
      <c r="E18600"/>
      <c r="G18600"/>
      <c r="H18600"/>
      <c r="I18600"/>
      <c r="K18600"/>
      <c r="O18600"/>
      <c r="R18600"/>
      <c r="W18600" s="4"/>
      <c r="X18600" s="4"/>
      <c r="Y18600" s="4"/>
    </row>
    <row r="18601" spans="5:25">
      <c r="E18601"/>
      <c r="G18601"/>
      <c r="H18601"/>
      <c r="I18601"/>
      <c r="K18601"/>
      <c r="O18601"/>
      <c r="R18601"/>
      <c r="W18601" s="4"/>
      <c r="X18601" s="4"/>
      <c r="Y18601" s="4"/>
    </row>
    <row r="18602" spans="5:25">
      <c r="E18602"/>
      <c r="G18602"/>
      <c r="H18602"/>
      <c r="I18602"/>
      <c r="K18602"/>
      <c r="O18602"/>
      <c r="R18602"/>
      <c r="W18602" s="4"/>
      <c r="X18602" s="4"/>
      <c r="Y18602" s="4"/>
    </row>
    <row r="18603" spans="5:25">
      <c r="E18603"/>
      <c r="G18603"/>
      <c r="H18603"/>
      <c r="I18603"/>
      <c r="K18603"/>
      <c r="O18603"/>
      <c r="R18603"/>
      <c r="W18603" s="4"/>
      <c r="X18603" s="4"/>
      <c r="Y18603" s="4"/>
    </row>
    <row r="18604" spans="5:25">
      <c r="E18604"/>
      <c r="G18604"/>
      <c r="H18604"/>
      <c r="I18604"/>
      <c r="K18604"/>
      <c r="O18604"/>
      <c r="R18604"/>
      <c r="W18604" s="4"/>
      <c r="X18604" s="4"/>
      <c r="Y18604" s="4"/>
    </row>
    <row r="18605" spans="5:25">
      <c r="E18605"/>
      <c r="G18605"/>
      <c r="H18605"/>
      <c r="I18605"/>
      <c r="K18605"/>
      <c r="O18605"/>
      <c r="R18605"/>
      <c r="W18605" s="4"/>
      <c r="X18605" s="4"/>
      <c r="Y18605" s="4"/>
    </row>
    <row r="18606" spans="5:25">
      <c r="E18606"/>
      <c r="G18606"/>
      <c r="H18606"/>
      <c r="I18606"/>
      <c r="K18606"/>
      <c r="O18606"/>
      <c r="R18606"/>
      <c r="W18606" s="4"/>
      <c r="X18606" s="4"/>
      <c r="Y18606" s="4"/>
    </row>
    <row r="18607" spans="5:25">
      <c r="E18607"/>
      <c r="G18607"/>
      <c r="H18607"/>
      <c r="I18607"/>
      <c r="K18607"/>
      <c r="O18607"/>
      <c r="R18607"/>
      <c r="W18607" s="4"/>
      <c r="X18607" s="4"/>
      <c r="Y18607" s="4"/>
    </row>
    <row r="18608" spans="5:25">
      <c r="E18608"/>
      <c r="G18608"/>
      <c r="H18608"/>
      <c r="I18608"/>
      <c r="K18608"/>
      <c r="O18608"/>
      <c r="R18608"/>
      <c r="W18608" s="4"/>
      <c r="X18608" s="4"/>
      <c r="Y18608" s="4"/>
    </row>
    <row r="18609" spans="5:25">
      <c r="E18609"/>
      <c r="G18609"/>
      <c r="H18609"/>
      <c r="I18609"/>
      <c r="K18609"/>
      <c r="O18609"/>
      <c r="R18609"/>
      <c r="W18609" s="4"/>
      <c r="X18609" s="4"/>
      <c r="Y18609" s="4"/>
    </row>
    <row r="18610" spans="5:25">
      <c r="E18610"/>
      <c r="G18610"/>
      <c r="H18610"/>
      <c r="I18610"/>
      <c r="K18610"/>
      <c r="O18610"/>
      <c r="R18610"/>
      <c r="W18610" s="4"/>
      <c r="X18610" s="4"/>
      <c r="Y18610" s="4"/>
    </row>
    <row r="18611" spans="5:25">
      <c r="E18611"/>
      <c r="G18611"/>
      <c r="H18611"/>
      <c r="I18611"/>
      <c r="K18611"/>
      <c r="O18611"/>
      <c r="R18611"/>
      <c r="W18611" s="4"/>
      <c r="X18611" s="4"/>
      <c r="Y18611" s="4"/>
    </row>
    <row r="18612" spans="5:25">
      <c r="E18612"/>
      <c r="G18612"/>
      <c r="H18612"/>
      <c r="I18612"/>
      <c r="K18612"/>
      <c r="O18612"/>
      <c r="R18612"/>
      <c r="W18612" s="4"/>
      <c r="X18612" s="4"/>
      <c r="Y18612" s="4"/>
    </row>
    <row r="18613" spans="5:25">
      <c r="E18613"/>
      <c r="G18613"/>
      <c r="H18613"/>
      <c r="I18613"/>
      <c r="K18613"/>
      <c r="O18613"/>
      <c r="R18613"/>
      <c r="W18613" s="4"/>
      <c r="X18613" s="4"/>
      <c r="Y18613" s="4"/>
    </row>
    <row r="18614" spans="5:25">
      <c r="E18614"/>
      <c r="G18614"/>
      <c r="H18614"/>
      <c r="I18614"/>
      <c r="K18614"/>
      <c r="O18614"/>
      <c r="R18614"/>
      <c r="W18614" s="4"/>
      <c r="X18614" s="4"/>
      <c r="Y18614" s="4"/>
    </row>
    <row r="18615" spans="5:25">
      <c r="E18615"/>
      <c r="G18615"/>
      <c r="H18615"/>
      <c r="I18615"/>
      <c r="K18615"/>
      <c r="O18615"/>
      <c r="R18615"/>
      <c r="W18615" s="4"/>
      <c r="X18615" s="4"/>
      <c r="Y18615" s="4"/>
    </row>
    <row r="18616" spans="5:25">
      <c r="E18616"/>
      <c r="G18616"/>
      <c r="H18616"/>
      <c r="I18616"/>
      <c r="K18616"/>
      <c r="O18616"/>
      <c r="R18616"/>
      <c r="W18616" s="4"/>
      <c r="X18616" s="4"/>
      <c r="Y18616" s="4"/>
    </row>
    <row r="18617" spans="5:25">
      <c r="E18617"/>
      <c r="G18617"/>
      <c r="H18617"/>
      <c r="I18617"/>
      <c r="K18617"/>
      <c r="O18617"/>
      <c r="R18617"/>
      <c r="W18617" s="4"/>
      <c r="X18617" s="4"/>
      <c r="Y18617" s="4"/>
    </row>
    <row r="18618" spans="5:25">
      <c r="E18618"/>
      <c r="G18618"/>
      <c r="H18618"/>
      <c r="I18618"/>
      <c r="K18618"/>
      <c r="O18618"/>
      <c r="R18618"/>
      <c r="W18618" s="4"/>
      <c r="X18618" s="4"/>
      <c r="Y18618" s="4"/>
    </row>
    <row r="18619" spans="5:25">
      <c r="E18619"/>
      <c r="G18619"/>
      <c r="H18619"/>
      <c r="I18619"/>
      <c r="K18619"/>
      <c r="O18619"/>
      <c r="R18619"/>
      <c r="W18619" s="4"/>
      <c r="X18619" s="4"/>
      <c r="Y18619" s="4"/>
    </row>
    <row r="18620" spans="5:25">
      <c r="E18620"/>
      <c r="G18620"/>
      <c r="H18620"/>
      <c r="I18620"/>
      <c r="K18620"/>
      <c r="O18620"/>
      <c r="R18620"/>
      <c r="W18620" s="4"/>
      <c r="X18620" s="4"/>
      <c r="Y18620" s="4"/>
    </row>
    <row r="18621" spans="5:25">
      <c r="E18621"/>
      <c r="G18621"/>
      <c r="H18621"/>
      <c r="I18621"/>
      <c r="K18621"/>
      <c r="O18621"/>
      <c r="R18621"/>
      <c r="W18621" s="4"/>
      <c r="X18621" s="4"/>
      <c r="Y18621" s="4"/>
    </row>
    <row r="18622" spans="5:25">
      <c r="E18622"/>
      <c r="G18622"/>
      <c r="H18622"/>
      <c r="I18622"/>
      <c r="K18622"/>
      <c r="O18622"/>
      <c r="R18622"/>
      <c r="W18622" s="4"/>
      <c r="X18622" s="4"/>
      <c r="Y18622" s="4"/>
    </row>
    <row r="18623" spans="5:25">
      <c r="E18623"/>
      <c r="G18623"/>
      <c r="H18623"/>
      <c r="I18623"/>
      <c r="K18623"/>
      <c r="O18623"/>
      <c r="R18623"/>
      <c r="W18623" s="4"/>
      <c r="X18623" s="4"/>
      <c r="Y18623" s="4"/>
    </row>
    <row r="18624" spans="5:25">
      <c r="E18624"/>
      <c r="G18624"/>
      <c r="H18624"/>
      <c r="I18624"/>
      <c r="K18624"/>
      <c r="O18624"/>
      <c r="R18624"/>
      <c r="W18624" s="4"/>
      <c r="X18624" s="4"/>
      <c r="Y18624" s="4"/>
    </row>
    <row r="18625" spans="5:25">
      <c r="E18625"/>
      <c r="G18625"/>
      <c r="H18625"/>
      <c r="I18625"/>
      <c r="K18625"/>
      <c r="O18625"/>
      <c r="R18625"/>
      <c r="W18625" s="4"/>
      <c r="X18625" s="4"/>
      <c r="Y18625" s="4"/>
    </row>
    <row r="18626" spans="5:25">
      <c r="E18626"/>
      <c r="G18626"/>
      <c r="H18626"/>
      <c r="I18626"/>
      <c r="K18626"/>
      <c r="O18626"/>
      <c r="R18626"/>
      <c r="W18626" s="4"/>
      <c r="X18626" s="4"/>
      <c r="Y18626" s="4"/>
    </row>
    <row r="18627" spans="5:25">
      <c r="E18627"/>
      <c r="G18627"/>
      <c r="H18627"/>
      <c r="I18627"/>
      <c r="K18627"/>
      <c r="O18627"/>
      <c r="R18627"/>
      <c r="W18627" s="4"/>
      <c r="X18627" s="4"/>
      <c r="Y18627" s="4"/>
    </row>
    <row r="18628" spans="5:25">
      <c r="E18628"/>
      <c r="G18628"/>
      <c r="H18628"/>
      <c r="I18628"/>
      <c r="K18628"/>
      <c r="O18628"/>
      <c r="R18628"/>
      <c r="W18628" s="4"/>
      <c r="X18628" s="4"/>
      <c r="Y18628" s="4"/>
    </row>
    <row r="18629" spans="5:25">
      <c r="E18629"/>
      <c r="G18629"/>
      <c r="H18629"/>
      <c r="I18629"/>
      <c r="K18629"/>
      <c r="O18629"/>
      <c r="R18629"/>
      <c r="W18629" s="4"/>
      <c r="X18629" s="4"/>
      <c r="Y18629" s="4"/>
    </row>
    <row r="18630" spans="5:25">
      <c r="E18630"/>
      <c r="G18630"/>
      <c r="H18630"/>
      <c r="I18630"/>
      <c r="K18630"/>
      <c r="O18630"/>
      <c r="R18630"/>
      <c r="W18630" s="4"/>
      <c r="X18630" s="4"/>
      <c r="Y18630" s="4"/>
    </row>
    <row r="18631" spans="5:25">
      <c r="E18631"/>
      <c r="G18631"/>
      <c r="H18631"/>
      <c r="I18631"/>
      <c r="K18631"/>
      <c r="O18631"/>
      <c r="R18631"/>
      <c r="W18631" s="4"/>
      <c r="X18631" s="4"/>
      <c r="Y18631" s="4"/>
    </row>
    <row r="18632" spans="5:25">
      <c r="E18632"/>
      <c r="G18632"/>
      <c r="H18632"/>
      <c r="I18632"/>
      <c r="K18632"/>
      <c r="O18632"/>
      <c r="R18632"/>
      <c r="W18632" s="4"/>
      <c r="X18632" s="4"/>
      <c r="Y18632" s="4"/>
    </row>
    <row r="18633" spans="5:25">
      <c r="E18633"/>
      <c r="G18633"/>
      <c r="H18633"/>
      <c r="I18633"/>
      <c r="K18633"/>
      <c r="O18633"/>
      <c r="R18633"/>
      <c r="W18633" s="4"/>
      <c r="X18633" s="4"/>
      <c r="Y18633" s="4"/>
    </row>
    <row r="18634" spans="5:25">
      <c r="E18634"/>
      <c r="G18634"/>
      <c r="H18634"/>
      <c r="I18634"/>
      <c r="K18634"/>
      <c r="O18634"/>
      <c r="R18634"/>
      <c r="W18634" s="4"/>
      <c r="X18634" s="4"/>
      <c r="Y18634" s="4"/>
    </row>
    <row r="18635" spans="5:25">
      <c r="E18635"/>
      <c r="G18635"/>
      <c r="H18635"/>
      <c r="I18635"/>
      <c r="K18635"/>
      <c r="O18635"/>
      <c r="R18635"/>
      <c r="W18635" s="4"/>
      <c r="X18635" s="4"/>
      <c r="Y18635" s="4"/>
    </row>
    <row r="18636" spans="5:25">
      <c r="E18636"/>
      <c r="G18636"/>
      <c r="H18636"/>
      <c r="I18636"/>
      <c r="K18636"/>
      <c r="O18636"/>
      <c r="R18636"/>
      <c r="W18636" s="4"/>
      <c r="X18636" s="4"/>
      <c r="Y18636" s="4"/>
    </row>
    <row r="18637" spans="5:25">
      <c r="E18637"/>
      <c r="G18637"/>
      <c r="H18637"/>
      <c r="I18637"/>
      <c r="K18637"/>
      <c r="O18637"/>
      <c r="R18637"/>
      <c r="W18637" s="4"/>
      <c r="X18637" s="4"/>
      <c r="Y18637" s="4"/>
    </row>
    <row r="18638" spans="5:25">
      <c r="E18638"/>
      <c r="G18638"/>
      <c r="H18638"/>
      <c r="I18638"/>
      <c r="K18638"/>
      <c r="O18638"/>
      <c r="R18638"/>
      <c r="W18638" s="4"/>
      <c r="X18638" s="4"/>
      <c r="Y18638" s="4"/>
    </row>
    <row r="18639" spans="5:25">
      <c r="E18639"/>
      <c r="G18639"/>
      <c r="H18639"/>
      <c r="I18639"/>
      <c r="K18639"/>
      <c r="O18639"/>
      <c r="R18639"/>
      <c r="W18639" s="4"/>
      <c r="X18639" s="4"/>
      <c r="Y18639" s="4"/>
    </row>
    <row r="18640" spans="5:25">
      <c r="E18640"/>
      <c r="G18640"/>
      <c r="H18640"/>
      <c r="I18640"/>
      <c r="K18640"/>
      <c r="O18640"/>
      <c r="R18640"/>
      <c r="W18640" s="4"/>
      <c r="X18640" s="4"/>
      <c r="Y18640" s="4"/>
    </row>
    <row r="18641" spans="5:25">
      <c r="E18641"/>
      <c r="G18641"/>
      <c r="H18641"/>
      <c r="I18641"/>
      <c r="K18641"/>
      <c r="O18641"/>
      <c r="R18641"/>
      <c r="W18641" s="4"/>
      <c r="X18641" s="4"/>
      <c r="Y18641" s="4"/>
    </row>
    <row r="18642" spans="5:25">
      <c r="E18642"/>
      <c r="G18642"/>
      <c r="H18642"/>
      <c r="I18642"/>
      <c r="K18642"/>
      <c r="O18642"/>
      <c r="R18642"/>
      <c r="W18642" s="4"/>
      <c r="X18642" s="4"/>
      <c r="Y18642" s="4"/>
    </row>
    <row r="18643" spans="5:25">
      <c r="E18643"/>
      <c r="G18643"/>
      <c r="H18643"/>
      <c r="I18643"/>
      <c r="K18643"/>
      <c r="O18643"/>
      <c r="R18643"/>
      <c r="W18643" s="4"/>
      <c r="X18643" s="4"/>
      <c r="Y18643" s="4"/>
    </row>
    <row r="18644" spans="5:25">
      <c r="E18644"/>
      <c r="G18644"/>
      <c r="H18644"/>
      <c r="I18644"/>
      <c r="K18644"/>
      <c r="O18644"/>
      <c r="R18644"/>
      <c r="W18644" s="4"/>
      <c r="X18644" s="4"/>
      <c r="Y18644" s="4"/>
    </row>
    <row r="18645" spans="5:25">
      <c r="E18645"/>
      <c r="G18645"/>
      <c r="H18645"/>
      <c r="I18645"/>
      <c r="K18645"/>
      <c r="O18645"/>
      <c r="R18645"/>
      <c r="W18645" s="4"/>
      <c r="X18645" s="4"/>
      <c r="Y18645" s="4"/>
    </row>
    <row r="18646" spans="5:25">
      <c r="E18646"/>
      <c r="G18646"/>
      <c r="H18646"/>
      <c r="I18646"/>
      <c r="K18646"/>
      <c r="O18646"/>
      <c r="R18646"/>
      <c r="W18646" s="4"/>
      <c r="X18646" s="4"/>
      <c r="Y18646" s="4"/>
    </row>
    <row r="18647" spans="5:25">
      <c r="E18647"/>
      <c r="G18647"/>
      <c r="H18647"/>
      <c r="I18647"/>
      <c r="K18647"/>
      <c r="O18647"/>
      <c r="R18647"/>
      <c r="W18647" s="4"/>
      <c r="X18647" s="4"/>
      <c r="Y18647" s="4"/>
    </row>
    <row r="18648" spans="5:25">
      <c r="E18648"/>
      <c r="G18648"/>
      <c r="H18648"/>
      <c r="I18648"/>
      <c r="K18648"/>
      <c r="O18648"/>
      <c r="R18648"/>
      <c r="W18648" s="4"/>
      <c r="X18648" s="4"/>
      <c r="Y18648" s="4"/>
    </row>
    <row r="18649" spans="5:25">
      <c r="E18649"/>
      <c r="G18649"/>
      <c r="H18649"/>
      <c r="I18649"/>
      <c r="K18649"/>
      <c r="O18649"/>
      <c r="R18649"/>
      <c r="W18649" s="4"/>
      <c r="X18649" s="4"/>
      <c r="Y18649" s="4"/>
    </row>
    <row r="18650" spans="5:25">
      <c r="E18650"/>
      <c r="G18650"/>
      <c r="H18650"/>
      <c r="I18650"/>
      <c r="K18650"/>
      <c r="O18650"/>
      <c r="R18650"/>
      <c r="W18650" s="4"/>
      <c r="X18650" s="4"/>
      <c r="Y18650" s="4"/>
    </row>
    <row r="18651" spans="5:25">
      <c r="E18651"/>
      <c r="G18651"/>
      <c r="H18651"/>
      <c r="I18651"/>
      <c r="K18651"/>
      <c r="O18651"/>
      <c r="R18651"/>
      <c r="W18651" s="4"/>
      <c r="X18651" s="4"/>
      <c r="Y18651" s="4"/>
    </row>
    <row r="18652" spans="5:25">
      <c r="E18652"/>
      <c r="G18652"/>
      <c r="H18652"/>
      <c r="I18652"/>
      <c r="K18652"/>
      <c r="O18652"/>
      <c r="R18652"/>
      <c r="W18652" s="4"/>
      <c r="X18652" s="4"/>
      <c r="Y18652" s="4"/>
    </row>
    <row r="18653" spans="5:25">
      <c r="E18653"/>
      <c r="G18653"/>
      <c r="H18653"/>
      <c r="I18653"/>
      <c r="K18653"/>
      <c r="O18653"/>
      <c r="R18653"/>
      <c r="W18653" s="4"/>
      <c r="X18653" s="4"/>
      <c r="Y18653" s="4"/>
    </row>
    <row r="18654" spans="5:25">
      <c r="E18654"/>
      <c r="G18654"/>
      <c r="H18654"/>
      <c r="I18654"/>
      <c r="K18654"/>
      <c r="O18654"/>
      <c r="R18654"/>
      <c r="W18654" s="4"/>
      <c r="X18654" s="4"/>
      <c r="Y18654" s="4"/>
    </row>
    <row r="18655" spans="5:25">
      <c r="E18655"/>
      <c r="G18655"/>
      <c r="H18655"/>
      <c r="I18655"/>
      <c r="K18655"/>
      <c r="O18655"/>
      <c r="R18655"/>
      <c r="W18655" s="4"/>
      <c r="X18655" s="4"/>
      <c r="Y18655" s="4"/>
    </row>
    <row r="18656" spans="5:25">
      <c r="E18656"/>
      <c r="G18656"/>
      <c r="H18656"/>
      <c r="I18656"/>
      <c r="K18656"/>
      <c r="O18656"/>
      <c r="R18656"/>
      <c r="W18656" s="4"/>
      <c r="X18656" s="4"/>
      <c r="Y18656" s="4"/>
    </row>
    <row r="18657" spans="5:25">
      <c r="E18657"/>
      <c r="G18657"/>
      <c r="H18657"/>
      <c r="I18657"/>
      <c r="K18657"/>
      <c r="O18657"/>
      <c r="R18657"/>
      <c r="W18657" s="4"/>
      <c r="X18657" s="4"/>
      <c r="Y18657" s="4"/>
    </row>
    <row r="18658" spans="5:25">
      <c r="E18658"/>
      <c r="G18658"/>
      <c r="H18658"/>
      <c r="I18658"/>
      <c r="K18658"/>
      <c r="O18658"/>
      <c r="R18658"/>
      <c r="W18658" s="4"/>
      <c r="X18658" s="4"/>
      <c r="Y18658" s="4"/>
    </row>
    <row r="18659" spans="5:25">
      <c r="E18659"/>
      <c r="G18659"/>
      <c r="H18659"/>
      <c r="I18659"/>
      <c r="K18659"/>
      <c r="O18659"/>
      <c r="R18659"/>
      <c r="W18659" s="4"/>
      <c r="X18659" s="4"/>
      <c r="Y18659" s="4"/>
    </row>
    <row r="18660" spans="5:25">
      <c r="E18660"/>
      <c r="G18660"/>
      <c r="H18660"/>
      <c r="I18660"/>
      <c r="K18660"/>
      <c r="O18660"/>
      <c r="R18660"/>
      <c r="W18660" s="4"/>
      <c r="X18660" s="4"/>
      <c r="Y18660" s="4"/>
    </row>
    <row r="18661" spans="5:25">
      <c r="E18661"/>
      <c r="G18661"/>
      <c r="H18661"/>
      <c r="I18661"/>
      <c r="K18661"/>
      <c r="O18661"/>
      <c r="R18661"/>
      <c r="W18661" s="4"/>
      <c r="X18661" s="4"/>
      <c r="Y18661" s="4"/>
    </row>
    <row r="18662" spans="5:25">
      <c r="E18662"/>
      <c r="G18662"/>
      <c r="H18662"/>
      <c r="I18662"/>
      <c r="K18662"/>
      <c r="O18662"/>
      <c r="R18662"/>
      <c r="W18662" s="4"/>
      <c r="X18662" s="4"/>
      <c r="Y18662" s="4"/>
    </row>
    <row r="18663" spans="5:25">
      <c r="E18663"/>
      <c r="G18663"/>
      <c r="H18663"/>
      <c r="I18663"/>
      <c r="K18663"/>
      <c r="O18663"/>
      <c r="R18663"/>
      <c r="W18663" s="4"/>
      <c r="X18663" s="4"/>
      <c r="Y18663" s="4"/>
    </row>
    <row r="18664" spans="5:25">
      <c r="E18664"/>
      <c r="G18664"/>
      <c r="H18664"/>
      <c r="I18664"/>
      <c r="K18664"/>
      <c r="O18664"/>
      <c r="R18664"/>
      <c r="W18664" s="4"/>
      <c r="X18664" s="4"/>
      <c r="Y18664" s="4"/>
    </row>
    <row r="18665" spans="5:25">
      <c r="E18665"/>
      <c r="G18665"/>
      <c r="H18665"/>
      <c r="I18665"/>
      <c r="K18665"/>
      <c r="O18665"/>
      <c r="R18665"/>
      <c r="W18665" s="4"/>
      <c r="X18665" s="4"/>
      <c r="Y18665" s="4"/>
    </row>
    <row r="18666" spans="5:25">
      <c r="E18666"/>
      <c r="G18666"/>
      <c r="H18666"/>
      <c r="I18666"/>
      <c r="K18666"/>
      <c r="O18666"/>
      <c r="R18666"/>
      <c r="W18666" s="4"/>
      <c r="X18666" s="4"/>
      <c r="Y18666" s="4"/>
    </row>
    <row r="18667" spans="5:25">
      <c r="E18667"/>
      <c r="G18667"/>
      <c r="H18667"/>
      <c r="I18667"/>
      <c r="K18667"/>
      <c r="O18667"/>
      <c r="R18667"/>
      <c r="W18667" s="4"/>
      <c r="X18667" s="4"/>
      <c r="Y18667" s="4"/>
    </row>
    <row r="18668" spans="5:25">
      <c r="E18668"/>
      <c r="G18668"/>
      <c r="H18668"/>
      <c r="I18668"/>
      <c r="K18668"/>
      <c r="O18668"/>
      <c r="R18668"/>
      <c r="W18668" s="4"/>
      <c r="X18668" s="4"/>
      <c r="Y18668" s="4"/>
    </row>
    <row r="18669" spans="5:25">
      <c r="E18669"/>
      <c r="G18669"/>
      <c r="H18669"/>
      <c r="I18669"/>
      <c r="K18669"/>
      <c r="O18669"/>
      <c r="R18669"/>
      <c r="W18669" s="4"/>
      <c r="X18669" s="4"/>
      <c r="Y18669" s="4"/>
    </row>
    <row r="18670" spans="5:25">
      <c r="E18670"/>
      <c r="G18670"/>
      <c r="H18670"/>
      <c r="I18670"/>
      <c r="K18670"/>
      <c r="O18670"/>
      <c r="R18670"/>
      <c r="W18670" s="4"/>
      <c r="X18670" s="4"/>
      <c r="Y18670" s="4"/>
    </row>
    <row r="18671" spans="5:25">
      <c r="E18671"/>
      <c r="G18671"/>
      <c r="H18671"/>
      <c r="I18671"/>
      <c r="K18671"/>
      <c r="O18671"/>
      <c r="R18671"/>
      <c r="W18671" s="4"/>
      <c r="X18671" s="4"/>
      <c r="Y18671" s="4"/>
    </row>
    <row r="18672" spans="5:25">
      <c r="E18672"/>
      <c r="G18672"/>
      <c r="H18672"/>
      <c r="I18672"/>
      <c r="K18672"/>
      <c r="O18672"/>
      <c r="R18672"/>
      <c r="W18672" s="4"/>
      <c r="X18672" s="4"/>
      <c r="Y18672" s="4"/>
    </row>
    <row r="18673" spans="5:25">
      <c r="E18673"/>
      <c r="G18673"/>
      <c r="H18673"/>
      <c r="I18673"/>
      <c r="K18673"/>
      <c r="O18673"/>
      <c r="R18673"/>
      <c r="W18673" s="4"/>
      <c r="X18673" s="4"/>
      <c r="Y18673" s="4"/>
    </row>
    <row r="18674" spans="5:25">
      <c r="E18674"/>
      <c r="G18674"/>
      <c r="H18674"/>
      <c r="I18674"/>
      <c r="K18674"/>
      <c r="O18674"/>
      <c r="R18674"/>
      <c r="W18674" s="4"/>
      <c r="X18674" s="4"/>
      <c r="Y18674" s="4"/>
    </row>
    <row r="18675" spans="5:25">
      <c r="E18675"/>
      <c r="G18675"/>
      <c r="H18675"/>
      <c r="I18675"/>
      <c r="K18675"/>
      <c r="O18675"/>
      <c r="R18675"/>
      <c r="W18675" s="4"/>
      <c r="X18675" s="4"/>
      <c r="Y18675" s="4"/>
    </row>
    <row r="18676" spans="5:25">
      <c r="E18676"/>
      <c r="G18676"/>
      <c r="H18676"/>
      <c r="I18676"/>
      <c r="K18676"/>
      <c r="O18676"/>
      <c r="R18676"/>
      <c r="W18676" s="4"/>
      <c r="X18676" s="4"/>
      <c r="Y18676" s="4"/>
    </row>
    <row r="18677" spans="5:25">
      <c r="E18677"/>
      <c r="G18677"/>
      <c r="H18677"/>
      <c r="I18677"/>
      <c r="K18677"/>
      <c r="O18677"/>
      <c r="R18677"/>
      <c r="W18677" s="4"/>
      <c r="X18677" s="4"/>
      <c r="Y18677" s="4"/>
    </row>
    <row r="18678" spans="5:25">
      <c r="E18678"/>
      <c r="G18678"/>
      <c r="H18678"/>
      <c r="I18678"/>
      <c r="K18678"/>
      <c r="O18678"/>
      <c r="R18678"/>
      <c r="W18678" s="4"/>
      <c r="X18678" s="4"/>
      <c r="Y18678" s="4"/>
    </row>
    <row r="18679" spans="5:25">
      <c r="E18679"/>
      <c r="G18679"/>
      <c r="H18679"/>
      <c r="I18679"/>
      <c r="K18679"/>
      <c r="O18679"/>
      <c r="R18679"/>
      <c r="W18679" s="4"/>
      <c r="X18679" s="4"/>
      <c r="Y18679" s="4"/>
    </row>
    <row r="18680" spans="5:25">
      <c r="E18680"/>
      <c r="G18680"/>
      <c r="H18680"/>
      <c r="I18680"/>
      <c r="K18680"/>
      <c r="O18680"/>
      <c r="R18680"/>
      <c r="W18680" s="4"/>
      <c r="X18680" s="4"/>
      <c r="Y18680" s="4"/>
    </row>
    <row r="18681" spans="5:25">
      <c r="E18681"/>
      <c r="G18681"/>
      <c r="H18681"/>
      <c r="I18681"/>
      <c r="K18681"/>
      <c r="O18681"/>
      <c r="R18681"/>
      <c r="W18681" s="4"/>
      <c r="X18681" s="4"/>
      <c r="Y18681" s="4"/>
    </row>
    <row r="18682" spans="5:25">
      <c r="E18682"/>
      <c r="G18682"/>
      <c r="H18682"/>
      <c r="I18682"/>
      <c r="K18682"/>
      <c r="O18682"/>
      <c r="R18682"/>
      <c r="W18682" s="4"/>
      <c r="X18682" s="4"/>
      <c r="Y18682" s="4"/>
    </row>
    <row r="18683" spans="5:25">
      <c r="E18683"/>
      <c r="G18683"/>
      <c r="H18683"/>
      <c r="I18683"/>
      <c r="K18683"/>
      <c r="O18683"/>
      <c r="R18683"/>
      <c r="W18683" s="4"/>
      <c r="X18683" s="4"/>
      <c r="Y18683" s="4"/>
    </row>
    <row r="18684" spans="5:25">
      <c r="E18684"/>
      <c r="G18684"/>
      <c r="H18684"/>
      <c r="I18684"/>
      <c r="K18684"/>
      <c r="O18684"/>
      <c r="R18684"/>
      <c r="W18684" s="4"/>
      <c r="X18684" s="4"/>
      <c r="Y18684" s="4"/>
    </row>
    <row r="18685" spans="5:25">
      <c r="E18685"/>
      <c r="G18685"/>
      <c r="H18685"/>
      <c r="I18685"/>
      <c r="K18685"/>
      <c r="O18685"/>
      <c r="R18685"/>
      <c r="W18685" s="4"/>
      <c r="X18685" s="4"/>
      <c r="Y18685" s="4"/>
    </row>
    <row r="18686" spans="5:25">
      <c r="E18686"/>
      <c r="G18686"/>
      <c r="H18686"/>
      <c r="I18686"/>
      <c r="K18686"/>
      <c r="O18686"/>
      <c r="R18686"/>
      <c r="W18686" s="4"/>
      <c r="X18686" s="4"/>
      <c r="Y18686" s="4"/>
    </row>
    <row r="18687" spans="5:25">
      <c r="E18687"/>
      <c r="G18687"/>
      <c r="H18687"/>
      <c r="I18687"/>
      <c r="K18687"/>
      <c r="O18687"/>
      <c r="R18687"/>
      <c r="W18687" s="4"/>
      <c r="X18687" s="4"/>
      <c r="Y18687" s="4"/>
    </row>
    <row r="18688" spans="5:25">
      <c r="E18688"/>
      <c r="G18688"/>
      <c r="H18688"/>
      <c r="I18688"/>
      <c r="K18688"/>
      <c r="O18688"/>
      <c r="R18688"/>
      <c r="W18688" s="4"/>
      <c r="X18688" s="4"/>
      <c r="Y18688" s="4"/>
    </row>
    <row r="18689" spans="5:25">
      <c r="E18689"/>
      <c r="G18689"/>
      <c r="H18689"/>
      <c r="I18689"/>
      <c r="K18689"/>
      <c r="O18689"/>
      <c r="R18689"/>
      <c r="W18689" s="4"/>
      <c r="X18689" s="4"/>
      <c r="Y18689" s="4"/>
    </row>
    <row r="18690" spans="5:25">
      <c r="E18690"/>
      <c r="G18690"/>
      <c r="H18690"/>
      <c r="I18690"/>
      <c r="K18690"/>
      <c r="O18690"/>
      <c r="R18690"/>
      <c r="W18690" s="4"/>
      <c r="X18690" s="4"/>
      <c r="Y18690" s="4"/>
    </row>
    <row r="18691" spans="5:25">
      <c r="E18691"/>
      <c r="G18691"/>
      <c r="H18691"/>
      <c r="I18691"/>
      <c r="K18691"/>
      <c r="O18691"/>
      <c r="R18691"/>
      <c r="W18691" s="4"/>
      <c r="X18691" s="4"/>
      <c r="Y18691" s="4"/>
    </row>
    <row r="18692" spans="5:25">
      <c r="E18692"/>
      <c r="G18692"/>
      <c r="H18692"/>
      <c r="I18692"/>
      <c r="K18692"/>
      <c r="O18692"/>
      <c r="R18692"/>
      <c r="W18692" s="4"/>
      <c r="X18692" s="4"/>
      <c r="Y18692" s="4"/>
    </row>
    <row r="18693" spans="5:25">
      <c r="E18693"/>
      <c r="G18693"/>
      <c r="H18693"/>
      <c r="I18693"/>
      <c r="K18693"/>
      <c r="O18693"/>
      <c r="R18693"/>
      <c r="W18693" s="4"/>
      <c r="X18693" s="4"/>
      <c r="Y18693" s="4"/>
    </row>
    <row r="18694" spans="5:25">
      <c r="E18694"/>
      <c r="G18694"/>
      <c r="H18694"/>
      <c r="I18694"/>
      <c r="K18694"/>
      <c r="O18694"/>
      <c r="R18694"/>
      <c r="W18694" s="4"/>
      <c r="X18694" s="4"/>
      <c r="Y18694" s="4"/>
    </row>
    <row r="18695" spans="5:25">
      <c r="E18695"/>
      <c r="G18695"/>
      <c r="H18695"/>
      <c r="I18695"/>
      <c r="K18695"/>
      <c r="O18695"/>
      <c r="R18695"/>
      <c r="W18695" s="4"/>
      <c r="X18695" s="4"/>
      <c r="Y18695" s="4"/>
    </row>
    <row r="18696" spans="5:25">
      <c r="E18696"/>
      <c r="G18696"/>
      <c r="H18696"/>
      <c r="I18696"/>
      <c r="K18696"/>
      <c r="O18696"/>
      <c r="R18696"/>
      <c r="W18696" s="4"/>
      <c r="X18696" s="4"/>
      <c r="Y18696" s="4"/>
    </row>
    <row r="18697" spans="5:25">
      <c r="E18697"/>
      <c r="G18697"/>
      <c r="H18697"/>
      <c r="I18697"/>
      <c r="K18697"/>
      <c r="O18697"/>
      <c r="R18697"/>
      <c r="W18697" s="4"/>
      <c r="X18697" s="4"/>
      <c r="Y18697" s="4"/>
    </row>
    <row r="18698" spans="5:25">
      <c r="E18698"/>
      <c r="G18698"/>
      <c r="H18698"/>
      <c r="I18698"/>
      <c r="K18698"/>
      <c r="O18698"/>
      <c r="R18698"/>
      <c r="W18698" s="4"/>
      <c r="X18698" s="4"/>
      <c r="Y18698" s="4"/>
    </row>
    <row r="18699" spans="5:25">
      <c r="E18699"/>
      <c r="G18699"/>
      <c r="H18699"/>
      <c r="I18699"/>
      <c r="K18699"/>
      <c r="O18699"/>
      <c r="R18699"/>
      <c r="W18699" s="4"/>
      <c r="X18699" s="4"/>
      <c r="Y18699" s="4"/>
    </row>
    <row r="18700" spans="5:25">
      <c r="E18700"/>
      <c r="G18700"/>
      <c r="H18700"/>
      <c r="I18700"/>
      <c r="K18700"/>
      <c r="O18700"/>
      <c r="R18700"/>
      <c r="W18700" s="4"/>
      <c r="X18700" s="4"/>
      <c r="Y18700" s="4"/>
    </row>
    <row r="18701" spans="5:25">
      <c r="E18701"/>
      <c r="G18701"/>
      <c r="H18701"/>
      <c r="I18701"/>
      <c r="K18701"/>
      <c r="O18701"/>
      <c r="R18701"/>
      <c r="W18701" s="4"/>
      <c r="X18701" s="4"/>
      <c r="Y18701" s="4"/>
    </row>
    <row r="18702" spans="5:25">
      <c r="E18702"/>
      <c r="G18702"/>
      <c r="H18702"/>
      <c r="I18702"/>
      <c r="K18702"/>
      <c r="O18702"/>
      <c r="R18702"/>
      <c r="W18702" s="4"/>
      <c r="X18702" s="4"/>
      <c r="Y18702" s="4"/>
    </row>
    <row r="18703" spans="5:25">
      <c r="E18703"/>
      <c r="G18703"/>
      <c r="H18703"/>
      <c r="I18703"/>
      <c r="K18703"/>
      <c r="O18703"/>
      <c r="R18703"/>
      <c r="W18703" s="4"/>
      <c r="X18703" s="4"/>
      <c r="Y18703" s="4"/>
    </row>
    <row r="18704" spans="5:25">
      <c r="E18704"/>
      <c r="G18704"/>
      <c r="H18704"/>
      <c r="I18704"/>
      <c r="K18704"/>
      <c r="O18704"/>
      <c r="R18704"/>
      <c r="W18704" s="4"/>
      <c r="X18704" s="4"/>
      <c r="Y18704" s="4"/>
    </row>
    <row r="18705" spans="5:25">
      <c r="E18705"/>
      <c r="G18705"/>
      <c r="H18705"/>
      <c r="I18705"/>
      <c r="K18705"/>
      <c r="O18705"/>
      <c r="R18705"/>
      <c r="W18705" s="4"/>
      <c r="X18705" s="4"/>
      <c r="Y18705" s="4"/>
    </row>
    <row r="18706" spans="5:25">
      <c r="E18706"/>
      <c r="G18706"/>
      <c r="H18706"/>
      <c r="I18706"/>
      <c r="K18706"/>
      <c r="O18706"/>
      <c r="R18706"/>
      <c r="W18706" s="4"/>
      <c r="X18706" s="4"/>
      <c r="Y18706" s="4"/>
    </row>
    <row r="18707" spans="5:25">
      <c r="E18707"/>
      <c r="G18707"/>
      <c r="H18707"/>
      <c r="I18707"/>
      <c r="K18707"/>
      <c r="O18707"/>
      <c r="R18707"/>
      <c r="W18707" s="4"/>
      <c r="X18707" s="4"/>
      <c r="Y18707" s="4"/>
    </row>
    <row r="18708" spans="5:25">
      <c r="E18708"/>
      <c r="G18708"/>
      <c r="H18708"/>
      <c r="I18708"/>
      <c r="K18708"/>
      <c r="O18708"/>
      <c r="R18708"/>
      <c r="W18708" s="4"/>
      <c r="X18708" s="4"/>
      <c r="Y18708" s="4"/>
    </row>
    <row r="18709" spans="5:25">
      <c r="E18709"/>
      <c r="G18709"/>
      <c r="H18709"/>
      <c r="I18709"/>
      <c r="K18709"/>
      <c r="O18709"/>
      <c r="R18709"/>
      <c r="W18709" s="4"/>
      <c r="X18709" s="4"/>
      <c r="Y18709" s="4"/>
    </row>
    <row r="18710" spans="5:25">
      <c r="E18710"/>
      <c r="G18710"/>
      <c r="H18710"/>
      <c r="I18710"/>
      <c r="K18710"/>
      <c r="O18710"/>
      <c r="R18710"/>
      <c r="W18710" s="4"/>
      <c r="X18710" s="4"/>
      <c r="Y18710" s="4"/>
    </row>
    <row r="18711" spans="5:25">
      <c r="E18711"/>
      <c r="G18711"/>
      <c r="H18711"/>
      <c r="I18711"/>
      <c r="K18711"/>
      <c r="O18711"/>
      <c r="R18711"/>
      <c r="W18711" s="4"/>
      <c r="X18711" s="4"/>
      <c r="Y18711" s="4"/>
    </row>
    <row r="18712" spans="5:25">
      <c r="E18712"/>
      <c r="G18712"/>
      <c r="H18712"/>
      <c r="I18712"/>
      <c r="K18712"/>
      <c r="O18712"/>
      <c r="R18712"/>
      <c r="W18712" s="4"/>
      <c r="X18712" s="4"/>
      <c r="Y18712" s="4"/>
    </row>
    <row r="18713" spans="5:25">
      <c r="E18713"/>
      <c r="G18713"/>
      <c r="H18713"/>
      <c r="I18713"/>
      <c r="K18713"/>
      <c r="O18713"/>
      <c r="R18713"/>
      <c r="W18713" s="4"/>
      <c r="X18713" s="4"/>
      <c r="Y18713" s="4"/>
    </row>
    <row r="18714" spans="5:25">
      <c r="E18714"/>
      <c r="G18714"/>
      <c r="H18714"/>
      <c r="I18714"/>
      <c r="K18714"/>
      <c r="O18714"/>
      <c r="R18714"/>
      <c r="W18714" s="4"/>
      <c r="X18714" s="4"/>
      <c r="Y18714" s="4"/>
    </row>
    <row r="18715" spans="5:25">
      <c r="E18715"/>
      <c r="G18715"/>
      <c r="H18715"/>
      <c r="I18715"/>
      <c r="K18715"/>
      <c r="O18715"/>
      <c r="R18715"/>
      <c r="W18715" s="4"/>
      <c r="X18715" s="4"/>
      <c r="Y18715" s="4"/>
    </row>
    <row r="18716" spans="5:25">
      <c r="E18716"/>
      <c r="G18716"/>
      <c r="H18716"/>
      <c r="I18716"/>
      <c r="K18716"/>
      <c r="O18716"/>
      <c r="R18716"/>
      <c r="W18716" s="4"/>
      <c r="X18716" s="4"/>
      <c r="Y18716" s="4"/>
    </row>
    <row r="18717" spans="5:25">
      <c r="E18717"/>
      <c r="G18717"/>
      <c r="H18717"/>
      <c r="I18717"/>
      <c r="K18717"/>
      <c r="O18717"/>
      <c r="R18717"/>
      <c r="W18717" s="4"/>
      <c r="X18717" s="4"/>
      <c r="Y18717" s="4"/>
    </row>
    <row r="18718" spans="5:25">
      <c r="E18718"/>
      <c r="G18718"/>
      <c r="H18718"/>
      <c r="I18718"/>
      <c r="K18718"/>
      <c r="O18718"/>
      <c r="R18718"/>
      <c r="W18718" s="4"/>
      <c r="X18718" s="4"/>
      <c r="Y18718" s="4"/>
    </row>
    <row r="18719" spans="5:25">
      <c r="E18719"/>
      <c r="G18719"/>
      <c r="H18719"/>
      <c r="I18719"/>
      <c r="K18719"/>
      <c r="O18719"/>
      <c r="R18719"/>
      <c r="W18719" s="4"/>
      <c r="X18719" s="4"/>
      <c r="Y18719" s="4"/>
    </row>
    <row r="18720" spans="5:25">
      <c r="E18720"/>
      <c r="G18720"/>
      <c r="H18720"/>
      <c r="I18720"/>
      <c r="K18720"/>
      <c r="O18720"/>
      <c r="R18720"/>
      <c r="W18720" s="4"/>
      <c r="X18720" s="4"/>
      <c r="Y18720" s="4"/>
    </row>
    <row r="18721" spans="5:25">
      <c r="E18721"/>
      <c r="G18721"/>
      <c r="H18721"/>
      <c r="I18721"/>
      <c r="K18721"/>
      <c r="O18721"/>
      <c r="R18721"/>
      <c r="W18721" s="4"/>
      <c r="X18721" s="4"/>
      <c r="Y18721" s="4"/>
    </row>
    <row r="18722" spans="5:25">
      <c r="E18722"/>
      <c r="G18722"/>
      <c r="H18722"/>
      <c r="I18722"/>
      <c r="K18722"/>
      <c r="O18722"/>
      <c r="R18722"/>
      <c r="W18722" s="4"/>
      <c r="X18722" s="4"/>
      <c r="Y18722" s="4"/>
    </row>
    <row r="18723" spans="5:25">
      <c r="E18723"/>
      <c r="G18723"/>
      <c r="H18723"/>
      <c r="I18723"/>
      <c r="K18723"/>
      <c r="O18723"/>
      <c r="R18723"/>
      <c r="W18723" s="4"/>
      <c r="X18723" s="4"/>
      <c r="Y18723" s="4"/>
    </row>
    <row r="18724" spans="5:25">
      <c r="E18724"/>
      <c r="G18724"/>
      <c r="H18724"/>
      <c r="I18724"/>
      <c r="K18724"/>
      <c r="O18724"/>
      <c r="R18724"/>
      <c r="W18724" s="4"/>
      <c r="X18724" s="4"/>
      <c r="Y18724" s="4"/>
    </row>
    <row r="18725" spans="5:25">
      <c r="E18725"/>
      <c r="G18725"/>
      <c r="H18725"/>
      <c r="I18725"/>
      <c r="K18725"/>
      <c r="O18725"/>
      <c r="R18725"/>
      <c r="W18725" s="4"/>
      <c r="X18725" s="4"/>
      <c r="Y18725" s="4"/>
    </row>
    <row r="18726" spans="5:25">
      <c r="E18726"/>
      <c r="G18726"/>
      <c r="H18726"/>
      <c r="I18726"/>
      <c r="K18726"/>
      <c r="O18726"/>
      <c r="R18726"/>
      <c r="W18726" s="4"/>
      <c r="X18726" s="4"/>
      <c r="Y18726" s="4"/>
    </row>
    <row r="18727" spans="5:25">
      <c r="E18727"/>
      <c r="G18727"/>
      <c r="H18727"/>
      <c r="I18727"/>
      <c r="K18727"/>
      <c r="O18727"/>
      <c r="R18727"/>
      <c r="W18727" s="4"/>
      <c r="X18727" s="4"/>
      <c r="Y18727" s="4"/>
    </row>
    <row r="18728" spans="5:25">
      <c r="E18728"/>
      <c r="G18728"/>
      <c r="H18728"/>
      <c r="I18728"/>
      <c r="K18728"/>
      <c r="O18728"/>
      <c r="R18728"/>
      <c r="W18728" s="4"/>
      <c r="X18728" s="4"/>
      <c r="Y18728" s="4"/>
    </row>
    <row r="18729" spans="5:25">
      <c r="E18729"/>
      <c r="G18729"/>
      <c r="H18729"/>
      <c r="I18729"/>
      <c r="K18729"/>
      <c r="O18729"/>
      <c r="R18729"/>
      <c r="W18729" s="4"/>
      <c r="X18729" s="4"/>
      <c r="Y18729" s="4"/>
    </row>
    <row r="18730" spans="5:25">
      <c r="E18730"/>
      <c r="G18730"/>
      <c r="H18730"/>
      <c r="I18730"/>
      <c r="K18730"/>
      <c r="O18730"/>
      <c r="R18730"/>
      <c r="W18730" s="4"/>
      <c r="X18730" s="4"/>
      <c r="Y18730" s="4"/>
    </row>
    <row r="18731" spans="5:25">
      <c r="E18731"/>
      <c r="G18731"/>
      <c r="H18731"/>
      <c r="I18731"/>
      <c r="K18731"/>
      <c r="O18731"/>
      <c r="R18731"/>
      <c r="W18731" s="4"/>
      <c r="X18731" s="4"/>
      <c r="Y18731" s="4"/>
    </row>
    <row r="18732" spans="5:25">
      <c r="E18732"/>
      <c r="G18732"/>
      <c r="H18732"/>
      <c r="I18732"/>
      <c r="K18732"/>
      <c r="O18732"/>
      <c r="R18732"/>
      <c r="W18732" s="4"/>
      <c r="X18732" s="4"/>
      <c r="Y18732" s="4"/>
    </row>
    <row r="18733" spans="5:25">
      <c r="E18733"/>
      <c r="G18733"/>
      <c r="H18733"/>
      <c r="I18733"/>
      <c r="K18733"/>
      <c r="O18733"/>
      <c r="R18733"/>
      <c r="W18733" s="4"/>
      <c r="X18733" s="4"/>
      <c r="Y18733" s="4"/>
    </row>
    <row r="18734" spans="5:25">
      <c r="E18734"/>
      <c r="G18734"/>
      <c r="H18734"/>
      <c r="I18734"/>
      <c r="K18734"/>
      <c r="O18734"/>
      <c r="R18734"/>
      <c r="W18734" s="4"/>
      <c r="X18734" s="4"/>
      <c r="Y18734" s="4"/>
    </row>
    <row r="18735" spans="5:25">
      <c r="E18735"/>
      <c r="G18735"/>
      <c r="H18735"/>
      <c r="I18735"/>
      <c r="K18735"/>
      <c r="O18735"/>
      <c r="R18735"/>
      <c r="W18735" s="4"/>
      <c r="X18735" s="4"/>
      <c r="Y18735" s="4"/>
    </row>
    <row r="18736" spans="5:25">
      <c r="E18736"/>
      <c r="G18736"/>
      <c r="H18736"/>
      <c r="I18736"/>
      <c r="K18736"/>
      <c r="O18736"/>
      <c r="R18736"/>
      <c r="W18736" s="4"/>
      <c r="X18736" s="4"/>
      <c r="Y18736" s="4"/>
    </row>
    <row r="18737" spans="5:25">
      <c r="E18737"/>
      <c r="G18737"/>
      <c r="H18737"/>
      <c r="I18737"/>
      <c r="K18737"/>
      <c r="O18737"/>
      <c r="R18737"/>
      <c r="W18737" s="4"/>
      <c r="X18737" s="4"/>
      <c r="Y18737" s="4"/>
    </row>
    <row r="18738" spans="5:25">
      <c r="E18738"/>
      <c r="G18738"/>
      <c r="H18738"/>
      <c r="I18738"/>
      <c r="K18738"/>
      <c r="O18738"/>
      <c r="R18738"/>
      <c r="W18738" s="4"/>
      <c r="X18738" s="4"/>
      <c r="Y18738" s="4"/>
    </row>
    <row r="18739" spans="5:25">
      <c r="E18739"/>
      <c r="G18739"/>
      <c r="H18739"/>
      <c r="I18739"/>
      <c r="K18739"/>
      <c r="O18739"/>
      <c r="R18739"/>
      <c r="W18739" s="4"/>
      <c r="X18739" s="4"/>
      <c r="Y18739" s="4"/>
    </row>
    <row r="18740" spans="5:25">
      <c r="E18740"/>
      <c r="G18740"/>
      <c r="H18740"/>
      <c r="I18740"/>
      <c r="K18740"/>
      <c r="O18740"/>
      <c r="R18740"/>
      <c r="W18740" s="4"/>
      <c r="X18740" s="4"/>
      <c r="Y18740" s="4"/>
    </row>
    <row r="18741" spans="5:25">
      <c r="E18741"/>
      <c r="G18741"/>
      <c r="H18741"/>
      <c r="I18741"/>
      <c r="K18741"/>
      <c r="O18741"/>
      <c r="R18741"/>
      <c r="W18741" s="4"/>
      <c r="X18741" s="4"/>
      <c r="Y18741" s="4"/>
    </row>
    <row r="18742" spans="5:25">
      <c r="E18742"/>
      <c r="G18742"/>
      <c r="H18742"/>
      <c r="I18742"/>
      <c r="K18742"/>
      <c r="O18742"/>
      <c r="R18742"/>
      <c r="W18742" s="4"/>
      <c r="X18742" s="4"/>
      <c r="Y18742" s="4"/>
    </row>
    <row r="18743" spans="5:25">
      <c r="E18743"/>
      <c r="G18743"/>
      <c r="H18743"/>
      <c r="I18743"/>
      <c r="K18743"/>
      <c r="O18743"/>
      <c r="R18743"/>
      <c r="W18743" s="4"/>
      <c r="X18743" s="4"/>
      <c r="Y18743" s="4"/>
    </row>
    <row r="18744" spans="5:25">
      <c r="E18744"/>
      <c r="G18744"/>
      <c r="H18744"/>
      <c r="I18744"/>
      <c r="K18744"/>
      <c r="O18744"/>
      <c r="R18744"/>
      <c r="W18744" s="4"/>
      <c r="X18744" s="4"/>
      <c r="Y18744" s="4"/>
    </row>
    <row r="18745" spans="5:25">
      <c r="E18745"/>
      <c r="G18745"/>
      <c r="H18745"/>
      <c r="I18745"/>
      <c r="K18745"/>
      <c r="O18745"/>
      <c r="R18745"/>
      <c r="W18745" s="4"/>
      <c r="X18745" s="4"/>
      <c r="Y18745" s="4"/>
    </row>
    <row r="18746" spans="5:25">
      <c r="E18746"/>
      <c r="G18746"/>
      <c r="H18746"/>
      <c r="I18746"/>
      <c r="K18746"/>
      <c r="O18746"/>
      <c r="R18746"/>
      <c r="W18746" s="4"/>
      <c r="X18746" s="4"/>
      <c r="Y18746" s="4"/>
    </row>
    <row r="18747" spans="5:25">
      <c r="E18747"/>
      <c r="G18747"/>
      <c r="H18747"/>
      <c r="I18747"/>
      <c r="K18747"/>
      <c r="O18747"/>
      <c r="R18747"/>
      <c r="W18747" s="4"/>
      <c r="X18747" s="4"/>
      <c r="Y18747" s="4"/>
    </row>
    <row r="18748" spans="5:25">
      <c r="E18748"/>
      <c r="G18748"/>
      <c r="H18748"/>
      <c r="I18748"/>
      <c r="K18748"/>
      <c r="O18748"/>
      <c r="R18748"/>
      <c r="W18748" s="4"/>
      <c r="X18748" s="4"/>
      <c r="Y18748" s="4"/>
    </row>
    <row r="18749" spans="5:25">
      <c r="E18749"/>
      <c r="G18749"/>
      <c r="H18749"/>
      <c r="I18749"/>
      <c r="K18749"/>
      <c r="O18749"/>
      <c r="R18749"/>
      <c r="W18749" s="4"/>
      <c r="X18749" s="4"/>
      <c r="Y18749" s="4"/>
    </row>
    <row r="18750" spans="5:25">
      <c r="E18750"/>
      <c r="G18750"/>
      <c r="H18750"/>
      <c r="I18750"/>
      <c r="K18750"/>
      <c r="O18750"/>
      <c r="R18750"/>
      <c r="W18750" s="4"/>
      <c r="X18750" s="4"/>
      <c r="Y18750" s="4"/>
    </row>
    <row r="18751" spans="5:25">
      <c r="E18751"/>
      <c r="G18751"/>
      <c r="H18751"/>
      <c r="I18751"/>
      <c r="K18751"/>
      <c r="O18751"/>
      <c r="R18751"/>
      <c r="W18751" s="4"/>
      <c r="X18751" s="4"/>
      <c r="Y18751" s="4"/>
    </row>
    <row r="18752" spans="5:25">
      <c r="E18752"/>
      <c r="G18752"/>
      <c r="H18752"/>
      <c r="I18752"/>
      <c r="K18752"/>
      <c r="O18752"/>
      <c r="R18752"/>
      <c r="W18752" s="4"/>
      <c r="X18752" s="4"/>
      <c r="Y18752" s="4"/>
    </row>
    <row r="18753" spans="5:25">
      <c r="E18753"/>
      <c r="G18753"/>
      <c r="H18753"/>
      <c r="I18753"/>
      <c r="K18753"/>
      <c r="O18753"/>
      <c r="R18753"/>
      <c r="W18753" s="4"/>
      <c r="X18753" s="4"/>
      <c r="Y18753" s="4"/>
    </row>
    <row r="18754" spans="5:25">
      <c r="E18754"/>
      <c r="G18754"/>
      <c r="H18754"/>
      <c r="I18754"/>
      <c r="K18754"/>
      <c r="O18754"/>
      <c r="R18754"/>
      <c r="W18754" s="4"/>
      <c r="X18754" s="4"/>
      <c r="Y18754" s="4"/>
    </row>
    <row r="18755" spans="5:25">
      <c r="E18755"/>
      <c r="G18755"/>
      <c r="H18755"/>
      <c r="I18755"/>
      <c r="K18755"/>
      <c r="O18755"/>
      <c r="R18755"/>
      <c r="W18755" s="4"/>
      <c r="X18755" s="4"/>
      <c r="Y18755" s="4"/>
    </row>
    <row r="18756" spans="5:25">
      <c r="E18756"/>
      <c r="G18756"/>
      <c r="H18756"/>
      <c r="I18756"/>
      <c r="K18756"/>
      <c r="O18756"/>
      <c r="R18756"/>
      <c r="W18756" s="4"/>
      <c r="X18756" s="4"/>
      <c r="Y18756" s="4"/>
    </row>
    <row r="18757" spans="5:25">
      <c r="E18757"/>
      <c r="G18757"/>
      <c r="H18757"/>
      <c r="I18757"/>
      <c r="K18757"/>
      <c r="O18757"/>
      <c r="R18757"/>
      <c r="W18757" s="4"/>
      <c r="X18757" s="4"/>
      <c r="Y18757" s="4"/>
    </row>
    <row r="18758" spans="5:25">
      <c r="E18758"/>
      <c r="G18758"/>
      <c r="H18758"/>
      <c r="I18758"/>
      <c r="K18758"/>
      <c r="O18758"/>
      <c r="R18758"/>
      <c r="W18758" s="4"/>
      <c r="X18758" s="4"/>
      <c r="Y18758" s="4"/>
    </row>
    <row r="18759" spans="5:25">
      <c r="E18759"/>
      <c r="G18759"/>
      <c r="H18759"/>
      <c r="I18759"/>
      <c r="K18759"/>
      <c r="O18759"/>
      <c r="R18759"/>
      <c r="W18759" s="4"/>
      <c r="X18759" s="4"/>
      <c r="Y18759" s="4"/>
    </row>
    <row r="18760" spans="5:25">
      <c r="E18760"/>
      <c r="G18760"/>
      <c r="H18760"/>
      <c r="I18760"/>
      <c r="K18760"/>
      <c r="O18760"/>
      <c r="R18760"/>
      <c r="W18760" s="4"/>
      <c r="X18760" s="4"/>
      <c r="Y18760" s="4"/>
    </row>
    <row r="18761" spans="5:25">
      <c r="E18761"/>
      <c r="G18761"/>
      <c r="H18761"/>
      <c r="I18761"/>
      <c r="K18761"/>
      <c r="O18761"/>
      <c r="R18761"/>
      <c r="W18761" s="4"/>
      <c r="X18761" s="4"/>
      <c r="Y18761" s="4"/>
    </row>
    <row r="18762" spans="5:25">
      <c r="E18762"/>
      <c r="G18762"/>
      <c r="H18762"/>
      <c r="I18762"/>
      <c r="K18762"/>
      <c r="O18762"/>
      <c r="R18762"/>
      <c r="W18762" s="4"/>
      <c r="X18762" s="4"/>
      <c r="Y18762" s="4"/>
    </row>
    <row r="18763" spans="5:25">
      <c r="E18763"/>
      <c r="G18763"/>
      <c r="H18763"/>
      <c r="I18763"/>
      <c r="K18763"/>
      <c r="O18763"/>
      <c r="R18763"/>
      <c r="W18763" s="4"/>
      <c r="X18763" s="4"/>
      <c r="Y18763" s="4"/>
    </row>
    <row r="18764" spans="5:25">
      <c r="E18764"/>
      <c r="G18764"/>
      <c r="H18764"/>
      <c r="I18764"/>
      <c r="K18764"/>
      <c r="O18764"/>
      <c r="R18764"/>
      <c r="W18764" s="4"/>
      <c r="X18764" s="4"/>
      <c r="Y18764" s="4"/>
    </row>
    <row r="18765" spans="5:25">
      <c r="E18765"/>
      <c r="G18765"/>
      <c r="H18765"/>
      <c r="I18765"/>
      <c r="K18765"/>
      <c r="O18765"/>
      <c r="R18765"/>
      <c r="W18765" s="4"/>
      <c r="X18765" s="4"/>
      <c r="Y18765" s="4"/>
    </row>
    <row r="18766" spans="5:25">
      <c r="E18766"/>
      <c r="G18766"/>
      <c r="H18766"/>
      <c r="I18766"/>
      <c r="K18766"/>
      <c r="O18766"/>
      <c r="R18766"/>
      <c r="W18766" s="4"/>
      <c r="X18766" s="4"/>
      <c r="Y18766" s="4"/>
    </row>
    <row r="18767" spans="5:25">
      <c r="E18767"/>
      <c r="G18767"/>
      <c r="H18767"/>
      <c r="I18767"/>
      <c r="K18767"/>
      <c r="O18767"/>
      <c r="R18767"/>
      <c r="W18767" s="4"/>
      <c r="X18767" s="4"/>
      <c r="Y18767" s="4"/>
    </row>
    <row r="18768" spans="5:25">
      <c r="E18768"/>
      <c r="G18768"/>
      <c r="H18768"/>
      <c r="I18768"/>
      <c r="K18768"/>
      <c r="O18768"/>
      <c r="R18768"/>
      <c r="W18768" s="4"/>
      <c r="X18768" s="4"/>
      <c r="Y18768" s="4"/>
    </row>
    <row r="18769" spans="5:25">
      <c r="E18769"/>
      <c r="G18769"/>
      <c r="H18769"/>
      <c r="I18769"/>
      <c r="K18769"/>
      <c r="O18769"/>
      <c r="R18769"/>
      <c r="W18769" s="4"/>
      <c r="X18769" s="4"/>
      <c r="Y18769" s="4"/>
    </row>
    <row r="18770" spans="5:25">
      <c r="E18770"/>
      <c r="G18770"/>
      <c r="H18770"/>
      <c r="I18770"/>
      <c r="K18770"/>
      <c r="O18770"/>
      <c r="R18770"/>
      <c r="W18770" s="4"/>
      <c r="X18770" s="4"/>
      <c r="Y18770" s="4"/>
    </row>
    <row r="18771" spans="5:25">
      <c r="E18771"/>
      <c r="G18771"/>
      <c r="H18771"/>
      <c r="I18771"/>
      <c r="K18771"/>
      <c r="O18771"/>
      <c r="R18771"/>
      <c r="W18771" s="4"/>
      <c r="X18771" s="4"/>
      <c r="Y18771" s="4"/>
    </row>
    <row r="18772" spans="5:25">
      <c r="E18772"/>
      <c r="G18772"/>
      <c r="H18772"/>
      <c r="I18772"/>
      <c r="K18772"/>
      <c r="O18772"/>
      <c r="R18772"/>
      <c r="W18772" s="4"/>
      <c r="X18772" s="4"/>
      <c r="Y18772" s="4"/>
    </row>
    <row r="18773" spans="5:25">
      <c r="E18773"/>
      <c r="G18773"/>
      <c r="H18773"/>
      <c r="I18773"/>
      <c r="K18773"/>
      <c r="O18773"/>
      <c r="R18773"/>
      <c r="W18773" s="4"/>
      <c r="X18773" s="4"/>
      <c r="Y18773" s="4"/>
    </row>
    <row r="18774" spans="5:25">
      <c r="E18774"/>
      <c r="G18774"/>
      <c r="H18774"/>
      <c r="I18774"/>
      <c r="K18774"/>
      <c r="O18774"/>
      <c r="R18774"/>
      <c r="W18774" s="4"/>
      <c r="X18774" s="4"/>
      <c r="Y18774" s="4"/>
    </row>
    <row r="18775" spans="5:25">
      <c r="E18775"/>
      <c r="G18775"/>
      <c r="H18775"/>
      <c r="I18775"/>
      <c r="K18775"/>
      <c r="O18775"/>
      <c r="R18775"/>
      <c r="W18775" s="4"/>
      <c r="X18775" s="4"/>
      <c r="Y18775" s="4"/>
    </row>
    <row r="18776" spans="5:25">
      <c r="E18776"/>
      <c r="G18776"/>
      <c r="H18776"/>
      <c r="I18776"/>
      <c r="K18776"/>
      <c r="O18776"/>
      <c r="R18776"/>
      <c r="W18776" s="4"/>
      <c r="X18776" s="4"/>
      <c r="Y18776" s="4"/>
    </row>
    <row r="18777" spans="5:25">
      <c r="E18777"/>
      <c r="G18777"/>
      <c r="H18777"/>
      <c r="I18777"/>
      <c r="K18777"/>
      <c r="O18777"/>
      <c r="R18777"/>
      <c r="W18777" s="4"/>
      <c r="X18777" s="4"/>
      <c r="Y18777" s="4"/>
    </row>
    <row r="18778" spans="5:25">
      <c r="E18778"/>
      <c r="G18778"/>
      <c r="H18778"/>
      <c r="I18778"/>
      <c r="K18778"/>
      <c r="O18778"/>
      <c r="R18778"/>
      <c r="W18778" s="4"/>
      <c r="X18778" s="4"/>
      <c r="Y18778" s="4"/>
    </row>
    <row r="18779" spans="5:25">
      <c r="E18779"/>
      <c r="G18779"/>
      <c r="H18779"/>
      <c r="I18779"/>
      <c r="K18779"/>
      <c r="O18779"/>
      <c r="R18779"/>
      <c r="W18779" s="4"/>
      <c r="X18779" s="4"/>
      <c r="Y18779" s="4"/>
    </row>
    <row r="18780" spans="5:25">
      <c r="E18780"/>
      <c r="G18780"/>
      <c r="H18780"/>
      <c r="I18780"/>
      <c r="K18780"/>
      <c r="O18780"/>
      <c r="R18780"/>
      <c r="W18780" s="4"/>
      <c r="X18780" s="4"/>
      <c r="Y18780" s="4"/>
    </row>
    <row r="18781" spans="5:25">
      <c r="E18781"/>
      <c r="G18781"/>
      <c r="H18781"/>
      <c r="I18781"/>
      <c r="K18781"/>
      <c r="O18781"/>
      <c r="R18781"/>
      <c r="W18781" s="4"/>
      <c r="X18781" s="4"/>
      <c r="Y18781" s="4"/>
    </row>
    <row r="18782" spans="5:25">
      <c r="E18782"/>
      <c r="G18782"/>
      <c r="H18782"/>
      <c r="I18782"/>
      <c r="K18782"/>
      <c r="O18782"/>
      <c r="R18782"/>
      <c r="W18782" s="4"/>
      <c r="X18782" s="4"/>
      <c r="Y18782" s="4"/>
    </row>
    <row r="18783" spans="5:25">
      <c r="E18783"/>
      <c r="G18783"/>
      <c r="H18783"/>
      <c r="I18783"/>
      <c r="K18783"/>
      <c r="O18783"/>
      <c r="R18783"/>
      <c r="W18783" s="4"/>
      <c r="X18783" s="4"/>
      <c r="Y18783" s="4"/>
    </row>
    <row r="18784" spans="5:25">
      <c r="E18784"/>
      <c r="G18784"/>
      <c r="H18784"/>
      <c r="I18784"/>
      <c r="K18784"/>
      <c r="O18784"/>
      <c r="R18784"/>
      <c r="W18784" s="4"/>
      <c r="X18784" s="4"/>
      <c r="Y18784" s="4"/>
    </row>
    <row r="18785" spans="5:25">
      <c r="E18785"/>
      <c r="G18785"/>
      <c r="H18785"/>
      <c r="I18785"/>
      <c r="K18785"/>
      <c r="O18785"/>
      <c r="R18785"/>
      <c r="W18785" s="4"/>
      <c r="X18785" s="4"/>
      <c r="Y18785" s="4"/>
    </row>
    <row r="18786" spans="5:25">
      <c r="E18786"/>
      <c r="G18786"/>
      <c r="H18786"/>
      <c r="I18786"/>
      <c r="K18786"/>
      <c r="O18786"/>
      <c r="R18786"/>
      <c r="W18786" s="4"/>
      <c r="X18786" s="4"/>
      <c r="Y18786" s="4"/>
    </row>
    <row r="18787" spans="5:25">
      <c r="E18787"/>
      <c r="G18787"/>
      <c r="H18787"/>
      <c r="I18787"/>
      <c r="K18787"/>
      <c r="O18787"/>
      <c r="R18787"/>
      <c r="W18787" s="4"/>
      <c r="X18787" s="4"/>
      <c r="Y18787" s="4"/>
    </row>
    <row r="18788" spans="5:25">
      <c r="E18788"/>
      <c r="G18788"/>
      <c r="H18788"/>
      <c r="I18788"/>
      <c r="K18788"/>
      <c r="O18788"/>
      <c r="R18788"/>
      <c r="W18788" s="4"/>
      <c r="X18788" s="4"/>
      <c r="Y18788" s="4"/>
    </row>
    <row r="18789" spans="5:25">
      <c r="E18789"/>
      <c r="G18789"/>
      <c r="H18789"/>
      <c r="I18789"/>
      <c r="K18789"/>
      <c r="O18789"/>
      <c r="R18789"/>
      <c r="W18789" s="4"/>
      <c r="X18789" s="4"/>
      <c r="Y18789" s="4"/>
    </row>
    <row r="18790" spans="5:25">
      <c r="E18790"/>
      <c r="G18790"/>
      <c r="H18790"/>
      <c r="I18790"/>
      <c r="K18790"/>
      <c r="O18790"/>
      <c r="R18790"/>
      <c r="W18790" s="4"/>
      <c r="X18790" s="4"/>
      <c r="Y18790" s="4"/>
    </row>
    <row r="18791" spans="5:25">
      <c r="E18791"/>
      <c r="G18791"/>
      <c r="H18791"/>
      <c r="I18791"/>
      <c r="K18791"/>
      <c r="O18791"/>
      <c r="R18791"/>
      <c r="W18791" s="4"/>
      <c r="X18791" s="4"/>
      <c r="Y18791" s="4"/>
    </row>
    <row r="18792" spans="5:25">
      <c r="E18792"/>
      <c r="G18792"/>
      <c r="H18792"/>
      <c r="I18792"/>
      <c r="K18792"/>
      <c r="O18792"/>
      <c r="R18792"/>
      <c r="W18792" s="4"/>
      <c r="X18792" s="4"/>
      <c r="Y18792" s="4"/>
    </row>
    <row r="18793" spans="5:25">
      <c r="E18793"/>
      <c r="G18793"/>
      <c r="H18793"/>
      <c r="I18793"/>
      <c r="K18793"/>
      <c r="O18793"/>
      <c r="R18793"/>
      <c r="W18793" s="4"/>
      <c r="X18793" s="4"/>
      <c r="Y18793" s="4"/>
    </row>
    <row r="18794" spans="5:25">
      <c r="E18794"/>
      <c r="G18794"/>
      <c r="H18794"/>
      <c r="I18794"/>
      <c r="K18794"/>
      <c r="O18794"/>
      <c r="R18794"/>
      <c r="W18794" s="4"/>
      <c r="X18794" s="4"/>
      <c r="Y18794" s="4"/>
    </row>
    <row r="18795" spans="5:25">
      <c r="E18795"/>
      <c r="G18795"/>
      <c r="H18795"/>
      <c r="I18795"/>
      <c r="K18795"/>
      <c r="O18795"/>
      <c r="R18795"/>
      <c r="W18795" s="4"/>
      <c r="X18795" s="4"/>
      <c r="Y18795" s="4"/>
    </row>
    <row r="18796" spans="5:25">
      <c r="E18796"/>
      <c r="G18796"/>
      <c r="H18796"/>
      <c r="I18796"/>
      <c r="K18796"/>
      <c r="O18796"/>
      <c r="R18796"/>
      <c r="W18796" s="4"/>
      <c r="X18796" s="4"/>
      <c r="Y18796" s="4"/>
    </row>
    <row r="18797" spans="5:25">
      <c r="E18797"/>
      <c r="G18797"/>
      <c r="H18797"/>
      <c r="I18797"/>
      <c r="K18797"/>
      <c r="O18797"/>
      <c r="R18797"/>
      <c r="W18797" s="4"/>
      <c r="X18797" s="4"/>
      <c r="Y18797" s="4"/>
    </row>
    <row r="18798" spans="5:25">
      <c r="E18798"/>
      <c r="G18798"/>
      <c r="H18798"/>
      <c r="I18798"/>
      <c r="K18798"/>
      <c r="O18798"/>
      <c r="R18798"/>
      <c r="W18798" s="4"/>
      <c r="X18798" s="4"/>
      <c r="Y18798" s="4"/>
    </row>
    <row r="18799" spans="5:25">
      <c r="E18799"/>
      <c r="G18799"/>
      <c r="H18799"/>
      <c r="I18799"/>
      <c r="K18799"/>
      <c r="O18799"/>
      <c r="R18799"/>
      <c r="W18799" s="4"/>
      <c r="X18799" s="4"/>
      <c r="Y18799" s="4"/>
    </row>
    <row r="18800" spans="5:25">
      <c r="E18800"/>
      <c r="G18800"/>
      <c r="H18800"/>
      <c r="I18800"/>
      <c r="K18800"/>
      <c r="O18800"/>
      <c r="R18800"/>
      <c r="W18800" s="4"/>
      <c r="X18800" s="4"/>
      <c r="Y18800" s="4"/>
    </row>
    <row r="18801" spans="5:25">
      <c r="E18801"/>
      <c r="G18801"/>
      <c r="H18801"/>
      <c r="I18801"/>
      <c r="K18801"/>
      <c r="O18801"/>
      <c r="R18801"/>
      <c r="W18801" s="4"/>
      <c r="X18801" s="4"/>
      <c r="Y18801" s="4"/>
    </row>
    <row r="18802" spans="5:25">
      <c r="E18802"/>
      <c r="G18802"/>
      <c r="H18802"/>
      <c r="I18802"/>
      <c r="K18802"/>
      <c r="O18802"/>
      <c r="R18802"/>
      <c r="W18802" s="4"/>
      <c r="X18802" s="4"/>
      <c r="Y18802" s="4"/>
    </row>
    <row r="18803" spans="5:25">
      <c r="E18803"/>
      <c r="G18803"/>
      <c r="H18803"/>
      <c r="I18803"/>
      <c r="K18803"/>
      <c r="O18803"/>
      <c r="R18803"/>
      <c r="W18803" s="4"/>
      <c r="X18803" s="4"/>
      <c r="Y18803" s="4"/>
    </row>
    <row r="18804" spans="5:25">
      <c r="E18804"/>
      <c r="G18804"/>
      <c r="H18804"/>
      <c r="I18804"/>
      <c r="K18804"/>
      <c r="O18804"/>
      <c r="R18804"/>
      <c r="W18804" s="4"/>
      <c r="X18804" s="4"/>
      <c r="Y18804" s="4"/>
    </row>
    <row r="18805" spans="5:25">
      <c r="E18805"/>
      <c r="G18805"/>
      <c r="H18805"/>
      <c r="I18805"/>
      <c r="K18805"/>
      <c r="O18805"/>
      <c r="R18805"/>
      <c r="W18805" s="4"/>
      <c r="X18805" s="4"/>
      <c r="Y18805" s="4"/>
    </row>
    <row r="18806" spans="5:25">
      <c r="E18806"/>
      <c r="G18806"/>
      <c r="H18806"/>
      <c r="I18806"/>
      <c r="K18806"/>
      <c r="O18806"/>
      <c r="R18806"/>
      <c r="W18806" s="4"/>
      <c r="X18806" s="4"/>
      <c r="Y18806" s="4"/>
    </row>
    <row r="18807" spans="5:25">
      <c r="E18807"/>
      <c r="G18807"/>
      <c r="H18807"/>
      <c r="I18807"/>
      <c r="K18807"/>
      <c r="O18807"/>
      <c r="R18807"/>
      <c r="W18807" s="4"/>
      <c r="X18807" s="4"/>
      <c r="Y18807" s="4"/>
    </row>
    <row r="18808" spans="5:25">
      <c r="E18808"/>
      <c r="G18808"/>
      <c r="H18808"/>
      <c r="I18808"/>
      <c r="K18808"/>
      <c r="O18808"/>
      <c r="R18808"/>
      <c r="W18808" s="4"/>
      <c r="X18808" s="4"/>
      <c r="Y18808" s="4"/>
    </row>
    <row r="18809" spans="5:25">
      <c r="E18809"/>
      <c r="G18809"/>
      <c r="H18809"/>
      <c r="I18809"/>
      <c r="K18809"/>
      <c r="O18809"/>
      <c r="R18809"/>
      <c r="W18809" s="4"/>
      <c r="X18809" s="4"/>
      <c r="Y18809" s="4"/>
    </row>
    <row r="18810" spans="5:25">
      <c r="E18810"/>
      <c r="G18810"/>
      <c r="H18810"/>
      <c r="I18810"/>
      <c r="K18810"/>
      <c r="O18810"/>
      <c r="R18810"/>
      <c r="W18810" s="4"/>
      <c r="X18810" s="4"/>
      <c r="Y18810" s="4"/>
    </row>
    <row r="18811" spans="5:25">
      <c r="E18811"/>
      <c r="G18811"/>
      <c r="H18811"/>
      <c r="I18811"/>
      <c r="K18811"/>
      <c r="O18811"/>
      <c r="R18811"/>
      <c r="W18811" s="4"/>
      <c r="X18811" s="4"/>
      <c r="Y18811" s="4"/>
    </row>
    <row r="18812" spans="5:25">
      <c r="E18812"/>
      <c r="G18812"/>
      <c r="H18812"/>
      <c r="I18812"/>
      <c r="K18812"/>
      <c r="O18812"/>
      <c r="R18812"/>
      <c r="W18812" s="4"/>
      <c r="X18812" s="4"/>
      <c r="Y18812" s="4"/>
    </row>
    <row r="18813" spans="5:25">
      <c r="E18813"/>
      <c r="G18813"/>
      <c r="H18813"/>
      <c r="I18813"/>
      <c r="K18813"/>
      <c r="O18813"/>
      <c r="R18813"/>
      <c r="W18813" s="4"/>
      <c r="X18813" s="4"/>
      <c r="Y18813" s="4"/>
    </row>
    <row r="18814" spans="5:25">
      <c r="E18814"/>
      <c r="G18814"/>
      <c r="H18814"/>
      <c r="I18814"/>
      <c r="K18814"/>
      <c r="O18814"/>
      <c r="R18814"/>
      <c r="W18814" s="4"/>
      <c r="X18814" s="4"/>
      <c r="Y18814" s="4"/>
    </row>
    <row r="18815" spans="5:25">
      <c r="E18815"/>
      <c r="G18815"/>
      <c r="H18815"/>
      <c r="I18815"/>
      <c r="K18815"/>
      <c r="O18815"/>
      <c r="R18815"/>
      <c r="W18815" s="4"/>
      <c r="X18815" s="4"/>
      <c r="Y18815" s="4"/>
    </row>
    <row r="18816" spans="5:25">
      <c r="E18816"/>
      <c r="G18816"/>
      <c r="H18816"/>
      <c r="I18816"/>
      <c r="K18816"/>
      <c r="O18816"/>
      <c r="R18816"/>
      <c r="W18816" s="4"/>
      <c r="X18816" s="4"/>
      <c r="Y18816" s="4"/>
    </row>
    <row r="18817" spans="5:25">
      <c r="E18817"/>
      <c r="G18817"/>
      <c r="H18817"/>
      <c r="I18817"/>
      <c r="K18817"/>
      <c r="O18817"/>
      <c r="R18817"/>
      <c r="W18817" s="4"/>
      <c r="X18817" s="4"/>
      <c r="Y18817" s="4"/>
    </row>
    <row r="18818" spans="5:25">
      <c r="E18818"/>
      <c r="G18818"/>
      <c r="H18818"/>
      <c r="I18818"/>
      <c r="K18818"/>
      <c r="O18818"/>
      <c r="R18818"/>
      <c r="W18818" s="4"/>
      <c r="X18818" s="4"/>
      <c r="Y18818" s="4"/>
    </row>
    <row r="18819" spans="5:25">
      <c r="E18819"/>
      <c r="G18819"/>
      <c r="H18819"/>
      <c r="I18819"/>
      <c r="K18819"/>
      <c r="O18819"/>
      <c r="R18819"/>
      <c r="W18819" s="4"/>
      <c r="X18819" s="4"/>
      <c r="Y18819" s="4"/>
    </row>
    <row r="18820" spans="5:25">
      <c r="E18820"/>
      <c r="G18820"/>
      <c r="H18820"/>
      <c r="I18820"/>
      <c r="K18820"/>
      <c r="O18820"/>
      <c r="R18820"/>
      <c r="W18820" s="4"/>
      <c r="X18820" s="4"/>
      <c r="Y18820" s="4"/>
    </row>
    <row r="18821" spans="5:25">
      <c r="E18821"/>
      <c r="G18821"/>
      <c r="H18821"/>
      <c r="I18821"/>
      <c r="K18821"/>
      <c r="O18821"/>
      <c r="R18821"/>
      <c r="W18821" s="4"/>
      <c r="X18821" s="4"/>
      <c r="Y18821" s="4"/>
    </row>
    <row r="18822" spans="5:25">
      <c r="E18822"/>
      <c r="G18822"/>
      <c r="H18822"/>
      <c r="I18822"/>
      <c r="K18822"/>
      <c r="O18822"/>
      <c r="R18822"/>
      <c r="W18822" s="4"/>
      <c r="X18822" s="4"/>
      <c r="Y18822" s="4"/>
    </row>
    <row r="18823" spans="5:25">
      <c r="E18823"/>
      <c r="G18823"/>
      <c r="H18823"/>
      <c r="I18823"/>
      <c r="K18823"/>
      <c r="O18823"/>
      <c r="R18823"/>
      <c r="W18823" s="4"/>
      <c r="X18823" s="4"/>
      <c r="Y18823" s="4"/>
    </row>
    <row r="18824" spans="5:25">
      <c r="E18824"/>
      <c r="G18824"/>
      <c r="H18824"/>
      <c r="I18824"/>
      <c r="K18824"/>
      <c r="O18824"/>
      <c r="R18824"/>
      <c r="W18824" s="4"/>
      <c r="X18824" s="4"/>
      <c r="Y18824" s="4"/>
    </row>
    <row r="18825" spans="5:25">
      <c r="E18825"/>
      <c r="G18825"/>
      <c r="H18825"/>
      <c r="I18825"/>
      <c r="K18825"/>
      <c r="O18825"/>
      <c r="R18825"/>
      <c r="W18825" s="4"/>
      <c r="X18825" s="4"/>
      <c r="Y18825" s="4"/>
    </row>
    <row r="18826" spans="5:25">
      <c r="E18826"/>
      <c r="G18826"/>
      <c r="H18826"/>
      <c r="I18826"/>
      <c r="K18826"/>
      <c r="O18826"/>
      <c r="R18826"/>
      <c r="W18826" s="4"/>
      <c r="X18826" s="4"/>
      <c r="Y18826" s="4"/>
    </row>
    <row r="18827" spans="5:25">
      <c r="E18827"/>
      <c r="G18827"/>
      <c r="H18827"/>
      <c r="I18827"/>
      <c r="K18827"/>
      <c r="O18827"/>
      <c r="R18827"/>
      <c r="W18827" s="4"/>
      <c r="X18827" s="4"/>
      <c r="Y18827" s="4"/>
    </row>
    <row r="18828" spans="5:25">
      <c r="E18828"/>
      <c r="G18828"/>
      <c r="H18828"/>
      <c r="I18828"/>
      <c r="K18828"/>
      <c r="O18828"/>
      <c r="R18828"/>
      <c r="W18828" s="4"/>
      <c r="X18828" s="4"/>
      <c r="Y18828" s="4"/>
    </row>
    <row r="18829" spans="5:25">
      <c r="E18829"/>
      <c r="G18829"/>
      <c r="H18829"/>
      <c r="I18829"/>
      <c r="K18829"/>
      <c r="O18829"/>
      <c r="R18829"/>
      <c r="W18829" s="4"/>
      <c r="X18829" s="4"/>
      <c r="Y18829" s="4"/>
    </row>
    <row r="18830" spans="5:25">
      <c r="E18830"/>
      <c r="G18830"/>
      <c r="H18830"/>
      <c r="I18830"/>
      <c r="K18830"/>
      <c r="O18830"/>
      <c r="R18830"/>
      <c r="W18830" s="4"/>
      <c r="X18830" s="4"/>
      <c r="Y18830" s="4"/>
    </row>
    <row r="18831" spans="5:25">
      <c r="E18831"/>
      <c r="G18831"/>
      <c r="H18831"/>
      <c r="I18831"/>
      <c r="K18831"/>
      <c r="O18831"/>
      <c r="R18831"/>
      <c r="W18831" s="4"/>
      <c r="X18831" s="4"/>
      <c r="Y18831" s="4"/>
    </row>
    <row r="18832" spans="5:25">
      <c r="E18832"/>
      <c r="G18832"/>
      <c r="H18832"/>
      <c r="I18832"/>
      <c r="K18832"/>
      <c r="O18832"/>
      <c r="R18832"/>
      <c r="W18832" s="4"/>
      <c r="X18832" s="4"/>
      <c r="Y18832" s="4"/>
    </row>
    <row r="18833" spans="5:25">
      <c r="E18833"/>
      <c r="G18833"/>
      <c r="H18833"/>
      <c r="I18833"/>
      <c r="K18833"/>
      <c r="O18833"/>
      <c r="R18833"/>
      <c r="W18833" s="4"/>
      <c r="X18833" s="4"/>
      <c r="Y18833" s="4"/>
    </row>
    <row r="18834" spans="5:25">
      <c r="E18834"/>
      <c r="G18834"/>
      <c r="H18834"/>
      <c r="I18834"/>
      <c r="K18834"/>
      <c r="O18834"/>
      <c r="R18834"/>
      <c r="W18834" s="4"/>
      <c r="X18834" s="4"/>
      <c r="Y18834" s="4"/>
    </row>
    <row r="18835" spans="5:25">
      <c r="E18835"/>
      <c r="G18835"/>
      <c r="H18835"/>
      <c r="I18835"/>
      <c r="K18835"/>
      <c r="O18835"/>
      <c r="R18835"/>
      <c r="W18835" s="4"/>
      <c r="X18835" s="4"/>
      <c r="Y18835" s="4"/>
    </row>
    <row r="18836" spans="5:25">
      <c r="E18836"/>
      <c r="G18836"/>
      <c r="H18836"/>
      <c r="I18836"/>
      <c r="K18836"/>
      <c r="O18836"/>
      <c r="R18836"/>
      <c r="W18836" s="4"/>
      <c r="X18836" s="4"/>
      <c r="Y18836" s="4"/>
    </row>
    <row r="18837" spans="5:25">
      <c r="E18837"/>
      <c r="G18837"/>
      <c r="H18837"/>
      <c r="I18837"/>
      <c r="K18837"/>
      <c r="O18837"/>
      <c r="R18837"/>
      <c r="W18837" s="4"/>
      <c r="X18837" s="4"/>
      <c r="Y18837" s="4"/>
    </row>
    <row r="18838" spans="5:25">
      <c r="E18838"/>
      <c r="G18838"/>
      <c r="H18838"/>
      <c r="I18838"/>
      <c r="K18838"/>
      <c r="O18838"/>
      <c r="R18838"/>
      <c r="W18838" s="4"/>
      <c r="X18838" s="4"/>
      <c r="Y18838" s="4"/>
    </row>
    <row r="18839" spans="5:25">
      <c r="E18839"/>
      <c r="G18839"/>
      <c r="H18839"/>
      <c r="I18839"/>
      <c r="K18839"/>
      <c r="O18839"/>
      <c r="R18839"/>
      <c r="W18839" s="4"/>
      <c r="X18839" s="4"/>
      <c r="Y18839" s="4"/>
    </row>
    <row r="18840" spans="5:25">
      <c r="E18840"/>
      <c r="G18840"/>
      <c r="H18840"/>
      <c r="I18840"/>
      <c r="K18840"/>
      <c r="O18840"/>
      <c r="R18840"/>
      <c r="W18840" s="4"/>
      <c r="X18840" s="4"/>
      <c r="Y18840" s="4"/>
    </row>
    <row r="18841" spans="5:25">
      <c r="E18841"/>
      <c r="G18841"/>
      <c r="H18841"/>
      <c r="I18841"/>
      <c r="K18841"/>
      <c r="O18841"/>
      <c r="R18841"/>
      <c r="W18841" s="4"/>
      <c r="X18841" s="4"/>
      <c r="Y18841" s="4"/>
    </row>
    <row r="18842" spans="5:25">
      <c r="E18842"/>
      <c r="G18842"/>
      <c r="H18842"/>
      <c r="I18842"/>
      <c r="K18842"/>
      <c r="O18842"/>
      <c r="R18842"/>
      <c r="W18842" s="4"/>
      <c r="X18842" s="4"/>
      <c r="Y18842" s="4"/>
    </row>
    <row r="18843" spans="5:25">
      <c r="E18843"/>
      <c r="G18843"/>
      <c r="H18843"/>
      <c r="I18843"/>
      <c r="K18843"/>
      <c r="O18843"/>
      <c r="R18843"/>
      <c r="W18843" s="4"/>
      <c r="X18843" s="4"/>
      <c r="Y18843" s="4"/>
    </row>
    <row r="18844" spans="5:25">
      <c r="E18844"/>
      <c r="G18844"/>
      <c r="H18844"/>
      <c r="I18844"/>
      <c r="K18844"/>
      <c r="O18844"/>
      <c r="R18844"/>
      <c r="W18844" s="4"/>
      <c r="X18844" s="4"/>
      <c r="Y18844" s="4"/>
    </row>
    <row r="18845" spans="5:25">
      <c r="E18845"/>
      <c r="G18845"/>
      <c r="H18845"/>
      <c r="I18845"/>
      <c r="K18845"/>
      <c r="O18845"/>
      <c r="R18845"/>
      <c r="W18845" s="4"/>
      <c r="X18845" s="4"/>
      <c r="Y18845" s="4"/>
    </row>
    <row r="18846" spans="5:25">
      <c r="E18846"/>
      <c r="G18846"/>
      <c r="H18846"/>
      <c r="I18846"/>
      <c r="K18846"/>
      <c r="O18846"/>
      <c r="R18846"/>
      <c r="W18846" s="4"/>
      <c r="X18846" s="4"/>
      <c r="Y18846" s="4"/>
    </row>
    <row r="18847" spans="5:25">
      <c r="E18847"/>
      <c r="G18847"/>
      <c r="H18847"/>
      <c r="I18847"/>
      <c r="K18847"/>
      <c r="O18847"/>
      <c r="R18847"/>
      <c r="W18847" s="4"/>
      <c r="X18847" s="4"/>
      <c r="Y18847" s="4"/>
    </row>
    <row r="18848" spans="5:25">
      <c r="E18848"/>
      <c r="G18848"/>
      <c r="H18848"/>
      <c r="I18848"/>
      <c r="K18848"/>
      <c r="O18848"/>
      <c r="R18848"/>
      <c r="W18848" s="4"/>
      <c r="X18848" s="4"/>
      <c r="Y18848" s="4"/>
    </row>
    <row r="18849" spans="5:25">
      <c r="E18849"/>
      <c r="G18849"/>
      <c r="H18849"/>
      <c r="I18849"/>
      <c r="K18849"/>
      <c r="O18849"/>
      <c r="R18849"/>
      <c r="W18849" s="4"/>
      <c r="X18849" s="4"/>
      <c r="Y18849" s="4"/>
    </row>
    <row r="18850" spans="5:25">
      <c r="E18850"/>
      <c r="G18850"/>
      <c r="H18850"/>
      <c r="I18850"/>
      <c r="K18850"/>
      <c r="O18850"/>
      <c r="R18850"/>
      <c r="W18850" s="4"/>
      <c r="X18850" s="4"/>
      <c r="Y18850" s="4"/>
    </row>
    <row r="18851" spans="5:25">
      <c r="E18851"/>
      <c r="G18851"/>
      <c r="H18851"/>
      <c r="I18851"/>
      <c r="K18851"/>
      <c r="O18851"/>
      <c r="R18851"/>
      <c r="W18851" s="4"/>
      <c r="X18851" s="4"/>
      <c r="Y18851" s="4"/>
    </row>
    <row r="18852" spans="5:25">
      <c r="E18852"/>
      <c r="G18852"/>
      <c r="H18852"/>
      <c r="I18852"/>
      <c r="K18852"/>
      <c r="O18852"/>
      <c r="R18852"/>
      <c r="W18852" s="4"/>
      <c r="X18852" s="4"/>
      <c r="Y18852" s="4"/>
    </row>
    <row r="18853" spans="5:25">
      <c r="E18853"/>
      <c r="G18853"/>
      <c r="H18853"/>
      <c r="I18853"/>
      <c r="K18853"/>
      <c r="O18853"/>
      <c r="R18853"/>
      <c r="W18853" s="4"/>
      <c r="X18853" s="4"/>
      <c r="Y18853" s="4"/>
    </row>
    <row r="18854" spans="5:25">
      <c r="E18854"/>
      <c r="G18854"/>
      <c r="H18854"/>
      <c r="I18854"/>
      <c r="K18854"/>
      <c r="O18854"/>
      <c r="R18854"/>
      <c r="W18854" s="4"/>
      <c r="X18854" s="4"/>
      <c r="Y18854" s="4"/>
    </row>
    <row r="18855" spans="5:25">
      <c r="E18855"/>
      <c r="G18855"/>
      <c r="H18855"/>
      <c r="I18855"/>
      <c r="K18855"/>
      <c r="O18855"/>
      <c r="R18855"/>
      <c r="W18855" s="4"/>
      <c r="X18855" s="4"/>
      <c r="Y18855" s="4"/>
    </row>
    <row r="18856" spans="5:25">
      <c r="E18856"/>
      <c r="G18856"/>
      <c r="H18856"/>
      <c r="I18856"/>
      <c r="K18856"/>
      <c r="O18856"/>
      <c r="R18856"/>
      <c r="W18856" s="4"/>
      <c r="X18856" s="4"/>
      <c r="Y18856" s="4"/>
    </row>
    <row r="18857" spans="5:25">
      <c r="E18857"/>
      <c r="G18857"/>
      <c r="H18857"/>
      <c r="I18857"/>
      <c r="K18857"/>
      <c r="O18857"/>
      <c r="R18857"/>
      <c r="W18857" s="4"/>
      <c r="X18857" s="4"/>
      <c r="Y18857" s="4"/>
    </row>
    <row r="18858" spans="5:25">
      <c r="E18858"/>
      <c r="G18858"/>
      <c r="H18858"/>
      <c r="I18858"/>
      <c r="K18858"/>
      <c r="O18858"/>
      <c r="R18858"/>
      <c r="W18858" s="4"/>
      <c r="X18858" s="4"/>
      <c r="Y18858" s="4"/>
    </row>
    <row r="18859" spans="5:25">
      <c r="E18859"/>
      <c r="G18859"/>
      <c r="H18859"/>
      <c r="I18859"/>
      <c r="K18859"/>
      <c r="O18859"/>
      <c r="R18859"/>
      <c r="W18859" s="4"/>
      <c r="X18859" s="4"/>
      <c r="Y18859" s="4"/>
    </row>
    <row r="18860" spans="5:25">
      <c r="E18860"/>
      <c r="G18860"/>
      <c r="H18860"/>
      <c r="I18860"/>
      <c r="K18860"/>
      <c r="O18860"/>
      <c r="R18860"/>
      <c r="W18860" s="4"/>
      <c r="X18860" s="4"/>
      <c r="Y18860" s="4"/>
    </row>
    <row r="18861" spans="5:25">
      <c r="E18861"/>
      <c r="G18861"/>
      <c r="H18861"/>
      <c r="I18861"/>
      <c r="K18861"/>
      <c r="O18861"/>
      <c r="R18861"/>
      <c r="W18861" s="4"/>
      <c r="X18861" s="4"/>
      <c r="Y18861" s="4"/>
    </row>
    <row r="18862" spans="5:25">
      <c r="E18862"/>
      <c r="G18862"/>
      <c r="H18862"/>
      <c r="I18862"/>
      <c r="K18862"/>
      <c r="O18862"/>
      <c r="R18862"/>
      <c r="W18862" s="4"/>
      <c r="X18862" s="4"/>
      <c r="Y18862" s="4"/>
    </row>
    <row r="18863" spans="5:25">
      <c r="E18863"/>
      <c r="G18863"/>
      <c r="H18863"/>
      <c r="I18863"/>
      <c r="K18863"/>
      <c r="O18863"/>
      <c r="R18863"/>
      <c r="W18863" s="4"/>
      <c r="X18863" s="4"/>
      <c r="Y18863" s="4"/>
    </row>
    <row r="18864" spans="5:25">
      <c r="E18864"/>
      <c r="G18864"/>
      <c r="H18864"/>
      <c r="I18864"/>
      <c r="K18864"/>
      <c r="O18864"/>
      <c r="R18864"/>
      <c r="W18864" s="4"/>
      <c r="X18864" s="4"/>
      <c r="Y18864" s="4"/>
    </row>
    <row r="18865" spans="5:25">
      <c r="E18865"/>
      <c r="G18865"/>
      <c r="H18865"/>
      <c r="I18865"/>
      <c r="K18865"/>
      <c r="O18865"/>
      <c r="R18865"/>
      <c r="W18865" s="4"/>
      <c r="X18865" s="4"/>
      <c r="Y18865" s="4"/>
    </row>
    <row r="18866" spans="5:25">
      <c r="E18866"/>
      <c r="G18866"/>
      <c r="H18866"/>
      <c r="I18866"/>
      <c r="K18866"/>
      <c r="O18866"/>
      <c r="R18866"/>
      <c r="W18866" s="4"/>
      <c r="X18866" s="4"/>
      <c r="Y18866" s="4"/>
    </row>
    <row r="18867" spans="5:25">
      <c r="E18867"/>
      <c r="G18867"/>
      <c r="H18867"/>
      <c r="I18867"/>
      <c r="K18867"/>
      <c r="O18867"/>
      <c r="R18867"/>
      <c r="W18867" s="4"/>
      <c r="X18867" s="4"/>
      <c r="Y18867" s="4"/>
    </row>
    <row r="18868" spans="5:25">
      <c r="E18868"/>
      <c r="G18868"/>
      <c r="H18868"/>
      <c r="I18868"/>
      <c r="K18868"/>
      <c r="O18868"/>
      <c r="R18868"/>
      <c r="W18868" s="4"/>
      <c r="X18868" s="4"/>
      <c r="Y18868" s="4"/>
    </row>
    <row r="18869" spans="5:25">
      <c r="E18869"/>
      <c r="G18869"/>
      <c r="H18869"/>
      <c r="I18869"/>
      <c r="K18869"/>
      <c r="O18869"/>
      <c r="R18869"/>
      <c r="W18869" s="4"/>
      <c r="X18869" s="4"/>
      <c r="Y18869" s="4"/>
    </row>
    <row r="18870" spans="5:25">
      <c r="E18870"/>
      <c r="G18870"/>
      <c r="H18870"/>
      <c r="I18870"/>
      <c r="K18870"/>
      <c r="O18870"/>
      <c r="R18870"/>
      <c r="W18870" s="4"/>
      <c r="X18870" s="4"/>
      <c r="Y18870" s="4"/>
    </row>
    <row r="18871" spans="5:25">
      <c r="E18871"/>
      <c r="G18871"/>
      <c r="H18871"/>
      <c r="I18871"/>
      <c r="K18871"/>
      <c r="O18871"/>
      <c r="R18871"/>
      <c r="W18871" s="4"/>
      <c r="X18871" s="4"/>
      <c r="Y18871" s="4"/>
    </row>
    <row r="18872" spans="5:25">
      <c r="E18872"/>
      <c r="G18872"/>
      <c r="H18872"/>
      <c r="I18872"/>
      <c r="K18872"/>
      <c r="O18872"/>
      <c r="R18872"/>
      <c r="W18872" s="4"/>
      <c r="X18872" s="4"/>
      <c r="Y18872" s="4"/>
    </row>
    <row r="18873" spans="5:25">
      <c r="E18873"/>
      <c r="G18873"/>
      <c r="H18873"/>
      <c r="I18873"/>
      <c r="K18873"/>
      <c r="O18873"/>
      <c r="R18873"/>
      <c r="W18873" s="4"/>
      <c r="X18873" s="4"/>
      <c r="Y18873" s="4"/>
    </row>
    <row r="18874" spans="5:25">
      <c r="E18874"/>
      <c r="G18874"/>
      <c r="H18874"/>
      <c r="I18874"/>
      <c r="K18874"/>
      <c r="O18874"/>
      <c r="R18874"/>
      <c r="W18874" s="4"/>
      <c r="X18874" s="4"/>
      <c r="Y18874" s="4"/>
    </row>
    <row r="18875" spans="5:25">
      <c r="E18875"/>
      <c r="G18875"/>
      <c r="H18875"/>
      <c r="I18875"/>
      <c r="K18875"/>
      <c r="O18875"/>
      <c r="R18875"/>
      <c r="W18875" s="4"/>
      <c r="X18875" s="4"/>
      <c r="Y18875" s="4"/>
    </row>
    <row r="18876" spans="5:25">
      <c r="E18876"/>
      <c r="G18876"/>
      <c r="H18876"/>
      <c r="I18876"/>
      <c r="K18876"/>
      <c r="O18876"/>
      <c r="R18876"/>
      <c r="W18876" s="4"/>
      <c r="X18876" s="4"/>
      <c r="Y18876" s="4"/>
    </row>
    <row r="18877" spans="5:25">
      <c r="E18877"/>
      <c r="G18877"/>
      <c r="H18877"/>
      <c r="I18877"/>
      <c r="K18877"/>
      <c r="O18877"/>
      <c r="R18877"/>
      <c r="W18877" s="4"/>
      <c r="X18877" s="4"/>
      <c r="Y18877" s="4"/>
    </row>
    <row r="18878" spans="5:25">
      <c r="E18878"/>
      <c r="G18878"/>
      <c r="H18878"/>
      <c r="I18878"/>
      <c r="K18878"/>
      <c r="O18878"/>
      <c r="R18878"/>
      <c r="W18878" s="4"/>
      <c r="X18878" s="4"/>
      <c r="Y18878" s="4"/>
    </row>
    <row r="18879" spans="5:25">
      <c r="E18879"/>
      <c r="G18879"/>
      <c r="H18879"/>
      <c r="I18879"/>
      <c r="K18879"/>
      <c r="O18879"/>
      <c r="R18879"/>
      <c r="W18879" s="4"/>
      <c r="X18879" s="4"/>
      <c r="Y18879" s="4"/>
    </row>
    <row r="18880" spans="5:25">
      <c r="E18880"/>
      <c r="G18880"/>
      <c r="H18880"/>
      <c r="I18880"/>
      <c r="K18880"/>
      <c r="O18880"/>
      <c r="R18880"/>
      <c r="W18880" s="4"/>
      <c r="X18880" s="4"/>
      <c r="Y18880" s="4"/>
    </row>
    <row r="18881" spans="5:25">
      <c r="E18881"/>
      <c r="G18881"/>
      <c r="H18881"/>
      <c r="I18881"/>
      <c r="K18881"/>
      <c r="O18881"/>
      <c r="R18881"/>
      <c r="W18881" s="4"/>
      <c r="X18881" s="4"/>
      <c r="Y18881" s="4"/>
    </row>
    <row r="18882" spans="5:25">
      <c r="E18882"/>
      <c r="G18882"/>
      <c r="H18882"/>
      <c r="I18882"/>
      <c r="K18882"/>
      <c r="O18882"/>
      <c r="R18882"/>
      <c r="W18882" s="4"/>
      <c r="X18882" s="4"/>
      <c r="Y18882" s="4"/>
    </row>
    <row r="18883" spans="5:25">
      <c r="E18883"/>
      <c r="G18883"/>
      <c r="H18883"/>
      <c r="I18883"/>
      <c r="K18883"/>
      <c r="O18883"/>
      <c r="R18883"/>
      <c r="W18883" s="4"/>
      <c r="X18883" s="4"/>
      <c r="Y18883" s="4"/>
    </row>
    <row r="18884" spans="5:25">
      <c r="E18884"/>
      <c r="G18884"/>
      <c r="H18884"/>
      <c r="I18884"/>
      <c r="K18884"/>
      <c r="O18884"/>
      <c r="R18884"/>
      <c r="W18884" s="4"/>
      <c r="X18884" s="4"/>
      <c r="Y18884" s="4"/>
    </row>
    <row r="18885" spans="5:25">
      <c r="E18885"/>
      <c r="G18885"/>
      <c r="H18885"/>
      <c r="I18885"/>
      <c r="K18885"/>
      <c r="O18885"/>
      <c r="R18885"/>
      <c r="W18885" s="4"/>
      <c r="X18885" s="4"/>
      <c r="Y18885" s="4"/>
    </row>
    <row r="18886" spans="5:25">
      <c r="E18886"/>
      <c r="G18886"/>
      <c r="H18886"/>
      <c r="I18886"/>
      <c r="K18886"/>
      <c r="O18886"/>
      <c r="R18886"/>
      <c r="W18886" s="4"/>
      <c r="X18886" s="4"/>
      <c r="Y18886" s="4"/>
    </row>
    <row r="18887" spans="5:25">
      <c r="E18887"/>
      <c r="G18887"/>
      <c r="H18887"/>
      <c r="I18887"/>
      <c r="K18887"/>
      <c r="O18887"/>
      <c r="R18887"/>
      <c r="W18887" s="4"/>
      <c r="X18887" s="4"/>
      <c r="Y18887" s="4"/>
    </row>
    <row r="18888" spans="5:25">
      <c r="E18888"/>
      <c r="G18888"/>
      <c r="H18888"/>
      <c r="I18888"/>
      <c r="K18888"/>
      <c r="O18888"/>
      <c r="R18888"/>
      <c r="W18888" s="4"/>
      <c r="X18888" s="4"/>
      <c r="Y18888" s="4"/>
    </row>
    <row r="18889" spans="5:25">
      <c r="E18889"/>
      <c r="G18889"/>
      <c r="H18889"/>
      <c r="I18889"/>
      <c r="K18889"/>
      <c r="O18889"/>
      <c r="R18889"/>
      <c r="W18889" s="4"/>
      <c r="X18889" s="4"/>
      <c r="Y18889" s="4"/>
    </row>
    <row r="18890" spans="5:25">
      <c r="E18890"/>
      <c r="G18890"/>
      <c r="H18890"/>
      <c r="I18890"/>
      <c r="K18890"/>
      <c r="O18890"/>
      <c r="R18890"/>
      <c r="W18890" s="4"/>
      <c r="X18890" s="4"/>
      <c r="Y18890" s="4"/>
    </row>
    <row r="18891" spans="5:25">
      <c r="E18891"/>
      <c r="G18891"/>
      <c r="H18891"/>
      <c r="I18891"/>
      <c r="K18891"/>
      <c r="O18891"/>
      <c r="R18891"/>
      <c r="W18891" s="4"/>
      <c r="X18891" s="4"/>
      <c r="Y18891" s="4"/>
    </row>
    <row r="18892" spans="5:25">
      <c r="E18892"/>
      <c r="G18892"/>
      <c r="H18892"/>
      <c r="I18892"/>
      <c r="K18892"/>
      <c r="O18892"/>
      <c r="R18892"/>
      <c r="W18892" s="4"/>
      <c r="X18892" s="4"/>
      <c r="Y18892" s="4"/>
    </row>
    <row r="18893" spans="5:25">
      <c r="E18893"/>
      <c r="G18893"/>
      <c r="H18893"/>
      <c r="I18893"/>
      <c r="K18893"/>
      <c r="O18893"/>
      <c r="R18893"/>
      <c r="W18893" s="4"/>
      <c r="X18893" s="4"/>
      <c r="Y18893" s="4"/>
    </row>
    <row r="18894" spans="5:25">
      <c r="E18894"/>
      <c r="G18894"/>
      <c r="H18894"/>
      <c r="I18894"/>
      <c r="K18894"/>
      <c r="O18894"/>
      <c r="R18894"/>
      <c r="W18894" s="4"/>
      <c r="X18894" s="4"/>
      <c r="Y18894" s="4"/>
    </row>
    <row r="18895" spans="5:25">
      <c r="E18895"/>
      <c r="G18895"/>
      <c r="H18895"/>
      <c r="I18895"/>
      <c r="K18895"/>
      <c r="O18895"/>
      <c r="R18895"/>
      <c r="W18895" s="4"/>
      <c r="X18895" s="4"/>
      <c r="Y18895" s="4"/>
    </row>
    <row r="18896" spans="5:25">
      <c r="E18896"/>
      <c r="G18896"/>
      <c r="H18896"/>
      <c r="I18896"/>
      <c r="K18896"/>
      <c r="O18896"/>
      <c r="R18896"/>
      <c r="W18896" s="4"/>
      <c r="X18896" s="4"/>
      <c r="Y18896" s="4"/>
    </row>
    <row r="18897" spans="5:25">
      <c r="E18897"/>
      <c r="G18897"/>
      <c r="H18897"/>
      <c r="I18897"/>
      <c r="K18897"/>
      <c r="O18897"/>
      <c r="R18897"/>
      <c r="W18897" s="4"/>
      <c r="X18897" s="4"/>
      <c r="Y18897" s="4"/>
    </row>
    <row r="18898" spans="5:25">
      <c r="E18898"/>
      <c r="G18898"/>
      <c r="H18898"/>
      <c r="I18898"/>
      <c r="K18898"/>
      <c r="O18898"/>
      <c r="R18898"/>
      <c r="W18898" s="4"/>
      <c r="X18898" s="4"/>
      <c r="Y18898" s="4"/>
    </row>
    <row r="18899" spans="5:25">
      <c r="E18899"/>
      <c r="G18899"/>
      <c r="H18899"/>
      <c r="I18899"/>
      <c r="K18899"/>
      <c r="O18899"/>
      <c r="R18899"/>
      <c r="W18899" s="4"/>
      <c r="X18899" s="4"/>
      <c r="Y18899" s="4"/>
    </row>
    <row r="18900" spans="5:25">
      <c r="E18900"/>
      <c r="G18900"/>
      <c r="H18900"/>
      <c r="I18900"/>
      <c r="K18900"/>
      <c r="O18900"/>
      <c r="R18900"/>
      <c r="W18900" s="4"/>
      <c r="X18900" s="4"/>
      <c r="Y18900" s="4"/>
    </row>
    <row r="18901" spans="5:25">
      <c r="E18901"/>
      <c r="G18901"/>
      <c r="H18901"/>
      <c r="I18901"/>
      <c r="K18901"/>
      <c r="O18901"/>
      <c r="R18901"/>
      <c r="W18901" s="4"/>
      <c r="X18901" s="4"/>
      <c r="Y18901" s="4"/>
    </row>
    <row r="18902" spans="5:25">
      <c r="E18902"/>
      <c r="G18902"/>
      <c r="H18902"/>
      <c r="I18902"/>
      <c r="K18902"/>
      <c r="O18902"/>
      <c r="R18902"/>
      <c r="W18902" s="4"/>
      <c r="X18902" s="4"/>
      <c r="Y18902" s="4"/>
    </row>
    <row r="18903" spans="5:25">
      <c r="E18903"/>
      <c r="G18903"/>
      <c r="H18903"/>
      <c r="I18903"/>
      <c r="K18903"/>
      <c r="O18903"/>
      <c r="R18903"/>
      <c r="W18903" s="4"/>
      <c r="X18903" s="4"/>
      <c r="Y18903" s="4"/>
    </row>
    <row r="18904" spans="5:25">
      <c r="E18904"/>
      <c r="G18904"/>
      <c r="H18904"/>
      <c r="I18904"/>
      <c r="K18904"/>
      <c r="O18904"/>
      <c r="R18904"/>
      <c r="W18904" s="4"/>
      <c r="X18904" s="4"/>
      <c r="Y18904" s="4"/>
    </row>
    <row r="18905" spans="5:25">
      <c r="E18905"/>
      <c r="G18905"/>
      <c r="H18905"/>
      <c r="I18905"/>
      <c r="K18905"/>
      <c r="O18905"/>
      <c r="R18905"/>
      <c r="W18905" s="4"/>
      <c r="X18905" s="4"/>
      <c r="Y18905" s="4"/>
    </row>
    <row r="18906" spans="5:25">
      <c r="E18906"/>
      <c r="G18906"/>
      <c r="H18906"/>
      <c r="I18906"/>
      <c r="K18906"/>
      <c r="O18906"/>
      <c r="R18906"/>
      <c r="W18906" s="4"/>
      <c r="X18906" s="4"/>
      <c r="Y18906" s="4"/>
    </row>
    <row r="18907" spans="5:25">
      <c r="E18907"/>
      <c r="G18907"/>
      <c r="H18907"/>
      <c r="I18907"/>
      <c r="K18907"/>
      <c r="O18907"/>
      <c r="R18907"/>
      <c r="W18907" s="4"/>
      <c r="X18907" s="4"/>
      <c r="Y18907" s="4"/>
    </row>
    <row r="18908" spans="5:25">
      <c r="E18908"/>
      <c r="G18908"/>
      <c r="H18908"/>
      <c r="I18908"/>
      <c r="K18908"/>
      <c r="O18908"/>
      <c r="R18908"/>
      <c r="W18908" s="4"/>
      <c r="X18908" s="4"/>
      <c r="Y18908" s="4"/>
    </row>
    <row r="18909" spans="5:25">
      <c r="E18909"/>
      <c r="G18909"/>
      <c r="H18909"/>
      <c r="I18909"/>
      <c r="K18909"/>
      <c r="O18909"/>
      <c r="R18909"/>
      <c r="W18909" s="4"/>
      <c r="X18909" s="4"/>
      <c r="Y18909" s="4"/>
    </row>
    <row r="18910" spans="5:25">
      <c r="E18910"/>
      <c r="G18910"/>
      <c r="H18910"/>
      <c r="I18910"/>
      <c r="K18910"/>
      <c r="O18910"/>
      <c r="R18910"/>
      <c r="W18910" s="4"/>
      <c r="X18910" s="4"/>
      <c r="Y18910" s="4"/>
    </row>
    <row r="18911" spans="5:25">
      <c r="E18911"/>
      <c r="G18911"/>
      <c r="H18911"/>
      <c r="I18911"/>
      <c r="K18911"/>
      <c r="O18911"/>
      <c r="R18911"/>
      <c r="W18911" s="4"/>
      <c r="X18911" s="4"/>
      <c r="Y18911" s="4"/>
    </row>
    <row r="18912" spans="5:25">
      <c r="E18912"/>
      <c r="G18912"/>
      <c r="H18912"/>
      <c r="I18912"/>
      <c r="K18912"/>
      <c r="O18912"/>
      <c r="R18912"/>
      <c r="W18912" s="4"/>
      <c r="X18912" s="4"/>
      <c r="Y18912" s="4"/>
    </row>
    <row r="18913" spans="5:25">
      <c r="E18913"/>
      <c r="G18913"/>
      <c r="H18913"/>
      <c r="I18913"/>
      <c r="K18913"/>
      <c r="O18913"/>
      <c r="R18913"/>
      <c r="W18913" s="4"/>
      <c r="X18913" s="4"/>
      <c r="Y18913" s="4"/>
    </row>
    <row r="18914" spans="5:25">
      <c r="E18914"/>
      <c r="G18914"/>
      <c r="H18914"/>
      <c r="I18914"/>
      <c r="K18914"/>
      <c r="O18914"/>
      <c r="R18914"/>
      <c r="W18914" s="4"/>
      <c r="X18914" s="4"/>
      <c r="Y18914" s="4"/>
    </row>
    <row r="18915" spans="5:25">
      <c r="E18915"/>
      <c r="G18915"/>
      <c r="H18915"/>
      <c r="I18915"/>
      <c r="K18915"/>
      <c r="O18915"/>
      <c r="R18915"/>
      <c r="W18915" s="4"/>
      <c r="X18915" s="4"/>
      <c r="Y18915" s="4"/>
    </row>
    <row r="18916" spans="5:25">
      <c r="E18916"/>
      <c r="G18916"/>
      <c r="H18916"/>
      <c r="I18916"/>
      <c r="K18916"/>
      <c r="O18916"/>
      <c r="R18916"/>
      <c r="W18916" s="4"/>
      <c r="X18916" s="4"/>
      <c r="Y18916" s="4"/>
    </row>
    <row r="18917" spans="5:25">
      <c r="E18917"/>
      <c r="G18917"/>
      <c r="H18917"/>
      <c r="I18917"/>
      <c r="K18917"/>
      <c r="O18917"/>
      <c r="R18917"/>
      <c r="W18917" s="4"/>
      <c r="X18917" s="4"/>
      <c r="Y18917" s="4"/>
    </row>
    <row r="18918" spans="5:25">
      <c r="E18918"/>
      <c r="G18918"/>
      <c r="H18918"/>
      <c r="I18918"/>
      <c r="K18918"/>
      <c r="O18918"/>
      <c r="R18918"/>
      <c r="W18918" s="4"/>
      <c r="X18918" s="4"/>
      <c r="Y18918" s="4"/>
    </row>
    <row r="18919" spans="5:25">
      <c r="E18919"/>
      <c r="G18919"/>
      <c r="H18919"/>
      <c r="I18919"/>
      <c r="K18919"/>
      <c r="O18919"/>
      <c r="R18919"/>
      <c r="W18919" s="4"/>
      <c r="X18919" s="4"/>
      <c r="Y18919" s="4"/>
    </row>
    <row r="18920" spans="5:25">
      <c r="E18920"/>
      <c r="G18920"/>
      <c r="H18920"/>
      <c r="I18920"/>
      <c r="K18920"/>
      <c r="O18920"/>
      <c r="R18920"/>
      <c r="W18920" s="4"/>
      <c r="X18920" s="4"/>
      <c r="Y18920" s="4"/>
    </row>
    <row r="18921" spans="5:25">
      <c r="E18921"/>
      <c r="G18921"/>
      <c r="H18921"/>
      <c r="I18921"/>
      <c r="K18921"/>
      <c r="O18921"/>
      <c r="R18921"/>
      <c r="W18921" s="4"/>
      <c r="X18921" s="4"/>
      <c r="Y18921" s="4"/>
    </row>
    <row r="18922" spans="5:25">
      <c r="E18922"/>
      <c r="G18922"/>
      <c r="H18922"/>
      <c r="I18922"/>
      <c r="K18922"/>
      <c r="O18922"/>
      <c r="R18922"/>
      <c r="W18922" s="4"/>
      <c r="X18922" s="4"/>
      <c r="Y18922" s="4"/>
    </row>
    <row r="18923" spans="5:25">
      <c r="E18923"/>
      <c r="G18923"/>
      <c r="H18923"/>
      <c r="I18923"/>
      <c r="K18923"/>
      <c r="O18923"/>
      <c r="R18923"/>
      <c r="W18923" s="4"/>
      <c r="X18923" s="4"/>
      <c r="Y18923" s="4"/>
    </row>
    <row r="18924" spans="5:25">
      <c r="E18924"/>
      <c r="G18924"/>
      <c r="H18924"/>
      <c r="I18924"/>
      <c r="K18924"/>
      <c r="O18924"/>
      <c r="R18924"/>
      <c r="W18924" s="4"/>
      <c r="X18924" s="4"/>
      <c r="Y18924" s="4"/>
    </row>
    <row r="18925" spans="5:25">
      <c r="E18925"/>
      <c r="G18925"/>
      <c r="H18925"/>
      <c r="I18925"/>
      <c r="K18925"/>
      <c r="O18925"/>
      <c r="R18925"/>
      <c r="W18925" s="4"/>
      <c r="X18925" s="4"/>
      <c r="Y18925" s="4"/>
    </row>
    <row r="18926" spans="5:25">
      <c r="E18926"/>
      <c r="G18926"/>
      <c r="H18926"/>
      <c r="I18926"/>
      <c r="K18926"/>
      <c r="O18926"/>
      <c r="R18926"/>
      <c r="W18926" s="4"/>
      <c r="X18926" s="4"/>
      <c r="Y18926" s="4"/>
    </row>
    <row r="18927" spans="5:25">
      <c r="E18927"/>
      <c r="G18927"/>
      <c r="H18927"/>
      <c r="I18927"/>
      <c r="K18927"/>
      <c r="O18927"/>
      <c r="R18927"/>
      <c r="W18927" s="4"/>
      <c r="X18927" s="4"/>
      <c r="Y18927" s="4"/>
    </row>
    <row r="18928" spans="5:25">
      <c r="E18928"/>
      <c r="G18928"/>
      <c r="H18928"/>
      <c r="I18928"/>
      <c r="K18928"/>
      <c r="O18928"/>
      <c r="R18928"/>
      <c r="W18928" s="4"/>
      <c r="X18928" s="4"/>
      <c r="Y18928" s="4"/>
    </row>
    <row r="18929" spans="5:25">
      <c r="E18929"/>
      <c r="G18929"/>
      <c r="H18929"/>
      <c r="I18929"/>
      <c r="K18929"/>
      <c r="O18929"/>
      <c r="R18929"/>
      <c r="W18929" s="4"/>
      <c r="X18929" s="4"/>
      <c r="Y18929" s="4"/>
    </row>
    <row r="18930" spans="5:25">
      <c r="E18930"/>
      <c r="G18930"/>
      <c r="H18930"/>
      <c r="I18930"/>
      <c r="K18930"/>
      <c r="O18930"/>
      <c r="R18930"/>
      <c r="W18930" s="4"/>
      <c r="X18930" s="4"/>
      <c r="Y18930" s="4"/>
    </row>
    <row r="18931" spans="5:25">
      <c r="E18931"/>
      <c r="G18931"/>
      <c r="H18931"/>
      <c r="I18931"/>
      <c r="K18931"/>
      <c r="O18931"/>
      <c r="R18931"/>
      <c r="W18931" s="4"/>
      <c r="X18931" s="4"/>
      <c r="Y18931" s="4"/>
    </row>
    <row r="18932" spans="5:25">
      <c r="E18932"/>
      <c r="G18932"/>
      <c r="H18932"/>
      <c r="I18932"/>
      <c r="K18932"/>
      <c r="O18932"/>
      <c r="R18932"/>
      <c r="W18932" s="4"/>
      <c r="X18932" s="4"/>
      <c r="Y18932" s="4"/>
    </row>
    <row r="18933" spans="5:25">
      <c r="E18933"/>
      <c r="G18933"/>
      <c r="H18933"/>
      <c r="I18933"/>
      <c r="K18933"/>
      <c r="O18933"/>
      <c r="R18933"/>
      <c r="W18933" s="4"/>
      <c r="X18933" s="4"/>
      <c r="Y18933" s="4"/>
    </row>
    <row r="18934" spans="5:25">
      <c r="E18934"/>
      <c r="G18934"/>
      <c r="H18934"/>
      <c r="I18934"/>
      <c r="K18934"/>
      <c r="O18934"/>
      <c r="R18934"/>
      <c r="W18934" s="4"/>
      <c r="X18934" s="4"/>
      <c r="Y18934" s="4"/>
    </row>
    <row r="18935" spans="5:25">
      <c r="E18935"/>
      <c r="G18935"/>
      <c r="H18935"/>
      <c r="I18935"/>
      <c r="K18935"/>
      <c r="O18935"/>
      <c r="R18935"/>
      <c r="W18935" s="4"/>
      <c r="X18935" s="4"/>
      <c r="Y18935" s="4"/>
    </row>
    <row r="18936" spans="5:25">
      <c r="E18936"/>
      <c r="G18936"/>
      <c r="H18936"/>
      <c r="I18936"/>
      <c r="K18936"/>
      <c r="O18936"/>
      <c r="R18936"/>
      <c r="W18936" s="4"/>
      <c r="X18936" s="4"/>
      <c r="Y18936" s="4"/>
    </row>
    <row r="18937" spans="5:25">
      <c r="E18937"/>
      <c r="G18937"/>
      <c r="H18937"/>
      <c r="I18937"/>
      <c r="K18937"/>
      <c r="O18937"/>
      <c r="R18937"/>
      <c r="W18937" s="4"/>
      <c r="X18937" s="4"/>
      <c r="Y18937" s="4"/>
    </row>
    <row r="18938" spans="5:25">
      <c r="E18938"/>
      <c r="G18938"/>
      <c r="H18938"/>
      <c r="I18938"/>
      <c r="K18938"/>
      <c r="O18938"/>
      <c r="R18938"/>
      <c r="W18938" s="4"/>
      <c r="X18938" s="4"/>
      <c r="Y18938" s="4"/>
    </row>
    <row r="18939" spans="5:25">
      <c r="E18939"/>
      <c r="G18939"/>
      <c r="H18939"/>
      <c r="I18939"/>
      <c r="K18939"/>
      <c r="O18939"/>
      <c r="R18939"/>
      <c r="W18939" s="4"/>
      <c r="X18939" s="4"/>
      <c r="Y18939" s="4"/>
    </row>
    <row r="18940" spans="5:25">
      <c r="E18940"/>
      <c r="G18940"/>
      <c r="H18940"/>
      <c r="I18940"/>
      <c r="K18940"/>
      <c r="O18940"/>
      <c r="R18940"/>
      <c r="W18940" s="4"/>
      <c r="X18940" s="4"/>
      <c r="Y18940" s="4"/>
    </row>
    <row r="18941" spans="5:25">
      <c r="E18941"/>
      <c r="G18941"/>
      <c r="H18941"/>
      <c r="I18941"/>
      <c r="K18941"/>
      <c r="O18941"/>
      <c r="R18941"/>
      <c r="W18941" s="4"/>
      <c r="X18941" s="4"/>
      <c r="Y18941" s="4"/>
    </row>
    <row r="18942" spans="5:25">
      <c r="E18942"/>
      <c r="G18942"/>
      <c r="H18942"/>
      <c r="I18942"/>
      <c r="K18942"/>
      <c r="O18942"/>
      <c r="R18942"/>
      <c r="W18942" s="4"/>
      <c r="X18942" s="4"/>
      <c r="Y18942" s="4"/>
    </row>
    <row r="18943" spans="5:25">
      <c r="E18943"/>
      <c r="G18943"/>
      <c r="H18943"/>
      <c r="I18943"/>
      <c r="K18943"/>
      <c r="O18943"/>
      <c r="R18943"/>
      <c r="W18943" s="4"/>
      <c r="X18943" s="4"/>
      <c r="Y18943" s="4"/>
    </row>
    <row r="18944" spans="5:25">
      <c r="E18944"/>
      <c r="G18944"/>
      <c r="H18944"/>
      <c r="I18944"/>
      <c r="K18944"/>
      <c r="O18944"/>
      <c r="R18944"/>
      <c r="W18944" s="4"/>
      <c r="X18944" s="4"/>
      <c r="Y18944" s="4"/>
    </row>
    <row r="18945" spans="5:25">
      <c r="E18945"/>
      <c r="G18945"/>
      <c r="H18945"/>
      <c r="I18945"/>
      <c r="K18945"/>
      <c r="O18945"/>
      <c r="R18945"/>
      <c r="W18945" s="4"/>
      <c r="X18945" s="4"/>
      <c r="Y18945" s="4"/>
    </row>
    <row r="18946" spans="5:25">
      <c r="E18946"/>
      <c r="G18946"/>
      <c r="H18946"/>
      <c r="I18946"/>
      <c r="K18946"/>
      <c r="O18946"/>
      <c r="R18946"/>
      <c r="W18946" s="4"/>
      <c r="X18946" s="4"/>
      <c r="Y18946" s="4"/>
    </row>
    <row r="18947" spans="5:25">
      <c r="E18947"/>
      <c r="G18947"/>
      <c r="H18947"/>
      <c r="I18947"/>
      <c r="K18947"/>
      <c r="O18947"/>
      <c r="R18947"/>
      <c r="W18947" s="4"/>
      <c r="X18947" s="4"/>
      <c r="Y18947" s="4"/>
    </row>
    <row r="18948" spans="5:25">
      <c r="E18948"/>
      <c r="G18948"/>
      <c r="H18948"/>
      <c r="I18948"/>
      <c r="K18948"/>
      <c r="O18948"/>
      <c r="R18948"/>
      <c r="W18948" s="4"/>
      <c r="X18948" s="4"/>
      <c r="Y18948" s="4"/>
    </row>
    <row r="18949" spans="5:25">
      <c r="E18949"/>
      <c r="G18949"/>
      <c r="H18949"/>
      <c r="I18949"/>
      <c r="K18949"/>
      <c r="O18949"/>
      <c r="R18949"/>
      <c r="W18949" s="4"/>
      <c r="X18949" s="4"/>
      <c r="Y18949" s="4"/>
    </row>
    <row r="18950" spans="5:25">
      <c r="E18950"/>
      <c r="G18950"/>
      <c r="H18950"/>
      <c r="I18950"/>
      <c r="K18950"/>
      <c r="O18950"/>
      <c r="R18950"/>
      <c r="W18950" s="4"/>
      <c r="X18950" s="4"/>
      <c r="Y18950" s="4"/>
    </row>
    <row r="18951" spans="5:25">
      <c r="E18951"/>
      <c r="G18951"/>
      <c r="H18951"/>
      <c r="I18951"/>
      <c r="K18951"/>
      <c r="O18951"/>
      <c r="R18951"/>
      <c r="W18951" s="4"/>
      <c r="X18951" s="4"/>
      <c r="Y18951" s="4"/>
    </row>
    <row r="18952" spans="5:25">
      <c r="E18952"/>
      <c r="G18952"/>
      <c r="H18952"/>
      <c r="I18952"/>
      <c r="K18952"/>
      <c r="O18952"/>
      <c r="R18952"/>
      <c r="W18952" s="4"/>
      <c r="X18952" s="4"/>
      <c r="Y18952" s="4"/>
    </row>
    <row r="18953" spans="5:25">
      <c r="E18953"/>
      <c r="G18953"/>
      <c r="H18953"/>
      <c r="I18953"/>
      <c r="K18953"/>
      <c r="O18953"/>
      <c r="R18953"/>
      <c r="W18953" s="4"/>
      <c r="X18953" s="4"/>
      <c r="Y18953" s="4"/>
    </row>
    <row r="18954" spans="5:25">
      <c r="E18954"/>
      <c r="G18954"/>
      <c r="H18954"/>
      <c r="I18954"/>
      <c r="K18954"/>
      <c r="O18954"/>
      <c r="R18954"/>
      <c r="W18954" s="4"/>
      <c r="X18954" s="4"/>
      <c r="Y18954" s="4"/>
    </row>
    <row r="18955" spans="5:25">
      <c r="E18955"/>
      <c r="G18955"/>
      <c r="H18955"/>
      <c r="I18955"/>
      <c r="K18955"/>
      <c r="O18955"/>
      <c r="R18955"/>
      <c r="W18955" s="4"/>
      <c r="X18955" s="4"/>
      <c r="Y18955" s="4"/>
    </row>
    <row r="18956" spans="5:25">
      <c r="E18956"/>
      <c r="G18956"/>
      <c r="H18956"/>
      <c r="I18956"/>
      <c r="K18956"/>
      <c r="O18956"/>
      <c r="R18956"/>
      <c r="W18956" s="4"/>
      <c r="X18956" s="4"/>
      <c r="Y18956" s="4"/>
    </row>
    <row r="18957" spans="5:25">
      <c r="E18957"/>
      <c r="G18957"/>
      <c r="H18957"/>
      <c r="I18957"/>
      <c r="K18957"/>
      <c r="O18957"/>
      <c r="R18957"/>
      <c r="W18957" s="4"/>
      <c r="X18957" s="4"/>
      <c r="Y18957" s="4"/>
    </row>
    <row r="18958" spans="5:25">
      <c r="E18958"/>
      <c r="G18958"/>
      <c r="H18958"/>
      <c r="I18958"/>
      <c r="K18958"/>
      <c r="O18958"/>
      <c r="R18958"/>
      <c r="W18958" s="4"/>
      <c r="X18958" s="4"/>
      <c r="Y18958" s="4"/>
    </row>
    <row r="18959" spans="5:25">
      <c r="E18959"/>
      <c r="G18959"/>
      <c r="H18959"/>
      <c r="I18959"/>
      <c r="K18959"/>
      <c r="O18959"/>
      <c r="R18959"/>
      <c r="W18959" s="4"/>
      <c r="X18959" s="4"/>
      <c r="Y18959" s="4"/>
    </row>
    <row r="18960" spans="5:25">
      <c r="E18960"/>
      <c r="G18960"/>
      <c r="H18960"/>
      <c r="I18960"/>
      <c r="K18960"/>
      <c r="O18960"/>
      <c r="R18960"/>
      <c r="W18960" s="4"/>
      <c r="X18960" s="4"/>
      <c r="Y18960" s="4"/>
    </row>
    <row r="18961" spans="5:25">
      <c r="E18961"/>
      <c r="G18961"/>
      <c r="H18961"/>
      <c r="I18961"/>
      <c r="K18961"/>
      <c r="O18961"/>
      <c r="R18961"/>
      <c r="W18961" s="4"/>
      <c r="X18961" s="4"/>
      <c r="Y18961" s="4"/>
    </row>
    <row r="18962" spans="5:25">
      <c r="E18962"/>
      <c r="G18962"/>
      <c r="H18962"/>
      <c r="I18962"/>
      <c r="K18962"/>
      <c r="O18962"/>
      <c r="R18962"/>
      <c r="W18962" s="4"/>
      <c r="X18962" s="4"/>
      <c r="Y18962" s="4"/>
    </row>
    <row r="18963" spans="5:25">
      <c r="E18963"/>
      <c r="G18963"/>
      <c r="H18963"/>
      <c r="I18963"/>
      <c r="K18963"/>
      <c r="O18963"/>
      <c r="R18963"/>
      <c r="W18963" s="4"/>
      <c r="X18963" s="4"/>
      <c r="Y18963" s="4"/>
    </row>
    <row r="18964" spans="5:25">
      <c r="E18964"/>
      <c r="G18964"/>
      <c r="H18964"/>
      <c r="I18964"/>
      <c r="K18964"/>
      <c r="O18964"/>
      <c r="R18964"/>
      <c r="W18964" s="4"/>
      <c r="X18964" s="4"/>
      <c r="Y18964" s="4"/>
    </row>
    <row r="18965" spans="5:25">
      <c r="E18965"/>
      <c r="G18965"/>
      <c r="H18965"/>
      <c r="I18965"/>
      <c r="K18965"/>
      <c r="O18965"/>
      <c r="R18965"/>
      <c r="W18965" s="4"/>
      <c r="X18965" s="4"/>
      <c r="Y18965" s="4"/>
    </row>
    <row r="18966" spans="5:25">
      <c r="E18966"/>
      <c r="G18966"/>
      <c r="H18966"/>
      <c r="I18966"/>
      <c r="K18966"/>
      <c r="O18966"/>
      <c r="R18966"/>
      <c r="W18966" s="4"/>
      <c r="X18966" s="4"/>
      <c r="Y18966" s="4"/>
    </row>
    <row r="18967" spans="5:25">
      <c r="E18967"/>
      <c r="G18967"/>
      <c r="H18967"/>
      <c r="I18967"/>
      <c r="K18967"/>
      <c r="O18967"/>
      <c r="R18967"/>
      <c r="W18967" s="4"/>
      <c r="X18967" s="4"/>
      <c r="Y18967" s="4"/>
    </row>
    <row r="18968" spans="5:25">
      <c r="E18968"/>
      <c r="G18968"/>
      <c r="H18968"/>
      <c r="I18968"/>
      <c r="K18968"/>
      <c r="O18968"/>
      <c r="R18968"/>
      <c r="W18968" s="4"/>
      <c r="X18968" s="4"/>
      <c r="Y18968" s="4"/>
    </row>
    <row r="18969" spans="5:25">
      <c r="E18969"/>
      <c r="G18969"/>
      <c r="H18969"/>
      <c r="I18969"/>
      <c r="K18969"/>
      <c r="O18969"/>
      <c r="R18969"/>
      <c r="W18969" s="4"/>
      <c r="X18969" s="4"/>
      <c r="Y18969" s="4"/>
    </row>
    <row r="18970" spans="5:25">
      <c r="E18970"/>
      <c r="G18970"/>
      <c r="H18970"/>
      <c r="I18970"/>
      <c r="K18970"/>
      <c r="O18970"/>
      <c r="R18970"/>
      <c r="W18970" s="4"/>
      <c r="X18970" s="4"/>
      <c r="Y18970" s="4"/>
    </row>
    <row r="18971" spans="5:25">
      <c r="E18971"/>
      <c r="G18971"/>
      <c r="H18971"/>
      <c r="I18971"/>
      <c r="K18971"/>
      <c r="O18971"/>
      <c r="R18971"/>
      <c r="W18971" s="4"/>
      <c r="X18971" s="4"/>
      <c r="Y18971" s="4"/>
    </row>
    <row r="18972" spans="5:25">
      <c r="E18972"/>
      <c r="G18972"/>
      <c r="H18972"/>
      <c r="I18972"/>
      <c r="K18972"/>
      <c r="O18972"/>
      <c r="R18972"/>
      <c r="W18972" s="4"/>
      <c r="X18972" s="4"/>
      <c r="Y18972" s="4"/>
    </row>
    <row r="18973" spans="5:25">
      <c r="E18973"/>
      <c r="G18973"/>
      <c r="H18973"/>
      <c r="I18973"/>
      <c r="K18973"/>
      <c r="O18973"/>
      <c r="R18973"/>
      <c r="W18973" s="4"/>
      <c r="X18973" s="4"/>
      <c r="Y18973" s="4"/>
    </row>
    <row r="18974" spans="5:25">
      <c r="E18974"/>
      <c r="G18974"/>
      <c r="H18974"/>
      <c r="I18974"/>
      <c r="K18974"/>
      <c r="O18974"/>
      <c r="R18974"/>
      <c r="W18974" s="4"/>
      <c r="X18974" s="4"/>
      <c r="Y18974" s="4"/>
    </row>
    <row r="18975" spans="5:25">
      <c r="E18975"/>
      <c r="G18975"/>
      <c r="H18975"/>
      <c r="I18975"/>
      <c r="K18975"/>
      <c r="O18975"/>
      <c r="R18975"/>
      <c r="W18975" s="4"/>
      <c r="X18975" s="4"/>
      <c r="Y18975" s="4"/>
    </row>
    <row r="18976" spans="5:25">
      <c r="E18976"/>
      <c r="G18976"/>
      <c r="H18976"/>
      <c r="I18976"/>
      <c r="K18976"/>
      <c r="O18976"/>
      <c r="R18976"/>
      <c r="W18976" s="4"/>
      <c r="X18976" s="4"/>
      <c r="Y18976" s="4"/>
    </row>
    <row r="18977" spans="5:25">
      <c r="E18977"/>
      <c r="G18977"/>
      <c r="H18977"/>
      <c r="I18977"/>
      <c r="K18977"/>
      <c r="O18977"/>
      <c r="R18977"/>
      <c r="W18977" s="4"/>
      <c r="X18977" s="4"/>
      <c r="Y18977" s="4"/>
    </row>
    <row r="18978" spans="5:25">
      <c r="E18978"/>
      <c r="G18978"/>
      <c r="H18978"/>
      <c r="I18978"/>
      <c r="K18978"/>
      <c r="O18978"/>
      <c r="R18978"/>
      <c r="W18978" s="4"/>
      <c r="X18978" s="4"/>
      <c r="Y18978" s="4"/>
    </row>
    <row r="18979" spans="5:25">
      <c r="E18979"/>
      <c r="G18979"/>
      <c r="H18979"/>
      <c r="I18979"/>
      <c r="K18979"/>
      <c r="O18979"/>
      <c r="R18979"/>
      <c r="W18979" s="4"/>
      <c r="X18979" s="4"/>
      <c r="Y18979" s="4"/>
    </row>
    <row r="18980" spans="5:25">
      <c r="E18980"/>
      <c r="G18980"/>
      <c r="H18980"/>
      <c r="I18980"/>
      <c r="K18980"/>
      <c r="O18980"/>
      <c r="R18980"/>
      <c r="W18980" s="4"/>
      <c r="X18980" s="4"/>
      <c r="Y18980" s="4"/>
    </row>
    <row r="18981" spans="5:25">
      <c r="E18981"/>
      <c r="G18981"/>
      <c r="H18981"/>
      <c r="I18981"/>
      <c r="K18981"/>
      <c r="O18981"/>
      <c r="R18981"/>
      <c r="W18981" s="4"/>
      <c r="X18981" s="4"/>
      <c r="Y18981" s="4"/>
    </row>
    <row r="18982" spans="5:25">
      <c r="E18982"/>
      <c r="G18982"/>
      <c r="H18982"/>
      <c r="I18982"/>
      <c r="K18982"/>
      <c r="O18982"/>
      <c r="R18982"/>
      <c r="W18982" s="4"/>
      <c r="X18982" s="4"/>
      <c r="Y18982" s="4"/>
    </row>
    <row r="18983" spans="5:25">
      <c r="E18983"/>
      <c r="G18983"/>
      <c r="H18983"/>
      <c r="I18983"/>
      <c r="K18983"/>
      <c r="O18983"/>
      <c r="R18983"/>
      <c r="W18983" s="4"/>
      <c r="X18983" s="4"/>
      <c r="Y18983" s="4"/>
    </row>
    <row r="18984" spans="5:25">
      <c r="E18984"/>
      <c r="G18984"/>
      <c r="H18984"/>
      <c r="I18984"/>
      <c r="K18984"/>
      <c r="O18984"/>
      <c r="R18984"/>
      <c r="W18984" s="4"/>
      <c r="X18984" s="4"/>
      <c r="Y18984" s="4"/>
    </row>
    <row r="18985" spans="5:25">
      <c r="E18985"/>
      <c r="G18985"/>
      <c r="H18985"/>
      <c r="I18985"/>
      <c r="K18985"/>
      <c r="O18985"/>
      <c r="R18985"/>
      <c r="W18985" s="4"/>
      <c r="X18985" s="4"/>
      <c r="Y18985" s="4"/>
    </row>
    <row r="18986" spans="5:25">
      <c r="E18986"/>
      <c r="G18986"/>
      <c r="H18986"/>
      <c r="I18986"/>
      <c r="K18986"/>
      <c r="O18986"/>
      <c r="R18986"/>
      <c r="W18986" s="4"/>
      <c r="X18986" s="4"/>
      <c r="Y18986" s="4"/>
    </row>
    <row r="18987" spans="5:25">
      <c r="E18987"/>
      <c r="G18987"/>
      <c r="H18987"/>
      <c r="I18987"/>
      <c r="K18987"/>
      <c r="O18987"/>
      <c r="R18987"/>
      <c r="W18987" s="4"/>
      <c r="X18987" s="4"/>
      <c r="Y18987" s="4"/>
    </row>
    <row r="18988" spans="5:25">
      <c r="E18988"/>
      <c r="G18988"/>
      <c r="H18988"/>
      <c r="I18988"/>
      <c r="K18988"/>
      <c r="O18988"/>
      <c r="R18988"/>
      <c r="W18988" s="4"/>
      <c r="X18988" s="4"/>
      <c r="Y18988" s="4"/>
    </row>
    <row r="18989" spans="5:25">
      <c r="E18989"/>
      <c r="G18989"/>
      <c r="H18989"/>
      <c r="I18989"/>
      <c r="K18989"/>
      <c r="O18989"/>
      <c r="R18989"/>
      <c r="W18989" s="4"/>
      <c r="X18989" s="4"/>
      <c r="Y18989" s="4"/>
    </row>
    <row r="18990" spans="5:25">
      <c r="E18990"/>
      <c r="G18990"/>
      <c r="H18990"/>
      <c r="I18990"/>
      <c r="K18990"/>
      <c r="O18990"/>
      <c r="R18990"/>
      <c r="W18990" s="4"/>
      <c r="X18990" s="4"/>
      <c r="Y18990" s="4"/>
    </row>
    <row r="18991" spans="5:25">
      <c r="E18991"/>
      <c r="G18991"/>
      <c r="H18991"/>
      <c r="I18991"/>
      <c r="K18991"/>
      <c r="O18991"/>
      <c r="R18991"/>
      <c r="W18991" s="4"/>
      <c r="X18991" s="4"/>
      <c r="Y18991" s="4"/>
    </row>
    <row r="18992" spans="5:25">
      <c r="E18992"/>
      <c r="G18992"/>
      <c r="H18992"/>
      <c r="I18992"/>
      <c r="K18992"/>
      <c r="O18992"/>
      <c r="R18992"/>
      <c r="W18992" s="4"/>
      <c r="X18992" s="4"/>
      <c r="Y18992" s="4"/>
    </row>
    <row r="18993" spans="5:25">
      <c r="E18993"/>
      <c r="G18993"/>
      <c r="H18993"/>
      <c r="I18993"/>
      <c r="K18993"/>
      <c r="O18993"/>
      <c r="R18993"/>
      <c r="W18993" s="4"/>
      <c r="X18993" s="4"/>
      <c r="Y18993" s="4"/>
    </row>
    <row r="18994" spans="5:25">
      <c r="E18994"/>
      <c r="G18994"/>
      <c r="H18994"/>
      <c r="I18994"/>
      <c r="K18994"/>
      <c r="O18994"/>
      <c r="R18994"/>
      <c r="W18994" s="4"/>
      <c r="X18994" s="4"/>
      <c r="Y18994" s="4"/>
    </row>
    <row r="18995" spans="5:25">
      <c r="E18995"/>
      <c r="G18995"/>
      <c r="H18995"/>
      <c r="I18995"/>
      <c r="K18995"/>
      <c r="O18995"/>
      <c r="R18995"/>
      <c r="W18995" s="4"/>
      <c r="X18995" s="4"/>
      <c r="Y18995" s="4"/>
    </row>
    <row r="18996" spans="5:25">
      <c r="E18996"/>
      <c r="G18996"/>
      <c r="H18996"/>
      <c r="I18996"/>
      <c r="K18996"/>
      <c r="O18996"/>
      <c r="R18996"/>
      <c r="W18996" s="4"/>
      <c r="X18996" s="4"/>
      <c r="Y18996" s="4"/>
    </row>
    <row r="18997" spans="5:25">
      <c r="E18997"/>
      <c r="G18997"/>
      <c r="H18997"/>
      <c r="I18997"/>
      <c r="K18997"/>
      <c r="O18997"/>
      <c r="R18997"/>
      <c r="W18997" s="4"/>
      <c r="X18997" s="4"/>
      <c r="Y18997" s="4"/>
    </row>
    <row r="18998" spans="5:25">
      <c r="E18998"/>
      <c r="G18998"/>
      <c r="H18998"/>
      <c r="I18998"/>
      <c r="K18998"/>
      <c r="O18998"/>
      <c r="R18998"/>
      <c r="W18998" s="4"/>
      <c r="X18998" s="4"/>
      <c r="Y18998" s="4"/>
    </row>
    <row r="18999" spans="5:25">
      <c r="E18999"/>
      <c r="G18999"/>
      <c r="H18999"/>
      <c r="I18999"/>
      <c r="K18999"/>
      <c r="O18999"/>
      <c r="R18999"/>
      <c r="W18999" s="4"/>
      <c r="X18999" s="4"/>
      <c r="Y18999" s="4"/>
    </row>
    <row r="19000" spans="5:25">
      <c r="E19000"/>
      <c r="G19000"/>
      <c r="H19000"/>
      <c r="I19000"/>
      <c r="K19000"/>
      <c r="O19000"/>
      <c r="R19000"/>
      <c r="W19000" s="4"/>
      <c r="X19000" s="4"/>
      <c r="Y19000" s="4"/>
    </row>
    <row r="19001" spans="5:25">
      <c r="E19001"/>
      <c r="G19001"/>
      <c r="H19001"/>
      <c r="I19001"/>
      <c r="K19001"/>
      <c r="O19001"/>
      <c r="R19001"/>
      <c r="W19001" s="4"/>
      <c r="X19001" s="4"/>
      <c r="Y19001" s="4"/>
    </row>
    <row r="19002" spans="5:25">
      <c r="E19002"/>
      <c r="G19002"/>
      <c r="H19002"/>
      <c r="I19002"/>
      <c r="K19002"/>
      <c r="O19002"/>
      <c r="R19002"/>
      <c r="W19002" s="4"/>
      <c r="X19002" s="4"/>
      <c r="Y19002" s="4"/>
    </row>
    <row r="19003" spans="5:25">
      <c r="E19003"/>
      <c r="G19003"/>
      <c r="H19003"/>
      <c r="I19003"/>
      <c r="K19003"/>
      <c r="O19003"/>
      <c r="R19003"/>
      <c r="W19003" s="4"/>
      <c r="X19003" s="4"/>
      <c r="Y19003" s="4"/>
    </row>
    <row r="19004" spans="5:25">
      <c r="E19004"/>
      <c r="G19004"/>
      <c r="H19004"/>
      <c r="I19004"/>
      <c r="K19004"/>
      <c r="O19004"/>
      <c r="R19004"/>
      <c r="W19004" s="4"/>
      <c r="X19004" s="4"/>
      <c r="Y19004" s="4"/>
    </row>
    <row r="19005" spans="5:25">
      <c r="E19005"/>
      <c r="G19005"/>
      <c r="H19005"/>
      <c r="I19005"/>
      <c r="K19005"/>
      <c r="O19005"/>
      <c r="R19005"/>
      <c r="W19005" s="4"/>
      <c r="X19005" s="4"/>
      <c r="Y19005" s="4"/>
    </row>
    <row r="19006" spans="5:25">
      <c r="E19006"/>
      <c r="G19006"/>
      <c r="H19006"/>
      <c r="I19006"/>
      <c r="K19006"/>
      <c r="O19006"/>
      <c r="R19006"/>
      <c r="W19006" s="4"/>
      <c r="X19006" s="4"/>
      <c r="Y19006" s="4"/>
    </row>
    <row r="19007" spans="5:25">
      <c r="E19007"/>
      <c r="G19007"/>
      <c r="H19007"/>
      <c r="I19007"/>
      <c r="K19007"/>
      <c r="O19007"/>
      <c r="R19007"/>
      <c r="W19007" s="4"/>
      <c r="X19007" s="4"/>
      <c r="Y19007" s="4"/>
    </row>
    <row r="19008" spans="5:25">
      <c r="E19008"/>
      <c r="G19008"/>
      <c r="H19008"/>
      <c r="I19008"/>
      <c r="K19008"/>
      <c r="O19008"/>
      <c r="R19008"/>
      <c r="W19008" s="4"/>
      <c r="X19008" s="4"/>
      <c r="Y19008" s="4"/>
    </row>
    <row r="19009" spans="5:25">
      <c r="E19009"/>
      <c r="G19009"/>
      <c r="H19009"/>
      <c r="I19009"/>
      <c r="K19009"/>
      <c r="O19009"/>
      <c r="R19009"/>
      <c r="W19009" s="4"/>
      <c r="X19009" s="4"/>
      <c r="Y19009" s="4"/>
    </row>
    <row r="19010" spans="5:25">
      <c r="E19010"/>
      <c r="G19010"/>
      <c r="H19010"/>
      <c r="I19010"/>
      <c r="K19010"/>
      <c r="O19010"/>
      <c r="R19010"/>
      <c r="W19010" s="4"/>
      <c r="X19010" s="4"/>
      <c r="Y19010" s="4"/>
    </row>
    <row r="19011" spans="5:25">
      <c r="E19011"/>
      <c r="G19011"/>
      <c r="H19011"/>
      <c r="I19011"/>
      <c r="K19011"/>
      <c r="O19011"/>
      <c r="R19011"/>
      <c r="W19011" s="4"/>
      <c r="X19011" s="4"/>
      <c r="Y19011" s="4"/>
    </row>
    <row r="19012" spans="5:25">
      <c r="E19012"/>
      <c r="G19012"/>
      <c r="H19012"/>
      <c r="I19012"/>
      <c r="K19012"/>
      <c r="O19012"/>
      <c r="R19012"/>
      <c r="W19012" s="4"/>
      <c r="X19012" s="4"/>
      <c r="Y19012" s="4"/>
    </row>
    <row r="19013" spans="5:25">
      <c r="E19013"/>
      <c r="G19013"/>
      <c r="H19013"/>
      <c r="I19013"/>
      <c r="K19013"/>
      <c r="O19013"/>
      <c r="R19013"/>
      <c r="W19013" s="4"/>
      <c r="X19013" s="4"/>
      <c r="Y19013" s="4"/>
    </row>
    <row r="19014" spans="5:25">
      <c r="E19014"/>
      <c r="G19014"/>
      <c r="H19014"/>
      <c r="I19014"/>
      <c r="K19014"/>
      <c r="O19014"/>
      <c r="R19014"/>
      <c r="W19014" s="4"/>
      <c r="X19014" s="4"/>
      <c r="Y19014" s="4"/>
    </row>
    <row r="19015" spans="5:25">
      <c r="E19015"/>
      <c r="G19015"/>
      <c r="H19015"/>
      <c r="I19015"/>
      <c r="K19015"/>
      <c r="O19015"/>
      <c r="R19015"/>
      <c r="W19015" s="4"/>
      <c r="X19015" s="4"/>
      <c r="Y19015" s="4"/>
    </row>
    <row r="19016" spans="5:25">
      <c r="E19016"/>
      <c r="G19016"/>
      <c r="H19016"/>
      <c r="I19016"/>
      <c r="K19016"/>
      <c r="O19016"/>
      <c r="R19016"/>
      <c r="W19016" s="4"/>
      <c r="X19016" s="4"/>
      <c r="Y19016" s="4"/>
    </row>
    <row r="19017" spans="5:25">
      <c r="E19017"/>
      <c r="G19017"/>
      <c r="H19017"/>
      <c r="I19017"/>
      <c r="K19017"/>
      <c r="O19017"/>
      <c r="R19017"/>
      <c r="W19017" s="4"/>
      <c r="X19017" s="4"/>
      <c r="Y19017" s="4"/>
    </row>
    <row r="19018" spans="5:25">
      <c r="E19018"/>
      <c r="G19018"/>
      <c r="H19018"/>
      <c r="I19018"/>
      <c r="K19018"/>
      <c r="O19018"/>
      <c r="R19018"/>
      <c r="W19018" s="4"/>
      <c r="X19018" s="4"/>
      <c r="Y19018" s="4"/>
    </row>
    <row r="19019" spans="5:25">
      <c r="E19019"/>
      <c r="G19019"/>
      <c r="H19019"/>
      <c r="I19019"/>
      <c r="K19019"/>
      <c r="O19019"/>
      <c r="R19019"/>
      <c r="W19019" s="4"/>
      <c r="X19019" s="4"/>
      <c r="Y19019" s="4"/>
    </row>
    <row r="19020" spans="5:25">
      <c r="E19020"/>
      <c r="G19020"/>
      <c r="H19020"/>
      <c r="I19020"/>
      <c r="K19020"/>
      <c r="O19020"/>
      <c r="R19020"/>
      <c r="W19020" s="4"/>
      <c r="X19020" s="4"/>
      <c r="Y19020" s="4"/>
    </row>
    <row r="19021" spans="5:25">
      <c r="E19021"/>
      <c r="G19021"/>
      <c r="H19021"/>
      <c r="I19021"/>
      <c r="K19021"/>
      <c r="O19021"/>
      <c r="R19021"/>
      <c r="W19021" s="4"/>
      <c r="X19021" s="4"/>
      <c r="Y19021" s="4"/>
    </row>
    <row r="19022" spans="5:25">
      <c r="E19022"/>
      <c r="G19022"/>
      <c r="H19022"/>
      <c r="I19022"/>
      <c r="K19022"/>
      <c r="O19022"/>
      <c r="R19022"/>
      <c r="W19022" s="4"/>
      <c r="X19022" s="4"/>
      <c r="Y19022" s="4"/>
    </row>
    <row r="19023" spans="5:25">
      <c r="E19023"/>
      <c r="G19023"/>
      <c r="H19023"/>
      <c r="I19023"/>
      <c r="K19023"/>
      <c r="O19023"/>
      <c r="R19023"/>
      <c r="W19023" s="4"/>
      <c r="X19023" s="4"/>
      <c r="Y19023" s="4"/>
    </row>
    <row r="19024" spans="5:25">
      <c r="E19024"/>
      <c r="G19024"/>
      <c r="H19024"/>
      <c r="I19024"/>
      <c r="K19024"/>
      <c r="O19024"/>
      <c r="R19024"/>
      <c r="W19024" s="4"/>
      <c r="X19024" s="4"/>
      <c r="Y19024" s="4"/>
    </row>
    <row r="19025" spans="5:25">
      <c r="E19025"/>
      <c r="G19025"/>
      <c r="H19025"/>
      <c r="I19025"/>
      <c r="K19025"/>
      <c r="O19025"/>
      <c r="R19025"/>
      <c r="W19025" s="4"/>
      <c r="X19025" s="4"/>
      <c r="Y19025" s="4"/>
    </row>
    <row r="19026" spans="5:25">
      <c r="E19026"/>
      <c r="G19026"/>
      <c r="H19026"/>
      <c r="I19026"/>
      <c r="K19026"/>
      <c r="O19026"/>
      <c r="R19026"/>
      <c r="W19026" s="4"/>
      <c r="X19026" s="4"/>
      <c r="Y19026" s="4"/>
    </row>
    <row r="19027" spans="5:25">
      <c r="E19027"/>
      <c r="G19027"/>
      <c r="H19027"/>
      <c r="I19027"/>
      <c r="K19027"/>
      <c r="O19027"/>
      <c r="R19027"/>
      <c r="W19027" s="4"/>
      <c r="X19027" s="4"/>
      <c r="Y19027" s="4"/>
    </row>
    <row r="19028" spans="5:25">
      <c r="E19028"/>
      <c r="G19028"/>
      <c r="H19028"/>
      <c r="I19028"/>
      <c r="K19028"/>
      <c r="O19028"/>
      <c r="R19028"/>
      <c r="W19028" s="4"/>
      <c r="X19028" s="4"/>
      <c r="Y19028" s="4"/>
    </row>
    <row r="19029" spans="5:25">
      <c r="E19029"/>
      <c r="G19029"/>
      <c r="H19029"/>
      <c r="I19029"/>
      <c r="K19029"/>
      <c r="O19029"/>
      <c r="R19029"/>
      <c r="W19029" s="4"/>
      <c r="X19029" s="4"/>
      <c r="Y19029" s="4"/>
    </row>
    <row r="19030" spans="5:25">
      <c r="E19030"/>
      <c r="G19030"/>
      <c r="H19030"/>
      <c r="I19030"/>
      <c r="K19030"/>
      <c r="O19030"/>
      <c r="R19030"/>
      <c r="W19030" s="4"/>
      <c r="X19030" s="4"/>
      <c r="Y19030" s="4"/>
    </row>
    <row r="19031" spans="5:25">
      <c r="E19031"/>
      <c r="G19031"/>
      <c r="H19031"/>
      <c r="I19031"/>
      <c r="K19031"/>
      <c r="O19031"/>
      <c r="R19031"/>
      <c r="W19031" s="4"/>
      <c r="X19031" s="4"/>
      <c r="Y19031" s="4"/>
    </row>
    <row r="19032" spans="5:25">
      <c r="E19032"/>
      <c r="G19032"/>
      <c r="H19032"/>
      <c r="I19032"/>
      <c r="K19032"/>
      <c r="O19032"/>
      <c r="R19032"/>
      <c r="W19032" s="4"/>
      <c r="X19032" s="4"/>
      <c r="Y19032" s="4"/>
    </row>
    <row r="19033" spans="5:25">
      <c r="E19033"/>
      <c r="G19033"/>
      <c r="H19033"/>
      <c r="I19033"/>
      <c r="K19033"/>
      <c r="O19033"/>
      <c r="R19033"/>
      <c r="W19033" s="4"/>
      <c r="X19033" s="4"/>
      <c r="Y19033" s="4"/>
    </row>
    <row r="19034" spans="5:25">
      <c r="E19034"/>
      <c r="G19034"/>
      <c r="H19034"/>
      <c r="I19034"/>
      <c r="K19034"/>
      <c r="O19034"/>
      <c r="R19034"/>
      <c r="W19034" s="4"/>
      <c r="X19034" s="4"/>
      <c r="Y19034" s="4"/>
    </row>
    <row r="19035" spans="5:25">
      <c r="E19035"/>
      <c r="G19035"/>
      <c r="H19035"/>
      <c r="I19035"/>
      <c r="K19035"/>
      <c r="O19035"/>
      <c r="R19035"/>
      <c r="W19035" s="4"/>
      <c r="X19035" s="4"/>
      <c r="Y19035" s="4"/>
    </row>
    <row r="19036" spans="5:25">
      <c r="E19036"/>
      <c r="G19036"/>
      <c r="H19036"/>
      <c r="I19036"/>
      <c r="K19036"/>
      <c r="O19036"/>
      <c r="R19036"/>
      <c r="W19036" s="4"/>
      <c r="X19036" s="4"/>
      <c r="Y19036" s="4"/>
    </row>
    <row r="19037" spans="5:25">
      <c r="E19037"/>
      <c r="G19037"/>
      <c r="H19037"/>
      <c r="I19037"/>
      <c r="K19037"/>
      <c r="O19037"/>
      <c r="R19037"/>
      <c r="W19037" s="4"/>
      <c r="X19037" s="4"/>
      <c r="Y19037" s="4"/>
    </row>
    <row r="19038" spans="5:25">
      <c r="E19038"/>
      <c r="G19038"/>
      <c r="H19038"/>
      <c r="I19038"/>
      <c r="K19038"/>
      <c r="O19038"/>
      <c r="R19038"/>
      <c r="W19038" s="4"/>
      <c r="X19038" s="4"/>
      <c r="Y19038" s="4"/>
    </row>
    <row r="19039" spans="5:25">
      <c r="E19039"/>
      <c r="G19039"/>
      <c r="H19039"/>
      <c r="I19039"/>
      <c r="K19039"/>
      <c r="O19039"/>
      <c r="R19039"/>
      <c r="W19039" s="4"/>
      <c r="X19039" s="4"/>
      <c r="Y19039" s="4"/>
    </row>
    <row r="19040" spans="5:25">
      <c r="E19040"/>
      <c r="G19040"/>
      <c r="H19040"/>
      <c r="I19040"/>
      <c r="K19040"/>
      <c r="O19040"/>
      <c r="R19040"/>
      <c r="W19040" s="4"/>
      <c r="X19040" s="4"/>
      <c r="Y19040" s="4"/>
    </row>
    <row r="19041" spans="5:25">
      <c r="E19041"/>
      <c r="G19041"/>
      <c r="H19041"/>
      <c r="I19041"/>
      <c r="K19041"/>
      <c r="O19041"/>
      <c r="R19041"/>
      <c r="W19041" s="4"/>
      <c r="X19041" s="4"/>
      <c r="Y19041" s="4"/>
    </row>
    <row r="19042" spans="5:25">
      <c r="E19042"/>
      <c r="G19042"/>
      <c r="H19042"/>
      <c r="I19042"/>
      <c r="K19042"/>
      <c r="O19042"/>
      <c r="R19042"/>
      <c r="W19042" s="4"/>
      <c r="X19042" s="4"/>
      <c r="Y19042" s="4"/>
    </row>
    <row r="19043" spans="5:25">
      <c r="E19043"/>
      <c r="G19043"/>
      <c r="H19043"/>
      <c r="I19043"/>
      <c r="K19043"/>
      <c r="O19043"/>
      <c r="R19043"/>
      <c r="W19043" s="4"/>
      <c r="X19043" s="4"/>
      <c r="Y19043" s="4"/>
    </row>
    <row r="19044" spans="5:25">
      <c r="E19044"/>
      <c r="G19044"/>
      <c r="H19044"/>
      <c r="I19044"/>
      <c r="K19044"/>
      <c r="O19044"/>
      <c r="R19044"/>
      <c r="W19044" s="4"/>
      <c r="X19044" s="4"/>
      <c r="Y19044" s="4"/>
    </row>
    <row r="19045" spans="5:25">
      <c r="E19045"/>
      <c r="G19045"/>
      <c r="H19045"/>
      <c r="I19045"/>
      <c r="K19045"/>
      <c r="O19045"/>
      <c r="R19045"/>
      <c r="W19045" s="4"/>
      <c r="X19045" s="4"/>
      <c r="Y19045" s="4"/>
    </row>
    <row r="19046" spans="5:25">
      <c r="E19046"/>
      <c r="G19046"/>
      <c r="H19046"/>
      <c r="I19046"/>
      <c r="K19046"/>
      <c r="O19046"/>
      <c r="R19046"/>
      <c r="W19046" s="4"/>
      <c r="X19046" s="4"/>
      <c r="Y19046" s="4"/>
    </row>
    <row r="19047" spans="5:25">
      <c r="E19047"/>
      <c r="G19047"/>
      <c r="H19047"/>
      <c r="I19047"/>
      <c r="K19047"/>
      <c r="O19047"/>
      <c r="R19047"/>
      <c r="W19047" s="4"/>
      <c r="X19047" s="4"/>
      <c r="Y19047" s="4"/>
    </row>
    <row r="19048" spans="5:25">
      <c r="E19048"/>
      <c r="G19048"/>
      <c r="H19048"/>
      <c r="I19048"/>
      <c r="K19048"/>
      <c r="O19048"/>
      <c r="R19048"/>
      <c r="W19048" s="4"/>
      <c r="X19048" s="4"/>
      <c r="Y19048" s="4"/>
    </row>
    <row r="19049" spans="5:25">
      <c r="E19049"/>
      <c r="G19049"/>
      <c r="H19049"/>
      <c r="I19049"/>
      <c r="K19049"/>
      <c r="O19049"/>
      <c r="R19049"/>
      <c r="W19049" s="4"/>
      <c r="X19049" s="4"/>
      <c r="Y19049" s="4"/>
    </row>
    <row r="19050" spans="5:25">
      <c r="E19050"/>
      <c r="G19050"/>
      <c r="H19050"/>
      <c r="I19050"/>
      <c r="K19050"/>
      <c r="O19050"/>
      <c r="R19050"/>
      <c r="W19050" s="4"/>
      <c r="X19050" s="4"/>
      <c r="Y19050" s="4"/>
    </row>
    <row r="19051" spans="5:25">
      <c r="E19051"/>
      <c r="G19051"/>
      <c r="H19051"/>
      <c r="I19051"/>
      <c r="K19051"/>
      <c r="O19051"/>
      <c r="R19051"/>
      <c r="W19051" s="4"/>
      <c r="X19051" s="4"/>
      <c r="Y19051" s="4"/>
    </row>
    <row r="19052" spans="5:25">
      <c r="E19052"/>
      <c r="G19052"/>
      <c r="H19052"/>
      <c r="I19052"/>
      <c r="K19052"/>
      <c r="O19052"/>
      <c r="R19052"/>
      <c r="W19052" s="4"/>
      <c r="X19052" s="4"/>
      <c r="Y19052" s="4"/>
    </row>
    <row r="19053" spans="5:25">
      <c r="E19053"/>
      <c r="G19053"/>
      <c r="H19053"/>
      <c r="I19053"/>
      <c r="K19053"/>
      <c r="O19053"/>
      <c r="R19053"/>
      <c r="W19053" s="4"/>
      <c r="X19053" s="4"/>
      <c r="Y19053" s="4"/>
    </row>
    <row r="19054" spans="5:25">
      <c r="E19054"/>
      <c r="G19054"/>
      <c r="H19054"/>
      <c r="I19054"/>
      <c r="K19054"/>
      <c r="O19054"/>
      <c r="R19054"/>
      <c r="W19054" s="4"/>
      <c r="X19054" s="4"/>
      <c r="Y19054" s="4"/>
    </row>
    <row r="19055" spans="5:25">
      <c r="E19055"/>
      <c r="G19055"/>
      <c r="H19055"/>
      <c r="I19055"/>
      <c r="K19055"/>
      <c r="O19055"/>
      <c r="R19055"/>
      <c r="W19055" s="4"/>
      <c r="X19055" s="4"/>
      <c r="Y19055" s="4"/>
    </row>
    <row r="19056" spans="5:25">
      <c r="E19056"/>
      <c r="G19056"/>
      <c r="H19056"/>
      <c r="I19056"/>
      <c r="K19056"/>
      <c r="O19056"/>
      <c r="R19056"/>
      <c r="W19056" s="4"/>
      <c r="X19056" s="4"/>
      <c r="Y19056" s="4"/>
    </row>
    <row r="19057" spans="5:25">
      <c r="E19057"/>
      <c r="G19057"/>
      <c r="H19057"/>
      <c r="I19057"/>
      <c r="K19057"/>
      <c r="O19057"/>
      <c r="R19057"/>
      <c r="W19057" s="4"/>
      <c r="X19057" s="4"/>
      <c r="Y19057" s="4"/>
    </row>
    <row r="19058" spans="5:25">
      <c r="E19058"/>
      <c r="G19058"/>
      <c r="H19058"/>
      <c r="I19058"/>
      <c r="K19058"/>
      <c r="O19058"/>
      <c r="R19058"/>
      <c r="W19058" s="4"/>
      <c r="X19058" s="4"/>
      <c r="Y19058" s="4"/>
    </row>
    <row r="19059" spans="5:25">
      <c r="E19059"/>
      <c r="G19059"/>
      <c r="H19059"/>
      <c r="I19059"/>
      <c r="K19059"/>
      <c r="O19059"/>
      <c r="R19059"/>
      <c r="W19059" s="4"/>
      <c r="X19059" s="4"/>
      <c r="Y19059" s="4"/>
    </row>
    <row r="19060" spans="5:25">
      <c r="E19060"/>
      <c r="G19060"/>
      <c r="H19060"/>
      <c r="I19060"/>
      <c r="K19060"/>
      <c r="O19060"/>
      <c r="R19060"/>
      <c r="W19060" s="4"/>
      <c r="X19060" s="4"/>
      <c r="Y19060" s="4"/>
    </row>
    <row r="19061" spans="5:25">
      <c r="E19061"/>
      <c r="G19061"/>
      <c r="H19061"/>
      <c r="I19061"/>
      <c r="K19061"/>
      <c r="O19061"/>
      <c r="R19061"/>
      <c r="W19061" s="4"/>
      <c r="X19061" s="4"/>
      <c r="Y19061" s="4"/>
    </row>
    <row r="19062" spans="5:25">
      <c r="E19062"/>
      <c r="G19062"/>
      <c r="H19062"/>
      <c r="I19062"/>
      <c r="K19062"/>
      <c r="O19062"/>
      <c r="R19062"/>
      <c r="W19062" s="4"/>
      <c r="X19062" s="4"/>
      <c r="Y19062" s="4"/>
    </row>
    <row r="19063" spans="5:25">
      <c r="E19063"/>
      <c r="G19063"/>
      <c r="H19063"/>
      <c r="I19063"/>
      <c r="K19063"/>
      <c r="O19063"/>
      <c r="R19063"/>
      <c r="W19063" s="4"/>
      <c r="X19063" s="4"/>
      <c r="Y19063" s="4"/>
    </row>
    <row r="19064" spans="5:25">
      <c r="E19064"/>
      <c r="G19064"/>
      <c r="H19064"/>
      <c r="I19064"/>
      <c r="K19064"/>
      <c r="O19064"/>
      <c r="R19064"/>
      <c r="W19064" s="4"/>
      <c r="X19064" s="4"/>
      <c r="Y19064" s="4"/>
    </row>
    <row r="19065" spans="5:25">
      <c r="E19065"/>
      <c r="G19065"/>
      <c r="H19065"/>
      <c r="I19065"/>
      <c r="K19065"/>
      <c r="O19065"/>
      <c r="R19065"/>
      <c r="W19065" s="4"/>
      <c r="X19065" s="4"/>
      <c r="Y19065" s="4"/>
    </row>
    <row r="19066" spans="5:25">
      <c r="E19066"/>
      <c r="G19066"/>
      <c r="H19066"/>
      <c r="I19066"/>
      <c r="K19066"/>
      <c r="O19066"/>
      <c r="R19066"/>
      <c r="W19066" s="4"/>
      <c r="X19066" s="4"/>
      <c r="Y19066" s="4"/>
    </row>
    <row r="19067" spans="5:25">
      <c r="E19067"/>
      <c r="G19067"/>
      <c r="H19067"/>
      <c r="I19067"/>
      <c r="K19067"/>
      <c r="O19067"/>
      <c r="R19067"/>
      <c r="W19067" s="4"/>
      <c r="X19067" s="4"/>
      <c r="Y19067" s="4"/>
    </row>
    <row r="19068" spans="5:25">
      <c r="E19068"/>
      <c r="G19068"/>
      <c r="H19068"/>
      <c r="I19068"/>
      <c r="K19068"/>
      <c r="O19068"/>
      <c r="R19068"/>
      <c r="W19068" s="4"/>
      <c r="X19068" s="4"/>
      <c r="Y19068" s="4"/>
    </row>
    <row r="19069" spans="5:25">
      <c r="E19069"/>
      <c r="G19069"/>
      <c r="H19069"/>
      <c r="I19069"/>
      <c r="K19069"/>
      <c r="O19069"/>
      <c r="R19069"/>
      <c r="W19069" s="4"/>
      <c r="X19069" s="4"/>
      <c r="Y19069" s="4"/>
    </row>
    <row r="19070" spans="5:25">
      <c r="E19070"/>
      <c r="G19070"/>
      <c r="H19070"/>
      <c r="I19070"/>
      <c r="K19070"/>
      <c r="O19070"/>
      <c r="R19070"/>
      <c r="W19070" s="4"/>
      <c r="X19070" s="4"/>
      <c r="Y19070" s="4"/>
    </row>
    <row r="19071" spans="5:25">
      <c r="E19071"/>
      <c r="G19071"/>
      <c r="H19071"/>
      <c r="I19071"/>
      <c r="K19071"/>
      <c r="O19071"/>
      <c r="R19071"/>
      <c r="W19071" s="4"/>
      <c r="X19071" s="4"/>
      <c r="Y19071" s="4"/>
    </row>
    <row r="19072" spans="5:25">
      <c r="E19072"/>
      <c r="G19072"/>
      <c r="H19072"/>
      <c r="I19072"/>
      <c r="K19072"/>
      <c r="O19072"/>
      <c r="R19072"/>
      <c r="W19072" s="4"/>
      <c r="X19072" s="4"/>
      <c r="Y19072" s="4"/>
    </row>
    <row r="19073" spans="5:25">
      <c r="E19073"/>
      <c r="G19073"/>
      <c r="H19073"/>
      <c r="I19073"/>
      <c r="K19073"/>
      <c r="O19073"/>
      <c r="R19073"/>
      <c r="W19073" s="4"/>
      <c r="X19073" s="4"/>
      <c r="Y19073" s="4"/>
    </row>
    <row r="19074" spans="5:25">
      <c r="E19074"/>
      <c r="G19074"/>
      <c r="H19074"/>
      <c r="I19074"/>
      <c r="K19074"/>
      <c r="O19074"/>
      <c r="R19074"/>
      <c r="W19074" s="4"/>
      <c r="X19074" s="4"/>
      <c r="Y19074" s="4"/>
    </row>
    <row r="19075" spans="5:25">
      <c r="E19075"/>
      <c r="G19075"/>
      <c r="H19075"/>
      <c r="I19075"/>
      <c r="K19075"/>
      <c r="O19075"/>
      <c r="R19075"/>
      <c r="W19075" s="4"/>
      <c r="X19075" s="4"/>
      <c r="Y19075" s="4"/>
    </row>
    <row r="19076" spans="5:25">
      <c r="E19076"/>
      <c r="G19076"/>
      <c r="H19076"/>
      <c r="I19076"/>
      <c r="K19076"/>
      <c r="O19076"/>
      <c r="R19076"/>
      <c r="W19076" s="4"/>
      <c r="X19076" s="4"/>
      <c r="Y19076" s="4"/>
    </row>
    <row r="19077" spans="5:25">
      <c r="E19077"/>
      <c r="G19077"/>
      <c r="H19077"/>
      <c r="I19077"/>
      <c r="K19077"/>
      <c r="O19077"/>
      <c r="R19077"/>
      <c r="W19077" s="4"/>
      <c r="X19077" s="4"/>
      <c r="Y19077" s="4"/>
    </row>
    <row r="19078" spans="5:25">
      <c r="E19078"/>
      <c r="G19078"/>
      <c r="H19078"/>
      <c r="I19078"/>
      <c r="K19078"/>
      <c r="O19078"/>
      <c r="R19078"/>
      <c r="W19078" s="4"/>
      <c r="X19078" s="4"/>
      <c r="Y19078" s="4"/>
    </row>
    <row r="19079" spans="5:25">
      <c r="E19079"/>
      <c r="G19079"/>
      <c r="H19079"/>
      <c r="I19079"/>
      <c r="K19079"/>
      <c r="O19079"/>
      <c r="R19079"/>
      <c r="W19079" s="4"/>
      <c r="X19079" s="4"/>
      <c r="Y19079" s="4"/>
    </row>
    <row r="19080" spans="5:25">
      <c r="E19080"/>
      <c r="G19080"/>
      <c r="H19080"/>
      <c r="I19080"/>
      <c r="K19080"/>
      <c r="O19080"/>
      <c r="R19080"/>
      <c r="W19080" s="4"/>
      <c r="X19080" s="4"/>
      <c r="Y19080" s="4"/>
    </row>
    <row r="19081" spans="5:25">
      <c r="E19081"/>
      <c r="G19081"/>
      <c r="H19081"/>
      <c r="I19081"/>
      <c r="K19081"/>
      <c r="O19081"/>
      <c r="R19081"/>
      <c r="W19081" s="4"/>
      <c r="X19081" s="4"/>
      <c r="Y19081" s="4"/>
    </row>
    <row r="19082" spans="5:25">
      <c r="E19082"/>
      <c r="G19082"/>
      <c r="H19082"/>
      <c r="I19082"/>
      <c r="K19082"/>
      <c r="O19082"/>
      <c r="R19082"/>
      <c r="W19082" s="4"/>
      <c r="X19082" s="4"/>
      <c r="Y19082" s="4"/>
    </row>
    <row r="19083" spans="5:25">
      <c r="E19083"/>
      <c r="G19083"/>
      <c r="H19083"/>
      <c r="I19083"/>
      <c r="K19083"/>
      <c r="O19083"/>
      <c r="R19083"/>
      <c r="W19083" s="4"/>
      <c r="X19083" s="4"/>
      <c r="Y19083" s="4"/>
    </row>
    <row r="19084" spans="5:25">
      <c r="E19084"/>
      <c r="G19084"/>
      <c r="H19084"/>
      <c r="I19084"/>
      <c r="K19084"/>
      <c r="O19084"/>
      <c r="R19084"/>
      <c r="W19084" s="4"/>
      <c r="X19084" s="4"/>
      <c r="Y19084" s="4"/>
    </row>
    <row r="19085" spans="5:25">
      <c r="E19085"/>
      <c r="G19085"/>
      <c r="H19085"/>
      <c r="I19085"/>
      <c r="K19085"/>
      <c r="O19085"/>
      <c r="R19085"/>
      <c r="W19085" s="4"/>
      <c r="X19085" s="4"/>
      <c r="Y19085" s="4"/>
    </row>
    <row r="19086" spans="5:25">
      <c r="E19086"/>
      <c r="G19086"/>
      <c r="H19086"/>
      <c r="I19086"/>
      <c r="K19086"/>
      <c r="O19086"/>
      <c r="R19086"/>
      <c r="W19086" s="4"/>
      <c r="X19086" s="4"/>
      <c r="Y19086" s="4"/>
    </row>
    <row r="19087" spans="5:25">
      <c r="E19087"/>
      <c r="G19087"/>
      <c r="H19087"/>
      <c r="I19087"/>
      <c r="K19087"/>
      <c r="O19087"/>
      <c r="R19087"/>
      <c r="W19087" s="4"/>
      <c r="X19087" s="4"/>
      <c r="Y19087" s="4"/>
    </row>
    <row r="19088" spans="5:25">
      <c r="E19088"/>
      <c r="G19088"/>
      <c r="H19088"/>
      <c r="I19088"/>
      <c r="K19088"/>
      <c r="O19088"/>
      <c r="R19088"/>
      <c r="W19088" s="4"/>
      <c r="X19088" s="4"/>
      <c r="Y19088" s="4"/>
    </row>
    <row r="19089" spans="5:25">
      <c r="E19089"/>
      <c r="G19089"/>
      <c r="H19089"/>
      <c r="I19089"/>
      <c r="K19089"/>
      <c r="O19089"/>
      <c r="R19089"/>
      <c r="W19089" s="4"/>
      <c r="X19089" s="4"/>
      <c r="Y19089" s="4"/>
    </row>
    <row r="19090" spans="5:25">
      <c r="E19090"/>
      <c r="G19090"/>
      <c r="H19090"/>
      <c r="I19090"/>
      <c r="K19090"/>
      <c r="O19090"/>
      <c r="R19090"/>
      <c r="W19090" s="4"/>
      <c r="X19090" s="4"/>
      <c r="Y19090" s="4"/>
    </row>
    <row r="19091" spans="5:25">
      <c r="E19091"/>
      <c r="G19091"/>
      <c r="H19091"/>
      <c r="I19091"/>
      <c r="K19091"/>
      <c r="O19091"/>
      <c r="R19091"/>
      <c r="W19091" s="4"/>
      <c r="X19091" s="4"/>
      <c r="Y19091" s="4"/>
    </row>
    <row r="19092" spans="5:25">
      <c r="E19092"/>
      <c r="G19092"/>
      <c r="H19092"/>
      <c r="I19092"/>
      <c r="K19092"/>
      <c r="O19092"/>
      <c r="R19092"/>
      <c r="W19092" s="4"/>
      <c r="X19092" s="4"/>
      <c r="Y19092" s="4"/>
    </row>
    <row r="19093" spans="5:25">
      <c r="E19093"/>
      <c r="G19093"/>
      <c r="H19093"/>
      <c r="I19093"/>
      <c r="K19093"/>
      <c r="O19093"/>
      <c r="R19093"/>
      <c r="W19093" s="4"/>
      <c r="X19093" s="4"/>
      <c r="Y19093" s="4"/>
    </row>
    <row r="19094" spans="5:25">
      <c r="E19094"/>
      <c r="G19094"/>
      <c r="H19094"/>
      <c r="I19094"/>
      <c r="K19094"/>
      <c r="O19094"/>
      <c r="R19094"/>
      <c r="W19094" s="4"/>
      <c r="X19094" s="4"/>
      <c r="Y19094" s="4"/>
    </row>
    <row r="19095" spans="5:25">
      <c r="E19095"/>
      <c r="G19095"/>
      <c r="H19095"/>
      <c r="I19095"/>
      <c r="K19095"/>
      <c r="O19095"/>
      <c r="R19095"/>
      <c r="W19095" s="4"/>
      <c r="X19095" s="4"/>
      <c r="Y19095" s="4"/>
    </row>
    <row r="19096" spans="5:25">
      <c r="E19096"/>
      <c r="G19096"/>
      <c r="H19096"/>
      <c r="I19096"/>
      <c r="K19096"/>
      <c r="O19096"/>
      <c r="R19096"/>
      <c r="W19096" s="4"/>
      <c r="X19096" s="4"/>
      <c r="Y19096" s="4"/>
    </row>
    <row r="19097" spans="5:25">
      <c r="E19097"/>
      <c r="G19097"/>
      <c r="H19097"/>
      <c r="I19097"/>
      <c r="K19097"/>
      <c r="O19097"/>
      <c r="R19097"/>
      <c r="W19097" s="4"/>
      <c r="X19097" s="4"/>
      <c r="Y19097" s="4"/>
    </row>
    <row r="19098" spans="5:25">
      <c r="E19098"/>
      <c r="G19098"/>
      <c r="H19098"/>
      <c r="I19098"/>
      <c r="K19098"/>
      <c r="O19098"/>
      <c r="R19098"/>
      <c r="W19098" s="4"/>
      <c r="X19098" s="4"/>
      <c r="Y19098" s="4"/>
    </row>
    <row r="19099" spans="5:25">
      <c r="E19099"/>
      <c r="G19099"/>
      <c r="H19099"/>
      <c r="I19099"/>
      <c r="K19099"/>
      <c r="O19099"/>
      <c r="R19099"/>
      <c r="W19099" s="4"/>
      <c r="X19099" s="4"/>
      <c r="Y19099" s="4"/>
    </row>
    <row r="19100" spans="5:25">
      <c r="E19100"/>
      <c r="G19100"/>
      <c r="H19100"/>
      <c r="I19100"/>
      <c r="K19100"/>
      <c r="O19100"/>
      <c r="R19100"/>
      <c r="W19100" s="4"/>
      <c r="X19100" s="4"/>
      <c r="Y19100" s="4"/>
    </row>
    <row r="19101" spans="5:25">
      <c r="E19101"/>
      <c r="G19101"/>
      <c r="H19101"/>
      <c r="I19101"/>
      <c r="K19101"/>
      <c r="O19101"/>
      <c r="R19101"/>
      <c r="W19101" s="4"/>
      <c r="X19101" s="4"/>
      <c r="Y19101" s="4"/>
    </row>
    <row r="19102" spans="5:25">
      <c r="E19102"/>
      <c r="G19102"/>
      <c r="H19102"/>
      <c r="I19102"/>
      <c r="K19102"/>
      <c r="O19102"/>
      <c r="R19102"/>
      <c r="W19102" s="4"/>
      <c r="X19102" s="4"/>
      <c r="Y19102" s="4"/>
    </row>
    <row r="19103" spans="5:25">
      <c r="E19103"/>
      <c r="G19103"/>
      <c r="H19103"/>
      <c r="I19103"/>
      <c r="K19103"/>
      <c r="O19103"/>
      <c r="R19103"/>
      <c r="W19103" s="4"/>
      <c r="X19103" s="4"/>
      <c r="Y19103" s="4"/>
    </row>
    <row r="19104" spans="5:25">
      <c r="E19104"/>
      <c r="G19104"/>
      <c r="H19104"/>
      <c r="I19104"/>
      <c r="K19104"/>
      <c r="O19104"/>
      <c r="R19104"/>
      <c r="W19104" s="4"/>
      <c r="X19104" s="4"/>
      <c r="Y19104" s="4"/>
    </row>
    <row r="19105" spans="5:25">
      <c r="E19105"/>
      <c r="G19105"/>
      <c r="H19105"/>
      <c r="I19105"/>
      <c r="K19105"/>
      <c r="O19105"/>
      <c r="R19105"/>
      <c r="W19105" s="4"/>
      <c r="X19105" s="4"/>
      <c r="Y19105" s="4"/>
    </row>
    <row r="19106" spans="5:25">
      <c r="E19106"/>
      <c r="G19106"/>
      <c r="H19106"/>
      <c r="I19106"/>
      <c r="K19106"/>
      <c r="O19106"/>
      <c r="R19106"/>
      <c r="W19106" s="4"/>
      <c r="X19106" s="4"/>
      <c r="Y19106" s="4"/>
    </row>
    <row r="19107" spans="5:25">
      <c r="E19107"/>
      <c r="G19107"/>
      <c r="H19107"/>
      <c r="I19107"/>
      <c r="K19107"/>
      <c r="O19107"/>
      <c r="R19107"/>
      <c r="W19107" s="4"/>
      <c r="X19107" s="4"/>
      <c r="Y19107" s="4"/>
    </row>
    <row r="19108" spans="5:25">
      <c r="E19108"/>
      <c r="G19108"/>
      <c r="H19108"/>
      <c r="I19108"/>
      <c r="K19108"/>
      <c r="O19108"/>
      <c r="R19108"/>
      <c r="W19108" s="4"/>
      <c r="X19108" s="4"/>
      <c r="Y19108" s="4"/>
    </row>
    <row r="19109" spans="5:25">
      <c r="E19109"/>
      <c r="G19109"/>
      <c r="H19109"/>
      <c r="I19109"/>
      <c r="K19109"/>
      <c r="O19109"/>
      <c r="R19109"/>
      <c r="W19109" s="4"/>
      <c r="X19109" s="4"/>
      <c r="Y19109" s="4"/>
    </row>
    <row r="19110" spans="5:25">
      <c r="E19110"/>
      <c r="G19110"/>
      <c r="H19110"/>
      <c r="I19110"/>
      <c r="K19110"/>
      <c r="O19110"/>
      <c r="R19110"/>
      <c r="W19110" s="4"/>
      <c r="X19110" s="4"/>
      <c r="Y19110" s="4"/>
    </row>
    <row r="19111" spans="5:25">
      <c r="E19111"/>
      <c r="G19111"/>
      <c r="H19111"/>
      <c r="I19111"/>
      <c r="K19111"/>
      <c r="O19111"/>
      <c r="R19111"/>
      <c r="W19111" s="4"/>
      <c r="X19111" s="4"/>
      <c r="Y19111" s="4"/>
    </row>
    <row r="19112" spans="5:25">
      <c r="E19112"/>
      <c r="G19112"/>
      <c r="H19112"/>
      <c r="I19112"/>
      <c r="K19112"/>
      <c r="O19112"/>
      <c r="R19112"/>
      <c r="W19112" s="4"/>
      <c r="X19112" s="4"/>
      <c r="Y19112" s="4"/>
    </row>
    <row r="19113" spans="5:25">
      <c r="E19113"/>
      <c r="G19113"/>
      <c r="H19113"/>
      <c r="I19113"/>
      <c r="K19113"/>
      <c r="O19113"/>
      <c r="R19113"/>
      <c r="W19113" s="4"/>
      <c r="X19113" s="4"/>
      <c r="Y19113" s="4"/>
    </row>
    <row r="19114" spans="5:25">
      <c r="E19114"/>
      <c r="G19114"/>
      <c r="H19114"/>
      <c r="I19114"/>
      <c r="K19114"/>
      <c r="O19114"/>
      <c r="R19114"/>
      <c r="W19114" s="4"/>
      <c r="X19114" s="4"/>
      <c r="Y19114" s="4"/>
    </row>
    <row r="19115" spans="5:25">
      <c r="E19115"/>
      <c r="G19115"/>
      <c r="H19115"/>
      <c r="I19115"/>
      <c r="K19115"/>
      <c r="O19115"/>
      <c r="R19115"/>
      <c r="W19115" s="4"/>
      <c r="X19115" s="4"/>
      <c r="Y19115" s="4"/>
    </row>
    <row r="19116" spans="5:25">
      <c r="E19116"/>
      <c r="G19116"/>
      <c r="H19116"/>
      <c r="I19116"/>
      <c r="K19116"/>
      <c r="O19116"/>
      <c r="R19116"/>
      <c r="W19116" s="4"/>
      <c r="X19116" s="4"/>
      <c r="Y19116" s="4"/>
    </row>
    <row r="19117" spans="5:25">
      <c r="E19117"/>
      <c r="G19117"/>
      <c r="H19117"/>
      <c r="I19117"/>
      <c r="K19117"/>
      <c r="O19117"/>
      <c r="R19117"/>
      <c r="W19117" s="4"/>
      <c r="X19117" s="4"/>
      <c r="Y19117" s="4"/>
    </row>
    <row r="19118" spans="5:25">
      <c r="E19118"/>
      <c r="G19118"/>
      <c r="H19118"/>
      <c r="I19118"/>
      <c r="K19118"/>
      <c r="O19118"/>
      <c r="R19118"/>
      <c r="W19118" s="4"/>
      <c r="X19118" s="4"/>
      <c r="Y19118" s="4"/>
    </row>
    <row r="19119" spans="5:25">
      <c r="E19119"/>
      <c r="G19119"/>
      <c r="H19119"/>
      <c r="I19119"/>
      <c r="K19119"/>
      <c r="O19119"/>
      <c r="R19119"/>
      <c r="W19119" s="4"/>
      <c r="X19119" s="4"/>
      <c r="Y19119" s="4"/>
    </row>
    <row r="19120" spans="5:25">
      <c r="E19120"/>
      <c r="G19120"/>
      <c r="H19120"/>
      <c r="I19120"/>
      <c r="K19120"/>
      <c r="O19120"/>
      <c r="R19120"/>
      <c r="W19120" s="4"/>
      <c r="X19120" s="4"/>
      <c r="Y19120" s="4"/>
    </row>
    <row r="19121" spans="5:25">
      <c r="E19121"/>
      <c r="G19121"/>
      <c r="H19121"/>
      <c r="I19121"/>
      <c r="K19121"/>
      <c r="O19121"/>
      <c r="R19121"/>
      <c r="W19121" s="4"/>
      <c r="X19121" s="4"/>
      <c r="Y19121" s="4"/>
    </row>
    <row r="19122" spans="5:25">
      <c r="E19122"/>
      <c r="G19122"/>
      <c r="H19122"/>
      <c r="I19122"/>
      <c r="K19122"/>
      <c r="O19122"/>
      <c r="R19122"/>
      <c r="W19122" s="4"/>
      <c r="X19122" s="4"/>
      <c r="Y19122" s="4"/>
    </row>
    <row r="19123" spans="5:25">
      <c r="E19123"/>
      <c r="G19123"/>
      <c r="H19123"/>
      <c r="I19123"/>
      <c r="K19123"/>
      <c r="O19123"/>
      <c r="R19123"/>
      <c r="W19123" s="4"/>
      <c r="X19123" s="4"/>
      <c r="Y19123" s="4"/>
    </row>
    <row r="19124" spans="5:25">
      <c r="E19124"/>
      <c r="G19124"/>
      <c r="H19124"/>
      <c r="I19124"/>
      <c r="K19124"/>
      <c r="O19124"/>
      <c r="R19124"/>
      <c r="W19124" s="4"/>
      <c r="X19124" s="4"/>
      <c r="Y19124" s="4"/>
    </row>
    <row r="19125" spans="5:25">
      <c r="E19125"/>
      <c r="G19125"/>
      <c r="H19125"/>
      <c r="I19125"/>
      <c r="K19125"/>
      <c r="O19125"/>
      <c r="R19125"/>
      <c r="W19125" s="4"/>
      <c r="X19125" s="4"/>
      <c r="Y19125" s="4"/>
    </row>
    <row r="19126" spans="5:25">
      <c r="E19126"/>
      <c r="G19126"/>
      <c r="H19126"/>
      <c r="I19126"/>
      <c r="K19126"/>
      <c r="O19126"/>
      <c r="R19126"/>
      <c r="W19126" s="4"/>
      <c r="X19126" s="4"/>
      <c r="Y19126" s="4"/>
    </row>
    <row r="19127" spans="5:25">
      <c r="E19127"/>
      <c r="G19127"/>
      <c r="H19127"/>
      <c r="I19127"/>
      <c r="K19127"/>
      <c r="O19127"/>
      <c r="R19127"/>
      <c r="W19127" s="4"/>
      <c r="X19127" s="4"/>
      <c r="Y19127" s="4"/>
    </row>
    <row r="19128" spans="5:25">
      <c r="E19128"/>
      <c r="G19128"/>
      <c r="H19128"/>
      <c r="I19128"/>
      <c r="K19128"/>
      <c r="O19128"/>
      <c r="R19128"/>
      <c r="W19128" s="4"/>
      <c r="X19128" s="4"/>
      <c r="Y19128" s="4"/>
    </row>
    <row r="19129" spans="5:25">
      <c r="E19129"/>
      <c r="G19129"/>
      <c r="H19129"/>
      <c r="I19129"/>
      <c r="K19129"/>
      <c r="O19129"/>
      <c r="R19129"/>
      <c r="W19129" s="4"/>
      <c r="X19129" s="4"/>
      <c r="Y19129" s="4"/>
    </row>
    <row r="19130" spans="5:25">
      <c r="E19130"/>
      <c r="G19130"/>
      <c r="H19130"/>
      <c r="I19130"/>
      <c r="K19130"/>
      <c r="O19130"/>
      <c r="R19130"/>
      <c r="W19130" s="4"/>
      <c r="X19130" s="4"/>
      <c r="Y19130" s="4"/>
    </row>
    <row r="19131" spans="5:25">
      <c r="E19131"/>
      <c r="G19131"/>
      <c r="H19131"/>
      <c r="I19131"/>
      <c r="K19131"/>
      <c r="O19131"/>
      <c r="R19131"/>
      <c r="W19131" s="4"/>
      <c r="X19131" s="4"/>
      <c r="Y19131" s="4"/>
    </row>
    <row r="19132" spans="5:25">
      <c r="E19132"/>
      <c r="G19132"/>
      <c r="H19132"/>
      <c r="I19132"/>
      <c r="K19132"/>
      <c r="O19132"/>
      <c r="R19132"/>
      <c r="W19132" s="4"/>
      <c r="X19132" s="4"/>
      <c r="Y19132" s="4"/>
    </row>
    <row r="19133" spans="5:25">
      <c r="E19133"/>
      <c r="G19133"/>
      <c r="H19133"/>
      <c r="I19133"/>
      <c r="K19133"/>
      <c r="O19133"/>
      <c r="R19133"/>
      <c r="W19133" s="4"/>
      <c r="X19133" s="4"/>
      <c r="Y19133" s="4"/>
    </row>
    <row r="19134" spans="5:25">
      <c r="E19134"/>
      <c r="G19134"/>
      <c r="H19134"/>
      <c r="I19134"/>
      <c r="K19134"/>
      <c r="O19134"/>
      <c r="R19134"/>
      <c r="W19134" s="4"/>
      <c r="X19134" s="4"/>
      <c r="Y19134" s="4"/>
    </row>
    <row r="19135" spans="5:25">
      <c r="E19135"/>
      <c r="G19135"/>
      <c r="H19135"/>
      <c r="I19135"/>
      <c r="K19135"/>
      <c r="O19135"/>
      <c r="R19135"/>
      <c r="W19135" s="4"/>
      <c r="X19135" s="4"/>
      <c r="Y19135" s="4"/>
    </row>
    <row r="19136" spans="5:25">
      <c r="E19136"/>
      <c r="G19136"/>
      <c r="H19136"/>
      <c r="I19136"/>
      <c r="K19136"/>
      <c r="O19136"/>
      <c r="R19136"/>
      <c r="W19136" s="4"/>
      <c r="X19136" s="4"/>
      <c r="Y19136" s="4"/>
    </row>
    <row r="19137" spans="5:25">
      <c r="E19137"/>
      <c r="G19137"/>
      <c r="H19137"/>
      <c r="I19137"/>
      <c r="K19137"/>
      <c r="O19137"/>
      <c r="R19137"/>
      <c r="W19137" s="4"/>
      <c r="X19137" s="4"/>
      <c r="Y19137" s="4"/>
    </row>
    <row r="19138" spans="5:25">
      <c r="E19138"/>
      <c r="G19138"/>
      <c r="H19138"/>
      <c r="I19138"/>
      <c r="K19138"/>
      <c r="O19138"/>
      <c r="R19138"/>
      <c r="W19138" s="4"/>
      <c r="X19138" s="4"/>
      <c r="Y19138" s="4"/>
    </row>
    <row r="19139" spans="5:25">
      <c r="E19139"/>
      <c r="G19139"/>
      <c r="H19139"/>
      <c r="I19139"/>
      <c r="K19139"/>
      <c r="O19139"/>
      <c r="R19139"/>
      <c r="W19139" s="4"/>
      <c r="X19139" s="4"/>
      <c r="Y19139" s="4"/>
    </row>
    <row r="19140" spans="5:25">
      <c r="E19140"/>
      <c r="G19140"/>
      <c r="H19140"/>
      <c r="I19140"/>
      <c r="K19140"/>
      <c r="O19140"/>
      <c r="R19140"/>
      <c r="W19140" s="4"/>
      <c r="X19140" s="4"/>
      <c r="Y19140" s="4"/>
    </row>
    <row r="19141" spans="5:25">
      <c r="E19141"/>
      <c r="G19141"/>
      <c r="H19141"/>
      <c r="I19141"/>
      <c r="K19141"/>
      <c r="O19141"/>
      <c r="R19141"/>
      <c r="W19141" s="4"/>
      <c r="X19141" s="4"/>
      <c r="Y19141" s="4"/>
    </row>
    <row r="19142" spans="5:25">
      <c r="E19142"/>
      <c r="G19142"/>
      <c r="H19142"/>
      <c r="I19142"/>
      <c r="K19142"/>
      <c r="O19142"/>
      <c r="R19142"/>
      <c r="W19142" s="4"/>
      <c r="X19142" s="4"/>
      <c r="Y19142" s="4"/>
    </row>
    <row r="19143" spans="5:25">
      <c r="E19143"/>
      <c r="G19143"/>
      <c r="H19143"/>
      <c r="I19143"/>
      <c r="K19143"/>
      <c r="O19143"/>
      <c r="R19143"/>
      <c r="W19143" s="4"/>
      <c r="X19143" s="4"/>
      <c r="Y19143" s="4"/>
    </row>
    <row r="19144" spans="5:25">
      <c r="E19144"/>
      <c r="G19144"/>
      <c r="H19144"/>
      <c r="I19144"/>
      <c r="K19144"/>
      <c r="O19144"/>
      <c r="R19144"/>
      <c r="W19144" s="4"/>
      <c r="X19144" s="4"/>
      <c r="Y19144" s="4"/>
    </row>
    <row r="19145" spans="5:25">
      <c r="E19145"/>
      <c r="G19145"/>
      <c r="H19145"/>
      <c r="I19145"/>
      <c r="K19145"/>
      <c r="O19145"/>
      <c r="R19145"/>
      <c r="W19145" s="4"/>
      <c r="X19145" s="4"/>
      <c r="Y19145" s="4"/>
    </row>
    <row r="19146" spans="5:25">
      <c r="E19146"/>
      <c r="G19146"/>
      <c r="H19146"/>
      <c r="I19146"/>
      <c r="K19146"/>
      <c r="O19146"/>
      <c r="R19146"/>
      <c r="W19146" s="4"/>
      <c r="X19146" s="4"/>
      <c r="Y19146" s="4"/>
    </row>
    <row r="19147" spans="5:25">
      <c r="E19147"/>
      <c r="G19147"/>
      <c r="H19147"/>
      <c r="I19147"/>
      <c r="K19147"/>
      <c r="O19147"/>
      <c r="R19147"/>
      <c r="W19147" s="4"/>
      <c r="X19147" s="4"/>
      <c r="Y19147" s="4"/>
    </row>
    <row r="19148" spans="5:25">
      <c r="E19148"/>
      <c r="G19148"/>
      <c r="H19148"/>
      <c r="I19148"/>
      <c r="K19148"/>
      <c r="O19148"/>
      <c r="R19148"/>
      <c r="W19148" s="4"/>
      <c r="X19148" s="4"/>
      <c r="Y19148" s="4"/>
    </row>
    <row r="19149" spans="5:25">
      <c r="E19149"/>
      <c r="G19149"/>
      <c r="H19149"/>
      <c r="I19149"/>
      <c r="K19149"/>
      <c r="O19149"/>
      <c r="R19149"/>
      <c r="W19149" s="4"/>
      <c r="X19149" s="4"/>
      <c r="Y19149" s="4"/>
    </row>
    <row r="19150" spans="5:25">
      <c r="E19150"/>
      <c r="G19150"/>
      <c r="H19150"/>
      <c r="I19150"/>
      <c r="K19150"/>
      <c r="O19150"/>
      <c r="R19150"/>
      <c r="W19150" s="4"/>
      <c r="X19150" s="4"/>
      <c r="Y19150" s="4"/>
    </row>
    <row r="19151" spans="5:25">
      <c r="E19151"/>
      <c r="G19151"/>
      <c r="H19151"/>
      <c r="I19151"/>
      <c r="K19151"/>
      <c r="O19151"/>
      <c r="R19151"/>
      <c r="W19151" s="4"/>
      <c r="X19151" s="4"/>
      <c r="Y19151" s="4"/>
    </row>
    <row r="19152" spans="5:25">
      <c r="E19152"/>
      <c r="G19152"/>
      <c r="H19152"/>
      <c r="I19152"/>
      <c r="K19152"/>
      <c r="O19152"/>
      <c r="R19152"/>
      <c r="W19152" s="4"/>
      <c r="X19152" s="4"/>
      <c r="Y19152" s="4"/>
    </row>
    <row r="19153" spans="5:25">
      <c r="E19153"/>
      <c r="G19153"/>
      <c r="H19153"/>
      <c r="I19153"/>
      <c r="K19153"/>
      <c r="O19153"/>
      <c r="R19153"/>
      <c r="W19153" s="4"/>
      <c r="X19153" s="4"/>
      <c r="Y19153" s="4"/>
    </row>
    <row r="19154" spans="5:25">
      <c r="E19154"/>
      <c r="G19154"/>
      <c r="H19154"/>
      <c r="I19154"/>
      <c r="K19154"/>
      <c r="O19154"/>
      <c r="R19154"/>
      <c r="W19154" s="4"/>
      <c r="X19154" s="4"/>
      <c r="Y19154" s="4"/>
    </row>
    <row r="19155" spans="5:25">
      <c r="E19155"/>
      <c r="G19155"/>
      <c r="H19155"/>
      <c r="I19155"/>
      <c r="K19155"/>
      <c r="O19155"/>
      <c r="R19155"/>
      <c r="W19155" s="4"/>
      <c r="X19155" s="4"/>
      <c r="Y19155" s="4"/>
    </row>
    <row r="19156" spans="5:25">
      <c r="E19156"/>
      <c r="G19156"/>
      <c r="H19156"/>
      <c r="I19156"/>
      <c r="K19156"/>
      <c r="O19156"/>
      <c r="R19156"/>
      <c r="W19156" s="4"/>
      <c r="X19156" s="4"/>
      <c r="Y19156" s="4"/>
    </row>
    <row r="19157" spans="5:25">
      <c r="E19157"/>
      <c r="G19157"/>
      <c r="H19157"/>
      <c r="I19157"/>
      <c r="K19157"/>
      <c r="O19157"/>
      <c r="R19157"/>
      <c r="W19157" s="4"/>
      <c r="X19157" s="4"/>
      <c r="Y19157" s="4"/>
    </row>
    <row r="19158" spans="5:25">
      <c r="E19158"/>
      <c r="G19158"/>
      <c r="H19158"/>
      <c r="I19158"/>
      <c r="K19158"/>
      <c r="O19158"/>
      <c r="R19158"/>
      <c r="W19158" s="4"/>
      <c r="X19158" s="4"/>
      <c r="Y19158" s="4"/>
    </row>
    <row r="19159" spans="5:25">
      <c r="E19159"/>
      <c r="G19159"/>
      <c r="H19159"/>
      <c r="I19159"/>
      <c r="K19159"/>
      <c r="O19159"/>
      <c r="R19159"/>
      <c r="W19159" s="4"/>
      <c r="X19159" s="4"/>
      <c r="Y19159" s="4"/>
    </row>
    <row r="19160" spans="5:25">
      <c r="E19160"/>
      <c r="G19160"/>
      <c r="H19160"/>
      <c r="I19160"/>
      <c r="K19160"/>
      <c r="O19160"/>
      <c r="R19160"/>
      <c r="W19160" s="4"/>
      <c r="X19160" s="4"/>
      <c r="Y19160" s="4"/>
    </row>
    <row r="19161" spans="5:25">
      <c r="E19161"/>
      <c r="G19161"/>
      <c r="H19161"/>
      <c r="I19161"/>
      <c r="K19161"/>
      <c r="O19161"/>
      <c r="R19161"/>
      <c r="W19161" s="4"/>
      <c r="X19161" s="4"/>
      <c r="Y19161" s="4"/>
    </row>
    <row r="19162" spans="5:25">
      <c r="E19162"/>
      <c r="G19162"/>
      <c r="H19162"/>
      <c r="I19162"/>
      <c r="K19162"/>
      <c r="O19162"/>
      <c r="R19162"/>
      <c r="W19162" s="4"/>
      <c r="X19162" s="4"/>
      <c r="Y19162" s="4"/>
    </row>
    <row r="19163" spans="5:25">
      <c r="E19163"/>
      <c r="G19163"/>
      <c r="H19163"/>
      <c r="I19163"/>
      <c r="K19163"/>
      <c r="O19163"/>
      <c r="R19163"/>
      <c r="W19163" s="4"/>
      <c r="X19163" s="4"/>
      <c r="Y19163" s="4"/>
    </row>
    <row r="19164" spans="5:25">
      <c r="E19164"/>
      <c r="G19164"/>
      <c r="H19164"/>
      <c r="I19164"/>
      <c r="K19164"/>
      <c r="O19164"/>
      <c r="R19164"/>
      <c r="W19164" s="4"/>
      <c r="X19164" s="4"/>
      <c r="Y19164" s="4"/>
    </row>
    <row r="19165" spans="5:25">
      <c r="E19165"/>
      <c r="G19165"/>
      <c r="H19165"/>
      <c r="I19165"/>
      <c r="K19165"/>
      <c r="O19165"/>
      <c r="R19165"/>
      <c r="W19165" s="4"/>
      <c r="X19165" s="4"/>
      <c r="Y19165" s="4"/>
    </row>
    <row r="19166" spans="5:25">
      <c r="E19166"/>
      <c r="G19166"/>
      <c r="H19166"/>
      <c r="I19166"/>
      <c r="K19166"/>
      <c r="O19166"/>
      <c r="R19166"/>
      <c r="W19166" s="4"/>
      <c r="X19166" s="4"/>
      <c r="Y19166" s="4"/>
    </row>
    <row r="19167" spans="5:25">
      <c r="E19167"/>
      <c r="G19167"/>
      <c r="H19167"/>
      <c r="I19167"/>
      <c r="K19167"/>
      <c r="O19167"/>
      <c r="R19167"/>
      <c r="W19167" s="4"/>
      <c r="X19167" s="4"/>
      <c r="Y19167" s="4"/>
    </row>
    <row r="19168" spans="5:25">
      <c r="E19168"/>
      <c r="G19168"/>
      <c r="H19168"/>
      <c r="I19168"/>
      <c r="K19168"/>
      <c r="O19168"/>
      <c r="R19168"/>
      <c r="W19168" s="4"/>
      <c r="X19168" s="4"/>
      <c r="Y19168" s="4"/>
    </row>
    <row r="19169" spans="5:25">
      <c r="E19169"/>
      <c r="G19169"/>
      <c r="H19169"/>
      <c r="I19169"/>
      <c r="K19169"/>
      <c r="O19169"/>
      <c r="R19169"/>
      <c r="W19169" s="4"/>
      <c r="X19169" s="4"/>
      <c r="Y19169" s="4"/>
    </row>
    <row r="19170" spans="5:25">
      <c r="E19170"/>
      <c r="G19170"/>
      <c r="H19170"/>
      <c r="I19170"/>
      <c r="K19170"/>
      <c r="O19170"/>
      <c r="R19170"/>
      <c r="W19170" s="4"/>
      <c r="X19170" s="4"/>
      <c r="Y19170" s="4"/>
    </row>
    <row r="19171" spans="5:25">
      <c r="E19171"/>
      <c r="G19171"/>
      <c r="H19171"/>
      <c r="I19171"/>
      <c r="K19171"/>
      <c r="O19171"/>
      <c r="R19171"/>
      <c r="W19171" s="4"/>
      <c r="X19171" s="4"/>
      <c r="Y19171" s="4"/>
    </row>
    <row r="19172" spans="5:25">
      <c r="E19172"/>
      <c r="G19172"/>
      <c r="H19172"/>
      <c r="I19172"/>
      <c r="K19172"/>
      <c r="O19172"/>
      <c r="R19172"/>
      <c r="W19172" s="4"/>
      <c r="X19172" s="4"/>
      <c r="Y19172" s="4"/>
    </row>
    <row r="19173" spans="5:25">
      <c r="E19173"/>
      <c r="G19173"/>
      <c r="H19173"/>
      <c r="I19173"/>
      <c r="K19173"/>
      <c r="O19173"/>
      <c r="R19173"/>
      <c r="W19173" s="4"/>
      <c r="X19173" s="4"/>
      <c r="Y19173" s="4"/>
    </row>
    <row r="19174" spans="5:25">
      <c r="E19174"/>
      <c r="G19174"/>
      <c r="H19174"/>
      <c r="I19174"/>
      <c r="K19174"/>
      <c r="O19174"/>
      <c r="R19174"/>
      <c r="W19174" s="4"/>
      <c r="X19174" s="4"/>
      <c r="Y19174" s="4"/>
    </row>
    <row r="19175" spans="5:25">
      <c r="E19175"/>
      <c r="G19175"/>
      <c r="H19175"/>
      <c r="I19175"/>
      <c r="K19175"/>
      <c r="O19175"/>
      <c r="R19175"/>
      <c r="W19175" s="4"/>
      <c r="X19175" s="4"/>
      <c r="Y19175" s="4"/>
    </row>
    <row r="19176" spans="5:25">
      <c r="E19176"/>
      <c r="G19176"/>
      <c r="H19176"/>
      <c r="I19176"/>
      <c r="K19176"/>
      <c r="O19176"/>
      <c r="R19176"/>
      <c r="W19176" s="4"/>
      <c r="X19176" s="4"/>
      <c r="Y19176" s="4"/>
    </row>
    <row r="19177" spans="5:25">
      <c r="E19177"/>
      <c r="G19177"/>
      <c r="H19177"/>
      <c r="I19177"/>
      <c r="K19177"/>
      <c r="O19177"/>
      <c r="R19177"/>
      <c r="W19177" s="4"/>
      <c r="X19177" s="4"/>
      <c r="Y19177" s="4"/>
    </row>
    <row r="19178" spans="5:25">
      <c r="E19178"/>
      <c r="G19178"/>
      <c r="H19178"/>
      <c r="I19178"/>
      <c r="K19178"/>
      <c r="O19178"/>
      <c r="R19178"/>
      <c r="W19178" s="4"/>
      <c r="X19178" s="4"/>
      <c r="Y19178" s="4"/>
    </row>
    <row r="19179" spans="5:25">
      <c r="E19179"/>
      <c r="G19179"/>
      <c r="H19179"/>
      <c r="I19179"/>
      <c r="K19179"/>
      <c r="O19179"/>
      <c r="R19179"/>
      <c r="W19179" s="4"/>
      <c r="X19179" s="4"/>
      <c r="Y19179" s="4"/>
    </row>
    <row r="19180" spans="5:25">
      <c r="E19180"/>
      <c r="G19180"/>
      <c r="H19180"/>
      <c r="I19180"/>
      <c r="K19180"/>
      <c r="O19180"/>
      <c r="R19180"/>
      <c r="W19180" s="4"/>
      <c r="X19180" s="4"/>
      <c r="Y19180" s="4"/>
    </row>
    <row r="19181" spans="5:25">
      <c r="E19181"/>
      <c r="G19181"/>
      <c r="H19181"/>
      <c r="I19181"/>
      <c r="K19181"/>
      <c r="O19181"/>
      <c r="R19181"/>
      <c r="W19181" s="4"/>
      <c r="X19181" s="4"/>
      <c r="Y19181" s="4"/>
    </row>
    <row r="19182" spans="5:25">
      <c r="E19182"/>
      <c r="G19182"/>
      <c r="H19182"/>
      <c r="I19182"/>
      <c r="K19182"/>
      <c r="O19182"/>
      <c r="R19182"/>
      <c r="W19182" s="4"/>
      <c r="X19182" s="4"/>
      <c r="Y19182" s="4"/>
    </row>
    <row r="19183" spans="5:25">
      <c r="E19183"/>
      <c r="G19183"/>
      <c r="H19183"/>
      <c r="I19183"/>
      <c r="K19183"/>
      <c r="O19183"/>
      <c r="R19183"/>
      <c r="W19183" s="4"/>
      <c r="X19183" s="4"/>
      <c r="Y19183" s="4"/>
    </row>
    <row r="19184" spans="5:25">
      <c r="E19184"/>
      <c r="G19184"/>
      <c r="H19184"/>
      <c r="I19184"/>
      <c r="K19184"/>
      <c r="O19184"/>
      <c r="R19184"/>
      <c r="W19184" s="4"/>
      <c r="X19184" s="4"/>
      <c r="Y19184" s="4"/>
    </row>
    <row r="19185" spans="5:25">
      <c r="E19185"/>
      <c r="G19185"/>
      <c r="H19185"/>
      <c r="I19185"/>
      <c r="K19185"/>
      <c r="O19185"/>
      <c r="R19185"/>
      <c r="W19185" s="4"/>
      <c r="X19185" s="4"/>
      <c r="Y19185" s="4"/>
    </row>
    <row r="19186" spans="5:25">
      <c r="E19186"/>
      <c r="G19186"/>
      <c r="H19186"/>
      <c r="I19186"/>
      <c r="K19186"/>
      <c r="O19186"/>
      <c r="R19186"/>
      <c r="W19186" s="4"/>
      <c r="X19186" s="4"/>
      <c r="Y19186" s="4"/>
    </row>
    <row r="19187" spans="5:25">
      <c r="E19187"/>
      <c r="G19187"/>
      <c r="H19187"/>
      <c r="I19187"/>
      <c r="K19187"/>
      <c r="O19187"/>
      <c r="R19187"/>
      <c r="W19187" s="4"/>
      <c r="X19187" s="4"/>
      <c r="Y19187" s="4"/>
    </row>
    <row r="19188" spans="5:25">
      <c r="E19188"/>
      <c r="G19188"/>
      <c r="H19188"/>
      <c r="I19188"/>
      <c r="K19188"/>
      <c r="O19188"/>
      <c r="R19188"/>
      <c r="W19188" s="4"/>
      <c r="X19188" s="4"/>
      <c r="Y19188" s="4"/>
    </row>
    <row r="19189" spans="5:25">
      <c r="E19189"/>
      <c r="G19189"/>
      <c r="H19189"/>
      <c r="I19189"/>
      <c r="K19189"/>
      <c r="O19189"/>
      <c r="R19189"/>
      <c r="W19189" s="4"/>
      <c r="X19189" s="4"/>
      <c r="Y19189" s="4"/>
    </row>
    <row r="19190" spans="5:25">
      <c r="E19190"/>
      <c r="G19190"/>
      <c r="H19190"/>
      <c r="I19190"/>
      <c r="K19190"/>
      <c r="O19190"/>
      <c r="R19190"/>
      <c r="W19190" s="4"/>
      <c r="X19190" s="4"/>
      <c r="Y19190" s="4"/>
    </row>
    <row r="19191" spans="5:25">
      <c r="E19191"/>
      <c r="G19191"/>
      <c r="H19191"/>
      <c r="I19191"/>
      <c r="K19191"/>
      <c r="O19191"/>
      <c r="R19191"/>
      <c r="W19191" s="4"/>
      <c r="X19191" s="4"/>
      <c r="Y19191" s="4"/>
    </row>
    <row r="19192" spans="5:25">
      <c r="E19192"/>
      <c r="G19192"/>
      <c r="H19192"/>
      <c r="I19192"/>
      <c r="K19192"/>
      <c r="O19192"/>
      <c r="R19192"/>
      <c r="W19192" s="4"/>
      <c r="X19192" s="4"/>
      <c r="Y19192" s="4"/>
    </row>
    <row r="19193" spans="5:25">
      <c r="E19193"/>
      <c r="G19193"/>
      <c r="H19193"/>
      <c r="I19193"/>
      <c r="K19193"/>
      <c r="O19193"/>
      <c r="R19193"/>
      <c r="W19193" s="4"/>
      <c r="X19193" s="4"/>
      <c r="Y19193" s="4"/>
    </row>
    <row r="19194" spans="5:25">
      <c r="E19194"/>
      <c r="G19194"/>
      <c r="H19194"/>
      <c r="I19194"/>
      <c r="K19194"/>
      <c r="O19194"/>
      <c r="R19194"/>
      <c r="W19194" s="4"/>
      <c r="X19194" s="4"/>
      <c r="Y19194" s="4"/>
    </row>
    <row r="19195" spans="5:25">
      <c r="E19195"/>
      <c r="G19195"/>
      <c r="H19195"/>
      <c r="I19195"/>
      <c r="K19195"/>
      <c r="O19195"/>
      <c r="R19195"/>
      <c r="W19195" s="4"/>
      <c r="X19195" s="4"/>
      <c r="Y19195" s="4"/>
    </row>
    <row r="19196" spans="5:25">
      <c r="E19196"/>
      <c r="G19196"/>
      <c r="H19196"/>
      <c r="I19196"/>
      <c r="K19196"/>
      <c r="O19196"/>
      <c r="R19196"/>
      <c r="W19196" s="4"/>
      <c r="X19196" s="4"/>
      <c r="Y19196" s="4"/>
    </row>
    <row r="19197" spans="5:25">
      <c r="E19197"/>
      <c r="G19197"/>
      <c r="H19197"/>
      <c r="I19197"/>
      <c r="K19197"/>
      <c r="O19197"/>
      <c r="R19197"/>
      <c r="W19197" s="4"/>
      <c r="X19197" s="4"/>
      <c r="Y19197" s="4"/>
    </row>
    <row r="19198" spans="5:25">
      <c r="E19198"/>
      <c r="G19198"/>
      <c r="H19198"/>
      <c r="I19198"/>
      <c r="K19198"/>
      <c r="O19198"/>
      <c r="R19198"/>
      <c r="W19198" s="4"/>
      <c r="X19198" s="4"/>
      <c r="Y19198" s="4"/>
    </row>
    <row r="19199" spans="5:25">
      <c r="E19199"/>
      <c r="G19199"/>
      <c r="H19199"/>
      <c r="I19199"/>
      <c r="K19199"/>
      <c r="O19199"/>
      <c r="R19199"/>
      <c r="W19199" s="4"/>
      <c r="X19199" s="4"/>
      <c r="Y19199" s="4"/>
    </row>
    <row r="19200" spans="5:25">
      <c r="E19200"/>
      <c r="G19200"/>
      <c r="H19200"/>
      <c r="I19200"/>
      <c r="K19200"/>
      <c r="O19200"/>
      <c r="R19200"/>
      <c r="W19200" s="4"/>
      <c r="X19200" s="4"/>
      <c r="Y19200" s="4"/>
    </row>
    <row r="19201" spans="5:25">
      <c r="E19201"/>
      <c r="G19201"/>
      <c r="H19201"/>
      <c r="I19201"/>
      <c r="K19201"/>
      <c r="O19201"/>
      <c r="R19201"/>
      <c r="W19201" s="4"/>
      <c r="X19201" s="4"/>
      <c r="Y19201" s="4"/>
    </row>
    <row r="19202" spans="5:25">
      <c r="E19202"/>
      <c r="G19202"/>
      <c r="H19202"/>
      <c r="I19202"/>
      <c r="K19202"/>
      <c r="O19202"/>
      <c r="R19202"/>
      <c r="W19202" s="4"/>
      <c r="X19202" s="4"/>
      <c r="Y19202" s="4"/>
    </row>
    <row r="19203" spans="5:25">
      <c r="E19203"/>
      <c r="G19203"/>
      <c r="H19203"/>
      <c r="I19203"/>
      <c r="K19203"/>
      <c r="O19203"/>
      <c r="R19203"/>
      <c r="W19203" s="4"/>
      <c r="X19203" s="4"/>
      <c r="Y19203" s="4"/>
    </row>
    <row r="19204" spans="5:25">
      <c r="E19204"/>
      <c r="G19204"/>
      <c r="H19204"/>
      <c r="I19204"/>
      <c r="K19204"/>
      <c r="O19204"/>
      <c r="R19204"/>
      <c r="W19204" s="4"/>
      <c r="X19204" s="4"/>
      <c r="Y19204" s="4"/>
    </row>
    <row r="19205" spans="5:25">
      <c r="E19205"/>
      <c r="G19205"/>
      <c r="H19205"/>
      <c r="I19205"/>
      <c r="K19205"/>
      <c r="O19205"/>
      <c r="R19205"/>
      <c r="W19205" s="4"/>
      <c r="X19205" s="4"/>
      <c r="Y19205" s="4"/>
    </row>
    <row r="19206" spans="5:25">
      <c r="E19206"/>
      <c r="G19206"/>
      <c r="H19206"/>
      <c r="I19206"/>
      <c r="K19206"/>
      <c r="O19206"/>
      <c r="R19206"/>
      <c r="W19206" s="4"/>
      <c r="X19206" s="4"/>
      <c r="Y19206" s="4"/>
    </row>
    <row r="19207" spans="5:25">
      <c r="E19207"/>
      <c r="G19207"/>
      <c r="H19207"/>
      <c r="I19207"/>
      <c r="K19207"/>
      <c r="O19207"/>
      <c r="R19207"/>
      <c r="W19207" s="4"/>
      <c r="X19207" s="4"/>
      <c r="Y19207" s="4"/>
    </row>
    <row r="19208" spans="5:25">
      <c r="E19208"/>
      <c r="G19208"/>
      <c r="H19208"/>
      <c r="I19208"/>
      <c r="K19208"/>
      <c r="O19208"/>
      <c r="R19208"/>
      <c r="W19208" s="4"/>
      <c r="X19208" s="4"/>
      <c r="Y19208" s="4"/>
    </row>
    <row r="19209" spans="5:25">
      <c r="E19209"/>
      <c r="G19209"/>
      <c r="H19209"/>
      <c r="I19209"/>
      <c r="K19209"/>
      <c r="O19209"/>
      <c r="R19209"/>
      <c r="W19209" s="4"/>
      <c r="X19209" s="4"/>
      <c r="Y19209" s="4"/>
    </row>
    <row r="19210" spans="5:25">
      <c r="E19210"/>
      <c r="G19210"/>
      <c r="H19210"/>
      <c r="I19210"/>
      <c r="K19210"/>
      <c r="O19210"/>
      <c r="R19210"/>
      <c r="W19210" s="4"/>
      <c r="X19210" s="4"/>
      <c r="Y19210" s="4"/>
    </row>
    <row r="19211" spans="5:25">
      <c r="E19211"/>
      <c r="G19211"/>
      <c r="H19211"/>
      <c r="I19211"/>
      <c r="K19211"/>
      <c r="O19211"/>
      <c r="R19211"/>
      <c r="W19211" s="4"/>
      <c r="X19211" s="4"/>
      <c r="Y19211" s="4"/>
    </row>
    <row r="19212" spans="5:25">
      <c r="E19212"/>
      <c r="G19212"/>
      <c r="H19212"/>
      <c r="I19212"/>
      <c r="K19212"/>
      <c r="O19212"/>
      <c r="R19212"/>
      <c r="W19212" s="4"/>
      <c r="X19212" s="4"/>
      <c r="Y19212" s="4"/>
    </row>
    <row r="19213" spans="5:25">
      <c r="E19213"/>
      <c r="G19213"/>
      <c r="H19213"/>
      <c r="I19213"/>
      <c r="K19213"/>
      <c r="O19213"/>
      <c r="R19213"/>
      <c r="W19213" s="4"/>
      <c r="X19213" s="4"/>
      <c r="Y19213" s="4"/>
    </row>
    <row r="19214" spans="5:25">
      <c r="E19214"/>
      <c r="G19214"/>
      <c r="H19214"/>
      <c r="I19214"/>
      <c r="K19214"/>
      <c r="O19214"/>
      <c r="R19214"/>
      <c r="W19214" s="4"/>
      <c r="X19214" s="4"/>
      <c r="Y19214" s="4"/>
    </row>
    <row r="19215" spans="5:25">
      <c r="E19215"/>
      <c r="G19215"/>
      <c r="H19215"/>
      <c r="I19215"/>
      <c r="K19215"/>
      <c r="O19215"/>
      <c r="R19215"/>
      <c r="W19215" s="4"/>
      <c r="X19215" s="4"/>
      <c r="Y19215" s="4"/>
    </row>
    <row r="19216" spans="5:25">
      <c r="E19216"/>
      <c r="G19216"/>
      <c r="H19216"/>
      <c r="I19216"/>
      <c r="K19216"/>
      <c r="O19216"/>
      <c r="R19216"/>
      <c r="W19216" s="4"/>
      <c r="X19216" s="4"/>
      <c r="Y19216" s="4"/>
    </row>
    <row r="19217" spans="5:25">
      <c r="E19217"/>
      <c r="G19217"/>
      <c r="H19217"/>
      <c r="I19217"/>
      <c r="K19217"/>
      <c r="O19217"/>
      <c r="R19217"/>
      <c r="W19217" s="4"/>
      <c r="X19217" s="4"/>
      <c r="Y19217" s="4"/>
    </row>
    <row r="19218" spans="5:25">
      <c r="E19218"/>
      <c r="G19218"/>
      <c r="H19218"/>
      <c r="I19218"/>
      <c r="K19218"/>
      <c r="O19218"/>
      <c r="R19218"/>
      <c r="W19218" s="4"/>
      <c r="X19218" s="4"/>
      <c r="Y19218" s="4"/>
    </row>
    <row r="19219" spans="5:25">
      <c r="E19219"/>
      <c r="G19219"/>
      <c r="H19219"/>
      <c r="I19219"/>
      <c r="K19219"/>
      <c r="O19219"/>
      <c r="R19219"/>
      <c r="W19219" s="4"/>
      <c r="X19219" s="4"/>
      <c r="Y19219" s="4"/>
    </row>
    <row r="19220" spans="5:25">
      <c r="E19220"/>
      <c r="G19220"/>
      <c r="H19220"/>
      <c r="I19220"/>
      <c r="K19220"/>
      <c r="O19220"/>
      <c r="R19220"/>
      <c r="W19220" s="4"/>
      <c r="X19220" s="4"/>
      <c r="Y19220" s="4"/>
    </row>
    <row r="19221" spans="5:25">
      <c r="E19221"/>
      <c r="G19221"/>
      <c r="H19221"/>
      <c r="I19221"/>
      <c r="K19221"/>
      <c r="O19221"/>
      <c r="R19221"/>
      <c r="W19221" s="4"/>
      <c r="X19221" s="4"/>
      <c r="Y19221" s="4"/>
    </row>
    <row r="19222" spans="5:25">
      <c r="E19222"/>
      <c r="G19222"/>
      <c r="H19222"/>
      <c r="I19222"/>
      <c r="K19222"/>
      <c r="O19222"/>
      <c r="R19222"/>
      <c r="W19222" s="4"/>
      <c r="X19222" s="4"/>
      <c r="Y19222" s="4"/>
    </row>
    <row r="19223" spans="5:25">
      <c r="E19223"/>
      <c r="G19223"/>
      <c r="H19223"/>
      <c r="I19223"/>
      <c r="K19223"/>
      <c r="O19223"/>
      <c r="R19223"/>
      <c r="W19223" s="4"/>
      <c r="X19223" s="4"/>
      <c r="Y19223" s="4"/>
    </row>
    <row r="19224" spans="5:25">
      <c r="E19224"/>
      <c r="G19224"/>
      <c r="H19224"/>
      <c r="I19224"/>
      <c r="K19224"/>
      <c r="O19224"/>
      <c r="R19224"/>
      <c r="W19224" s="4"/>
      <c r="X19224" s="4"/>
      <c r="Y19224" s="4"/>
    </row>
    <row r="19225" spans="5:25">
      <c r="E19225"/>
      <c r="G19225"/>
      <c r="H19225"/>
      <c r="I19225"/>
      <c r="K19225"/>
      <c r="O19225"/>
      <c r="R19225"/>
      <c r="W19225" s="4"/>
      <c r="X19225" s="4"/>
      <c r="Y19225" s="4"/>
    </row>
    <row r="19226" spans="5:25">
      <c r="E19226"/>
      <c r="G19226"/>
      <c r="H19226"/>
      <c r="I19226"/>
      <c r="K19226"/>
      <c r="O19226"/>
      <c r="R19226"/>
      <c r="W19226" s="4"/>
      <c r="X19226" s="4"/>
      <c r="Y19226" s="4"/>
    </row>
    <row r="19227" spans="5:25">
      <c r="E19227"/>
      <c r="G19227"/>
      <c r="H19227"/>
      <c r="I19227"/>
      <c r="K19227"/>
      <c r="O19227"/>
      <c r="R19227"/>
      <c r="W19227" s="4"/>
      <c r="X19227" s="4"/>
      <c r="Y19227" s="4"/>
    </row>
    <row r="19228" spans="5:25">
      <c r="E19228"/>
      <c r="G19228"/>
      <c r="H19228"/>
      <c r="I19228"/>
      <c r="K19228"/>
      <c r="O19228"/>
      <c r="R19228"/>
      <c r="W19228" s="4"/>
      <c r="X19228" s="4"/>
      <c r="Y19228" s="4"/>
    </row>
    <row r="19229" spans="5:25">
      <c r="E19229"/>
      <c r="G19229"/>
      <c r="H19229"/>
      <c r="I19229"/>
      <c r="K19229"/>
      <c r="O19229"/>
      <c r="R19229"/>
      <c r="W19229" s="4"/>
      <c r="X19229" s="4"/>
      <c r="Y19229" s="4"/>
    </row>
    <row r="19230" spans="5:25">
      <c r="E19230"/>
      <c r="G19230"/>
      <c r="H19230"/>
      <c r="I19230"/>
      <c r="K19230"/>
      <c r="O19230"/>
      <c r="R19230"/>
      <c r="W19230" s="4"/>
      <c r="X19230" s="4"/>
      <c r="Y19230" s="4"/>
    </row>
    <row r="19231" spans="5:25">
      <c r="E19231"/>
      <c r="G19231"/>
      <c r="H19231"/>
      <c r="I19231"/>
      <c r="K19231"/>
      <c r="O19231"/>
      <c r="R19231"/>
      <c r="W19231" s="4"/>
      <c r="X19231" s="4"/>
      <c r="Y19231" s="4"/>
    </row>
    <row r="19232" spans="5:25">
      <c r="E19232"/>
      <c r="G19232"/>
      <c r="H19232"/>
      <c r="I19232"/>
      <c r="K19232"/>
      <c r="O19232"/>
      <c r="R19232"/>
      <c r="W19232" s="4"/>
      <c r="X19232" s="4"/>
      <c r="Y19232" s="4"/>
    </row>
    <row r="19233" spans="5:25">
      <c r="E19233"/>
      <c r="G19233"/>
      <c r="H19233"/>
      <c r="I19233"/>
      <c r="K19233"/>
      <c r="O19233"/>
      <c r="R19233"/>
      <c r="W19233" s="4"/>
      <c r="X19233" s="4"/>
      <c r="Y19233" s="4"/>
    </row>
    <row r="19234" spans="5:25">
      <c r="E19234"/>
      <c r="G19234"/>
      <c r="H19234"/>
      <c r="I19234"/>
      <c r="K19234"/>
      <c r="O19234"/>
      <c r="R19234"/>
      <c r="W19234" s="4"/>
      <c r="X19234" s="4"/>
      <c r="Y19234" s="4"/>
    </row>
    <row r="19235" spans="5:25">
      <c r="E19235"/>
      <c r="G19235"/>
      <c r="H19235"/>
      <c r="I19235"/>
      <c r="K19235"/>
      <c r="O19235"/>
      <c r="R19235"/>
      <c r="W19235" s="4"/>
      <c r="X19235" s="4"/>
      <c r="Y19235" s="4"/>
    </row>
    <row r="19236" spans="5:25">
      <c r="E19236"/>
      <c r="G19236"/>
      <c r="H19236"/>
      <c r="I19236"/>
      <c r="K19236"/>
      <c r="O19236"/>
      <c r="R19236"/>
      <c r="W19236" s="4"/>
      <c r="X19236" s="4"/>
      <c r="Y19236" s="4"/>
    </row>
    <row r="19237" spans="5:25">
      <c r="E19237"/>
      <c r="G19237"/>
      <c r="H19237"/>
      <c r="I19237"/>
      <c r="K19237"/>
      <c r="O19237"/>
      <c r="R19237"/>
      <c r="W19237" s="4"/>
      <c r="X19237" s="4"/>
      <c r="Y19237" s="4"/>
    </row>
    <row r="19238" spans="5:25">
      <c r="E19238"/>
      <c r="G19238"/>
      <c r="H19238"/>
      <c r="I19238"/>
      <c r="K19238"/>
      <c r="O19238"/>
      <c r="R19238"/>
      <c r="W19238" s="4"/>
      <c r="X19238" s="4"/>
      <c r="Y19238" s="4"/>
    </row>
    <row r="19239" spans="5:25">
      <c r="E19239"/>
      <c r="G19239"/>
      <c r="H19239"/>
      <c r="I19239"/>
      <c r="K19239"/>
      <c r="O19239"/>
      <c r="R19239"/>
      <c r="W19239" s="4"/>
      <c r="X19239" s="4"/>
      <c r="Y19239" s="4"/>
    </row>
    <row r="19240" spans="5:25">
      <c r="E19240"/>
      <c r="G19240"/>
      <c r="H19240"/>
      <c r="I19240"/>
      <c r="K19240"/>
      <c r="O19240"/>
      <c r="R19240"/>
      <c r="W19240" s="4"/>
      <c r="X19240" s="4"/>
      <c r="Y19240" s="4"/>
    </row>
    <row r="19241" spans="5:25">
      <c r="E19241"/>
      <c r="G19241"/>
      <c r="H19241"/>
      <c r="I19241"/>
      <c r="K19241"/>
      <c r="O19241"/>
      <c r="R19241"/>
      <c r="W19241" s="4"/>
      <c r="X19241" s="4"/>
      <c r="Y19241" s="4"/>
    </row>
    <row r="19242" spans="5:25">
      <c r="E19242"/>
      <c r="G19242"/>
      <c r="H19242"/>
      <c r="I19242"/>
      <c r="K19242"/>
      <c r="O19242"/>
      <c r="R19242"/>
      <c r="W19242" s="4"/>
      <c r="X19242" s="4"/>
      <c r="Y19242" s="4"/>
    </row>
    <row r="19243" spans="5:25">
      <c r="E19243"/>
      <c r="G19243"/>
      <c r="H19243"/>
      <c r="I19243"/>
      <c r="K19243"/>
      <c r="O19243"/>
      <c r="R19243"/>
      <c r="W19243" s="4"/>
      <c r="X19243" s="4"/>
      <c r="Y19243" s="4"/>
    </row>
    <row r="19244" spans="5:25">
      <c r="E19244"/>
      <c r="G19244"/>
      <c r="H19244"/>
      <c r="I19244"/>
      <c r="K19244"/>
      <c r="O19244"/>
      <c r="R19244"/>
      <c r="W19244" s="4"/>
      <c r="X19244" s="4"/>
      <c r="Y19244" s="4"/>
    </row>
    <row r="19245" spans="5:25">
      <c r="E19245"/>
      <c r="G19245"/>
      <c r="H19245"/>
      <c r="I19245"/>
      <c r="K19245"/>
      <c r="O19245"/>
      <c r="R19245"/>
      <c r="W19245" s="4"/>
      <c r="X19245" s="4"/>
      <c r="Y19245" s="4"/>
    </row>
    <row r="19246" spans="5:25">
      <c r="E19246"/>
      <c r="G19246"/>
      <c r="H19246"/>
      <c r="I19246"/>
      <c r="K19246"/>
      <c r="O19246"/>
      <c r="R19246"/>
      <c r="W19246" s="4"/>
      <c r="X19246" s="4"/>
      <c r="Y19246" s="4"/>
    </row>
    <row r="19247" spans="5:25">
      <c r="E19247"/>
      <c r="G19247"/>
      <c r="H19247"/>
      <c r="I19247"/>
      <c r="K19247"/>
      <c r="O19247"/>
      <c r="R19247"/>
      <c r="W19247" s="4"/>
      <c r="X19247" s="4"/>
      <c r="Y19247" s="4"/>
    </row>
    <row r="19248" spans="5:25">
      <c r="E19248"/>
      <c r="G19248"/>
      <c r="H19248"/>
      <c r="I19248"/>
      <c r="K19248"/>
      <c r="O19248"/>
      <c r="R19248"/>
      <c r="W19248" s="4"/>
      <c r="X19248" s="4"/>
      <c r="Y19248" s="4"/>
    </row>
    <row r="19249" spans="5:25">
      <c r="E19249"/>
      <c r="G19249"/>
      <c r="H19249"/>
      <c r="I19249"/>
      <c r="K19249"/>
      <c r="O19249"/>
      <c r="R19249"/>
      <c r="W19249" s="4"/>
      <c r="X19249" s="4"/>
      <c r="Y19249" s="4"/>
    </row>
    <row r="19250" spans="5:25">
      <c r="E19250"/>
      <c r="G19250"/>
      <c r="H19250"/>
      <c r="I19250"/>
      <c r="K19250"/>
      <c r="O19250"/>
      <c r="R19250"/>
      <c r="W19250" s="4"/>
      <c r="X19250" s="4"/>
      <c r="Y19250" s="4"/>
    </row>
    <row r="19251" spans="5:25">
      <c r="E19251"/>
      <c r="G19251"/>
      <c r="H19251"/>
      <c r="I19251"/>
      <c r="K19251"/>
      <c r="O19251"/>
      <c r="R19251"/>
      <c r="W19251" s="4"/>
      <c r="X19251" s="4"/>
      <c r="Y19251" s="4"/>
    </row>
    <row r="19252" spans="5:25">
      <c r="E19252"/>
      <c r="G19252"/>
      <c r="H19252"/>
      <c r="I19252"/>
      <c r="K19252"/>
      <c r="O19252"/>
      <c r="R19252"/>
      <c r="W19252" s="4"/>
      <c r="X19252" s="4"/>
      <c r="Y19252" s="4"/>
    </row>
    <row r="19253" spans="5:25">
      <c r="E19253"/>
      <c r="G19253"/>
      <c r="H19253"/>
      <c r="I19253"/>
      <c r="K19253"/>
      <c r="O19253"/>
      <c r="R19253"/>
      <c r="W19253" s="4"/>
      <c r="X19253" s="4"/>
      <c r="Y19253" s="4"/>
    </row>
    <row r="19254" spans="5:25">
      <c r="E19254"/>
      <c r="G19254"/>
      <c r="H19254"/>
      <c r="I19254"/>
      <c r="K19254"/>
      <c r="O19254"/>
      <c r="R19254"/>
      <c r="W19254" s="4"/>
      <c r="X19254" s="4"/>
      <c r="Y19254" s="4"/>
    </row>
    <row r="19255" spans="5:25">
      <c r="E19255"/>
      <c r="G19255"/>
      <c r="H19255"/>
      <c r="I19255"/>
      <c r="K19255"/>
      <c r="O19255"/>
      <c r="R19255"/>
      <c r="W19255" s="4"/>
      <c r="X19255" s="4"/>
      <c r="Y19255" s="4"/>
    </row>
    <row r="19256" spans="5:25">
      <c r="E19256"/>
      <c r="G19256"/>
      <c r="H19256"/>
      <c r="I19256"/>
      <c r="K19256"/>
      <c r="O19256"/>
      <c r="R19256"/>
      <c r="W19256" s="4"/>
      <c r="X19256" s="4"/>
      <c r="Y19256" s="4"/>
    </row>
    <row r="19257" spans="5:25">
      <c r="E19257"/>
      <c r="G19257"/>
      <c r="H19257"/>
      <c r="I19257"/>
      <c r="K19257"/>
      <c r="O19257"/>
      <c r="R19257"/>
      <c r="W19257" s="4"/>
      <c r="X19257" s="4"/>
      <c r="Y19257" s="4"/>
    </row>
    <row r="19258" spans="5:25">
      <c r="E19258"/>
      <c r="G19258"/>
      <c r="H19258"/>
      <c r="I19258"/>
      <c r="K19258"/>
      <c r="O19258"/>
      <c r="R19258"/>
      <c r="W19258" s="4"/>
      <c r="X19258" s="4"/>
      <c r="Y19258" s="4"/>
    </row>
    <row r="19259" spans="5:25">
      <c r="E19259"/>
      <c r="G19259"/>
      <c r="H19259"/>
      <c r="I19259"/>
      <c r="K19259"/>
      <c r="O19259"/>
      <c r="R19259"/>
      <c r="W19259" s="4"/>
      <c r="X19259" s="4"/>
      <c r="Y19259" s="4"/>
    </row>
    <row r="19260" spans="5:25">
      <c r="E19260"/>
      <c r="G19260"/>
      <c r="H19260"/>
      <c r="I19260"/>
      <c r="K19260"/>
      <c r="O19260"/>
      <c r="R19260"/>
      <c r="W19260" s="4"/>
      <c r="X19260" s="4"/>
      <c r="Y19260" s="4"/>
    </row>
    <row r="19261" spans="5:25">
      <c r="E19261"/>
      <c r="G19261"/>
      <c r="H19261"/>
      <c r="I19261"/>
      <c r="K19261"/>
      <c r="O19261"/>
      <c r="R19261"/>
      <c r="W19261" s="4"/>
      <c r="X19261" s="4"/>
      <c r="Y19261" s="4"/>
    </row>
    <row r="19262" spans="5:25">
      <c r="E19262"/>
      <c r="G19262"/>
      <c r="H19262"/>
      <c r="I19262"/>
      <c r="K19262"/>
      <c r="O19262"/>
      <c r="R19262"/>
      <c r="W19262" s="4"/>
      <c r="X19262" s="4"/>
      <c r="Y19262" s="4"/>
    </row>
    <row r="19263" spans="5:25">
      <c r="E19263"/>
      <c r="G19263"/>
      <c r="H19263"/>
      <c r="I19263"/>
      <c r="K19263"/>
      <c r="O19263"/>
      <c r="R19263"/>
      <c r="W19263" s="4"/>
      <c r="X19263" s="4"/>
      <c r="Y19263" s="4"/>
    </row>
    <row r="19264" spans="5:25">
      <c r="E19264"/>
      <c r="G19264"/>
      <c r="H19264"/>
      <c r="I19264"/>
      <c r="K19264"/>
      <c r="O19264"/>
      <c r="R19264"/>
      <c r="W19264" s="4"/>
      <c r="X19264" s="4"/>
      <c r="Y19264" s="4"/>
    </row>
    <row r="19265" spans="5:25">
      <c r="E19265"/>
      <c r="G19265"/>
      <c r="H19265"/>
      <c r="I19265"/>
      <c r="K19265"/>
      <c r="O19265"/>
      <c r="R19265"/>
      <c r="W19265" s="4"/>
      <c r="X19265" s="4"/>
      <c r="Y19265" s="4"/>
    </row>
    <row r="19266" spans="5:25">
      <c r="E19266"/>
      <c r="G19266"/>
      <c r="H19266"/>
      <c r="I19266"/>
      <c r="K19266"/>
      <c r="O19266"/>
      <c r="R19266"/>
      <c r="W19266" s="4"/>
      <c r="X19266" s="4"/>
      <c r="Y19266" s="4"/>
    </row>
    <row r="19267" spans="5:25">
      <c r="E19267"/>
      <c r="G19267"/>
      <c r="H19267"/>
      <c r="I19267"/>
      <c r="K19267"/>
      <c r="O19267"/>
      <c r="R19267"/>
      <c r="W19267" s="4"/>
      <c r="X19267" s="4"/>
      <c r="Y19267" s="4"/>
    </row>
    <row r="19268" spans="5:25">
      <c r="E19268"/>
      <c r="G19268"/>
      <c r="H19268"/>
      <c r="I19268"/>
      <c r="K19268"/>
      <c r="O19268"/>
      <c r="R19268"/>
      <c r="W19268" s="4"/>
      <c r="X19268" s="4"/>
      <c r="Y19268" s="4"/>
    </row>
    <row r="19269" spans="5:25">
      <c r="E19269"/>
      <c r="G19269"/>
      <c r="H19269"/>
      <c r="I19269"/>
      <c r="K19269"/>
      <c r="O19269"/>
      <c r="R19269"/>
      <c r="W19269" s="4"/>
      <c r="X19269" s="4"/>
      <c r="Y19269" s="4"/>
    </row>
    <row r="19270" spans="5:25">
      <c r="E19270"/>
      <c r="G19270"/>
      <c r="H19270"/>
      <c r="I19270"/>
      <c r="K19270"/>
      <c r="O19270"/>
      <c r="R19270"/>
      <c r="W19270" s="4"/>
      <c r="X19270" s="4"/>
      <c r="Y19270" s="4"/>
    </row>
    <row r="19271" spans="5:25">
      <c r="E19271"/>
      <c r="G19271"/>
      <c r="H19271"/>
      <c r="I19271"/>
      <c r="K19271"/>
      <c r="O19271"/>
      <c r="R19271"/>
      <c r="W19271" s="4"/>
      <c r="X19271" s="4"/>
      <c r="Y19271" s="4"/>
    </row>
    <row r="19272" spans="5:25">
      <c r="E19272"/>
      <c r="G19272"/>
      <c r="H19272"/>
      <c r="I19272"/>
      <c r="K19272"/>
      <c r="O19272"/>
      <c r="R19272"/>
      <c r="W19272" s="4"/>
      <c r="X19272" s="4"/>
      <c r="Y19272" s="4"/>
    </row>
    <row r="19273" spans="5:25">
      <c r="E19273"/>
      <c r="G19273"/>
      <c r="H19273"/>
      <c r="I19273"/>
      <c r="K19273"/>
      <c r="O19273"/>
      <c r="R19273"/>
      <c r="W19273" s="4"/>
      <c r="X19273" s="4"/>
      <c r="Y19273" s="4"/>
    </row>
    <row r="19274" spans="5:25">
      <c r="E19274"/>
      <c r="G19274"/>
      <c r="H19274"/>
      <c r="I19274"/>
      <c r="K19274"/>
      <c r="O19274"/>
      <c r="R19274"/>
      <c r="W19274" s="4"/>
      <c r="X19274" s="4"/>
      <c r="Y19274" s="4"/>
    </row>
    <row r="19275" spans="5:25">
      <c r="E19275"/>
      <c r="G19275"/>
      <c r="H19275"/>
      <c r="I19275"/>
      <c r="K19275"/>
      <c r="O19275"/>
      <c r="R19275"/>
      <c r="W19275" s="4"/>
      <c r="X19275" s="4"/>
      <c r="Y19275" s="4"/>
    </row>
    <row r="19276" spans="5:25">
      <c r="E19276"/>
      <c r="G19276"/>
      <c r="H19276"/>
      <c r="I19276"/>
      <c r="K19276"/>
      <c r="O19276"/>
      <c r="R19276"/>
      <c r="W19276" s="4"/>
      <c r="X19276" s="4"/>
      <c r="Y19276" s="4"/>
    </row>
    <row r="19277" spans="5:25">
      <c r="E19277"/>
      <c r="G19277"/>
      <c r="H19277"/>
      <c r="I19277"/>
      <c r="K19277"/>
      <c r="O19277"/>
      <c r="R19277"/>
      <c r="W19277" s="4"/>
      <c r="X19277" s="4"/>
      <c r="Y19277" s="4"/>
    </row>
    <row r="19278" spans="5:25">
      <c r="E19278"/>
      <c r="G19278"/>
      <c r="H19278"/>
      <c r="I19278"/>
      <c r="K19278"/>
      <c r="O19278"/>
      <c r="R19278"/>
      <c r="W19278" s="4"/>
      <c r="X19278" s="4"/>
      <c r="Y19278" s="4"/>
    </row>
    <row r="19279" spans="5:25">
      <c r="E19279"/>
      <c r="G19279"/>
      <c r="H19279"/>
      <c r="I19279"/>
      <c r="K19279"/>
      <c r="O19279"/>
      <c r="R19279"/>
      <c r="W19279" s="4"/>
      <c r="X19279" s="4"/>
      <c r="Y19279" s="4"/>
    </row>
    <row r="19280" spans="5:25">
      <c r="E19280"/>
      <c r="G19280"/>
      <c r="H19280"/>
      <c r="I19280"/>
      <c r="K19280"/>
      <c r="O19280"/>
      <c r="R19280"/>
      <c r="W19280" s="4"/>
      <c r="X19280" s="4"/>
      <c r="Y19280" s="4"/>
    </row>
    <row r="19281" spans="5:25">
      <c r="E19281"/>
      <c r="G19281"/>
      <c r="H19281"/>
      <c r="I19281"/>
      <c r="K19281"/>
      <c r="O19281"/>
      <c r="R19281"/>
      <c r="W19281" s="4"/>
      <c r="X19281" s="4"/>
      <c r="Y19281" s="4"/>
    </row>
    <row r="19282" spans="5:25">
      <c r="E19282"/>
      <c r="G19282"/>
      <c r="H19282"/>
      <c r="I19282"/>
      <c r="K19282"/>
      <c r="O19282"/>
      <c r="R19282"/>
      <c r="W19282" s="4"/>
      <c r="X19282" s="4"/>
      <c r="Y19282" s="4"/>
    </row>
    <row r="19283" spans="5:25">
      <c r="E19283"/>
      <c r="G19283"/>
      <c r="H19283"/>
      <c r="I19283"/>
      <c r="K19283"/>
      <c r="O19283"/>
      <c r="R19283"/>
      <c r="W19283" s="4"/>
      <c r="X19283" s="4"/>
      <c r="Y19283" s="4"/>
    </row>
    <row r="19284" spans="5:25">
      <c r="E19284"/>
      <c r="G19284"/>
      <c r="H19284"/>
      <c r="I19284"/>
      <c r="K19284"/>
      <c r="O19284"/>
      <c r="R19284"/>
      <c r="W19284" s="4"/>
      <c r="X19284" s="4"/>
      <c r="Y19284" s="4"/>
    </row>
    <row r="19285" spans="5:25">
      <c r="E19285"/>
      <c r="G19285"/>
      <c r="H19285"/>
      <c r="I19285"/>
      <c r="K19285"/>
      <c r="O19285"/>
      <c r="R19285"/>
      <c r="W19285" s="4"/>
      <c r="X19285" s="4"/>
      <c r="Y19285" s="4"/>
    </row>
    <row r="19286" spans="5:25">
      <c r="E19286"/>
      <c r="G19286"/>
      <c r="H19286"/>
      <c r="I19286"/>
      <c r="K19286"/>
      <c r="O19286"/>
      <c r="R19286"/>
      <c r="W19286" s="4"/>
      <c r="X19286" s="4"/>
      <c r="Y19286" s="4"/>
    </row>
    <row r="19287" spans="5:25">
      <c r="E19287"/>
      <c r="G19287"/>
      <c r="H19287"/>
      <c r="I19287"/>
      <c r="K19287"/>
      <c r="O19287"/>
      <c r="R19287"/>
      <c r="W19287" s="4"/>
      <c r="X19287" s="4"/>
      <c r="Y19287" s="4"/>
    </row>
    <row r="19288" spans="5:25">
      <c r="E19288"/>
      <c r="G19288"/>
      <c r="H19288"/>
      <c r="I19288"/>
      <c r="K19288"/>
      <c r="O19288"/>
      <c r="R19288"/>
      <c r="W19288" s="4"/>
      <c r="X19288" s="4"/>
      <c r="Y19288" s="4"/>
    </row>
    <row r="19289" spans="5:25">
      <c r="E19289"/>
      <c r="G19289"/>
      <c r="H19289"/>
      <c r="I19289"/>
      <c r="K19289"/>
      <c r="O19289"/>
      <c r="R19289"/>
      <c r="W19289" s="4"/>
      <c r="X19289" s="4"/>
      <c r="Y19289" s="4"/>
    </row>
    <row r="19290" spans="5:25">
      <c r="E19290"/>
      <c r="G19290"/>
      <c r="H19290"/>
      <c r="I19290"/>
      <c r="K19290"/>
      <c r="O19290"/>
      <c r="R19290"/>
      <c r="W19290" s="4"/>
      <c r="X19290" s="4"/>
      <c r="Y19290" s="4"/>
    </row>
    <row r="19291" spans="5:25">
      <c r="E19291"/>
      <c r="G19291"/>
      <c r="H19291"/>
      <c r="I19291"/>
      <c r="K19291"/>
      <c r="O19291"/>
      <c r="R19291"/>
      <c r="W19291" s="4"/>
      <c r="X19291" s="4"/>
      <c r="Y19291" s="4"/>
    </row>
    <row r="19292" spans="5:25">
      <c r="E19292"/>
      <c r="G19292"/>
      <c r="H19292"/>
      <c r="I19292"/>
      <c r="K19292"/>
      <c r="O19292"/>
      <c r="R19292"/>
      <c r="W19292" s="4"/>
      <c r="X19292" s="4"/>
      <c r="Y19292" s="4"/>
    </row>
    <row r="19293" spans="5:25">
      <c r="E19293"/>
      <c r="G19293"/>
      <c r="H19293"/>
      <c r="I19293"/>
      <c r="K19293"/>
      <c r="O19293"/>
      <c r="R19293"/>
      <c r="W19293" s="4"/>
      <c r="X19293" s="4"/>
      <c r="Y19293" s="4"/>
    </row>
    <row r="19294" spans="5:25">
      <c r="E19294"/>
      <c r="G19294"/>
      <c r="H19294"/>
      <c r="I19294"/>
      <c r="K19294"/>
      <c r="O19294"/>
      <c r="R19294"/>
      <c r="W19294" s="4"/>
      <c r="X19294" s="4"/>
      <c r="Y19294" s="4"/>
    </row>
    <row r="19295" spans="5:25">
      <c r="E19295"/>
      <c r="G19295"/>
      <c r="H19295"/>
      <c r="I19295"/>
      <c r="K19295"/>
      <c r="O19295"/>
      <c r="R19295"/>
      <c r="W19295" s="4"/>
      <c r="X19295" s="4"/>
      <c r="Y19295" s="4"/>
    </row>
    <row r="19296" spans="5:25">
      <c r="E19296"/>
      <c r="G19296"/>
      <c r="H19296"/>
      <c r="I19296"/>
      <c r="K19296"/>
      <c r="O19296"/>
      <c r="R19296"/>
      <c r="W19296" s="4"/>
      <c r="X19296" s="4"/>
      <c r="Y19296" s="4"/>
    </row>
    <row r="19297" spans="5:25">
      <c r="E19297"/>
      <c r="G19297"/>
      <c r="H19297"/>
      <c r="I19297"/>
      <c r="K19297"/>
      <c r="O19297"/>
      <c r="R19297"/>
      <c r="W19297" s="4"/>
      <c r="X19297" s="4"/>
      <c r="Y19297" s="4"/>
    </row>
    <row r="19298" spans="5:25">
      <c r="E19298"/>
      <c r="G19298"/>
      <c r="H19298"/>
      <c r="I19298"/>
      <c r="K19298"/>
      <c r="O19298"/>
      <c r="R19298"/>
      <c r="W19298" s="4"/>
      <c r="X19298" s="4"/>
      <c r="Y19298" s="4"/>
    </row>
    <row r="19299" spans="5:25">
      <c r="E19299"/>
      <c r="G19299"/>
      <c r="H19299"/>
      <c r="I19299"/>
      <c r="K19299"/>
      <c r="O19299"/>
      <c r="R19299"/>
      <c r="W19299" s="4"/>
      <c r="X19299" s="4"/>
      <c r="Y19299" s="4"/>
    </row>
    <row r="19300" spans="5:25">
      <c r="E19300"/>
      <c r="G19300"/>
      <c r="H19300"/>
      <c r="I19300"/>
      <c r="K19300"/>
      <c r="O19300"/>
      <c r="R19300"/>
      <c r="W19300" s="4"/>
      <c r="X19300" s="4"/>
      <c r="Y19300" s="4"/>
    </row>
    <row r="19301" spans="5:25">
      <c r="E19301"/>
      <c r="G19301"/>
      <c r="H19301"/>
      <c r="I19301"/>
      <c r="K19301"/>
      <c r="O19301"/>
      <c r="R19301"/>
      <c r="W19301" s="4"/>
      <c r="X19301" s="4"/>
      <c r="Y19301" s="4"/>
    </row>
    <row r="19302" spans="5:25">
      <c r="E19302"/>
      <c r="G19302"/>
      <c r="H19302"/>
      <c r="I19302"/>
      <c r="K19302"/>
      <c r="O19302"/>
      <c r="R19302"/>
      <c r="W19302" s="4"/>
      <c r="X19302" s="4"/>
      <c r="Y19302" s="4"/>
    </row>
    <row r="19303" spans="5:25">
      <c r="E19303"/>
      <c r="G19303"/>
      <c r="H19303"/>
      <c r="I19303"/>
      <c r="K19303"/>
      <c r="O19303"/>
      <c r="R19303"/>
      <c r="W19303" s="4"/>
      <c r="X19303" s="4"/>
      <c r="Y19303" s="4"/>
    </row>
    <row r="19304" spans="5:25">
      <c r="E19304"/>
      <c r="G19304"/>
      <c r="H19304"/>
      <c r="I19304"/>
      <c r="K19304"/>
      <c r="O19304"/>
      <c r="R19304"/>
      <c r="W19304" s="4"/>
      <c r="X19304" s="4"/>
      <c r="Y19304" s="4"/>
    </row>
    <row r="19305" spans="5:25">
      <c r="E19305"/>
      <c r="G19305"/>
      <c r="H19305"/>
      <c r="I19305"/>
      <c r="K19305"/>
      <c r="O19305"/>
      <c r="R19305"/>
      <c r="W19305" s="4"/>
      <c r="X19305" s="4"/>
      <c r="Y19305" s="4"/>
    </row>
    <row r="19306" spans="5:25">
      <c r="E19306"/>
      <c r="G19306"/>
      <c r="H19306"/>
      <c r="I19306"/>
      <c r="K19306"/>
      <c r="O19306"/>
      <c r="R19306"/>
      <c r="W19306" s="4"/>
      <c r="X19306" s="4"/>
      <c r="Y19306" s="4"/>
    </row>
    <row r="19307" spans="5:25">
      <c r="E19307"/>
      <c r="G19307"/>
      <c r="H19307"/>
      <c r="I19307"/>
      <c r="K19307"/>
      <c r="O19307"/>
      <c r="R19307"/>
      <c r="W19307" s="4"/>
      <c r="X19307" s="4"/>
      <c r="Y19307" s="4"/>
    </row>
    <row r="19308" spans="5:25">
      <c r="E19308"/>
      <c r="G19308"/>
      <c r="H19308"/>
      <c r="I19308"/>
      <c r="K19308"/>
      <c r="O19308"/>
      <c r="R19308"/>
      <c r="W19308" s="4"/>
      <c r="X19308" s="4"/>
      <c r="Y19308" s="4"/>
    </row>
    <row r="19309" spans="5:25">
      <c r="E19309"/>
      <c r="G19309"/>
      <c r="H19309"/>
      <c r="I19309"/>
      <c r="K19309"/>
      <c r="O19309"/>
      <c r="R19309"/>
      <c r="W19309" s="4"/>
      <c r="X19309" s="4"/>
      <c r="Y19309" s="4"/>
    </row>
    <row r="19310" spans="5:25">
      <c r="E19310"/>
      <c r="G19310"/>
      <c r="H19310"/>
      <c r="I19310"/>
      <c r="K19310"/>
      <c r="O19310"/>
      <c r="R19310"/>
      <c r="W19310" s="4"/>
      <c r="X19310" s="4"/>
      <c r="Y19310" s="4"/>
    </row>
    <row r="19311" spans="5:25">
      <c r="E19311"/>
      <c r="G19311"/>
      <c r="H19311"/>
      <c r="I19311"/>
      <c r="K19311"/>
      <c r="O19311"/>
      <c r="R19311"/>
      <c r="W19311" s="4"/>
      <c r="X19311" s="4"/>
      <c r="Y19311" s="4"/>
    </row>
    <row r="19312" spans="5:25">
      <c r="E19312"/>
      <c r="G19312"/>
      <c r="H19312"/>
      <c r="I19312"/>
      <c r="K19312"/>
      <c r="O19312"/>
      <c r="R19312"/>
      <c r="W19312" s="4"/>
      <c r="X19312" s="4"/>
      <c r="Y19312" s="4"/>
    </row>
    <row r="19313" spans="5:25">
      <c r="E19313"/>
      <c r="G19313"/>
      <c r="H19313"/>
      <c r="I19313"/>
      <c r="K19313"/>
      <c r="O19313"/>
      <c r="R19313"/>
      <c r="W19313" s="4"/>
      <c r="X19313" s="4"/>
      <c r="Y19313" s="4"/>
    </row>
    <row r="19314" spans="5:25">
      <c r="E19314"/>
      <c r="G19314"/>
      <c r="H19314"/>
      <c r="I19314"/>
      <c r="K19314"/>
      <c r="O19314"/>
      <c r="R19314"/>
      <c r="W19314" s="4"/>
      <c r="X19314" s="4"/>
      <c r="Y19314" s="4"/>
    </row>
    <row r="19315" spans="5:25">
      <c r="E19315"/>
      <c r="G19315"/>
      <c r="H19315"/>
      <c r="I19315"/>
      <c r="K19315"/>
      <c r="O19315"/>
      <c r="R19315"/>
      <c r="W19315" s="4"/>
      <c r="X19315" s="4"/>
      <c r="Y19315" s="4"/>
    </row>
    <row r="19316" spans="5:25">
      <c r="E19316"/>
      <c r="G19316"/>
      <c r="H19316"/>
      <c r="I19316"/>
      <c r="K19316"/>
      <c r="O19316"/>
      <c r="R19316"/>
      <c r="W19316" s="4"/>
      <c r="X19316" s="4"/>
      <c r="Y19316" s="4"/>
    </row>
    <row r="19317" spans="5:25">
      <c r="E19317"/>
      <c r="G19317"/>
      <c r="H19317"/>
      <c r="I19317"/>
      <c r="K19317"/>
      <c r="O19317"/>
      <c r="R19317"/>
      <c r="W19317" s="4"/>
      <c r="X19317" s="4"/>
      <c r="Y19317" s="4"/>
    </row>
    <row r="19318" spans="5:25">
      <c r="E19318"/>
      <c r="G19318"/>
      <c r="H19318"/>
      <c r="I19318"/>
      <c r="K19318"/>
      <c r="O19318"/>
      <c r="R19318"/>
      <c r="W19318" s="4"/>
      <c r="X19318" s="4"/>
      <c r="Y19318" s="4"/>
    </row>
    <row r="19319" spans="5:25">
      <c r="E19319"/>
      <c r="G19319"/>
      <c r="H19319"/>
      <c r="I19319"/>
      <c r="K19319"/>
      <c r="O19319"/>
      <c r="R19319"/>
      <c r="W19319" s="4"/>
      <c r="X19319" s="4"/>
      <c r="Y19319" s="4"/>
    </row>
    <row r="19320" spans="5:25">
      <c r="E19320"/>
      <c r="G19320"/>
      <c r="H19320"/>
      <c r="I19320"/>
      <c r="K19320"/>
      <c r="O19320"/>
      <c r="R19320"/>
      <c r="W19320" s="4"/>
      <c r="X19320" s="4"/>
      <c r="Y19320" s="4"/>
    </row>
    <row r="19321" spans="5:25">
      <c r="E19321"/>
      <c r="G19321"/>
      <c r="H19321"/>
      <c r="I19321"/>
      <c r="K19321"/>
      <c r="O19321"/>
      <c r="R19321"/>
      <c r="W19321" s="4"/>
      <c r="X19321" s="4"/>
      <c r="Y19321" s="4"/>
    </row>
    <row r="19322" spans="5:25">
      <c r="E19322"/>
      <c r="G19322"/>
      <c r="H19322"/>
      <c r="I19322"/>
      <c r="K19322"/>
      <c r="O19322"/>
      <c r="R19322"/>
      <c r="W19322" s="4"/>
      <c r="X19322" s="4"/>
      <c r="Y19322" s="4"/>
    </row>
    <row r="19323" spans="5:25">
      <c r="E19323"/>
      <c r="G19323"/>
      <c r="H19323"/>
      <c r="I19323"/>
      <c r="K19323"/>
      <c r="O19323"/>
      <c r="R19323"/>
      <c r="W19323" s="4"/>
      <c r="X19323" s="4"/>
      <c r="Y19323" s="4"/>
    </row>
    <row r="19324" spans="5:25">
      <c r="E19324"/>
      <c r="G19324"/>
      <c r="H19324"/>
      <c r="I19324"/>
      <c r="K19324"/>
      <c r="O19324"/>
      <c r="R19324"/>
      <c r="W19324" s="4"/>
      <c r="X19324" s="4"/>
      <c r="Y19324" s="4"/>
    </row>
    <row r="19325" spans="5:25">
      <c r="E19325"/>
      <c r="G19325"/>
      <c r="H19325"/>
      <c r="I19325"/>
      <c r="K19325"/>
      <c r="O19325"/>
      <c r="R19325"/>
      <c r="W19325" s="4"/>
      <c r="X19325" s="4"/>
      <c r="Y19325" s="4"/>
    </row>
    <row r="19326" spans="5:25">
      <c r="E19326"/>
      <c r="G19326"/>
      <c r="H19326"/>
      <c r="I19326"/>
      <c r="K19326"/>
      <c r="O19326"/>
      <c r="R19326"/>
      <c r="W19326" s="4"/>
      <c r="X19326" s="4"/>
      <c r="Y19326" s="4"/>
    </row>
    <row r="19327" spans="5:25">
      <c r="E19327"/>
      <c r="G19327"/>
      <c r="H19327"/>
      <c r="I19327"/>
      <c r="K19327"/>
      <c r="O19327"/>
      <c r="R19327"/>
      <c r="W19327" s="4"/>
      <c r="X19327" s="4"/>
      <c r="Y19327" s="4"/>
    </row>
    <row r="19328" spans="5:25">
      <c r="E19328"/>
      <c r="G19328"/>
      <c r="H19328"/>
      <c r="I19328"/>
      <c r="K19328"/>
      <c r="O19328"/>
      <c r="R19328"/>
      <c r="W19328" s="4"/>
      <c r="X19328" s="4"/>
      <c r="Y19328" s="4"/>
    </row>
    <row r="19329" spans="5:25">
      <c r="E19329"/>
      <c r="G19329"/>
      <c r="H19329"/>
      <c r="I19329"/>
      <c r="K19329"/>
      <c r="O19329"/>
      <c r="R19329"/>
      <c r="W19329" s="4"/>
      <c r="X19329" s="4"/>
      <c r="Y19329" s="4"/>
    </row>
    <row r="19330" spans="5:25">
      <c r="E19330"/>
      <c r="G19330"/>
      <c r="H19330"/>
      <c r="I19330"/>
      <c r="K19330"/>
      <c r="O19330"/>
      <c r="R19330"/>
      <c r="W19330" s="4"/>
      <c r="X19330" s="4"/>
      <c r="Y19330" s="4"/>
    </row>
    <row r="19331" spans="5:25">
      <c r="E19331"/>
      <c r="G19331"/>
      <c r="H19331"/>
      <c r="I19331"/>
      <c r="K19331"/>
      <c r="O19331"/>
      <c r="R19331"/>
      <c r="W19331" s="4"/>
      <c r="X19331" s="4"/>
      <c r="Y19331" s="4"/>
    </row>
    <row r="19332" spans="5:25">
      <c r="E19332"/>
      <c r="G19332"/>
      <c r="H19332"/>
      <c r="I19332"/>
      <c r="K19332"/>
      <c r="O19332"/>
      <c r="R19332"/>
      <c r="W19332" s="4"/>
      <c r="X19332" s="4"/>
      <c r="Y19332" s="4"/>
    </row>
    <row r="19333" spans="5:25">
      <c r="E19333"/>
      <c r="G19333"/>
      <c r="H19333"/>
      <c r="I19333"/>
      <c r="K19333"/>
      <c r="O19333"/>
      <c r="R19333"/>
      <c r="W19333" s="4"/>
      <c r="X19333" s="4"/>
      <c r="Y19333" s="4"/>
    </row>
    <row r="19334" spans="5:25">
      <c r="E19334"/>
      <c r="G19334"/>
      <c r="H19334"/>
      <c r="I19334"/>
      <c r="K19334"/>
      <c r="O19334"/>
      <c r="R19334"/>
      <c r="W19334" s="4"/>
      <c r="X19334" s="4"/>
      <c r="Y19334" s="4"/>
    </row>
    <row r="19335" spans="5:25">
      <c r="E19335"/>
      <c r="G19335"/>
      <c r="H19335"/>
      <c r="I19335"/>
      <c r="K19335"/>
      <c r="O19335"/>
      <c r="R19335"/>
      <c r="W19335" s="4"/>
      <c r="X19335" s="4"/>
      <c r="Y19335" s="4"/>
    </row>
    <row r="19336" spans="5:25">
      <c r="E19336"/>
      <c r="G19336"/>
      <c r="H19336"/>
      <c r="I19336"/>
      <c r="K19336"/>
      <c r="O19336"/>
      <c r="R19336"/>
      <c r="W19336" s="4"/>
      <c r="X19336" s="4"/>
      <c r="Y19336" s="4"/>
    </row>
    <row r="19337" spans="5:25">
      <c r="E19337"/>
      <c r="G19337"/>
      <c r="H19337"/>
      <c r="I19337"/>
      <c r="K19337"/>
      <c r="O19337"/>
      <c r="R19337"/>
      <c r="W19337" s="4"/>
      <c r="X19337" s="4"/>
      <c r="Y19337" s="4"/>
    </row>
    <row r="19338" spans="5:25">
      <c r="E19338"/>
      <c r="G19338"/>
      <c r="H19338"/>
      <c r="I19338"/>
      <c r="K19338"/>
      <c r="O19338"/>
      <c r="R19338"/>
      <c r="W19338" s="4"/>
      <c r="X19338" s="4"/>
      <c r="Y19338" s="4"/>
    </row>
    <row r="19339" spans="5:25">
      <c r="E19339"/>
      <c r="G19339"/>
      <c r="H19339"/>
      <c r="I19339"/>
      <c r="K19339"/>
      <c r="O19339"/>
      <c r="R19339"/>
      <c r="W19339" s="4"/>
      <c r="X19339" s="4"/>
      <c r="Y19339" s="4"/>
    </row>
    <row r="19340" spans="5:25">
      <c r="E19340"/>
      <c r="G19340"/>
      <c r="H19340"/>
      <c r="I19340"/>
      <c r="K19340"/>
      <c r="O19340"/>
      <c r="R19340"/>
      <c r="W19340" s="4"/>
      <c r="X19340" s="4"/>
      <c r="Y19340" s="4"/>
    </row>
    <row r="19341" spans="5:25">
      <c r="E19341"/>
      <c r="G19341"/>
      <c r="H19341"/>
      <c r="I19341"/>
      <c r="K19341"/>
      <c r="O19341"/>
      <c r="R19341"/>
      <c r="W19341" s="4"/>
      <c r="X19341" s="4"/>
      <c r="Y19341" s="4"/>
    </row>
    <row r="19342" spans="5:25">
      <c r="E19342"/>
      <c r="G19342"/>
      <c r="H19342"/>
      <c r="I19342"/>
      <c r="K19342"/>
      <c r="O19342"/>
      <c r="R19342"/>
      <c r="W19342" s="4"/>
      <c r="X19342" s="4"/>
      <c r="Y19342" s="4"/>
    </row>
    <row r="19343" spans="5:25">
      <c r="E19343"/>
      <c r="G19343"/>
      <c r="H19343"/>
      <c r="I19343"/>
      <c r="K19343"/>
      <c r="O19343"/>
      <c r="R19343"/>
      <c r="W19343" s="4"/>
      <c r="X19343" s="4"/>
      <c r="Y19343" s="4"/>
    </row>
    <row r="19344" spans="5:25">
      <c r="E19344"/>
      <c r="G19344"/>
      <c r="H19344"/>
      <c r="I19344"/>
      <c r="K19344"/>
      <c r="O19344"/>
      <c r="R19344"/>
      <c r="W19344" s="4"/>
      <c r="X19344" s="4"/>
      <c r="Y19344" s="4"/>
    </row>
    <row r="19345" spans="5:25">
      <c r="E19345"/>
      <c r="G19345"/>
      <c r="H19345"/>
      <c r="I19345"/>
      <c r="K19345"/>
      <c r="O19345"/>
      <c r="R19345"/>
      <c r="W19345" s="4"/>
      <c r="X19345" s="4"/>
      <c r="Y19345" s="4"/>
    </row>
    <row r="19346" spans="5:25">
      <c r="E19346"/>
      <c r="G19346"/>
      <c r="H19346"/>
      <c r="I19346"/>
      <c r="K19346"/>
      <c r="O19346"/>
      <c r="R19346"/>
      <c r="W19346" s="4"/>
      <c r="X19346" s="4"/>
      <c r="Y19346" s="4"/>
    </row>
    <row r="19347" spans="5:25">
      <c r="E19347"/>
      <c r="G19347"/>
      <c r="H19347"/>
      <c r="I19347"/>
      <c r="K19347"/>
      <c r="O19347"/>
      <c r="R19347"/>
      <c r="W19347" s="4"/>
      <c r="X19347" s="4"/>
      <c r="Y19347" s="4"/>
    </row>
    <row r="19348" spans="5:25">
      <c r="E19348"/>
      <c r="G19348"/>
      <c r="H19348"/>
      <c r="I19348"/>
      <c r="K19348"/>
      <c r="O19348"/>
      <c r="R19348"/>
      <c r="W19348" s="4"/>
      <c r="X19348" s="4"/>
      <c r="Y19348" s="4"/>
    </row>
    <row r="19349" spans="5:25">
      <c r="E19349"/>
      <c r="G19349"/>
      <c r="H19349"/>
      <c r="I19349"/>
      <c r="K19349"/>
      <c r="O19349"/>
      <c r="R19349"/>
      <c r="W19349" s="4"/>
      <c r="X19349" s="4"/>
      <c r="Y19349" s="4"/>
    </row>
    <row r="19350" spans="5:25">
      <c r="E19350"/>
      <c r="G19350"/>
      <c r="H19350"/>
      <c r="I19350"/>
      <c r="K19350"/>
      <c r="O19350"/>
      <c r="R19350"/>
      <c r="W19350" s="4"/>
      <c r="X19350" s="4"/>
      <c r="Y19350" s="4"/>
    </row>
    <row r="19351" spans="5:25">
      <c r="E19351"/>
      <c r="G19351"/>
      <c r="H19351"/>
      <c r="I19351"/>
      <c r="K19351"/>
      <c r="O19351"/>
      <c r="R19351"/>
      <c r="W19351" s="4"/>
      <c r="X19351" s="4"/>
      <c r="Y19351" s="4"/>
    </row>
    <row r="19352" spans="5:25">
      <c r="E19352"/>
      <c r="G19352"/>
      <c r="H19352"/>
      <c r="I19352"/>
      <c r="K19352"/>
      <c r="O19352"/>
      <c r="R19352"/>
      <c r="W19352" s="4"/>
      <c r="X19352" s="4"/>
      <c r="Y19352" s="4"/>
    </row>
    <row r="19353" spans="5:25">
      <c r="E19353"/>
      <c r="G19353"/>
      <c r="H19353"/>
      <c r="I19353"/>
      <c r="K19353"/>
      <c r="O19353"/>
      <c r="R19353"/>
      <c r="W19353" s="4"/>
      <c r="X19353" s="4"/>
      <c r="Y19353" s="4"/>
    </row>
    <row r="19354" spans="5:25">
      <c r="E19354"/>
      <c r="G19354"/>
      <c r="H19354"/>
      <c r="I19354"/>
      <c r="K19354"/>
      <c r="O19354"/>
      <c r="R19354"/>
      <c r="W19354" s="4"/>
      <c r="X19354" s="4"/>
      <c r="Y19354" s="4"/>
    </row>
    <row r="19355" spans="5:25">
      <c r="E19355"/>
      <c r="G19355"/>
      <c r="H19355"/>
      <c r="I19355"/>
      <c r="K19355"/>
      <c r="O19355"/>
      <c r="R19355"/>
      <c r="W19355" s="4"/>
      <c r="X19355" s="4"/>
      <c r="Y19355" s="4"/>
    </row>
    <row r="19356" spans="5:25">
      <c r="E19356"/>
      <c r="G19356"/>
      <c r="H19356"/>
      <c r="I19356"/>
      <c r="K19356"/>
      <c r="O19356"/>
      <c r="R19356"/>
      <c r="W19356" s="4"/>
      <c r="X19356" s="4"/>
      <c r="Y19356" s="4"/>
    </row>
    <row r="19357" spans="5:25">
      <c r="E19357"/>
      <c r="G19357"/>
      <c r="H19357"/>
      <c r="I19357"/>
      <c r="K19357"/>
      <c r="O19357"/>
      <c r="R19357"/>
      <c r="W19357" s="4"/>
      <c r="X19357" s="4"/>
      <c r="Y19357" s="4"/>
    </row>
    <row r="19358" spans="5:25">
      <c r="E19358"/>
      <c r="G19358"/>
      <c r="H19358"/>
      <c r="I19358"/>
      <c r="K19358"/>
      <c r="O19358"/>
      <c r="R19358"/>
      <c r="W19358" s="4"/>
      <c r="X19358" s="4"/>
      <c r="Y19358" s="4"/>
    </row>
    <row r="19359" spans="5:25">
      <c r="E19359"/>
      <c r="G19359"/>
      <c r="H19359"/>
      <c r="I19359"/>
      <c r="K19359"/>
      <c r="O19359"/>
      <c r="R19359"/>
      <c r="W19359" s="4"/>
      <c r="X19359" s="4"/>
      <c r="Y19359" s="4"/>
    </row>
    <row r="19360" spans="5:25">
      <c r="E19360"/>
      <c r="G19360"/>
      <c r="H19360"/>
      <c r="I19360"/>
      <c r="K19360"/>
      <c r="O19360"/>
      <c r="R19360"/>
      <c r="W19360" s="4"/>
      <c r="X19360" s="4"/>
      <c r="Y19360" s="4"/>
    </row>
    <row r="19361" spans="5:25">
      <c r="E19361"/>
      <c r="G19361"/>
      <c r="H19361"/>
      <c r="I19361"/>
      <c r="K19361"/>
      <c r="O19361"/>
      <c r="R19361"/>
      <c r="W19361" s="4"/>
      <c r="X19361" s="4"/>
      <c r="Y19361" s="4"/>
    </row>
    <row r="19362" spans="5:25">
      <c r="E19362"/>
      <c r="G19362"/>
      <c r="H19362"/>
      <c r="I19362"/>
      <c r="K19362"/>
      <c r="O19362"/>
      <c r="R19362"/>
      <c r="W19362" s="4"/>
      <c r="X19362" s="4"/>
      <c r="Y19362" s="4"/>
    </row>
    <row r="19363" spans="5:25">
      <c r="E19363"/>
      <c r="G19363"/>
      <c r="H19363"/>
      <c r="I19363"/>
      <c r="K19363"/>
      <c r="O19363"/>
      <c r="R19363"/>
      <c r="W19363" s="4"/>
      <c r="X19363" s="4"/>
      <c r="Y19363" s="4"/>
    </row>
    <row r="19364" spans="5:25">
      <c r="E19364"/>
      <c r="G19364"/>
      <c r="H19364"/>
      <c r="I19364"/>
      <c r="K19364"/>
      <c r="O19364"/>
      <c r="R19364"/>
      <c r="W19364" s="4"/>
      <c r="X19364" s="4"/>
      <c r="Y19364" s="4"/>
    </row>
    <row r="19365" spans="5:25">
      <c r="E19365"/>
      <c r="G19365"/>
      <c r="H19365"/>
      <c r="I19365"/>
      <c r="K19365"/>
      <c r="O19365"/>
      <c r="R19365"/>
      <c r="W19365" s="4"/>
      <c r="X19365" s="4"/>
      <c r="Y19365" s="4"/>
    </row>
    <row r="19366" spans="5:25">
      <c r="E19366"/>
      <c r="G19366"/>
      <c r="H19366"/>
      <c r="I19366"/>
      <c r="K19366"/>
      <c r="O19366"/>
      <c r="R19366"/>
      <c r="W19366" s="4"/>
      <c r="X19366" s="4"/>
      <c r="Y19366" s="4"/>
    </row>
    <row r="19367" spans="5:25">
      <c r="E19367"/>
      <c r="G19367"/>
      <c r="H19367"/>
      <c r="I19367"/>
      <c r="K19367"/>
      <c r="O19367"/>
      <c r="R19367"/>
      <c r="W19367" s="4"/>
      <c r="X19367" s="4"/>
      <c r="Y19367" s="4"/>
    </row>
    <row r="19368" spans="5:25">
      <c r="E19368"/>
      <c r="G19368"/>
      <c r="H19368"/>
      <c r="I19368"/>
      <c r="K19368"/>
      <c r="O19368"/>
      <c r="R19368"/>
      <c r="W19368" s="4"/>
      <c r="X19368" s="4"/>
      <c r="Y19368" s="4"/>
    </row>
    <row r="19369" spans="5:25">
      <c r="E19369"/>
      <c r="G19369"/>
      <c r="H19369"/>
      <c r="I19369"/>
      <c r="K19369"/>
      <c r="O19369"/>
      <c r="R19369"/>
      <c r="W19369" s="4"/>
      <c r="X19369" s="4"/>
      <c r="Y19369" s="4"/>
    </row>
    <row r="19370" spans="5:25">
      <c r="E19370"/>
      <c r="G19370"/>
      <c r="H19370"/>
      <c r="I19370"/>
      <c r="K19370"/>
      <c r="O19370"/>
      <c r="R19370"/>
      <c r="W19370" s="4"/>
      <c r="X19370" s="4"/>
      <c r="Y19370" s="4"/>
    </row>
    <row r="19371" spans="5:25">
      <c r="E19371"/>
      <c r="G19371"/>
      <c r="H19371"/>
      <c r="I19371"/>
      <c r="K19371"/>
      <c r="O19371"/>
      <c r="R19371"/>
      <c r="W19371" s="4"/>
      <c r="X19371" s="4"/>
      <c r="Y19371" s="4"/>
    </row>
    <row r="19372" spans="5:25">
      <c r="E19372"/>
      <c r="G19372"/>
      <c r="H19372"/>
      <c r="I19372"/>
      <c r="K19372"/>
      <c r="O19372"/>
      <c r="R19372"/>
      <c r="W19372" s="4"/>
      <c r="X19372" s="4"/>
      <c r="Y19372" s="4"/>
    </row>
    <row r="19373" spans="5:25">
      <c r="E19373"/>
      <c r="G19373"/>
      <c r="H19373"/>
      <c r="I19373"/>
      <c r="K19373"/>
      <c r="O19373"/>
      <c r="R19373"/>
      <c r="W19373" s="4"/>
      <c r="X19373" s="4"/>
      <c r="Y19373" s="4"/>
    </row>
    <row r="19374" spans="5:25">
      <c r="E19374"/>
      <c r="G19374"/>
      <c r="H19374"/>
      <c r="I19374"/>
      <c r="K19374"/>
      <c r="O19374"/>
      <c r="R19374"/>
      <c r="W19374" s="4"/>
      <c r="X19374" s="4"/>
      <c r="Y19374" s="4"/>
    </row>
    <row r="19375" spans="5:25">
      <c r="E19375"/>
      <c r="G19375"/>
      <c r="H19375"/>
      <c r="I19375"/>
      <c r="K19375"/>
      <c r="O19375"/>
      <c r="R19375"/>
      <c r="W19375" s="4"/>
      <c r="X19375" s="4"/>
      <c r="Y19375" s="4"/>
    </row>
    <row r="19376" spans="5:25">
      <c r="E19376"/>
      <c r="G19376"/>
      <c r="H19376"/>
      <c r="I19376"/>
      <c r="K19376"/>
      <c r="O19376"/>
      <c r="R19376"/>
      <c r="W19376" s="4"/>
      <c r="X19376" s="4"/>
      <c r="Y19376" s="4"/>
    </row>
    <row r="19377" spans="5:25">
      <c r="E19377"/>
      <c r="G19377"/>
      <c r="H19377"/>
      <c r="I19377"/>
      <c r="K19377"/>
      <c r="O19377"/>
      <c r="R19377"/>
      <c r="W19377" s="4"/>
      <c r="X19377" s="4"/>
      <c r="Y19377" s="4"/>
    </row>
    <row r="19378" spans="5:25">
      <c r="E19378"/>
      <c r="G19378"/>
      <c r="H19378"/>
      <c r="I19378"/>
      <c r="K19378"/>
      <c r="O19378"/>
      <c r="R19378"/>
      <c r="W19378" s="4"/>
      <c r="X19378" s="4"/>
      <c r="Y19378" s="4"/>
    </row>
    <row r="19379" spans="5:25">
      <c r="E19379"/>
      <c r="G19379"/>
      <c r="H19379"/>
      <c r="I19379"/>
      <c r="K19379"/>
      <c r="O19379"/>
      <c r="R19379"/>
      <c r="W19379" s="4"/>
      <c r="X19379" s="4"/>
      <c r="Y19379" s="4"/>
    </row>
    <row r="19380" spans="5:25">
      <c r="E19380"/>
      <c r="G19380"/>
      <c r="H19380"/>
      <c r="I19380"/>
      <c r="K19380"/>
      <c r="O19380"/>
      <c r="R19380"/>
      <c r="W19380" s="4"/>
      <c r="X19380" s="4"/>
      <c r="Y19380" s="4"/>
    </row>
    <row r="19381" spans="5:25">
      <c r="E19381"/>
      <c r="G19381"/>
      <c r="H19381"/>
      <c r="I19381"/>
      <c r="K19381"/>
      <c r="O19381"/>
      <c r="R19381"/>
      <c r="W19381" s="4"/>
      <c r="X19381" s="4"/>
      <c r="Y19381" s="4"/>
    </row>
    <row r="19382" spans="5:25">
      <c r="E19382"/>
      <c r="G19382"/>
      <c r="H19382"/>
      <c r="I19382"/>
      <c r="K19382"/>
      <c r="O19382"/>
      <c r="R19382"/>
      <c r="W19382" s="4"/>
      <c r="X19382" s="4"/>
      <c r="Y19382" s="4"/>
    </row>
    <row r="19383" spans="5:25">
      <c r="E19383"/>
      <c r="G19383"/>
      <c r="H19383"/>
      <c r="I19383"/>
      <c r="K19383"/>
      <c r="O19383"/>
      <c r="R19383"/>
      <c r="W19383" s="4"/>
      <c r="X19383" s="4"/>
      <c r="Y19383" s="4"/>
    </row>
    <row r="19384" spans="5:25">
      <c r="E19384"/>
      <c r="G19384"/>
      <c r="H19384"/>
      <c r="I19384"/>
      <c r="K19384"/>
      <c r="O19384"/>
      <c r="R19384"/>
      <c r="W19384" s="4"/>
      <c r="X19384" s="4"/>
      <c r="Y19384" s="4"/>
    </row>
    <row r="19385" spans="5:25">
      <c r="E19385"/>
      <c r="G19385"/>
      <c r="H19385"/>
      <c r="I19385"/>
      <c r="K19385"/>
      <c r="O19385"/>
      <c r="R19385"/>
      <c r="W19385" s="4"/>
      <c r="X19385" s="4"/>
      <c r="Y19385" s="4"/>
    </row>
    <row r="19386" spans="5:25">
      <c r="E19386"/>
      <c r="G19386"/>
      <c r="H19386"/>
      <c r="I19386"/>
      <c r="K19386"/>
      <c r="O19386"/>
      <c r="R19386"/>
      <c r="W19386" s="4"/>
      <c r="X19386" s="4"/>
      <c r="Y19386" s="4"/>
    </row>
    <row r="19387" spans="5:25">
      <c r="E19387"/>
      <c r="G19387"/>
      <c r="H19387"/>
      <c r="I19387"/>
      <c r="K19387"/>
      <c r="O19387"/>
      <c r="R19387"/>
      <c r="W19387" s="4"/>
      <c r="X19387" s="4"/>
      <c r="Y19387" s="4"/>
    </row>
    <row r="19388" spans="5:25">
      <c r="E19388"/>
      <c r="G19388"/>
      <c r="H19388"/>
      <c r="I19388"/>
      <c r="K19388"/>
      <c r="O19388"/>
      <c r="R19388"/>
      <c r="W19388" s="4"/>
      <c r="X19388" s="4"/>
      <c r="Y19388" s="4"/>
    </row>
    <row r="19389" spans="5:25">
      <c r="E19389"/>
      <c r="G19389"/>
      <c r="H19389"/>
      <c r="I19389"/>
      <c r="K19389"/>
      <c r="O19389"/>
      <c r="R19389"/>
      <c r="W19389" s="4"/>
      <c r="X19389" s="4"/>
      <c r="Y19389" s="4"/>
    </row>
    <row r="19390" spans="5:25">
      <c r="E19390"/>
      <c r="G19390"/>
      <c r="H19390"/>
      <c r="I19390"/>
      <c r="K19390"/>
      <c r="O19390"/>
      <c r="R19390"/>
      <c r="W19390" s="4"/>
      <c r="X19390" s="4"/>
      <c r="Y19390" s="4"/>
    </row>
    <row r="19391" spans="5:25">
      <c r="E19391"/>
      <c r="G19391"/>
      <c r="H19391"/>
      <c r="I19391"/>
      <c r="K19391"/>
      <c r="O19391"/>
      <c r="R19391"/>
      <c r="W19391" s="4"/>
      <c r="X19391" s="4"/>
      <c r="Y19391" s="4"/>
    </row>
    <row r="19392" spans="5:25">
      <c r="E19392"/>
      <c r="G19392"/>
      <c r="H19392"/>
      <c r="I19392"/>
      <c r="K19392"/>
      <c r="O19392"/>
      <c r="R19392"/>
      <c r="W19392" s="4"/>
      <c r="X19392" s="4"/>
      <c r="Y19392" s="4"/>
    </row>
    <row r="19393" spans="5:25">
      <c r="E19393"/>
      <c r="G19393"/>
      <c r="H19393"/>
      <c r="I19393"/>
      <c r="K19393"/>
      <c r="O19393"/>
      <c r="R19393"/>
      <c r="W19393" s="4"/>
      <c r="X19393" s="4"/>
      <c r="Y19393" s="4"/>
    </row>
    <row r="19394" spans="5:25">
      <c r="E19394"/>
      <c r="G19394"/>
      <c r="H19394"/>
      <c r="I19394"/>
      <c r="K19394"/>
      <c r="O19394"/>
      <c r="R19394"/>
      <c r="W19394" s="4"/>
      <c r="X19394" s="4"/>
      <c r="Y19394" s="4"/>
    </row>
    <row r="19395" spans="5:25">
      <c r="E19395"/>
      <c r="G19395"/>
      <c r="H19395"/>
      <c r="I19395"/>
      <c r="K19395"/>
      <c r="O19395"/>
      <c r="R19395"/>
      <c r="W19395" s="4"/>
      <c r="X19395" s="4"/>
      <c r="Y19395" s="4"/>
    </row>
    <row r="19396" spans="5:25">
      <c r="E19396"/>
      <c r="G19396"/>
      <c r="H19396"/>
      <c r="I19396"/>
      <c r="K19396"/>
      <c r="O19396"/>
      <c r="R19396"/>
      <c r="W19396" s="4"/>
      <c r="X19396" s="4"/>
      <c r="Y19396" s="4"/>
    </row>
    <row r="19397" spans="5:25">
      <c r="E19397"/>
      <c r="G19397"/>
      <c r="H19397"/>
      <c r="I19397"/>
      <c r="K19397"/>
      <c r="O19397"/>
      <c r="R19397"/>
      <c r="W19397" s="4"/>
      <c r="X19397" s="4"/>
      <c r="Y19397" s="4"/>
    </row>
    <row r="19398" spans="5:25">
      <c r="E19398"/>
      <c r="G19398"/>
      <c r="H19398"/>
      <c r="I19398"/>
      <c r="K19398"/>
      <c r="O19398"/>
      <c r="R19398"/>
      <c r="W19398" s="4"/>
      <c r="X19398" s="4"/>
      <c r="Y19398" s="4"/>
    </row>
    <row r="19399" spans="5:25">
      <c r="E19399"/>
      <c r="G19399"/>
      <c r="H19399"/>
      <c r="I19399"/>
      <c r="K19399"/>
      <c r="O19399"/>
      <c r="R19399"/>
      <c r="W19399" s="4"/>
      <c r="X19399" s="4"/>
      <c r="Y19399" s="4"/>
    </row>
    <row r="19400" spans="5:25">
      <c r="E19400"/>
      <c r="G19400"/>
      <c r="H19400"/>
      <c r="I19400"/>
      <c r="K19400"/>
      <c r="O19400"/>
      <c r="R19400"/>
      <c r="W19400" s="4"/>
      <c r="X19400" s="4"/>
      <c r="Y19400" s="4"/>
    </row>
    <row r="19401" spans="5:25">
      <c r="E19401"/>
      <c r="G19401"/>
      <c r="H19401"/>
      <c r="I19401"/>
      <c r="K19401"/>
      <c r="O19401"/>
      <c r="R19401"/>
      <c r="W19401" s="4"/>
      <c r="X19401" s="4"/>
      <c r="Y19401" s="4"/>
    </row>
    <row r="19402" spans="5:25">
      <c r="E19402"/>
      <c r="G19402"/>
      <c r="H19402"/>
      <c r="I19402"/>
      <c r="K19402"/>
      <c r="O19402"/>
      <c r="R19402"/>
      <c r="W19402" s="4"/>
      <c r="X19402" s="4"/>
      <c r="Y19402" s="4"/>
    </row>
    <row r="19403" spans="5:25">
      <c r="E19403"/>
      <c r="G19403"/>
      <c r="H19403"/>
      <c r="I19403"/>
      <c r="K19403"/>
      <c r="O19403"/>
      <c r="R19403"/>
      <c r="W19403" s="4"/>
      <c r="X19403" s="4"/>
      <c r="Y19403" s="4"/>
    </row>
    <row r="19404" spans="5:25">
      <c r="E19404"/>
      <c r="G19404"/>
      <c r="H19404"/>
      <c r="I19404"/>
      <c r="K19404"/>
      <c r="O19404"/>
      <c r="R19404"/>
      <c r="W19404" s="4"/>
      <c r="X19404" s="4"/>
      <c r="Y19404" s="4"/>
    </row>
    <row r="19405" spans="5:25">
      <c r="E19405"/>
      <c r="G19405"/>
      <c r="H19405"/>
      <c r="I19405"/>
      <c r="K19405"/>
      <c r="O19405"/>
      <c r="R19405"/>
      <c r="W19405" s="4"/>
      <c r="X19405" s="4"/>
      <c r="Y19405" s="4"/>
    </row>
    <row r="19406" spans="5:25">
      <c r="E19406"/>
      <c r="G19406"/>
      <c r="H19406"/>
      <c r="I19406"/>
      <c r="K19406"/>
      <c r="O19406"/>
      <c r="R19406"/>
      <c r="W19406" s="4"/>
      <c r="X19406" s="4"/>
      <c r="Y19406" s="4"/>
    </row>
    <row r="19407" spans="5:25">
      <c r="E19407"/>
      <c r="G19407"/>
      <c r="H19407"/>
      <c r="I19407"/>
      <c r="K19407"/>
      <c r="O19407"/>
      <c r="R19407"/>
      <c r="W19407" s="4"/>
      <c r="X19407" s="4"/>
      <c r="Y19407" s="4"/>
    </row>
    <row r="19408" spans="5:25">
      <c r="E19408"/>
      <c r="G19408"/>
      <c r="H19408"/>
      <c r="I19408"/>
      <c r="K19408"/>
      <c r="O19408"/>
      <c r="R19408"/>
      <c r="W19408" s="4"/>
      <c r="X19408" s="4"/>
      <c r="Y19408" s="4"/>
    </row>
    <row r="19409" spans="5:25">
      <c r="E19409"/>
      <c r="G19409"/>
      <c r="H19409"/>
      <c r="I19409"/>
      <c r="K19409"/>
      <c r="O19409"/>
      <c r="R19409"/>
      <c r="W19409" s="4"/>
      <c r="X19409" s="4"/>
      <c r="Y19409" s="4"/>
    </row>
    <row r="19410" spans="5:25">
      <c r="E19410"/>
      <c r="G19410"/>
      <c r="H19410"/>
      <c r="I19410"/>
      <c r="K19410"/>
      <c r="O19410"/>
      <c r="R19410"/>
      <c r="W19410" s="4"/>
      <c r="X19410" s="4"/>
      <c r="Y19410" s="4"/>
    </row>
    <row r="19411" spans="5:25">
      <c r="E19411"/>
      <c r="G19411"/>
      <c r="H19411"/>
      <c r="I19411"/>
      <c r="K19411"/>
      <c r="O19411"/>
      <c r="R19411"/>
      <c r="W19411" s="4"/>
      <c r="X19411" s="4"/>
      <c r="Y19411" s="4"/>
    </row>
    <row r="19412" spans="5:25">
      <c r="E19412"/>
      <c r="G19412"/>
      <c r="H19412"/>
      <c r="I19412"/>
      <c r="K19412"/>
      <c r="O19412"/>
      <c r="R19412"/>
      <c r="W19412" s="4"/>
      <c r="X19412" s="4"/>
      <c r="Y19412" s="4"/>
    </row>
    <row r="19413" spans="5:25">
      <c r="E19413"/>
      <c r="G19413"/>
      <c r="H19413"/>
      <c r="I19413"/>
      <c r="K19413"/>
      <c r="O19413"/>
      <c r="R19413"/>
      <c r="W19413" s="4"/>
      <c r="X19413" s="4"/>
      <c r="Y19413" s="4"/>
    </row>
    <row r="19414" spans="5:25">
      <c r="E19414"/>
      <c r="G19414"/>
      <c r="H19414"/>
      <c r="I19414"/>
      <c r="K19414"/>
      <c r="O19414"/>
      <c r="R19414"/>
      <c r="W19414" s="4"/>
      <c r="X19414" s="4"/>
      <c r="Y19414" s="4"/>
    </row>
    <row r="19415" spans="5:25">
      <c r="E19415"/>
      <c r="G19415"/>
      <c r="H19415"/>
      <c r="I19415"/>
      <c r="K19415"/>
      <c r="O19415"/>
      <c r="R19415"/>
      <c r="W19415" s="4"/>
      <c r="X19415" s="4"/>
      <c r="Y19415" s="4"/>
    </row>
    <row r="19416" spans="5:25">
      <c r="E19416"/>
      <c r="G19416"/>
      <c r="H19416"/>
      <c r="I19416"/>
      <c r="K19416"/>
      <c r="O19416"/>
      <c r="R19416"/>
      <c r="W19416" s="4"/>
      <c r="X19416" s="4"/>
      <c r="Y19416" s="4"/>
    </row>
    <row r="19417" spans="5:25">
      <c r="E19417"/>
      <c r="G19417"/>
      <c r="H19417"/>
      <c r="I19417"/>
      <c r="K19417"/>
      <c r="O19417"/>
      <c r="R19417"/>
      <c r="W19417" s="4"/>
      <c r="X19417" s="4"/>
      <c r="Y19417" s="4"/>
    </row>
    <row r="19418" spans="5:25">
      <c r="E19418"/>
      <c r="G19418"/>
      <c r="H19418"/>
      <c r="I19418"/>
      <c r="K19418"/>
      <c r="O19418"/>
      <c r="R19418"/>
      <c r="W19418" s="4"/>
      <c r="X19418" s="4"/>
      <c r="Y19418" s="4"/>
    </row>
    <row r="19419" spans="5:25">
      <c r="E19419"/>
      <c r="G19419"/>
      <c r="H19419"/>
      <c r="I19419"/>
      <c r="K19419"/>
      <c r="O19419"/>
      <c r="R19419"/>
      <c r="W19419" s="4"/>
      <c r="X19419" s="4"/>
      <c r="Y19419" s="4"/>
    </row>
    <row r="19420" spans="5:25">
      <c r="E19420"/>
      <c r="G19420"/>
      <c r="H19420"/>
      <c r="I19420"/>
      <c r="K19420"/>
      <c r="O19420"/>
      <c r="R19420"/>
      <c r="W19420" s="4"/>
      <c r="X19420" s="4"/>
      <c r="Y19420" s="4"/>
    </row>
    <row r="19421" spans="5:25">
      <c r="E19421"/>
      <c r="G19421"/>
      <c r="H19421"/>
      <c r="I19421"/>
      <c r="K19421"/>
      <c r="O19421"/>
      <c r="R19421"/>
      <c r="W19421" s="4"/>
      <c r="X19421" s="4"/>
      <c r="Y19421" s="4"/>
    </row>
    <row r="19422" spans="5:25">
      <c r="E19422"/>
      <c r="G19422"/>
      <c r="H19422"/>
      <c r="I19422"/>
      <c r="K19422"/>
      <c r="O19422"/>
      <c r="R19422"/>
      <c r="W19422" s="4"/>
      <c r="X19422" s="4"/>
      <c r="Y19422" s="4"/>
    </row>
    <row r="19423" spans="5:25">
      <c r="E19423"/>
      <c r="G19423"/>
      <c r="H19423"/>
      <c r="I19423"/>
      <c r="K19423"/>
      <c r="O19423"/>
      <c r="R19423"/>
      <c r="W19423" s="4"/>
      <c r="X19423" s="4"/>
      <c r="Y19423" s="4"/>
    </row>
    <row r="19424" spans="5:25">
      <c r="E19424"/>
      <c r="G19424"/>
      <c r="H19424"/>
      <c r="I19424"/>
      <c r="K19424"/>
      <c r="O19424"/>
      <c r="R19424"/>
      <c r="W19424" s="4"/>
      <c r="X19424" s="4"/>
      <c r="Y19424" s="4"/>
    </row>
    <row r="19425" spans="5:25">
      <c r="E19425"/>
      <c r="G19425"/>
      <c r="H19425"/>
      <c r="I19425"/>
      <c r="K19425"/>
      <c r="O19425"/>
      <c r="R19425"/>
      <c r="W19425" s="4"/>
      <c r="X19425" s="4"/>
      <c r="Y19425" s="4"/>
    </row>
    <row r="19426" spans="5:25">
      <c r="E19426"/>
      <c r="G19426"/>
      <c r="H19426"/>
      <c r="I19426"/>
      <c r="K19426"/>
      <c r="O19426"/>
      <c r="R19426"/>
      <c r="W19426" s="4"/>
      <c r="X19426" s="4"/>
      <c r="Y19426" s="4"/>
    </row>
    <row r="19427" spans="5:25">
      <c r="E19427"/>
      <c r="G19427"/>
      <c r="H19427"/>
      <c r="I19427"/>
      <c r="K19427"/>
      <c r="O19427"/>
      <c r="R19427"/>
      <c r="W19427" s="4"/>
      <c r="X19427" s="4"/>
      <c r="Y19427" s="4"/>
    </row>
    <row r="19428" spans="5:25">
      <c r="E19428"/>
      <c r="G19428"/>
      <c r="H19428"/>
      <c r="I19428"/>
      <c r="K19428"/>
      <c r="O19428"/>
      <c r="R19428"/>
      <c r="W19428" s="4"/>
      <c r="X19428" s="4"/>
      <c r="Y19428" s="4"/>
    </row>
    <row r="19429" spans="5:25">
      <c r="E19429"/>
      <c r="G19429"/>
      <c r="H19429"/>
      <c r="I19429"/>
      <c r="K19429"/>
      <c r="O19429"/>
      <c r="R19429"/>
      <c r="W19429" s="4"/>
      <c r="X19429" s="4"/>
      <c r="Y19429" s="4"/>
    </row>
    <row r="19430" spans="5:25">
      <c r="E19430"/>
      <c r="G19430"/>
      <c r="H19430"/>
      <c r="I19430"/>
      <c r="K19430"/>
      <c r="O19430"/>
      <c r="R19430"/>
      <c r="W19430" s="4"/>
      <c r="X19430" s="4"/>
      <c r="Y19430" s="4"/>
    </row>
    <row r="19431" spans="5:25">
      <c r="E19431"/>
      <c r="G19431"/>
      <c r="H19431"/>
      <c r="I19431"/>
      <c r="K19431"/>
      <c r="O19431"/>
      <c r="R19431"/>
      <c r="W19431" s="4"/>
      <c r="X19431" s="4"/>
      <c r="Y19431" s="4"/>
    </row>
    <row r="19432" spans="5:25">
      <c r="E19432"/>
      <c r="G19432"/>
      <c r="H19432"/>
      <c r="I19432"/>
      <c r="K19432"/>
      <c r="O19432"/>
      <c r="R19432"/>
      <c r="W19432" s="4"/>
      <c r="X19432" s="4"/>
      <c r="Y19432" s="4"/>
    </row>
    <row r="19433" spans="5:25">
      <c r="E19433"/>
      <c r="G19433"/>
      <c r="H19433"/>
      <c r="I19433"/>
      <c r="K19433"/>
      <c r="O19433"/>
      <c r="R19433"/>
      <c r="W19433" s="4"/>
      <c r="X19433" s="4"/>
      <c r="Y19433" s="4"/>
    </row>
    <row r="19434" spans="5:25">
      <c r="E19434"/>
      <c r="G19434"/>
      <c r="H19434"/>
      <c r="I19434"/>
      <c r="K19434"/>
      <c r="O19434"/>
      <c r="R19434"/>
      <c r="W19434" s="4"/>
      <c r="X19434" s="4"/>
      <c r="Y19434" s="4"/>
    </row>
    <row r="19435" spans="5:25">
      <c r="E19435"/>
      <c r="G19435"/>
      <c r="H19435"/>
      <c r="I19435"/>
      <c r="K19435"/>
      <c r="O19435"/>
      <c r="R19435"/>
      <c r="W19435" s="4"/>
      <c r="X19435" s="4"/>
      <c r="Y19435" s="4"/>
    </row>
    <row r="19436" spans="5:25">
      <c r="E19436"/>
      <c r="G19436"/>
      <c r="H19436"/>
      <c r="I19436"/>
      <c r="K19436"/>
      <c r="O19436"/>
      <c r="R19436"/>
      <c r="W19436" s="4"/>
      <c r="X19436" s="4"/>
      <c r="Y19436" s="4"/>
    </row>
    <row r="19437" spans="5:25">
      <c r="E19437"/>
      <c r="G19437"/>
      <c r="H19437"/>
      <c r="I19437"/>
      <c r="K19437"/>
      <c r="O19437"/>
      <c r="R19437"/>
      <c r="W19437" s="4"/>
      <c r="X19437" s="4"/>
      <c r="Y19437" s="4"/>
    </row>
    <row r="19438" spans="5:25">
      <c r="E19438"/>
      <c r="G19438"/>
      <c r="H19438"/>
      <c r="I19438"/>
      <c r="K19438"/>
      <c r="O19438"/>
      <c r="R19438"/>
      <c r="W19438" s="4"/>
      <c r="X19438" s="4"/>
      <c r="Y19438" s="4"/>
    </row>
    <row r="19439" spans="5:25">
      <c r="E19439"/>
      <c r="G19439"/>
      <c r="H19439"/>
      <c r="I19439"/>
      <c r="K19439"/>
      <c r="O19439"/>
      <c r="R19439"/>
      <c r="W19439" s="4"/>
      <c r="X19439" s="4"/>
      <c r="Y19439" s="4"/>
    </row>
    <row r="19440" spans="5:25">
      <c r="E19440"/>
      <c r="G19440"/>
      <c r="H19440"/>
      <c r="I19440"/>
      <c r="K19440"/>
      <c r="O19440"/>
      <c r="R19440"/>
      <c r="W19440" s="4"/>
      <c r="X19440" s="4"/>
      <c r="Y19440" s="4"/>
    </row>
    <row r="19441" spans="5:25">
      <c r="E19441"/>
      <c r="G19441"/>
      <c r="H19441"/>
      <c r="I19441"/>
      <c r="K19441"/>
      <c r="O19441"/>
      <c r="R19441"/>
      <c r="W19441" s="4"/>
      <c r="X19441" s="4"/>
      <c r="Y19441" s="4"/>
    </row>
    <row r="19442" spans="5:25">
      <c r="E19442"/>
      <c r="G19442"/>
      <c r="H19442"/>
      <c r="I19442"/>
      <c r="K19442"/>
      <c r="O19442"/>
      <c r="R19442"/>
      <c r="W19442" s="4"/>
      <c r="X19442" s="4"/>
      <c r="Y19442" s="4"/>
    </row>
    <row r="19443" spans="5:25">
      <c r="E19443"/>
      <c r="G19443"/>
      <c r="H19443"/>
      <c r="I19443"/>
      <c r="K19443"/>
      <c r="O19443"/>
      <c r="R19443"/>
      <c r="W19443" s="4"/>
      <c r="X19443" s="4"/>
      <c r="Y19443" s="4"/>
    </row>
    <row r="19444" spans="5:25">
      <c r="E19444"/>
      <c r="G19444"/>
      <c r="H19444"/>
      <c r="I19444"/>
      <c r="K19444"/>
      <c r="O19444"/>
      <c r="R19444"/>
      <c r="W19444" s="4"/>
      <c r="X19444" s="4"/>
      <c r="Y19444" s="4"/>
    </row>
    <row r="19445" spans="5:25">
      <c r="E19445"/>
      <c r="G19445"/>
      <c r="H19445"/>
      <c r="I19445"/>
      <c r="K19445"/>
      <c r="O19445"/>
      <c r="R19445"/>
      <c r="W19445" s="4"/>
      <c r="X19445" s="4"/>
      <c r="Y19445" s="4"/>
    </row>
    <row r="19446" spans="5:25">
      <c r="E19446"/>
      <c r="G19446"/>
      <c r="H19446"/>
      <c r="I19446"/>
      <c r="K19446"/>
      <c r="O19446"/>
      <c r="R19446"/>
      <c r="W19446" s="4"/>
      <c r="X19446" s="4"/>
      <c r="Y19446" s="4"/>
    </row>
    <row r="19447" spans="5:25">
      <c r="E19447"/>
      <c r="G19447"/>
      <c r="H19447"/>
      <c r="I19447"/>
      <c r="K19447"/>
      <c r="O19447"/>
      <c r="R19447"/>
      <c r="W19447" s="4"/>
      <c r="X19447" s="4"/>
      <c r="Y19447" s="4"/>
    </row>
    <row r="19448" spans="5:25">
      <c r="E19448"/>
      <c r="G19448"/>
      <c r="H19448"/>
      <c r="I19448"/>
      <c r="K19448"/>
      <c r="O19448"/>
      <c r="R19448"/>
      <c r="W19448" s="4"/>
      <c r="X19448" s="4"/>
      <c r="Y19448" s="4"/>
    </row>
    <row r="19449" spans="5:25">
      <c r="E19449"/>
      <c r="G19449"/>
      <c r="H19449"/>
      <c r="I19449"/>
      <c r="K19449"/>
      <c r="O19449"/>
      <c r="R19449"/>
      <c r="W19449" s="4"/>
      <c r="X19449" s="4"/>
      <c r="Y19449" s="4"/>
    </row>
    <row r="19450" spans="5:25">
      <c r="E19450"/>
      <c r="G19450"/>
      <c r="H19450"/>
      <c r="I19450"/>
      <c r="K19450"/>
      <c r="O19450"/>
      <c r="R19450"/>
      <c r="W19450" s="4"/>
      <c r="X19450" s="4"/>
      <c r="Y19450" s="4"/>
    </row>
    <row r="19451" spans="5:25">
      <c r="E19451"/>
      <c r="G19451"/>
      <c r="H19451"/>
      <c r="I19451"/>
      <c r="K19451"/>
      <c r="O19451"/>
      <c r="R19451"/>
      <c r="W19451" s="4"/>
      <c r="X19451" s="4"/>
      <c r="Y19451" s="4"/>
    </row>
    <row r="19452" spans="5:25">
      <c r="E19452"/>
      <c r="G19452"/>
      <c r="H19452"/>
      <c r="I19452"/>
      <c r="K19452"/>
      <c r="O19452"/>
      <c r="R19452"/>
      <c r="W19452" s="4"/>
      <c r="X19452" s="4"/>
      <c r="Y19452" s="4"/>
    </row>
    <row r="19453" spans="5:25">
      <c r="E19453"/>
      <c r="G19453"/>
      <c r="H19453"/>
      <c r="I19453"/>
      <c r="K19453"/>
      <c r="O19453"/>
      <c r="R19453"/>
      <c r="W19453" s="4"/>
      <c r="X19453" s="4"/>
      <c r="Y19453" s="4"/>
    </row>
    <row r="19454" spans="5:25">
      <c r="E19454"/>
      <c r="G19454"/>
      <c r="H19454"/>
      <c r="I19454"/>
      <c r="K19454"/>
      <c r="O19454"/>
      <c r="R19454"/>
      <c r="W19454" s="4"/>
      <c r="X19454" s="4"/>
      <c r="Y19454" s="4"/>
    </row>
    <row r="19455" spans="5:25">
      <c r="E19455"/>
      <c r="G19455"/>
      <c r="H19455"/>
      <c r="I19455"/>
      <c r="K19455"/>
      <c r="O19455"/>
      <c r="R19455"/>
      <c r="W19455" s="4"/>
      <c r="X19455" s="4"/>
      <c r="Y19455" s="4"/>
    </row>
    <row r="19456" spans="5:25">
      <c r="E19456"/>
      <c r="G19456"/>
      <c r="H19456"/>
      <c r="I19456"/>
      <c r="K19456"/>
      <c r="O19456"/>
      <c r="R19456"/>
      <c r="W19456" s="4"/>
      <c r="X19456" s="4"/>
      <c r="Y19456" s="4"/>
    </row>
    <row r="19457" spans="5:25">
      <c r="E19457"/>
      <c r="G19457"/>
      <c r="H19457"/>
      <c r="I19457"/>
      <c r="K19457"/>
      <c r="O19457"/>
      <c r="R19457"/>
      <c r="W19457" s="4"/>
      <c r="X19457" s="4"/>
      <c r="Y19457" s="4"/>
    </row>
    <row r="19458" spans="5:25">
      <c r="E19458"/>
      <c r="G19458"/>
      <c r="H19458"/>
      <c r="I19458"/>
      <c r="K19458"/>
      <c r="O19458"/>
      <c r="R19458"/>
      <c r="W19458" s="4"/>
      <c r="X19458" s="4"/>
      <c r="Y19458" s="4"/>
    </row>
    <row r="19459" spans="5:25">
      <c r="E19459"/>
      <c r="G19459"/>
      <c r="H19459"/>
      <c r="I19459"/>
      <c r="K19459"/>
      <c r="O19459"/>
      <c r="R19459"/>
      <c r="W19459" s="4"/>
      <c r="X19459" s="4"/>
      <c r="Y19459" s="4"/>
    </row>
    <row r="19460" spans="5:25">
      <c r="E19460"/>
      <c r="G19460"/>
      <c r="H19460"/>
      <c r="I19460"/>
      <c r="K19460"/>
      <c r="O19460"/>
      <c r="R19460"/>
      <c r="W19460" s="4"/>
      <c r="X19460" s="4"/>
      <c r="Y19460" s="4"/>
    </row>
    <row r="19461" spans="5:25">
      <c r="E19461"/>
      <c r="G19461"/>
      <c r="H19461"/>
      <c r="I19461"/>
      <c r="K19461"/>
      <c r="O19461"/>
      <c r="R19461"/>
      <c r="W19461" s="4"/>
      <c r="X19461" s="4"/>
      <c r="Y19461" s="4"/>
    </row>
    <row r="19462" spans="5:25">
      <c r="E19462"/>
      <c r="G19462"/>
      <c r="H19462"/>
      <c r="I19462"/>
      <c r="K19462"/>
      <c r="O19462"/>
      <c r="R19462"/>
      <c r="W19462" s="4"/>
      <c r="X19462" s="4"/>
      <c r="Y19462" s="4"/>
    </row>
    <row r="19463" spans="5:25">
      <c r="E19463"/>
      <c r="G19463"/>
      <c r="H19463"/>
      <c r="I19463"/>
      <c r="K19463"/>
      <c r="O19463"/>
      <c r="R19463"/>
      <c r="W19463" s="4"/>
      <c r="X19463" s="4"/>
      <c r="Y19463" s="4"/>
    </row>
    <row r="19464" spans="5:25">
      <c r="E19464"/>
      <c r="G19464"/>
      <c r="H19464"/>
      <c r="I19464"/>
      <c r="K19464"/>
      <c r="O19464"/>
      <c r="R19464"/>
      <c r="W19464" s="4"/>
      <c r="X19464" s="4"/>
      <c r="Y19464" s="4"/>
    </row>
    <row r="19465" spans="5:25">
      <c r="E19465"/>
      <c r="G19465"/>
      <c r="H19465"/>
      <c r="I19465"/>
      <c r="K19465"/>
      <c r="O19465"/>
      <c r="R19465"/>
      <c r="W19465" s="4"/>
      <c r="X19465" s="4"/>
      <c r="Y19465" s="4"/>
    </row>
    <row r="19466" spans="5:25">
      <c r="E19466"/>
      <c r="G19466"/>
      <c r="H19466"/>
      <c r="I19466"/>
      <c r="K19466"/>
      <c r="O19466"/>
      <c r="R19466"/>
      <c r="W19466" s="4"/>
      <c r="X19466" s="4"/>
      <c r="Y19466" s="4"/>
    </row>
    <row r="19467" spans="5:25">
      <c r="E19467"/>
      <c r="G19467"/>
      <c r="H19467"/>
      <c r="I19467"/>
      <c r="K19467"/>
      <c r="O19467"/>
      <c r="R19467"/>
      <c r="W19467" s="4"/>
      <c r="X19467" s="4"/>
      <c r="Y19467" s="4"/>
    </row>
    <row r="19468" spans="5:25">
      <c r="E19468"/>
      <c r="G19468"/>
      <c r="H19468"/>
      <c r="I19468"/>
      <c r="K19468"/>
      <c r="O19468"/>
      <c r="R19468"/>
      <c r="W19468" s="4"/>
      <c r="X19468" s="4"/>
      <c r="Y19468" s="4"/>
    </row>
    <row r="19469" spans="5:25">
      <c r="E19469"/>
      <c r="G19469"/>
      <c r="H19469"/>
      <c r="I19469"/>
      <c r="K19469"/>
      <c r="O19469"/>
      <c r="R19469"/>
      <c r="W19469" s="4"/>
      <c r="X19469" s="4"/>
      <c r="Y19469" s="4"/>
    </row>
    <row r="19470" spans="5:25">
      <c r="E19470"/>
      <c r="G19470"/>
      <c r="H19470"/>
      <c r="I19470"/>
      <c r="K19470"/>
      <c r="O19470"/>
      <c r="R19470"/>
      <c r="W19470" s="4"/>
      <c r="X19470" s="4"/>
      <c r="Y19470" s="4"/>
    </row>
    <row r="19471" spans="5:25">
      <c r="E19471"/>
      <c r="G19471"/>
      <c r="H19471"/>
      <c r="I19471"/>
      <c r="K19471"/>
      <c r="O19471"/>
      <c r="R19471"/>
      <c r="W19471" s="4"/>
      <c r="X19471" s="4"/>
      <c r="Y19471" s="4"/>
    </row>
    <row r="19472" spans="5:25">
      <c r="E19472"/>
      <c r="G19472"/>
      <c r="H19472"/>
      <c r="I19472"/>
      <c r="K19472"/>
      <c r="O19472"/>
      <c r="R19472"/>
      <c r="W19472" s="4"/>
      <c r="X19472" s="4"/>
      <c r="Y19472" s="4"/>
    </row>
    <row r="19473" spans="5:25">
      <c r="E19473"/>
      <c r="G19473"/>
      <c r="H19473"/>
      <c r="I19473"/>
      <c r="K19473"/>
      <c r="O19473"/>
      <c r="R19473"/>
      <c r="W19473" s="4"/>
      <c r="X19473" s="4"/>
      <c r="Y19473" s="4"/>
    </row>
    <row r="19474" spans="5:25">
      <c r="E19474"/>
      <c r="G19474"/>
      <c r="H19474"/>
      <c r="I19474"/>
      <c r="K19474"/>
      <c r="O19474"/>
      <c r="R19474"/>
      <c r="W19474" s="4"/>
      <c r="X19474" s="4"/>
      <c r="Y19474" s="4"/>
    </row>
    <row r="19475" spans="5:25">
      <c r="E19475"/>
      <c r="G19475"/>
      <c r="H19475"/>
      <c r="I19475"/>
      <c r="K19475"/>
      <c r="O19475"/>
      <c r="R19475"/>
      <c r="W19475" s="4"/>
      <c r="X19475" s="4"/>
      <c r="Y19475" s="4"/>
    </row>
    <row r="19476" spans="5:25">
      <c r="E19476"/>
      <c r="G19476"/>
      <c r="H19476"/>
      <c r="I19476"/>
      <c r="K19476"/>
      <c r="O19476"/>
      <c r="R19476"/>
      <c r="W19476" s="4"/>
      <c r="X19476" s="4"/>
      <c r="Y19476" s="4"/>
    </row>
    <row r="19477" spans="5:25">
      <c r="E19477"/>
      <c r="G19477"/>
      <c r="H19477"/>
      <c r="I19477"/>
      <c r="K19477"/>
      <c r="O19477"/>
      <c r="R19477"/>
      <c r="W19477" s="4"/>
      <c r="X19477" s="4"/>
      <c r="Y19477" s="4"/>
    </row>
    <row r="19478" spans="5:25">
      <c r="E19478"/>
      <c r="G19478"/>
      <c r="H19478"/>
      <c r="I19478"/>
      <c r="K19478"/>
      <c r="O19478"/>
      <c r="R19478"/>
      <c r="W19478" s="4"/>
      <c r="X19478" s="4"/>
      <c r="Y19478" s="4"/>
    </row>
    <row r="19479" spans="5:25">
      <c r="E19479"/>
      <c r="G19479"/>
      <c r="H19479"/>
      <c r="I19479"/>
      <c r="K19479"/>
      <c r="O19479"/>
      <c r="R19479"/>
      <c r="W19479" s="4"/>
      <c r="X19479" s="4"/>
      <c r="Y19479" s="4"/>
    </row>
    <row r="19480" spans="5:25">
      <c r="E19480"/>
      <c r="G19480"/>
      <c r="H19480"/>
      <c r="I19480"/>
      <c r="K19480"/>
      <c r="O19480"/>
      <c r="R19480"/>
      <c r="W19480" s="4"/>
      <c r="X19480" s="4"/>
      <c r="Y19480" s="4"/>
    </row>
    <row r="19481" spans="5:25">
      <c r="E19481"/>
      <c r="G19481"/>
      <c r="H19481"/>
      <c r="I19481"/>
      <c r="K19481"/>
      <c r="O19481"/>
      <c r="R19481"/>
      <c r="W19481" s="4"/>
      <c r="X19481" s="4"/>
      <c r="Y19481" s="4"/>
    </row>
    <row r="19482" spans="5:25">
      <c r="E19482"/>
      <c r="G19482"/>
      <c r="H19482"/>
      <c r="I19482"/>
      <c r="K19482"/>
      <c r="O19482"/>
      <c r="R19482"/>
      <c r="W19482" s="4"/>
      <c r="X19482" s="4"/>
      <c r="Y19482" s="4"/>
    </row>
    <row r="19483" spans="5:25">
      <c r="E19483"/>
      <c r="G19483"/>
      <c r="H19483"/>
      <c r="I19483"/>
      <c r="K19483"/>
      <c r="O19483"/>
      <c r="R19483"/>
      <c r="W19483" s="4"/>
      <c r="X19483" s="4"/>
      <c r="Y19483" s="4"/>
    </row>
    <row r="19484" spans="5:25">
      <c r="E19484"/>
      <c r="G19484"/>
      <c r="H19484"/>
      <c r="I19484"/>
      <c r="K19484"/>
      <c r="O19484"/>
      <c r="R19484"/>
      <c r="W19484" s="4"/>
      <c r="X19484" s="4"/>
      <c r="Y19484" s="4"/>
    </row>
    <row r="19485" spans="5:25">
      <c r="E19485"/>
      <c r="G19485"/>
      <c r="H19485"/>
      <c r="I19485"/>
      <c r="K19485"/>
      <c r="O19485"/>
      <c r="R19485"/>
      <c r="W19485" s="4"/>
      <c r="X19485" s="4"/>
      <c r="Y19485" s="4"/>
    </row>
    <row r="19486" spans="5:25">
      <c r="E19486"/>
      <c r="G19486"/>
      <c r="H19486"/>
      <c r="I19486"/>
      <c r="K19486"/>
      <c r="O19486"/>
      <c r="R19486"/>
      <c r="W19486" s="4"/>
      <c r="X19486" s="4"/>
      <c r="Y19486" s="4"/>
    </row>
    <row r="19487" spans="5:25">
      <c r="E19487"/>
      <c r="G19487"/>
      <c r="H19487"/>
      <c r="I19487"/>
      <c r="K19487"/>
      <c r="O19487"/>
      <c r="R19487"/>
      <c r="W19487" s="4"/>
      <c r="X19487" s="4"/>
      <c r="Y19487" s="4"/>
    </row>
    <row r="19488" spans="5:25">
      <c r="E19488"/>
      <c r="G19488"/>
      <c r="H19488"/>
      <c r="I19488"/>
      <c r="K19488"/>
      <c r="O19488"/>
      <c r="R19488"/>
      <c r="W19488" s="4"/>
      <c r="X19488" s="4"/>
      <c r="Y19488" s="4"/>
    </row>
    <row r="19489" spans="5:25">
      <c r="E19489"/>
      <c r="G19489"/>
      <c r="H19489"/>
      <c r="I19489"/>
      <c r="K19489"/>
      <c r="O19489"/>
      <c r="R19489"/>
      <c r="W19489" s="4"/>
      <c r="X19489" s="4"/>
      <c r="Y19489" s="4"/>
    </row>
    <row r="19490" spans="5:25">
      <c r="E19490"/>
      <c r="G19490"/>
      <c r="H19490"/>
      <c r="I19490"/>
      <c r="K19490"/>
      <c r="O19490"/>
      <c r="R19490"/>
      <c r="W19490" s="4"/>
      <c r="X19490" s="4"/>
      <c r="Y19490" s="4"/>
    </row>
    <row r="19491" spans="5:25">
      <c r="E19491"/>
      <c r="G19491"/>
      <c r="H19491"/>
      <c r="I19491"/>
      <c r="K19491"/>
      <c r="O19491"/>
      <c r="R19491"/>
      <c r="W19491" s="4"/>
      <c r="X19491" s="4"/>
      <c r="Y19491" s="4"/>
    </row>
    <row r="19492" spans="5:25">
      <c r="E19492"/>
      <c r="G19492"/>
      <c r="H19492"/>
      <c r="I19492"/>
      <c r="K19492"/>
      <c r="O19492"/>
      <c r="R19492"/>
      <c r="W19492" s="4"/>
      <c r="X19492" s="4"/>
      <c r="Y19492" s="4"/>
    </row>
    <row r="19493" spans="5:25">
      <c r="E19493"/>
      <c r="G19493"/>
      <c r="H19493"/>
      <c r="I19493"/>
      <c r="K19493"/>
      <c r="O19493"/>
      <c r="R19493"/>
      <c r="W19493" s="4"/>
      <c r="X19493" s="4"/>
      <c r="Y19493" s="4"/>
    </row>
    <row r="19494" spans="5:25">
      <c r="E19494"/>
      <c r="G19494"/>
      <c r="H19494"/>
      <c r="I19494"/>
      <c r="K19494"/>
      <c r="O19494"/>
      <c r="R19494"/>
      <c r="W19494" s="4"/>
      <c r="X19494" s="4"/>
      <c r="Y19494" s="4"/>
    </row>
    <row r="19495" spans="5:25">
      <c r="E19495"/>
      <c r="G19495"/>
      <c r="H19495"/>
      <c r="I19495"/>
      <c r="K19495"/>
      <c r="O19495"/>
      <c r="R19495"/>
      <c r="W19495" s="4"/>
      <c r="X19495" s="4"/>
      <c r="Y19495" s="4"/>
    </row>
    <row r="19496" spans="5:25">
      <c r="E19496"/>
      <c r="G19496"/>
      <c r="H19496"/>
      <c r="I19496"/>
      <c r="K19496"/>
      <c r="O19496"/>
      <c r="R19496"/>
      <c r="W19496" s="4"/>
      <c r="X19496" s="4"/>
      <c r="Y19496" s="4"/>
    </row>
    <row r="19497" spans="5:25">
      <c r="E19497"/>
      <c r="G19497"/>
      <c r="H19497"/>
      <c r="I19497"/>
      <c r="K19497"/>
      <c r="O19497"/>
      <c r="R19497"/>
      <c r="W19497" s="4"/>
      <c r="X19497" s="4"/>
      <c r="Y19497" s="4"/>
    </row>
    <row r="19498" spans="5:25">
      <c r="E19498"/>
      <c r="G19498"/>
      <c r="H19498"/>
      <c r="I19498"/>
      <c r="K19498"/>
      <c r="O19498"/>
      <c r="R19498"/>
      <c r="W19498" s="4"/>
      <c r="X19498" s="4"/>
      <c r="Y19498" s="4"/>
    </row>
    <row r="19499" spans="5:25">
      <c r="E19499"/>
      <c r="G19499"/>
      <c r="H19499"/>
      <c r="I19499"/>
      <c r="K19499"/>
      <c r="O19499"/>
      <c r="R19499"/>
      <c r="W19499" s="4"/>
      <c r="X19499" s="4"/>
      <c r="Y19499" s="4"/>
    </row>
    <row r="19500" spans="5:25">
      <c r="E19500"/>
      <c r="G19500"/>
      <c r="H19500"/>
      <c r="I19500"/>
      <c r="K19500"/>
      <c r="O19500"/>
      <c r="R19500"/>
      <c r="W19500" s="4"/>
      <c r="X19500" s="4"/>
      <c r="Y19500" s="4"/>
    </row>
    <row r="19501" spans="5:25">
      <c r="E19501"/>
      <c r="G19501"/>
      <c r="H19501"/>
      <c r="I19501"/>
      <c r="K19501"/>
      <c r="O19501"/>
      <c r="R19501"/>
      <c r="W19501" s="4"/>
      <c r="X19501" s="4"/>
      <c r="Y19501" s="4"/>
    </row>
    <row r="19502" spans="5:25">
      <c r="E19502"/>
      <c r="G19502"/>
      <c r="H19502"/>
      <c r="I19502"/>
      <c r="K19502"/>
      <c r="O19502"/>
      <c r="R19502"/>
      <c r="W19502" s="4"/>
      <c r="X19502" s="4"/>
      <c r="Y19502" s="4"/>
    </row>
    <row r="19503" spans="5:25">
      <c r="E19503"/>
      <c r="G19503"/>
      <c r="H19503"/>
      <c r="I19503"/>
      <c r="K19503"/>
      <c r="O19503"/>
      <c r="R19503"/>
      <c r="W19503" s="4"/>
      <c r="X19503" s="4"/>
      <c r="Y19503" s="4"/>
    </row>
    <row r="19504" spans="5:25">
      <c r="E19504"/>
      <c r="G19504"/>
      <c r="H19504"/>
      <c r="I19504"/>
      <c r="K19504"/>
      <c r="O19504"/>
      <c r="R19504"/>
      <c r="W19504" s="4"/>
      <c r="X19504" s="4"/>
      <c r="Y19504" s="4"/>
    </row>
    <row r="19505" spans="5:25">
      <c r="E19505"/>
      <c r="G19505"/>
      <c r="H19505"/>
      <c r="I19505"/>
      <c r="K19505"/>
      <c r="O19505"/>
      <c r="R19505"/>
      <c r="W19505" s="4"/>
      <c r="X19505" s="4"/>
      <c r="Y19505" s="4"/>
    </row>
    <row r="19506" spans="5:25">
      <c r="E19506"/>
      <c r="G19506"/>
      <c r="H19506"/>
      <c r="I19506"/>
      <c r="K19506"/>
      <c r="O19506"/>
      <c r="R19506"/>
      <c r="W19506" s="4"/>
      <c r="X19506" s="4"/>
      <c r="Y19506" s="4"/>
    </row>
    <row r="19507" spans="5:25">
      <c r="E19507"/>
      <c r="G19507"/>
      <c r="H19507"/>
      <c r="I19507"/>
      <c r="K19507"/>
      <c r="O19507"/>
      <c r="R19507"/>
      <c r="W19507" s="4"/>
      <c r="X19507" s="4"/>
      <c r="Y19507" s="4"/>
    </row>
    <row r="19508" spans="5:25">
      <c r="E19508"/>
      <c r="G19508"/>
      <c r="H19508"/>
      <c r="I19508"/>
      <c r="K19508"/>
      <c r="O19508"/>
      <c r="R19508"/>
      <c r="W19508" s="4"/>
      <c r="X19508" s="4"/>
      <c r="Y19508" s="4"/>
    </row>
    <row r="19509" spans="5:25">
      <c r="E19509"/>
      <c r="G19509"/>
      <c r="H19509"/>
      <c r="I19509"/>
      <c r="K19509"/>
      <c r="O19509"/>
      <c r="R19509"/>
      <c r="W19509" s="4"/>
      <c r="X19509" s="4"/>
      <c r="Y19509" s="4"/>
    </row>
    <row r="19510" spans="5:25">
      <c r="E19510"/>
      <c r="G19510"/>
      <c r="H19510"/>
      <c r="I19510"/>
      <c r="K19510"/>
      <c r="O19510"/>
      <c r="R19510"/>
      <c r="W19510" s="4"/>
      <c r="X19510" s="4"/>
      <c r="Y19510" s="4"/>
    </row>
    <row r="19511" spans="5:25">
      <c r="E19511"/>
      <c r="G19511"/>
      <c r="H19511"/>
      <c r="I19511"/>
      <c r="K19511"/>
      <c r="O19511"/>
      <c r="R19511"/>
      <c r="W19511" s="4"/>
      <c r="X19511" s="4"/>
      <c r="Y19511" s="4"/>
    </row>
    <row r="19512" spans="5:25">
      <c r="E19512"/>
      <c r="G19512"/>
      <c r="H19512"/>
      <c r="I19512"/>
      <c r="K19512"/>
      <c r="O19512"/>
      <c r="R19512"/>
      <c r="W19512" s="4"/>
      <c r="X19512" s="4"/>
      <c r="Y19512" s="4"/>
    </row>
    <row r="19513" spans="5:25">
      <c r="E19513"/>
      <c r="G19513"/>
      <c r="H19513"/>
      <c r="I19513"/>
      <c r="K19513"/>
      <c r="O19513"/>
      <c r="R19513"/>
      <c r="W19513" s="4"/>
      <c r="X19513" s="4"/>
      <c r="Y19513" s="4"/>
    </row>
    <row r="19514" spans="5:25">
      <c r="E19514"/>
      <c r="G19514"/>
      <c r="H19514"/>
      <c r="I19514"/>
      <c r="K19514"/>
      <c r="O19514"/>
      <c r="R19514"/>
      <c r="W19514" s="4"/>
      <c r="X19514" s="4"/>
      <c r="Y19514" s="4"/>
    </row>
    <row r="19515" spans="5:25">
      <c r="E19515"/>
      <c r="G19515"/>
      <c r="H19515"/>
      <c r="I19515"/>
      <c r="K19515"/>
      <c r="O19515"/>
      <c r="R19515"/>
      <c r="W19515" s="4"/>
      <c r="X19515" s="4"/>
      <c r="Y19515" s="4"/>
    </row>
    <row r="19516" spans="5:25">
      <c r="E19516"/>
      <c r="G19516"/>
      <c r="H19516"/>
      <c r="I19516"/>
      <c r="K19516"/>
      <c r="O19516"/>
      <c r="R19516"/>
      <c r="W19516" s="4"/>
      <c r="X19516" s="4"/>
      <c r="Y19516" s="4"/>
    </row>
    <row r="19517" spans="5:25">
      <c r="E19517"/>
      <c r="G19517"/>
      <c r="H19517"/>
      <c r="I19517"/>
      <c r="K19517"/>
      <c r="O19517"/>
      <c r="R19517"/>
      <c r="W19517" s="4"/>
      <c r="X19517" s="4"/>
      <c r="Y19517" s="4"/>
    </row>
    <row r="19518" spans="5:25">
      <c r="E19518"/>
      <c r="G19518"/>
      <c r="H19518"/>
      <c r="I19518"/>
      <c r="K19518"/>
      <c r="O19518"/>
      <c r="R19518"/>
      <c r="W19518" s="4"/>
      <c r="X19518" s="4"/>
      <c r="Y19518" s="4"/>
    </row>
    <row r="19519" spans="5:25">
      <c r="E19519"/>
      <c r="G19519"/>
      <c r="H19519"/>
      <c r="I19519"/>
      <c r="K19519"/>
      <c r="O19519"/>
      <c r="R19519"/>
      <c r="W19519" s="4"/>
      <c r="X19519" s="4"/>
      <c r="Y19519" s="4"/>
    </row>
    <row r="19520" spans="5:25">
      <c r="E19520"/>
      <c r="G19520"/>
      <c r="H19520"/>
      <c r="I19520"/>
      <c r="K19520"/>
      <c r="O19520"/>
      <c r="R19520"/>
      <c r="W19520" s="4"/>
      <c r="X19520" s="4"/>
      <c r="Y19520" s="4"/>
    </row>
    <row r="19521" spans="5:25">
      <c r="E19521"/>
      <c r="G19521"/>
      <c r="H19521"/>
      <c r="I19521"/>
      <c r="K19521"/>
      <c r="O19521"/>
      <c r="R19521"/>
      <c r="W19521" s="4"/>
      <c r="X19521" s="4"/>
      <c r="Y19521" s="4"/>
    </row>
    <row r="19522" spans="5:25">
      <c r="E19522"/>
      <c r="G19522"/>
      <c r="H19522"/>
      <c r="I19522"/>
      <c r="K19522"/>
      <c r="O19522"/>
      <c r="R19522"/>
      <c r="W19522" s="4"/>
      <c r="X19522" s="4"/>
      <c r="Y19522" s="4"/>
    </row>
    <row r="19523" spans="5:25">
      <c r="E19523"/>
      <c r="G19523"/>
      <c r="H19523"/>
      <c r="I19523"/>
      <c r="K19523"/>
      <c r="O19523"/>
      <c r="R19523"/>
      <c r="W19523" s="4"/>
      <c r="X19523" s="4"/>
      <c r="Y19523" s="4"/>
    </row>
    <row r="19524" spans="5:25">
      <c r="E19524"/>
      <c r="G19524"/>
      <c r="H19524"/>
      <c r="I19524"/>
      <c r="K19524"/>
      <c r="O19524"/>
      <c r="R19524"/>
      <c r="W19524" s="4"/>
      <c r="X19524" s="4"/>
      <c r="Y19524" s="4"/>
    </row>
    <row r="19525" spans="5:25">
      <c r="E19525"/>
      <c r="G19525"/>
      <c r="H19525"/>
      <c r="I19525"/>
      <c r="K19525"/>
      <c r="O19525"/>
      <c r="R19525"/>
      <c r="W19525" s="4"/>
      <c r="X19525" s="4"/>
      <c r="Y19525" s="4"/>
    </row>
    <row r="19526" spans="5:25">
      <c r="E19526"/>
      <c r="G19526"/>
      <c r="H19526"/>
      <c r="I19526"/>
      <c r="K19526"/>
      <c r="O19526"/>
      <c r="R19526"/>
      <c r="W19526" s="4"/>
      <c r="X19526" s="4"/>
      <c r="Y19526" s="4"/>
    </row>
    <row r="19527" spans="5:25">
      <c r="E19527"/>
      <c r="G19527"/>
      <c r="H19527"/>
      <c r="I19527"/>
      <c r="K19527"/>
      <c r="O19527"/>
      <c r="R19527"/>
      <c r="W19527" s="4"/>
      <c r="X19527" s="4"/>
      <c r="Y19527" s="4"/>
    </row>
    <row r="19528" spans="5:25">
      <c r="E19528"/>
      <c r="G19528"/>
      <c r="H19528"/>
      <c r="I19528"/>
      <c r="K19528"/>
      <c r="O19528"/>
      <c r="R19528"/>
      <c r="W19528" s="4"/>
      <c r="X19528" s="4"/>
      <c r="Y19528" s="4"/>
    </row>
    <row r="19529" spans="5:25">
      <c r="E19529"/>
      <c r="G19529"/>
      <c r="H19529"/>
      <c r="I19529"/>
      <c r="K19529"/>
      <c r="O19529"/>
      <c r="R19529"/>
      <c r="W19529" s="4"/>
      <c r="X19529" s="4"/>
      <c r="Y19529" s="4"/>
    </row>
    <row r="19530" spans="5:25">
      <c r="E19530"/>
      <c r="G19530"/>
      <c r="H19530"/>
      <c r="I19530"/>
      <c r="K19530"/>
      <c r="O19530"/>
      <c r="R19530"/>
      <c r="W19530" s="4"/>
      <c r="X19530" s="4"/>
      <c r="Y19530" s="4"/>
    </row>
    <row r="19531" spans="5:25">
      <c r="E19531"/>
      <c r="G19531"/>
      <c r="H19531"/>
      <c r="I19531"/>
      <c r="K19531"/>
      <c r="O19531"/>
      <c r="R19531"/>
      <c r="W19531" s="4"/>
      <c r="X19531" s="4"/>
      <c r="Y19531" s="4"/>
    </row>
    <row r="19532" spans="5:25">
      <c r="E19532"/>
      <c r="G19532"/>
      <c r="H19532"/>
      <c r="I19532"/>
      <c r="K19532"/>
      <c r="O19532"/>
      <c r="R19532"/>
      <c r="W19532" s="4"/>
      <c r="X19532" s="4"/>
      <c r="Y19532" s="4"/>
    </row>
    <row r="19533" spans="5:25">
      <c r="E19533"/>
      <c r="G19533"/>
      <c r="H19533"/>
      <c r="I19533"/>
      <c r="K19533"/>
      <c r="O19533"/>
      <c r="R19533"/>
      <c r="W19533" s="4"/>
      <c r="X19533" s="4"/>
      <c r="Y19533" s="4"/>
    </row>
    <row r="19534" spans="5:25">
      <c r="E19534"/>
      <c r="G19534"/>
      <c r="H19534"/>
      <c r="I19534"/>
      <c r="K19534"/>
      <c r="O19534"/>
      <c r="R19534"/>
      <c r="W19534" s="4"/>
      <c r="X19534" s="4"/>
      <c r="Y19534" s="4"/>
    </row>
    <row r="19535" spans="5:25">
      <c r="E19535"/>
      <c r="G19535"/>
      <c r="H19535"/>
      <c r="I19535"/>
      <c r="K19535"/>
      <c r="O19535"/>
      <c r="R19535"/>
      <c r="W19535" s="4"/>
      <c r="X19535" s="4"/>
      <c r="Y19535" s="4"/>
    </row>
    <row r="19536" spans="5:25">
      <c r="E19536"/>
      <c r="G19536"/>
      <c r="H19536"/>
      <c r="I19536"/>
      <c r="K19536"/>
      <c r="O19536"/>
      <c r="R19536"/>
      <c r="W19536" s="4"/>
      <c r="X19536" s="4"/>
      <c r="Y19536" s="4"/>
    </row>
    <row r="19537" spans="5:25">
      <c r="E19537"/>
      <c r="G19537"/>
      <c r="H19537"/>
      <c r="I19537"/>
      <c r="K19537"/>
      <c r="O19537"/>
      <c r="R19537"/>
      <c r="W19537" s="4"/>
      <c r="X19537" s="4"/>
      <c r="Y19537" s="4"/>
    </row>
    <row r="19538" spans="5:25">
      <c r="E19538"/>
      <c r="G19538"/>
      <c r="H19538"/>
      <c r="I19538"/>
      <c r="K19538"/>
      <c r="O19538"/>
      <c r="R19538"/>
      <c r="W19538" s="4"/>
      <c r="X19538" s="4"/>
      <c r="Y19538" s="4"/>
    </row>
    <row r="19539" spans="5:25">
      <c r="E19539"/>
      <c r="G19539"/>
      <c r="H19539"/>
      <c r="I19539"/>
      <c r="K19539"/>
      <c r="O19539"/>
      <c r="R19539"/>
      <c r="W19539" s="4"/>
      <c r="X19539" s="4"/>
      <c r="Y19539" s="4"/>
    </row>
    <row r="19540" spans="5:25">
      <c r="E19540"/>
      <c r="G19540"/>
      <c r="H19540"/>
      <c r="I19540"/>
      <c r="K19540"/>
      <c r="O19540"/>
      <c r="R19540"/>
      <c r="W19540" s="4"/>
      <c r="X19540" s="4"/>
      <c r="Y19540" s="4"/>
    </row>
    <row r="19541" spans="5:25">
      <c r="E19541"/>
      <c r="G19541"/>
      <c r="H19541"/>
      <c r="I19541"/>
      <c r="K19541"/>
      <c r="O19541"/>
      <c r="R19541"/>
      <c r="W19541" s="4"/>
      <c r="X19541" s="4"/>
      <c r="Y19541" s="4"/>
    </row>
    <row r="19542" spans="5:25">
      <c r="E19542"/>
      <c r="G19542"/>
      <c r="H19542"/>
      <c r="I19542"/>
      <c r="K19542"/>
      <c r="O19542"/>
      <c r="R19542"/>
      <c r="W19542" s="4"/>
      <c r="X19542" s="4"/>
      <c r="Y19542" s="4"/>
    </row>
    <row r="19543" spans="5:25">
      <c r="E19543"/>
      <c r="G19543"/>
      <c r="H19543"/>
      <c r="I19543"/>
      <c r="K19543"/>
      <c r="O19543"/>
      <c r="R19543"/>
      <c r="W19543" s="4"/>
      <c r="X19543" s="4"/>
      <c r="Y19543" s="4"/>
    </row>
    <row r="19544" spans="5:25">
      <c r="E19544"/>
      <c r="G19544"/>
      <c r="H19544"/>
      <c r="I19544"/>
      <c r="K19544"/>
      <c r="O19544"/>
      <c r="R19544"/>
      <c r="W19544" s="4"/>
      <c r="X19544" s="4"/>
      <c r="Y19544" s="4"/>
    </row>
    <row r="19545" spans="5:25">
      <c r="E19545"/>
      <c r="G19545"/>
      <c r="H19545"/>
      <c r="I19545"/>
      <c r="K19545"/>
      <c r="O19545"/>
      <c r="R19545"/>
      <c r="W19545" s="4"/>
      <c r="X19545" s="4"/>
      <c r="Y19545" s="4"/>
    </row>
    <row r="19546" spans="5:25">
      <c r="E19546"/>
      <c r="G19546"/>
      <c r="H19546"/>
      <c r="I19546"/>
      <c r="K19546"/>
      <c r="O19546"/>
      <c r="R19546"/>
      <c r="W19546" s="4"/>
      <c r="X19546" s="4"/>
      <c r="Y19546" s="4"/>
    </row>
    <row r="19547" spans="5:25">
      <c r="E19547"/>
      <c r="G19547"/>
      <c r="H19547"/>
      <c r="I19547"/>
      <c r="K19547"/>
      <c r="O19547"/>
      <c r="R19547"/>
      <c r="W19547" s="4"/>
      <c r="X19547" s="4"/>
      <c r="Y19547" s="4"/>
    </row>
    <row r="19548" spans="5:25">
      <c r="E19548"/>
      <c r="G19548"/>
      <c r="H19548"/>
      <c r="I19548"/>
      <c r="K19548"/>
      <c r="O19548"/>
      <c r="R19548"/>
      <c r="W19548" s="4"/>
      <c r="X19548" s="4"/>
      <c r="Y19548" s="4"/>
    </row>
    <row r="19549" spans="5:25">
      <c r="E19549"/>
      <c r="G19549"/>
      <c r="H19549"/>
      <c r="I19549"/>
      <c r="K19549"/>
      <c r="O19549"/>
      <c r="R19549"/>
      <c r="W19549" s="4"/>
      <c r="X19549" s="4"/>
      <c r="Y19549" s="4"/>
    </row>
    <row r="19550" spans="5:25">
      <c r="E19550"/>
      <c r="G19550"/>
      <c r="H19550"/>
      <c r="I19550"/>
      <c r="K19550"/>
      <c r="O19550"/>
      <c r="R19550"/>
      <c r="W19550" s="4"/>
      <c r="X19550" s="4"/>
      <c r="Y19550" s="4"/>
    </row>
    <row r="19551" spans="5:25">
      <c r="E19551"/>
      <c r="G19551"/>
      <c r="H19551"/>
      <c r="I19551"/>
      <c r="K19551"/>
      <c r="O19551"/>
      <c r="R19551"/>
      <c r="W19551" s="4"/>
      <c r="X19551" s="4"/>
      <c r="Y19551" s="4"/>
    </row>
    <row r="19552" spans="5:25">
      <c r="E19552"/>
      <c r="G19552"/>
      <c r="H19552"/>
      <c r="I19552"/>
      <c r="K19552"/>
      <c r="O19552"/>
      <c r="R19552"/>
      <c r="W19552" s="4"/>
      <c r="X19552" s="4"/>
      <c r="Y19552" s="4"/>
    </row>
    <row r="19553" spans="5:25">
      <c r="E19553"/>
      <c r="G19553"/>
      <c r="H19553"/>
      <c r="I19553"/>
      <c r="K19553"/>
      <c r="O19553"/>
      <c r="R19553"/>
      <c r="W19553" s="4"/>
      <c r="X19553" s="4"/>
      <c r="Y19553" s="4"/>
    </row>
    <row r="19554" spans="5:25">
      <c r="E19554"/>
      <c r="G19554"/>
      <c r="H19554"/>
      <c r="I19554"/>
      <c r="K19554"/>
      <c r="O19554"/>
      <c r="R19554"/>
      <c r="W19554" s="4"/>
      <c r="X19554" s="4"/>
      <c r="Y19554" s="4"/>
    </row>
    <row r="19555" spans="5:25">
      <c r="E19555"/>
      <c r="G19555"/>
      <c r="H19555"/>
      <c r="I19555"/>
      <c r="K19555"/>
      <c r="O19555"/>
      <c r="R19555"/>
      <c r="W19555" s="4"/>
      <c r="X19555" s="4"/>
      <c r="Y19555" s="4"/>
    </row>
    <row r="19556" spans="5:25">
      <c r="E19556"/>
      <c r="G19556"/>
      <c r="H19556"/>
      <c r="I19556"/>
      <c r="K19556"/>
      <c r="O19556"/>
      <c r="R19556"/>
      <c r="W19556" s="4"/>
      <c r="X19556" s="4"/>
      <c r="Y19556" s="4"/>
    </row>
    <row r="19557" spans="5:25">
      <c r="E19557"/>
      <c r="G19557"/>
      <c r="H19557"/>
      <c r="I19557"/>
      <c r="K19557"/>
      <c r="O19557"/>
      <c r="R19557"/>
      <c r="W19557" s="4"/>
      <c r="X19557" s="4"/>
      <c r="Y19557" s="4"/>
    </row>
    <row r="19558" spans="5:25">
      <c r="E19558"/>
      <c r="G19558"/>
      <c r="H19558"/>
      <c r="I19558"/>
      <c r="K19558"/>
      <c r="O19558"/>
      <c r="R19558"/>
      <c r="W19558" s="4"/>
      <c r="X19558" s="4"/>
      <c r="Y19558" s="4"/>
    </row>
    <row r="19559" spans="5:25">
      <c r="E19559"/>
      <c r="G19559"/>
      <c r="H19559"/>
      <c r="I19559"/>
      <c r="K19559"/>
      <c r="O19559"/>
      <c r="R19559"/>
      <c r="W19559" s="4"/>
      <c r="X19559" s="4"/>
      <c r="Y19559" s="4"/>
    </row>
    <row r="19560" spans="5:25">
      <c r="E19560"/>
      <c r="G19560"/>
      <c r="H19560"/>
      <c r="I19560"/>
      <c r="K19560"/>
      <c r="O19560"/>
      <c r="R19560"/>
      <c r="W19560" s="4"/>
      <c r="X19560" s="4"/>
      <c r="Y19560" s="4"/>
    </row>
    <row r="19561" spans="5:25">
      <c r="E19561"/>
      <c r="G19561"/>
      <c r="H19561"/>
      <c r="I19561"/>
      <c r="K19561"/>
      <c r="O19561"/>
      <c r="R19561"/>
      <c r="W19561" s="4"/>
      <c r="X19561" s="4"/>
      <c r="Y19561" s="4"/>
    </row>
    <row r="19562" spans="5:25">
      <c r="E19562"/>
      <c r="G19562"/>
      <c r="H19562"/>
      <c r="I19562"/>
      <c r="K19562"/>
      <c r="O19562"/>
      <c r="R19562"/>
      <c r="W19562" s="4"/>
      <c r="X19562" s="4"/>
      <c r="Y19562" s="4"/>
    </row>
    <row r="19563" spans="5:25">
      <c r="E19563"/>
      <c r="G19563"/>
      <c r="H19563"/>
      <c r="I19563"/>
      <c r="K19563"/>
      <c r="O19563"/>
      <c r="R19563"/>
      <c r="W19563" s="4"/>
      <c r="X19563" s="4"/>
      <c r="Y19563" s="4"/>
    </row>
    <row r="19564" spans="5:25">
      <c r="E19564"/>
      <c r="G19564"/>
      <c r="H19564"/>
      <c r="I19564"/>
      <c r="K19564"/>
      <c r="O19564"/>
      <c r="R19564"/>
      <c r="W19564" s="4"/>
      <c r="X19564" s="4"/>
      <c r="Y19564" s="4"/>
    </row>
    <row r="19565" spans="5:25">
      <c r="E19565"/>
      <c r="G19565"/>
      <c r="H19565"/>
      <c r="I19565"/>
      <c r="K19565"/>
      <c r="O19565"/>
      <c r="R19565"/>
      <c r="W19565" s="4"/>
      <c r="X19565" s="4"/>
      <c r="Y19565" s="4"/>
    </row>
    <row r="19566" spans="5:25">
      <c r="E19566"/>
      <c r="G19566"/>
      <c r="H19566"/>
      <c r="I19566"/>
      <c r="K19566"/>
      <c r="O19566"/>
      <c r="R19566"/>
      <c r="W19566" s="4"/>
      <c r="X19566" s="4"/>
      <c r="Y19566" s="4"/>
    </row>
    <row r="19567" spans="5:25">
      <c r="E19567"/>
      <c r="G19567"/>
      <c r="H19567"/>
      <c r="I19567"/>
      <c r="K19567"/>
      <c r="O19567"/>
      <c r="R19567"/>
      <c r="W19567" s="4"/>
      <c r="X19567" s="4"/>
      <c r="Y19567" s="4"/>
    </row>
    <row r="19568" spans="5:25">
      <c r="E19568"/>
      <c r="G19568"/>
      <c r="H19568"/>
      <c r="I19568"/>
      <c r="K19568"/>
      <c r="O19568"/>
      <c r="R19568"/>
      <c r="W19568" s="4"/>
      <c r="X19568" s="4"/>
      <c r="Y19568" s="4"/>
    </row>
    <row r="19569" spans="5:25">
      <c r="E19569"/>
      <c r="G19569"/>
      <c r="H19569"/>
      <c r="I19569"/>
      <c r="K19569"/>
      <c r="O19569"/>
      <c r="R19569"/>
      <c r="W19569" s="4"/>
      <c r="X19569" s="4"/>
      <c r="Y19569" s="4"/>
    </row>
    <row r="19570" spans="5:25">
      <c r="E19570"/>
      <c r="G19570"/>
      <c r="H19570"/>
      <c r="I19570"/>
      <c r="K19570"/>
      <c r="O19570"/>
      <c r="R19570"/>
      <c r="W19570" s="4"/>
      <c r="X19570" s="4"/>
      <c r="Y19570" s="4"/>
    </row>
    <row r="19571" spans="5:25">
      <c r="E19571"/>
      <c r="G19571"/>
      <c r="H19571"/>
      <c r="I19571"/>
      <c r="K19571"/>
      <c r="O19571"/>
      <c r="R19571"/>
      <c r="W19571" s="4"/>
      <c r="X19571" s="4"/>
      <c r="Y19571" s="4"/>
    </row>
    <row r="19572" spans="5:25">
      <c r="E19572"/>
      <c r="G19572"/>
      <c r="H19572"/>
      <c r="I19572"/>
      <c r="K19572"/>
      <c r="O19572"/>
      <c r="R19572"/>
      <c r="W19572" s="4"/>
      <c r="X19572" s="4"/>
      <c r="Y19572" s="4"/>
    </row>
    <row r="19573" spans="5:25">
      <c r="E19573"/>
      <c r="G19573"/>
      <c r="H19573"/>
      <c r="I19573"/>
      <c r="K19573"/>
      <c r="O19573"/>
      <c r="R19573"/>
      <c r="W19573" s="4"/>
      <c r="X19573" s="4"/>
      <c r="Y19573" s="4"/>
    </row>
    <row r="19574" spans="5:25">
      <c r="E19574"/>
      <c r="G19574"/>
      <c r="H19574"/>
      <c r="I19574"/>
      <c r="K19574"/>
      <c r="O19574"/>
      <c r="R19574"/>
      <c r="W19574" s="4"/>
      <c r="X19574" s="4"/>
      <c r="Y19574" s="4"/>
    </row>
    <row r="19575" spans="5:25">
      <c r="E19575"/>
      <c r="G19575"/>
      <c r="H19575"/>
      <c r="I19575"/>
      <c r="K19575"/>
      <c r="O19575"/>
      <c r="R19575"/>
      <c r="W19575" s="4"/>
      <c r="X19575" s="4"/>
      <c r="Y19575" s="4"/>
    </row>
    <row r="19576" spans="5:25">
      <c r="E19576"/>
      <c r="G19576"/>
      <c r="H19576"/>
      <c r="I19576"/>
      <c r="K19576"/>
      <c r="O19576"/>
      <c r="R19576"/>
      <c r="W19576" s="4"/>
      <c r="X19576" s="4"/>
      <c r="Y19576" s="4"/>
    </row>
    <row r="19577" spans="5:25">
      <c r="E19577"/>
      <c r="G19577"/>
      <c r="H19577"/>
      <c r="I19577"/>
      <c r="K19577"/>
      <c r="O19577"/>
      <c r="R19577"/>
      <c r="W19577" s="4"/>
      <c r="X19577" s="4"/>
      <c r="Y19577" s="4"/>
    </row>
    <row r="19578" spans="5:25">
      <c r="E19578"/>
      <c r="G19578"/>
      <c r="H19578"/>
      <c r="I19578"/>
      <c r="K19578"/>
      <c r="O19578"/>
      <c r="R19578"/>
      <c r="W19578" s="4"/>
      <c r="X19578" s="4"/>
      <c r="Y19578" s="4"/>
    </row>
    <row r="19579" spans="5:25">
      <c r="E19579"/>
      <c r="G19579"/>
      <c r="H19579"/>
      <c r="I19579"/>
      <c r="K19579"/>
      <c r="O19579"/>
      <c r="R19579"/>
      <c r="W19579" s="4"/>
      <c r="X19579" s="4"/>
      <c r="Y19579" s="4"/>
    </row>
    <row r="19580" spans="5:25">
      <c r="E19580"/>
      <c r="G19580"/>
      <c r="H19580"/>
      <c r="I19580"/>
      <c r="K19580"/>
      <c r="O19580"/>
      <c r="R19580"/>
      <c r="W19580" s="4"/>
      <c r="X19580" s="4"/>
      <c r="Y19580" s="4"/>
    </row>
    <row r="19581" spans="5:25">
      <c r="E19581"/>
      <c r="G19581"/>
      <c r="H19581"/>
      <c r="I19581"/>
      <c r="K19581"/>
      <c r="O19581"/>
      <c r="R19581"/>
      <c r="W19581" s="4"/>
      <c r="X19581" s="4"/>
      <c r="Y19581" s="4"/>
    </row>
    <row r="19582" spans="5:25">
      <c r="E19582"/>
      <c r="G19582"/>
      <c r="H19582"/>
      <c r="I19582"/>
      <c r="K19582"/>
      <c r="O19582"/>
      <c r="R19582"/>
      <c r="W19582" s="4"/>
      <c r="X19582" s="4"/>
      <c r="Y19582" s="4"/>
    </row>
    <row r="19583" spans="5:25">
      <c r="E19583"/>
      <c r="G19583"/>
      <c r="H19583"/>
      <c r="I19583"/>
      <c r="K19583"/>
      <c r="O19583"/>
      <c r="R19583"/>
      <c r="W19583" s="4"/>
      <c r="X19583" s="4"/>
      <c r="Y19583" s="4"/>
    </row>
    <row r="19584" spans="5:25">
      <c r="E19584"/>
      <c r="G19584"/>
      <c r="H19584"/>
      <c r="I19584"/>
      <c r="K19584"/>
      <c r="O19584"/>
      <c r="R19584"/>
      <c r="W19584" s="4"/>
      <c r="X19584" s="4"/>
      <c r="Y19584" s="4"/>
    </row>
    <row r="19585" spans="5:25">
      <c r="E19585"/>
      <c r="G19585"/>
      <c r="H19585"/>
      <c r="I19585"/>
      <c r="K19585"/>
      <c r="O19585"/>
      <c r="R19585"/>
      <c r="W19585" s="4"/>
      <c r="X19585" s="4"/>
      <c r="Y19585" s="4"/>
    </row>
    <row r="19586" spans="5:25">
      <c r="E19586"/>
      <c r="G19586"/>
      <c r="H19586"/>
      <c r="I19586"/>
      <c r="K19586"/>
      <c r="O19586"/>
      <c r="R19586"/>
      <c r="W19586" s="4"/>
      <c r="X19586" s="4"/>
      <c r="Y19586" s="4"/>
    </row>
    <row r="19587" spans="5:25">
      <c r="E19587"/>
      <c r="G19587"/>
      <c r="H19587"/>
      <c r="I19587"/>
      <c r="K19587"/>
      <c r="O19587"/>
      <c r="R19587"/>
      <c r="W19587" s="4"/>
      <c r="X19587" s="4"/>
      <c r="Y19587" s="4"/>
    </row>
    <row r="19588" spans="5:25">
      <c r="E19588"/>
      <c r="G19588"/>
      <c r="H19588"/>
      <c r="I19588"/>
      <c r="K19588"/>
      <c r="O19588"/>
      <c r="R19588"/>
      <c r="W19588" s="4"/>
      <c r="X19588" s="4"/>
      <c r="Y19588" s="4"/>
    </row>
    <row r="19589" spans="5:25">
      <c r="E19589"/>
      <c r="G19589"/>
      <c r="H19589"/>
      <c r="I19589"/>
      <c r="K19589"/>
      <c r="O19589"/>
      <c r="R19589"/>
      <c r="W19589" s="4"/>
      <c r="X19589" s="4"/>
      <c r="Y19589" s="4"/>
    </row>
    <row r="19590" spans="5:25">
      <c r="E19590"/>
      <c r="G19590"/>
      <c r="H19590"/>
      <c r="I19590"/>
      <c r="K19590"/>
      <c r="O19590"/>
      <c r="R19590"/>
      <c r="W19590" s="4"/>
      <c r="X19590" s="4"/>
      <c r="Y19590" s="4"/>
    </row>
    <row r="19591" spans="5:25">
      <c r="E19591"/>
      <c r="G19591"/>
      <c r="H19591"/>
      <c r="I19591"/>
      <c r="K19591"/>
      <c r="O19591"/>
      <c r="R19591"/>
      <c r="W19591" s="4"/>
      <c r="X19591" s="4"/>
      <c r="Y19591" s="4"/>
    </row>
    <row r="19592" spans="5:25">
      <c r="E19592"/>
      <c r="G19592"/>
      <c r="H19592"/>
      <c r="I19592"/>
      <c r="K19592"/>
      <c r="O19592"/>
      <c r="R19592"/>
      <c r="W19592" s="4"/>
      <c r="X19592" s="4"/>
      <c r="Y19592" s="4"/>
    </row>
    <row r="19593" spans="5:25">
      <c r="E19593"/>
      <c r="G19593"/>
      <c r="H19593"/>
      <c r="I19593"/>
      <c r="K19593"/>
      <c r="O19593"/>
      <c r="R19593"/>
      <c r="W19593" s="4"/>
      <c r="X19593" s="4"/>
      <c r="Y19593" s="4"/>
    </row>
    <row r="19594" spans="5:25">
      <c r="E19594"/>
      <c r="G19594"/>
      <c r="H19594"/>
      <c r="I19594"/>
      <c r="K19594"/>
      <c r="O19594"/>
      <c r="R19594"/>
      <c r="W19594" s="4"/>
      <c r="X19594" s="4"/>
      <c r="Y19594" s="4"/>
    </row>
    <row r="19595" spans="5:25">
      <c r="E19595"/>
      <c r="G19595"/>
      <c r="H19595"/>
      <c r="I19595"/>
      <c r="K19595"/>
      <c r="O19595"/>
      <c r="R19595"/>
      <c r="W19595" s="4"/>
      <c r="X19595" s="4"/>
      <c r="Y19595" s="4"/>
    </row>
    <row r="19596" spans="5:25">
      <c r="E19596"/>
      <c r="G19596"/>
      <c r="H19596"/>
      <c r="I19596"/>
      <c r="K19596"/>
      <c r="O19596"/>
      <c r="R19596"/>
      <c r="W19596" s="4"/>
      <c r="X19596" s="4"/>
      <c r="Y19596" s="4"/>
    </row>
    <row r="19597" spans="5:25">
      <c r="E19597"/>
      <c r="G19597"/>
      <c r="H19597"/>
      <c r="I19597"/>
      <c r="K19597"/>
      <c r="O19597"/>
      <c r="R19597"/>
      <c r="W19597" s="4"/>
      <c r="X19597" s="4"/>
      <c r="Y19597" s="4"/>
    </row>
    <row r="19598" spans="5:25">
      <c r="E19598"/>
      <c r="G19598"/>
      <c r="H19598"/>
      <c r="I19598"/>
      <c r="K19598"/>
      <c r="O19598"/>
      <c r="R19598"/>
      <c r="W19598" s="4"/>
      <c r="X19598" s="4"/>
      <c r="Y19598" s="4"/>
    </row>
    <row r="19599" spans="5:25">
      <c r="E19599"/>
      <c r="G19599"/>
      <c r="H19599"/>
      <c r="I19599"/>
      <c r="K19599"/>
      <c r="O19599"/>
      <c r="R19599"/>
      <c r="W19599" s="4"/>
      <c r="X19599" s="4"/>
      <c r="Y19599" s="4"/>
    </row>
    <row r="19600" spans="5:25">
      <c r="E19600"/>
      <c r="G19600"/>
      <c r="H19600"/>
      <c r="I19600"/>
      <c r="K19600"/>
      <c r="O19600"/>
      <c r="R19600"/>
      <c r="W19600" s="4"/>
      <c r="X19600" s="4"/>
      <c r="Y19600" s="4"/>
    </row>
    <row r="19601" spans="5:25">
      <c r="E19601"/>
      <c r="G19601"/>
      <c r="H19601"/>
      <c r="I19601"/>
      <c r="K19601"/>
      <c r="O19601"/>
      <c r="R19601"/>
      <c r="W19601" s="4"/>
      <c r="X19601" s="4"/>
      <c r="Y19601" s="4"/>
    </row>
    <row r="19602" spans="5:25">
      <c r="E19602"/>
      <c r="G19602"/>
      <c r="H19602"/>
      <c r="I19602"/>
      <c r="K19602"/>
      <c r="O19602"/>
      <c r="R19602"/>
      <c r="W19602" s="4"/>
      <c r="X19602" s="4"/>
      <c r="Y19602" s="4"/>
    </row>
    <row r="19603" spans="5:25">
      <c r="E19603"/>
      <c r="G19603"/>
      <c r="H19603"/>
      <c r="I19603"/>
      <c r="K19603"/>
      <c r="O19603"/>
      <c r="R19603"/>
      <c r="W19603" s="4"/>
      <c r="X19603" s="4"/>
      <c r="Y19603" s="4"/>
    </row>
    <row r="19604" spans="5:25">
      <c r="E19604"/>
      <c r="G19604"/>
      <c r="H19604"/>
      <c r="I19604"/>
      <c r="K19604"/>
      <c r="O19604"/>
      <c r="R19604"/>
      <c r="W19604" s="4"/>
      <c r="X19604" s="4"/>
      <c r="Y19604" s="4"/>
    </row>
    <row r="19605" spans="5:25">
      <c r="E19605"/>
      <c r="G19605"/>
      <c r="H19605"/>
      <c r="I19605"/>
      <c r="K19605"/>
      <c r="O19605"/>
      <c r="R19605"/>
      <c r="W19605" s="4"/>
      <c r="X19605" s="4"/>
      <c r="Y19605" s="4"/>
    </row>
    <row r="19606" spans="5:25">
      <c r="E19606"/>
      <c r="G19606"/>
      <c r="H19606"/>
      <c r="I19606"/>
      <c r="K19606"/>
      <c r="O19606"/>
      <c r="R19606"/>
      <c r="W19606" s="4"/>
      <c r="X19606" s="4"/>
      <c r="Y19606" s="4"/>
    </row>
    <row r="19607" spans="5:25">
      <c r="E19607"/>
      <c r="G19607"/>
      <c r="H19607"/>
      <c r="I19607"/>
      <c r="K19607"/>
      <c r="O19607"/>
      <c r="R19607"/>
      <c r="W19607" s="4"/>
      <c r="X19607" s="4"/>
      <c r="Y19607" s="4"/>
    </row>
    <row r="19608" spans="5:25">
      <c r="E19608"/>
      <c r="G19608"/>
      <c r="H19608"/>
      <c r="I19608"/>
      <c r="K19608"/>
      <c r="O19608"/>
      <c r="R19608"/>
      <c r="W19608" s="4"/>
      <c r="X19608" s="4"/>
      <c r="Y19608" s="4"/>
    </row>
    <row r="19609" spans="5:25">
      <c r="E19609"/>
      <c r="G19609"/>
      <c r="H19609"/>
      <c r="I19609"/>
      <c r="K19609"/>
      <c r="O19609"/>
      <c r="R19609"/>
      <c r="W19609" s="4"/>
      <c r="X19609" s="4"/>
      <c r="Y19609" s="4"/>
    </row>
    <row r="19610" spans="5:25">
      <c r="E19610"/>
      <c r="G19610"/>
      <c r="H19610"/>
      <c r="I19610"/>
      <c r="K19610"/>
      <c r="O19610"/>
      <c r="R19610"/>
      <c r="W19610" s="4"/>
      <c r="X19610" s="4"/>
      <c r="Y19610" s="4"/>
    </row>
    <row r="19611" spans="5:25">
      <c r="E19611"/>
      <c r="G19611"/>
      <c r="H19611"/>
      <c r="I19611"/>
      <c r="K19611"/>
      <c r="O19611"/>
      <c r="R19611"/>
      <c r="W19611" s="4"/>
      <c r="X19611" s="4"/>
      <c r="Y19611" s="4"/>
    </row>
    <row r="19612" spans="5:25">
      <c r="E19612"/>
      <c r="G19612"/>
      <c r="H19612"/>
      <c r="I19612"/>
      <c r="K19612"/>
      <c r="O19612"/>
      <c r="R19612"/>
      <c r="W19612" s="4"/>
      <c r="X19612" s="4"/>
      <c r="Y19612" s="4"/>
    </row>
    <row r="19613" spans="5:25">
      <c r="E19613"/>
      <c r="G19613"/>
      <c r="H19613"/>
      <c r="I19613"/>
      <c r="K19613"/>
      <c r="O19613"/>
      <c r="R19613"/>
      <c r="W19613" s="4"/>
      <c r="X19613" s="4"/>
      <c r="Y19613" s="4"/>
    </row>
    <row r="19614" spans="5:25">
      <c r="E19614"/>
      <c r="G19614"/>
      <c r="H19614"/>
      <c r="I19614"/>
      <c r="K19614"/>
      <c r="O19614"/>
      <c r="R19614"/>
      <c r="W19614" s="4"/>
      <c r="X19614" s="4"/>
      <c r="Y19614" s="4"/>
    </row>
    <row r="19615" spans="5:25">
      <c r="E19615"/>
      <c r="G19615"/>
      <c r="H19615"/>
      <c r="I19615"/>
      <c r="K19615"/>
      <c r="O19615"/>
      <c r="R19615"/>
      <c r="W19615" s="4"/>
      <c r="X19615" s="4"/>
      <c r="Y19615" s="4"/>
    </row>
    <row r="19616" spans="5:25">
      <c r="E19616"/>
      <c r="G19616"/>
      <c r="H19616"/>
      <c r="I19616"/>
      <c r="K19616"/>
      <c r="O19616"/>
      <c r="R19616"/>
      <c r="W19616" s="4"/>
      <c r="X19616" s="4"/>
      <c r="Y19616" s="4"/>
    </row>
    <row r="19617" spans="5:25">
      <c r="E19617"/>
      <c r="G19617"/>
      <c r="H19617"/>
      <c r="I19617"/>
      <c r="K19617"/>
      <c r="O19617"/>
      <c r="R19617"/>
      <c r="W19617" s="4"/>
      <c r="X19617" s="4"/>
      <c r="Y19617" s="4"/>
    </row>
    <row r="19618" spans="5:25">
      <c r="E19618"/>
      <c r="G19618"/>
      <c r="H19618"/>
      <c r="I19618"/>
      <c r="K19618"/>
      <c r="O19618"/>
      <c r="R19618"/>
      <c r="W19618" s="4"/>
      <c r="X19618" s="4"/>
      <c r="Y19618" s="4"/>
    </row>
    <row r="19619" spans="5:25">
      <c r="E19619"/>
      <c r="G19619"/>
      <c r="H19619"/>
      <c r="I19619"/>
      <c r="K19619"/>
      <c r="O19619"/>
      <c r="R19619"/>
      <c r="W19619" s="4"/>
      <c r="X19619" s="4"/>
      <c r="Y19619" s="4"/>
    </row>
    <row r="19620" spans="5:25">
      <c r="E19620"/>
      <c r="G19620"/>
      <c r="H19620"/>
      <c r="I19620"/>
      <c r="K19620"/>
      <c r="O19620"/>
      <c r="R19620"/>
      <c r="W19620" s="4"/>
      <c r="X19620" s="4"/>
      <c r="Y19620" s="4"/>
    </row>
    <row r="19621" spans="5:25">
      <c r="E19621"/>
      <c r="G19621"/>
      <c r="H19621"/>
      <c r="I19621"/>
      <c r="K19621"/>
      <c r="O19621"/>
      <c r="R19621"/>
      <c r="W19621" s="4"/>
      <c r="X19621" s="4"/>
      <c r="Y19621" s="4"/>
    </row>
    <row r="19622" spans="5:25">
      <c r="E19622"/>
      <c r="G19622"/>
      <c r="H19622"/>
      <c r="I19622"/>
      <c r="K19622"/>
      <c r="O19622"/>
      <c r="R19622"/>
      <c r="W19622" s="4"/>
      <c r="X19622" s="4"/>
      <c r="Y19622" s="4"/>
    </row>
    <row r="19623" spans="5:25">
      <c r="E19623"/>
      <c r="G19623"/>
      <c r="H19623"/>
      <c r="I19623"/>
      <c r="K19623"/>
      <c r="O19623"/>
      <c r="R19623"/>
      <c r="W19623" s="4"/>
      <c r="X19623" s="4"/>
      <c r="Y19623" s="4"/>
    </row>
    <row r="19624" spans="5:25">
      <c r="E19624"/>
      <c r="G19624"/>
      <c r="H19624"/>
      <c r="I19624"/>
      <c r="K19624"/>
      <c r="O19624"/>
      <c r="R19624"/>
      <c r="W19624" s="4"/>
      <c r="X19624" s="4"/>
      <c r="Y19624" s="4"/>
    </row>
    <row r="19625" spans="5:25">
      <c r="E19625"/>
      <c r="G19625"/>
      <c r="H19625"/>
      <c r="I19625"/>
      <c r="K19625"/>
      <c r="O19625"/>
      <c r="R19625"/>
      <c r="W19625" s="4"/>
      <c r="X19625" s="4"/>
      <c r="Y19625" s="4"/>
    </row>
    <row r="19626" spans="5:25">
      <c r="E19626"/>
      <c r="G19626"/>
      <c r="H19626"/>
      <c r="I19626"/>
      <c r="K19626"/>
      <c r="O19626"/>
      <c r="R19626"/>
      <c r="W19626" s="4"/>
      <c r="X19626" s="4"/>
      <c r="Y19626" s="4"/>
    </row>
    <row r="19627" spans="5:25">
      <c r="E19627"/>
      <c r="G19627"/>
      <c r="H19627"/>
      <c r="I19627"/>
      <c r="K19627"/>
      <c r="O19627"/>
      <c r="R19627"/>
      <c r="W19627" s="4"/>
      <c r="X19627" s="4"/>
      <c r="Y19627" s="4"/>
    </row>
    <row r="19628" spans="5:25">
      <c r="E19628"/>
      <c r="G19628"/>
      <c r="H19628"/>
      <c r="I19628"/>
      <c r="K19628"/>
      <c r="O19628"/>
      <c r="R19628"/>
      <c r="W19628" s="4"/>
      <c r="X19628" s="4"/>
      <c r="Y19628" s="4"/>
    </row>
    <row r="19629" spans="5:25">
      <c r="E19629"/>
      <c r="G19629"/>
      <c r="H19629"/>
      <c r="I19629"/>
      <c r="K19629"/>
      <c r="O19629"/>
      <c r="R19629"/>
      <c r="W19629" s="4"/>
      <c r="X19629" s="4"/>
      <c r="Y19629" s="4"/>
    </row>
    <row r="19630" spans="5:25">
      <c r="E19630"/>
      <c r="G19630"/>
      <c r="H19630"/>
      <c r="I19630"/>
      <c r="K19630"/>
      <c r="O19630"/>
      <c r="R19630"/>
      <c r="W19630" s="4"/>
      <c r="X19630" s="4"/>
      <c r="Y19630" s="4"/>
    </row>
    <row r="19631" spans="5:25">
      <c r="E19631"/>
      <c r="G19631"/>
      <c r="H19631"/>
      <c r="I19631"/>
      <c r="K19631"/>
      <c r="O19631"/>
      <c r="R19631"/>
      <c r="W19631" s="4"/>
      <c r="X19631" s="4"/>
      <c r="Y19631" s="4"/>
    </row>
    <row r="19632" spans="5:25">
      <c r="E19632"/>
      <c r="G19632"/>
      <c r="H19632"/>
      <c r="I19632"/>
      <c r="K19632"/>
      <c r="O19632"/>
      <c r="R19632"/>
      <c r="W19632" s="4"/>
      <c r="X19632" s="4"/>
      <c r="Y19632" s="4"/>
    </row>
    <row r="19633" spans="5:25">
      <c r="E19633"/>
      <c r="G19633"/>
      <c r="H19633"/>
      <c r="I19633"/>
      <c r="K19633"/>
      <c r="O19633"/>
      <c r="R19633"/>
      <c r="W19633" s="4"/>
      <c r="X19633" s="4"/>
      <c r="Y19633" s="4"/>
    </row>
    <row r="19634" spans="5:25">
      <c r="E19634"/>
      <c r="G19634"/>
      <c r="H19634"/>
      <c r="I19634"/>
      <c r="K19634"/>
      <c r="O19634"/>
      <c r="R19634"/>
      <c r="W19634" s="4"/>
      <c r="X19634" s="4"/>
      <c r="Y19634" s="4"/>
    </row>
    <row r="19635" spans="5:25">
      <c r="E19635"/>
      <c r="G19635"/>
      <c r="H19635"/>
      <c r="I19635"/>
      <c r="K19635"/>
      <c r="O19635"/>
      <c r="R19635"/>
      <c r="W19635" s="4"/>
      <c r="X19635" s="4"/>
      <c r="Y19635" s="4"/>
    </row>
    <row r="19636" spans="5:25">
      <c r="E19636"/>
      <c r="G19636"/>
      <c r="H19636"/>
      <c r="I19636"/>
      <c r="K19636"/>
      <c r="O19636"/>
      <c r="R19636"/>
      <c r="W19636" s="4"/>
      <c r="X19636" s="4"/>
      <c r="Y19636" s="4"/>
    </row>
    <row r="19637" spans="5:25">
      <c r="E19637"/>
      <c r="G19637"/>
      <c r="H19637"/>
      <c r="I19637"/>
      <c r="K19637"/>
      <c r="O19637"/>
      <c r="R19637"/>
      <c r="W19637" s="4"/>
      <c r="X19637" s="4"/>
      <c r="Y19637" s="4"/>
    </row>
    <row r="19638" spans="5:25">
      <c r="E19638"/>
      <c r="G19638"/>
      <c r="H19638"/>
      <c r="I19638"/>
      <c r="K19638"/>
      <c r="O19638"/>
      <c r="R19638"/>
      <c r="W19638" s="4"/>
      <c r="X19638" s="4"/>
      <c r="Y19638" s="4"/>
    </row>
    <row r="19639" spans="5:25">
      <c r="E19639"/>
      <c r="G19639"/>
      <c r="H19639"/>
      <c r="I19639"/>
      <c r="K19639"/>
      <c r="O19639"/>
      <c r="R19639"/>
      <c r="W19639" s="4"/>
      <c r="X19639" s="4"/>
      <c r="Y19639" s="4"/>
    </row>
    <row r="19640" spans="5:25">
      <c r="E19640"/>
      <c r="G19640"/>
      <c r="H19640"/>
      <c r="I19640"/>
      <c r="K19640"/>
      <c r="O19640"/>
      <c r="R19640"/>
      <c r="W19640" s="4"/>
      <c r="X19640" s="4"/>
      <c r="Y19640" s="4"/>
    </row>
    <row r="19641" spans="5:25">
      <c r="E19641"/>
      <c r="G19641"/>
      <c r="H19641"/>
      <c r="I19641"/>
      <c r="K19641"/>
      <c r="O19641"/>
      <c r="R19641"/>
      <c r="W19641" s="4"/>
      <c r="X19641" s="4"/>
      <c r="Y19641" s="4"/>
    </row>
    <row r="19642" spans="5:25">
      <c r="E19642"/>
      <c r="G19642"/>
      <c r="H19642"/>
      <c r="I19642"/>
      <c r="K19642"/>
      <c r="O19642"/>
      <c r="R19642"/>
      <c r="W19642" s="4"/>
      <c r="X19642" s="4"/>
      <c r="Y19642" s="4"/>
    </row>
    <row r="19643" spans="5:25">
      <c r="E19643"/>
      <c r="G19643"/>
      <c r="H19643"/>
      <c r="I19643"/>
      <c r="K19643"/>
      <c r="O19643"/>
      <c r="R19643"/>
      <c r="W19643" s="4"/>
      <c r="X19643" s="4"/>
      <c r="Y19643" s="4"/>
    </row>
    <row r="19644" spans="5:25">
      <c r="E19644"/>
      <c r="G19644"/>
      <c r="H19644"/>
      <c r="I19644"/>
      <c r="K19644"/>
      <c r="O19644"/>
      <c r="R19644"/>
      <c r="W19644" s="4"/>
      <c r="X19644" s="4"/>
      <c r="Y19644" s="4"/>
    </row>
    <row r="19645" spans="5:25">
      <c r="E19645"/>
      <c r="G19645"/>
      <c r="H19645"/>
      <c r="I19645"/>
      <c r="K19645"/>
      <c r="O19645"/>
      <c r="R19645"/>
      <c r="W19645" s="4"/>
      <c r="X19645" s="4"/>
      <c r="Y19645" s="4"/>
    </row>
    <row r="19646" spans="5:25">
      <c r="E19646"/>
      <c r="G19646"/>
      <c r="H19646"/>
      <c r="I19646"/>
      <c r="K19646"/>
      <c r="O19646"/>
      <c r="R19646"/>
      <c r="W19646" s="4"/>
      <c r="X19646" s="4"/>
      <c r="Y19646" s="4"/>
    </row>
    <row r="19647" spans="5:25">
      <c r="E19647"/>
      <c r="G19647"/>
      <c r="H19647"/>
      <c r="I19647"/>
      <c r="K19647"/>
      <c r="O19647"/>
      <c r="R19647"/>
      <c r="W19647" s="4"/>
      <c r="X19647" s="4"/>
      <c r="Y19647" s="4"/>
    </row>
    <row r="19648" spans="5:25">
      <c r="E19648"/>
      <c r="G19648"/>
      <c r="H19648"/>
      <c r="I19648"/>
      <c r="K19648"/>
      <c r="O19648"/>
      <c r="R19648"/>
      <c r="W19648" s="4"/>
      <c r="X19648" s="4"/>
      <c r="Y19648" s="4"/>
    </row>
    <row r="19649" spans="5:25">
      <c r="E19649"/>
      <c r="G19649"/>
      <c r="H19649"/>
      <c r="I19649"/>
      <c r="K19649"/>
      <c r="O19649"/>
      <c r="R19649"/>
      <c r="W19649" s="4"/>
      <c r="X19649" s="4"/>
      <c r="Y19649" s="4"/>
    </row>
    <row r="19650" spans="5:25">
      <c r="E19650"/>
      <c r="G19650"/>
      <c r="H19650"/>
      <c r="I19650"/>
      <c r="K19650"/>
      <c r="O19650"/>
      <c r="R19650"/>
      <c r="W19650" s="4"/>
      <c r="X19650" s="4"/>
      <c r="Y19650" s="4"/>
    </row>
    <row r="19651" spans="5:25">
      <c r="E19651"/>
      <c r="G19651"/>
      <c r="H19651"/>
      <c r="I19651"/>
      <c r="K19651"/>
      <c r="O19651"/>
      <c r="R19651"/>
      <c r="W19651" s="4"/>
      <c r="X19651" s="4"/>
      <c r="Y19651" s="4"/>
    </row>
    <row r="19652" spans="5:25">
      <c r="E19652"/>
      <c r="G19652"/>
      <c r="H19652"/>
      <c r="I19652"/>
      <c r="K19652"/>
      <c r="O19652"/>
      <c r="R19652"/>
      <c r="W19652" s="4"/>
      <c r="X19652" s="4"/>
      <c r="Y19652" s="4"/>
    </row>
    <row r="19653" spans="5:25">
      <c r="E19653"/>
      <c r="G19653"/>
      <c r="H19653"/>
      <c r="I19653"/>
      <c r="K19653"/>
      <c r="O19653"/>
      <c r="R19653"/>
      <c r="W19653" s="4"/>
      <c r="X19653" s="4"/>
      <c r="Y19653" s="4"/>
    </row>
    <row r="19654" spans="5:25">
      <c r="E19654"/>
      <c r="G19654"/>
      <c r="H19654"/>
      <c r="I19654"/>
      <c r="K19654"/>
      <c r="O19654"/>
      <c r="R19654"/>
      <c r="W19654" s="4"/>
      <c r="X19654" s="4"/>
      <c r="Y19654" s="4"/>
    </row>
    <row r="19655" spans="5:25">
      <c r="E19655"/>
      <c r="G19655"/>
      <c r="H19655"/>
      <c r="I19655"/>
      <c r="K19655"/>
      <c r="O19655"/>
      <c r="R19655"/>
      <c r="W19655" s="4"/>
      <c r="X19655" s="4"/>
      <c r="Y19655" s="4"/>
    </row>
    <row r="19656" spans="5:25">
      <c r="E19656"/>
      <c r="G19656"/>
      <c r="H19656"/>
      <c r="I19656"/>
      <c r="K19656"/>
      <c r="O19656"/>
      <c r="R19656"/>
      <c r="W19656" s="4"/>
      <c r="X19656" s="4"/>
      <c r="Y19656" s="4"/>
    </row>
    <row r="19657" spans="5:25">
      <c r="E19657"/>
      <c r="G19657"/>
      <c r="H19657"/>
      <c r="I19657"/>
      <c r="K19657"/>
      <c r="O19657"/>
      <c r="R19657"/>
      <c r="W19657" s="4"/>
      <c r="X19657" s="4"/>
      <c r="Y19657" s="4"/>
    </row>
    <row r="19658" spans="5:25">
      <c r="E19658"/>
      <c r="G19658"/>
      <c r="H19658"/>
      <c r="I19658"/>
      <c r="K19658"/>
      <c r="O19658"/>
      <c r="R19658"/>
      <c r="W19658" s="4"/>
      <c r="X19658" s="4"/>
      <c r="Y19658" s="4"/>
    </row>
    <row r="19659" spans="5:25">
      <c r="E19659"/>
      <c r="G19659"/>
      <c r="H19659"/>
      <c r="I19659"/>
      <c r="K19659"/>
      <c r="O19659"/>
      <c r="R19659"/>
      <c r="W19659" s="4"/>
      <c r="X19659" s="4"/>
      <c r="Y19659" s="4"/>
    </row>
    <row r="19660" spans="5:25">
      <c r="E19660"/>
      <c r="G19660"/>
      <c r="H19660"/>
      <c r="I19660"/>
      <c r="K19660"/>
      <c r="O19660"/>
      <c r="R19660"/>
      <c r="W19660" s="4"/>
      <c r="X19660" s="4"/>
      <c r="Y19660" s="4"/>
    </row>
    <row r="19661" spans="5:25">
      <c r="E19661"/>
      <c r="G19661"/>
      <c r="H19661"/>
      <c r="I19661"/>
      <c r="K19661"/>
      <c r="O19661"/>
      <c r="R19661"/>
      <c r="W19661" s="4"/>
      <c r="X19661" s="4"/>
      <c r="Y19661" s="4"/>
    </row>
    <row r="19662" spans="5:25">
      <c r="E19662"/>
      <c r="G19662"/>
      <c r="H19662"/>
      <c r="I19662"/>
      <c r="K19662"/>
      <c r="O19662"/>
      <c r="R19662"/>
      <c r="W19662" s="4"/>
      <c r="X19662" s="4"/>
      <c r="Y19662" s="4"/>
    </row>
    <row r="19663" spans="5:25">
      <c r="E19663"/>
      <c r="G19663"/>
      <c r="H19663"/>
      <c r="I19663"/>
      <c r="K19663"/>
      <c r="O19663"/>
      <c r="R19663"/>
      <c r="W19663" s="4"/>
      <c r="X19663" s="4"/>
      <c r="Y19663" s="4"/>
    </row>
    <row r="19664" spans="5:25">
      <c r="E19664"/>
      <c r="G19664"/>
      <c r="H19664"/>
      <c r="I19664"/>
      <c r="K19664"/>
      <c r="O19664"/>
      <c r="R19664"/>
      <c r="W19664" s="4"/>
      <c r="X19664" s="4"/>
      <c r="Y19664" s="4"/>
    </row>
    <row r="19665" spans="5:25">
      <c r="E19665"/>
      <c r="G19665"/>
      <c r="H19665"/>
      <c r="I19665"/>
      <c r="K19665"/>
      <c r="O19665"/>
      <c r="R19665"/>
      <c r="W19665" s="4"/>
      <c r="X19665" s="4"/>
      <c r="Y19665" s="4"/>
    </row>
    <row r="19666" spans="5:25">
      <c r="E19666"/>
      <c r="G19666"/>
      <c r="H19666"/>
      <c r="I19666"/>
      <c r="K19666"/>
      <c r="O19666"/>
      <c r="R19666"/>
      <c r="W19666" s="4"/>
      <c r="X19666" s="4"/>
      <c r="Y19666" s="4"/>
    </row>
    <row r="19667" spans="5:25">
      <c r="E19667"/>
      <c r="G19667"/>
      <c r="H19667"/>
      <c r="I19667"/>
      <c r="K19667"/>
      <c r="O19667"/>
      <c r="R19667"/>
      <c r="W19667" s="4"/>
      <c r="X19667" s="4"/>
      <c r="Y19667" s="4"/>
    </row>
    <row r="19668" spans="5:25">
      <c r="E19668"/>
      <c r="G19668"/>
      <c r="H19668"/>
      <c r="I19668"/>
      <c r="K19668"/>
      <c r="O19668"/>
      <c r="R19668"/>
      <c r="W19668" s="4"/>
      <c r="X19668" s="4"/>
      <c r="Y19668" s="4"/>
    </row>
    <row r="19669" spans="5:25">
      <c r="E19669"/>
      <c r="G19669"/>
      <c r="H19669"/>
      <c r="I19669"/>
      <c r="K19669"/>
      <c r="O19669"/>
      <c r="R19669"/>
      <c r="W19669" s="4"/>
      <c r="X19669" s="4"/>
      <c r="Y19669" s="4"/>
    </row>
    <row r="19670" spans="5:25">
      <c r="E19670"/>
      <c r="G19670"/>
      <c r="H19670"/>
      <c r="I19670"/>
      <c r="K19670"/>
      <c r="O19670"/>
      <c r="R19670"/>
      <c r="W19670" s="4"/>
      <c r="X19670" s="4"/>
      <c r="Y19670" s="4"/>
    </row>
    <row r="19671" spans="5:25">
      <c r="E19671"/>
      <c r="G19671"/>
      <c r="H19671"/>
      <c r="I19671"/>
      <c r="K19671"/>
      <c r="O19671"/>
      <c r="R19671"/>
      <c r="W19671" s="4"/>
      <c r="X19671" s="4"/>
      <c r="Y19671" s="4"/>
    </row>
    <row r="19672" spans="5:25">
      <c r="E19672"/>
      <c r="G19672"/>
      <c r="H19672"/>
      <c r="I19672"/>
      <c r="K19672"/>
      <c r="O19672"/>
      <c r="R19672"/>
      <c r="W19672" s="4"/>
      <c r="X19672" s="4"/>
      <c r="Y19672" s="4"/>
    </row>
    <row r="19673" spans="5:25">
      <c r="E19673"/>
      <c r="G19673"/>
      <c r="H19673"/>
      <c r="I19673"/>
      <c r="K19673"/>
      <c r="O19673"/>
      <c r="R19673"/>
      <c r="W19673" s="4"/>
      <c r="X19673" s="4"/>
      <c r="Y19673" s="4"/>
    </row>
    <row r="19674" spans="5:25">
      <c r="E19674"/>
      <c r="G19674"/>
      <c r="H19674"/>
      <c r="I19674"/>
      <c r="K19674"/>
      <c r="O19674"/>
      <c r="R19674"/>
      <c r="W19674" s="4"/>
      <c r="X19674" s="4"/>
      <c r="Y19674" s="4"/>
    </row>
    <row r="19675" spans="5:25">
      <c r="E19675"/>
      <c r="G19675"/>
      <c r="H19675"/>
      <c r="I19675"/>
      <c r="K19675"/>
      <c r="O19675"/>
      <c r="R19675"/>
      <c r="W19675" s="4"/>
      <c r="X19675" s="4"/>
      <c r="Y19675" s="4"/>
    </row>
    <row r="19676" spans="5:25">
      <c r="E19676"/>
      <c r="G19676"/>
      <c r="H19676"/>
      <c r="I19676"/>
      <c r="K19676"/>
      <c r="O19676"/>
      <c r="R19676"/>
      <c r="W19676" s="4"/>
      <c r="X19676" s="4"/>
      <c r="Y19676" s="4"/>
    </row>
    <row r="19677" spans="5:25">
      <c r="E19677"/>
      <c r="G19677"/>
      <c r="H19677"/>
      <c r="I19677"/>
      <c r="K19677"/>
      <c r="O19677"/>
      <c r="R19677"/>
      <c r="W19677" s="4"/>
      <c r="X19677" s="4"/>
      <c r="Y19677" s="4"/>
    </row>
    <row r="19678" spans="5:25">
      <c r="E19678"/>
      <c r="G19678"/>
      <c r="H19678"/>
      <c r="I19678"/>
      <c r="K19678"/>
      <c r="O19678"/>
      <c r="R19678"/>
      <c r="W19678" s="4"/>
      <c r="X19678" s="4"/>
      <c r="Y19678" s="4"/>
    </row>
    <row r="19679" spans="5:25">
      <c r="E19679"/>
      <c r="G19679"/>
      <c r="H19679"/>
      <c r="I19679"/>
      <c r="K19679"/>
      <c r="O19679"/>
      <c r="R19679"/>
      <c r="W19679" s="4"/>
      <c r="X19679" s="4"/>
      <c r="Y19679" s="4"/>
    </row>
    <row r="19680" spans="5:25">
      <c r="E19680"/>
      <c r="G19680"/>
      <c r="H19680"/>
      <c r="I19680"/>
      <c r="K19680"/>
      <c r="O19680"/>
      <c r="R19680"/>
      <c r="W19680" s="4"/>
      <c r="X19680" s="4"/>
      <c r="Y19680" s="4"/>
    </row>
    <row r="19681" spans="5:25">
      <c r="E19681"/>
      <c r="G19681"/>
      <c r="H19681"/>
      <c r="I19681"/>
      <c r="K19681"/>
      <c r="O19681"/>
      <c r="R19681"/>
      <c r="W19681" s="4"/>
      <c r="X19681" s="4"/>
      <c r="Y19681" s="4"/>
    </row>
    <row r="19682" spans="5:25">
      <c r="E19682"/>
      <c r="G19682"/>
      <c r="H19682"/>
      <c r="I19682"/>
      <c r="K19682"/>
      <c r="O19682"/>
      <c r="R19682"/>
      <c r="W19682" s="4"/>
      <c r="X19682" s="4"/>
      <c r="Y19682" s="4"/>
    </row>
    <row r="19683" spans="5:25">
      <c r="E19683"/>
      <c r="G19683"/>
      <c r="H19683"/>
      <c r="I19683"/>
      <c r="K19683"/>
      <c r="O19683"/>
      <c r="R19683"/>
      <c r="W19683" s="4"/>
      <c r="X19683" s="4"/>
      <c r="Y19683" s="4"/>
    </row>
    <row r="19684" spans="5:25">
      <c r="E19684"/>
      <c r="G19684"/>
      <c r="H19684"/>
      <c r="I19684"/>
      <c r="K19684"/>
      <c r="O19684"/>
      <c r="R19684"/>
      <c r="W19684" s="4"/>
      <c r="X19684" s="4"/>
      <c r="Y19684" s="4"/>
    </row>
    <row r="19685" spans="5:25">
      <c r="E19685"/>
      <c r="G19685"/>
      <c r="H19685"/>
      <c r="I19685"/>
      <c r="K19685"/>
      <c r="O19685"/>
      <c r="R19685"/>
      <c r="W19685" s="4"/>
      <c r="X19685" s="4"/>
      <c r="Y19685" s="4"/>
    </row>
    <row r="19686" spans="5:25">
      <c r="E19686"/>
      <c r="G19686"/>
      <c r="H19686"/>
      <c r="I19686"/>
      <c r="K19686"/>
      <c r="O19686"/>
      <c r="R19686"/>
      <c r="W19686" s="4"/>
      <c r="X19686" s="4"/>
      <c r="Y19686" s="4"/>
    </row>
    <row r="19687" spans="5:25">
      <c r="E19687"/>
      <c r="G19687"/>
      <c r="H19687"/>
      <c r="I19687"/>
      <c r="K19687"/>
      <c r="O19687"/>
      <c r="R19687"/>
      <c r="W19687" s="4"/>
      <c r="X19687" s="4"/>
      <c r="Y19687" s="4"/>
    </row>
    <row r="19688" spans="5:25">
      <c r="E19688"/>
      <c r="G19688"/>
      <c r="H19688"/>
      <c r="I19688"/>
      <c r="K19688"/>
      <c r="O19688"/>
      <c r="R19688"/>
      <c r="W19688" s="4"/>
      <c r="X19688" s="4"/>
      <c r="Y19688" s="4"/>
    </row>
    <row r="19689" spans="5:25">
      <c r="E19689"/>
      <c r="G19689"/>
      <c r="H19689"/>
      <c r="I19689"/>
      <c r="K19689"/>
      <c r="O19689"/>
      <c r="R19689"/>
      <c r="W19689" s="4"/>
      <c r="X19689" s="4"/>
      <c r="Y19689" s="4"/>
    </row>
    <row r="19690" spans="5:25">
      <c r="E19690"/>
      <c r="G19690"/>
      <c r="H19690"/>
      <c r="I19690"/>
      <c r="K19690"/>
      <c r="O19690"/>
      <c r="R19690"/>
      <c r="W19690" s="4"/>
      <c r="X19690" s="4"/>
      <c r="Y19690" s="4"/>
    </row>
    <row r="19691" spans="5:25">
      <c r="E19691"/>
      <c r="G19691"/>
      <c r="H19691"/>
      <c r="I19691"/>
      <c r="K19691"/>
      <c r="O19691"/>
      <c r="R19691"/>
      <c r="W19691" s="4"/>
      <c r="X19691" s="4"/>
      <c r="Y19691" s="4"/>
    </row>
    <row r="19692" spans="5:25">
      <c r="E19692"/>
      <c r="G19692"/>
      <c r="H19692"/>
      <c r="I19692"/>
      <c r="K19692"/>
      <c r="O19692"/>
      <c r="R19692"/>
      <c r="W19692" s="4"/>
      <c r="X19692" s="4"/>
      <c r="Y19692" s="4"/>
    </row>
    <row r="19693" spans="5:25">
      <c r="E19693"/>
      <c r="G19693"/>
      <c r="H19693"/>
      <c r="I19693"/>
      <c r="K19693"/>
      <c r="O19693"/>
      <c r="R19693"/>
      <c r="W19693" s="4"/>
      <c r="X19693" s="4"/>
      <c r="Y19693" s="4"/>
    </row>
    <row r="19694" spans="5:25">
      <c r="E19694"/>
      <c r="G19694"/>
      <c r="H19694"/>
      <c r="I19694"/>
      <c r="K19694"/>
      <c r="O19694"/>
      <c r="R19694"/>
      <c r="W19694" s="4"/>
      <c r="X19694" s="4"/>
      <c r="Y19694" s="4"/>
    </row>
    <row r="19695" spans="5:25">
      <c r="E19695"/>
      <c r="G19695"/>
      <c r="H19695"/>
      <c r="I19695"/>
      <c r="K19695"/>
      <c r="O19695"/>
      <c r="R19695"/>
      <c r="W19695" s="4"/>
      <c r="X19695" s="4"/>
      <c r="Y19695" s="4"/>
    </row>
    <row r="19696" spans="5:25">
      <c r="E19696"/>
      <c r="G19696"/>
      <c r="H19696"/>
      <c r="I19696"/>
      <c r="K19696"/>
      <c r="O19696"/>
      <c r="R19696"/>
      <c r="W19696" s="4"/>
      <c r="X19696" s="4"/>
      <c r="Y19696" s="4"/>
    </row>
    <row r="19697" spans="5:25">
      <c r="E19697"/>
      <c r="G19697"/>
      <c r="H19697"/>
      <c r="I19697"/>
      <c r="K19697"/>
      <c r="O19697"/>
      <c r="R19697"/>
      <c r="W19697" s="4"/>
      <c r="X19697" s="4"/>
      <c r="Y19697" s="4"/>
    </row>
    <row r="19698" spans="5:25">
      <c r="E19698"/>
      <c r="G19698"/>
      <c r="H19698"/>
      <c r="I19698"/>
      <c r="K19698"/>
      <c r="O19698"/>
      <c r="R19698"/>
      <c r="W19698" s="4"/>
      <c r="X19698" s="4"/>
      <c r="Y19698" s="4"/>
    </row>
    <row r="19699" spans="5:25">
      <c r="E19699"/>
      <c r="G19699"/>
      <c r="H19699"/>
      <c r="I19699"/>
      <c r="K19699"/>
      <c r="O19699"/>
      <c r="R19699"/>
      <c r="W19699" s="4"/>
      <c r="X19699" s="4"/>
      <c r="Y19699" s="4"/>
    </row>
    <row r="19700" spans="5:25">
      <c r="E19700"/>
      <c r="G19700"/>
      <c r="H19700"/>
      <c r="I19700"/>
      <c r="K19700"/>
      <c r="O19700"/>
      <c r="R19700"/>
      <c r="W19700" s="4"/>
      <c r="X19700" s="4"/>
      <c r="Y19700" s="4"/>
    </row>
    <row r="19701" spans="5:25">
      <c r="E19701"/>
      <c r="G19701"/>
      <c r="H19701"/>
      <c r="I19701"/>
      <c r="K19701"/>
      <c r="O19701"/>
      <c r="R19701"/>
      <c r="W19701" s="4"/>
      <c r="X19701" s="4"/>
      <c r="Y19701" s="4"/>
    </row>
    <row r="19702" spans="5:25">
      <c r="E19702"/>
      <c r="G19702"/>
      <c r="H19702"/>
      <c r="I19702"/>
      <c r="K19702"/>
      <c r="O19702"/>
      <c r="R19702"/>
      <c r="W19702" s="4"/>
      <c r="X19702" s="4"/>
      <c r="Y19702" s="4"/>
    </row>
    <row r="19703" spans="5:25">
      <c r="E19703"/>
      <c r="G19703"/>
      <c r="H19703"/>
      <c r="I19703"/>
      <c r="K19703"/>
      <c r="O19703"/>
      <c r="R19703"/>
      <c r="W19703" s="4"/>
      <c r="X19703" s="4"/>
      <c r="Y19703" s="4"/>
    </row>
    <row r="19704" spans="5:25">
      <c r="E19704"/>
      <c r="G19704"/>
      <c r="H19704"/>
      <c r="I19704"/>
      <c r="K19704"/>
      <c r="O19704"/>
      <c r="R19704"/>
      <c r="W19704" s="4"/>
      <c r="X19704" s="4"/>
      <c r="Y19704" s="4"/>
    </row>
    <row r="19705" spans="5:25">
      <c r="E19705"/>
      <c r="G19705"/>
      <c r="H19705"/>
      <c r="I19705"/>
      <c r="K19705"/>
      <c r="O19705"/>
      <c r="R19705"/>
      <c r="W19705" s="4"/>
      <c r="X19705" s="4"/>
      <c r="Y19705" s="4"/>
    </row>
    <row r="19706" spans="5:25">
      <c r="E19706"/>
      <c r="G19706"/>
      <c r="H19706"/>
      <c r="I19706"/>
      <c r="K19706"/>
      <c r="O19706"/>
      <c r="R19706"/>
      <c r="W19706" s="4"/>
      <c r="X19706" s="4"/>
      <c r="Y19706" s="4"/>
    </row>
    <row r="19707" spans="5:25">
      <c r="E19707"/>
      <c r="G19707"/>
      <c r="H19707"/>
      <c r="I19707"/>
      <c r="K19707"/>
      <c r="O19707"/>
      <c r="R19707"/>
      <c r="W19707" s="4"/>
      <c r="X19707" s="4"/>
      <c r="Y19707" s="4"/>
    </row>
    <row r="19708" spans="5:25">
      <c r="E19708"/>
      <c r="G19708"/>
      <c r="H19708"/>
      <c r="I19708"/>
      <c r="K19708"/>
      <c r="O19708"/>
      <c r="R19708"/>
      <c r="W19708" s="4"/>
      <c r="X19708" s="4"/>
      <c r="Y19708" s="4"/>
    </row>
    <row r="19709" spans="5:25">
      <c r="E19709"/>
      <c r="G19709"/>
      <c r="H19709"/>
      <c r="I19709"/>
      <c r="K19709"/>
      <c r="O19709"/>
      <c r="R19709"/>
      <c r="W19709" s="4"/>
      <c r="X19709" s="4"/>
      <c r="Y19709" s="4"/>
    </row>
    <row r="19710" spans="5:25">
      <c r="E19710"/>
      <c r="G19710"/>
      <c r="H19710"/>
      <c r="I19710"/>
      <c r="K19710"/>
      <c r="O19710"/>
      <c r="R19710"/>
      <c r="W19710" s="4"/>
      <c r="X19710" s="4"/>
      <c r="Y19710" s="4"/>
    </row>
    <row r="19711" spans="5:25">
      <c r="E19711"/>
      <c r="G19711"/>
      <c r="H19711"/>
      <c r="I19711"/>
      <c r="K19711"/>
      <c r="O19711"/>
      <c r="R19711"/>
      <c r="W19711" s="4"/>
      <c r="X19711" s="4"/>
      <c r="Y19711" s="4"/>
    </row>
    <row r="19712" spans="5:25">
      <c r="E19712"/>
      <c r="G19712"/>
      <c r="H19712"/>
      <c r="I19712"/>
      <c r="K19712"/>
      <c r="O19712"/>
      <c r="R19712"/>
      <c r="W19712" s="4"/>
      <c r="X19712" s="4"/>
      <c r="Y19712" s="4"/>
    </row>
    <row r="19713" spans="5:25">
      <c r="E19713"/>
      <c r="G19713"/>
      <c r="H19713"/>
      <c r="I19713"/>
      <c r="K19713"/>
      <c r="O19713"/>
      <c r="R19713"/>
      <c r="W19713" s="4"/>
      <c r="X19713" s="4"/>
      <c r="Y19713" s="4"/>
    </row>
    <row r="19714" spans="5:25">
      <c r="E19714"/>
      <c r="G19714"/>
      <c r="H19714"/>
      <c r="I19714"/>
      <c r="K19714"/>
      <c r="O19714"/>
      <c r="R19714"/>
      <c r="W19714" s="4"/>
      <c r="X19714" s="4"/>
      <c r="Y19714" s="4"/>
    </row>
    <row r="19715" spans="5:25">
      <c r="E19715"/>
      <c r="G19715"/>
      <c r="H19715"/>
      <c r="I19715"/>
      <c r="K19715"/>
      <c r="O19715"/>
      <c r="R19715"/>
      <c r="W19715" s="4"/>
      <c r="X19715" s="4"/>
      <c r="Y19715" s="4"/>
    </row>
    <row r="19716" spans="5:25">
      <c r="E19716"/>
      <c r="G19716"/>
      <c r="H19716"/>
      <c r="I19716"/>
      <c r="K19716"/>
      <c r="O19716"/>
      <c r="R19716"/>
      <c r="W19716" s="4"/>
      <c r="X19716" s="4"/>
      <c r="Y19716" s="4"/>
    </row>
    <row r="19717" spans="5:25">
      <c r="E19717"/>
      <c r="G19717"/>
      <c r="H19717"/>
      <c r="I19717"/>
      <c r="K19717"/>
      <c r="O19717"/>
      <c r="R19717"/>
      <c r="W19717" s="4"/>
      <c r="X19717" s="4"/>
      <c r="Y19717" s="4"/>
    </row>
    <row r="19718" spans="5:25">
      <c r="E19718"/>
      <c r="G19718"/>
      <c r="H19718"/>
      <c r="I19718"/>
      <c r="K19718"/>
      <c r="O19718"/>
      <c r="R19718"/>
      <c r="W19718" s="4"/>
      <c r="X19718" s="4"/>
      <c r="Y19718" s="4"/>
    </row>
    <row r="19719" spans="5:25">
      <c r="E19719"/>
      <c r="G19719"/>
      <c r="H19719"/>
      <c r="I19719"/>
      <c r="K19719"/>
      <c r="O19719"/>
      <c r="R19719"/>
      <c r="W19719" s="4"/>
      <c r="X19719" s="4"/>
      <c r="Y19719" s="4"/>
    </row>
    <row r="19720" spans="5:25">
      <c r="E19720"/>
      <c r="G19720"/>
      <c r="H19720"/>
      <c r="I19720"/>
      <c r="K19720"/>
      <c r="O19720"/>
      <c r="R19720"/>
      <c r="W19720" s="4"/>
      <c r="X19720" s="4"/>
      <c r="Y19720" s="4"/>
    </row>
    <row r="19721" spans="5:25">
      <c r="E19721"/>
      <c r="G19721"/>
      <c r="H19721"/>
      <c r="I19721"/>
      <c r="K19721"/>
      <c r="O19721"/>
      <c r="R19721"/>
      <c r="W19721" s="4"/>
      <c r="X19721" s="4"/>
      <c r="Y19721" s="4"/>
    </row>
    <row r="19722" spans="5:25">
      <c r="E19722"/>
      <c r="G19722"/>
      <c r="H19722"/>
      <c r="I19722"/>
      <c r="K19722"/>
      <c r="O19722"/>
      <c r="R19722"/>
      <c r="W19722" s="4"/>
      <c r="X19722" s="4"/>
      <c r="Y19722" s="4"/>
    </row>
    <row r="19723" spans="5:25">
      <c r="E19723"/>
      <c r="G19723"/>
      <c r="H19723"/>
      <c r="I19723"/>
      <c r="K19723"/>
      <c r="O19723"/>
      <c r="R19723"/>
      <c r="W19723" s="4"/>
      <c r="X19723" s="4"/>
      <c r="Y19723" s="4"/>
    </row>
    <row r="19724" spans="5:25">
      <c r="E19724"/>
      <c r="G19724"/>
      <c r="H19724"/>
      <c r="I19724"/>
      <c r="K19724"/>
      <c r="O19724"/>
      <c r="R19724"/>
      <c r="W19724" s="4"/>
      <c r="X19724" s="4"/>
      <c r="Y19724" s="4"/>
    </row>
    <row r="19725" spans="5:25">
      <c r="E19725"/>
      <c r="G19725"/>
      <c r="H19725"/>
      <c r="I19725"/>
      <c r="K19725"/>
      <c r="O19725"/>
      <c r="R19725"/>
      <c r="W19725" s="4"/>
      <c r="X19725" s="4"/>
      <c r="Y19725" s="4"/>
    </row>
    <row r="19726" spans="5:25">
      <c r="E19726"/>
      <c r="G19726"/>
      <c r="H19726"/>
      <c r="I19726"/>
      <c r="K19726"/>
      <c r="O19726"/>
      <c r="R19726"/>
      <c r="W19726" s="4"/>
      <c r="X19726" s="4"/>
      <c r="Y19726" s="4"/>
    </row>
    <row r="19727" spans="5:25">
      <c r="E19727"/>
      <c r="G19727"/>
      <c r="H19727"/>
      <c r="I19727"/>
      <c r="K19727"/>
      <c r="O19727"/>
      <c r="R19727"/>
      <c r="W19727" s="4"/>
      <c r="X19727" s="4"/>
      <c r="Y19727" s="4"/>
    </row>
    <row r="19728" spans="5:25">
      <c r="E19728"/>
      <c r="G19728"/>
      <c r="H19728"/>
      <c r="I19728"/>
      <c r="K19728"/>
      <c r="O19728"/>
      <c r="R19728"/>
      <c r="W19728" s="4"/>
      <c r="X19728" s="4"/>
      <c r="Y19728" s="4"/>
    </row>
    <row r="19729" spans="5:25">
      <c r="E19729"/>
      <c r="G19729"/>
      <c r="H19729"/>
      <c r="I19729"/>
      <c r="K19729"/>
      <c r="O19729"/>
      <c r="R19729"/>
      <c r="W19729" s="4"/>
      <c r="X19729" s="4"/>
      <c r="Y19729" s="4"/>
    </row>
    <row r="19730" spans="5:25">
      <c r="E19730"/>
      <c r="G19730"/>
      <c r="H19730"/>
      <c r="I19730"/>
      <c r="K19730"/>
      <c r="O19730"/>
      <c r="R19730"/>
      <c r="W19730" s="4"/>
      <c r="X19730" s="4"/>
      <c r="Y19730" s="4"/>
    </row>
    <row r="19731" spans="5:25">
      <c r="E19731"/>
      <c r="G19731"/>
      <c r="H19731"/>
      <c r="I19731"/>
      <c r="K19731"/>
      <c r="O19731"/>
      <c r="R19731"/>
      <c r="W19731" s="4"/>
      <c r="X19731" s="4"/>
      <c r="Y19731" s="4"/>
    </row>
    <row r="19732" spans="5:25">
      <c r="E19732"/>
      <c r="G19732"/>
      <c r="H19732"/>
      <c r="I19732"/>
      <c r="K19732"/>
      <c r="O19732"/>
      <c r="R19732"/>
      <c r="W19732" s="4"/>
      <c r="X19732" s="4"/>
      <c r="Y19732" s="4"/>
    </row>
    <row r="19733" spans="5:25">
      <c r="E19733"/>
      <c r="G19733"/>
      <c r="H19733"/>
      <c r="I19733"/>
      <c r="K19733"/>
      <c r="O19733"/>
      <c r="R19733"/>
      <c r="W19733" s="4"/>
      <c r="X19733" s="4"/>
      <c r="Y19733" s="4"/>
    </row>
    <row r="19734" spans="5:25">
      <c r="E19734"/>
      <c r="G19734"/>
      <c r="H19734"/>
      <c r="I19734"/>
      <c r="K19734"/>
      <c r="O19734"/>
      <c r="R19734"/>
      <c r="W19734" s="4"/>
      <c r="X19734" s="4"/>
      <c r="Y19734" s="4"/>
    </row>
    <row r="19735" spans="5:25">
      <c r="E19735"/>
      <c r="G19735"/>
      <c r="H19735"/>
      <c r="I19735"/>
      <c r="K19735"/>
      <c r="O19735"/>
      <c r="R19735"/>
      <c r="W19735" s="4"/>
      <c r="X19735" s="4"/>
      <c r="Y19735" s="4"/>
    </row>
    <row r="19736" spans="5:25">
      <c r="E19736"/>
      <c r="G19736"/>
      <c r="H19736"/>
      <c r="I19736"/>
      <c r="K19736"/>
      <c r="O19736"/>
      <c r="R19736"/>
      <c r="W19736" s="4"/>
      <c r="X19736" s="4"/>
      <c r="Y19736" s="4"/>
    </row>
    <row r="19737" spans="5:25">
      <c r="E19737"/>
      <c r="G19737"/>
      <c r="H19737"/>
      <c r="I19737"/>
      <c r="K19737"/>
      <c r="O19737"/>
      <c r="R19737"/>
      <c r="W19737" s="4"/>
      <c r="X19737" s="4"/>
      <c r="Y19737" s="4"/>
    </row>
    <row r="19738" spans="5:25">
      <c r="E19738"/>
      <c r="G19738"/>
      <c r="H19738"/>
      <c r="I19738"/>
      <c r="K19738"/>
      <c r="O19738"/>
      <c r="R19738"/>
      <c r="W19738" s="4"/>
      <c r="X19738" s="4"/>
      <c r="Y19738" s="4"/>
    </row>
    <row r="19739" spans="5:25">
      <c r="E19739"/>
      <c r="G19739"/>
      <c r="H19739"/>
      <c r="I19739"/>
      <c r="K19739"/>
      <c r="O19739"/>
      <c r="R19739"/>
      <c r="W19739" s="4"/>
      <c r="X19739" s="4"/>
      <c r="Y19739" s="4"/>
    </row>
    <row r="19740" spans="5:25">
      <c r="E19740"/>
      <c r="G19740"/>
      <c r="H19740"/>
      <c r="I19740"/>
      <c r="K19740"/>
      <c r="O19740"/>
      <c r="R19740"/>
      <c r="W19740" s="4"/>
      <c r="X19740" s="4"/>
      <c r="Y19740" s="4"/>
    </row>
    <row r="19741" spans="5:25">
      <c r="E19741"/>
      <c r="G19741"/>
      <c r="H19741"/>
      <c r="I19741"/>
      <c r="K19741"/>
      <c r="O19741"/>
      <c r="R19741"/>
      <c r="W19741" s="4"/>
      <c r="X19741" s="4"/>
      <c r="Y19741" s="4"/>
    </row>
    <row r="19742" spans="5:25">
      <c r="E19742"/>
      <c r="G19742"/>
      <c r="H19742"/>
      <c r="I19742"/>
      <c r="K19742"/>
      <c r="O19742"/>
      <c r="R19742"/>
      <c r="W19742" s="4"/>
      <c r="X19742" s="4"/>
      <c r="Y19742" s="4"/>
    </row>
    <row r="19743" spans="5:25">
      <c r="E19743"/>
      <c r="G19743"/>
      <c r="H19743"/>
      <c r="I19743"/>
      <c r="K19743"/>
      <c r="O19743"/>
      <c r="R19743"/>
      <c r="W19743" s="4"/>
      <c r="X19743" s="4"/>
      <c r="Y19743" s="4"/>
    </row>
    <row r="19744" spans="5:25">
      <c r="E19744"/>
      <c r="G19744"/>
      <c r="H19744"/>
      <c r="I19744"/>
      <c r="K19744"/>
      <c r="O19744"/>
      <c r="R19744"/>
      <c r="W19744" s="4"/>
      <c r="X19744" s="4"/>
      <c r="Y19744" s="4"/>
    </row>
    <row r="19745" spans="5:25">
      <c r="E19745"/>
      <c r="G19745"/>
      <c r="H19745"/>
      <c r="I19745"/>
      <c r="K19745"/>
      <c r="O19745"/>
      <c r="R19745"/>
      <c r="W19745" s="4"/>
      <c r="X19745" s="4"/>
      <c r="Y19745" s="4"/>
    </row>
    <row r="19746" spans="5:25">
      <c r="E19746"/>
      <c r="G19746"/>
      <c r="H19746"/>
      <c r="I19746"/>
      <c r="K19746"/>
      <c r="O19746"/>
      <c r="R19746"/>
      <c r="W19746" s="4"/>
      <c r="X19746" s="4"/>
      <c r="Y19746" s="4"/>
    </row>
    <row r="19747" spans="5:25">
      <c r="E19747"/>
      <c r="G19747"/>
      <c r="H19747"/>
      <c r="I19747"/>
      <c r="K19747"/>
      <c r="O19747"/>
      <c r="R19747"/>
      <c r="W19747" s="4"/>
      <c r="X19747" s="4"/>
      <c r="Y19747" s="4"/>
    </row>
    <row r="19748" spans="5:25">
      <c r="E19748"/>
      <c r="G19748"/>
      <c r="H19748"/>
      <c r="I19748"/>
      <c r="K19748"/>
      <c r="O19748"/>
      <c r="R19748"/>
      <c r="W19748" s="4"/>
      <c r="X19748" s="4"/>
      <c r="Y19748" s="4"/>
    </row>
    <row r="19749" spans="5:25">
      <c r="E19749"/>
      <c r="G19749"/>
      <c r="H19749"/>
      <c r="I19749"/>
      <c r="K19749"/>
      <c r="O19749"/>
      <c r="R19749"/>
      <c r="W19749" s="4"/>
      <c r="X19749" s="4"/>
      <c r="Y19749" s="4"/>
    </row>
    <row r="19750" spans="5:25">
      <c r="E19750"/>
      <c r="G19750"/>
      <c r="H19750"/>
      <c r="I19750"/>
      <c r="K19750"/>
      <c r="O19750"/>
      <c r="R19750"/>
      <c r="W19750" s="4"/>
      <c r="X19750" s="4"/>
      <c r="Y19750" s="4"/>
    </row>
    <row r="19751" spans="5:25">
      <c r="E19751"/>
      <c r="G19751"/>
      <c r="H19751"/>
      <c r="I19751"/>
      <c r="K19751"/>
      <c r="O19751"/>
      <c r="R19751"/>
      <c r="W19751" s="4"/>
      <c r="X19751" s="4"/>
      <c r="Y19751" s="4"/>
    </row>
    <row r="19752" spans="5:25">
      <c r="E19752"/>
      <c r="G19752"/>
      <c r="H19752"/>
      <c r="I19752"/>
      <c r="K19752"/>
      <c r="O19752"/>
      <c r="R19752"/>
      <c r="W19752" s="4"/>
      <c r="X19752" s="4"/>
      <c r="Y19752" s="4"/>
    </row>
    <row r="19753" spans="5:25">
      <c r="E19753"/>
      <c r="G19753"/>
      <c r="H19753"/>
      <c r="I19753"/>
      <c r="K19753"/>
      <c r="O19753"/>
      <c r="R19753"/>
      <c r="W19753" s="4"/>
      <c r="X19753" s="4"/>
      <c r="Y19753" s="4"/>
    </row>
    <row r="19754" spans="5:25">
      <c r="E19754"/>
      <c r="G19754"/>
      <c r="H19754"/>
      <c r="I19754"/>
      <c r="K19754"/>
      <c r="O19754"/>
      <c r="R19754"/>
      <c r="W19754" s="4"/>
      <c r="X19754" s="4"/>
      <c r="Y19754" s="4"/>
    </row>
    <row r="19755" spans="5:25">
      <c r="E19755"/>
      <c r="G19755"/>
      <c r="H19755"/>
      <c r="I19755"/>
      <c r="K19755"/>
      <c r="O19755"/>
      <c r="R19755"/>
      <c r="W19755" s="4"/>
      <c r="X19755" s="4"/>
      <c r="Y19755" s="4"/>
    </row>
    <row r="19756" spans="5:25">
      <c r="E19756"/>
      <c r="G19756"/>
      <c r="H19756"/>
      <c r="I19756"/>
      <c r="K19756"/>
      <c r="O19756"/>
      <c r="R19756"/>
      <c r="W19756" s="4"/>
      <c r="X19756" s="4"/>
      <c r="Y19756" s="4"/>
    </row>
    <row r="19757" spans="5:25">
      <c r="E19757"/>
      <c r="G19757"/>
      <c r="H19757"/>
      <c r="I19757"/>
      <c r="K19757"/>
      <c r="O19757"/>
      <c r="R19757"/>
      <c r="W19757" s="4"/>
      <c r="X19757" s="4"/>
      <c r="Y19757" s="4"/>
    </row>
    <row r="19758" spans="5:25">
      <c r="E19758"/>
      <c r="G19758"/>
      <c r="H19758"/>
      <c r="I19758"/>
      <c r="K19758"/>
      <c r="O19758"/>
      <c r="R19758"/>
      <c r="W19758" s="4"/>
      <c r="X19758" s="4"/>
      <c r="Y19758" s="4"/>
    </row>
    <row r="19759" spans="5:25">
      <c r="E19759"/>
      <c r="G19759"/>
      <c r="H19759"/>
      <c r="I19759"/>
      <c r="K19759"/>
      <c r="O19759"/>
      <c r="R19759"/>
      <c r="W19759" s="4"/>
      <c r="X19759" s="4"/>
      <c r="Y19759" s="4"/>
    </row>
    <row r="19760" spans="5:25">
      <c r="E19760"/>
      <c r="G19760"/>
      <c r="H19760"/>
      <c r="I19760"/>
      <c r="K19760"/>
      <c r="O19760"/>
      <c r="R19760"/>
      <c r="W19760" s="4"/>
      <c r="X19760" s="4"/>
      <c r="Y19760" s="4"/>
    </row>
    <row r="19761" spans="5:25">
      <c r="E19761"/>
      <c r="G19761"/>
      <c r="H19761"/>
      <c r="I19761"/>
      <c r="K19761"/>
      <c r="O19761"/>
      <c r="R19761"/>
      <c r="W19761" s="4"/>
      <c r="X19761" s="4"/>
      <c r="Y19761" s="4"/>
    </row>
    <row r="19762" spans="5:25">
      <c r="E19762"/>
      <c r="G19762"/>
      <c r="H19762"/>
      <c r="I19762"/>
      <c r="K19762"/>
      <c r="O19762"/>
      <c r="R19762"/>
      <c r="W19762" s="4"/>
      <c r="X19762" s="4"/>
      <c r="Y19762" s="4"/>
    </row>
    <row r="19763" spans="5:25">
      <c r="E19763"/>
      <c r="G19763"/>
      <c r="H19763"/>
      <c r="I19763"/>
      <c r="K19763"/>
      <c r="O19763"/>
      <c r="R19763"/>
      <c r="W19763" s="4"/>
      <c r="X19763" s="4"/>
      <c r="Y19763" s="4"/>
    </row>
    <row r="19764" spans="5:25">
      <c r="E19764"/>
      <c r="G19764"/>
      <c r="H19764"/>
      <c r="I19764"/>
      <c r="K19764"/>
      <c r="O19764"/>
      <c r="R19764"/>
      <c r="W19764" s="4"/>
      <c r="X19764" s="4"/>
      <c r="Y19764" s="4"/>
    </row>
    <row r="19765" spans="5:25">
      <c r="E19765"/>
      <c r="G19765"/>
      <c r="H19765"/>
      <c r="I19765"/>
      <c r="K19765"/>
      <c r="O19765"/>
      <c r="R19765"/>
      <c r="W19765" s="4"/>
      <c r="X19765" s="4"/>
      <c r="Y19765" s="4"/>
    </row>
    <row r="19766" spans="5:25">
      <c r="E19766"/>
      <c r="G19766"/>
      <c r="H19766"/>
      <c r="I19766"/>
      <c r="K19766"/>
      <c r="O19766"/>
      <c r="R19766"/>
      <c r="W19766" s="4"/>
      <c r="X19766" s="4"/>
      <c r="Y19766" s="4"/>
    </row>
    <row r="19767" spans="5:25">
      <c r="E19767"/>
      <c r="G19767"/>
      <c r="H19767"/>
      <c r="I19767"/>
      <c r="K19767"/>
      <c r="O19767"/>
      <c r="R19767"/>
      <c r="W19767" s="4"/>
      <c r="X19767" s="4"/>
      <c r="Y19767" s="4"/>
    </row>
    <row r="19768" spans="5:25">
      <c r="E19768"/>
      <c r="G19768"/>
      <c r="H19768"/>
      <c r="I19768"/>
      <c r="K19768"/>
      <c r="O19768"/>
      <c r="R19768"/>
      <c r="W19768" s="4"/>
      <c r="X19768" s="4"/>
      <c r="Y19768" s="4"/>
    </row>
    <row r="19769" spans="5:25">
      <c r="E19769"/>
      <c r="G19769"/>
      <c r="H19769"/>
      <c r="I19769"/>
      <c r="K19769"/>
      <c r="O19769"/>
      <c r="R19769"/>
      <c r="W19769" s="4"/>
      <c r="X19769" s="4"/>
      <c r="Y19769" s="4"/>
    </row>
    <row r="19770" spans="5:25">
      <c r="E19770"/>
      <c r="G19770"/>
      <c r="H19770"/>
      <c r="I19770"/>
      <c r="K19770"/>
      <c r="O19770"/>
      <c r="R19770"/>
      <c r="W19770" s="4"/>
      <c r="X19770" s="4"/>
      <c r="Y19770" s="4"/>
    </row>
    <row r="19771" spans="5:25">
      <c r="E19771"/>
      <c r="G19771"/>
      <c r="H19771"/>
      <c r="I19771"/>
      <c r="K19771"/>
      <c r="O19771"/>
      <c r="R19771"/>
      <c r="W19771" s="4"/>
      <c r="X19771" s="4"/>
      <c r="Y19771" s="4"/>
    </row>
    <row r="19772" spans="5:25">
      <c r="E19772"/>
      <c r="G19772"/>
      <c r="H19772"/>
      <c r="I19772"/>
      <c r="K19772"/>
      <c r="O19772"/>
      <c r="R19772"/>
      <c r="W19772" s="4"/>
      <c r="X19772" s="4"/>
      <c r="Y19772" s="4"/>
    </row>
    <row r="19773" spans="5:25">
      <c r="E19773"/>
      <c r="G19773"/>
      <c r="H19773"/>
      <c r="I19773"/>
      <c r="K19773"/>
      <c r="O19773"/>
      <c r="R19773"/>
      <c r="W19773" s="4"/>
      <c r="X19773" s="4"/>
      <c r="Y19773" s="4"/>
    </row>
    <row r="19774" spans="5:25">
      <c r="E19774"/>
      <c r="G19774"/>
      <c r="H19774"/>
      <c r="I19774"/>
      <c r="K19774"/>
      <c r="O19774"/>
      <c r="R19774"/>
      <c r="W19774" s="4"/>
      <c r="X19774" s="4"/>
      <c r="Y19774" s="4"/>
    </row>
    <row r="19775" spans="5:25">
      <c r="E19775"/>
      <c r="G19775"/>
      <c r="H19775"/>
      <c r="I19775"/>
      <c r="K19775"/>
      <c r="O19775"/>
      <c r="R19775"/>
      <c r="W19775" s="4"/>
      <c r="X19775" s="4"/>
      <c r="Y19775" s="4"/>
    </row>
    <row r="19776" spans="5:25">
      <c r="E19776"/>
      <c r="G19776"/>
      <c r="H19776"/>
      <c r="I19776"/>
      <c r="K19776"/>
      <c r="O19776"/>
      <c r="R19776"/>
      <c r="W19776" s="4"/>
      <c r="X19776" s="4"/>
      <c r="Y19776" s="4"/>
    </row>
    <row r="19777" spans="5:25">
      <c r="E19777"/>
      <c r="G19777"/>
      <c r="H19777"/>
      <c r="I19777"/>
      <c r="K19777"/>
      <c r="O19777"/>
      <c r="R19777"/>
      <c r="W19777" s="4"/>
      <c r="X19777" s="4"/>
      <c r="Y19777" s="4"/>
    </row>
    <row r="19778" spans="5:25">
      <c r="E19778"/>
      <c r="G19778"/>
      <c r="H19778"/>
      <c r="I19778"/>
      <c r="K19778"/>
      <c r="O19778"/>
      <c r="R19778"/>
      <c r="W19778" s="4"/>
      <c r="X19778" s="4"/>
      <c r="Y19778" s="4"/>
    </row>
    <row r="19779" spans="5:25">
      <c r="E19779"/>
      <c r="G19779"/>
      <c r="H19779"/>
      <c r="I19779"/>
      <c r="K19779"/>
      <c r="O19779"/>
      <c r="R19779"/>
      <c r="W19779" s="4"/>
      <c r="X19779" s="4"/>
      <c r="Y19779" s="4"/>
    </row>
    <row r="19780" spans="5:25">
      <c r="E19780"/>
      <c r="G19780"/>
      <c r="H19780"/>
      <c r="I19780"/>
      <c r="K19780"/>
      <c r="O19780"/>
      <c r="R19780"/>
      <c r="W19780" s="4"/>
      <c r="X19780" s="4"/>
      <c r="Y19780" s="4"/>
    </row>
    <row r="19781" spans="5:25">
      <c r="E19781"/>
      <c r="G19781"/>
      <c r="H19781"/>
      <c r="I19781"/>
      <c r="K19781"/>
      <c r="O19781"/>
      <c r="R19781"/>
      <c r="W19781" s="4"/>
      <c r="X19781" s="4"/>
      <c r="Y19781" s="4"/>
    </row>
    <row r="19782" spans="5:25">
      <c r="E19782"/>
      <c r="G19782"/>
      <c r="H19782"/>
      <c r="I19782"/>
      <c r="K19782"/>
      <c r="O19782"/>
      <c r="R19782"/>
      <c r="W19782" s="4"/>
      <c r="X19782" s="4"/>
      <c r="Y19782" s="4"/>
    </row>
    <row r="19783" spans="5:25">
      <c r="E19783"/>
      <c r="G19783"/>
      <c r="H19783"/>
      <c r="I19783"/>
      <c r="K19783"/>
      <c r="O19783"/>
      <c r="R19783"/>
      <c r="W19783" s="4"/>
      <c r="X19783" s="4"/>
      <c r="Y19783" s="4"/>
    </row>
    <row r="19784" spans="5:25">
      <c r="E19784"/>
      <c r="G19784"/>
      <c r="H19784"/>
      <c r="I19784"/>
      <c r="K19784"/>
      <c r="O19784"/>
      <c r="R19784"/>
      <c r="W19784" s="4"/>
      <c r="X19784" s="4"/>
      <c r="Y19784" s="4"/>
    </row>
    <row r="19785" spans="5:25">
      <c r="E19785"/>
      <c r="G19785"/>
      <c r="H19785"/>
      <c r="I19785"/>
      <c r="K19785"/>
      <c r="O19785"/>
      <c r="R19785"/>
      <c r="W19785" s="4"/>
      <c r="X19785" s="4"/>
      <c r="Y19785" s="4"/>
    </row>
    <row r="19786" spans="5:25">
      <c r="E19786"/>
      <c r="G19786"/>
      <c r="H19786"/>
      <c r="I19786"/>
      <c r="K19786"/>
      <c r="O19786"/>
      <c r="R19786"/>
      <c r="W19786" s="4"/>
      <c r="X19786" s="4"/>
      <c r="Y19786" s="4"/>
    </row>
    <row r="19787" spans="5:25">
      <c r="E19787"/>
      <c r="G19787"/>
      <c r="H19787"/>
      <c r="I19787"/>
      <c r="K19787"/>
      <c r="O19787"/>
      <c r="R19787"/>
      <c r="W19787" s="4"/>
      <c r="X19787" s="4"/>
      <c r="Y19787" s="4"/>
    </row>
    <row r="19788" spans="5:25">
      <c r="E19788"/>
      <c r="G19788"/>
      <c r="H19788"/>
      <c r="I19788"/>
      <c r="K19788"/>
      <c r="O19788"/>
      <c r="R19788"/>
      <c r="W19788" s="4"/>
      <c r="X19788" s="4"/>
      <c r="Y19788" s="4"/>
    </row>
    <row r="19789" spans="5:25">
      <c r="E19789"/>
      <c r="G19789"/>
      <c r="H19789"/>
      <c r="I19789"/>
      <c r="K19789"/>
      <c r="O19789"/>
      <c r="R19789"/>
      <c r="W19789" s="4"/>
      <c r="X19789" s="4"/>
      <c r="Y19789" s="4"/>
    </row>
    <row r="19790" spans="5:25">
      <c r="E19790"/>
      <c r="G19790"/>
      <c r="H19790"/>
      <c r="I19790"/>
      <c r="K19790"/>
      <c r="O19790"/>
      <c r="R19790"/>
      <c r="W19790" s="4"/>
      <c r="X19790" s="4"/>
      <c r="Y19790" s="4"/>
    </row>
    <row r="19791" spans="5:25">
      <c r="E19791"/>
      <c r="G19791"/>
      <c r="H19791"/>
      <c r="I19791"/>
      <c r="K19791"/>
      <c r="O19791"/>
      <c r="R19791"/>
      <c r="W19791" s="4"/>
      <c r="X19791" s="4"/>
      <c r="Y19791" s="4"/>
    </row>
    <row r="19792" spans="5:25">
      <c r="E19792"/>
      <c r="G19792"/>
      <c r="H19792"/>
      <c r="I19792"/>
      <c r="K19792"/>
      <c r="O19792"/>
      <c r="R19792"/>
      <c r="W19792" s="4"/>
      <c r="X19792" s="4"/>
      <c r="Y19792" s="4"/>
    </row>
    <row r="19793" spans="5:25">
      <c r="E19793"/>
      <c r="G19793"/>
      <c r="H19793"/>
      <c r="I19793"/>
      <c r="K19793"/>
      <c r="O19793"/>
      <c r="R19793"/>
      <c r="W19793" s="4"/>
      <c r="X19793" s="4"/>
      <c r="Y19793" s="4"/>
    </row>
    <row r="19794" spans="5:25">
      <c r="E19794"/>
      <c r="G19794"/>
      <c r="H19794"/>
      <c r="I19794"/>
      <c r="K19794"/>
      <c r="O19794"/>
      <c r="R19794"/>
      <c r="W19794" s="4"/>
      <c r="X19794" s="4"/>
      <c r="Y19794" s="4"/>
    </row>
    <row r="19795" spans="5:25">
      <c r="E19795"/>
      <c r="G19795"/>
      <c r="H19795"/>
      <c r="I19795"/>
      <c r="K19795"/>
      <c r="O19795"/>
      <c r="R19795"/>
      <c r="W19795" s="4"/>
      <c r="X19795" s="4"/>
      <c r="Y19795" s="4"/>
    </row>
    <row r="19796" spans="5:25">
      <c r="E19796"/>
      <c r="G19796"/>
      <c r="H19796"/>
      <c r="I19796"/>
      <c r="K19796"/>
      <c r="O19796"/>
      <c r="R19796"/>
      <c r="W19796" s="4"/>
      <c r="X19796" s="4"/>
      <c r="Y19796" s="4"/>
    </row>
    <row r="19797" spans="5:25">
      <c r="E19797"/>
      <c r="G19797"/>
      <c r="H19797"/>
      <c r="I19797"/>
      <c r="K19797"/>
      <c r="O19797"/>
      <c r="R19797"/>
      <c r="W19797" s="4"/>
      <c r="X19797" s="4"/>
      <c r="Y19797" s="4"/>
    </row>
    <row r="19798" spans="5:25">
      <c r="E19798"/>
      <c r="G19798"/>
      <c r="H19798"/>
      <c r="I19798"/>
      <c r="K19798"/>
      <c r="O19798"/>
      <c r="R19798"/>
      <c r="W19798" s="4"/>
      <c r="X19798" s="4"/>
      <c r="Y19798" s="4"/>
    </row>
    <row r="19799" spans="5:25">
      <c r="E19799"/>
      <c r="G19799"/>
      <c r="H19799"/>
      <c r="I19799"/>
      <c r="K19799"/>
      <c r="O19799"/>
      <c r="R19799"/>
      <c r="W19799" s="4"/>
      <c r="X19799" s="4"/>
      <c r="Y19799" s="4"/>
    </row>
    <row r="19800" spans="5:25">
      <c r="E19800"/>
      <c r="G19800"/>
      <c r="H19800"/>
      <c r="I19800"/>
      <c r="K19800"/>
      <c r="O19800"/>
      <c r="R19800"/>
      <c r="W19800" s="4"/>
      <c r="X19800" s="4"/>
      <c r="Y19800" s="4"/>
    </row>
    <row r="19801" spans="5:25">
      <c r="E19801"/>
      <c r="G19801"/>
      <c r="H19801"/>
      <c r="I19801"/>
      <c r="K19801"/>
      <c r="O19801"/>
      <c r="R19801"/>
      <c r="W19801" s="4"/>
      <c r="X19801" s="4"/>
      <c r="Y19801" s="4"/>
    </row>
    <row r="19802" spans="5:25">
      <c r="E19802"/>
      <c r="G19802"/>
      <c r="H19802"/>
      <c r="I19802"/>
      <c r="K19802"/>
      <c r="O19802"/>
      <c r="R19802"/>
      <c r="W19802" s="4"/>
      <c r="X19802" s="4"/>
      <c r="Y19802" s="4"/>
    </row>
    <row r="19803" spans="5:25">
      <c r="E19803"/>
      <c r="G19803"/>
      <c r="H19803"/>
      <c r="I19803"/>
      <c r="K19803"/>
      <c r="O19803"/>
      <c r="R19803"/>
      <c r="W19803" s="4"/>
      <c r="X19803" s="4"/>
      <c r="Y19803" s="4"/>
    </row>
    <row r="19804" spans="5:25">
      <c r="E19804"/>
      <c r="G19804"/>
      <c r="H19804"/>
      <c r="I19804"/>
      <c r="K19804"/>
      <c r="O19804"/>
      <c r="R19804"/>
      <c r="W19804" s="4"/>
      <c r="X19804" s="4"/>
      <c r="Y19804" s="4"/>
    </row>
    <row r="19805" spans="5:25">
      <c r="E19805"/>
      <c r="G19805"/>
      <c r="H19805"/>
      <c r="I19805"/>
      <c r="K19805"/>
      <c r="O19805"/>
      <c r="R19805"/>
      <c r="W19805" s="4"/>
      <c r="X19805" s="4"/>
      <c r="Y19805" s="4"/>
    </row>
    <row r="19806" spans="5:25">
      <c r="E19806"/>
      <c r="G19806"/>
      <c r="H19806"/>
      <c r="I19806"/>
      <c r="K19806"/>
      <c r="O19806"/>
      <c r="R19806"/>
      <c r="W19806" s="4"/>
      <c r="X19806" s="4"/>
      <c r="Y19806" s="4"/>
    </row>
    <row r="19807" spans="5:25">
      <c r="E19807"/>
      <c r="G19807"/>
      <c r="H19807"/>
      <c r="I19807"/>
      <c r="K19807"/>
      <c r="O19807"/>
      <c r="R19807"/>
      <c r="W19807" s="4"/>
      <c r="X19807" s="4"/>
      <c r="Y19807" s="4"/>
    </row>
    <row r="19808" spans="5:25">
      <c r="E19808"/>
      <c r="G19808"/>
      <c r="H19808"/>
      <c r="I19808"/>
      <c r="K19808"/>
      <c r="O19808"/>
      <c r="R19808"/>
      <c r="W19808" s="4"/>
      <c r="X19808" s="4"/>
      <c r="Y19808" s="4"/>
    </row>
    <row r="19809" spans="5:25">
      <c r="E19809"/>
      <c r="G19809"/>
      <c r="H19809"/>
      <c r="I19809"/>
      <c r="K19809"/>
      <c r="O19809"/>
      <c r="R19809"/>
      <c r="W19809" s="4"/>
      <c r="X19809" s="4"/>
      <c r="Y19809" s="4"/>
    </row>
    <row r="19810" spans="5:25">
      <c r="E19810"/>
      <c r="G19810"/>
      <c r="H19810"/>
      <c r="I19810"/>
      <c r="K19810"/>
      <c r="O19810"/>
      <c r="R19810"/>
      <c r="W19810" s="4"/>
      <c r="X19810" s="4"/>
      <c r="Y19810" s="4"/>
    </row>
    <row r="19811" spans="5:25">
      <c r="E19811"/>
      <c r="G19811"/>
      <c r="H19811"/>
      <c r="I19811"/>
      <c r="K19811"/>
      <c r="O19811"/>
      <c r="R19811"/>
      <c r="W19811" s="4"/>
      <c r="X19811" s="4"/>
      <c r="Y19811" s="4"/>
    </row>
    <row r="19812" spans="5:25">
      <c r="E19812"/>
      <c r="G19812"/>
      <c r="H19812"/>
      <c r="I19812"/>
      <c r="K19812"/>
      <c r="O19812"/>
      <c r="R19812"/>
      <c r="W19812" s="4"/>
      <c r="X19812" s="4"/>
      <c r="Y19812" s="4"/>
    </row>
    <row r="19813" spans="5:25">
      <c r="E19813"/>
      <c r="G19813"/>
      <c r="H19813"/>
      <c r="I19813"/>
      <c r="K19813"/>
      <c r="O19813"/>
      <c r="R19813"/>
      <c r="W19813" s="4"/>
      <c r="X19813" s="4"/>
      <c r="Y19813" s="4"/>
    </row>
    <row r="19814" spans="5:25">
      <c r="E19814"/>
      <c r="G19814"/>
      <c r="H19814"/>
      <c r="I19814"/>
      <c r="K19814"/>
      <c r="O19814"/>
      <c r="R19814"/>
      <c r="W19814" s="4"/>
      <c r="X19814" s="4"/>
      <c r="Y19814" s="4"/>
    </row>
    <row r="19815" spans="5:25">
      <c r="E19815"/>
      <c r="G19815"/>
      <c r="H19815"/>
      <c r="I19815"/>
      <c r="K19815"/>
      <c r="O19815"/>
      <c r="R19815"/>
      <c r="W19815" s="4"/>
      <c r="X19815" s="4"/>
      <c r="Y19815" s="4"/>
    </row>
    <row r="19816" spans="5:25">
      <c r="E19816"/>
      <c r="G19816"/>
      <c r="H19816"/>
      <c r="I19816"/>
      <c r="K19816"/>
      <c r="O19816"/>
      <c r="R19816"/>
      <c r="W19816" s="4"/>
      <c r="X19816" s="4"/>
      <c r="Y19816" s="4"/>
    </row>
    <row r="19817" spans="5:25">
      <c r="E19817"/>
      <c r="G19817"/>
      <c r="H19817"/>
      <c r="I19817"/>
      <c r="K19817"/>
      <c r="O19817"/>
      <c r="R19817"/>
      <c r="W19817" s="4"/>
      <c r="X19817" s="4"/>
      <c r="Y19817" s="4"/>
    </row>
    <row r="19818" spans="5:25">
      <c r="E19818"/>
      <c r="G19818"/>
      <c r="H19818"/>
      <c r="I19818"/>
      <c r="K19818"/>
      <c r="O19818"/>
      <c r="R19818"/>
      <c r="W19818" s="4"/>
      <c r="X19818" s="4"/>
      <c r="Y19818" s="4"/>
    </row>
    <row r="19819" spans="5:25">
      <c r="E19819"/>
      <c r="G19819"/>
      <c r="H19819"/>
      <c r="I19819"/>
      <c r="K19819"/>
      <c r="O19819"/>
      <c r="R19819"/>
      <c r="W19819" s="4"/>
      <c r="X19819" s="4"/>
      <c r="Y19819" s="4"/>
    </row>
    <row r="19820" spans="5:25">
      <c r="E19820"/>
      <c r="G19820"/>
      <c r="H19820"/>
      <c r="I19820"/>
      <c r="K19820"/>
      <c r="O19820"/>
      <c r="R19820"/>
      <c r="W19820" s="4"/>
      <c r="X19820" s="4"/>
      <c r="Y19820" s="4"/>
    </row>
    <row r="19821" spans="5:25">
      <c r="E19821"/>
      <c r="G19821"/>
      <c r="H19821"/>
      <c r="I19821"/>
      <c r="K19821"/>
      <c r="O19821"/>
      <c r="R19821"/>
      <c r="W19821" s="4"/>
      <c r="X19821" s="4"/>
      <c r="Y19821" s="4"/>
    </row>
    <row r="19822" spans="5:25">
      <c r="E19822"/>
      <c r="G19822"/>
      <c r="H19822"/>
      <c r="I19822"/>
      <c r="K19822"/>
      <c r="O19822"/>
      <c r="R19822"/>
      <c r="W19822" s="4"/>
      <c r="X19822" s="4"/>
      <c r="Y19822" s="4"/>
    </row>
    <row r="19823" spans="5:25">
      <c r="E19823"/>
      <c r="G19823"/>
      <c r="H19823"/>
      <c r="I19823"/>
      <c r="K19823"/>
      <c r="O19823"/>
      <c r="R19823"/>
      <c r="W19823" s="4"/>
      <c r="X19823" s="4"/>
      <c r="Y19823" s="4"/>
    </row>
    <row r="19824" spans="5:25">
      <c r="E19824"/>
      <c r="G19824"/>
      <c r="H19824"/>
      <c r="I19824"/>
      <c r="K19824"/>
      <c r="O19824"/>
      <c r="R19824"/>
      <c r="W19824" s="4"/>
      <c r="X19824" s="4"/>
      <c r="Y19824" s="4"/>
    </row>
    <row r="19825" spans="5:25">
      <c r="E19825"/>
      <c r="G19825"/>
      <c r="H19825"/>
      <c r="I19825"/>
      <c r="K19825"/>
      <c r="O19825"/>
      <c r="R19825"/>
      <c r="W19825" s="4"/>
      <c r="X19825" s="4"/>
      <c r="Y19825" s="4"/>
    </row>
    <row r="19826" spans="5:25">
      <c r="E19826"/>
      <c r="G19826"/>
      <c r="H19826"/>
      <c r="I19826"/>
      <c r="K19826"/>
      <c r="O19826"/>
      <c r="R19826"/>
      <c r="W19826" s="4"/>
      <c r="X19826" s="4"/>
      <c r="Y19826" s="4"/>
    </row>
    <row r="19827" spans="5:25">
      <c r="E19827"/>
      <c r="G19827"/>
      <c r="H19827"/>
      <c r="I19827"/>
      <c r="K19827"/>
      <c r="O19827"/>
      <c r="R19827"/>
      <c r="W19827" s="4"/>
      <c r="X19827" s="4"/>
      <c r="Y19827" s="4"/>
    </row>
    <row r="19828" spans="5:25">
      <c r="E19828"/>
      <c r="G19828"/>
      <c r="H19828"/>
      <c r="I19828"/>
      <c r="K19828"/>
      <c r="O19828"/>
      <c r="R19828"/>
      <c r="W19828" s="4"/>
      <c r="X19828" s="4"/>
      <c r="Y19828" s="4"/>
    </row>
    <row r="19829" spans="5:25">
      <c r="E19829"/>
      <c r="G19829"/>
      <c r="H19829"/>
      <c r="I19829"/>
      <c r="K19829"/>
      <c r="O19829"/>
      <c r="R19829"/>
      <c r="W19829" s="4"/>
      <c r="X19829" s="4"/>
      <c r="Y19829" s="4"/>
    </row>
    <row r="19830" spans="5:25">
      <c r="E19830"/>
      <c r="G19830"/>
      <c r="H19830"/>
      <c r="I19830"/>
      <c r="K19830"/>
      <c r="O19830"/>
      <c r="R19830"/>
      <c r="W19830" s="4"/>
      <c r="X19830" s="4"/>
      <c r="Y19830" s="4"/>
    </row>
    <row r="19831" spans="5:25">
      <c r="E19831"/>
      <c r="G19831"/>
      <c r="H19831"/>
      <c r="I19831"/>
      <c r="K19831"/>
      <c r="O19831"/>
      <c r="R19831"/>
      <c r="W19831" s="4"/>
      <c r="X19831" s="4"/>
      <c r="Y19831" s="4"/>
    </row>
    <row r="19832" spans="5:25">
      <c r="E19832"/>
      <c r="G19832"/>
      <c r="H19832"/>
      <c r="I19832"/>
      <c r="K19832"/>
      <c r="O19832"/>
      <c r="R19832"/>
      <c r="W19832" s="4"/>
      <c r="X19832" s="4"/>
      <c r="Y19832" s="4"/>
    </row>
    <row r="19833" spans="5:25">
      <c r="E19833"/>
      <c r="G19833"/>
      <c r="H19833"/>
      <c r="I19833"/>
      <c r="K19833"/>
      <c r="O19833"/>
      <c r="R19833"/>
      <c r="W19833" s="4"/>
      <c r="X19833" s="4"/>
      <c r="Y19833" s="4"/>
    </row>
    <row r="19834" spans="5:25">
      <c r="E19834"/>
      <c r="G19834"/>
      <c r="H19834"/>
      <c r="I19834"/>
      <c r="K19834"/>
      <c r="O19834"/>
      <c r="R19834"/>
      <c r="W19834" s="4"/>
      <c r="X19834" s="4"/>
      <c r="Y19834" s="4"/>
    </row>
    <row r="19835" spans="5:25">
      <c r="E19835"/>
      <c r="G19835"/>
      <c r="H19835"/>
      <c r="I19835"/>
      <c r="K19835"/>
      <c r="O19835"/>
      <c r="R19835"/>
      <c r="W19835" s="4"/>
      <c r="X19835" s="4"/>
      <c r="Y19835" s="4"/>
    </row>
    <row r="19836" spans="5:25">
      <c r="E19836"/>
      <c r="G19836"/>
      <c r="H19836"/>
      <c r="I19836"/>
      <c r="K19836"/>
      <c r="O19836"/>
      <c r="R19836"/>
      <c r="W19836" s="4"/>
      <c r="X19836" s="4"/>
      <c r="Y19836" s="4"/>
    </row>
    <row r="19837" spans="5:25">
      <c r="E19837"/>
      <c r="G19837"/>
      <c r="H19837"/>
      <c r="I19837"/>
      <c r="K19837"/>
      <c r="O19837"/>
      <c r="R19837"/>
      <c r="W19837" s="4"/>
      <c r="X19837" s="4"/>
      <c r="Y19837" s="4"/>
    </row>
    <row r="19838" spans="5:25">
      <c r="E19838"/>
      <c r="G19838"/>
      <c r="H19838"/>
      <c r="I19838"/>
      <c r="K19838"/>
      <c r="O19838"/>
      <c r="R19838"/>
      <c r="W19838" s="4"/>
      <c r="X19838" s="4"/>
      <c r="Y19838" s="4"/>
    </row>
    <row r="19839" spans="5:25">
      <c r="E19839"/>
      <c r="G19839"/>
      <c r="H19839"/>
      <c r="I19839"/>
      <c r="K19839"/>
      <c r="O19839"/>
      <c r="R19839"/>
      <c r="W19839" s="4"/>
      <c r="X19839" s="4"/>
      <c r="Y19839" s="4"/>
    </row>
    <row r="19840" spans="5:25">
      <c r="E19840"/>
      <c r="G19840"/>
      <c r="H19840"/>
      <c r="I19840"/>
      <c r="K19840"/>
      <c r="O19840"/>
      <c r="R19840"/>
      <c r="W19840" s="4"/>
      <c r="X19840" s="4"/>
      <c r="Y19840" s="4"/>
    </row>
    <row r="19841" spans="5:25">
      <c r="E19841"/>
      <c r="G19841"/>
      <c r="H19841"/>
      <c r="I19841"/>
      <c r="K19841"/>
      <c r="O19841"/>
      <c r="R19841"/>
      <c r="W19841" s="4"/>
      <c r="X19841" s="4"/>
      <c r="Y19841" s="4"/>
    </row>
    <row r="19842" spans="5:25">
      <c r="E19842"/>
      <c r="G19842"/>
      <c r="H19842"/>
      <c r="I19842"/>
      <c r="K19842"/>
      <c r="O19842"/>
      <c r="R19842"/>
      <c r="W19842" s="4"/>
      <c r="X19842" s="4"/>
      <c r="Y19842" s="4"/>
    </row>
    <row r="19843" spans="5:25">
      <c r="E19843"/>
      <c r="G19843"/>
      <c r="H19843"/>
      <c r="I19843"/>
      <c r="K19843"/>
      <c r="O19843"/>
      <c r="R19843"/>
      <c r="W19843" s="4"/>
      <c r="X19843" s="4"/>
      <c r="Y19843" s="4"/>
    </row>
    <row r="19844" spans="5:25">
      <c r="E19844"/>
      <c r="G19844"/>
      <c r="H19844"/>
      <c r="I19844"/>
      <c r="K19844"/>
      <c r="O19844"/>
      <c r="R19844"/>
      <c r="W19844" s="4"/>
      <c r="X19844" s="4"/>
      <c r="Y19844" s="4"/>
    </row>
    <row r="19845" spans="5:25">
      <c r="E19845"/>
      <c r="G19845"/>
      <c r="H19845"/>
      <c r="I19845"/>
      <c r="K19845"/>
      <c r="O19845"/>
      <c r="R19845"/>
      <c r="W19845" s="4"/>
      <c r="X19845" s="4"/>
      <c r="Y19845" s="4"/>
    </row>
    <row r="19846" spans="5:25">
      <c r="E19846"/>
      <c r="G19846"/>
      <c r="H19846"/>
      <c r="I19846"/>
      <c r="K19846"/>
      <c r="O19846"/>
      <c r="R19846"/>
      <c r="W19846" s="4"/>
      <c r="X19846" s="4"/>
      <c r="Y19846" s="4"/>
    </row>
    <row r="19847" spans="5:25">
      <c r="E19847"/>
      <c r="G19847"/>
      <c r="H19847"/>
      <c r="I19847"/>
      <c r="K19847"/>
      <c r="O19847"/>
      <c r="R19847"/>
      <c r="W19847" s="4"/>
      <c r="X19847" s="4"/>
      <c r="Y19847" s="4"/>
    </row>
    <row r="19848" spans="5:25">
      <c r="E19848"/>
      <c r="G19848"/>
      <c r="H19848"/>
      <c r="I19848"/>
      <c r="K19848"/>
      <c r="O19848"/>
      <c r="R19848"/>
      <c r="W19848" s="4"/>
      <c r="X19848" s="4"/>
      <c r="Y19848" s="4"/>
    </row>
    <row r="19849" spans="5:25">
      <c r="E19849"/>
      <c r="G19849"/>
      <c r="H19849"/>
      <c r="I19849"/>
      <c r="K19849"/>
      <c r="O19849"/>
      <c r="R19849"/>
      <c r="W19849" s="4"/>
      <c r="X19849" s="4"/>
      <c r="Y19849" s="4"/>
    </row>
    <row r="19850" spans="5:25">
      <c r="E19850"/>
      <c r="G19850"/>
      <c r="H19850"/>
      <c r="I19850"/>
      <c r="K19850"/>
      <c r="O19850"/>
      <c r="R19850"/>
      <c r="W19850" s="4"/>
      <c r="X19850" s="4"/>
      <c r="Y19850" s="4"/>
    </row>
    <row r="19851" spans="5:25">
      <c r="E19851"/>
      <c r="G19851"/>
      <c r="H19851"/>
      <c r="I19851"/>
      <c r="K19851"/>
      <c r="O19851"/>
      <c r="R19851"/>
      <c r="W19851" s="4"/>
      <c r="X19851" s="4"/>
      <c r="Y19851" s="4"/>
    </row>
    <row r="19852" spans="5:25">
      <c r="E19852"/>
      <c r="G19852"/>
      <c r="H19852"/>
      <c r="I19852"/>
      <c r="K19852"/>
      <c r="O19852"/>
      <c r="R19852"/>
      <c r="W19852" s="4"/>
      <c r="X19852" s="4"/>
      <c r="Y19852" s="4"/>
    </row>
    <row r="19853" spans="5:25">
      <c r="E19853"/>
      <c r="G19853"/>
      <c r="H19853"/>
      <c r="I19853"/>
      <c r="K19853"/>
      <c r="O19853"/>
      <c r="R19853"/>
      <c r="W19853" s="4"/>
      <c r="X19853" s="4"/>
      <c r="Y19853" s="4"/>
    </row>
    <row r="19854" spans="5:25">
      <c r="E19854"/>
      <c r="G19854"/>
      <c r="H19854"/>
      <c r="I19854"/>
      <c r="K19854"/>
      <c r="O19854"/>
      <c r="R19854"/>
      <c r="W19854" s="4"/>
      <c r="X19854" s="4"/>
      <c r="Y19854" s="4"/>
    </row>
    <row r="19855" spans="5:25">
      <c r="E19855"/>
      <c r="G19855"/>
      <c r="H19855"/>
      <c r="I19855"/>
      <c r="K19855"/>
      <c r="O19855"/>
      <c r="R19855"/>
      <c r="W19855" s="4"/>
      <c r="X19855" s="4"/>
      <c r="Y19855" s="4"/>
    </row>
    <row r="19856" spans="5:25">
      <c r="E19856"/>
      <c r="G19856"/>
      <c r="H19856"/>
      <c r="I19856"/>
      <c r="K19856"/>
      <c r="O19856"/>
      <c r="R19856"/>
      <c r="W19856" s="4"/>
      <c r="X19856" s="4"/>
      <c r="Y19856" s="4"/>
    </row>
    <row r="19857" spans="5:25">
      <c r="E19857"/>
      <c r="G19857"/>
      <c r="H19857"/>
      <c r="I19857"/>
      <c r="K19857"/>
      <c r="O19857"/>
      <c r="R19857"/>
      <c r="W19857" s="4"/>
      <c r="X19857" s="4"/>
      <c r="Y19857" s="4"/>
    </row>
    <row r="19858" spans="5:25">
      <c r="E19858"/>
      <c r="G19858"/>
      <c r="H19858"/>
      <c r="I19858"/>
      <c r="K19858"/>
      <c r="O19858"/>
      <c r="R19858"/>
      <c r="W19858" s="4"/>
      <c r="X19858" s="4"/>
      <c r="Y19858" s="4"/>
    </row>
    <row r="19859" spans="5:25">
      <c r="E19859"/>
      <c r="G19859"/>
      <c r="H19859"/>
      <c r="I19859"/>
      <c r="K19859"/>
      <c r="O19859"/>
      <c r="R19859"/>
      <c r="W19859" s="4"/>
      <c r="X19859" s="4"/>
      <c r="Y19859" s="4"/>
    </row>
    <row r="19860" spans="5:25">
      <c r="E19860"/>
      <c r="G19860"/>
      <c r="H19860"/>
      <c r="I19860"/>
      <c r="K19860"/>
      <c r="O19860"/>
      <c r="R19860"/>
      <c r="W19860" s="4"/>
      <c r="X19860" s="4"/>
      <c r="Y19860" s="4"/>
    </row>
    <row r="19861" spans="5:25">
      <c r="E19861"/>
      <c r="G19861"/>
      <c r="H19861"/>
      <c r="I19861"/>
      <c r="K19861"/>
      <c r="O19861"/>
      <c r="R19861"/>
      <c r="W19861" s="4"/>
      <c r="X19861" s="4"/>
      <c r="Y19861" s="4"/>
    </row>
    <row r="19862" spans="5:25">
      <c r="E19862"/>
      <c r="G19862"/>
      <c r="H19862"/>
      <c r="I19862"/>
      <c r="K19862"/>
      <c r="O19862"/>
      <c r="R19862"/>
      <c r="W19862" s="4"/>
      <c r="X19862" s="4"/>
      <c r="Y19862" s="4"/>
    </row>
    <row r="19863" spans="5:25">
      <c r="E19863"/>
      <c r="G19863"/>
      <c r="H19863"/>
      <c r="I19863"/>
      <c r="K19863"/>
      <c r="O19863"/>
      <c r="R19863"/>
      <c r="W19863" s="4"/>
      <c r="X19863" s="4"/>
      <c r="Y19863" s="4"/>
    </row>
    <row r="19864" spans="5:25">
      <c r="E19864"/>
      <c r="G19864"/>
      <c r="H19864"/>
      <c r="I19864"/>
      <c r="K19864"/>
      <c r="O19864"/>
      <c r="R19864"/>
      <c r="W19864" s="4"/>
      <c r="X19864" s="4"/>
      <c r="Y19864" s="4"/>
    </row>
    <row r="19865" spans="5:25">
      <c r="E19865"/>
      <c r="G19865"/>
      <c r="H19865"/>
      <c r="I19865"/>
      <c r="K19865"/>
      <c r="O19865"/>
      <c r="R19865"/>
      <c r="W19865" s="4"/>
      <c r="X19865" s="4"/>
      <c r="Y19865" s="4"/>
    </row>
    <row r="19866" spans="5:25">
      <c r="E19866"/>
      <c r="G19866"/>
      <c r="H19866"/>
      <c r="I19866"/>
      <c r="K19866"/>
      <c r="O19866"/>
      <c r="R19866"/>
      <c r="W19866" s="4"/>
      <c r="X19866" s="4"/>
      <c r="Y19866" s="4"/>
    </row>
    <row r="19867" spans="5:25">
      <c r="E19867"/>
      <c r="G19867"/>
      <c r="H19867"/>
      <c r="I19867"/>
      <c r="K19867"/>
      <c r="O19867"/>
      <c r="R19867"/>
      <c r="W19867" s="4"/>
      <c r="X19867" s="4"/>
      <c r="Y19867" s="4"/>
    </row>
    <row r="19868" spans="5:25">
      <c r="E19868"/>
      <c r="G19868"/>
      <c r="H19868"/>
      <c r="I19868"/>
      <c r="K19868"/>
      <c r="O19868"/>
      <c r="R19868"/>
      <c r="W19868" s="4"/>
      <c r="X19868" s="4"/>
      <c r="Y19868" s="4"/>
    </row>
    <row r="19869" spans="5:25">
      <c r="E19869"/>
      <c r="G19869"/>
      <c r="H19869"/>
      <c r="I19869"/>
      <c r="K19869"/>
      <c r="O19869"/>
      <c r="R19869"/>
      <c r="W19869" s="4"/>
      <c r="X19869" s="4"/>
      <c r="Y19869" s="4"/>
    </row>
    <row r="19870" spans="5:25">
      <c r="E19870"/>
      <c r="G19870"/>
      <c r="H19870"/>
      <c r="I19870"/>
      <c r="K19870"/>
      <c r="O19870"/>
      <c r="R19870"/>
      <c r="W19870" s="4"/>
      <c r="X19870" s="4"/>
      <c r="Y19870" s="4"/>
    </row>
    <row r="19871" spans="5:25">
      <c r="E19871"/>
      <c r="G19871"/>
      <c r="H19871"/>
      <c r="I19871"/>
      <c r="K19871"/>
      <c r="O19871"/>
      <c r="R19871"/>
      <c r="W19871" s="4"/>
      <c r="X19871" s="4"/>
      <c r="Y19871" s="4"/>
    </row>
    <row r="19872" spans="5:25">
      <c r="E19872"/>
      <c r="G19872"/>
      <c r="H19872"/>
      <c r="I19872"/>
      <c r="K19872"/>
      <c r="O19872"/>
      <c r="R19872"/>
      <c r="W19872" s="4"/>
      <c r="X19872" s="4"/>
      <c r="Y19872" s="4"/>
    </row>
    <row r="19873" spans="5:25">
      <c r="E19873"/>
      <c r="G19873"/>
      <c r="H19873"/>
      <c r="I19873"/>
      <c r="K19873"/>
      <c r="O19873"/>
      <c r="R19873"/>
      <c r="W19873" s="4"/>
      <c r="X19873" s="4"/>
      <c r="Y19873" s="4"/>
    </row>
    <row r="19874" spans="5:25">
      <c r="E19874"/>
      <c r="G19874"/>
      <c r="H19874"/>
      <c r="I19874"/>
      <c r="K19874"/>
      <c r="O19874"/>
      <c r="R19874"/>
      <c r="W19874" s="4"/>
      <c r="X19874" s="4"/>
      <c r="Y19874" s="4"/>
    </row>
    <row r="19875" spans="5:25">
      <c r="E19875"/>
      <c r="G19875"/>
      <c r="H19875"/>
      <c r="I19875"/>
      <c r="K19875"/>
      <c r="O19875"/>
      <c r="R19875"/>
      <c r="W19875" s="4"/>
      <c r="X19875" s="4"/>
      <c r="Y19875" s="4"/>
    </row>
    <row r="19876" spans="5:25">
      <c r="E19876"/>
      <c r="G19876"/>
      <c r="H19876"/>
      <c r="I19876"/>
      <c r="K19876"/>
      <c r="O19876"/>
      <c r="R19876"/>
      <c r="W19876" s="4"/>
      <c r="X19876" s="4"/>
      <c r="Y19876" s="4"/>
    </row>
    <row r="19877" spans="5:25">
      <c r="E19877"/>
      <c r="G19877"/>
      <c r="H19877"/>
      <c r="I19877"/>
      <c r="K19877"/>
      <c r="O19877"/>
      <c r="R19877"/>
      <c r="W19877" s="4"/>
      <c r="X19877" s="4"/>
      <c r="Y19877" s="4"/>
    </row>
    <row r="19878" spans="5:25">
      <c r="E19878"/>
      <c r="G19878"/>
      <c r="H19878"/>
      <c r="I19878"/>
      <c r="K19878"/>
      <c r="O19878"/>
      <c r="R19878"/>
      <c r="W19878" s="4"/>
      <c r="X19878" s="4"/>
      <c r="Y19878" s="4"/>
    </row>
    <row r="19879" spans="5:25">
      <c r="E19879"/>
      <c r="G19879"/>
      <c r="H19879"/>
      <c r="I19879"/>
      <c r="K19879"/>
      <c r="O19879"/>
      <c r="R19879"/>
      <c r="W19879" s="4"/>
      <c r="X19879" s="4"/>
      <c r="Y19879" s="4"/>
    </row>
    <row r="19880" spans="5:25">
      <c r="E19880"/>
      <c r="G19880"/>
      <c r="H19880"/>
      <c r="I19880"/>
      <c r="K19880"/>
      <c r="O19880"/>
      <c r="R19880"/>
      <c r="W19880" s="4"/>
      <c r="X19880" s="4"/>
      <c r="Y19880" s="4"/>
    </row>
    <row r="19881" spans="5:25">
      <c r="E19881"/>
      <c r="G19881"/>
      <c r="H19881"/>
      <c r="I19881"/>
      <c r="K19881"/>
      <c r="O19881"/>
      <c r="R19881"/>
      <c r="W19881" s="4"/>
      <c r="X19881" s="4"/>
      <c r="Y19881" s="4"/>
    </row>
    <row r="19882" spans="5:25">
      <c r="E19882"/>
      <c r="G19882"/>
      <c r="H19882"/>
      <c r="I19882"/>
      <c r="K19882"/>
      <c r="O19882"/>
      <c r="R19882"/>
      <c r="W19882" s="4"/>
      <c r="X19882" s="4"/>
      <c r="Y19882" s="4"/>
    </row>
    <row r="19883" spans="5:25">
      <c r="E19883"/>
      <c r="G19883"/>
      <c r="H19883"/>
      <c r="I19883"/>
      <c r="K19883"/>
      <c r="O19883"/>
      <c r="R19883"/>
      <c r="W19883" s="4"/>
      <c r="X19883" s="4"/>
      <c r="Y19883" s="4"/>
    </row>
    <row r="19884" spans="5:25">
      <c r="E19884"/>
      <c r="G19884"/>
      <c r="H19884"/>
      <c r="I19884"/>
      <c r="K19884"/>
      <c r="O19884"/>
      <c r="R19884"/>
      <c r="W19884" s="4"/>
      <c r="X19884" s="4"/>
      <c r="Y19884" s="4"/>
    </row>
    <row r="19885" spans="5:25">
      <c r="E19885"/>
      <c r="G19885"/>
      <c r="H19885"/>
      <c r="I19885"/>
      <c r="K19885"/>
      <c r="O19885"/>
      <c r="R19885"/>
      <c r="W19885" s="4"/>
      <c r="X19885" s="4"/>
      <c r="Y19885" s="4"/>
    </row>
    <row r="19886" spans="5:25">
      <c r="E19886"/>
      <c r="G19886"/>
      <c r="H19886"/>
      <c r="I19886"/>
      <c r="K19886"/>
      <c r="O19886"/>
      <c r="R19886"/>
      <c r="W19886" s="4"/>
      <c r="X19886" s="4"/>
      <c r="Y19886" s="4"/>
    </row>
    <row r="19887" spans="5:25">
      <c r="E19887"/>
      <c r="G19887"/>
      <c r="H19887"/>
      <c r="I19887"/>
      <c r="K19887"/>
      <c r="O19887"/>
      <c r="R19887"/>
      <c r="W19887" s="4"/>
      <c r="X19887" s="4"/>
      <c r="Y19887" s="4"/>
    </row>
    <row r="19888" spans="5:25">
      <c r="E19888"/>
      <c r="G19888"/>
      <c r="H19888"/>
      <c r="I19888"/>
      <c r="K19888"/>
      <c r="O19888"/>
      <c r="R19888"/>
      <c r="W19888" s="4"/>
      <c r="X19888" s="4"/>
      <c r="Y19888" s="4"/>
    </row>
    <row r="19889" spans="5:25">
      <c r="E19889"/>
      <c r="G19889"/>
      <c r="H19889"/>
      <c r="I19889"/>
      <c r="K19889"/>
      <c r="O19889"/>
      <c r="R19889"/>
      <c r="W19889" s="4"/>
      <c r="X19889" s="4"/>
      <c r="Y19889" s="4"/>
    </row>
    <row r="19890" spans="5:25">
      <c r="E19890"/>
      <c r="G19890"/>
      <c r="H19890"/>
      <c r="I19890"/>
      <c r="K19890"/>
      <c r="O19890"/>
      <c r="R19890"/>
      <c r="W19890" s="4"/>
      <c r="X19890" s="4"/>
      <c r="Y19890" s="4"/>
    </row>
    <row r="19891" spans="5:25">
      <c r="E19891"/>
      <c r="G19891"/>
      <c r="H19891"/>
      <c r="I19891"/>
      <c r="K19891"/>
      <c r="O19891"/>
      <c r="R19891"/>
      <c r="W19891" s="4"/>
      <c r="X19891" s="4"/>
      <c r="Y19891" s="4"/>
    </row>
    <row r="19892" spans="5:25">
      <c r="E19892"/>
      <c r="G19892"/>
      <c r="H19892"/>
      <c r="I19892"/>
      <c r="K19892"/>
      <c r="O19892"/>
      <c r="R19892"/>
      <c r="W19892" s="4"/>
      <c r="X19892" s="4"/>
      <c r="Y19892" s="4"/>
    </row>
    <row r="19893" spans="5:25">
      <c r="E19893"/>
      <c r="G19893"/>
      <c r="H19893"/>
      <c r="I19893"/>
      <c r="K19893"/>
      <c r="O19893"/>
      <c r="R19893"/>
      <c r="W19893" s="4"/>
      <c r="X19893" s="4"/>
      <c r="Y19893" s="4"/>
    </row>
    <row r="19894" spans="5:25">
      <c r="E19894"/>
      <c r="G19894"/>
      <c r="H19894"/>
      <c r="I19894"/>
      <c r="K19894"/>
      <c r="O19894"/>
      <c r="R19894"/>
      <c r="W19894" s="4"/>
      <c r="X19894" s="4"/>
      <c r="Y19894" s="4"/>
    </row>
    <row r="19895" spans="5:25">
      <c r="E19895"/>
      <c r="G19895"/>
      <c r="H19895"/>
      <c r="I19895"/>
      <c r="K19895"/>
      <c r="O19895"/>
      <c r="R19895"/>
      <c r="W19895" s="4"/>
      <c r="X19895" s="4"/>
      <c r="Y19895" s="4"/>
    </row>
    <row r="19896" spans="5:25">
      <c r="E19896"/>
      <c r="G19896"/>
      <c r="H19896"/>
      <c r="I19896"/>
      <c r="K19896"/>
      <c r="O19896"/>
      <c r="R19896"/>
      <c r="W19896" s="4"/>
      <c r="X19896" s="4"/>
      <c r="Y19896" s="4"/>
    </row>
    <row r="19897" spans="5:25">
      <c r="E19897"/>
      <c r="G19897"/>
      <c r="H19897"/>
      <c r="I19897"/>
      <c r="K19897"/>
      <c r="O19897"/>
      <c r="R19897"/>
      <c r="W19897" s="4"/>
      <c r="X19897" s="4"/>
      <c r="Y19897" s="4"/>
    </row>
    <row r="19898" spans="5:25">
      <c r="E19898"/>
      <c r="G19898"/>
      <c r="H19898"/>
      <c r="I19898"/>
      <c r="K19898"/>
      <c r="O19898"/>
      <c r="R19898"/>
      <c r="W19898" s="4"/>
      <c r="X19898" s="4"/>
      <c r="Y19898" s="4"/>
    </row>
    <row r="19899" spans="5:25">
      <c r="E19899"/>
      <c r="G19899"/>
      <c r="H19899"/>
      <c r="I19899"/>
      <c r="K19899"/>
      <c r="O19899"/>
      <c r="R19899"/>
      <c r="W19899" s="4"/>
      <c r="X19899" s="4"/>
      <c r="Y19899" s="4"/>
    </row>
    <row r="19900" spans="5:25">
      <c r="E19900"/>
      <c r="G19900"/>
      <c r="H19900"/>
      <c r="I19900"/>
      <c r="K19900"/>
      <c r="O19900"/>
      <c r="R19900"/>
      <c r="W19900" s="4"/>
      <c r="X19900" s="4"/>
      <c r="Y19900" s="4"/>
    </row>
    <row r="19901" spans="5:25">
      <c r="E19901"/>
      <c r="G19901"/>
      <c r="H19901"/>
      <c r="I19901"/>
      <c r="K19901"/>
      <c r="O19901"/>
      <c r="R19901"/>
      <c r="W19901" s="4"/>
      <c r="X19901" s="4"/>
      <c r="Y19901" s="4"/>
    </row>
    <row r="19902" spans="5:25">
      <c r="E19902"/>
      <c r="G19902"/>
      <c r="H19902"/>
      <c r="I19902"/>
      <c r="K19902"/>
      <c r="O19902"/>
      <c r="R19902"/>
      <c r="W19902" s="4"/>
      <c r="X19902" s="4"/>
      <c r="Y19902" s="4"/>
    </row>
    <row r="19903" spans="5:25">
      <c r="E19903"/>
      <c r="G19903"/>
      <c r="H19903"/>
      <c r="I19903"/>
      <c r="K19903"/>
      <c r="O19903"/>
      <c r="R19903"/>
      <c r="W19903" s="4"/>
      <c r="X19903" s="4"/>
      <c r="Y19903" s="4"/>
    </row>
    <row r="19904" spans="5:25">
      <c r="E19904"/>
      <c r="G19904"/>
      <c r="H19904"/>
      <c r="I19904"/>
      <c r="K19904"/>
      <c r="O19904"/>
      <c r="R19904"/>
      <c r="W19904" s="4"/>
      <c r="X19904" s="4"/>
      <c r="Y19904" s="4"/>
    </row>
    <row r="19905" spans="5:25">
      <c r="E19905"/>
      <c r="G19905"/>
      <c r="H19905"/>
      <c r="I19905"/>
      <c r="K19905"/>
      <c r="O19905"/>
      <c r="R19905"/>
      <c r="W19905" s="4"/>
      <c r="X19905" s="4"/>
      <c r="Y19905" s="4"/>
    </row>
    <row r="19906" spans="5:25">
      <c r="E19906"/>
      <c r="G19906"/>
      <c r="H19906"/>
      <c r="I19906"/>
      <c r="K19906"/>
      <c r="O19906"/>
      <c r="R19906"/>
      <c r="W19906" s="4"/>
      <c r="X19906" s="4"/>
      <c r="Y19906" s="4"/>
    </row>
    <row r="19907" spans="5:25">
      <c r="E19907"/>
      <c r="G19907"/>
      <c r="H19907"/>
      <c r="I19907"/>
      <c r="K19907"/>
      <c r="O19907"/>
      <c r="R19907"/>
      <c r="W19907" s="4"/>
      <c r="X19907" s="4"/>
      <c r="Y19907" s="4"/>
    </row>
    <row r="19908" spans="5:25">
      <c r="E19908"/>
      <c r="G19908"/>
      <c r="H19908"/>
      <c r="I19908"/>
      <c r="K19908"/>
      <c r="O19908"/>
      <c r="R19908"/>
      <c r="W19908" s="4"/>
      <c r="X19908" s="4"/>
      <c r="Y19908" s="4"/>
    </row>
    <row r="19909" spans="5:25">
      <c r="E19909"/>
      <c r="G19909"/>
      <c r="H19909"/>
      <c r="I19909"/>
      <c r="K19909"/>
      <c r="O19909"/>
      <c r="R19909"/>
      <c r="W19909" s="4"/>
      <c r="X19909" s="4"/>
      <c r="Y19909" s="4"/>
    </row>
    <row r="19910" spans="5:25">
      <c r="E19910"/>
      <c r="G19910"/>
      <c r="H19910"/>
      <c r="I19910"/>
      <c r="K19910"/>
      <c r="O19910"/>
      <c r="R19910"/>
      <c r="W19910" s="4"/>
      <c r="X19910" s="4"/>
      <c r="Y19910" s="4"/>
    </row>
    <row r="19911" spans="5:25">
      <c r="E19911"/>
      <c r="G19911"/>
      <c r="H19911"/>
      <c r="I19911"/>
      <c r="K19911"/>
      <c r="O19911"/>
      <c r="R19911"/>
      <c r="W19911" s="4"/>
      <c r="X19911" s="4"/>
      <c r="Y19911" s="4"/>
    </row>
    <row r="19912" spans="5:25">
      <c r="E19912"/>
      <c r="G19912"/>
      <c r="H19912"/>
      <c r="I19912"/>
      <c r="K19912"/>
      <c r="O19912"/>
      <c r="R19912"/>
      <c r="W19912" s="4"/>
      <c r="X19912" s="4"/>
      <c r="Y19912" s="4"/>
    </row>
    <row r="19913" spans="5:25">
      <c r="E19913"/>
      <c r="G19913"/>
      <c r="H19913"/>
      <c r="I19913"/>
      <c r="K19913"/>
      <c r="O19913"/>
      <c r="R19913"/>
      <c r="W19913" s="4"/>
      <c r="X19913" s="4"/>
      <c r="Y19913" s="4"/>
    </row>
    <row r="19914" spans="5:25">
      <c r="E19914"/>
      <c r="G19914"/>
      <c r="H19914"/>
      <c r="I19914"/>
      <c r="K19914"/>
      <c r="O19914"/>
      <c r="R19914"/>
      <c r="W19914" s="4"/>
      <c r="X19914" s="4"/>
      <c r="Y19914" s="4"/>
    </row>
    <row r="19915" spans="5:25">
      <c r="E19915"/>
      <c r="G19915"/>
      <c r="H19915"/>
      <c r="I19915"/>
      <c r="K19915"/>
      <c r="O19915"/>
      <c r="R19915"/>
      <c r="W19915" s="4"/>
      <c r="X19915" s="4"/>
      <c r="Y19915" s="4"/>
    </row>
    <row r="19916" spans="5:25">
      <c r="E19916"/>
      <c r="G19916"/>
      <c r="H19916"/>
      <c r="I19916"/>
      <c r="K19916"/>
      <c r="O19916"/>
      <c r="R19916"/>
      <c r="W19916" s="4"/>
      <c r="X19916" s="4"/>
      <c r="Y19916" s="4"/>
    </row>
    <row r="19917" spans="5:25">
      <c r="E19917"/>
      <c r="G19917"/>
      <c r="H19917"/>
      <c r="I19917"/>
      <c r="K19917"/>
      <c r="O19917"/>
      <c r="R19917"/>
      <c r="W19917" s="4"/>
      <c r="X19917" s="4"/>
      <c r="Y19917" s="4"/>
    </row>
    <row r="19918" spans="5:25">
      <c r="E19918"/>
      <c r="G19918"/>
      <c r="H19918"/>
      <c r="I19918"/>
      <c r="K19918"/>
      <c r="O19918"/>
      <c r="R19918"/>
      <c r="W19918" s="4"/>
      <c r="X19918" s="4"/>
      <c r="Y19918" s="4"/>
    </row>
    <row r="19919" spans="5:25">
      <c r="E19919"/>
      <c r="G19919"/>
      <c r="H19919"/>
      <c r="I19919"/>
      <c r="K19919"/>
      <c r="O19919"/>
      <c r="R19919"/>
      <c r="W19919" s="4"/>
      <c r="X19919" s="4"/>
      <c r="Y19919" s="4"/>
    </row>
    <row r="19920" spans="5:25">
      <c r="E19920"/>
      <c r="G19920"/>
      <c r="H19920"/>
      <c r="I19920"/>
      <c r="K19920"/>
      <c r="O19920"/>
      <c r="R19920"/>
      <c r="W19920" s="4"/>
      <c r="X19920" s="4"/>
      <c r="Y19920" s="4"/>
    </row>
    <row r="19921" spans="5:25">
      <c r="E19921"/>
      <c r="G19921"/>
      <c r="H19921"/>
      <c r="I19921"/>
      <c r="K19921"/>
      <c r="O19921"/>
      <c r="R19921"/>
      <c r="W19921" s="4"/>
      <c r="X19921" s="4"/>
      <c r="Y19921" s="4"/>
    </row>
    <row r="19922" spans="5:25">
      <c r="E19922"/>
      <c r="G19922"/>
      <c r="H19922"/>
      <c r="I19922"/>
      <c r="K19922"/>
      <c r="O19922"/>
      <c r="R19922"/>
      <c r="W19922" s="4"/>
      <c r="X19922" s="4"/>
      <c r="Y19922" s="4"/>
    </row>
    <row r="19923" spans="5:25">
      <c r="E19923"/>
      <c r="G19923"/>
      <c r="H19923"/>
      <c r="I19923"/>
      <c r="K19923"/>
      <c r="O19923"/>
      <c r="R19923"/>
      <c r="W19923" s="4"/>
      <c r="X19923" s="4"/>
      <c r="Y19923" s="4"/>
    </row>
    <row r="19924" spans="5:25">
      <c r="E19924"/>
      <c r="G19924"/>
      <c r="H19924"/>
      <c r="I19924"/>
      <c r="K19924"/>
      <c r="O19924"/>
      <c r="R19924"/>
      <c r="W19924" s="4"/>
      <c r="X19924" s="4"/>
      <c r="Y19924" s="4"/>
    </row>
    <row r="19925" spans="5:25">
      <c r="E19925"/>
      <c r="G19925"/>
      <c r="H19925"/>
      <c r="I19925"/>
      <c r="K19925"/>
      <c r="O19925"/>
      <c r="R19925"/>
      <c r="W19925" s="4"/>
      <c r="X19925" s="4"/>
      <c r="Y19925" s="4"/>
    </row>
    <row r="19926" spans="5:25">
      <c r="E19926"/>
      <c r="G19926"/>
      <c r="H19926"/>
      <c r="I19926"/>
      <c r="K19926"/>
      <c r="O19926"/>
      <c r="R19926"/>
      <c r="W19926" s="4"/>
      <c r="X19926" s="4"/>
      <c r="Y19926" s="4"/>
    </row>
    <row r="19927" spans="5:25">
      <c r="E19927"/>
      <c r="G19927"/>
      <c r="H19927"/>
      <c r="I19927"/>
      <c r="K19927"/>
      <c r="O19927"/>
      <c r="R19927"/>
      <c r="W19927" s="4"/>
      <c r="X19927" s="4"/>
      <c r="Y19927" s="4"/>
    </row>
    <row r="19928" spans="5:25">
      <c r="E19928"/>
      <c r="G19928"/>
      <c r="H19928"/>
      <c r="I19928"/>
      <c r="K19928"/>
      <c r="O19928"/>
      <c r="R19928"/>
      <c r="W19928" s="4"/>
      <c r="X19928" s="4"/>
      <c r="Y19928" s="4"/>
    </row>
    <row r="19929" spans="5:25">
      <c r="E19929"/>
      <c r="G19929"/>
      <c r="H19929"/>
      <c r="I19929"/>
      <c r="K19929"/>
      <c r="O19929"/>
      <c r="R19929"/>
      <c r="W19929" s="4"/>
      <c r="X19929" s="4"/>
      <c r="Y19929" s="4"/>
    </row>
    <row r="19930" spans="5:25">
      <c r="E19930"/>
      <c r="G19930"/>
      <c r="H19930"/>
      <c r="I19930"/>
      <c r="K19930"/>
      <c r="O19930"/>
      <c r="R19930"/>
      <c r="W19930" s="4"/>
      <c r="X19930" s="4"/>
      <c r="Y19930" s="4"/>
    </row>
    <row r="19931" spans="5:25">
      <c r="E19931"/>
      <c r="G19931"/>
      <c r="H19931"/>
      <c r="I19931"/>
      <c r="K19931"/>
      <c r="O19931"/>
      <c r="R19931"/>
      <c r="W19931" s="4"/>
      <c r="X19931" s="4"/>
      <c r="Y19931" s="4"/>
    </row>
    <row r="19932" spans="5:25">
      <c r="E19932"/>
      <c r="G19932"/>
      <c r="H19932"/>
      <c r="I19932"/>
      <c r="K19932"/>
      <c r="O19932"/>
      <c r="R19932"/>
      <c r="W19932" s="4"/>
      <c r="X19932" s="4"/>
      <c r="Y19932" s="4"/>
    </row>
    <row r="19933" spans="5:25">
      <c r="E19933"/>
      <c r="G19933"/>
      <c r="H19933"/>
      <c r="I19933"/>
      <c r="K19933"/>
      <c r="O19933"/>
      <c r="R19933"/>
      <c r="W19933" s="4"/>
      <c r="X19933" s="4"/>
      <c r="Y19933" s="4"/>
    </row>
    <row r="19934" spans="5:25">
      <c r="E19934"/>
      <c r="G19934"/>
      <c r="H19934"/>
      <c r="I19934"/>
      <c r="K19934"/>
      <c r="O19934"/>
      <c r="R19934"/>
      <c r="W19934" s="4"/>
      <c r="X19934" s="4"/>
      <c r="Y19934" s="4"/>
    </row>
    <row r="19935" spans="5:25">
      <c r="E19935"/>
      <c r="G19935"/>
      <c r="H19935"/>
      <c r="I19935"/>
      <c r="K19935"/>
      <c r="O19935"/>
      <c r="R19935"/>
      <c r="W19935" s="4"/>
      <c r="X19935" s="4"/>
      <c r="Y19935" s="4"/>
    </row>
    <row r="19936" spans="5:25">
      <c r="E19936"/>
      <c r="G19936"/>
      <c r="H19936"/>
      <c r="I19936"/>
      <c r="K19936"/>
      <c r="O19936"/>
      <c r="R19936"/>
      <c r="W19936" s="4"/>
      <c r="X19936" s="4"/>
      <c r="Y19936" s="4"/>
    </row>
    <row r="19937" spans="5:25">
      <c r="E19937"/>
      <c r="G19937"/>
      <c r="H19937"/>
      <c r="I19937"/>
      <c r="K19937"/>
      <c r="O19937"/>
      <c r="R19937"/>
      <c r="W19937" s="4"/>
      <c r="X19937" s="4"/>
      <c r="Y19937" s="4"/>
    </row>
    <row r="19938" spans="5:25">
      <c r="E19938"/>
      <c r="G19938"/>
      <c r="H19938"/>
      <c r="I19938"/>
      <c r="K19938"/>
      <c r="O19938"/>
      <c r="R19938"/>
      <c r="W19938" s="4"/>
      <c r="X19938" s="4"/>
      <c r="Y19938" s="4"/>
    </row>
    <row r="19939" spans="5:25">
      <c r="E19939"/>
      <c r="G19939"/>
      <c r="H19939"/>
      <c r="I19939"/>
      <c r="K19939"/>
      <c r="O19939"/>
      <c r="R19939"/>
      <c r="W19939" s="4"/>
      <c r="X19939" s="4"/>
      <c r="Y19939" s="4"/>
    </row>
    <row r="19940" spans="5:25">
      <c r="E19940"/>
      <c r="G19940"/>
      <c r="H19940"/>
      <c r="I19940"/>
      <c r="K19940"/>
      <c r="O19940"/>
      <c r="R19940"/>
      <c r="W19940" s="4"/>
      <c r="X19940" s="4"/>
      <c r="Y19940" s="4"/>
    </row>
    <row r="19941" spans="5:25">
      <c r="E19941"/>
      <c r="G19941"/>
      <c r="H19941"/>
      <c r="I19941"/>
      <c r="K19941"/>
      <c r="O19941"/>
      <c r="R19941"/>
      <c r="W19941" s="4"/>
      <c r="X19941" s="4"/>
      <c r="Y19941" s="4"/>
    </row>
    <row r="19942" spans="5:25">
      <c r="E19942"/>
      <c r="G19942"/>
      <c r="H19942"/>
      <c r="I19942"/>
      <c r="K19942"/>
      <c r="O19942"/>
      <c r="R19942"/>
      <c r="W19942" s="4"/>
      <c r="X19942" s="4"/>
      <c r="Y19942" s="4"/>
    </row>
    <row r="19943" spans="5:25">
      <c r="E19943"/>
      <c r="G19943"/>
      <c r="H19943"/>
      <c r="I19943"/>
      <c r="K19943"/>
      <c r="O19943"/>
      <c r="R19943"/>
      <c r="W19943" s="4"/>
      <c r="X19943" s="4"/>
      <c r="Y19943" s="4"/>
    </row>
    <row r="19944" spans="5:25">
      <c r="E19944"/>
      <c r="G19944"/>
      <c r="H19944"/>
      <c r="I19944"/>
      <c r="K19944"/>
      <c r="O19944"/>
      <c r="R19944"/>
      <c r="W19944" s="4"/>
      <c r="X19944" s="4"/>
      <c r="Y19944" s="4"/>
    </row>
    <row r="19945" spans="5:25">
      <c r="E19945"/>
      <c r="G19945"/>
      <c r="H19945"/>
      <c r="I19945"/>
      <c r="K19945"/>
      <c r="O19945"/>
      <c r="R19945"/>
      <c r="W19945" s="4"/>
      <c r="X19945" s="4"/>
      <c r="Y19945" s="4"/>
    </row>
    <row r="19946" spans="5:25">
      <c r="E19946"/>
      <c r="G19946"/>
      <c r="H19946"/>
      <c r="I19946"/>
      <c r="K19946"/>
      <c r="O19946"/>
      <c r="R19946"/>
      <c r="W19946" s="4"/>
      <c r="X19946" s="4"/>
      <c r="Y19946" s="4"/>
    </row>
    <row r="19947" spans="5:25">
      <c r="E19947"/>
      <c r="G19947"/>
      <c r="H19947"/>
      <c r="I19947"/>
      <c r="K19947"/>
      <c r="O19947"/>
      <c r="R19947"/>
      <c r="W19947" s="4"/>
      <c r="X19947" s="4"/>
      <c r="Y19947" s="4"/>
    </row>
    <row r="19948" spans="5:25">
      <c r="E19948"/>
      <c r="G19948"/>
      <c r="H19948"/>
      <c r="I19948"/>
      <c r="K19948"/>
      <c r="O19948"/>
      <c r="R19948"/>
      <c r="W19948" s="4"/>
      <c r="X19948" s="4"/>
      <c r="Y19948" s="4"/>
    </row>
    <row r="19949" spans="5:25">
      <c r="E19949"/>
      <c r="G19949"/>
      <c r="H19949"/>
      <c r="I19949"/>
      <c r="K19949"/>
      <c r="O19949"/>
      <c r="R19949"/>
      <c r="W19949" s="4"/>
      <c r="X19949" s="4"/>
      <c r="Y19949" s="4"/>
    </row>
    <row r="19950" spans="5:25">
      <c r="E19950"/>
      <c r="G19950"/>
      <c r="H19950"/>
      <c r="I19950"/>
      <c r="K19950"/>
      <c r="O19950"/>
      <c r="R19950"/>
      <c r="W19950" s="4"/>
      <c r="X19950" s="4"/>
      <c r="Y19950" s="4"/>
    </row>
    <row r="19951" spans="5:25">
      <c r="E19951"/>
      <c r="G19951"/>
      <c r="H19951"/>
      <c r="I19951"/>
      <c r="K19951"/>
      <c r="O19951"/>
      <c r="R19951"/>
      <c r="W19951" s="4"/>
      <c r="X19951" s="4"/>
      <c r="Y19951" s="4"/>
    </row>
    <row r="19952" spans="5:25">
      <c r="E19952"/>
      <c r="G19952"/>
      <c r="H19952"/>
      <c r="I19952"/>
      <c r="K19952"/>
      <c r="O19952"/>
      <c r="R19952"/>
      <c r="W19952" s="4"/>
      <c r="X19952" s="4"/>
      <c r="Y19952" s="4"/>
    </row>
    <row r="19953" spans="5:25">
      <c r="E19953"/>
      <c r="G19953"/>
      <c r="H19953"/>
      <c r="I19953"/>
      <c r="K19953"/>
      <c r="O19953"/>
      <c r="R19953"/>
      <c r="W19953" s="4"/>
      <c r="X19953" s="4"/>
      <c r="Y19953" s="4"/>
    </row>
    <row r="19954" spans="5:25">
      <c r="E19954"/>
      <c r="G19954"/>
      <c r="H19954"/>
      <c r="I19954"/>
      <c r="K19954"/>
      <c r="O19954"/>
      <c r="R19954"/>
      <c r="W19954" s="4"/>
      <c r="X19954" s="4"/>
      <c r="Y19954" s="4"/>
    </row>
    <row r="19955" spans="5:25">
      <c r="E19955"/>
      <c r="G19955"/>
      <c r="H19955"/>
      <c r="I19955"/>
      <c r="K19955"/>
      <c r="O19955"/>
      <c r="R19955"/>
      <c r="W19955" s="4"/>
      <c r="X19955" s="4"/>
      <c r="Y19955" s="4"/>
    </row>
    <row r="19956" spans="5:25">
      <c r="E19956"/>
      <c r="G19956"/>
      <c r="H19956"/>
      <c r="I19956"/>
      <c r="K19956"/>
      <c r="O19956"/>
      <c r="R19956"/>
      <c r="W19956" s="4"/>
      <c r="X19956" s="4"/>
      <c r="Y19956" s="4"/>
    </row>
    <row r="19957" spans="5:25">
      <c r="E19957"/>
      <c r="G19957"/>
      <c r="H19957"/>
      <c r="I19957"/>
      <c r="K19957"/>
      <c r="O19957"/>
      <c r="R19957"/>
      <c r="W19957" s="4"/>
      <c r="X19957" s="4"/>
      <c r="Y19957" s="4"/>
    </row>
    <row r="19958" spans="5:25">
      <c r="E19958"/>
      <c r="G19958"/>
      <c r="H19958"/>
      <c r="I19958"/>
      <c r="K19958"/>
      <c r="O19958"/>
      <c r="R19958"/>
      <c r="W19958" s="4"/>
      <c r="X19958" s="4"/>
      <c r="Y19958" s="4"/>
    </row>
    <row r="19959" spans="5:25">
      <c r="E19959"/>
      <c r="G19959"/>
      <c r="H19959"/>
      <c r="I19959"/>
      <c r="K19959"/>
      <c r="O19959"/>
      <c r="R19959"/>
      <c r="W19959" s="4"/>
      <c r="X19959" s="4"/>
      <c r="Y19959" s="4"/>
    </row>
    <row r="19960" spans="5:25">
      <c r="E19960"/>
      <c r="G19960"/>
      <c r="H19960"/>
      <c r="I19960"/>
      <c r="K19960"/>
      <c r="O19960"/>
      <c r="R19960"/>
      <c r="W19960" s="4"/>
      <c r="X19960" s="4"/>
      <c r="Y19960" s="4"/>
    </row>
    <row r="19961" spans="5:25">
      <c r="E19961"/>
      <c r="G19961"/>
      <c r="H19961"/>
      <c r="I19961"/>
      <c r="K19961"/>
      <c r="O19961"/>
      <c r="R19961"/>
      <c r="W19961" s="4"/>
      <c r="X19961" s="4"/>
      <c r="Y19961" s="4"/>
    </row>
    <row r="19962" spans="5:25">
      <c r="E19962"/>
      <c r="G19962"/>
      <c r="H19962"/>
      <c r="I19962"/>
      <c r="K19962"/>
      <c r="O19962"/>
      <c r="R19962"/>
      <c r="W19962" s="4"/>
      <c r="X19962" s="4"/>
      <c r="Y19962" s="4"/>
    </row>
    <row r="19963" spans="5:25">
      <c r="E19963"/>
      <c r="G19963"/>
      <c r="H19963"/>
      <c r="I19963"/>
      <c r="K19963"/>
      <c r="O19963"/>
      <c r="R19963"/>
      <c r="W19963" s="4"/>
      <c r="X19963" s="4"/>
      <c r="Y19963" s="4"/>
    </row>
    <row r="19964" spans="5:25">
      <c r="E19964"/>
      <c r="G19964"/>
      <c r="H19964"/>
      <c r="I19964"/>
      <c r="K19964"/>
      <c r="O19964"/>
      <c r="R19964"/>
      <c r="W19964" s="4"/>
      <c r="X19964" s="4"/>
      <c r="Y19964" s="4"/>
    </row>
    <row r="19965" spans="5:25">
      <c r="E19965"/>
      <c r="G19965"/>
      <c r="H19965"/>
      <c r="I19965"/>
      <c r="K19965"/>
      <c r="O19965"/>
      <c r="R19965"/>
      <c r="W19965" s="4"/>
      <c r="X19965" s="4"/>
      <c r="Y19965" s="4"/>
    </row>
    <row r="19966" spans="5:25">
      <c r="E19966"/>
      <c r="G19966"/>
      <c r="H19966"/>
      <c r="I19966"/>
      <c r="K19966"/>
      <c r="O19966"/>
      <c r="R19966"/>
      <c r="W19966" s="4"/>
      <c r="X19966" s="4"/>
      <c r="Y19966" s="4"/>
    </row>
    <row r="19967" spans="5:25">
      <c r="E19967"/>
      <c r="G19967"/>
      <c r="H19967"/>
      <c r="I19967"/>
      <c r="K19967"/>
      <c r="O19967"/>
      <c r="R19967"/>
      <c r="W19967" s="4"/>
      <c r="X19967" s="4"/>
      <c r="Y19967" s="4"/>
    </row>
    <row r="19968" spans="5:25">
      <c r="E19968"/>
      <c r="G19968"/>
      <c r="H19968"/>
      <c r="I19968"/>
      <c r="K19968"/>
      <c r="O19968"/>
      <c r="R19968"/>
      <c r="W19968" s="4"/>
      <c r="X19968" s="4"/>
      <c r="Y19968" s="4"/>
    </row>
    <row r="19969" spans="5:25">
      <c r="E19969"/>
      <c r="G19969"/>
      <c r="H19969"/>
      <c r="I19969"/>
      <c r="K19969"/>
      <c r="O19969"/>
      <c r="R19969"/>
      <c r="W19969" s="4"/>
      <c r="X19969" s="4"/>
      <c r="Y19969" s="4"/>
    </row>
    <row r="19970" spans="5:25">
      <c r="E19970"/>
      <c r="G19970"/>
      <c r="H19970"/>
      <c r="I19970"/>
      <c r="K19970"/>
      <c r="O19970"/>
      <c r="R19970"/>
      <c r="W19970" s="4"/>
      <c r="X19970" s="4"/>
      <c r="Y19970" s="4"/>
    </row>
    <row r="19971" spans="5:25">
      <c r="E19971"/>
      <c r="G19971"/>
      <c r="H19971"/>
      <c r="I19971"/>
      <c r="K19971"/>
      <c r="O19971"/>
      <c r="R19971"/>
      <c r="W19971" s="4"/>
      <c r="X19971" s="4"/>
      <c r="Y19971" s="4"/>
    </row>
    <row r="19972" spans="5:25">
      <c r="E19972"/>
      <c r="G19972"/>
      <c r="H19972"/>
      <c r="I19972"/>
      <c r="K19972"/>
      <c r="O19972"/>
      <c r="R19972"/>
      <c r="W19972" s="4"/>
      <c r="X19972" s="4"/>
      <c r="Y19972" s="4"/>
    </row>
    <row r="19973" spans="5:25">
      <c r="E19973"/>
      <c r="G19973"/>
      <c r="H19973"/>
      <c r="I19973"/>
      <c r="K19973"/>
      <c r="O19973"/>
      <c r="R19973"/>
      <c r="W19973" s="4"/>
      <c r="X19973" s="4"/>
      <c r="Y19973" s="4"/>
    </row>
    <row r="19974" spans="5:25">
      <c r="E19974"/>
      <c r="G19974"/>
      <c r="H19974"/>
      <c r="I19974"/>
      <c r="K19974"/>
      <c r="O19974"/>
      <c r="R19974"/>
      <c r="W19974" s="4"/>
      <c r="X19974" s="4"/>
      <c r="Y19974" s="4"/>
    </row>
    <row r="19975" spans="5:25">
      <c r="E19975"/>
      <c r="G19975"/>
      <c r="H19975"/>
      <c r="I19975"/>
      <c r="K19975"/>
      <c r="O19975"/>
      <c r="R19975"/>
      <c r="W19975" s="4"/>
      <c r="X19975" s="4"/>
      <c r="Y19975" s="4"/>
    </row>
    <row r="19976" spans="5:25">
      <c r="E19976"/>
      <c r="G19976"/>
      <c r="H19976"/>
      <c r="I19976"/>
      <c r="K19976"/>
      <c r="O19976"/>
      <c r="R19976"/>
      <c r="W19976" s="4"/>
      <c r="X19976" s="4"/>
      <c r="Y19976" s="4"/>
    </row>
    <row r="19977" spans="5:25">
      <c r="E19977"/>
      <c r="G19977"/>
      <c r="H19977"/>
      <c r="I19977"/>
      <c r="K19977"/>
      <c r="O19977"/>
      <c r="R19977"/>
      <c r="W19977" s="4"/>
      <c r="X19977" s="4"/>
      <c r="Y19977" s="4"/>
    </row>
    <row r="19978" spans="5:25">
      <c r="E19978"/>
      <c r="G19978"/>
      <c r="H19978"/>
      <c r="I19978"/>
      <c r="K19978"/>
      <c r="O19978"/>
      <c r="R19978"/>
      <c r="W19978" s="4"/>
      <c r="X19978" s="4"/>
      <c r="Y19978" s="4"/>
    </row>
    <row r="19979" spans="5:25">
      <c r="E19979"/>
      <c r="G19979"/>
      <c r="H19979"/>
      <c r="I19979"/>
      <c r="K19979"/>
      <c r="O19979"/>
      <c r="R19979"/>
      <c r="W19979" s="4"/>
      <c r="X19979" s="4"/>
      <c r="Y19979" s="4"/>
    </row>
    <row r="19980" spans="5:25">
      <c r="E19980"/>
      <c r="G19980"/>
      <c r="H19980"/>
      <c r="I19980"/>
      <c r="K19980"/>
      <c r="O19980"/>
      <c r="R19980"/>
      <c r="W19980" s="4"/>
      <c r="X19980" s="4"/>
      <c r="Y19980" s="4"/>
    </row>
    <row r="19981" spans="5:25">
      <c r="E19981"/>
      <c r="G19981"/>
      <c r="H19981"/>
      <c r="I19981"/>
      <c r="K19981"/>
      <c r="O19981"/>
      <c r="R19981"/>
      <c r="W19981" s="4"/>
      <c r="X19981" s="4"/>
      <c r="Y19981" s="4"/>
    </row>
    <row r="19982" spans="5:25">
      <c r="E19982"/>
      <c r="G19982"/>
      <c r="H19982"/>
      <c r="I19982"/>
      <c r="K19982"/>
      <c r="O19982"/>
      <c r="R19982"/>
      <c r="W19982" s="4"/>
      <c r="X19982" s="4"/>
      <c r="Y19982" s="4"/>
    </row>
    <row r="19983" spans="5:25">
      <c r="E19983"/>
      <c r="G19983"/>
      <c r="H19983"/>
      <c r="I19983"/>
      <c r="K19983"/>
      <c r="O19983"/>
      <c r="R19983"/>
      <c r="W19983" s="4"/>
      <c r="X19983" s="4"/>
      <c r="Y19983" s="4"/>
    </row>
    <row r="19984" spans="5:25">
      <c r="E19984"/>
      <c r="G19984"/>
      <c r="H19984"/>
      <c r="I19984"/>
      <c r="K19984"/>
      <c r="O19984"/>
      <c r="R19984"/>
      <c r="W19984" s="4"/>
      <c r="X19984" s="4"/>
      <c r="Y19984" s="4"/>
    </row>
    <row r="19985" spans="5:25">
      <c r="E19985"/>
      <c r="G19985"/>
      <c r="H19985"/>
      <c r="I19985"/>
      <c r="K19985"/>
      <c r="O19985"/>
      <c r="R19985"/>
      <c r="W19985" s="4"/>
      <c r="X19985" s="4"/>
      <c r="Y19985" s="4"/>
    </row>
    <row r="19986" spans="5:25">
      <c r="E19986"/>
      <c r="G19986"/>
      <c r="H19986"/>
      <c r="I19986"/>
      <c r="K19986"/>
      <c r="O19986"/>
      <c r="R19986"/>
      <c r="W19986" s="4"/>
      <c r="X19986" s="4"/>
      <c r="Y19986" s="4"/>
    </row>
    <row r="19987" spans="5:25">
      <c r="E19987"/>
      <c r="G19987"/>
      <c r="H19987"/>
      <c r="I19987"/>
      <c r="K19987"/>
      <c r="O19987"/>
      <c r="R19987"/>
      <c r="W19987" s="4"/>
      <c r="X19987" s="4"/>
      <c r="Y19987" s="4"/>
    </row>
    <row r="19988" spans="5:25">
      <c r="E19988"/>
      <c r="G19988"/>
      <c r="H19988"/>
      <c r="I19988"/>
      <c r="K19988"/>
      <c r="O19988"/>
      <c r="R19988"/>
      <c r="W19988" s="4"/>
      <c r="X19988" s="4"/>
      <c r="Y19988" s="4"/>
    </row>
    <row r="19989" spans="5:25">
      <c r="E19989"/>
      <c r="G19989"/>
      <c r="H19989"/>
      <c r="I19989"/>
      <c r="K19989"/>
      <c r="O19989"/>
      <c r="R19989"/>
      <c r="W19989" s="4"/>
      <c r="X19989" s="4"/>
      <c r="Y19989" s="4"/>
    </row>
    <row r="19990" spans="5:25">
      <c r="E19990"/>
      <c r="G19990"/>
      <c r="H19990"/>
      <c r="I19990"/>
      <c r="K19990"/>
      <c r="O19990"/>
      <c r="R19990"/>
      <c r="W19990" s="4"/>
      <c r="X19990" s="4"/>
      <c r="Y19990" s="4"/>
    </row>
    <row r="19991" spans="5:25">
      <c r="E19991"/>
      <c r="G19991"/>
      <c r="H19991"/>
      <c r="I19991"/>
      <c r="K19991"/>
      <c r="O19991"/>
      <c r="R19991"/>
      <c r="W19991" s="4"/>
      <c r="X19991" s="4"/>
      <c r="Y19991" s="4"/>
    </row>
    <row r="19992" spans="5:25">
      <c r="E19992"/>
      <c r="G19992"/>
      <c r="H19992"/>
      <c r="I19992"/>
      <c r="K19992"/>
      <c r="O19992"/>
      <c r="R19992"/>
      <c r="W19992" s="4"/>
      <c r="X19992" s="4"/>
      <c r="Y19992" s="4"/>
    </row>
    <row r="19993" spans="5:25">
      <c r="E19993"/>
      <c r="G19993"/>
      <c r="H19993"/>
      <c r="I19993"/>
      <c r="K19993"/>
      <c r="O19993"/>
      <c r="R19993"/>
      <c r="W19993" s="4"/>
      <c r="X19993" s="4"/>
      <c r="Y19993" s="4"/>
    </row>
    <row r="19994" spans="5:25">
      <c r="E19994"/>
      <c r="G19994"/>
      <c r="H19994"/>
      <c r="I19994"/>
      <c r="K19994"/>
      <c r="O19994"/>
      <c r="R19994"/>
      <c r="W19994" s="4"/>
      <c r="X19994" s="4"/>
      <c r="Y19994" s="4"/>
    </row>
    <row r="19995" spans="5:25">
      <c r="E19995"/>
      <c r="G19995"/>
      <c r="H19995"/>
      <c r="I19995"/>
      <c r="K19995"/>
      <c r="O19995"/>
      <c r="R19995"/>
      <c r="W19995" s="4"/>
      <c r="X19995" s="4"/>
      <c r="Y19995" s="4"/>
    </row>
    <row r="19996" spans="5:25">
      <c r="E19996"/>
      <c r="G19996"/>
      <c r="H19996"/>
      <c r="I19996"/>
      <c r="K19996"/>
      <c r="O19996"/>
      <c r="R19996"/>
      <c r="W19996" s="4"/>
      <c r="X19996" s="4"/>
      <c r="Y19996" s="4"/>
    </row>
    <row r="19997" spans="5:25">
      <c r="E19997"/>
      <c r="G19997"/>
      <c r="H19997"/>
      <c r="I19997"/>
      <c r="K19997"/>
      <c r="O19997"/>
      <c r="R19997"/>
      <c r="W19997" s="4"/>
      <c r="X19997" s="4"/>
      <c r="Y19997" s="4"/>
    </row>
    <row r="19998" spans="5:25">
      <c r="E19998"/>
      <c r="G19998"/>
      <c r="H19998"/>
      <c r="I19998"/>
      <c r="K19998"/>
      <c r="O19998"/>
      <c r="R19998"/>
      <c r="W19998" s="4"/>
      <c r="X19998" s="4"/>
      <c r="Y19998" s="4"/>
    </row>
    <row r="19999" spans="5:25">
      <c r="E19999"/>
      <c r="G19999"/>
      <c r="H19999"/>
      <c r="I19999"/>
      <c r="K19999"/>
      <c r="O19999"/>
      <c r="R19999"/>
      <c r="W19999" s="4"/>
      <c r="X19999" s="4"/>
      <c r="Y19999" s="4"/>
    </row>
    <row r="20000" spans="5:25">
      <c r="E20000"/>
      <c r="G20000"/>
      <c r="H20000"/>
      <c r="I20000"/>
      <c r="K20000"/>
      <c r="O20000"/>
      <c r="R20000"/>
      <c r="W20000" s="4"/>
      <c r="X20000" s="4"/>
      <c r="Y20000" s="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L2000"/>
  <sheetViews>
    <sheetView topLeftCell="A103" zoomScale="70" zoomScaleNormal="70" workbookViewId="0">
      <selection activeCell="A2" sqref="A2:L130"/>
    </sheetView>
  </sheetViews>
  <sheetFormatPr defaultRowHeight="15"/>
  <cols>
    <col min="1" max="1" width="7.28515625" style="100" bestFit="1" customWidth="1"/>
    <col min="2" max="2" width="59.7109375" style="100" bestFit="1" customWidth="1"/>
    <col min="3" max="3" width="59.140625" style="100" bestFit="1" customWidth="1"/>
    <col min="4" max="5" width="28.5703125" style="100" bestFit="1" customWidth="1"/>
    <col min="6" max="6" width="25" style="100" bestFit="1" customWidth="1"/>
    <col min="7" max="7" width="20.140625" style="100" bestFit="1" customWidth="1"/>
    <col min="8" max="8" width="36" style="100" bestFit="1" customWidth="1"/>
    <col min="9" max="9" width="22.5703125" style="100" bestFit="1" customWidth="1"/>
    <col min="10" max="10" width="35.42578125" style="100" bestFit="1" customWidth="1"/>
    <col min="11" max="11" width="29.140625" style="100" bestFit="1" customWidth="1"/>
    <col min="12" max="12" width="30" style="100" bestFit="1" customWidth="1"/>
  </cols>
  <sheetData>
    <row r="1" spans="1:12" ht="15.75" customHeight="1" thickBot="1">
      <c r="A1" s="101" t="s">
        <v>49</v>
      </c>
      <c r="B1" s="101" t="s">
        <v>50</v>
      </c>
      <c r="C1" s="101" t="s">
        <v>51</v>
      </c>
      <c r="D1" s="101" t="s">
        <v>52</v>
      </c>
      <c r="E1" s="101" t="s">
        <v>53</v>
      </c>
      <c r="F1" s="101" t="s">
        <v>54</v>
      </c>
      <c r="G1" s="101" t="s">
        <v>55</v>
      </c>
      <c r="H1" s="101" t="s">
        <v>56</v>
      </c>
      <c r="I1" s="101" t="s">
        <v>59</v>
      </c>
      <c r="J1" s="101" t="s">
        <v>60</v>
      </c>
      <c r="K1" s="101" t="s">
        <v>57</v>
      </c>
      <c r="L1" s="102" t="s">
        <v>58</v>
      </c>
    </row>
    <row r="2" spans="1:12" ht="15.75" customHeight="1" thickTop="1">
      <c r="A2">
        <v>249</v>
      </c>
      <c r="B2" t="s">
        <v>291</v>
      </c>
      <c r="C2" t="s">
        <v>292</v>
      </c>
      <c r="D2" t="s">
        <v>293</v>
      </c>
      <c r="E2" t="s">
        <v>294</v>
      </c>
      <c r="F2" t="s">
        <v>295</v>
      </c>
      <c r="G2" t="s">
        <v>296</v>
      </c>
      <c r="H2" t="s">
        <v>297</v>
      </c>
      <c r="I2" t="s">
        <v>298</v>
      </c>
      <c r="J2" t="s">
        <v>299</v>
      </c>
      <c r="K2" t="s">
        <v>300</v>
      </c>
      <c r="L2" t="s">
        <v>301</v>
      </c>
    </row>
    <row r="3" spans="1:12" ht="15.75" customHeight="1">
      <c r="A3">
        <v>236</v>
      </c>
      <c r="B3" t="s">
        <v>170</v>
      </c>
      <c r="C3" t="s">
        <v>171</v>
      </c>
      <c r="D3" t="s">
        <v>172</v>
      </c>
      <c r="E3" t="s">
        <v>173</v>
      </c>
      <c r="F3" t="s">
        <v>174</v>
      </c>
      <c r="G3" t="s">
        <v>175</v>
      </c>
      <c r="H3" t="s">
        <v>176</v>
      </c>
      <c r="I3" t="s">
        <v>177</v>
      </c>
      <c r="J3" t="s">
        <v>178</v>
      </c>
      <c r="K3" t="s">
        <v>179</v>
      </c>
      <c r="L3" t="s">
        <v>180</v>
      </c>
    </row>
    <row r="4" spans="1:12" ht="15.75" customHeight="1">
      <c r="A4">
        <v>319</v>
      </c>
      <c r="B4" t="s">
        <v>929</v>
      </c>
      <c r="C4" t="s">
        <v>930</v>
      </c>
      <c r="D4" t="s">
        <v>931</v>
      </c>
      <c r="E4" t="s">
        <v>932</v>
      </c>
      <c r="F4" t="s">
        <v>933</v>
      </c>
      <c r="G4" t="s">
        <v>934</v>
      </c>
      <c r="H4" t="s">
        <v>935</v>
      </c>
      <c r="I4" t="s">
        <v>936</v>
      </c>
      <c r="J4" t="s">
        <v>937</v>
      </c>
      <c r="K4" t="s">
        <v>938</v>
      </c>
      <c r="L4" t="s">
        <v>939</v>
      </c>
    </row>
    <row r="5" spans="1:12" ht="15.75" customHeight="1">
      <c r="A5">
        <v>320</v>
      </c>
      <c r="B5" t="s">
        <v>940</v>
      </c>
      <c r="C5" t="s">
        <v>941</v>
      </c>
      <c r="D5" t="s">
        <v>942</v>
      </c>
      <c r="E5" t="s">
        <v>943</v>
      </c>
      <c r="F5" t="s">
        <v>944</v>
      </c>
      <c r="G5" t="s">
        <v>945</v>
      </c>
      <c r="H5" t="s">
        <v>946</v>
      </c>
      <c r="I5" t="s">
        <v>947</v>
      </c>
      <c r="J5" t="s">
        <v>948</v>
      </c>
      <c r="K5" t="s">
        <v>949</v>
      </c>
      <c r="L5" t="s">
        <v>950</v>
      </c>
    </row>
    <row r="6" spans="1:12" ht="15.75" customHeight="1">
      <c r="A6">
        <v>227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  <c r="H6" t="s">
        <v>88</v>
      </c>
      <c r="I6" t="s">
        <v>89</v>
      </c>
      <c r="J6" t="s">
        <v>90</v>
      </c>
      <c r="K6" t="s">
        <v>91</v>
      </c>
      <c r="L6" t="s">
        <v>92</v>
      </c>
    </row>
    <row r="7" spans="1:12" ht="15.75" customHeight="1">
      <c r="A7">
        <v>321</v>
      </c>
      <c r="B7" t="s">
        <v>951</v>
      </c>
      <c r="C7" t="s">
        <v>952</v>
      </c>
      <c r="D7" t="s">
        <v>953</v>
      </c>
      <c r="E7" t="s">
        <v>954</v>
      </c>
      <c r="F7" t="s">
        <v>955</v>
      </c>
      <c r="G7" t="s">
        <v>956</v>
      </c>
      <c r="H7" t="s">
        <v>957</v>
      </c>
      <c r="I7" t="s">
        <v>958</v>
      </c>
      <c r="J7" t="s">
        <v>959</v>
      </c>
      <c r="K7" t="s">
        <v>960</v>
      </c>
      <c r="L7" t="s">
        <v>961</v>
      </c>
    </row>
    <row r="8" spans="1:12" ht="15.75" customHeight="1">
      <c r="A8">
        <v>368</v>
      </c>
      <c r="B8" t="s">
        <v>1424</v>
      </c>
      <c r="C8" t="s">
        <v>1425</v>
      </c>
      <c r="D8" t="s">
        <v>1426</v>
      </c>
      <c r="E8" t="s">
        <v>1427</v>
      </c>
      <c r="F8" t="s">
        <v>1428</v>
      </c>
      <c r="G8" t="s">
        <v>1429</v>
      </c>
      <c r="H8" t="s">
        <v>1430</v>
      </c>
      <c r="I8" t="s">
        <v>1431</v>
      </c>
      <c r="J8" t="s">
        <v>1432</v>
      </c>
      <c r="K8" t="s">
        <v>1433</v>
      </c>
      <c r="L8" t="s">
        <v>1434</v>
      </c>
    </row>
    <row r="9" spans="1:12" ht="15.75" customHeight="1">
      <c r="A9">
        <v>322</v>
      </c>
      <c r="B9" t="s">
        <v>962</v>
      </c>
      <c r="C9" t="s">
        <v>963</v>
      </c>
      <c r="D9" t="s">
        <v>964</v>
      </c>
      <c r="E9" t="s">
        <v>965</v>
      </c>
      <c r="F9" t="s">
        <v>966</v>
      </c>
      <c r="G9" t="s">
        <v>967</v>
      </c>
      <c r="H9" t="s">
        <v>968</v>
      </c>
      <c r="I9" t="s">
        <v>969</v>
      </c>
      <c r="J9" t="s">
        <v>970</v>
      </c>
      <c r="K9" t="s">
        <v>971</v>
      </c>
      <c r="L9" t="s">
        <v>972</v>
      </c>
    </row>
    <row r="10" spans="1:12" ht="15.75" customHeight="1">
      <c r="A10">
        <v>324</v>
      </c>
      <c r="B10" t="s">
        <v>973</v>
      </c>
      <c r="C10" t="s">
        <v>974</v>
      </c>
      <c r="D10" t="s">
        <v>975</v>
      </c>
      <c r="E10" t="s">
        <v>976</v>
      </c>
      <c r="F10" t="s">
        <v>977</v>
      </c>
      <c r="G10" t="s">
        <v>978</v>
      </c>
      <c r="H10" t="s">
        <v>979</v>
      </c>
      <c r="I10" t="s">
        <v>980</v>
      </c>
      <c r="J10" t="s">
        <v>981</v>
      </c>
      <c r="K10" t="s">
        <v>982</v>
      </c>
      <c r="L10" t="s">
        <v>983</v>
      </c>
    </row>
    <row r="11" spans="1:12" ht="15.75" customHeight="1">
      <c r="A11">
        <v>367</v>
      </c>
      <c r="B11" t="s">
        <v>1413</v>
      </c>
      <c r="C11" t="s">
        <v>1414</v>
      </c>
      <c r="D11" t="s">
        <v>1415</v>
      </c>
      <c r="E11" t="s">
        <v>1416</v>
      </c>
      <c r="F11" t="s">
        <v>1417</v>
      </c>
      <c r="G11" t="s">
        <v>1418</v>
      </c>
      <c r="H11" t="s">
        <v>1419</v>
      </c>
      <c r="I11" t="s">
        <v>1420</v>
      </c>
      <c r="J11" t="s">
        <v>1421</v>
      </c>
      <c r="K11" t="s">
        <v>1422</v>
      </c>
      <c r="L11" t="s">
        <v>1423</v>
      </c>
    </row>
    <row r="12" spans="1:12" ht="15.75" customHeight="1">
      <c r="A12">
        <v>363</v>
      </c>
      <c r="B12" t="s">
        <v>1369</v>
      </c>
      <c r="C12" t="s">
        <v>1370</v>
      </c>
      <c r="D12" t="s">
        <v>1371</v>
      </c>
      <c r="E12" t="s">
        <v>1372</v>
      </c>
      <c r="F12" t="s">
        <v>1373</v>
      </c>
      <c r="G12" t="s">
        <v>1374</v>
      </c>
      <c r="H12" t="s">
        <v>1375</v>
      </c>
      <c r="I12" t="s">
        <v>1376</v>
      </c>
      <c r="J12" t="s">
        <v>1377</v>
      </c>
      <c r="K12" t="s">
        <v>1378</v>
      </c>
      <c r="L12" t="s">
        <v>1379</v>
      </c>
    </row>
    <row r="13" spans="1:12" ht="15.75" customHeight="1">
      <c r="A13">
        <v>327</v>
      </c>
      <c r="B13" t="s">
        <v>984</v>
      </c>
      <c r="C13" t="s">
        <v>985</v>
      </c>
      <c r="D13" t="s">
        <v>986</v>
      </c>
      <c r="E13" t="s">
        <v>987</v>
      </c>
      <c r="F13" t="s">
        <v>988</v>
      </c>
      <c r="G13" t="s">
        <v>989</v>
      </c>
      <c r="H13" t="s">
        <v>990</v>
      </c>
      <c r="I13" t="s">
        <v>991</v>
      </c>
      <c r="J13" t="s">
        <v>992</v>
      </c>
      <c r="K13" t="s">
        <v>993</v>
      </c>
      <c r="L13" t="s">
        <v>994</v>
      </c>
    </row>
    <row r="14" spans="1:12" ht="15.75" customHeight="1">
      <c r="A14">
        <v>237</v>
      </c>
      <c r="B14" t="s">
        <v>181</v>
      </c>
      <c r="C14" t="s">
        <v>182</v>
      </c>
      <c r="D14" t="s">
        <v>183</v>
      </c>
      <c r="E14" t="s">
        <v>184</v>
      </c>
      <c r="F14" t="s">
        <v>185</v>
      </c>
      <c r="G14" t="s">
        <v>186</v>
      </c>
      <c r="H14" t="s">
        <v>187</v>
      </c>
      <c r="I14" t="s">
        <v>188</v>
      </c>
      <c r="J14" t="s">
        <v>189</v>
      </c>
      <c r="K14" t="s">
        <v>190</v>
      </c>
      <c r="L14" t="s">
        <v>191</v>
      </c>
    </row>
    <row r="15" spans="1:12" ht="15.75" customHeight="1">
      <c r="A15">
        <v>328</v>
      </c>
      <c r="B15" t="s">
        <v>995</v>
      </c>
      <c r="C15" t="s">
        <v>996</v>
      </c>
      <c r="D15" t="s">
        <v>997</v>
      </c>
      <c r="E15" t="s">
        <v>998</v>
      </c>
      <c r="F15" t="s">
        <v>999</v>
      </c>
      <c r="G15" t="s">
        <v>1000</v>
      </c>
      <c r="H15" t="s">
        <v>1001</v>
      </c>
      <c r="I15" t="s">
        <v>1002</v>
      </c>
      <c r="J15" t="s">
        <v>1003</v>
      </c>
      <c r="K15" t="s">
        <v>1004</v>
      </c>
      <c r="L15" t="s">
        <v>1005</v>
      </c>
    </row>
    <row r="16" spans="1:12" ht="15.75" customHeight="1">
      <c r="A16">
        <v>366</v>
      </c>
      <c r="B16" t="s">
        <v>1402</v>
      </c>
      <c r="C16" t="s">
        <v>1403</v>
      </c>
      <c r="D16" t="s">
        <v>1404</v>
      </c>
      <c r="E16" t="s">
        <v>1405</v>
      </c>
      <c r="F16" t="s">
        <v>1406</v>
      </c>
      <c r="G16" t="s">
        <v>1407</v>
      </c>
      <c r="H16" t="s">
        <v>1408</v>
      </c>
      <c r="I16" t="s">
        <v>1409</v>
      </c>
      <c r="J16" t="s">
        <v>1410</v>
      </c>
      <c r="K16" t="s">
        <v>1411</v>
      </c>
      <c r="L16" t="s">
        <v>1412</v>
      </c>
    </row>
    <row r="17" spans="1:12" ht="15.75" customHeight="1">
      <c r="A17">
        <v>329</v>
      </c>
      <c r="B17" t="s">
        <v>1006</v>
      </c>
      <c r="C17" t="s">
        <v>1007</v>
      </c>
      <c r="D17" t="s">
        <v>1008</v>
      </c>
      <c r="E17" t="s">
        <v>1009</v>
      </c>
      <c r="F17" t="s">
        <v>1010</v>
      </c>
      <c r="G17" t="s">
        <v>1011</v>
      </c>
      <c r="H17" t="s">
        <v>1012</v>
      </c>
      <c r="I17" t="s">
        <v>1013</v>
      </c>
      <c r="J17" t="s">
        <v>1014</v>
      </c>
      <c r="K17" t="s">
        <v>1015</v>
      </c>
      <c r="L17" t="s">
        <v>1016</v>
      </c>
    </row>
    <row r="18" spans="1:12" ht="15.75" customHeight="1">
      <c r="A18">
        <v>330</v>
      </c>
      <c r="B18" t="s">
        <v>1017</v>
      </c>
      <c r="C18" t="s">
        <v>1018</v>
      </c>
      <c r="D18" t="s">
        <v>1019</v>
      </c>
      <c r="E18" t="s">
        <v>1020</v>
      </c>
      <c r="F18" t="s">
        <v>1021</v>
      </c>
      <c r="G18" t="s">
        <v>1022</v>
      </c>
      <c r="H18" t="s">
        <v>1023</v>
      </c>
      <c r="I18" t="s">
        <v>1024</v>
      </c>
      <c r="J18" t="s">
        <v>1025</v>
      </c>
      <c r="K18" t="s">
        <v>1026</v>
      </c>
      <c r="L18" t="s">
        <v>1027</v>
      </c>
    </row>
    <row r="19" spans="1:12" ht="15.75" customHeight="1">
      <c r="A19">
        <v>331</v>
      </c>
      <c r="B19" t="s">
        <v>1028</v>
      </c>
      <c r="C19" t="s">
        <v>1029</v>
      </c>
      <c r="D19" t="s">
        <v>1030</v>
      </c>
      <c r="E19" t="s">
        <v>1031</v>
      </c>
      <c r="F19" t="s">
        <v>1032</v>
      </c>
      <c r="G19" t="s">
        <v>1033</v>
      </c>
      <c r="H19" t="s">
        <v>1034</v>
      </c>
      <c r="I19" t="s">
        <v>1035</v>
      </c>
      <c r="J19" t="s">
        <v>1036</v>
      </c>
      <c r="K19" t="s">
        <v>1037</v>
      </c>
      <c r="L19" t="s">
        <v>1038</v>
      </c>
    </row>
    <row r="20" spans="1:12" ht="15.75" customHeight="1">
      <c r="A20">
        <v>332</v>
      </c>
      <c r="B20" t="s">
        <v>1039</v>
      </c>
      <c r="C20" t="s">
        <v>1040</v>
      </c>
      <c r="D20" t="s">
        <v>1041</v>
      </c>
      <c r="E20" t="s">
        <v>1042</v>
      </c>
      <c r="F20" t="s">
        <v>1043</v>
      </c>
      <c r="G20" t="s">
        <v>1044</v>
      </c>
      <c r="H20" t="s">
        <v>1045</v>
      </c>
      <c r="I20" t="s">
        <v>1046</v>
      </c>
      <c r="J20" t="s">
        <v>1047</v>
      </c>
      <c r="K20" t="s">
        <v>1048</v>
      </c>
      <c r="L20" t="s">
        <v>1049</v>
      </c>
    </row>
    <row r="21" spans="1:12" ht="15.75" customHeight="1">
      <c r="A21">
        <v>333</v>
      </c>
      <c r="B21" t="s">
        <v>1050</v>
      </c>
      <c r="C21" t="s">
        <v>1051</v>
      </c>
      <c r="D21" t="s">
        <v>1052</v>
      </c>
      <c r="E21" t="s">
        <v>1053</v>
      </c>
      <c r="F21" t="s">
        <v>1054</v>
      </c>
      <c r="G21" t="s">
        <v>1055</v>
      </c>
      <c r="H21" t="s">
        <v>1056</v>
      </c>
      <c r="I21" t="s">
        <v>1057</v>
      </c>
      <c r="J21" t="s">
        <v>1058</v>
      </c>
      <c r="K21" t="s">
        <v>1059</v>
      </c>
      <c r="L21" t="s">
        <v>1060</v>
      </c>
    </row>
    <row r="22" spans="1:12" ht="15.75" customHeight="1">
      <c r="A22">
        <v>335</v>
      </c>
      <c r="B22" t="s">
        <v>1072</v>
      </c>
      <c r="C22" t="s">
        <v>1073</v>
      </c>
      <c r="D22" t="s">
        <v>1074</v>
      </c>
      <c r="E22" t="s">
        <v>1075</v>
      </c>
      <c r="F22" t="s">
        <v>1076</v>
      </c>
      <c r="G22" t="s">
        <v>1077</v>
      </c>
      <c r="H22" t="s">
        <v>1078</v>
      </c>
      <c r="I22" t="s">
        <v>1079</v>
      </c>
      <c r="J22" t="s">
        <v>1080</v>
      </c>
      <c r="K22" t="s">
        <v>1081</v>
      </c>
      <c r="L22" t="s">
        <v>1082</v>
      </c>
    </row>
    <row r="23" spans="1:12" ht="15.75" customHeight="1">
      <c r="A23">
        <v>334</v>
      </c>
      <c r="B23" t="s">
        <v>1061</v>
      </c>
      <c r="C23" t="s">
        <v>1062</v>
      </c>
      <c r="D23" t="s">
        <v>1063</v>
      </c>
      <c r="E23" t="s">
        <v>1064</v>
      </c>
      <c r="F23" t="s">
        <v>1065</v>
      </c>
      <c r="G23" t="s">
        <v>1066</v>
      </c>
      <c r="H23" t="s">
        <v>1067</v>
      </c>
      <c r="I23" t="s">
        <v>1068</v>
      </c>
      <c r="J23" t="s">
        <v>1069</v>
      </c>
      <c r="K23" t="s">
        <v>1070</v>
      </c>
      <c r="L23" t="s">
        <v>1071</v>
      </c>
    </row>
    <row r="24" spans="1:12" ht="15.75" customHeight="1">
      <c r="A24">
        <v>337</v>
      </c>
      <c r="B24" t="s">
        <v>1083</v>
      </c>
      <c r="C24" t="s">
        <v>1084</v>
      </c>
      <c r="D24" t="s">
        <v>1085</v>
      </c>
      <c r="E24" t="s">
        <v>1086</v>
      </c>
      <c r="F24" t="s">
        <v>1087</v>
      </c>
      <c r="G24" t="s">
        <v>1088</v>
      </c>
      <c r="H24" t="s">
        <v>1089</v>
      </c>
      <c r="I24" t="s">
        <v>1090</v>
      </c>
      <c r="J24" t="s">
        <v>1091</v>
      </c>
      <c r="K24" t="s">
        <v>1092</v>
      </c>
      <c r="L24" t="s">
        <v>1093</v>
      </c>
    </row>
    <row r="25" spans="1:12" ht="15.75" customHeight="1">
      <c r="A25">
        <v>346</v>
      </c>
      <c r="B25" t="s">
        <v>1182</v>
      </c>
      <c r="C25" t="s">
        <v>1183</v>
      </c>
      <c r="D25" t="s">
        <v>1184</v>
      </c>
      <c r="E25" t="s">
        <v>1185</v>
      </c>
      <c r="F25" t="s">
        <v>1186</v>
      </c>
      <c r="G25" t="s">
        <v>1187</v>
      </c>
      <c r="H25" t="s">
        <v>1188</v>
      </c>
      <c r="I25" t="s">
        <v>1189</v>
      </c>
      <c r="J25" t="s">
        <v>1190</v>
      </c>
      <c r="K25" t="s">
        <v>1191</v>
      </c>
      <c r="L25" t="s">
        <v>1192</v>
      </c>
    </row>
    <row r="26" spans="1:12" ht="15.75" customHeight="1">
      <c r="A26">
        <v>338</v>
      </c>
      <c r="B26" t="s">
        <v>1094</v>
      </c>
      <c r="C26" t="s">
        <v>1095</v>
      </c>
      <c r="D26" t="s">
        <v>1096</v>
      </c>
      <c r="E26" t="s">
        <v>1097</v>
      </c>
      <c r="F26" t="s">
        <v>1098</v>
      </c>
      <c r="G26" t="s">
        <v>1099</v>
      </c>
      <c r="H26" t="s">
        <v>1100</v>
      </c>
      <c r="I26" t="s">
        <v>1101</v>
      </c>
      <c r="J26" t="s">
        <v>1102</v>
      </c>
      <c r="K26" t="s">
        <v>1103</v>
      </c>
      <c r="L26" t="s">
        <v>1104</v>
      </c>
    </row>
    <row r="27" spans="1:12" ht="15.75" customHeight="1">
      <c r="A27">
        <v>339</v>
      </c>
      <c r="B27" t="s">
        <v>1105</v>
      </c>
      <c r="C27" t="s">
        <v>1106</v>
      </c>
      <c r="D27" t="s">
        <v>1107</v>
      </c>
      <c r="E27" t="s">
        <v>1108</v>
      </c>
      <c r="F27" t="s">
        <v>1109</v>
      </c>
      <c r="G27" t="s">
        <v>1110</v>
      </c>
      <c r="H27" t="s">
        <v>1111</v>
      </c>
      <c r="I27" t="s">
        <v>1112</v>
      </c>
      <c r="J27" t="s">
        <v>1113</v>
      </c>
      <c r="K27" t="s">
        <v>1114</v>
      </c>
      <c r="L27" t="s">
        <v>1115</v>
      </c>
    </row>
    <row r="28" spans="1:12" ht="15.75" customHeight="1">
      <c r="A28">
        <v>340</v>
      </c>
      <c r="B28" t="s">
        <v>1116</v>
      </c>
      <c r="C28" t="s">
        <v>1117</v>
      </c>
      <c r="D28" t="s">
        <v>1118</v>
      </c>
      <c r="E28" t="s">
        <v>1119</v>
      </c>
      <c r="F28" t="s">
        <v>1120</v>
      </c>
      <c r="G28" t="s">
        <v>1121</v>
      </c>
      <c r="H28" t="s">
        <v>1122</v>
      </c>
      <c r="I28" t="s">
        <v>1123</v>
      </c>
      <c r="J28" t="s">
        <v>1124</v>
      </c>
      <c r="K28" t="s">
        <v>1125</v>
      </c>
      <c r="L28" t="s">
        <v>1126</v>
      </c>
    </row>
    <row r="29" spans="1:12" ht="15.75" customHeight="1">
      <c r="A29">
        <v>341</v>
      </c>
      <c r="B29" t="s">
        <v>1127</v>
      </c>
      <c r="C29" t="s">
        <v>1128</v>
      </c>
      <c r="D29" t="s">
        <v>1129</v>
      </c>
      <c r="E29" t="s">
        <v>1130</v>
      </c>
      <c r="F29" t="s">
        <v>1131</v>
      </c>
      <c r="G29" t="s">
        <v>1132</v>
      </c>
      <c r="H29" t="s">
        <v>1133</v>
      </c>
      <c r="I29" t="s">
        <v>1134</v>
      </c>
      <c r="J29" t="s">
        <v>1135</v>
      </c>
      <c r="K29" t="s">
        <v>1136</v>
      </c>
      <c r="L29" t="s">
        <v>1137</v>
      </c>
    </row>
    <row r="30" spans="1:12" ht="15.75" customHeight="1">
      <c r="A30">
        <v>342</v>
      </c>
      <c r="B30" t="s">
        <v>1138</v>
      </c>
      <c r="C30" t="s">
        <v>1139</v>
      </c>
      <c r="D30" t="s">
        <v>1140</v>
      </c>
      <c r="E30" t="s">
        <v>1141</v>
      </c>
      <c r="F30" t="s">
        <v>1142</v>
      </c>
      <c r="G30" t="s">
        <v>1143</v>
      </c>
      <c r="H30" t="s">
        <v>1144</v>
      </c>
      <c r="I30" t="s">
        <v>1145</v>
      </c>
      <c r="J30" t="s">
        <v>1146</v>
      </c>
      <c r="K30" t="s">
        <v>1147</v>
      </c>
      <c r="L30" t="s">
        <v>1148</v>
      </c>
    </row>
    <row r="31" spans="1:12" ht="15.75" customHeight="1">
      <c r="A31">
        <v>374</v>
      </c>
      <c r="B31" t="s">
        <v>1490</v>
      </c>
      <c r="C31" t="s">
        <v>1491</v>
      </c>
      <c r="D31" t="s">
        <v>1492</v>
      </c>
      <c r="E31" t="s">
        <v>1493</v>
      </c>
      <c r="F31" t="s">
        <v>1494</v>
      </c>
      <c r="G31" t="s">
        <v>1495</v>
      </c>
      <c r="H31" t="s">
        <v>1496</v>
      </c>
      <c r="I31" t="s">
        <v>1497</v>
      </c>
      <c r="J31" t="s">
        <v>1498</v>
      </c>
      <c r="K31" t="s">
        <v>1499</v>
      </c>
      <c r="L31" t="s">
        <v>1500</v>
      </c>
    </row>
    <row r="32" spans="1:12" ht="15.75" customHeight="1">
      <c r="A32">
        <v>370</v>
      </c>
      <c r="B32" t="s">
        <v>1446</v>
      </c>
      <c r="C32" t="s">
        <v>1447</v>
      </c>
      <c r="D32" t="s">
        <v>1448</v>
      </c>
      <c r="E32" t="s">
        <v>1449</v>
      </c>
      <c r="F32" t="s">
        <v>1450</v>
      </c>
      <c r="G32" t="s">
        <v>1451</v>
      </c>
      <c r="H32" t="s">
        <v>1452</v>
      </c>
      <c r="I32" t="s">
        <v>1453</v>
      </c>
      <c r="J32" t="s">
        <v>1454</v>
      </c>
      <c r="K32" t="s">
        <v>1455</v>
      </c>
      <c r="L32" t="s">
        <v>1456</v>
      </c>
    </row>
    <row r="33" spans="1:12" ht="15.75" customHeight="1">
      <c r="A33">
        <v>358</v>
      </c>
      <c r="B33" t="s">
        <v>1314</v>
      </c>
      <c r="C33" t="s">
        <v>1315</v>
      </c>
      <c r="D33" t="s">
        <v>1316</v>
      </c>
      <c r="E33" t="s">
        <v>1317</v>
      </c>
      <c r="F33" t="s">
        <v>1318</v>
      </c>
      <c r="G33" t="s">
        <v>1319</v>
      </c>
      <c r="H33" t="s">
        <v>1320</v>
      </c>
      <c r="I33" t="s">
        <v>1321</v>
      </c>
      <c r="J33" t="s">
        <v>1322</v>
      </c>
      <c r="K33" t="s">
        <v>1323</v>
      </c>
      <c r="L33" t="s">
        <v>1324</v>
      </c>
    </row>
    <row r="34" spans="1:12" ht="15.75" customHeight="1">
      <c r="A34">
        <v>343</v>
      </c>
      <c r="B34" t="s">
        <v>1149</v>
      </c>
      <c r="C34" t="s">
        <v>1150</v>
      </c>
      <c r="D34" t="s">
        <v>1151</v>
      </c>
      <c r="E34" t="s">
        <v>1152</v>
      </c>
      <c r="F34" t="s">
        <v>1153</v>
      </c>
      <c r="G34" t="s">
        <v>1154</v>
      </c>
      <c r="H34" t="s">
        <v>1155</v>
      </c>
      <c r="I34" t="s">
        <v>1156</v>
      </c>
      <c r="J34" t="s">
        <v>1157</v>
      </c>
      <c r="K34" t="s">
        <v>1158</v>
      </c>
      <c r="L34" t="s">
        <v>1159</v>
      </c>
    </row>
    <row r="35" spans="1:12" ht="15.75" customHeight="1">
      <c r="A35">
        <v>344</v>
      </c>
      <c r="B35" t="s">
        <v>1160</v>
      </c>
      <c r="C35" t="s">
        <v>1161</v>
      </c>
      <c r="D35" t="s">
        <v>1162</v>
      </c>
      <c r="E35" t="s">
        <v>1163</v>
      </c>
      <c r="F35" t="s">
        <v>1164</v>
      </c>
      <c r="G35" t="s">
        <v>1165</v>
      </c>
      <c r="H35" t="s">
        <v>1166</v>
      </c>
      <c r="I35" t="s">
        <v>1167</v>
      </c>
      <c r="J35" t="s">
        <v>1168</v>
      </c>
      <c r="K35" t="s">
        <v>1169</v>
      </c>
      <c r="L35" t="s">
        <v>1170</v>
      </c>
    </row>
    <row r="36" spans="1:12" ht="15.75" customHeight="1">
      <c r="A36">
        <v>347</v>
      </c>
      <c r="B36" t="s">
        <v>1193</v>
      </c>
      <c r="C36" t="s">
        <v>1194</v>
      </c>
      <c r="D36" t="s">
        <v>1195</v>
      </c>
      <c r="E36" t="s">
        <v>1196</v>
      </c>
      <c r="F36" t="s">
        <v>1197</v>
      </c>
      <c r="G36" t="s">
        <v>1198</v>
      </c>
      <c r="H36" t="s">
        <v>1199</v>
      </c>
      <c r="I36" t="s">
        <v>1200</v>
      </c>
      <c r="J36" t="s">
        <v>1201</v>
      </c>
      <c r="K36" t="s">
        <v>1202</v>
      </c>
      <c r="L36" t="s">
        <v>1203</v>
      </c>
    </row>
    <row r="37" spans="1:12" ht="15.75" customHeight="1">
      <c r="A37">
        <v>238</v>
      </c>
      <c r="B37" t="s">
        <v>192</v>
      </c>
      <c r="C37" t="s">
        <v>193</v>
      </c>
      <c r="D37" t="s">
        <v>194</v>
      </c>
      <c r="E37" t="s">
        <v>195</v>
      </c>
      <c r="F37" t="s">
        <v>196</v>
      </c>
      <c r="G37" t="s">
        <v>197</v>
      </c>
      <c r="H37" t="s">
        <v>198</v>
      </c>
      <c r="I37" t="s">
        <v>199</v>
      </c>
      <c r="J37" t="s">
        <v>200</v>
      </c>
      <c r="K37" t="s">
        <v>201</v>
      </c>
      <c r="L37" t="s">
        <v>202</v>
      </c>
    </row>
    <row r="38" spans="1:12" ht="15.75" customHeight="1">
      <c r="A38">
        <v>239</v>
      </c>
      <c r="B38" t="s">
        <v>203</v>
      </c>
      <c r="C38" t="s">
        <v>204</v>
      </c>
      <c r="D38" t="s">
        <v>205</v>
      </c>
      <c r="E38" t="s">
        <v>206</v>
      </c>
      <c r="F38" t="s">
        <v>207</v>
      </c>
      <c r="G38" t="s">
        <v>208</v>
      </c>
      <c r="H38" t="s">
        <v>209</v>
      </c>
      <c r="I38" t="s">
        <v>210</v>
      </c>
      <c r="J38" t="s">
        <v>211</v>
      </c>
      <c r="K38" t="s">
        <v>212</v>
      </c>
      <c r="L38" t="s">
        <v>213</v>
      </c>
    </row>
    <row r="39" spans="1:12" ht="15.75" customHeight="1">
      <c r="A39">
        <v>240</v>
      </c>
      <c r="B39" t="s">
        <v>214</v>
      </c>
      <c r="C39" t="s">
        <v>215</v>
      </c>
      <c r="D39" t="s">
        <v>216</v>
      </c>
      <c r="E39" t="s">
        <v>217</v>
      </c>
      <c r="F39" t="s">
        <v>218</v>
      </c>
      <c r="G39" t="s">
        <v>219</v>
      </c>
      <c r="H39" t="s">
        <v>220</v>
      </c>
      <c r="I39" t="s">
        <v>221</v>
      </c>
      <c r="J39" t="s">
        <v>222</v>
      </c>
      <c r="K39" t="s">
        <v>223</v>
      </c>
      <c r="L39" t="s">
        <v>224</v>
      </c>
    </row>
    <row r="40" spans="1:12" ht="15.75" customHeight="1">
      <c r="A40">
        <v>241</v>
      </c>
      <c r="B40" t="s">
        <v>225</v>
      </c>
      <c r="C40" t="s">
        <v>226</v>
      </c>
      <c r="D40" t="s">
        <v>227</v>
      </c>
      <c r="E40" t="s">
        <v>228</v>
      </c>
      <c r="F40" t="s">
        <v>229</v>
      </c>
      <c r="G40" t="s">
        <v>230</v>
      </c>
      <c r="H40" t="s">
        <v>231</v>
      </c>
      <c r="I40" t="s">
        <v>232</v>
      </c>
      <c r="J40" t="s">
        <v>233</v>
      </c>
      <c r="K40" t="s">
        <v>234</v>
      </c>
      <c r="L40" t="s">
        <v>235</v>
      </c>
    </row>
    <row r="41" spans="1:12" ht="15.75" customHeight="1">
      <c r="A41">
        <v>242</v>
      </c>
      <c r="B41" t="s">
        <v>236</v>
      </c>
      <c r="C41" t="s">
        <v>237</v>
      </c>
      <c r="D41" t="s">
        <v>238</v>
      </c>
      <c r="E41" t="s">
        <v>239</v>
      </c>
      <c r="F41" t="s">
        <v>240</v>
      </c>
      <c r="G41" t="s">
        <v>241</v>
      </c>
      <c r="H41" t="s">
        <v>242</v>
      </c>
      <c r="I41" t="s">
        <v>243</v>
      </c>
      <c r="J41" t="s">
        <v>244</v>
      </c>
      <c r="K41" t="s">
        <v>245</v>
      </c>
      <c r="L41" t="s">
        <v>246</v>
      </c>
    </row>
    <row r="42" spans="1:12" ht="15.75" customHeight="1">
      <c r="A42">
        <v>243</v>
      </c>
      <c r="B42" t="s">
        <v>247</v>
      </c>
      <c r="C42" t="s">
        <v>248</v>
      </c>
      <c r="D42" t="s">
        <v>249</v>
      </c>
      <c r="E42" t="s">
        <v>250</v>
      </c>
      <c r="F42" t="s">
        <v>251</v>
      </c>
      <c r="G42" t="s">
        <v>252</v>
      </c>
      <c r="H42" t="s">
        <v>253</v>
      </c>
      <c r="I42" t="s">
        <v>254</v>
      </c>
      <c r="J42" t="s">
        <v>255</v>
      </c>
      <c r="K42" t="s">
        <v>256</v>
      </c>
      <c r="L42" t="s">
        <v>257</v>
      </c>
    </row>
    <row r="43" spans="1:12" ht="15.75" customHeight="1">
      <c r="A43">
        <v>228</v>
      </c>
      <c r="B43" t="s">
        <v>93</v>
      </c>
      <c r="C43" t="s">
        <v>94</v>
      </c>
      <c r="D43" t="s">
        <v>95</v>
      </c>
      <c r="E43" t="s">
        <v>96</v>
      </c>
      <c r="F43" t="s">
        <v>97</v>
      </c>
      <c r="G43" t="s">
        <v>98</v>
      </c>
      <c r="H43" t="s">
        <v>99</v>
      </c>
      <c r="I43" t="s">
        <v>100</v>
      </c>
      <c r="J43" t="s">
        <v>101</v>
      </c>
      <c r="K43" t="s">
        <v>102</v>
      </c>
      <c r="L43" t="s">
        <v>103</v>
      </c>
    </row>
    <row r="44" spans="1:12" ht="15.75" customHeight="1">
      <c r="A44">
        <v>244</v>
      </c>
      <c r="B44" t="s">
        <v>258</v>
      </c>
      <c r="C44" t="s">
        <v>259</v>
      </c>
      <c r="D44" t="s">
        <v>260</v>
      </c>
      <c r="E44" t="s">
        <v>261</v>
      </c>
      <c r="F44" t="s">
        <v>262</v>
      </c>
      <c r="G44" t="s">
        <v>263</v>
      </c>
      <c r="H44" t="s">
        <v>264</v>
      </c>
      <c r="I44" t="s">
        <v>265</v>
      </c>
      <c r="J44" t="s">
        <v>266</v>
      </c>
      <c r="K44" t="s">
        <v>267</v>
      </c>
      <c r="L44" t="s">
        <v>268</v>
      </c>
    </row>
    <row r="45" spans="1:12" ht="15.75" customHeight="1">
      <c r="A45">
        <v>245</v>
      </c>
      <c r="B45" t="s">
        <v>269</v>
      </c>
      <c r="C45" t="s">
        <v>270</v>
      </c>
      <c r="D45" t="s">
        <v>271</v>
      </c>
      <c r="E45" t="s">
        <v>272</v>
      </c>
      <c r="F45" t="s">
        <v>273</v>
      </c>
      <c r="G45" t="s">
        <v>274</v>
      </c>
      <c r="H45" t="s">
        <v>275</v>
      </c>
      <c r="I45" t="s">
        <v>276</v>
      </c>
      <c r="J45" t="s">
        <v>277</v>
      </c>
      <c r="K45" t="s">
        <v>278</v>
      </c>
      <c r="L45" t="s">
        <v>279</v>
      </c>
    </row>
    <row r="46" spans="1:12" ht="15.75" customHeight="1">
      <c r="A46">
        <v>360</v>
      </c>
      <c r="B46" t="s">
        <v>1336</v>
      </c>
      <c r="C46" t="s">
        <v>1337</v>
      </c>
      <c r="D46" t="s">
        <v>1338</v>
      </c>
      <c r="E46" t="s">
        <v>1339</v>
      </c>
      <c r="F46" t="s">
        <v>1340</v>
      </c>
      <c r="G46" t="s">
        <v>1341</v>
      </c>
      <c r="H46" t="s">
        <v>1342</v>
      </c>
      <c r="I46" t="s">
        <v>1343</v>
      </c>
      <c r="J46" t="s">
        <v>1344</v>
      </c>
      <c r="K46" t="s">
        <v>1345</v>
      </c>
      <c r="L46" t="s">
        <v>1346</v>
      </c>
    </row>
    <row r="47" spans="1:12" ht="15.75" customHeight="1">
      <c r="A47">
        <v>361</v>
      </c>
      <c r="B47" t="s">
        <v>1347</v>
      </c>
      <c r="C47" t="s">
        <v>1348</v>
      </c>
      <c r="D47" t="s">
        <v>1349</v>
      </c>
      <c r="E47" t="s">
        <v>1350</v>
      </c>
      <c r="F47" t="s">
        <v>1351</v>
      </c>
      <c r="G47" t="s">
        <v>1352</v>
      </c>
      <c r="H47" t="s">
        <v>1353</v>
      </c>
      <c r="I47" t="s">
        <v>1354</v>
      </c>
      <c r="J47" t="s">
        <v>1355</v>
      </c>
      <c r="K47" t="s">
        <v>1356</v>
      </c>
      <c r="L47" t="s">
        <v>1357</v>
      </c>
    </row>
    <row r="48" spans="1:12" ht="15.75" customHeight="1">
      <c r="A48">
        <v>246</v>
      </c>
      <c r="B48" t="s">
        <v>280</v>
      </c>
      <c r="C48" t="s">
        <v>281</v>
      </c>
      <c r="D48" t="s">
        <v>282</v>
      </c>
      <c r="E48" t="s">
        <v>283</v>
      </c>
      <c r="F48" t="s">
        <v>284</v>
      </c>
      <c r="G48" t="s">
        <v>285</v>
      </c>
      <c r="H48" t="s">
        <v>286</v>
      </c>
      <c r="I48" t="s">
        <v>287</v>
      </c>
      <c r="J48" t="s">
        <v>288</v>
      </c>
      <c r="K48" t="s">
        <v>289</v>
      </c>
      <c r="L48" t="s">
        <v>290</v>
      </c>
    </row>
    <row r="49" spans="1:12" ht="15.75" customHeight="1">
      <c r="A49">
        <v>365</v>
      </c>
      <c r="B49" t="s">
        <v>1391</v>
      </c>
      <c r="C49" t="s">
        <v>1392</v>
      </c>
      <c r="D49" t="s">
        <v>1393</v>
      </c>
      <c r="E49" t="s">
        <v>1394</v>
      </c>
      <c r="F49" t="s">
        <v>1395</v>
      </c>
      <c r="G49" t="s">
        <v>1396</v>
      </c>
      <c r="H49" t="s">
        <v>1397</v>
      </c>
      <c r="I49" t="s">
        <v>1398</v>
      </c>
      <c r="J49" t="s">
        <v>1399</v>
      </c>
      <c r="K49" t="s">
        <v>1400</v>
      </c>
      <c r="L49" t="s">
        <v>1401</v>
      </c>
    </row>
    <row r="50" spans="1:12" ht="15.75" customHeight="1">
      <c r="A50">
        <v>369</v>
      </c>
      <c r="B50" t="s">
        <v>1435</v>
      </c>
      <c r="C50" t="s">
        <v>1436</v>
      </c>
      <c r="D50" t="s">
        <v>1437</v>
      </c>
      <c r="E50" t="s">
        <v>1438</v>
      </c>
      <c r="F50" t="s">
        <v>1439</v>
      </c>
      <c r="G50" t="s">
        <v>1440</v>
      </c>
      <c r="H50" t="s">
        <v>1441</v>
      </c>
      <c r="I50" t="s">
        <v>1442</v>
      </c>
      <c r="J50" t="s">
        <v>1443</v>
      </c>
      <c r="K50" t="s">
        <v>1444</v>
      </c>
      <c r="L50" t="s">
        <v>1445</v>
      </c>
    </row>
    <row r="51" spans="1:12" ht="15.75" customHeight="1">
      <c r="A51">
        <v>250</v>
      </c>
      <c r="B51" t="s">
        <v>302</v>
      </c>
      <c r="C51" t="s">
        <v>303</v>
      </c>
      <c r="D51" t="s">
        <v>304</v>
      </c>
      <c r="E51" t="s">
        <v>305</v>
      </c>
      <c r="F51" t="s">
        <v>306</v>
      </c>
      <c r="G51" t="s">
        <v>307</v>
      </c>
      <c r="H51" t="s">
        <v>308</v>
      </c>
      <c r="I51" t="s">
        <v>309</v>
      </c>
      <c r="J51" t="s">
        <v>310</v>
      </c>
      <c r="K51" t="s">
        <v>311</v>
      </c>
      <c r="L51" t="s">
        <v>312</v>
      </c>
    </row>
    <row r="52" spans="1:12" ht="15.75" customHeight="1">
      <c r="A52">
        <v>251</v>
      </c>
      <c r="B52" t="s">
        <v>313</v>
      </c>
      <c r="C52" t="s">
        <v>314</v>
      </c>
      <c r="D52" t="s">
        <v>315</v>
      </c>
      <c r="E52" t="s">
        <v>316</v>
      </c>
      <c r="F52" t="s">
        <v>317</v>
      </c>
      <c r="G52" t="s">
        <v>318</v>
      </c>
      <c r="H52" t="s">
        <v>319</v>
      </c>
      <c r="I52" t="s">
        <v>320</v>
      </c>
      <c r="J52" t="s">
        <v>321</v>
      </c>
      <c r="K52" t="s">
        <v>322</v>
      </c>
      <c r="L52" t="s">
        <v>323</v>
      </c>
    </row>
    <row r="53" spans="1:12" ht="15.75" customHeight="1">
      <c r="A53">
        <v>252</v>
      </c>
      <c r="B53" t="s">
        <v>324</v>
      </c>
      <c r="C53" t="s">
        <v>325</v>
      </c>
      <c r="D53" t="s">
        <v>326</v>
      </c>
      <c r="E53" t="s">
        <v>327</v>
      </c>
      <c r="F53" t="s">
        <v>328</v>
      </c>
      <c r="G53" t="s">
        <v>329</v>
      </c>
      <c r="H53" t="s">
        <v>330</v>
      </c>
      <c r="I53" t="s">
        <v>331</v>
      </c>
      <c r="J53" t="s">
        <v>332</v>
      </c>
      <c r="K53" t="s">
        <v>333</v>
      </c>
      <c r="L53" t="s">
        <v>334</v>
      </c>
    </row>
    <row r="54" spans="1:12" ht="15.75" customHeight="1">
      <c r="A54">
        <v>229</v>
      </c>
      <c r="B54" t="s">
        <v>104</v>
      </c>
      <c r="C54" t="s">
        <v>105</v>
      </c>
      <c r="D54" t="s">
        <v>106</v>
      </c>
      <c r="E54" t="s">
        <v>107</v>
      </c>
      <c r="F54" t="s">
        <v>108</v>
      </c>
      <c r="G54" t="s">
        <v>109</v>
      </c>
      <c r="H54" t="s">
        <v>110</v>
      </c>
      <c r="I54" t="s">
        <v>111</v>
      </c>
      <c r="J54" t="s">
        <v>112</v>
      </c>
      <c r="K54" t="s">
        <v>113</v>
      </c>
      <c r="L54" t="s">
        <v>114</v>
      </c>
    </row>
    <row r="55" spans="1:12" ht="15.75" customHeight="1">
      <c r="A55">
        <v>253</v>
      </c>
      <c r="B55" t="s">
        <v>335</v>
      </c>
      <c r="C55" t="s">
        <v>336</v>
      </c>
      <c r="D55" t="s">
        <v>337</v>
      </c>
      <c r="E55" t="s">
        <v>338</v>
      </c>
      <c r="F55" t="s">
        <v>339</v>
      </c>
      <c r="G55" t="s">
        <v>340</v>
      </c>
      <c r="H55" t="s">
        <v>341</v>
      </c>
      <c r="I55" t="s">
        <v>342</v>
      </c>
      <c r="J55" t="s">
        <v>343</v>
      </c>
      <c r="K55" t="s">
        <v>344</v>
      </c>
      <c r="L55" t="s">
        <v>345</v>
      </c>
    </row>
    <row r="56" spans="1:12" ht="15.75" customHeight="1">
      <c r="A56">
        <v>256</v>
      </c>
      <c r="B56" t="s">
        <v>346</v>
      </c>
      <c r="C56" t="s">
        <v>347</v>
      </c>
      <c r="D56" t="s">
        <v>348</v>
      </c>
      <c r="E56" t="s">
        <v>349</v>
      </c>
      <c r="F56" t="s">
        <v>350</v>
      </c>
      <c r="G56" t="s">
        <v>351</v>
      </c>
      <c r="H56" t="s">
        <v>352</v>
      </c>
      <c r="I56" t="s">
        <v>353</v>
      </c>
      <c r="J56" t="s">
        <v>354</v>
      </c>
      <c r="K56" t="s">
        <v>355</v>
      </c>
      <c r="L56" t="s">
        <v>356</v>
      </c>
    </row>
    <row r="57" spans="1:12" ht="15.75" customHeight="1">
      <c r="A57">
        <v>357</v>
      </c>
      <c r="B57" t="s">
        <v>1303</v>
      </c>
      <c r="C57" t="s">
        <v>1304</v>
      </c>
      <c r="D57" t="s">
        <v>1305</v>
      </c>
      <c r="E57" t="s">
        <v>1306</v>
      </c>
      <c r="F57" t="s">
        <v>1307</v>
      </c>
      <c r="G57" t="s">
        <v>1308</v>
      </c>
      <c r="H57" t="s">
        <v>1309</v>
      </c>
      <c r="I57" t="s">
        <v>1310</v>
      </c>
      <c r="J57" t="s">
        <v>1311</v>
      </c>
      <c r="K57" t="s">
        <v>1312</v>
      </c>
      <c r="L57" t="s">
        <v>1313</v>
      </c>
    </row>
    <row r="58" spans="1:12" ht="15.75" customHeight="1">
      <c r="A58">
        <v>359</v>
      </c>
      <c r="B58" t="s">
        <v>1325</v>
      </c>
      <c r="C58" t="s">
        <v>1326</v>
      </c>
      <c r="D58" t="s">
        <v>1327</v>
      </c>
      <c r="E58" t="s">
        <v>1328</v>
      </c>
      <c r="F58" t="s">
        <v>1329</v>
      </c>
      <c r="G58" t="s">
        <v>1330</v>
      </c>
      <c r="H58" t="s">
        <v>1331</v>
      </c>
      <c r="I58" t="s">
        <v>1332</v>
      </c>
      <c r="J58" t="s">
        <v>1333</v>
      </c>
      <c r="K58" t="s">
        <v>1334</v>
      </c>
      <c r="L58" t="s">
        <v>1335</v>
      </c>
    </row>
    <row r="59" spans="1:12" ht="15.75" customHeight="1">
      <c r="A59">
        <v>364</v>
      </c>
      <c r="B59" t="s">
        <v>1380</v>
      </c>
      <c r="C59" t="s">
        <v>1381</v>
      </c>
      <c r="D59" t="s">
        <v>1382</v>
      </c>
      <c r="E59" t="s">
        <v>1383</v>
      </c>
      <c r="F59" t="s">
        <v>1384</v>
      </c>
      <c r="G59" t="s">
        <v>1385</v>
      </c>
      <c r="H59" t="s">
        <v>1386</v>
      </c>
      <c r="I59" t="s">
        <v>1387</v>
      </c>
      <c r="J59" t="s">
        <v>1388</v>
      </c>
      <c r="K59" t="s">
        <v>1389</v>
      </c>
      <c r="L59" t="s">
        <v>1390</v>
      </c>
    </row>
    <row r="60" spans="1:12" ht="15.75" customHeight="1">
      <c r="A60">
        <v>349</v>
      </c>
      <c r="B60" t="s">
        <v>1215</v>
      </c>
      <c r="C60" t="s">
        <v>1216</v>
      </c>
      <c r="D60" t="s">
        <v>1217</v>
      </c>
      <c r="E60" t="s">
        <v>1218</v>
      </c>
      <c r="F60" t="s">
        <v>1219</v>
      </c>
      <c r="G60" t="s">
        <v>1220</v>
      </c>
      <c r="H60" t="s">
        <v>1221</v>
      </c>
      <c r="I60" t="s">
        <v>1222</v>
      </c>
      <c r="J60" t="s">
        <v>1223</v>
      </c>
      <c r="K60" t="s">
        <v>1224</v>
      </c>
      <c r="L60" t="s">
        <v>1225</v>
      </c>
    </row>
    <row r="61" spans="1:12" ht="15.75" customHeight="1">
      <c r="A61">
        <v>257</v>
      </c>
      <c r="B61" t="s">
        <v>357</v>
      </c>
      <c r="C61" t="s">
        <v>358</v>
      </c>
      <c r="D61" t="s">
        <v>359</v>
      </c>
      <c r="E61" t="s">
        <v>360</v>
      </c>
      <c r="F61" t="s">
        <v>361</v>
      </c>
      <c r="G61" t="s">
        <v>362</v>
      </c>
      <c r="H61" t="s">
        <v>363</v>
      </c>
      <c r="I61" t="s">
        <v>364</v>
      </c>
      <c r="J61" t="s">
        <v>365</v>
      </c>
      <c r="K61" t="s">
        <v>366</v>
      </c>
      <c r="L61" t="s">
        <v>367</v>
      </c>
    </row>
    <row r="62" spans="1:12" ht="15.75" customHeight="1">
      <c r="A62">
        <v>258</v>
      </c>
      <c r="B62" t="s">
        <v>368</v>
      </c>
      <c r="C62" t="s">
        <v>369</v>
      </c>
      <c r="D62" t="s">
        <v>370</v>
      </c>
      <c r="E62" t="s">
        <v>371</v>
      </c>
      <c r="F62" t="s">
        <v>372</v>
      </c>
      <c r="G62" t="s">
        <v>373</v>
      </c>
      <c r="H62" t="s">
        <v>374</v>
      </c>
      <c r="I62" t="s">
        <v>375</v>
      </c>
      <c r="J62" t="s">
        <v>376</v>
      </c>
      <c r="K62" t="s">
        <v>377</v>
      </c>
      <c r="L62" t="s">
        <v>378</v>
      </c>
    </row>
    <row r="63" spans="1:12" ht="15.75" customHeight="1">
      <c r="A63">
        <v>260</v>
      </c>
      <c r="B63" t="s">
        <v>379</v>
      </c>
      <c r="C63" t="s">
        <v>380</v>
      </c>
      <c r="D63" t="s">
        <v>381</v>
      </c>
      <c r="E63" t="s">
        <v>382</v>
      </c>
      <c r="F63" t="s">
        <v>383</v>
      </c>
      <c r="G63" t="s">
        <v>384</v>
      </c>
      <c r="H63" t="s">
        <v>385</v>
      </c>
      <c r="I63" t="s">
        <v>386</v>
      </c>
      <c r="J63" t="s">
        <v>387</v>
      </c>
      <c r="K63" t="s">
        <v>388</v>
      </c>
      <c r="L63" t="s">
        <v>389</v>
      </c>
    </row>
    <row r="64" spans="1:12" ht="15.75" customHeight="1">
      <c r="A64">
        <v>261</v>
      </c>
      <c r="B64" t="s">
        <v>390</v>
      </c>
      <c r="C64" t="s">
        <v>391</v>
      </c>
      <c r="D64" t="s">
        <v>392</v>
      </c>
      <c r="E64" t="s">
        <v>393</v>
      </c>
      <c r="F64" t="s">
        <v>394</v>
      </c>
      <c r="G64" t="s">
        <v>395</v>
      </c>
      <c r="H64" t="s">
        <v>396</v>
      </c>
      <c r="I64" t="s">
        <v>397</v>
      </c>
      <c r="J64" t="s">
        <v>398</v>
      </c>
      <c r="K64" t="s">
        <v>399</v>
      </c>
      <c r="L64" t="s">
        <v>400</v>
      </c>
    </row>
    <row r="65" spans="1:12" ht="15.75" customHeight="1">
      <c r="A65">
        <v>230</v>
      </c>
      <c r="B65" t="s">
        <v>115</v>
      </c>
      <c r="C65" t="s">
        <v>116</v>
      </c>
      <c r="D65" t="s">
        <v>117</v>
      </c>
      <c r="E65" t="s">
        <v>118</v>
      </c>
      <c r="F65" t="s">
        <v>119</v>
      </c>
      <c r="G65" t="s">
        <v>120</v>
      </c>
      <c r="H65" t="s">
        <v>121</v>
      </c>
      <c r="I65" t="s">
        <v>122</v>
      </c>
      <c r="J65" t="s">
        <v>123</v>
      </c>
      <c r="K65" t="s">
        <v>124</v>
      </c>
      <c r="L65" t="s">
        <v>125</v>
      </c>
    </row>
    <row r="66" spans="1:12" ht="15.75" customHeight="1">
      <c r="A66">
        <v>355</v>
      </c>
      <c r="B66" t="s">
        <v>1281</v>
      </c>
      <c r="C66" t="s">
        <v>1282</v>
      </c>
      <c r="D66" t="s">
        <v>1283</v>
      </c>
      <c r="E66" t="s">
        <v>1284</v>
      </c>
      <c r="F66" t="s">
        <v>1285</v>
      </c>
      <c r="G66" t="s">
        <v>1286</v>
      </c>
      <c r="H66" t="s">
        <v>1287</v>
      </c>
      <c r="I66" t="s">
        <v>1288</v>
      </c>
      <c r="J66" t="s">
        <v>1289</v>
      </c>
      <c r="K66" t="s">
        <v>1290</v>
      </c>
      <c r="L66" t="s">
        <v>1291</v>
      </c>
    </row>
    <row r="67" spans="1:12" ht="15.75" customHeight="1">
      <c r="A67">
        <v>371</v>
      </c>
      <c r="B67" t="s">
        <v>1457</v>
      </c>
      <c r="C67" t="s">
        <v>1458</v>
      </c>
      <c r="D67" t="s">
        <v>1459</v>
      </c>
      <c r="E67" t="s">
        <v>1460</v>
      </c>
      <c r="F67" t="s">
        <v>1461</v>
      </c>
      <c r="G67" t="s">
        <v>1462</v>
      </c>
      <c r="H67" t="s">
        <v>1463</v>
      </c>
      <c r="I67" t="s">
        <v>1464</v>
      </c>
      <c r="J67" t="s">
        <v>1465</v>
      </c>
      <c r="K67" t="s">
        <v>1466</v>
      </c>
      <c r="L67" t="s">
        <v>1467</v>
      </c>
    </row>
    <row r="68" spans="1:12" ht="15.75" customHeight="1">
      <c r="A68">
        <v>262</v>
      </c>
      <c r="B68" t="s">
        <v>401</v>
      </c>
      <c r="C68" t="s">
        <v>402</v>
      </c>
      <c r="D68" t="s">
        <v>403</v>
      </c>
      <c r="E68" t="s">
        <v>404</v>
      </c>
      <c r="F68" t="s">
        <v>405</v>
      </c>
      <c r="G68" t="s">
        <v>406</v>
      </c>
      <c r="H68" t="s">
        <v>407</v>
      </c>
      <c r="I68" t="s">
        <v>408</v>
      </c>
      <c r="J68" t="s">
        <v>409</v>
      </c>
      <c r="K68" t="s">
        <v>410</v>
      </c>
      <c r="L68" t="s">
        <v>411</v>
      </c>
    </row>
    <row r="69" spans="1:12" ht="15.75" customHeight="1">
      <c r="A69">
        <v>372</v>
      </c>
      <c r="B69" t="s">
        <v>1468</v>
      </c>
      <c r="C69" t="s">
        <v>1469</v>
      </c>
      <c r="D69" t="s">
        <v>1470</v>
      </c>
      <c r="E69" t="s">
        <v>1471</v>
      </c>
      <c r="F69" t="s">
        <v>1472</v>
      </c>
      <c r="G69" t="s">
        <v>1473</v>
      </c>
      <c r="H69" t="s">
        <v>1474</v>
      </c>
      <c r="I69" t="s">
        <v>1475</v>
      </c>
      <c r="J69" t="s">
        <v>1476</v>
      </c>
      <c r="K69" t="s">
        <v>1477</v>
      </c>
      <c r="L69" t="s">
        <v>1478</v>
      </c>
    </row>
    <row r="70" spans="1:12" ht="15.75" customHeight="1">
      <c r="A70">
        <v>352</v>
      </c>
      <c r="B70" t="s">
        <v>1248</v>
      </c>
      <c r="C70" t="s">
        <v>1249</v>
      </c>
      <c r="D70" t="s">
        <v>1250</v>
      </c>
      <c r="E70" t="s">
        <v>1251</v>
      </c>
      <c r="F70" t="s">
        <v>1252</v>
      </c>
      <c r="G70" t="s">
        <v>1253</v>
      </c>
      <c r="H70" t="s">
        <v>1254</v>
      </c>
      <c r="I70" t="s">
        <v>1255</v>
      </c>
      <c r="J70" t="s">
        <v>1256</v>
      </c>
      <c r="K70" t="s">
        <v>1257</v>
      </c>
      <c r="L70" t="s">
        <v>1258</v>
      </c>
    </row>
    <row r="71" spans="1:12" ht="15.75" customHeight="1">
      <c r="A71">
        <v>263</v>
      </c>
      <c r="B71" t="s">
        <v>412</v>
      </c>
      <c r="C71" t="s">
        <v>413</v>
      </c>
      <c r="D71" t="s">
        <v>414</v>
      </c>
      <c r="E71" t="s">
        <v>415</v>
      </c>
      <c r="F71" t="s">
        <v>416</v>
      </c>
      <c r="G71" t="s">
        <v>417</v>
      </c>
      <c r="H71" t="s">
        <v>418</v>
      </c>
      <c r="I71" t="s">
        <v>419</v>
      </c>
      <c r="J71" t="s">
        <v>420</v>
      </c>
      <c r="K71" t="s">
        <v>421</v>
      </c>
      <c r="L71" t="s">
        <v>422</v>
      </c>
    </row>
    <row r="72" spans="1:12" ht="15.75" customHeight="1">
      <c r="A72">
        <v>264</v>
      </c>
      <c r="B72" t="s">
        <v>423</v>
      </c>
      <c r="C72" t="s">
        <v>424</v>
      </c>
      <c r="D72" t="s">
        <v>425</v>
      </c>
      <c r="E72" t="s">
        <v>426</v>
      </c>
      <c r="F72" t="s">
        <v>427</v>
      </c>
      <c r="G72" t="s">
        <v>428</v>
      </c>
      <c r="H72" t="s">
        <v>429</v>
      </c>
      <c r="I72" t="s">
        <v>430</v>
      </c>
      <c r="J72" t="s">
        <v>431</v>
      </c>
      <c r="K72" t="s">
        <v>432</v>
      </c>
      <c r="L72" t="s">
        <v>433</v>
      </c>
    </row>
    <row r="73" spans="1:12" ht="15.75" customHeight="1">
      <c r="A73">
        <v>362</v>
      </c>
      <c r="B73" t="s">
        <v>1358</v>
      </c>
      <c r="C73" t="s">
        <v>1359</v>
      </c>
      <c r="D73" t="s">
        <v>1360</v>
      </c>
      <c r="E73" t="s">
        <v>1361</v>
      </c>
      <c r="F73" t="s">
        <v>1362</v>
      </c>
      <c r="G73" t="s">
        <v>1363</v>
      </c>
      <c r="H73" t="s">
        <v>1364</v>
      </c>
      <c r="I73" t="s">
        <v>1365</v>
      </c>
      <c r="J73" t="s">
        <v>1366</v>
      </c>
      <c r="K73" t="s">
        <v>1367</v>
      </c>
      <c r="L73" t="s">
        <v>1368</v>
      </c>
    </row>
    <row r="74" spans="1:12" ht="15.75" customHeight="1">
      <c r="A74">
        <v>265</v>
      </c>
      <c r="B74" t="s">
        <v>434</v>
      </c>
      <c r="C74" t="s">
        <v>435</v>
      </c>
      <c r="D74" t="s">
        <v>436</v>
      </c>
      <c r="E74" t="s">
        <v>437</v>
      </c>
      <c r="F74" t="s">
        <v>438</v>
      </c>
      <c r="G74" t="s">
        <v>439</v>
      </c>
      <c r="H74" t="s">
        <v>440</v>
      </c>
      <c r="I74" t="s">
        <v>441</v>
      </c>
      <c r="J74" t="s">
        <v>442</v>
      </c>
      <c r="K74" t="s">
        <v>443</v>
      </c>
      <c r="L74" t="s">
        <v>444</v>
      </c>
    </row>
    <row r="75" spans="1:12" ht="15.75" customHeight="1">
      <c r="A75">
        <v>266</v>
      </c>
      <c r="B75" t="s">
        <v>445</v>
      </c>
      <c r="C75" t="s">
        <v>446</v>
      </c>
      <c r="D75" t="s">
        <v>447</v>
      </c>
      <c r="E75" t="s">
        <v>448</v>
      </c>
      <c r="F75" t="s">
        <v>449</v>
      </c>
      <c r="G75" t="s">
        <v>450</v>
      </c>
      <c r="H75" t="s">
        <v>451</v>
      </c>
      <c r="I75" t="s">
        <v>452</v>
      </c>
      <c r="J75" t="s">
        <v>453</v>
      </c>
      <c r="K75" t="s">
        <v>454</v>
      </c>
      <c r="L75" t="s">
        <v>455</v>
      </c>
    </row>
    <row r="76" spans="1:12" ht="15.75" customHeight="1">
      <c r="A76">
        <v>231</v>
      </c>
      <c r="B76" t="s">
        <v>126</v>
      </c>
      <c r="C76" t="s">
        <v>127</v>
      </c>
      <c r="D76" t="s">
        <v>128</v>
      </c>
      <c r="E76" t="s">
        <v>129</v>
      </c>
      <c r="F76" t="s">
        <v>130</v>
      </c>
      <c r="G76" t="s">
        <v>131</v>
      </c>
      <c r="H76" t="s">
        <v>132</v>
      </c>
      <c r="I76" t="s">
        <v>133</v>
      </c>
      <c r="J76" t="s">
        <v>134</v>
      </c>
      <c r="K76" t="s">
        <v>135</v>
      </c>
      <c r="L76" t="s">
        <v>136</v>
      </c>
    </row>
    <row r="77" spans="1:12" ht="15.75" customHeight="1">
      <c r="A77">
        <v>269</v>
      </c>
      <c r="B77" t="s">
        <v>478</v>
      </c>
      <c r="C77" t="s">
        <v>479</v>
      </c>
      <c r="D77" t="s">
        <v>480</v>
      </c>
      <c r="E77" t="s">
        <v>481</v>
      </c>
      <c r="F77" t="s">
        <v>482</v>
      </c>
      <c r="G77" t="s">
        <v>483</v>
      </c>
      <c r="H77" t="s">
        <v>484</v>
      </c>
      <c r="I77" t="s">
        <v>485</v>
      </c>
      <c r="J77" t="s">
        <v>486</v>
      </c>
      <c r="K77" t="s">
        <v>487</v>
      </c>
      <c r="L77" t="s">
        <v>488</v>
      </c>
    </row>
    <row r="78" spans="1:12" ht="15.75" customHeight="1">
      <c r="A78">
        <v>267</v>
      </c>
      <c r="B78" t="s">
        <v>456</v>
      </c>
      <c r="C78" t="s">
        <v>457</v>
      </c>
      <c r="D78" t="s">
        <v>458</v>
      </c>
      <c r="E78" t="s">
        <v>459</v>
      </c>
      <c r="F78" t="s">
        <v>460</v>
      </c>
      <c r="G78" t="s">
        <v>461</v>
      </c>
      <c r="H78" t="s">
        <v>462</v>
      </c>
      <c r="I78" t="s">
        <v>463</v>
      </c>
      <c r="J78" t="s">
        <v>464</v>
      </c>
      <c r="K78" t="s">
        <v>465</v>
      </c>
      <c r="L78" t="s">
        <v>466</v>
      </c>
    </row>
    <row r="79" spans="1:12" ht="15.75" customHeight="1">
      <c r="A79">
        <v>268</v>
      </c>
      <c r="B79" t="s">
        <v>467</v>
      </c>
      <c r="C79" t="s">
        <v>468</v>
      </c>
      <c r="D79" t="s">
        <v>469</v>
      </c>
      <c r="E79" t="s">
        <v>470</v>
      </c>
      <c r="F79" t="s">
        <v>471</v>
      </c>
      <c r="G79" t="s">
        <v>472</v>
      </c>
      <c r="H79" t="s">
        <v>473</v>
      </c>
      <c r="I79" t="s">
        <v>474</v>
      </c>
      <c r="J79" t="s">
        <v>475</v>
      </c>
      <c r="K79" t="s">
        <v>476</v>
      </c>
      <c r="L79" t="s">
        <v>477</v>
      </c>
    </row>
    <row r="80" spans="1:12" ht="15.75" customHeight="1">
      <c r="A80">
        <v>270</v>
      </c>
      <c r="B80" t="s">
        <v>489</v>
      </c>
      <c r="C80" t="s">
        <v>490</v>
      </c>
      <c r="D80" t="s">
        <v>491</v>
      </c>
      <c r="E80" t="s">
        <v>492</v>
      </c>
      <c r="F80" t="s">
        <v>493</v>
      </c>
      <c r="G80" t="s">
        <v>494</v>
      </c>
      <c r="H80" t="s">
        <v>495</v>
      </c>
      <c r="I80" t="s">
        <v>496</v>
      </c>
      <c r="J80" t="s">
        <v>497</v>
      </c>
      <c r="K80" t="s">
        <v>498</v>
      </c>
      <c r="L80" t="s">
        <v>499</v>
      </c>
    </row>
    <row r="81" spans="1:12" ht="15.75" customHeight="1">
      <c r="A81">
        <v>271</v>
      </c>
      <c r="B81" t="s">
        <v>500</v>
      </c>
      <c r="C81" t="s">
        <v>501</v>
      </c>
      <c r="D81" t="s">
        <v>502</v>
      </c>
      <c r="E81" t="s">
        <v>503</v>
      </c>
      <c r="F81" t="s">
        <v>504</v>
      </c>
      <c r="G81" t="s">
        <v>505</v>
      </c>
      <c r="H81" t="s">
        <v>506</v>
      </c>
      <c r="I81" t="s">
        <v>507</v>
      </c>
      <c r="J81" t="s">
        <v>508</v>
      </c>
      <c r="K81" t="s">
        <v>509</v>
      </c>
      <c r="L81" t="s">
        <v>510</v>
      </c>
    </row>
    <row r="82" spans="1:12" ht="15.75" customHeight="1">
      <c r="A82">
        <v>272</v>
      </c>
      <c r="B82" t="s">
        <v>511</v>
      </c>
      <c r="C82" t="s">
        <v>512</v>
      </c>
      <c r="D82" t="s">
        <v>513</v>
      </c>
      <c r="E82" t="s">
        <v>514</v>
      </c>
      <c r="F82" t="s">
        <v>515</v>
      </c>
      <c r="G82" t="s">
        <v>516</v>
      </c>
      <c r="H82" t="s">
        <v>517</v>
      </c>
      <c r="I82" t="s">
        <v>518</v>
      </c>
      <c r="J82" t="s">
        <v>519</v>
      </c>
      <c r="K82" t="s">
        <v>520</v>
      </c>
      <c r="L82" t="s">
        <v>521</v>
      </c>
    </row>
    <row r="83" spans="1:12" ht="15.75" customHeight="1">
      <c r="A83">
        <v>273</v>
      </c>
      <c r="B83" t="s">
        <v>522</v>
      </c>
      <c r="C83" t="s">
        <v>523</v>
      </c>
      <c r="D83" t="s">
        <v>524</v>
      </c>
      <c r="E83" t="s">
        <v>525</v>
      </c>
      <c r="F83" t="s">
        <v>526</v>
      </c>
      <c r="G83" t="s">
        <v>527</v>
      </c>
      <c r="H83" t="s">
        <v>528</v>
      </c>
      <c r="I83" t="s">
        <v>529</v>
      </c>
      <c r="J83" t="s">
        <v>530</v>
      </c>
      <c r="K83" t="s">
        <v>531</v>
      </c>
      <c r="L83" t="s">
        <v>532</v>
      </c>
    </row>
    <row r="84" spans="1:12" ht="15.75" customHeight="1">
      <c r="A84">
        <v>274</v>
      </c>
      <c r="B84" t="s">
        <v>533</v>
      </c>
      <c r="C84" t="s">
        <v>534</v>
      </c>
      <c r="D84" t="s">
        <v>535</v>
      </c>
      <c r="E84" t="s">
        <v>536</v>
      </c>
      <c r="F84" t="s">
        <v>537</v>
      </c>
      <c r="G84" t="s">
        <v>538</v>
      </c>
      <c r="H84" t="s">
        <v>539</v>
      </c>
      <c r="I84" t="s">
        <v>540</v>
      </c>
      <c r="J84" t="s">
        <v>541</v>
      </c>
      <c r="K84" t="s">
        <v>542</v>
      </c>
      <c r="L84" t="s">
        <v>543</v>
      </c>
    </row>
    <row r="85" spans="1:12" ht="15.75" customHeight="1">
      <c r="A85">
        <v>373</v>
      </c>
      <c r="B85" t="s">
        <v>1479</v>
      </c>
      <c r="C85" t="s">
        <v>1480</v>
      </c>
      <c r="D85" t="s">
        <v>1481</v>
      </c>
      <c r="E85" t="s">
        <v>1482</v>
      </c>
      <c r="F85" t="s">
        <v>1483</v>
      </c>
      <c r="G85" t="s">
        <v>1484</v>
      </c>
      <c r="H85" t="s">
        <v>1485</v>
      </c>
      <c r="I85" t="s">
        <v>1486</v>
      </c>
      <c r="J85" t="s">
        <v>1487</v>
      </c>
      <c r="K85" t="s">
        <v>1488</v>
      </c>
      <c r="L85" t="s">
        <v>1489</v>
      </c>
    </row>
    <row r="86" spans="1:12" ht="15.75" customHeight="1">
      <c r="A86">
        <v>275</v>
      </c>
      <c r="B86" t="s">
        <v>544</v>
      </c>
      <c r="C86" t="s">
        <v>545</v>
      </c>
      <c r="D86" t="s">
        <v>546</v>
      </c>
      <c r="E86" t="s">
        <v>547</v>
      </c>
      <c r="F86" t="s">
        <v>548</v>
      </c>
      <c r="G86" t="s">
        <v>549</v>
      </c>
      <c r="H86" t="s">
        <v>550</v>
      </c>
      <c r="I86" t="s">
        <v>551</v>
      </c>
      <c r="J86" t="s">
        <v>552</v>
      </c>
      <c r="K86" t="s">
        <v>553</v>
      </c>
      <c r="L86" t="s">
        <v>554</v>
      </c>
    </row>
    <row r="87" spans="1:12" ht="15.75" customHeight="1">
      <c r="A87">
        <v>233</v>
      </c>
      <c r="B87" t="s">
        <v>137</v>
      </c>
      <c r="C87" t="s">
        <v>138</v>
      </c>
      <c r="D87" t="s">
        <v>139</v>
      </c>
      <c r="E87" t="s">
        <v>140</v>
      </c>
      <c r="F87" t="s">
        <v>141</v>
      </c>
      <c r="G87" t="s">
        <v>142</v>
      </c>
      <c r="H87" t="s">
        <v>143</v>
      </c>
      <c r="I87" t="s">
        <v>144</v>
      </c>
      <c r="J87" t="s">
        <v>145</v>
      </c>
      <c r="K87" t="s">
        <v>146</v>
      </c>
      <c r="L87" t="s">
        <v>147</v>
      </c>
    </row>
    <row r="88" spans="1:12" ht="15.75" customHeight="1">
      <c r="A88">
        <v>276</v>
      </c>
      <c r="B88" t="s">
        <v>555</v>
      </c>
      <c r="C88" t="s">
        <v>556</v>
      </c>
      <c r="D88" t="s">
        <v>557</v>
      </c>
      <c r="E88" t="s">
        <v>558</v>
      </c>
      <c r="F88" t="s">
        <v>559</v>
      </c>
      <c r="G88" t="s">
        <v>560</v>
      </c>
      <c r="H88" t="s">
        <v>561</v>
      </c>
      <c r="I88" t="s">
        <v>562</v>
      </c>
      <c r="J88" t="s">
        <v>563</v>
      </c>
      <c r="K88" t="s">
        <v>564</v>
      </c>
      <c r="L88" t="s">
        <v>565</v>
      </c>
    </row>
    <row r="89" spans="1:12" ht="15.75" customHeight="1">
      <c r="A89">
        <v>348</v>
      </c>
      <c r="B89" t="s">
        <v>1204</v>
      </c>
      <c r="C89" t="s">
        <v>1205</v>
      </c>
      <c r="D89" t="s">
        <v>1206</v>
      </c>
      <c r="E89" t="s">
        <v>1207</v>
      </c>
      <c r="F89" t="s">
        <v>1208</v>
      </c>
      <c r="G89" t="s">
        <v>1209</v>
      </c>
      <c r="H89" t="s">
        <v>1210</v>
      </c>
      <c r="I89" t="s">
        <v>1211</v>
      </c>
      <c r="J89" t="s">
        <v>1212</v>
      </c>
      <c r="K89" t="s">
        <v>1213</v>
      </c>
      <c r="L89" t="s">
        <v>1214</v>
      </c>
    </row>
    <row r="90" spans="1:12" ht="15.75" customHeight="1">
      <c r="A90">
        <v>351</v>
      </c>
      <c r="B90" t="s">
        <v>1237</v>
      </c>
      <c r="C90" t="s">
        <v>1238</v>
      </c>
      <c r="D90" t="s">
        <v>1239</v>
      </c>
      <c r="E90" t="s">
        <v>1240</v>
      </c>
      <c r="F90" t="s">
        <v>1241</v>
      </c>
      <c r="G90" t="s">
        <v>1242</v>
      </c>
      <c r="H90" t="s">
        <v>1243</v>
      </c>
      <c r="I90" t="s">
        <v>1244</v>
      </c>
      <c r="J90" t="s">
        <v>1245</v>
      </c>
      <c r="K90" t="s">
        <v>1246</v>
      </c>
      <c r="L90" t="s">
        <v>1247</v>
      </c>
    </row>
    <row r="91" spans="1:12" ht="15.75" customHeight="1">
      <c r="A91">
        <v>277</v>
      </c>
      <c r="B91" t="s">
        <v>566</v>
      </c>
      <c r="C91" t="s">
        <v>567</v>
      </c>
      <c r="D91" t="s">
        <v>568</v>
      </c>
      <c r="E91" t="s">
        <v>569</v>
      </c>
      <c r="F91" t="s">
        <v>570</v>
      </c>
      <c r="G91" t="s">
        <v>571</v>
      </c>
      <c r="H91" t="s">
        <v>572</v>
      </c>
      <c r="I91" t="s">
        <v>573</v>
      </c>
      <c r="J91" t="s">
        <v>574</v>
      </c>
      <c r="K91" t="s">
        <v>575</v>
      </c>
      <c r="L91" t="s">
        <v>576</v>
      </c>
    </row>
    <row r="92" spans="1:12" ht="15.75" customHeight="1">
      <c r="A92">
        <v>278</v>
      </c>
      <c r="B92" t="s">
        <v>577</v>
      </c>
      <c r="C92" t="s">
        <v>578</v>
      </c>
      <c r="D92" t="s">
        <v>579</v>
      </c>
      <c r="E92" t="s">
        <v>580</v>
      </c>
      <c r="F92" t="s">
        <v>581</v>
      </c>
      <c r="G92" t="s">
        <v>582</v>
      </c>
      <c r="H92" t="s">
        <v>583</v>
      </c>
      <c r="I92" t="s">
        <v>584</v>
      </c>
      <c r="J92" t="s">
        <v>585</v>
      </c>
      <c r="K92" t="s">
        <v>586</v>
      </c>
      <c r="L92" t="s">
        <v>587</v>
      </c>
    </row>
    <row r="93" spans="1:12" ht="15.75" customHeight="1">
      <c r="A93">
        <v>279</v>
      </c>
      <c r="B93" t="s">
        <v>588</v>
      </c>
      <c r="C93" t="s">
        <v>589</v>
      </c>
      <c r="D93" t="s">
        <v>590</v>
      </c>
      <c r="E93" t="s">
        <v>591</v>
      </c>
      <c r="F93" t="s">
        <v>592</v>
      </c>
      <c r="G93" t="s">
        <v>593</v>
      </c>
      <c r="H93" t="s">
        <v>594</v>
      </c>
      <c r="I93" t="s">
        <v>595</v>
      </c>
      <c r="J93" t="s">
        <v>596</v>
      </c>
      <c r="K93" t="s">
        <v>597</v>
      </c>
      <c r="L93" t="s">
        <v>598</v>
      </c>
    </row>
    <row r="94" spans="1:12" ht="15.75" customHeight="1">
      <c r="A94">
        <v>280</v>
      </c>
      <c r="B94" t="s">
        <v>599</v>
      </c>
      <c r="C94" t="s">
        <v>600</v>
      </c>
      <c r="D94" t="s">
        <v>601</v>
      </c>
      <c r="E94" t="s">
        <v>602</v>
      </c>
      <c r="F94" t="s">
        <v>603</v>
      </c>
      <c r="G94" t="s">
        <v>604</v>
      </c>
      <c r="H94" t="s">
        <v>605</v>
      </c>
      <c r="I94" t="s">
        <v>606</v>
      </c>
      <c r="J94" t="s">
        <v>607</v>
      </c>
      <c r="K94" t="s">
        <v>608</v>
      </c>
      <c r="L94" t="s">
        <v>609</v>
      </c>
    </row>
    <row r="95" spans="1:12" ht="15.75" customHeight="1">
      <c r="A95">
        <v>281</v>
      </c>
      <c r="B95" t="s">
        <v>610</v>
      </c>
      <c r="C95" t="s">
        <v>611</v>
      </c>
      <c r="D95" t="s">
        <v>612</v>
      </c>
      <c r="E95" t="s">
        <v>613</v>
      </c>
      <c r="F95" t="s">
        <v>614</v>
      </c>
      <c r="G95" t="s">
        <v>615</v>
      </c>
      <c r="H95" t="s">
        <v>616</v>
      </c>
      <c r="I95" t="s">
        <v>617</v>
      </c>
      <c r="J95" t="s">
        <v>618</v>
      </c>
      <c r="K95" t="s">
        <v>619</v>
      </c>
      <c r="L95" t="s">
        <v>620</v>
      </c>
    </row>
    <row r="96" spans="1:12" ht="15.75" customHeight="1">
      <c r="A96">
        <v>353</v>
      </c>
      <c r="B96" t="s">
        <v>1259</v>
      </c>
      <c r="C96" t="s">
        <v>1260</v>
      </c>
      <c r="D96" t="s">
        <v>1261</v>
      </c>
      <c r="E96" t="s">
        <v>1262</v>
      </c>
      <c r="F96" t="s">
        <v>1263</v>
      </c>
      <c r="G96" t="s">
        <v>1264</v>
      </c>
      <c r="H96" t="s">
        <v>1265</v>
      </c>
      <c r="I96" t="s">
        <v>1266</v>
      </c>
      <c r="J96" t="s">
        <v>1267</v>
      </c>
      <c r="K96" t="s">
        <v>1268</v>
      </c>
      <c r="L96" t="s">
        <v>1269</v>
      </c>
    </row>
    <row r="97" spans="1:12" ht="15.75" customHeight="1">
      <c r="A97">
        <v>282</v>
      </c>
      <c r="B97" t="s">
        <v>621</v>
      </c>
      <c r="C97" t="s">
        <v>622</v>
      </c>
      <c r="D97" t="s">
        <v>623</v>
      </c>
      <c r="E97" t="s">
        <v>624</v>
      </c>
      <c r="F97" t="s">
        <v>625</v>
      </c>
      <c r="G97" t="s">
        <v>626</v>
      </c>
      <c r="H97" t="s">
        <v>627</v>
      </c>
      <c r="I97" t="s">
        <v>628</v>
      </c>
      <c r="J97" t="s">
        <v>629</v>
      </c>
      <c r="K97" t="s">
        <v>630</v>
      </c>
      <c r="L97" t="s">
        <v>631</v>
      </c>
    </row>
    <row r="98" spans="1:12" ht="15.75" customHeight="1">
      <c r="A98">
        <v>234</v>
      </c>
      <c r="B98" t="s">
        <v>148</v>
      </c>
      <c r="C98" t="s">
        <v>149</v>
      </c>
      <c r="D98" t="s">
        <v>150</v>
      </c>
      <c r="E98" t="s">
        <v>151</v>
      </c>
      <c r="F98" t="s">
        <v>152</v>
      </c>
      <c r="G98" t="s">
        <v>153</v>
      </c>
      <c r="H98" t="s">
        <v>154</v>
      </c>
      <c r="I98" t="s">
        <v>155</v>
      </c>
      <c r="J98" t="s">
        <v>156</v>
      </c>
      <c r="K98" t="s">
        <v>157</v>
      </c>
      <c r="L98" t="s">
        <v>158</v>
      </c>
    </row>
    <row r="99" spans="1:12" ht="15.75" customHeight="1">
      <c r="A99">
        <v>285</v>
      </c>
      <c r="B99" t="s">
        <v>632</v>
      </c>
      <c r="C99" t="s">
        <v>633</v>
      </c>
      <c r="D99" t="s">
        <v>634</v>
      </c>
      <c r="E99" t="s">
        <v>635</v>
      </c>
      <c r="F99" t="s">
        <v>636</v>
      </c>
      <c r="G99" t="s">
        <v>637</v>
      </c>
      <c r="H99" t="s">
        <v>638</v>
      </c>
      <c r="I99" t="s">
        <v>639</v>
      </c>
      <c r="J99" t="s">
        <v>640</v>
      </c>
      <c r="K99" t="s">
        <v>641</v>
      </c>
      <c r="L99" t="s">
        <v>642</v>
      </c>
    </row>
    <row r="100" spans="1:12" ht="15.75" customHeight="1">
      <c r="A100">
        <v>356</v>
      </c>
      <c r="B100" t="s">
        <v>1292</v>
      </c>
      <c r="C100" t="s">
        <v>1293</v>
      </c>
      <c r="D100" t="s">
        <v>1294</v>
      </c>
      <c r="E100" t="s">
        <v>1295</v>
      </c>
      <c r="F100" t="s">
        <v>1296</v>
      </c>
      <c r="G100" t="s">
        <v>1297</v>
      </c>
      <c r="H100" t="s">
        <v>1298</v>
      </c>
      <c r="I100" t="s">
        <v>1299</v>
      </c>
      <c r="J100" t="s">
        <v>1300</v>
      </c>
      <c r="K100" t="s">
        <v>1301</v>
      </c>
      <c r="L100" t="s">
        <v>1302</v>
      </c>
    </row>
    <row r="101" spans="1:12" ht="15.75" customHeight="1">
      <c r="A101">
        <v>286</v>
      </c>
      <c r="B101" t="s">
        <v>643</v>
      </c>
      <c r="C101" t="s">
        <v>644</v>
      </c>
      <c r="D101" t="s">
        <v>645</v>
      </c>
      <c r="E101" t="s">
        <v>646</v>
      </c>
      <c r="F101" t="s">
        <v>647</v>
      </c>
      <c r="G101" t="s">
        <v>648</v>
      </c>
      <c r="H101" t="s">
        <v>649</v>
      </c>
      <c r="I101" t="s">
        <v>650</v>
      </c>
      <c r="J101" t="s">
        <v>651</v>
      </c>
      <c r="K101" t="s">
        <v>652</v>
      </c>
      <c r="L101" t="s">
        <v>653</v>
      </c>
    </row>
    <row r="102" spans="1:12" ht="15.75" customHeight="1">
      <c r="A102">
        <v>287</v>
      </c>
      <c r="B102" t="s">
        <v>654</v>
      </c>
      <c r="C102" t="s">
        <v>655</v>
      </c>
      <c r="D102" t="s">
        <v>656</v>
      </c>
      <c r="E102" t="s">
        <v>657</v>
      </c>
      <c r="F102" t="s">
        <v>658</v>
      </c>
      <c r="G102" t="s">
        <v>659</v>
      </c>
      <c r="H102" t="s">
        <v>660</v>
      </c>
      <c r="I102" t="s">
        <v>661</v>
      </c>
      <c r="J102" t="s">
        <v>662</v>
      </c>
      <c r="K102" t="s">
        <v>663</v>
      </c>
      <c r="L102" t="s">
        <v>664</v>
      </c>
    </row>
    <row r="103" spans="1:12" ht="15.75" customHeight="1">
      <c r="A103">
        <v>288</v>
      </c>
      <c r="B103" t="s">
        <v>665</v>
      </c>
      <c r="C103" t="s">
        <v>666</v>
      </c>
      <c r="D103" t="s">
        <v>667</v>
      </c>
      <c r="E103" t="s">
        <v>668</v>
      </c>
      <c r="F103" t="s">
        <v>669</v>
      </c>
      <c r="G103" t="s">
        <v>670</v>
      </c>
      <c r="H103" t="s">
        <v>671</v>
      </c>
      <c r="I103" t="s">
        <v>672</v>
      </c>
      <c r="J103" t="s">
        <v>673</v>
      </c>
      <c r="K103" t="s">
        <v>674</v>
      </c>
      <c r="L103" t="s">
        <v>675</v>
      </c>
    </row>
    <row r="104" spans="1:12" ht="15.75" customHeight="1">
      <c r="A104">
        <v>291</v>
      </c>
      <c r="B104" t="s">
        <v>676</v>
      </c>
      <c r="C104" t="s">
        <v>677</v>
      </c>
      <c r="D104" t="s">
        <v>678</v>
      </c>
      <c r="E104" t="s">
        <v>679</v>
      </c>
      <c r="F104" t="s">
        <v>680</v>
      </c>
      <c r="G104" t="s">
        <v>681</v>
      </c>
      <c r="H104" t="s">
        <v>682</v>
      </c>
      <c r="I104" t="s">
        <v>683</v>
      </c>
      <c r="J104" t="s">
        <v>684</v>
      </c>
      <c r="K104" t="s">
        <v>685</v>
      </c>
      <c r="L104" t="s">
        <v>686</v>
      </c>
    </row>
    <row r="105" spans="1:12" ht="15.75" customHeight="1">
      <c r="A105">
        <v>292</v>
      </c>
      <c r="B105" t="s">
        <v>687</v>
      </c>
      <c r="C105" t="s">
        <v>688</v>
      </c>
      <c r="D105" t="s">
        <v>689</v>
      </c>
      <c r="E105" t="s">
        <v>690</v>
      </c>
      <c r="F105" t="s">
        <v>691</v>
      </c>
      <c r="G105" t="s">
        <v>692</v>
      </c>
      <c r="H105" t="s">
        <v>693</v>
      </c>
      <c r="I105" t="s">
        <v>694</v>
      </c>
      <c r="J105" t="s">
        <v>695</v>
      </c>
      <c r="K105" t="s">
        <v>696</v>
      </c>
      <c r="L105" t="s">
        <v>697</v>
      </c>
    </row>
    <row r="106" spans="1:12" ht="15.75" customHeight="1">
      <c r="A106">
        <v>293</v>
      </c>
      <c r="B106" t="s">
        <v>698</v>
      </c>
      <c r="C106" t="s">
        <v>699</v>
      </c>
      <c r="D106" t="s">
        <v>700</v>
      </c>
      <c r="E106" t="s">
        <v>701</v>
      </c>
      <c r="F106" t="s">
        <v>702</v>
      </c>
      <c r="G106" t="s">
        <v>703</v>
      </c>
      <c r="H106" t="s">
        <v>704</v>
      </c>
      <c r="I106" t="s">
        <v>705</v>
      </c>
      <c r="J106" t="s">
        <v>706</v>
      </c>
      <c r="K106" t="s">
        <v>707</v>
      </c>
      <c r="L106" t="s">
        <v>708</v>
      </c>
    </row>
    <row r="107" spans="1:12" ht="15.75" customHeight="1">
      <c r="A107">
        <v>294</v>
      </c>
      <c r="B107" t="s">
        <v>709</v>
      </c>
      <c r="C107" t="s">
        <v>710</v>
      </c>
      <c r="D107" t="s">
        <v>711</v>
      </c>
      <c r="E107" t="s">
        <v>712</v>
      </c>
      <c r="F107" t="s">
        <v>713</v>
      </c>
      <c r="G107" t="s">
        <v>714</v>
      </c>
      <c r="H107" t="s">
        <v>715</v>
      </c>
      <c r="I107" t="s">
        <v>716</v>
      </c>
      <c r="J107" t="s">
        <v>717</v>
      </c>
      <c r="K107" t="s">
        <v>718</v>
      </c>
      <c r="L107" t="s">
        <v>719</v>
      </c>
    </row>
    <row r="108" spans="1:12" ht="15.75" customHeight="1">
      <c r="A108">
        <v>295</v>
      </c>
      <c r="B108" t="s">
        <v>720</v>
      </c>
      <c r="C108" t="s">
        <v>721</v>
      </c>
      <c r="D108" t="s">
        <v>722</v>
      </c>
      <c r="E108" t="s">
        <v>723</v>
      </c>
      <c r="F108" t="s">
        <v>724</v>
      </c>
      <c r="G108" t="s">
        <v>725</v>
      </c>
      <c r="H108" t="s">
        <v>726</v>
      </c>
      <c r="I108" t="s">
        <v>727</v>
      </c>
      <c r="J108" t="s">
        <v>728</v>
      </c>
      <c r="K108" t="s">
        <v>729</v>
      </c>
      <c r="L108" t="s">
        <v>730</v>
      </c>
    </row>
    <row r="109" spans="1:12" ht="15.75" customHeight="1">
      <c r="A109">
        <v>235</v>
      </c>
      <c r="B109" t="s">
        <v>159</v>
      </c>
      <c r="C109" t="s">
        <v>160</v>
      </c>
      <c r="D109" t="s">
        <v>161</v>
      </c>
      <c r="E109" t="s">
        <v>162</v>
      </c>
      <c r="F109" t="s">
        <v>163</v>
      </c>
      <c r="G109" t="s">
        <v>164</v>
      </c>
      <c r="H109" t="s">
        <v>165</v>
      </c>
      <c r="I109" t="s">
        <v>166</v>
      </c>
      <c r="J109" t="s">
        <v>167</v>
      </c>
      <c r="K109" t="s">
        <v>168</v>
      </c>
      <c r="L109" t="s">
        <v>169</v>
      </c>
    </row>
    <row r="110" spans="1:12" ht="15.75" customHeight="1">
      <c r="A110">
        <v>296</v>
      </c>
      <c r="B110" t="s">
        <v>731</v>
      </c>
      <c r="C110" t="s">
        <v>732</v>
      </c>
      <c r="D110" t="s">
        <v>733</v>
      </c>
      <c r="E110" t="s">
        <v>734</v>
      </c>
      <c r="F110" t="s">
        <v>735</v>
      </c>
      <c r="G110" t="s">
        <v>736</v>
      </c>
      <c r="H110" t="s">
        <v>737</v>
      </c>
      <c r="I110" t="s">
        <v>738</v>
      </c>
      <c r="J110" t="s">
        <v>739</v>
      </c>
      <c r="K110" t="s">
        <v>740</v>
      </c>
      <c r="L110" t="s">
        <v>741</v>
      </c>
    </row>
    <row r="111" spans="1:12" ht="15.75" customHeight="1">
      <c r="A111">
        <v>297</v>
      </c>
      <c r="B111" t="s">
        <v>742</v>
      </c>
      <c r="C111" t="s">
        <v>743</v>
      </c>
      <c r="D111" t="s">
        <v>744</v>
      </c>
      <c r="E111" t="s">
        <v>745</v>
      </c>
      <c r="F111" t="s">
        <v>746</v>
      </c>
      <c r="G111" t="s">
        <v>747</v>
      </c>
      <c r="H111" t="s">
        <v>748</v>
      </c>
      <c r="I111" t="s">
        <v>749</v>
      </c>
      <c r="J111" t="s">
        <v>750</v>
      </c>
      <c r="K111" t="s">
        <v>751</v>
      </c>
      <c r="L111" t="s">
        <v>752</v>
      </c>
    </row>
    <row r="112" spans="1:12" ht="15.75" customHeight="1">
      <c r="A112">
        <v>298</v>
      </c>
      <c r="B112" t="s">
        <v>753</v>
      </c>
      <c r="C112" t="s">
        <v>754</v>
      </c>
      <c r="D112" t="s">
        <v>755</v>
      </c>
      <c r="E112" t="s">
        <v>756</v>
      </c>
      <c r="F112" t="s">
        <v>757</v>
      </c>
      <c r="G112" t="s">
        <v>758</v>
      </c>
      <c r="H112" t="s">
        <v>759</v>
      </c>
      <c r="I112" t="s">
        <v>760</v>
      </c>
      <c r="J112" t="s">
        <v>761</v>
      </c>
      <c r="K112" t="s">
        <v>762</v>
      </c>
      <c r="L112" t="s">
        <v>763</v>
      </c>
    </row>
    <row r="113" spans="1:12" ht="15.75" customHeight="1">
      <c r="A113">
        <v>354</v>
      </c>
      <c r="B113" t="s">
        <v>1270</v>
      </c>
      <c r="C113" t="s">
        <v>1271</v>
      </c>
      <c r="D113" t="s">
        <v>1272</v>
      </c>
      <c r="E113" t="s">
        <v>1273</v>
      </c>
      <c r="F113" t="s">
        <v>1274</v>
      </c>
      <c r="G113" t="s">
        <v>1275</v>
      </c>
      <c r="H113" t="s">
        <v>1276</v>
      </c>
      <c r="I113" t="s">
        <v>1277</v>
      </c>
      <c r="J113" t="s">
        <v>1278</v>
      </c>
      <c r="K113" t="s">
        <v>1279</v>
      </c>
      <c r="L113" t="s">
        <v>1280</v>
      </c>
    </row>
    <row r="114" spans="1:12" ht="15.75" customHeight="1">
      <c r="A114">
        <v>301</v>
      </c>
      <c r="B114" t="s">
        <v>764</v>
      </c>
      <c r="C114" t="s">
        <v>765</v>
      </c>
      <c r="D114" t="s">
        <v>766</v>
      </c>
      <c r="E114" t="s">
        <v>767</v>
      </c>
      <c r="F114" t="s">
        <v>768</v>
      </c>
      <c r="G114" t="s">
        <v>769</v>
      </c>
      <c r="H114" t="s">
        <v>770</v>
      </c>
      <c r="I114" t="s">
        <v>771</v>
      </c>
      <c r="J114" t="s">
        <v>772</v>
      </c>
      <c r="K114" t="s">
        <v>773</v>
      </c>
      <c r="L114" t="s">
        <v>774</v>
      </c>
    </row>
    <row r="115" spans="1:12" ht="15.75" customHeight="1">
      <c r="A115">
        <v>302</v>
      </c>
      <c r="B115" t="s">
        <v>775</v>
      </c>
      <c r="C115" t="s">
        <v>776</v>
      </c>
      <c r="D115" t="s">
        <v>777</v>
      </c>
      <c r="E115" t="s">
        <v>778</v>
      </c>
      <c r="F115" t="s">
        <v>779</v>
      </c>
      <c r="G115" t="s">
        <v>780</v>
      </c>
      <c r="H115" t="s">
        <v>781</v>
      </c>
      <c r="I115" t="s">
        <v>782</v>
      </c>
      <c r="J115" t="s">
        <v>783</v>
      </c>
      <c r="K115" t="s">
        <v>784</v>
      </c>
      <c r="L115" t="s">
        <v>785</v>
      </c>
    </row>
    <row r="116" spans="1:12" ht="15.75" customHeight="1">
      <c r="A116">
        <v>303</v>
      </c>
      <c r="B116" t="s">
        <v>786</v>
      </c>
      <c r="C116" t="s">
        <v>787</v>
      </c>
      <c r="D116" t="s">
        <v>788</v>
      </c>
      <c r="E116" t="s">
        <v>789</v>
      </c>
      <c r="F116" t="s">
        <v>790</v>
      </c>
      <c r="G116" t="s">
        <v>791</v>
      </c>
      <c r="H116" t="s">
        <v>792</v>
      </c>
      <c r="I116" t="s">
        <v>793</v>
      </c>
      <c r="J116" t="s">
        <v>794</v>
      </c>
      <c r="K116" t="s">
        <v>795</v>
      </c>
      <c r="L116" t="s">
        <v>796</v>
      </c>
    </row>
    <row r="117" spans="1:12" ht="15.75" customHeight="1">
      <c r="A117">
        <v>305</v>
      </c>
      <c r="B117" t="s">
        <v>797</v>
      </c>
      <c r="C117" t="s">
        <v>798</v>
      </c>
      <c r="D117" t="s">
        <v>799</v>
      </c>
      <c r="E117" t="s">
        <v>800</v>
      </c>
      <c r="F117" t="s">
        <v>801</v>
      </c>
      <c r="G117" t="s">
        <v>802</v>
      </c>
      <c r="H117" t="s">
        <v>803</v>
      </c>
      <c r="I117" t="s">
        <v>804</v>
      </c>
      <c r="J117" t="s">
        <v>805</v>
      </c>
      <c r="K117" t="s">
        <v>806</v>
      </c>
      <c r="L117" t="s">
        <v>807</v>
      </c>
    </row>
    <row r="118" spans="1:12" ht="15.75" customHeight="1">
      <c r="A118">
        <v>307</v>
      </c>
      <c r="B118" t="s">
        <v>808</v>
      </c>
      <c r="C118" t="s">
        <v>809</v>
      </c>
      <c r="D118" t="s">
        <v>810</v>
      </c>
      <c r="E118" t="s">
        <v>811</v>
      </c>
      <c r="F118" t="s">
        <v>812</v>
      </c>
      <c r="G118" t="s">
        <v>813</v>
      </c>
      <c r="H118" t="s">
        <v>814</v>
      </c>
      <c r="I118" t="s">
        <v>815</v>
      </c>
      <c r="J118" t="s">
        <v>816</v>
      </c>
      <c r="K118" t="s">
        <v>817</v>
      </c>
      <c r="L118" t="s">
        <v>818</v>
      </c>
    </row>
    <row r="119" spans="1:12" ht="15.75" customHeight="1">
      <c r="A119">
        <v>308</v>
      </c>
      <c r="B119" t="s">
        <v>819</v>
      </c>
      <c r="C119" t="s">
        <v>820</v>
      </c>
      <c r="D119" t="s">
        <v>821</v>
      </c>
      <c r="E119" t="s">
        <v>822</v>
      </c>
      <c r="F119" t="s">
        <v>823</v>
      </c>
      <c r="G119" t="s">
        <v>824</v>
      </c>
      <c r="H119" t="s">
        <v>825</v>
      </c>
      <c r="I119" t="s">
        <v>826</v>
      </c>
      <c r="J119" t="s">
        <v>827</v>
      </c>
      <c r="K119" t="s">
        <v>828</v>
      </c>
      <c r="L119" t="s">
        <v>829</v>
      </c>
    </row>
    <row r="120" spans="1:12" ht="15.75" customHeight="1">
      <c r="A120">
        <v>345</v>
      </c>
      <c r="B120" t="s">
        <v>1171</v>
      </c>
      <c r="C120" t="s">
        <v>1172</v>
      </c>
      <c r="D120" t="s">
        <v>1173</v>
      </c>
      <c r="E120" t="s">
        <v>1174</v>
      </c>
      <c r="F120" t="s">
        <v>1175</v>
      </c>
      <c r="G120" t="s">
        <v>1176</v>
      </c>
      <c r="H120" t="s">
        <v>1177</v>
      </c>
      <c r="I120" t="s">
        <v>1178</v>
      </c>
      <c r="J120" t="s">
        <v>1179</v>
      </c>
      <c r="K120" t="s">
        <v>1180</v>
      </c>
      <c r="L120" t="s">
        <v>1181</v>
      </c>
    </row>
    <row r="121" spans="1:12" ht="15.75" customHeight="1">
      <c r="A121">
        <v>309</v>
      </c>
      <c r="B121" t="s">
        <v>830</v>
      </c>
      <c r="C121" t="s">
        <v>831</v>
      </c>
      <c r="D121" t="s">
        <v>832</v>
      </c>
      <c r="E121" t="s">
        <v>833</v>
      </c>
      <c r="F121" t="s">
        <v>834</v>
      </c>
      <c r="G121" t="s">
        <v>835</v>
      </c>
      <c r="H121" t="s">
        <v>836</v>
      </c>
      <c r="I121" t="s">
        <v>837</v>
      </c>
      <c r="J121" t="s">
        <v>838</v>
      </c>
      <c r="K121" t="s">
        <v>839</v>
      </c>
      <c r="L121" t="s">
        <v>840</v>
      </c>
    </row>
    <row r="122" spans="1:12" ht="15.75" customHeight="1">
      <c r="A122">
        <v>310</v>
      </c>
      <c r="B122" t="s">
        <v>841</v>
      </c>
      <c r="C122" t="s">
        <v>842</v>
      </c>
      <c r="D122" t="s">
        <v>843</v>
      </c>
      <c r="E122" t="s">
        <v>844</v>
      </c>
      <c r="F122" t="s">
        <v>845</v>
      </c>
      <c r="G122" t="s">
        <v>846</v>
      </c>
      <c r="H122" t="s">
        <v>847</v>
      </c>
      <c r="I122" t="s">
        <v>848</v>
      </c>
      <c r="J122" t="s">
        <v>849</v>
      </c>
      <c r="K122" t="s">
        <v>850</v>
      </c>
      <c r="L122" t="s">
        <v>851</v>
      </c>
    </row>
    <row r="123" spans="1:12" ht="15.75" customHeight="1">
      <c r="A123">
        <v>311</v>
      </c>
      <c r="B123" t="s">
        <v>852</v>
      </c>
      <c r="C123" t="s">
        <v>853</v>
      </c>
      <c r="D123" t="s">
        <v>854</v>
      </c>
      <c r="E123" t="s">
        <v>855</v>
      </c>
      <c r="F123" t="s">
        <v>856</v>
      </c>
      <c r="G123" t="s">
        <v>857</v>
      </c>
      <c r="H123" t="s">
        <v>858</v>
      </c>
      <c r="I123" t="s">
        <v>859</v>
      </c>
      <c r="J123" t="s">
        <v>860</v>
      </c>
      <c r="K123" t="s">
        <v>861</v>
      </c>
      <c r="L123" t="s">
        <v>862</v>
      </c>
    </row>
    <row r="124" spans="1:12" ht="15.75" customHeight="1">
      <c r="A124">
        <v>312</v>
      </c>
      <c r="B124" t="s">
        <v>863</v>
      </c>
      <c r="C124" t="s">
        <v>864</v>
      </c>
      <c r="D124" t="s">
        <v>865</v>
      </c>
      <c r="E124" t="s">
        <v>866</v>
      </c>
      <c r="F124" t="s">
        <v>867</v>
      </c>
      <c r="G124" t="s">
        <v>868</v>
      </c>
      <c r="H124" t="s">
        <v>869</v>
      </c>
      <c r="I124" t="s">
        <v>870</v>
      </c>
      <c r="J124" t="s">
        <v>871</v>
      </c>
      <c r="K124" t="s">
        <v>872</v>
      </c>
      <c r="L124" t="s">
        <v>873</v>
      </c>
    </row>
    <row r="125" spans="1:12" ht="15.75" customHeight="1">
      <c r="A125">
        <v>313</v>
      </c>
      <c r="B125" t="s">
        <v>874</v>
      </c>
      <c r="C125" t="s">
        <v>875</v>
      </c>
      <c r="D125" t="s">
        <v>876</v>
      </c>
      <c r="E125" t="s">
        <v>877</v>
      </c>
      <c r="F125" t="s">
        <v>878</v>
      </c>
      <c r="G125" t="s">
        <v>879</v>
      </c>
      <c r="H125" t="s">
        <v>880</v>
      </c>
      <c r="I125" t="s">
        <v>881</v>
      </c>
      <c r="J125" t="s">
        <v>882</v>
      </c>
      <c r="K125" t="s">
        <v>883</v>
      </c>
      <c r="L125" t="s">
        <v>884</v>
      </c>
    </row>
    <row r="126" spans="1:12" ht="15.75" customHeight="1">
      <c r="A126">
        <v>314</v>
      </c>
      <c r="B126" t="s">
        <v>885</v>
      </c>
      <c r="C126" t="s">
        <v>886</v>
      </c>
      <c r="D126" t="s">
        <v>887</v>
      </c>
      <c r="E126" t="s">
        <v>888</v>
      </c>
      <c r="F126" t="s">
        <v>889</v>
      </c>
      <c r="G126" t="s">
        <v>890</v>
      </c>
      <c r="H126" t="s">
        <v>891</v>
      </c>
      <c r="I126" t="s">
        <v>892</v>
      </c>
      <c r="J126" t="s">
        <v>893</v>
      </c>
      <c r="K126" t="s">
        <v>894</v>
      </c>
      <c r="L126" t="s">
        <v>895</v>
      </c>
    </row>
    <row r="127" spans="1:12" ht="15.75" customHeight="1">
      <c r="A127">
        <v>315</v>
      </c>
      <c r="B127" t="s">
        <v>896</v>
      </c>
      <c r="C127" t="s">
        <v>897</v>
      </c>
      <c r="D127" t="s">
        <v>898</v>
      </c>
      <c r="E127" t="s">
        <v>899</v>
      </c>
      <c r="F127" t="s">
        <v>900</v>
      </c>
      <c r="G127" t="s">
        <v>901</v>
      </c>
      <c r="H127" t="s">
        <v>902</v>
      </c>
      <c r="I127" t="s">
        <v>903</v>
      </c>
      <c r="J127" t="s">
        <v>904</v>
      </c>
      <c r="K127" t="s">
        <v>905</v>
      </c>
      <c r="L127" t="s">
        <v>906</v>
      </c>
    </row>
    <row r="128" spans="1:12" ht="15.75" customHeight="1">
      <c r="A128">
        <v>316</v>
      </c>
      <c r="B128" t="s">
        <v>907</v>
      </c>
      <c r="C128" t="s">
        <v>908</v>
      </c>
      <c r="D128" t="s">
        <v>909</v>
      </c>
      <c r="E128" t="s">
        <v>910</v>
      </c>
      <c r="F128" t="s">
        <v>911</v>
      </c>
      <c r="G128" t="s">
        <v>912</v>
      </c>
      <c r="H128" t="s">
        <v>913</v>
      </c>
      <c r="I128" t="s">
        <v>914</v>
      </c>
      <c r="J128" t="s">
        <v>915</v>
      </c>
      <c r="K128" t="s">
        <v>916</v>
      </c>
      <c r="L128" t="s">
        <v>917</v>
      </c>
    </row>
    <row r="129" spans="1:12" ht="15.75" customHeight="1">
      <c r="A129">
        <v>350</v>
      </c>
      <c r="B129" t="s">
        <v>1226</v>
      </c>
      <c r="C129" t="s">
        <v>1227</v>
      </c>
      <c r="D129" t="s">
        <v>1228</v>
      </c>
      <c r="E129" t="s">
        <v>1229</v>
      </c>
      <c r="F129" t="s">
        <v>1230</v>
      </c>
      <c r="G129" t="s">
        <v>1231</v>
      </c>
      <c r="H129" t="s">
        <v>1232</v>
      </c>
      <c r="I129" t="s">
        <v>1233</v>
      </c>
      <c r="J129" t="s">
        <v>1234</v>
      </c>
      <c r="K129" t="s">
        <v>1235</v>
      </c>
      <c r="L129" t="s">
        <v>1236</v>
      </c>
    </row>
    <row r="130" spans="1:12" ht="15.75" customHeight="1">
      <c r="A130">
        <v>317</v>
      </c>
      <c r="B130" t="s">
        <v>918</v>
      </c>
      <c r="C130" t="s">
        <v>919</v>
      </c>
      <c r="D130" t="s">
        <v>920</v>
      </c>
      <c r="E130" t="s">
        <v>921</v>
      </c>
      <c r="F130" t="s">
        <v>922</v>
      </c>
      <c r="G130" t="s">
        <v>923</v>
      </c>
      <c r="H130" t="s">
        <v>924</v>
      </c>
      <c r="I130" t="s">
        <v>925</v>
      </c>
      <c r="J130" t="s">
        <v>926</v>
      </c>
      <c r="K130" t="s">
        <v>927</v>
      </c>
      <c r="L130" t="s">
        <v>928</v>
      </c>
    </row>
    <row r="131" spans="1:12" ht="15.75" customHeight="1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ht="15.75" customHeight="1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ht="15.75" customHeight="1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ht="15.75" customHeight="1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ht="15.75" customHeight="1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ht="15.75" customHeight="1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ht="15.75" customHeight="1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 ht="15.75" customHeight="1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 ht="15.75" customHeight="1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 ht="15.75" customHeight="1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 ht="15.75" customHeight="1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 ht="15.75" customHeight="1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 ht="15.75" customHeight="1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 ht="15.75" customHeight="1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15.75" customHeight="1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15.75" customHeight="1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15.75" customHeight="1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 ht="15.75" customHeight="1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 ht="15.75" customHeight="1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 ht="15.75" customHeight="1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 ht="15.75" customHeight="1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 ht="15.75" customHeight="1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 ht="15.75" customHeight="1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 ht="15.75" customHeight="1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 ht="15.75" customHeight="1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 ht="15.75" customHeight="1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 ht="15.75" customHeight="1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 ht="15.75" customHeight="1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 ht="15.75" customHeight="1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 ht="15.75" customHeight="1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 ht="15.75" customHeight="1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 ht="15.75" customHeight="1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 ht="15.75" customHeight="1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 ht="15.75" customHeight="1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 ht="15.75" customHeight="1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 ht="15.75" customHeight="1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 ht="15.75" customHeight="1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 ht="15.75" customHeight="1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 ht="15.75" customHeight="1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 ht="15.75" customHeight="1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 ht="15.75" customHeight="1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 ht="15.75" customHeight="1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 ht="15.75" customHeight="1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 ht="15.75" customHeight="1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 ht="15.75" customHeight="1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 ht="15.75" customHeight="1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ht="15.75" customHeight="1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ht="15.75" customHeight="1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ht="15.75" customHeight="1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ht="15.75" customHeight="1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ht="15.75" customHeight="1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ht="15.75" customHeight="1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ht="15.75" customHeight="1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ht="15.75" customHeight="1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ht="15.75" customHeight="1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ht="15.75" customHeight="1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ht="15.75" customHeight="1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ht="15.75" customHeight="1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ht="15.75" customHeight="1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ht="15.75" customHeight="1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ht="15.75" customHeight="1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ht="15.75" customHeight="1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ht="15.75" customHeight="1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ht="15.75" customHeight="1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ht="15.75" customHeight="1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ht="15.75" customHeight="1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ht="15.75" customHeight="1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ht="15.75" customHeight="1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ht="15.75" customHeight="1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ht="15.75" customHeight="1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ht="15.75" customHeight="1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ht="15.75" customHeight="1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ht="15.75" customHeight="1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ht="15.75" customHeight="1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ht="15.75" customHeight="1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ht="15.75" customHeight="1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ht="15.75" customHeight="1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ht="15.75" customHeight="1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ht="15.75" customHeight="1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ht="15.75" customHeight="1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ht="15.75" customHeight="1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ht="15.75" customHeight="1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ht="15.75" customHeight="1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ht="15.75" customHeight="1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ht="15.75" customHeight="1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ht="15.75" customHeight="1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ht="15.75" customHeight="1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ht="15.75" customHeight="1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ht="15.75" customHeight="1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ht="15.75" customHeight="1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ht="15.75" customHeight="1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ht="15.75" customHeight="1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ht="15.75" customHeight="1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ht="15.75" customHeight="1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ht="15.75" customHeight="1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ht="15.75" customHeight="1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ht="15.75" customHeight="1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ht="15.75" customHeight="1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ht="15.75" customHeight="1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ht="15.75" customHeight="1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ht="15.75" customHeight="1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ht="15.75" customHeight="1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ht="15.75" customHeight="1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ht="15.75" customHeight="1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ht="15.75" customHeight="1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ht="15.75" customHeight="1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ht="15.75" customHeight="1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ht="15.75" customHeight="1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ht="15.75" customHeight="1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ht="15.75" customHeight="1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ht="15.75" customHeight="1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ht="15.75" customHeight="1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ht="15.75" customHeight="1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ht="15.75" customHeight="1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ht="15.75" customHeight="1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ht="15.75" customHeight="1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ht="15.75" customHeight="1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ht="15.75" customHeight="1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ht="15.75" customHeight="1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ht="15.75" customHeight="1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ht="15.75" customHeight="1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ht="15.75" customHeight="1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ht="15.75" customHeight="1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ht="15.75" customHeight="1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ht="15.75" customHeight="1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ht="15.75" customHeight="1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ht="15.75" customHeight="1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ht="15.75" customHeight="1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ht="15.75" customHeight="1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ht="15.75" customHeight="1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ht="15.75" customHeight="1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ht="15.75" customHeight="1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ht="15.75" customHeight="1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ht="15.75" customHeight="1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ht="15.75" customHeight="1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ht="15.75" customHeight="1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ht="15.75" customHeight="1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ht="15.75" customHeight="1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ht="15.75" customHeight="1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ht="15.75" customHeight="1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ht="15.75" customHeight="1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ht="15.75" customHeight="1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ht="15.75" customHeight="1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ht="15.75" customHeight="1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ht="15.75" customHeight="1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ht="15.75" customHeight="1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ht="15.75" customHeight="1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ht="15.75" customHeight="1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ht="15.75" customHeight="1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ht="15.75" customHeight="1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ht="15.75" customHeight="1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ht="15.75" customHeight="1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ht="15.75" customHeight="1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ht="15.75" customHeight="1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ht="15.75" customHeight="1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ht="15.75" customHeight="1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ht="15.75" customHeight="1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ht="15.75" customHeight="1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ht="15.75" customHeight="1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ht="15.75" customHeight="1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ht="15.75" customHeight="1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ht="15.75" customHeight="1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ht="15.75" customHeight="1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ht="15.75" customHeight="1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ht="15.75" customHeight="1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ht="15.75" customHeight="1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ht="15.75" customHeight="1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ht="15.75" customHeight="1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ht="15.75" customHeight="1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ht="15.75" customHeight="1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ht="15.75" customHeight="1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ht="15.75" customHeight="1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ht="15.75" customHeight="1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ht="15.75" customHeight="1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ht="15.75" customHeight="1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ht="15.75" customHeight="1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ht="15.75" customHeight="1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ht="15.75" customHeight="1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ht="15.75" customHeight="1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ht="15.75" customHeight="1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ht="15.75" customHeight="1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ht="15.75" customHeight="1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ht="15.75" customHeight="1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ht="15.75" customHeight="1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ht="15.75" customHeight="1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ht="15.75" customHeight="1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ht="15.75" customHeight="1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ht="15.75" customHeight="1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ht="15.75" customHeight="1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ht="15.75" customHeight="1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ht="15.75" customHeight="1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ht="15.75" customHeight="1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ht="15.75" customHeight="1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ht="15.75" customHeight="1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ht="15.75" customHeight="1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ht="15.75" customHeight="1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ht="15.75" customHeight="1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ht="15.75" customHeight="1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ht="15.75" customHeight="1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ht="15.75" customHeight="1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ht="15.75" customHeight="1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ht="15.75" customHeight="1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ht="15.75" customHeight="1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ht="15.75" customHeight="1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ht="15.75" customHeight="1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ht="15.75" customHeight="1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ht="15.75" customHeight="1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ht="15.75" customHeight="1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ht="15.75" customHeight="1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ht="15.75" customHeight="1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ht="15.75" customHeight="1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ht="15.75" customHeight="1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ht="15.75" customHeight="1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ht="15.75" customHeight="1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ht="15.75" customHeight="1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ht="15.75" customHeight="1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ht="15.75" customHeight="1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ht="15.75" customHeight="1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ht="15.75" customHeight="1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ht="15.75" customHeight="1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ht="15.75" customHeight="1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ht="15.75" customHeight="1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ht="15.75" customHeight="1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ht="15.75" customHeight="1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ht="15.75" customHeight="1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ht="15.75" customHeight="1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ht="15.75" customHeight="1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ht="15.75" customHeight="1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ht="15.75" customHeight="1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ht="15.75" customHeight="1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ht="15.75" customHeight="1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ht="15.75" customHeight="1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ht="15.75" customHeight="1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ht="15.75" customHeight="1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ht="15.75" customHeight="1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ht="15.75" customHeight="1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ht="15.75" customHeight="1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ht="15.75" customHeight="1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ht="15.75" customHeight="1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ht="15.75" customHeight="1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ht="15.75" customHeight="1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ht="15.75" customHeight="1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ht="15.75" customHeight="1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ht="15.75" customHeight="1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ht="15.75" customHeight="1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ht="15.75" customHeight="1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ht="15.75" customHeight="1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ht="15.75" customHeight="1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ht="15.75" customHeight="1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ht="15.75" customHeight="1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ht="15.75" customHeight="1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ht="15.75" customHeight="1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ht="15.75" customHeight="1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ht="15.75" customHeight="1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ht="15.75" customHeight="1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ht="15.75" customHeight="1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ht="15.75" customHeight="1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ht="15.75" customHeight="1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ht="15.75" customHeight="1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ht="15.75" customHeight="1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ht="15.75" customHeight="1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ht="15.75" customHeight="1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ht="15.75" customHeight="1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ht="15.75" customHeight="1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ht="15.75" customHeight="1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ht="15.75" customHeight="1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ht="15.75" customHeight="1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ht="15.75" customHeight="1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ht="15.75" customHeight="1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ht="15.75" customHeight="1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ht="15.75" customHeight="1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ht="15.75" customHeight="1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ht="15.75" customHeight="1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ht="15.75" customHeight="1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ht="15.75" customHeight="1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ht="15.75" customHeight="1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ht="15.75" customHeight="1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ht="15.75" customHeight="1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ht="15.75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5.75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ht="15.75" customHeight="1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ht="15.75" customHeight="1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ht="15.75" customHeight="1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ht="15.75" customHeight="1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ht="15.75" customHeight="1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ht="15.75" customHeight="1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ht="15.75" customHeight="1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ht="15.75" customHeight="1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ht="15.75" customHeight="1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ht="15.75" customHeight="1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ht="15.75" customHeight="1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ht="15.75" customHeight="1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ht="15.75" customHeight="1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ht="15.75" customHeight="1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ht="15.75" customHeight="1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ht="15.75" customHeight="1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ht="15.75" customHeight="1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ht="15.75" customHeight="1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ht="15.75" customHeight="1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ht="15.75" customHeight="1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ht="15.75" customHeight="1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ht="15.75" customHeight="1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ht="15.75" customHeight="1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ht="15.75" customHeight="1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ht="15.75" customHeight="1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ht="15.75" customHeight="1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ht="15.75" customHeight="1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ht="15.75" customHeight="1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ht="15.75" customHeight="1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ht="15.75" customHeight="1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ht="15.75" customHeight="1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ht="15.75" customHeight="1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ht="15.75" customHeight="1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ht="15.75" customHeight="1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ht="15.75" customHeight="1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ht="15.75" customHeight="1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ht="15.75" customHeight="1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ht="15.75" customHeight="1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ht="15.75" customHeight="1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ht="15.75" customHeight="1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ht="15.75" customHeight="1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ht="15.75" customHeight="1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ht="15.75" customHeight="1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ht="15.75" customHeight="1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ht="15.75" customHeight="1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ht="15.75" customHeight="1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ht="15.75" customHeight="1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ht="15.75" customHeight="1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ht="15.75" customHeight="1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ht="15.75" customHeight="1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ht="15.75" customHeight="1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ht="15.75" customHeight="1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ht="15.75" customHeight="1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ht="15.75" customHeight="1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ht="15.75" customHeight="1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ht="15.75" customHeight="1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ht="15.75" customHeight="1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ht="15.75" customHeight="1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ht="15.75" customHeight="1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ht="15.75" customHeight="1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ht="15.75" customHeight="1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ht="15.75" customHeight="1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ht="15.75" customHeight="1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ht="15.75" customHeight="1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ht="15.75" customHeight="1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ht="15.75" customHeight="1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ht="15.75" customHeight="1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ht="15.75" customHeight="1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ht="15.75" customHeight="1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ht="15.75" customHeight="1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ht="15.75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5.75" customHeight="1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ht="15.75" customHeight="1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ht="15.75" customHeight="1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ht="15.75" customHeight="1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ht="15.75" customHeight="1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ht="15.75" customHeight="1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ht="15.75" customHeight="1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ht="15.75" customHeight="1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ht="15.75" customHeight="1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ht="15.75" customHeight="1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ht="15.75" customHeight="1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ht="15.75" customHeight="1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ht="15.75" customHeight="1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ht="15.75" customHeight="1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ht="15.75" customHeight="1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ht="15.75" customHeight="1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ht="15.75" customHeight="1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ht="15.75" customHeight="1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ht="15.75" customHeight="1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ht="15.75" customHeight="1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ht="15.75" customHeight="1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ht="15.75" customHeight="1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ht="15.75" customHeight="1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ht="15.75" customHeight="1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ht="15.75" customHeight="1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ht="15.75" customHeight="1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ht="15.75" customHeight="1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ht="15.75" customHeight="1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ht="15.75" customHeight="1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ht="15.75" customHeight="1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ht="15.75" customHeight="1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ht="15.75" customHeight="1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ht="15.75" customHeight="1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ht="15.75" customHeight="1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ht="15.75" customHeight="1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ht="15.75" customHeight="1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ht="15.75" customHeight="1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ht="15.75" customHeight="1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ht="15.75" customHeight="1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ht="15.75" customHeight="1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ht="15.75" customHeight="1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ht="15.75" customHeight="1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ht="15.75" customHeight="1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ht="15.75" customHeight="1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ht="15.75" customHeight="1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ht="15.75" customHeight="1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ht="15.75" customHeight="1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ht="15.75" customHeight="1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ht="15.75" customHeight="1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ht="15.75" customHeight="1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ht="15.75" customHeight="1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ht="15.75" customHeight="1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ht="15.75" customHeight="1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ht="15.75" customHeight="1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ht="15.75" customHeight="1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ht="15.75" customHeight="1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ht="15.75" customHeight="1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ht="15.75" customHeight="1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ht="15.75" customHeight="1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ht="15.75" customHeight="1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ht="15.75" customHeight="1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ht="15.75" customHeight="1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ht="15.75" customHeight="1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ht="15.75" customHeight="1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ht="15.75" customHeight="1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ht="15.75" customHeight="1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ht="15.75" customHeight="1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ht="15.75" customHeight="1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ht="15.75" customHeight="1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ht="15.75" customHeight="1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ht="15.75" customHeight="1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ht="15.75" customHeight="1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ht="15.75" customHeight="1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ht="15.75" customHeight="1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ht="15.75" customHeight="1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ht="15.75" customHeight="1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ht="15.75" customHeight="1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ht="15.75" customHeight="1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ht="15.75" customHeight="1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ht="15.75" customHeight="1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ht="15.75" customHeight="1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ht="15.75" customHeight="1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ht="15.75" customHeight="1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ht="15.75" customHeight="1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ht="15.75" customHeight="1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ht="15.75" customHeight="1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ht="15.75" customHeight="1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ht="15.75" customHeight="1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ht="15.75" customHeight="1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ht="15.75" customHeight="1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ht="15.75" customHeight="1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ht="15.75" customHeight="1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ht="15.75" customHeight="1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ht="15.75" customHeight="1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ht="15.75" customHeight="1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ht="15.75" customHeight="1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ht="15.75" customHeight="1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ht="15.75" customHeight="1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ht="15.75" customHeight="1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ht="15.75" customHeight="1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ht="15.75" customHeight="1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ht="15.75" customHeight="1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ht="15.75" customHeight="1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ht="15.75" customHeight="1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ht="15.75" customHeight="1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ht="15.75" customHeight="1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ht="15.75" customHeight="1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ht="15.75" customHeight="1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ht="15.75" customHeight="1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ht="15.75" customHeight="1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ht="15.75" customHeight="1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ht="15.75" customHeight="1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ht="15.75" customHeight="1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ht="15.75" customHeight="1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ht="15.75" customHeight="1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ht="15.75" customHeight="1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ht="15.75" customHeight="1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ht="15.75" customHeight="1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ht="15.75" customHeight="1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ht="15.75" customHeight="1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ht="15.75" customHeight="1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ht="15.75" customHeight="1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ht="15.75" customHeight="1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ht="15.75" customHeight="1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ht="15.75" customHeight="1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ht="15.75" customHeight="1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ht="15.75" customHeight="1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ht="15.75" customHeight="1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ht="15.75" customHeight="1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ht="15.75" customHeight="1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ht="15.75" customHeight="1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ht="15.75" customHeight="1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ht="15.75" customHeight="1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ht="15.75" customHeight="1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ht="15.75" customHeight="1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ht="15.75" customHeight="1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ht="15.75" customHeight="1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ht="15.75" customHeight="1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ht="15.75" customHeight="1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ht="15.75" customHeight="1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ht="15.75" customHeight="1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ht="15.75" customHeight="1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ht="15.75" customHeight="1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ht="15.75" customHeight="1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ht="15.75" customHeight="1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ht="15.75" customHeight="1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ht="15.75" customHeight="1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ht="15.75" customHeight="1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ht="15.75" customHeight="1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ht="15.75" customHeight="1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ht="15.75" customHeight="1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ht="15.75" customHeight="1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ht="15.75" customHeight="1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ht="15.75" customHeight="1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ht="15.75" customHeight="1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ht="15.75" customHeight="1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ht="15.75" customHeight="1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ht="15.75" customHeight="1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ht="15.75" customHeight="1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ht="15.75" customHeight="1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ht="15.75" customHeight="1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ht="15.75" customHeight="1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ht="15.75" customHeight="1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ht="15.75" customHeight="1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ht="15.75" customHeight="1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ht="15.75" customHeight="1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ht="15.75" customHeight="1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ht="15.75" customHeight="1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ht="15.75" customHeight="1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ht="15.75" customHeight="1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ht="15.75" customHeight="1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ht="15.75" customHeight="1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ht="15.75" customHeight="1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ht="15.75" customHeight="1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ht="15.75" customHeight="1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ht="15.75" customHeight="1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ht="15.75" customHeight="1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ht="15.75" customHeight="1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ht="15.75" customHeight="1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ht="15.75" customHeight="1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ht="15.75" customHeight="1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ht="15.75" customHeight="1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ht="15.75" customHeight="1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ht="15.75" customHeight="1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ht="15.75" customHeight="1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ht="15.75" customHeight="1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ht="15.75" customHeight="1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ht="15.75" customHeight="1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ht="15.75" customHeight="1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ht="15.75" customHeight="1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ht="15.75" customHeight="1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ht="15.75" customHeight="1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ht="15.75" customHeight="1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ht="15.75" customHeight="1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ht="15.75" customHeight="1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ht="15.75" customHeight="1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ht="15.75" customHeight="1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ht="15.75" customHeight="1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ht="15.75" customHeight="1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ht="15.75" customHeight="1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ht="15.75" customHeight="1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ht="15.75" customHeight="1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ht="15.75" customHeight="1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ht="15.75" customHeight="1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ht="15.75" customHeight="1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ht="15.75" customHeight="1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ht="15.75" customHeight="1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ht="15.75" customHeight="1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ht="15.75" customHeight="1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ht="15.75" customHeight="1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ht="15.75" customHeight="1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ht="15.75" customHeight="1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ht="15.75" customHeight="1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ht="15.75" customHeight="1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ht="15.75" customHeight="1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ht="15.75" customHeight="1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ht="15.75" customHeight="1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ht="15.75" customHeight="1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ht="15.75" customHeight="1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ht="15.75" customHeight="1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ht="15.75" customHeight="1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ht="15.75" customHeight="1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ht="15.75" customHeight="1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ht="15.75" customHeight="1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ht="15.75" customHeight="1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ht="15.75" customHeight="1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ht="15.75" customHeight="1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ht="15.75" customHeight="1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ht="15.75" customHeight="1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ht="15.75" customHeight="1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ht="15.75" customHeight="1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ht="15.75" customHeight="1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ht="15.75" customHeight="1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ht="15.75" customHeight="1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ht="15.75" customHeight="1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ht="15.75" customHeight="1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ht="15.75" customHeight="1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ht="15.75" customHeight="1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ht="15.75" customHeight="1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ht="15.75" customHeight="1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ht="15.75" customHeight="1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ht="15.75" customHeight="1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ht="15.75" customHeight="1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ht="15.75" customHeight="1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ht="15.75" customHeight="1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ht="15.75" customHeight="1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ht="15.75" customHeight="1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ht="15.75" customHeight="1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ht="15.75" customHeight="1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ht="15.75" customHeight="1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ht="15.75" customHeight="1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ht="15.75" customHeight="1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ht="15.75" customHeight="1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ht="15.75" customHeight="1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ht="15.75" customHeight="1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ht="15.75" customHeight="1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ht="15.75" customHeight="1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ht="15.75" customHeight="1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ht="15.75" customHeight="1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ht="15.75" customHeight="1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ht="15.75" customHeight="1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ht="15.75" customHeight="1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ht="15.75" customHeight="1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ht="15.75" customHeight="1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ht="15.75" customHeight="1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ht="15.75" customHeight="1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ht="15.75" customHeight="1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ht="15.75" customHeight="1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ht="15.75" customHeight="1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ht="15.75" customHeight="1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ht="15.75" customHeight="1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ht="15.75" customHeight="1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ht="15.75" customHeight="1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ht="15.75" customHeight="1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ht="15.75" customHeight="1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ht="15.75" customHeight="1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ht="15.75" customHeight="1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ht="15.75" customHeight="1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ht="15.75" customHeight="1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ht="15.75" customHeight="1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ht="15.75" customHeight="1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ht="15.75" customHeight="1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ht="15.75" customHeight="1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ht="15.75" customHeight="1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ht="15.75" customHeight="1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ht="15.75" customHeight="1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ht="15.75" customHeight="1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ht="15.75" customHeight="1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ht="15.75" customHeight="1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ht="15.75" customHeight="1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ht="15.75" customHeight="1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ht="15.75" customHeight="1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ht="15.75" customHeight="1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ht="15.75" customHeight="1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ht="15.75" customHeight="1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ht="15.75" customHeight="1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ht="15.75" customHeight="1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ht="15.75" customHeight="1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ht="15.75" customHeight="1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ht="15.75" customHeight="1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ht="15.75" customHeight="1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ht="15.75" customHeight="1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ht="15.75" customHeight="1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ht="15.75" customHeight="1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ht="15.75" customHeight="1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ht="15.75" customHeight="1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ht="15.75" customHeight="1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ht="15.75" customHeight="1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ht="15.75" customHeight="1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ht="15.75" customHeight="1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ht="15.75" customHeight="1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ht="15.75" customHeight="1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ht="15.75" customHeight="1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ht="15.75" customHeight="1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ht="15.75" customHeight="1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ht="15.75" customHeight="1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ht="15.75" customHeight="1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ht="15.75" customHeight="1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ht="15.75" customHeight="1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ht="15.75" customHeight="1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ht="15.75" customHeight="1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ht="15.75" customHeight="1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ht="15.75" customHeight="1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ht="15.75" customHeight="1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ht="15.75" customHeight="1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ht="15.75" customHeight="1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ht="15.75" customHeight="1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ht="15.75" customHeight="1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ht="15.75" customHeight="1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ht="15.75" customHeight="1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ht="15.75" customHeight="1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ht="15.75" customHeight="1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ht="15.75" customHeight="1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ht="15.75" customHeight="1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ht="15.75" customHeight="1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ht="15.75" customHeight="1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ht="15.75" customHeight="1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ht="15.75" customHeight="1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ht="15.75" customHeight="1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ht="15.75" customHeight="1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ht="15.75" customHeight="1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ht="15.75" customHeight="1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ht="15.75" customHeight="1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ht="15.75" customHeight="1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ht="15.75" customHeight="1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ht="15.75" customHeight="1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ht="15.75" customHeight="1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ht="15.75" customHeight="1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ht="15.75" customHeight="1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ht="15.75" customHeight="1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ht="15.75" customHeight="1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ht="15.75" customHeight="1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ht="15.75" customHeight="1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ht="15.75" customHeight="1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ht="15.75" customHeight="1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ht="15.75" customHeight="1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ht="15.75" customHeight="1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ht="15.75" customHeight="1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ht="15.75" customHeight="1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ht="15.75" customHeight="1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ht="15.75" customHeight="1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ht="15.75" customHeight="1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ht="15.75" customHeight="1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ht="15.75" customHeight="1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ht="15.75" customHeight="1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ht="15.75" customHeight="1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ht="15.75" customHeight="1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ht="15.75" customHeight="1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ht="15.75" customHeight="1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ht="15.75" customHeight="1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ht="15.75" customHeight="1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ht="15.75" customHeight="1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ht="15.75" customHeight="1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ht="15.75" customHeight="1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ht="15.75" customHeight="1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ht="15.75" customHeight="1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ht="15.75" customHeight="1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ht="15.75" customHeight="1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ht="15.75" customHeight="1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ht="15.75" customHeight="1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ht="15.75" customHeight="1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ht="15.75" customHeight="1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ht="15.75" customHeight="1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ht="15.75" customHeight="1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ht="15.75" customHeight="1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ht="15.75" customHeight="1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ht="15.75" customHeight="1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ht="15.75" customHeight="1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ht="15.75" customHeight="1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ht="15.75" customHeight="1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ht="15.75" customHeight="1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ht="15.75" customHeight="1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ht="15.75" customHeight="1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ht="15.75" customHeight="1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ht="15.75" customHeight="1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ht="15.75" customHeight="1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ht="15.75" customHeight="1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ht="15.75" customHeight="1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ht="15.75" customHeight="1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ht="15.75" customHeight="1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ht="15.75" customHeight="1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ht="15.75" customHeight="1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ht="15.75" customHeight="1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ht="15.75" customHeight="1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ht="15.75" customHeight="1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ht="15.75" customHeight="1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ht="15.75" customHeight="1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ht="15.75" customHeight="1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ht="15.75" customHeight="1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ht="15.75" customHeight="1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ht="15.75" customHeight="1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ht="15.75" customHeight="1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ht="15.75" customHeight="1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ht="15.75" customHeight="1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ht="15.75" customHeight="1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ht="15.75" customHeight="1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ht="15.75" customHeight="1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ht="15.75" customHeight="1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ht="15.75" customHeight="1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ht="15.75" customHeight="1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ht="15.75" customHeight="1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ht="15.75" customHeight="1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ht="15.75" customHeight="1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ht="15.75" customHeight="1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ht="15.75" customHeight="1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ht="15.75" customHeight="1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ht="15.75" customHeight="1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ht="15.75" customHeight="1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ht="15.75" customHeight="1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ht="15.75" customHeight="1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ht="15.75" customHeight="1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ht="15.75" customHeight="1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ht="15.75" customHeight="1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ht="15.75" customHeight="1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ht="15.75" customHeight="1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ht="15.75" customHeight="1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ht="15.75" customHeight="1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ht="15.75" customHeight="1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ht="15.75" customHeight="1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ht="15.75" customHeight="1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ht="15.75" customHeight="1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ht="15.75" customHeight="1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ht="15.75" customHeight="1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ht="15.75" customHeight="1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ht="15.75" customHeight="1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ht="15.75" customHeight="1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ht="15.75" customHeight="1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ht="15.75" customHeight="1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ht="15.75" customHeight="1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ht="15.75" customHeight="1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ht="15.75" customHeight="1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ht="15.75" customHeight="1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ht="15.75" customHeight="1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ht="15.75" customHeight="1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ht="15.75" customHeight="1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ht="15.75" customHeight="1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ht="15.75" customHeight="1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ht="15.75" customHeight="1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ht="15.75" customHeight="1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ht="15.75" customHeight="1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ht="15.75" customHeight="1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ht="15.75" customHeight="1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ht="15.75" customHeight="1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ht="15.75" customHeight="1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ht="15.75" customHeight="1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ht="15.75" customHeight="1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ht="15.75" customHeight="1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ht="15.75" customHeight="1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ht="15.75" customHeight="1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ht="15.75" customHeight="1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ht="15.75" customHeight="1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ht="15.75" customHeight="1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ht="15.75" customHeight="1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ht="15.75" customHeight="1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ht="15.75" customHeight="1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ht="15.75" customHeight="1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ht="15.75" customHeight="1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ht="15.75" customHeight="1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ht="15.75" customHeight="1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ht="15.75" customHeight="1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ht="15.75" customHeight="1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ht="15.75" customHeight="1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ht="15.75" customHeight="1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ht="15.75" customHeight="1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ht="15.75" customHeight="1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ht="15.75" customHeight="1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ht="15.75" customHeight="1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ht="15.75" customHeight="1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ht="15.75" customHeight="1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ht="15.75" customHeight="1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ht="15.75" customHeight="1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ht="15.75" customHeight="1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ht="15.75" customHeight="1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ht="15.75" customHeight="1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ht="15.75" customHeight="1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ht="15.75" customHeight="1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ht="15.75" customHeight="1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ht="15.75" customHeight="1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ht="15.75" customHeight="1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ht="15.75" customHeight="1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ht="15.75" customHeight="1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ht="15.75" customHeight="1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ht="15.75" customHeight="1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ht="15.75" customHeight="1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ht="15.75" customHeight="1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ht="15.75" customHeight="1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ht="15.75" customHeight="1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ht="15.75" customHeight="1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ht="15.75" customHeight="1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ht="15.75" customHeight="1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ht="15.75" customHeight="1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ht="15.75" customHeight="1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ht="15.75" customHeight="1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ht="15.75" customHeight="1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ht="15.75" customHeight="1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ht="15.75" customHeight="1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ht="15.75" customHeight="1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ht="15.75" customHeight="1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ht="15.75" customHeight="1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ht="15.75" customHeight="1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ht="15.75" customHeight="1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ht="15.75" customHeight="1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ht="15.75" customHeight="1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ht="15.75" customHeight="1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ht="15.75" customHeight="1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ht="15.75" customHeight="1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ht="15.75" customHeight="1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ht="15.75" customHeight="1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ht="15.75" customHeight="1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ht="15.75" customHeight="1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ht="15.75" customHeight="1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ht="15.75" customHeight="1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ht="15.75" customHeight="1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ht="15.75" customHeight="1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ht="15.75" customHeight="1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ht="15.75" customHeight="1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ht="15.75" customHeight="1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ht="15.75" customHeight="1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ht="15.75" customHeight="1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ht="15.75" customHeight="1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ht="15.75" customHeight="1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ht="15.75" customHeight="1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ht="15.75" customHeight="1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ht="15.75" customHeight="1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ht="15.75" customHeight="1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ht="15.75" customHeight="1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ht="15.75" customHeight="1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ht="15.75" customHeight="1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ht="15.75" customHeight="1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ht="15.75" customHeight="1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ht="15.75" customHeight="1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ht="15.75" customHeight="1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ht="15.75" customHeight="1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ht="15.75" customHeight="1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ht="15.75" customHeight="1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ht="15.75" customHeight="1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ht="15.75" customHeight="1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ht="15.75" customHeight="1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ht="15.75" customHeight="1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ht="15.75" customHeight="1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ht="15.75" customHeight="1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ht="15.75" customHeight="1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ht="15.75" customHeight="1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ht="15.75" customHeight="1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ht="15.75" customHeight="1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ht="15.75" customHeight="1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ht="15.75" customHeight="1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ht="15.75" customHeight="1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>
      <c r="A2000"/>
      <c r="B2000"/>
      <c r="C2000"/>
      <c r="D2000"/>
      <c r="E2000"/>
      <c r="F2000"/>
      <c r="G2000"/>
      <c r="H2000"/>
      <c r="I2000"/>
      <c r="J2000"/>
      <c r="K2000"/>
      <c r="L200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Customer Selection</vt:lpstr>
      <vt:lpstr>Summary</vt:lpstr>
      <vt:lpstr>Load Summary</vt:lpstr>
      <vt:lpstr>Year To Date</vt:lpstr>
      <vt:lpstr>Receipt-Invoice</vt:lpstr>
      <vt:lpstr>Link To Database</vt:lpstr>
      <vt:lpstr>Link To Database 2</vt:lpstr>
      <vt:lpstr>Customer_select</vt:lpstr>
      <vt:lpstr>EndDate</vt:lpstr>
      <vt:lpstr>'Receipt-Invoice'!Print_Area</vt:lpstr>
      <vt:lpstr>StartDate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Benjamin Trivett</cp:lastModifiedBy>
  <cp:lastPrinted>2013-08-16T17:26:31Z</cp:lastPrinted>
  <dcterms:created xsi:type="dcterms:W3CDTF">2006-09-16T00:00:00Z</dcterms:created>
  <dcterms:modified xsi:type="dcterms:W3CDTF">2015-12-12T04:17:22Z</dcterms:modified>
</cp:coreProperties>
</file>